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owmya.boreda\Desktop\"/>
    </mc:Choice>
  </mc:AlternateContent>
  <xr:revisionPtr revIDLastSave="0" documentId="8_{18D75E59-4870-4242-B47C-389A1E8ED705}" xr6:coauthVersionLast="47" xr6:coauthVersionMax="47" xr10:uidLastSave="{00000000-0000-0000-0000-000000000000}"/>
  <bookViews>
    <workbookView xWindow="-120" yWindow="-120" windowWidth="29040" windowHeight="15720" firstSheet="4" activeTab="8" xr2:uid="{ACE880CA-195A-4D9A-83B4-CEB49320C256}"/>
  </bookViews>
  <sheets>
    <sheet name="Weekwise summary" sheetId="1" r:id="rId1"/>
    <sheet name="Datewise Summary" sheetId="2" r:id="rId2"/>
    <sheet name="PR Report - SOBHA " sheetId="3" r:id="rId3"/>
    <sheet name="PR Report - SINIYA" sheetId="4" r:id="rId4"/>
    <sheet name="PR Report - DOWNTOWN" sheetId="5" r:id="rId5"/>
    <sheet name="PR Report - SOBHA AUH" sheetId="6" r:id="rId6"/>
    <sheet name="PR Report - Total" sheetId="7" r:id="rId7"/>
    <sheet name="PR Data" sheetId="8" r:id="rId8"/>
    <sheet name="Daily Collection" sheetId="9" r:id="rId9"/>
  </sheets>
  <definedNames>
    <definedName name="_xlnm._FilterDatabase" localSheetId="7" hidden="1">'PR Data'!$A$1:$AT$9478</definedName>
    <definedName name="_xlcn.WorksheetConnection_Sheet19A1E16961" hidden="1">#REF!</definedName>
    <definedName name="Ak">#REF!</definedName>
    <definedName name="NOB">#REF!</definedName>
    <definedName name="Source">#REF!</definedName>
    <definedName name="SRCE">#REF!</definedName>
    <definedName name="Style">#REF!</definedName>
    <definedName name="TOS">#REF!</definedName>
    <definedName name="Type">#REF!</definedName>
    <definedName name="VLOOKUP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50" i="7" l="1"/>
  <c r="B249" i="7"/>
  <c r="B248" i="7"/>
  <c r="B251" i="7" s="1"/>
  <c r="B244" i="7"/>
  <c r="F221" i="7"/>
  <c r="E221" i="7"/>
  <c r="B221" i="7"/>
  <c r="E219" i="7"/>
  <c r="C206" i="7"/>
  <c r="C250" i="7" s="1"/>
  <c r="L205" i="7"/>
  <c r="K205" i="7"/>
  <c r="J205" i="7"/>
  <c r="I205" i="7"/>
  <c r="H205" i="7"/>
  <c r="G205" i="7"/>
  <c r="F205" i="7"/>
  <c r="E205" i="7"/>
  <c r="D205" i="7"/>
  <c r="D206" i="7" s="1"/>
  <c r="D250" i="7" s="1"/>
  <c r="C205" i="7"/>
  <c r="B205" i="7"/>
  <c r="H204" i="7"/>
  <c r="H206" i="7" s="1"/>
  <c r="H250" i="7" s="1"/>
  <c r="G204" i="7"/>
  <c r="F204" i="7"/>
  <c r="E204" i="7"/>
  <c r="D204" i="7"/>
  <c r="C204" i="7"/>
  <c r="B204" i="7"/>
  <c r="B206" i="7" s="1"/>
  <c r="H202" i="7"/>
  <c r="F202" i="7"/>
  <c r="E202" i="7"/>
  <c r="D202" i="7"/>
  <c r="C202" i="7"/>
  <c r="B202" i="7"/>
  <c r="G202" i="7" s="1"/>
  <c r="H201" i="7"/>
  <c r="G201" i="7"/>
  <c r="F201" i="7"/>
  <c r="E201" i="7"/>
  <c r="D201" i="7"/>
  <c r="C201" i="7"/>
  <c r="B201" i="7"/>
  <c r="L200" i="7"/>
  <c r="K200" i="7"/>
  <c r="J200" i="7"/>
  <c r="I200" i="7"/>
  <c r="H200" i="7"/>
  <c r="F200" i="7"/>
  <c r="E200" i="7"/>
  <c r="D200" i="7"/>
  <c r="C200" i="7"/>
  <c r="B200" i="7"/>
  <c r="G200" i="7" s="1"/>
  <c r="M199" i="7"/>
  <c r="H199" i="7"/>
  <c r="G199" i="7"/>
  <c r="F199" i="7"/>
  <c r="E199" i="7"/>
  <c r="D199" i="7"/>
  <c r="D203" i="7" s="1"/>
  <c r="C199" i="7"/>
  <c r="B199" i="7"/>
  <c r="H198" i="7"/>
  <c r="F198" i="7"/>
  <c r="E198" i="7"/>
  <c r="D198" i="7"/>
  <c r="C198" i="7"/>
  <c r="B198" i="7"/>
  <c r="G198" i="7" s="1"/>
  <c r="H197" i="7"/>
  <c r="G197" i="7"/>
  <c r="F197" i="7"/>
  <c r="E197" i="7"/>
  <c r="D197" i="7"/>
  <c r="C197" i="7"/>
  <c r="B197" i="7"/>
  <c r="H196" i="7"/>
  <c r="F196" i="7"/>
  <c r="E196" i="7"/>
  <c r="D196" i="7"/>
  <c r="C196" i="7"/>
  <c r="B196" i="7"/>
  <c r="G196" i="7" s="1"/>
  <c r="L195" i="7"/>
  <c r="K195" i="7"/>
  <c r="H195" i="7"/>
  <c r="G195" i="7"/>
  <c r="F195" i="7"/>
  <c r="E195" i="7"/>
  <c r="D195" i="7"/>
  <c r="C195" i="7"/>
  <c r="B195" i="7"/>
  <c r="H194" i="7"/>
  <c r="F194" i="7"/>
  <c r="E194" i="7"/>
  <c r="D194" i="7"/>
  <c r="C194" i="7"/>
  <c r="B194" i="7"/>
  <c r="G194" i="7" s="1"/>
  <c r="L193" i="7"/>
  <c r="K193" i="7"/>
  <c r="H193" i="7"/>
  <c r="G193" i="7"/>
  <c r="F193" i="7"/>
  <c r="F203" i="7" s="1"/>
  <c r="E193" i="7"/>
  <c r="E203" i="7" s="1"/>
  <c r="D193" i="7"/>
  <c r="C193" i="7"/>
  <c r="B193" i="7"/>
  <c r="H192" i="7"/>
  <c r="F192" i="7"/>
  <c r="E192" i="7"/>
  <c r="D192" i="7"/>
  <c r="C192" i="7"/>
  <c r="B192" i="7"/>
  <c r="G192" i="7" s="1"/>
  <c r="K191" i="7"/>
  <c r="H191" i="7"/>
  <c r="H203" i="7" s="1"/>
  <c r="G191" i="7"/>
  <c r="G203" i="7" s="1"/>
  <c r="F191" i="7"/>
  <c r="E191" i="7"/>
  <c r="D191" i="7"/>
  <c r="C191" i="7"/>
  <c r="B191" i="7"/>
  <c r="B203" i="7" s="1"/>
  <c r="L189" i="7"/>
  <c r="K189" i="7"/>
  <c r="J189" i="7"/>
  <c r="I189" i="7"/>
  <c r="H189" i="7"/>
  <c r="G189" i="7"/>
  <c r="F189" i="7"/>
  <c r="E189" i="7"/>
  <c r="D189" i="7"/>
  <c r="C189" i="7"/>
  <c r="B189" i="7"/>
  <c r="L188" i="7"/>
  <c r="K188" i="7"/>
  <c r="J188" i="7"/>
  <c r="I188" i="7"/>
  <c r="H188" i="7"/>
  <c r="G188" i="7"/>
  <c r="F188" i="7"/>
  <c r="E188" i="7"/>
  <c r="D188" i="7"/>
  <c r="C188" i="7"/>
  <c r="B188" i="7"/>
  <c r="L187" i="7"/>
  <c r="K187" i="7"/>
  <c r="J187" i="7"/>
  <c r="I187" i="7"/>
  <c r="H187" i="7"/>
  <c r="G187" i="7"/>
  <c r="F187" i="7"/>
  <c r="E187" i="7"/>
  <c r="D187" i="7"/>
  <c r="C187" i="7"/>
  <c r="B187" i="7"/>
  <c r="L186" i="7"/>
  <c r="K186" i="7"/>
  <c r="J186" i="7"/>
  <c r="I186" i="7"/>
  <c r="H186" i="7"/>
  <c r="G186" i="7"/>
  <c r="F186" i="7"/>
  <c r="E186" i="7"/>
  <c r="D186" i="7"/>
  <c r="C186" i="7"/>
  <c r="B186" i="7"/>
  <c r="L185" i="7"/>
  <c r="K185" i="7"/>
  <c r="J185" i="7"/>
  <c r="I185" i="7"/>
  <c r="H185" i="7"/>
  <c r="G185" i="7"/>
  <c r="F185" i="7"/>
  <c r="E185" i="7"/>
  <c r="D185" i="7"/>
  <c r="C185" i="7"/>
  <c r="B185" i="7"/>
  <c r="L184" i="7"/>
  <c r="K184" i="7"/>
  <c r="J184" i="7"/>
  <c r="I184" i="7"/>
  <c r="H184" i="7"/>
  <c r="G184" i="7"/>
  <c r="F184" i="7"/>
  <c r="E184" i="7"/>
  <c r="D184" i="7"/>
  <c r="C184" i="7"/>
  <c r="B184" i="7"/>
  <c r="L183" i="7"/>
  <c r="K183" i="7"/>
  <c r="J183" i="7"/>
  <c r="I183" i="7"/>
  <c r="H183" i="7"/>
  <c r="G183" i="7"/>
  <c r="F183" i="7"/>
  <c r="E183" i="7"/>
  <c r="D183" i="7"/>
  <c r="C183" i="7"/>
  <c r="B183" i="7"/>
  <c r="L182" i="7"/>
  <c r="K182" i="7"/>
  <c r="J182" i="7"/>
  <c r="I182" i="7"/>
  <c r="H182" i="7"/>
  <c r="G182" i="7"/>
  <c r="F182" i="7"/>
  <c r="E182" i="7"/>
  <c r="D182" i="7"/>
  <c r="C182" i="7"/>
  <c r="B182" i="7"/>
  <c r="L181" i="7"/>
  <c r="K181" i="7"/>
  <c r="J181" i="7"/>
  <c r="I181" i="7"/>
  <c r="H181" i="7"/>
  <c r="G181" i="7"/>
  <c r="F181" i="7"/>
  <c r="E181" i="7"/>
  <c r="D181" i="7"/>
  <c r="C181" i="7"/>
  <c r="B181" i="7"/>
  <c r="L180" i="7"/>
  <c r="K180" i="7"/>
  <c r="J180" i="7"/>
  <c r="I180" i="7"/>
  <c r="H180" i="7"/>
  <c r="G180" i="7"/>
  <c r="F180" i="7"/>
  <c r="E180" i="7"/>
  <c r="D180" i="7"/>
  <c r="C180" i="7"/>
  <c r="B180" i="7"/>
  <c r="L179" i="7"/>
  <c r="K179" i="7"/>
  <c r="J179" i="7"/>
  <c r="I179" i="7"/>
  <c r="H179" i="7"/>
  <c r="G179" i="7"/>
  <c r="F179" i="7"/>
  <c r="E179" i="7"/>
  <c r="D179" i="7"/>
  <c r="C179" i="7"/>
  <c r="B179" i="7"/>
  <c r="L178" i="7"/>
  <c r="L190" i="7" s="1"/>
  <c r="L248" i="7" s="1"/>
  <c r="K178" i="7"/>
  <c r="J178" i="7"/>
  <c r="J190" i="7" s="1"/>
  <c r="J248" i="7" s="1"/>
  <c r="I178" i="7"/>
  <c r="I190" i="7" s="1"/>
  <c r="I248" i="7" s="1"/>
  <c r="H178" i="7"/>
  <c r="G178" i="7"/>
  <c r="F178" i="7"/>
  <c r="F190" i="7" s="1"/>
  <c r="F248" i="7" s="1"/>
  <c r="E178" i="7"/>
  <c r="D178" i="7"/>
  <c r="D190" i="7" s="1"/>
  <c r="D248" i="7" s="1"/>
  <c r="C178" i="7"/>
  <c r="C190" i="7" s="1"/>
  <c r="C248" i="7" s="1"/>
  <c r="B178" i="7"/>
  <c r="B190" i="7" s="1"/>
  <c r="M174" i="7"/>
  <c r="L174" i="7"/>
  <c r="K174" i="7"/>
  <c r="J174" i="7"/>
  <c r="I174" i="7"/>
  <c r="H174" i="7"/>
  <c r="G174" i="7"/>
  <c r="F174" i="7"/>
  <c r="E174" i="7"/>
  <c r="D174" i="7"/>
  <c r="C174" i="7"/>
  <c r="B174" i="7"/>
  <c r="H173" i="7"/>
  <c r="G173" i="7"/>
  <c r="F173" i="7"/>
  <c r="E173" i="7"/>
  <c r="D173" i="7"/>
  <c r="C173" i="7"/>
  <c r="C175" i="7" s="1"/>
  <c r="C244" i="7" s="1"/>
  <c r="B173" i="7"/>
  <c r="B175" i="7" s="1"/>
  <c r="M172" i="7"/>
  <c r="L172" i="7"/>
  <c r="K172" i="7"/>
  <c r="J172" i="7"/>
  <c r="I172" i="7"/>
  <c r="H172" i="7"/>
  <c r="G172" i="7"/>
  <c r="F172" i="7"/>
  <c r="F175" i="7" s="1"/>
  <c r="F244" i="7" s="1"/>
  <c r="E172" i="7"/>
  <c r="E175" i="7" s="1"/>
  <c r="E244" i="7" s="1"/>
  <c r="D172" i="7"/>
  <c r="D175" i="7" s="1"/>
  <c r="D244" i="7" s="1"/>
  <c r="C172" i="7"/>
  <c r="B172" i="7"/>
  <c r="L170" i="7"/>
  <c r="K170" i="7"/>
  <c r="H170" i="7"/>
  <c r="G170" i="7"/>
  <c r="F170" i="7"/>
  <c r="E170" i="7"/>
  <c r="D170" i="7"/>
  <c r="C170" i="7"/>
  <c r="B170" i="7"/>
  <c r="H169" i="7"/>
  <c r="G169" i="7"/>
  <c r="F169" i="7"/>
  <c r="E169" i="7"/>
  <c r="D169" i="7"/>
  <c r="C169" i="7"/>
  <c r="B169" i="7"/>
  <c r="H168" i="7"/>
  <c r="G168" i="7"/>
  <c r="F168" i="7"/>
  <c r="E168" i="7"/>
  <c r="D168" i="7"/>
  <c r="C168" i="7"/>
  <c r="B168" i="7"/>
  <c r="I167" i="7"/>
  <c r="H167" i="7"/>
  <c r="H171" i="7" s="1"/>
  <c r="H245" i="7" s="1"/>
  <c r="G167" i="7"/>
  <c r="G171" i="7" s="1"/>
  <c r="G245" i="7" s="1"/>
  <c r="F167" i="7"/>
  <c r="E167" i="7"/>
  <c r="D167" i="7"/>
  <c r="D171" i="7" s="1"/>
  <c r="C167" i="7"/>
  <c r="C171" i="7" s="1"/>
  <c r="B167" i="7"/>
  <c r="B171" i="7" s="1"/>
  <c r="B176" i="7" s="1"/>
  <c r="L165" i="7"/>
  <c r="K165" i="7"/>
  <c r="J165" i="7"/>
  <c r="I165" i="7"/>
  <c r="H165" i="7"/>
  <c r="G165" i="7"/>
  <c r="F165" i="7"/>
  <c r="E165" i="7"/>
  <c r="D165" i="7"/>
  <c r="C165" i="7"/>
  <c r="B165" i="7"/>
  <c r="L164" i="7"/>
  <c r="K164" i="7"/>
  <c r="J164" i="7"/>
  <c r="I164" i="7"/>
  <c r="H164" i="7"/>
  <c r="G164" i="7"/>
  <c r="F164" i="7"/>
  <c r="E164" i="7"/>
  <c r="D164" i="7"/>
  <c r="C164" i="7"/>
  <c r="B164" i="7"/>
  <c r="L163" i="7"/>
  <c r="K163" i="7"/>
  <c r="J163" i="7"/>
  <c r="I163" i="7"/>
  <c r="H163" i="7"/>
  <c r="G163" i="7"/>
  <c r="F163" i="7"/>
  <c r="E163" i="7"/>
  <c r="D163" i="7"/>
  <c r="C163" i="7"/>
  <c r="B163" i="7"/>
  <c r="L162" i="7"/>
  <c r="K162" i="7"/>
  <c r="J162" i="7"/>
  <c r="I162" i="7"/>
  <c r="H162" i="7"/>
  <c r="G162" i="7"/>
  <c r="F162" i="7"/>
  <c r="E162" i="7"/>
  <c r="D162" i="7"/>
  <c r="C162" i="7"/>
  <c r="B162" i="7"/>
  <c r="L161" i="7"/>
  <c r="K161" i="7"/>
  <c r="J161" i="7"/>
  <c r="I161" i="7"/>
  <c r="H161" i="7"/>
  <c r="G161" i="7"/>
  <c r="F161" i="7"/>
  <c r="E161" i="7"/>
  <c r="D161" i="7"/>
  <c r="C161" i="7"/>
  <c r="B161" i="7"/>
  <c r="L160" i="7"/>
  <c r="K160" i="7"/>
  <c r="J160" i="7"/>
  <c r="I160" i="7"/>
  <c r="H160" i="7"/>
  <c r="G160" i="7"/>
  <c r="F160" i="7"/>
  <c r="E160" i="7"/>
  <c r="D160" i="7"/>
  <c r="C160" i="7"/>
  <c r="B160" i="7"/>
  <c r="L159" i="7"/>
  <c r="K159" i="7"/>
  <c r="J159" i="7"/>
  <c r="I159" i="7"/>
  <c r="H159" i="7"/>
  <c r="G159" i="7"/>
  <c r="F159" i="7"/>
  <c r="E159" i="7"/>
  <c r="D159" i="7"/>
  <c r="C159" i="7"/>
  <c r="B159" i="7"/>
  <c r="L158" i="7"/>
  <c r="K158" i="7"/>
  <c r="J158" i="7"/>
  <c r="I158" i="7"/>
  <c r="H158" i="7"/>
  <c r="G158" i="7"/>
  <c r="F158" i="7"/>
  <c r="E158" i="7"/>
  <c r="D158" i="7"/>
  <c r="C158" i="7"/>
  <c r="B158" i="7"/>
  <c r="L157" i="7"/>
  <c r="K157" i="7"/>
  <c r="J157" i="7"/>
  <c r="I157" i="7"/>
  <c r="H157" i="7"/>
  <c r="G157" i="7"/>
  <c r="F157" i="7"/>
  <c r="E157" i="7"/>
  <c r="D157" i="7"/>
  <c r="C157" i="7"/>
  <c r="B157" i="7"/>
  <c r="L156" i="7"/>
  <c r="K156" i="7"/>
  <c r="J156" i="7"/>
  <c r="I156" i="7"/>
  <c r="H156" i="7"/>
  <c r="G156" i="7"/>
  <c r="F156" i="7"/>
  <c r="E156" i="7"/>
  <c r="D156" i="7"/>
  <c r="C156" i="7"/>
  <c r="B156" i="7"/>
  <c r="L155" i="7"/>
  <c r="K155" i="7"/>
  <c r="J155" i="7"/>
  <c r="I155" i="7"/>
  <c r="H155" i="7"/>
  <c r="G155" i="7"/>
  <c r="F155" i="7"/>
  <c r="E155" i="7"/>
  <c r="D155" i="7"/>
  <c r="C155" i="7"/>
  <c r="B155" i="7"/>
  <c r="L154" i="7"/>
  <c r="K154" i="7"/>
  <c r="J154" i="7"/>
  <c r="I154" i="7"/>
  <c r="H154" i="7"/>
  <c r="G154" i="7"/>
  <c r="F154" i="7"/>
  <c r="E154" i="7"/>
  <c r="D154" i="7"/>
  <c r="C154" i="7"/>
  <c r="B154" i="7"/>
  <c r="L153" i="7"/>
  <c r="K153" i="7"/>
  <c r="J153" i="7"/>
  <c r="I153" i="7"/>
  <c r="H153" i="7"/>
  <c r="G153" i="7"/>
  <c r="F153" i="7"/>
  <c r="E153" i="7"/>
  <c r="D153" i="7"/>
  <c r="C153" i="7"/>
  <c r="B153" i="7"/>
  <c r="L152" i="7"/>
  <c r="K152" i="7"/>
  <c r="J152" i="7"/>
  <c r="I152" i="7"/>
  <c r="H152" i="7"/>
  <c r="G152" i="7"/>
  <c r="F152" i="7"/>
  <c r="E152" i="7"/>
  <c r="D152" i="7"/>
  <c r="C152" i="7"/>
  <c r="B152" i="7"/>
  <c r="L151" i="7"/>
  <c r="K151" i="7"/>
  <c r="J151" i="7"/>
  <c r="I151" i="7"/>
  <c r="H151" i="7"/>
  <c r="G151" i="7"/>
  <c r="F151" i="7"/>
  <c r="E151" i="7"/>
  <c r="D151" i="7"/>
  <c r="C151" i="7"/>
  <c r="B151" i="7"/>
  <c r="L150" i="7"/>
  <c r="K150" i="7"/>
  <c r="J150" i="7"/>
  <c r="I150" i="7"/>
  <c r="H150" i="7"/>
  <c r="G150" i="7"/>
  <c r="F150" i="7"/>
  <c r="E150" i="7"/>
  <c r="D150" i="7"/>
  <c r="C150" i="7"/>
  <c r="B150" i="7"/>
  <c r="L149" i="7"/>
  <c r="K149" i="7"/>
  <c r="J149" i="7"/>
  <c r="I149" i="7"/>
  <c r="H149" i="7"/>
  <c r="G149" i="7"/>
  <c r="F149" i="7"/>
  <c r="E149" i="7"/>
  <c r="D149" i="7"/>
  <c r="C149" i="7"/>
  <c r="B149" i="7"/>
  <c r="L148" i="7"/>
  <c r="K148" i="7"/>
  <c r="J148" i="7"/>
  <c r="I148" i="7"/>
  <c r="H148" i="7"/>
  <c r="G148" i="7"/>
  <c r="F148" i="7"/>
  <c r="E148" i="7"/>
  <c r="D148" i="7"/>
  <c r="C148" i="7"/>
  <c r="B148" i="7"/>
  <c r="L147" i="7"/>
  <c r="K147" i="7"/>
  <c r="J147" i="7"/>
  <c r="I147" i="7"/>
  <c r="H147" i="7"/>
  <c r="G147" i="7"/>
  <c r="F147" i="7"/>
  <c r="E147" i="7"/>
  <c r="D147" i="7"/>
  <c r="C147" i="7"/>
  <c r="B147" i="7"/>
  <c r="L146" i="7"/>
  <c r="K146" i="7"/>
  <c r="J146" i="7"/>
  <c r="I146" i="7"/>
  <c r="H146" i="7"/>
  <c r="G146" i="7"/>
  <c r="F146" i="7"/>
  <c r="E146" i="7"/>
  <c r="D146" i="7"/>
  <c r="C146" i="7"/>
  <c r="B146" i="7"/>
  <c r="L145" i="7"/>
  <c r="K145" i="7"/>
  <c r="J145" i="7"/>
  <c r="I145" i="7"/>
  <c r="H145" i="7"/>
  <c r="G145" i="7"/>
  <c r="F145" i="7"/>
  <c r="E145" i="7"/>
  <c r="D145" i="7"/>
  <c r="C145" i="7"/>
  <c r="B145" i="7"/>
  <c r="L144" i="7"/>
  <c r="L166" i="7" s="1"/>
  <c r="L243" i="7" s="1"/>
  <c r="K144" i="7"/>
  <c r="K166" i="7" s="1"/>
  <c r="K243" i="7" s="1"/>
  <c r="J144" i="7"/>
  <c r="J166" i="7" s="1"/>
  <c r="J243" i="7" s="1"/>
  <c r="I144" i="7"/>
  <c r="I166" i="7" s="1"/>
  <c r="I243" i="7" s="1"/>
  <c r="H144" i="7"/>
  <c r="H166" i="7" s="1"/>
  <c r="H243" i="7" s="1"/>
  <c r="G144" i="7"/>
  <c r="G166" i="7" s="1"/>
  <c r="G243" i="7" s="1"/>
  <c r="F144" i="7"/>
  <c r="F166" i="7" s="1"/>
  <c r="F243" i="7" s="1"/>
  <c r="E144" i="7"/>
  <c r="E166" i="7" s="1"/>
  <c r="E243" i="7" s="1"/>
  <c r="D144" i="7"/>
  <c r="D166" i="7" s="1"/>
  <c r="D243" i="7" s="1"/>
  <c r="C144" i="7"/>
  <c r="B144" i="7"/>
  <c r="B166" i="7" s="1"/>
  <c r="B243" i="7" s="1"/>
  <c r="E136" i="7"/>
  <c r="D136" i="7"/>
  <c r="C136" i="7"/>
  <c r="B136" i="7"/>
  <c r="E135" i="7"/>
  <c r="E137" i="7" s="1"/>
  <c r="E236" i="7" s="1"/>
  <c r="D135" i="7"/>
  <c r="D137" i="7" s="1"/>
  <c r="D236" i="7" s="1"/>
  <c r="C135" i="7"/>
  <c r="C137" i="7" s="1"/>
  <c r="C236" i="7" s="1"/>
  <c r="B135" i="7"/>
  <c r="B137" i="7" s="1"/>
  <c r="B236" i="7" s="1"/>
  <c r="E133" i="7"/>
  <c r="D133" i="7"/>
  <c r="C133" i="7"/>
  <c r="E132" i="7"/>
  <c r="D132" i="7"/>
  <c r="C132" i="7"/>
  <c r="E131" i="7"/>
  <c r="D131" i="7"/>
  <c r="C131" i="7"/>
  <c r="B131" i="7"/>
  <c r="E130" i="7"/>
  <c r="D130" i="7"/>
  <c r="C130" i="7"/>
  <c r="E129" i="7"/>
  <c r="D129" i="7"/>
  <c r="C129" i="7"/>
  <c r="E128" i="7"/>
  <c r="D128" i="7"/>
  <c r="C128" i="7"/>
  <c r="E127" i="7"/>
  <c r="D127" i="7"/>
  <c r="C127" i="7"/>
  <c r="E126" i="7"/>
  <c r="D126" i="7"/>
  <c r="C126" i="7"/>
  <c r="E125" i="7"/>
  <c r="D125" i="7"/>
  <c r="C125" i="7"/>
  <c r="E124" i="7"/>
  <c r="D124" i="7"/>
  <c r="C124" i="7"/>
  <c r="E123" i="7"/>
  <c r="D123" i="7"/>
  <c r="C123" i="7"/>
  <c r="B123" i="7"/>
  <c r="E122" i="7"/>
  <c r="E134" i="7" s="1"/>
  <c r="D122" i="7"/>
  <c r="D134" i="7" s="1"/>
  <c r="C122" i="7"/>
  <c r="E120" i="7"/>
  <c r="D120" i="7"/>
  <c r="C120" i="7"/>
  <c r="E119" i="7"/>
  <c r="D119" i="7"/>
  <c r="C119" i="7"/>
  <c r="B119" i="7"/>
  <c r="E118" i="7"/>
  <c r="D118" i="7"/>
  <c r="C118" i="7"/>
  <c r="B118" i="7"/>
  <c r="E117" i="7"/>
  <c r="D117" i="7"/>
  <c r="C117" i="7"/>
  <c r="B117" i="7"/>
  <c r="E116" i="7"/>
  <c r="D116" i="7"/>
  <c r="C116" i="7"/>
  <c r="B116" i="7"/>
  <c r="E115" i="7"/>
  <c r="D115" i="7"/>
  <c r="C115" i="7"/>
  <c r="E114" i="7"/>
  <c r="D114" i="7"/>
  <c r="C114" i="7"/>
  <c r="E113" i="7"/>
  <c r="D113" i="7"/>
  <c r="C113" i="7"/>
  <c r="B113" i="7"/>
  <c r="E112" i="7"/>
  <c r="D112" i="7"/>
  <c r="C112" i="7"/>
  <c r="E111" i="7"/>
  <c r="D111" i="7"/>
  <c r="C111" i="7"/>
  <c r="E110" i="7"/>
  <c r="D110" i="7"/>
  <c r="C110" i="7"/>
  <c r="E109" i="7"/>
  <c r="D109" i="7"/>
  <c r="C109" i="7"/>
  <c r="E108" i="7"/>
  <c r="D108" i="7"/>
  <c r="C108" i="7"/>
  <c r="C105" i="7"/>
  <c r="C230" i="7" s="1"/>
  <c r="E104" i="7"/>
  <c r="D104" i="7"/>
  <c r="C104" i="7"/>
  <c r="B104" i="7"/>
  <c r="E103" i="7"/>
  <c r="D103" i="7"/>
  <c r="D105" i="7" s="1"/>
  <c r="D230" i="7" s="1"/>
  <c r="C103" i="7"/>
  <c r="E102" i="7"/>
  <c r="D102" i="7"/>
  <c r="C102" i="7"/>
  <c r="B102" i="7"/>
  <c r="E100" i="7"/>
  <c r="D100" i="7"/>
  <c r="C100" i="7"/>
  <c r="E99" i="7"/>
  <c r="D99" i="7"/>
  <c r="C99" i="7"/>
  <c r="E98" i="7"/>
  <c r="D98" i="7"/>
  <c r="C98" i="7"/>
  <c r="E97" i="7"/>
  <c r="E101" i="7" s="1"/>
  <c r="E231" i="7" s="1"/>
  <c r="D97" i="7"/>
  <c r="D101" i="7" s="1"/>
  <c r="D231" i="7" s="1"/>
  <c r="C97" i="7"/>
  <c r="C101" i="7" s="1"/>
  <c r="C231" i="7" s="1"/>
  <c r="E95" i="7"/>
  <c r="D95" i="7"/>
  <c r="C95" i="7"/>
  <c r="E94" i="7"/>
  <c r="D94" i="7"/>
  <c r="C94" i="7"/>
  <c r="E93" i="7"/>
  <c r="D93" i="7"/>
  <c r="C93" i="7"/>
  <c r="E92" i="7"/>
  <c r="D92" i="7"/>
  <c r="C92" i="7"/>
  <c r="E91" i="7"/>
  <c r="D91" i="7"/>
  <c r="C91" i="7"/>
  <c r="E90" i="7"/>
  <c r="D90" i="7"/>
  <c r="C90" i="7"/>
  <c r="E89" i="7"/>
  <c r="D89" i="7"/>
  <c r="C89" i="7"/>
  <c r="E88" i="7"/>
  <c r="D88" i="7"/>
  <c r="C88" i="7"/>
  <c r="E87" i="7"/>
  <c r="D87" i="7"/>
  <c r="C87" i="7"/>
  <c r="B87" i="7"/>
  <c r="E86" i="7"/>
  <c r="D86" i="7"/>
  <c r="C86" i="7"/>
  <c r="B86" i="7"/>
  <c r="E85" i="7"/>
  <c r="D85" i="7"/>
  <c r="C85" i="7"/>
  <c r="E84" i="7"/>
  <c r="D84" i="7"/>
  <c r="C84" i="7"/>
  <c r="E83" i="7"/>
  <c r="D83" i="7"/>
  <c r="C83" i="7"/>
  <c r="B83" i="7"/>
  <c r="E82" i="7"/>
  <c r="D82" i="7"/>
  <c r="C82" i="7"/>
  <c r="B82" i="7"/>
  <c r="E81" i="7"/>
  <c r="D81" i="7"/>
  <c r="C81" i="7"/>
  <c r="E80" i="7"/>
  <c r="D80" i="7"/>
  <c r="C80" i="7"/>
  <c r="B80" i="7"/>
  <c r="E79" i="7"/>
  <c r="D79" i="7"/>
  <c r="C79" i="7"/>
  <c r="E78" i="7"/>
  <c r="D78" i="7"/>
  <c r="C78" i="7"/>
  <c r="E77" i="7"/>
  <c r="D77" i="7"/>
  <c r="C77" i="7"/>
  <c r="E76" i="7"/>
  <c r="D76" i="7"/>
  <c r="C76" i="7"/>
  <c r="B76" i="7"/>
  <c r="E75" i="7"/>
  <c r="D75" i="7"/>
  <c r="C75" i="7"/>
  <c r="E74" i="7"/>
  <c r="E96" i="7" s="1"/>
  <c r="E229" i="7" s="1"/>
  <c r="D74" i="7"/>
  <c r="C74" i="7"/>
  <c r="H67" i="7"/>
  <c r="H221" i="7" s="1"/>
  <c r="F67" i="7"/>
  <c r="E67" i="7"/>
  <c r="C67" i="7"/>
  <c r="C221" i="7" s="1"/>
  <c r="B67" i="7"/>
  <c r="H66" i="7"/>
  <c r="F66" i="7"/>
  <c r="E66" i="7"/>
  <c r="D66" i="7"/>
  <c r="G66" i="7" s="1"/>
  <c r="C66" i="7"/>
  <c r="B66" i="7"/>
  <c r="H65" i="7"/>
  <c r="F65" i="7"/>
  <c r="E65" i="7"/>
  <c r="D65" i="7"/>
  <c r="D67" i="7" s="1"/>
  <c r="D221" i="7" s="1"/>
  <c r="C65" i="7"/>
  <c r="B65" i="7"/>
  <c r="C64" i="7"/>
  <c r="C219" i="7" s="1"/>
  <c r="H63" i="7"/>
  <c r="F63" i="7"/>
  <c r="E63" i="7"/>
  <c r="D63" i="7"/>
  <c r="G63" i="7" s="1"/>
  <c r="C63" i="7"/>
  <c r="B63" i="7"/>
  <c r="H62" i="7"/>
  <c r="F62" i="7"/>
  <c r="E62" i="7"/>
  <c r="G62" i="7" s="1"/>
  <c r="D62" i="7"/>
  <c r="C62" i="7"/>
  <c r="B62" i="7"/>
  <c r="H61" i="7"/>
  <c r="G61" i="7"/>
  <c r="F61" i="7"/>
  <c r="E61" i="7"/>
  <c r="D61" i="7"/>
  <c r="C61" i="7"/>
  <c r="B61" i="7"/>
  <c r="H60" i="7"/>
  <c r="H64" i="7" s="1"/>
  <c r="F60" i="7"/>
  <c r="E60" i="7"/>
  <c r="D60" i="7"/>
  <c r="G60" i="7" s="1"/>
  <c r="C60" i="7"/>
  <c r="B60" i="7"/>
  <c r="H59" i="7"/>
  <c r="F59" i="7"/>
  <c r="E59" i="7"/>
  <c r="G59" i="7" s="1"/>
  <c r="D59" i="7"/>
  <c r="C59" i="7"/>
  <c r="B59" i="7"/>
  <c r="H58" i="7"/>
  <c r="F58" i="7"/>
  <c r="E58" i="7"/>
  <c r="D58" i="7"/>
  <c r="G58" i="7" s="1"/>
  <c r="C58" i="7"/>
  <c r="B58" i="7"/>
  <c r="B64" i="7" s="1"/>
  <c r="H57" i="7"/>
  <c r="F57" i="7"/>
  <c r="E57" i="7"/>
  <c r="D57" i="7"/>
  <c r="G57" i="7" s="1"/>
  <c r="C57" i="7"/>
  <c r="B57" i="7"/>
  <c r="H56" i="7"/>
  <c r="F56" i="7"/>
  <c r="E56" i="7"/>
  <c r="G56" i="7" s="1"/>
  <c r="D56" i="7"/>
  <c r="C56" i="7"/>
  <c r="B56" i="7"/>
  <c r="H55" i="7"/>
  <c r="F55" i="7"/>
  <c r="E55" i="7"/>
  <c r="D55" i="7"/>
  <c r="G55" i="7" s="1"/>
  <c r="C55" i="7"/>
  <c r="B55" i="7"/>
  <c r="H54" i="7"/>
  <c r="F54" i="7"/>
  <c r="E54" i="7"/>
  <c r="D54" i="7"/>
  <c r="G54" i="7" s="1"/>
  <c r="C54" i="7"/>
  <c r="B54" i="7"/>
  <c r="H53" i="7"/>
  <c r="F53" i="7"/>
  <c r="E53" i="7"/>
  <c r="D53" i="7"/>
  <c r="D64" i="7" s="1"/>
  <c r="C53" i="7"/>
  <c r="B53" i="7"/>
  <c r="H52" i="7"/>
  <c r="G52" i="7"/>
  <c r="F52" i="7"/>
  <c r="F64" i="7" s="1"/>
  <c r="E52" i="7"/>
  <c r="E64" i="7" s="1"/>
  <c r="D52" i="7"/>
  <c r="C52" i="7"/>
  <c r="B52" i="7"/>
  <c r="H50" i="7"/>
  <c r="F50" i="7"/>
  <c r="E50" i="7"/>
  <c r="D50" i="7"/>
  <c r="C50" i="7"/>
  <c r="B50" i="7"/>
  <c r="H49" i="7"/>
  <c r="F49" i="7"/>
  <c r="E49" i="7"/>
  <c r="G49" i="7" s="1"/>
  <c r="D49" i="7"/>
  <c r="C49" i="7"/>
  <c r="B49" i="7"/>
  <c r="H48" i="7"/>
  <c r="F48" i="7"/>
  <c r="E48" i="7"/>
  <c r="D48" i="7"/>
  <c r="G48" i="7" s="1"/>
  <c r="C48" i="7"/>
  <c r="B48" i="7"/>
  <c r="H47" i="7"/>
  <c r="F47" i="7"/>
  <c r="E47" i="7"/>
  <c r="G47" i="7" s="1"/>
  <c r="D47" i="7"/>
  <c r="C47" i="7"/>
  <c r="B47" i="7"/>
  <c r="H46" i="7"/>
  <c r="F46" i="7"/>
  <c r="E46" i="7"/>
  <c r="D46" i="7"/>
  <c r="G46" i="7" s="1"/>
  <c r="C46" i="7"/>
  <c r="B46" i="7"/>
  <c r="I45" i="7"/>
  <c r="H45" i="7"/>
  <c r="F45" i="7"/>
  <c r="E45" i="7"/>
  <c r="D45" i="7"/>
  <c r="G45" i="7" s="1"/>
  <c r="C45" i="7"/>
  <c r="B45" i="7"/>
  <c r="H44" i="7"/>
  <c r="F44" i="7"/>
  <c r="E44" i="7"/>
  <c r="G44" i="7" s="1"/>
  <c r="D44" i="7"/>
  <c r="C44" i="7"/>
  <c r="B44" i="7"/>
  <c r="H43" i="7"/>
  <c r="F43" i="7"/>
  <c r="E43" i="7"/>
  <c r="G43" i="7" s="1"/>
  <c r="D43" i="7"/>
  <c r="C43" i="7"/>
  <c r="B43" i="7"/>
  <c r="H42" i="7"/>
  <c r="F42" i="7"/>
  <c r="E42" i="7"/>
  <c r="G42" i="7" s="1"/>
  <c r="D42" i="7"/>
  <c r="C42" i="7"/>
  <c r="B42" i="7"/>
  <c r="H41" i="7"/>
  <c r="F41" i="7"/>
  <c r="E41" i="7"/>
  <c r="D41" i="7"/>
  <c r="C41" i="7"/>
  <c r="B41" i="7"/>
  <c r="H40" i="7"/>
  <c r="F40" i="7"/>
  <c r="E40" i="7"/>
  <c r="G40" i="7" s="1"/>
  <c r="D40" i="7"/>
  <c r="C40" i="7"/>
  <c r="B40" i="7"/>
  <c r="H39" i="7"/>
  <c r="H51" i="7" s="1"/>
  <c r="H220" i="7" s="1"/>
  <c r="F39" i="7"/>
  <c r="E39" i="7"/>
  <c r="G39" i="7" s="1"/>
  <c r="D39" i="7"/>
  <c r="C39" i="7"/>
  <c r="B39" i="7"/>
  <c r="H36" i="7"/>
  <c r="H216" i="7" s="1"/>
  <c r="H35" i="7"/>
  <c r="F35" i="7"/>
  <c r="E35" i="7"/>
  <c r="G35" i="7" s="1"/>
  <c r="D35" i="7"/>
  <c r="C35" i="7"/>
  <c r="B35" i="7"/>
  <c r="H34" i="7"/>
  <c r="F34" i="7"/>
  <c r="E34" i="7"/>
  <c r="D34" i="7"/>
  <c r="C34" i="7"/>
  <c r="B34" i="7"/>
  <c r="B36" i="7" s="1"/>
  <c r="B216" i="7" s="1"/>
  <c r="I33" i="7"/>
  <c r="H33" i="7"/>
  <c r="F33" i="7"/>
  <c r="F36" i="7" s="1"/>
  <c r="F216" i="7" s="1"/>
  <c r="E33" i="7"/>
  <c r="G33" i="7" s="1"/>
  <c r="D33" i="7"/>
  <c r="D36" i="7" s="1"/>
  <c r="D216" i="7" s="1"/>
  <c r="C33" i="7"/>
  <c r="C36" i="7" s="1"/>
  <c r="C216" i="7" s="1"/>
  <c r="B33" i="7"/>
  <c r="H31" i="7"/>
  <c r="F31" i="7"/>
  <c r="E31" i="7"/>
  <c r="G31" i="7" s="1"/>
  <c r="D31" i="7"/>
  <c r="C31" i="7"/>
  <c r="B31" i="7"/>
  <c r="H30" i="7"/>
  <c r="F30" i="7"/>
  <c r="E30" i="7"/>
  <c r="G30" i="7" s="1"/>
  <c r="D30" i="7"/>
  <c r="C30" i="7"/>
  <c r="B30" i="7"/>
  <c r="H29" i="7"/>
  <c r="F29" i="7"/>
  <c r="E29" i="7"/>
  <c r="G29" i="7" s="1"/>
  <c r="D29" i="7"/>
  <c r="C29" i="7"/>
  <c r="B29" i="7"/>
  <c r="H28" i="7"/>
  <c r="F28" i="7"/>
  <c r="E28" i="7"/>
  <c r="G28" i="7" s="1"/>
  <c r="D28" i="7"/>
  <c r="C28" i="7"/>
  <c r="B28" i="7"/>
  <c r="H27" i="7"/>
  <c r="F27" i="7"/>
  <c r="E27" i="7"/>
  <c r="G27" i="7" s="1"/>
  <c r="D27" i="7"/>
  <c r="C27" i="7"/>
  <c r="B27" i="7"/>
  <c r="H26" i="7"/>
  <c r="F26" i="7"/>
  <c r="E26" i="7"/>
  <c r="G26" i="7" s="1"/>
  <c r="D26" i="7"/>
  <c r="C26" i="7"/>
  <c r="B26" i="7"/>
  <c r="H25" i="7"/>
  <c r="F25" i="7"/>
  <c r="E25" i="7"/>
  <c r="G25" i="7" s="1"/>
  <c r="D25" i="7"/>
  <c r="C25" i="7"/>
  <c r="B25" i="7"/>
  <c r="H24" i="7"/>
  <c r="G24" i="7"/>
  <c r="F24" i="7"/>
  <c r="E24" i="7"/>
  <c r="D24" i="7"/>
  <c r="C24" i="7"/>
  <c r="B24" i="7"/>
  <c r="H23" i="7"/>
  <c r="F23" i="7"/>
  <c r="E23" i="7"/>
  <c r="G23" i="7" s="1"/>
  <c r="D23" i="7"/>
  <c r="C23" i="7"/>
  <c r="B23" i="7"/>
  <c r="H22" i="7"/>
  <c r="F22" i="7"/>
  <c r="E22" i="7"/>
  <c r="D22" i="7"/>
  <c r="C22" i="7"/>
  <c r="B22" i="7"/>
  <c r="H21" i="7"/>
  <c r="G21" i="7"/>
  <c r="F21" i="7"/>
  <c r="E21" i="7"/>
  <c r="D21" i="7"/>
  <c r="C21" i="7"/>
  <c r="B21" i="7"/>
  <c r="H20" i="7"/>
  <c r="F20" i="7"/>
  <c r="E20" i="7"/>
  <c r="G20" i="7" s="1"/>
  <c r="D20" i="7"/>
  <c r="C20" i="7"/>
  <c r="B20" i="7"/>
  <c r="H19" i="7"/>
  <c r="F19" i="7"/>
  <c r="E19" i="7"/>
  <c r="D19" i="7"/>
  <c r="C19" i="7"/>
  <c r="B19" i="7"/>
  <c r="H18" i="7"/>
  <c r="F18" i="7"/>
  <c r="E18" i="7"/>
  <c r="G18" i="7" s="1"/>
  <c r="D18" i="7"/>
  <c r="C18" i="7"/>
  <c r="B18" i="7"/>
  <c r="H17" i="7"/>
  <c r="F17" i="7"/>
  <c r="E17" i="7"/>
  <c r="G17" i="7" s="1"/>
  <c r="D17" i="7"/>
  <c r="C17" i="7"/>
  <c r="B17" i="7"/>
  <c r="H16" i="7"/>
  <c r="F16" i="7"/>
  <c r="E16" i="7"/>
  <c r="G16" i="7" s="1"/>
  <c r="D16" i="7"/>
  <c r="C16" i="7"/>
  <c r="B16" i="7"/>
  <c r="H15" i="7"/>
  <c r="F15" i="7"/>
  <c r="E15" i="7"/>
  <c r="G15" i="7" s="1"/>
  <c r="D15" i="7"/>
  <c r="C15" i="7"/>
  <c r="B15" i="7"/>
  <c r="H14" i="7"/>
  <c r="H32" i="7" s="1"/>
  <c r="F14" i="7"/>
  <c r="E14" i="7"/>
  <c r="G14" i="7" s="1"/>
  <c r="D14" i="7"/>
  <c r="C14" i="7"/>
  <c r="B14" i="7"/>
  <c r="H13" i="7"/>
  <c r="F13" i="7"/>
  <c r="E13" i="7"/>
  <c r="G13" i="7" s="1"/>
  <c r="D13" i="7"/>
  <c r="C13" i="7"/>
  <c r="B13" i="7"/>
  <c r="H12" i="7"/>
  <c r="F12" i="7"/>
  <c r="E12" i="7"/>
  <c r="G12" i="7" s="1"/>
  <c r="D12" i="7"/>
  <c r="C12" i="7"/>
  <c r="B12" i="7"/>
  <c r="H11" i="7"/>
  <c r="F11" i="7"/>
  <c r="E11" i="7"/>
  <c r="G11" i="7" s="1"/>
  <c r="D11" i="7"/>
  <c r="C11" i="7"/>
  <c r="B11" i="7"/>
  <c r="H10" i="7"/>
  <c r="F10" i="7"/>
  <c r="E10" i="7"/>
  <c r="D10" i="7"/>
  <c r="C10" i="7"/>
  <c r="B10" i="7"/>
  <c r="H8" i="7"/>
  <c r="F8" i="7"/>
  <c r="E8" i="7"/>
  <c r="G8" i="7" s="1"/>
  <c r="D8" i="7"/>
  <c r="C8" i="7"/>
  <c r="B8" i="7"/>
  <c r="H7" i="7"/>
  <c r="F7" i="7"/>
  <c r="E7" i="7"/>
  <c r="D7" i="7"/>
  <c r="C7" i="7"/>
  <c r="C9" i="7" s="1"/>
  <c r="C215" i="7" s="1"/>
  <c r="B7" i="7"/>
  <c r="B9" i="7" s="1"/>
  <c r="B215" i="7" s="1"/>
  <c r="H6" i="7"/>
  <c r="H9" i="7" s="1"/>
  <c r="H215" i="7" s="1"/>
  <c r="G6" i="7"/>
  <c r="F6" i="7"/>
  <c r="F9" i="7" s="1"/>
  <c r="F215" i="7" s="1"/>
  <c r="E6" i="7"/>
  <c r="D6" i="7"/>
  <c r="D9" i="7" s="1"/>
  <c r="D215" i="7" s="1"/>
  <c r="C6" i="7"/>
  <c r="B6" i="7"/>
  <c r="H5" i="7"/>
  <c r="F5" i="7"/>
  <c r="E5" i="7"/>
  <c r="G5" i="7" s="1"/>
  <c r="D5" i="7"/>
  <c r="C5" i="7"/>
  <c r="B5" i="7"/>
  <c r="E3" i="7"/>
  <c r="E212" i="7" s="1"/>
  <c r="D3" i="7"/>
  <c r="D212" i="7" s="1"/>
  <c r="H113" i="6"/>
  <c r="E113" i="6"/>
  <c r="D113" i="6"/>
  <c r="C113" i="6"/>
  <c r="B113" i="6"/>
  <c r="H112" i="6"/>
  <c r="G112" i="6"/>
  <c r="F112" i="6"/>
  <c r="E112" i="6"/>
  <c r="D112" i="6"/>
  <c r="C112" i="6"/>
  <c r="B112" i="6"/>
  <c r="L111" i="6"/>
  <c r="K111" i="6"/>
  <c r="J111" i="6"/>
  <c r="I111" i="6"/>
  <c r="M111" i="6" s="1"/>
  <c r="L110" i="6"/>
  <c r="K110" i="6"/>
  <c r="J110" i="6"/>
  <c r="I110" i="6"/>
  <c r="M110" i="6" s="1"/>
  <c r="M109" i="6"/>
  <c r="L109" i="6"/>
  <c r="K109" i="6"/>
  <c r="J109" i="6"/>
  <c r="I109" i="6"/>
  <c r="M108" i="6"/>
  <c r="M205" i="7" s="1"/>
  <c r="L108" i="6"/>
  <c r="K108" i="6"/>
  <c r="J108" i="6"/>
  <c r="I108" i="6"/>
  <c r="L107" i="6"/>
  <c r="K107" i="6"/>
  <c r="J107" i="6"/>
  <c r="I107" i="6"/>
  <c r="M107" i="6" s="1"/>
  <c r="L106" i="6"/>
  <c r="L204" i="7" s="1"/>
  <c r="L206" i="7" s="1"/>
  <c r="L250" i="7" s="1"/>
  <c r="K106" i="6"/>
  <c r="K204" i="7" s="1"/>
  <c r="K206" i="7" s="1"/>
  <c r="K250" i="7" s="1"/>
  <c r="J106" i="6"/>
  <c r="J204" i="7" s="1"/>
  <c r="J206" i="7" s="1"/>
  <c r="J250" i="7" s="1"/>
  <c r="I106" i="6"/>
  <c r="L105" i="6"/>
  <c r="K105" i="6"/>
  <c r="J105" i="6"/>
  <c r="I105" i="6"/>
  <c r="L104" i="6"/>
  <c r="L112" i="6" s="1"/>
  <c r="K104" i="6"/>
  <c r="M104" i="6" s="1"/>
  <c r="J104" i="6"/>
  <c r="I104" i="6"/>
  <c r="L103" i="6"/>
  <c r="K103" i="6"/>
  <c r="J103" i="6"/>
  <c r="M103" i="6" s="1"/>
  <c r="I103" i="6"/>
  <c r="L102" i="6"/>
  <c r="K102" i="6"/>
  <c r="J102" i="6"/>
  <c r="I102" i="6"/>
  <c r="M102" i="6" s="1"/>
  <c r="L101" i="6"/>
  <c r="K101" i="6"/>
  <c r="K112" i="6" s="1"/>
  <c r="K113" i="6" s="1"/>
  <c r="J101" i="6"/>
  <c r="J112" i="6" s="1"/>
  <c r="I101" i="6"/>
  <c r="H99" i="6"/>
  <c r="G99" i="6"/>
  <c r="F99" i="6"/>
  <c r="F113" i="6" s="1"/>
  <c r="E99" i="6"/>
  <c r="D99" i="6"/>
  <c r="C99" i="6"/>
  <c r="B99" i="6"/>
  <c r="L98" i="6"/>
  <c r="K98" i="6"/>
  <c r="J98" i="6"/>
  <c r="I98" i="6"/>
  <c r="M98" i="6" s="1"/>
  <c r="L97" i="6"/>
  <c r="K97" i="6"/>
  <c r="J97" i="6"/>
  <c r="I97" i="6"/>
  <c r="L96" i="6"/>
  <c r="K96" i="6"/>
  <c r="K99" i="6" s="1"/>
  <c r="J96" i="6"/>
  <c r="I96" i="6"/>
  <c r="M96" i="6" s="1"/>
  <c r="L95" i="6"/>
  <c r="K95" i="6"/>
  <c r="J95" i="6"/>
  <c r="I95" i="6"/>
  <c r="M95" i="6" s="1"/>
  <c r="M94" i="6"/>
  <c r="L94" i="6"/>
  <c r="K94" i="6"/>
  <c r="J94" i="6"/>
  <c r="I94" i="6"/>
  <c r="L93" i="6"/>
  <c r="K93" i="6"/>
  <c r="J93" i="6"/>
  <c r="I93" i="6"/>
  <c r="M93" i="6" s="1"/>
  <c r="L92" i="6"/>
  <c r="K92" i="6"/>
  <c r="J92" i="6"/>
  <c r="I92" i="6"/>
  <c r="M92" i="6" s="1"/>
  <c r="L91" i="6"/>
  <c r="K91" i="6"/>
  <c r="J91" i="6"/>
  <c r="I91" i="6"/>
  <c r="M91" i="6" s="1"/>
  <c r="L90" i="6"/>
  <c r="K90" i="6"/>
  <c r="J90" i="6"/>
  <c r="M90" i="6" s="1"/>
  <c r="I90" i="6"/>
  <c r="L89" i="6"/>
  <c r="K89" i="6"/>
  <c r="J89" i="6"/>
  <c r="I89" i="6"/>
  <c r="M89" i="6" s="1"/>
  <c r="L88" i="6"/>
  <c r="K88" i="6"/>
  <c r="J88" i="6"/>
  <c r="I88" i="6"/>
  <c r="M88" i="6" s="1"/>
  <c r="L87" i="6"/>
  <c r="M87" i="6" s="1"/>
  <c r="K87" i="6"/>
  <c r="J87" i="6"/>
  <c r="I87" i="6"/>
  <c r="L86" i="6"/>
  <c r="K86" i="6"/>
  <c r="J86" i="6"/>
  <c r="I86" i="6"/>
  <c r="M86" i="6" s="1"/>
  <c r="M85" i="6"/>
  <c r="L85" i="6"/>
  <c r="K85" i="6"/>
  <c r="J85" i="6"/>
  <c r="I85" i="6"/>
  <c r="L84" i="6"/>
  <c r="M84" i="6" s="1"/>
  <c r="K84" i="6"/>
  <c r="J84" i="6"/>
  <c r="I84" i="6"/>
  <c r="L83" i="6"/>
  <c r="K83" i="6"/>
  <c r="J83" i="6"/>
  <c r="I83" i="6"/>
  <c r="M83" i="6" s="1"/>
  <c r="M82" i="6"/>
  <c r="M173" i="7" s="1"/>
  <c r="M175" i="7" s="1"/>
  <c r="M244" i="7" s="1"/>
  <c r="L82" i="6"/>
  <c r="L173" i="7" s="1"/>
  <c r="K82" i="6"/>
  <c r="K173" i="7" s="1"/>
  <c r="J82" i="6"/>
  <c r="J173" i="7" s="1"/>
  <c r="I82" i="6"/>
  <c r="I173" i="7" s="1"/>
  <c r="I175" i="7" s="1"/>
  <c r="I244" i="7" s="1"/>
  <c r="L81" i="6"/>
  <c r="K81" i="6"/>
  <c r="J81" i="6"/>
  <c r="J99" i="6" s="1"/>
  <c r="I81" i="6"/>
  <c r="M81" i="6" s="1"/>
  <c r="L80" i="6"/>
  <c r="L99" i="6" s="1"/>
  <c r="K80" i="6"/>
  <c r="M80" i="6" s="1"/>
  <c r="J80" i="6"/>
  <c r="I80" i="6"/>
  <c r="E73" i="6"/>
  <c r="E74" i="6" s="1"/>
  <c r="D73" i="6"/>
  <c r="C73" i="6"/>
  <c r="C74" i="6" s="1"/>
  <c r="B72" i="6"/>
  <c r="B71" i="6"/>
  <c r="B70" i="6"/>
  <c r="I33" i="6" s="1"/>
  <c r="B69" i="6"/>
  <c r="I32" i="6" s="1"/>
  <c r="B68" i="6"/>
  <c r="B67" i="6"/>
  <c r="B66" i="6"/>
  <c r="I28" i="6" s="1"/>
  <c r="B65" i="6"/>
  <c r="B64" i="6"/>
  <c r="I24" i="6" s="1"/>
  <c r="B63" i="6"/>
  <c r="I26" i="6" s="1"/>
  <c r="B62" i="6"/>
  <c r="I25" i="6" s="1"/>
  <c r="B61" i="6"/>
  <c r="E59" i="6"/>
  <c r="D59" i="6"/>
  <c r="C59" i="6"/>
  <c r="B58" i="6"/>
  <c r="I6" i="6" s="1"/>
  <c r="B57" i="6"/>
  <c r="B56" i="6"/>
  <c r="B55" i="6"/>
  <c r="B54" i="6"/>
  <c r="I18" i="6" s="1"/>
  <c r="B53" i="6"/>
  <c r="I17" i="6" s="1"/>
  <c r="B52" i="6"/>
  <c r="I16" i="6" s="1"/>
  <c r="I35" i="7" s="1"/>
  <c r="B51" i="6"/>
  <c r="B50" i="6"/>
  <c r="I15" i="6" s="1"/>
  <c r="B49" i="6"/>
  <c r="I12" i="6" s="1"/>
  <c r="B48" i="6"/>
  <c r="I19" i="6" s="1"/>
  <c r="B47" i="6"/>
  <c r="I13" i="6" s="1"/>
  <c r="B46" i="6"/>
  <c r="B45" i="6"/>
  <c r="I11" i="6" s="1"/>
  <c r="B44" i="6"/>
  <c r="I14" i="6" s="1"/>
  <c r="B43" i="6"/>
  <c r="B103" i="7" s="1"/>
  <c r="B42" i="6"/>
  <c r="I10" i="6" s="1"/>
  <c r="B41" i="6"/>
  <c r="F36" i="6"/>
  <c r="H35" i="6"/>
  <c r="F35" i="6"/>
  <c r="E35" i="6"/>
  <c r="D35" i="6"/>
  <c r="G35" i="6" s="1"/>
  <c r="C35" i="6"/>
  <c r="B35" i="6"/>
  <c r="I34" i="6"/>
  <c r="G34" i="6"/>
  <c r="G33" i="6"/>
  <c r="G32" i="6"/>
  <c r="I31" i="6"/>
  <c r="I66" i="7" s="1"/>
  <c r="G31" i="6"/>
  <c r="I30" i="6"/>
  <c r="G30" i="6"/>
  <c r="I29" i="6"/>
  <c r="I65" i="7" s="1"/>
  <c r="G29" i="6"/>
  <c r="G28" i="6"/>
  <c r="G27" i="6"/>
  <c r="G26" i="6"/>
  <c r="G25" i="6"/>
  <c r="G24" i="6"/>
  <c r="H22" i="6"/>
  <c r="H36" i="6" s="1"/>
  <c r="F22" i="6"/>
  <c r="E22" i="6"/>
  <c r="E36" i="6" s="1"/>
  <c r="G36" i="6" s="1"/>
  <c r="D22" i="6"/>
  <c r="D36" i="6" s="1"/>
  <c r="C22" i="6"/>
  <c r="C36" i="6" s="1"/>
  <c r="B22" i="6"/>
  <c r="B36" i="6" s="1"/>
  <c r="I21" i="6"/>
  <c r="G21" i="6"/>
  <c r="I20" i="6"/>
  <c r="G20" i="6"/>
  <c r="G19" i="6"/>
  <c r="G18" i="6"/>
  <c r="G17" i="6"/>
  <c r="G16" i="6"/>
  <c r="G15" i="6"/>
  <c r="G14" i="6"/>
  <c r="G13" i="6"/>
  <c r="G12" i="6"/>
  <c r="G11" i="6"/>
  <c r="G10" i="6"/>
  <c r="G9" i="6"/>
  <c r="I8" i="6"/>
  <c r="G8" i="6"/>
  <c r="G7" i="6"/>
  <c r="G6" i="6"/>
  <c r="I5" i="6"/>
  <c r="G5" i="6"/>
  <c r="I4" i="6"/>
  <c r="G4" i="6"/>
  <c r="G113" i="5"/>
  <c r="F113" i="5"/>
  <c r="D113" i="5"/>
  <c r="B113" i="5"/>
  <c r="H112" i="5"/>
  <c r="G112" i="5"/>
  <c r="F112" i="5"/>
  <c r="E112" i="5"/>
  <c r="D112" i="5"/>
  <c r="C112" i="5"/>
  <c r="B112" i="5"/>
  <c r="L111" i="5"/>
  <c r="L202" i="7" s="1"/>
  <c r="K111" i="5"/>
  <c r="K202" i="7" s="1"/>
  <c r="J111" i="5"/>
  <c r="J202" i="7" s="1"/>
  <c r="I111" i="5"/>
  <c r="L110" i="5"/>
  <c r="L201" i="7" s="1"/>
  <c r="K110" i="5"/>
  <c r="K201" i="7" s="1"/>
  <c r="J110" i="5"/>
  <c r="J201" i="7" s="1"/>
  <c r="I110" i="5"/>
  <c r="I201" i="7" s="1"/>
  <c r="L109" i="5"/>
  <c r="L199" i="7" s="1"/>
  <c r="K109" i="5"/>
  <c r="K199" i="7" s="1"/>
  <c r="J109" i="5"/>
  <c r="J199" i="7" s="1"/>
  <c r="I109" i="5"/>
  <c r="I199" i="7" s="1"/>
  <c r="M108" i="5"/>
  <c r="L108" i="5"/>
  <c r="L197" i="7" s="1"/>
  <c r="K108" i="5"/>
  <c r="K197" i="7" s="1"/>
  <c r="J108" i="5"/>
  <c r="J197" i="7" s="1"/>
  <c r="I108" i="5"/>
  <c r="I197" i="7" s="1"/>
  <c r="L107" i="5"/>
  <c r="M107" i="5" s="1"/>
  <c r="K107" i="5"/>
  <c r="K196" i="7" s="1"/>
  <c r="J107" i="5"/>
  <c r="J196" i="7" s="1"/>
  <c r="I107" i="5"/>
  <c r="I196" i="7" s="1"/>
  <c r="L106" i="5"/>
  <c r="L194" i="7" s="1"/>
  <c r="K106" i="5"/>
  <c r="K194" i="7" s="1"/>
  <c r="J106" i="5"/>
  <c r="J194" i="7" s="1"/>
  <c r="I106" i="5"/>
  <c r="L105" i="5"/>
  <c r="K105" i="5"/>
  <c r="J105" i="5"/>
  <c r="J195" i="7" s="1"/>
  <c r="I105" i="5"/>
  <c r="I195" i="7" s="1"/>
  <c r="L104" i="5"/>
  <c r="L192" i="7" s="1"/>
  <c r="K104" i="5"/>
  <c r="K192" i="7" s="1"/>
  <c r="J104" i="5"/>
  <c r="J192" i="7" s="1"/>
  <c r="I104" i="5"/>
  <c r="I192" i="7" s="1"/>
  <c r="L103" i="5"/>
  <c r="L191" i="7" s="1"/>
  <c r="K103" i="5"/>
  <c r="K112" i="5" s="1"/>
  <c r="J103" i="5"/>
  <c r="J191" i="7" s="1"/>
  <c r="I103" i="5"/>
  <c r="I191" i="7" s="1"/>
  <c r="L102" i="5"/>
  <c r="L198" i="7" s="1"/>
  <c r="K102" i="5"/>
  <c r="K198" i="7" s="1"/>
  <c r="J102" i="5"/>
  <c r="J198" i="7" s="1"/>
  <c r="I102" i="5"/>
  <c r="M102" i="5" s="1"/>
  <c r="L101" i="5"/>
  <c r="K101" i="5"/>
  <c r="J101" i="5"/>
  <c r="J193" i="7" s="1"/>
  <c r="I101" i="5"/>
  <c r="I193" i="7" s="1"/>
  <c r="H99" i="5"/>
  <c r="H113" i="5" s="1"/>
  <c r="G99" i="5"/>
  <c r="F99" i="5"/>
  <c r="E99" i="5"/>
  <c r="D99" i="5"/>
  <c r="C99" i="5"/>
  <c r="C113" i="5" s="1"/>
  <c r="B99" i="5"/>
  <c r="L98" i="5"/>
  <c r="L167" i="7" s="1"/>
  <c r="K98" i="5"/>
  <c r="K167" i="7" s="1"/>
  <c r="J98" i="5"/>
  <c r="M98" i="5" s="1"/>
  <c r="I98" i="5"/>
  <c r="L97" i="5"/>
  <c r="L169" i="7" s="1"/>
  <c r="K97" i="5"/>
  <c r="K169" i="7" s="1"/>
  <c r="J97" i="5"/>
  <c r="J169" i="7" s="1"/>
  <c r="I97" i="5"/>
  <c r="L96" i="5"/>
  <c r="L168" i="7" s="1"/>
  <c r="K96" i="5"/>
  <c r="K168" i="7" s="1"/>
  <c r="J96" i="5"/>
  <c r="J168" i="7" s="1"/>
  <c r="I96" i="5"/>
  <c r="I168" i="7" s="1"/>
  <c r="L95" i="5"/>
  <c r="K95" i="5"/>
  <c r="J95" i="5"/>
  <c r="J170" i="7" s="1"/>
  <c r="I95" i="5"/>
  <c r="I170" i="7" s="1"/>
  <c r="L94" i="5"/>
  <c r="K94" i="5"/>
  <c r="M94" i="5" s="1"/>
  <c r="J94" i="5"/>
  <c r="I94" i="5"/>
  <c r="L93" i="5"/>
  <c r="M93" i="5" s="1"/>
  <c r="K93" i="5"/>
  <c r="J93" i="5"/>
  <c r="I93" i="5"/>
  <c r="L92" i="5"/>
  <c r="K92" i="5"/>
  <c r="J92" i="5"/>
  <c r="I92" i="5"/>
  <c r="L91" i="5"/>
  <c r="K91" i="5"/>
  <c r="J91" i="5"/>
  <c r="I91" i="5"/>
  <c r="M91" i="5" s="1"/>
  <c r="M90" i="5"/>
  <c r="L90" i="5"/>
  <c r="K90" i="5"/>
  <c r="J90" i="5"/>
  <c r="I90" i="5"/>
  <c r="L89" i="5"/>
  <c r="K89" i="5"/>
  <c r="M89" i="5" s="1"/>
  <c r="J89" i="5"/>
  <c r="I89" i="5"/>
  <c r="L88" i="5"/>
  <c r="K88" i="5"/>
  <c r="J88" i="5"/>
  <c r="I88" i="5"/>
  <c r="M88" i="5" s="1"/>
  <c r="L87" i="5"/>
  <c r="K87" i="5"/>
  <c r="J87" i="5"/>
  <c r="I87" i="5"/>
  <c r="M87" i="5" s="1"/>
  <c r="L86" i="5"/>
  <c r="K86" i="5"/>
  <c r="J86" i="5"/>
  <c r="I86" i="5"/>
  <c r="M86" i="5" s="1"/>
  <c r="L85" i="5"/>
  <c r="M85" i="5" s="1"/>
  <c r="K85" i="5"/>
  <c r="J85" i="5"/>
  <c r="I85" i="5"/>
  <c r="I99" i="5" s="1"/>
  <c r="L84" i="5"/>
  <c r="M84" i="5" s="1"/>
  <c r="K84" i="5"/>
  <c r="J84" i="5"/>
  <c r="I84" i="5"/>
  <c r="L83" i="5"/>
  <c r="K83" i="5"/>
  <c r="J83" i="5"/>
  <c r="I83" i="5"/>
  <c r="M83" i="5" s="1"/>
  <c r="L82" i="5"/>
  <c r="K82" i="5"/>
  <c r="J82" i="5"/>
  <c r="I82" i="5"/>
  <c r="M82" i="5" s="1"/>
  <c r="L81" i="5"/>
  <c r="K81" i="5"/>
  <c r="J81" i="5"/>
  <c r="J99" i="5" s="1"/>
  <c r="I81" i="5"/>
  <c r="M81" i="5" s="1"/>
  <c r="L80" i="5"/>
  <c r="L99" i="5" s="1"/>
  <c r="K80" i="5"/>
  <c r="J80" i="5"/>
  <c r="I80" i="5"/>
  <c r="E75" i="5"/>
  <c r="E74" i="5"/>
  <c r="D74" i="5"/>
  <c r="C74" i="5"/>
  <c r="B73" i="5"/>
  <c r="B72" i="5"/>
  <c r="B71" i="5"/>
  <c r="I34" i="5" s="1"/>
  <c r="I48" i="7" s="1"/>
  <c r="B70" i="5"/>
  <c r="B126" i="7" s="1"/>
  <c r="B69" i="5"/>
  <c r="I32" i="5" s="1"/>
  <c r="I43" i="7" s="1"/>
  <c r="B68" i="5"/>
  <c r="B130" i="7" s="1"/>
  <c r="B67" i="5"/>
  <c r="I29" i="5" s="1"/>
  <c r="I42" i="7" s="1"/>
  <c r="B66" i="5"/>
  <c r="B65" i="5"/>
  <c r="I25" i="5" s="1"/>
  <c r="B64" i="5"/>
  <c r="B63" i="5"/>
  <c r="I26" i="5" s="1"/>
  <c r="B62" i="5"/>
  <c r="E60" i="5"/>
  <c r="D60" i="5"/>
  <c r="D75" i="5" s="1"/>
  <c r="C60" i="5"/>
  <c r="C75" i="5" s="1"/>
  <c r="B59" i="5"/>
  <c r="I7" i="5" s="1"/>
  <c r="B58" i="5"/>
  <c r="B57" i="5"/>
  <c r="B56" i="5"/>
  <c r="B55" i="5"/>
  <c r="B54" i="5"/>
  <c r="B53" i="5"/>
  <c r="B52" i="5"/>
  <c r="B51" i="5"/>
  <c r="I16" i="5" s="1"/>
  <c r="B50" i="5"/>
  <c r="B49" i="5"/>
  <c r="I20" i="5" s="1"/>
  <c r="B48" i="5"/>
  <c r="B60" i="5" s="1"/>
  <c r="B47" i="5"/>
  <c r="B46" i="5"/>
  <c r="B45" i="5"/>
  <c r="I15" i="5" s="1"/>
  <c r="B44" i="5"/>
  <c r="B43" i="5"/>
  <c r="B42" i="5"/>
  <c r="H37" i="5"/>
  <c r="H36" i="5"/>
  <c r="F36" i="5"/>
  <c r="E36" i="5"/>
  <c r="D36" i="5"/>
  <c r="G36" i="5" s="1"/>
  <c r="C36" i="5"/>
  <c r="B36" i="5"/>
  <c r="I35" i="5"/>
  <c r="I50" i="7" s="1"/>
  <c r="G35" i="5"/>
  <c r="G34" i="5"/>
  <c r="I33" i="5"/>
  <c r="I47" i="7" s="1"/>
  <c r="G33" i="5"/>
  <c r="G32" i="5"/>
  <c r="I31" i="5"/>
  <c r="G31" i="5"/>
  <c r="I30" i="5"/>
  <c r="I44" i="7" s="1"/>
  <c r="G30" i="5"/>
  <c r="G29" i="5"/>
  <c r="I28" i="5"/>
  <c r="G28" i="5"/>
  <c r="G27" i="5"/>
  <c r="G26" i="5"/>
  <c r="G25" i="5"/>
  <c r="H23" i="5"/>
  <c r="F23" i="5"/>
  <c r="F37" i="5" s="1"/>
  <c r="E23" i="5"/>
  <c r="E37" i="5" s="1"/>
  <c r="G37" i="5" s="1"/>
  <c r="D23" i="5"/>
  <c r="D37" i="5" s="1"/>
  <c r="C23" i="5"/>
  <c r="C37" i="5" s="1"/>
  <c r="B23" i="5"/>
  <c r="B37" i="5" s="1"/>
  <c r="I22" i="5"/>
  <c r="G22" i="5"/>
  <c r="I21" i="5"/>
  <c r="G21" i="5"/>
  <c r="G20" i="5"/>
  <c r="I19" i="5"/>
  <c r="G19" i="5"/>
  <c r="I18" i="5"/>
  <c r="G18" i="5"/>
  <c r="I17" i="5"/>
  <c r="G17" i="5"/>
  <c r="G16" i="5"/>
  <c r="G15" i="5"/>
  <c r="I14" i="5"/>
  <c r="G14" i="5"/>
  <c r="I13" i="5"/>
  <c r="G13" i="5"/>
  <c r="I12" i="5"/>
  <c r="G12" i="5"/>
  <c r="I11" i="5"/>
  <c r="G11" i="5"/>
  <c r="I10" i="5"/>
  <c r="G10" i="5"/>
  <c r="I9" i="5"/>
  <c r="G9" i="5"/>
  <c r="I8" i="5"/>
  <c r="G8" i="5"/>
  <c r="G7" i="5"/>
  <c r="I6" i="5"/>
  <c r="G6" i="5"/>
  <c r="I5" i="5"/>
  <c r="G5" i="5"/>
  <c r="D108" i="4"/>
  <c r="C108" i="4"/>
  <c r="B108" i="4"/>
  <c r="L107" i="4"/>
  <c r="L108" i="4" s="1"/>
  <c r="K107" i="4"/>
  <c r="K108" i="4" s="1"/>
  <c r="J107" i="4"/>
  <c r="J108" i="4" s="1"/>
  <c r="I107" i="4"/>
  <c r="I108" i="4" s="1"/>
  <c r="H107" i="4"/>
  <c r="H108" i="4" s="1"/>
  <c r="G107" i="4"/>
  <c r="G108" i="4" s="1"/>
  <c r="F107" i="4"/>
  <c r="F108" i="4" s="1"/>
  <c r="E107" i="4"/>
  <c r="E108" i="4" s="1"/>
  <c r="D107" i="4"/>
  <c r="C107" i="4"/>
  <c r="B107" i="4"/>
  <c r="M106" i="4"/>
  <c r="M105" i="4"/>
  <c r="M104" i="4"/>
  <c r="M200" i="7" s="1"/>
  <c r="M103" i="4"/>
  <c r="M102" i="4"/>
  <c r="M101" i="4"/>
  <c r="M100" i="4"/>
  <c r="M99" i="4"/>
  <c r="M98" i="4"/>
  <c r="M97" i="4"/>
  <c r="M198" i="7" s="1"/>
  <c r="M96" i="4"/>
  <c r="M107" i="4" s="1"/>
  <c r="L94" i="4"/>
  <c r="K94" i="4"/>
  <c r="J94" i="4"/>
  <c r="I94" i="4"/>
  <c r="H94" i="4"/>
  <c r="G94" i="4"/>
  <c r="F94" i="4"/>
  <c r="E94" i="4"/>
  <c r="D94" i="4"/>
  <c r="C94" i="4"/>
  <c r="B94" i="4"/>
  <c r="M93" i="4"/>
  <c r="M92" i="4"/>
  <c r="M91" i="4"/>
  <c r="M90" i="4"/>
  <c r="M89" i="4"/>
  <c r="M88" i="4"/>
  <c r="M87" i="4"/>
  <c r="M86" i="4"/>
  <c r="M85" i="4"/>
  <c r="M84" i="4"/>
  <c r="M83" i="4"/>
  <c r="M82" i="4"/>
  <c r="M81" i="4"/>
  <c r="M80" i="4"/>
  <c r="M167" i="7" s="1"/>
  <c r="M79" i="4"/>
  <c r="D74" i="4"/>
  <c r="C74" i="4"/>
  <c r="E73" i="4"/>
  <c r="E74" i="4" s="1"/>
  <c r="D73" i="4"/>
  <c r="C73" i="4"/>
  <c r="B72" i="4"/>
  <c r="I34" i="4" s="1"/>
  <c r="B71" i="4"/>
  <c r="I33" i="4" s="1"/>
  <c r="B70" i="4"/>
  <c r="B69" i="4"/>
  <c r="B68" i="4"/>
  <c r="B67" i="4"/>
  <c r="B127" i="7" s="1"/>
  <c r="B66" i="4"/>
  <c r="B125" i="7" s="1"/>
  <c r="B65" i="4"/>
  <c r="B64" i="4"/>
  <c r="B63" i="4"/>
  <c r="B129" i="7" s="1"/>
  <c r="B62" i="4"/>
  <c r="E60" i="4"/>
  <c r="D60" i="4"/>
  <c r="C60" i="4"/>
  <c r="B59" i="4"/>
  <c r="B58" i="4"/>
  <c r="B100" i="7" s="1"/>
  <c r="B57" i="4"/>
  <c r="B98" i="7" s="1"/>
  <c r="B56" i="4"/>
  <c r="B99" i="7" s="1"/>
  <c r="B55" i="4"/>
  <c r="B54" i="4"/>
  <c r="I18" i="4" s="1"/>
  <c r="B53" i="4"/>
  <c r="B60" i="4" s="1"/>
  <c r="B52" i="4"/>
  <c r="B51" i="4"/>
  <c r="B50" i="4"/>
  <c r="B49" i="4"/>
  <c r="B48" i="4"/>
  <c r="B47" i="4"/>
  <c r="B46" i="4"/>
  <c r="B45" i="4"/>
  <c r="I12" i="4" s="1"/>
  <c r="B44" i="4"/>
  <c r="B43" i="4"/>
  <c r="B42" i="4"/>
  <c r="I11" i="4" s="1"/>
  <c r="B41" i="4"/>
  <c r="D36" i="4"/>
  <c r="B36" i="4"/>
  <c r="H35" i="4"/>
  <c r="H36" i="4" s="1"/>
  <c r="F35" i="4"/>
  <c r="F36" i="4" s="1"/>
  <c r="E35" i="4"/>
  <c r="E36" i="4" s="1"/>
  <c r="G36" i="4" s="1"/>
  <c r="D35" i="4"/>
  <c r="C35" i="4"/>
  <c r="B35" i="4"/>
  <c r="G34" i="4"/>
  <c r="G33" i="4"/>
  <c r="I32" i="4"/>
  <c r="I49" i="7" s="1"/>
  <c r="G32" i="4"/>
  <c r="I31" i="4"/>
  <c r="G31" i="4"/>
  <c r="I30" i="4"/>
  <c r="G30" i="4"/>
  <c r="I29" i="4"/>
  <c r="G29" i="4"/>
  <c r="I28" i="4"/>
  <c r="G28" i="4"/>
  <c r="I27" i="4"/>
  <c r="G27" i="4"/>
  <c r="I26" i="4"/>
  <c r="G26" i="4"/>
  <c r="I25" i="4"/>
  <c r="G25" i="4"/>
  <c r="I24" i="4"/>
  <c r="I39" i="7" s="1"/>
  <c r="G24" i="4"/>
  <c r="H22" i="4"/>
  <c r="F22" i="4"/>
  <c r="E22" i="4"/>
  <c r="D22" i="4"/>
  <c r="G22" i="4" s="1"/>
  <c r="C22" i="4"/>
  <c r="C36" i="4" s="1"/>
  <c r="B22" i="4"/>
  <c r="I21" i="4"/>
  <c r="G21" i="4"/>
  <c r="I20" i="4"/>
  <c r="G20" i="4"/>
  <c r="I19" i="4"/>
  <c r="G19" i="4"/>
  <c r="G18" i="4"/>
  <c r="G17" i="4"/>
  <c r="I16" i="4"/>
  <c r="G16" i="4"/>
  <c r="I15" i="4"/>
  <c r="G15" i="4"/>
  <c r="I14" i="4"/>
  <c r="G14" i="4"/>
  <c r="I13" i="4"/>
  <c r="G13" i="4"/>
  <c r="G12" i="4"/>
  <c r="G11" i="4"/>
  <c r="I10" i="4"/>
  <c r="G10" i="4"/>
  <c r="G9" i="4"/>
  <c r="I8" i="4"/>
  <c r="G8" i="4"/>
  <c r="G7" i="4"/>
  <c r="G6" i="4"/>
  <c r="G5" i="4"/>
  <c r="L130" i="3"/>
  <c r="M129" i="3"/>
  <c r="L129" i="3"/>
  <c r="K129" i="3"/>
  <c r="K130" i="3" s="1"/>
  <c r="J129" i="3"/>
  <c r="J130" i="3" s="1"/>
  <c r="I129" i="3"/>
  <c r="I130" i="3" s="1"/>
  <c r="H129" i="3"/>
  <c r="H130" i="3" s="1"/>
  <c r="G129" i="3"/>
  <c r="F129" i="3"/>
  <c r="F130" i="3" s="1"/>
  <c r="E129" i="3"/>
  <c r="D129" i="3"/>
  <c r="C129" i="3"/>
  <c r="B129" i="3"/>
  <c r="M128" i="3"/>
  <c r="M189" i="7" s="1"/>
  <c r="M127" i="3"/>
  <c r="M188" i="7" s="1"/>
  <c r="M126" i="3"/>
  <c r="M187" i="7" s="1"/>
  <c r="M125" i="3"/>
  <c r="M182" i="7" s="1"/>
  <c r="M124" i="3"/>
  <c r="M186" i="7" s="1"/>
  <c r="M123" i="3"/>
  <c r="M185" i="7" s="1"/>
  <c r="M122" i="3"/>
  <c r="M184" i="7" s="1"/>
  <c r="M121" i="3"/>
  <c r="M181" i="7" s="1"/>
  <c r="M120" i="3"/>
  <c r="M183" i="7" s="1"/>
  <c r="M119" i="3"/>
  <c r="M179" i="7" s="1"/>
  <c r="M118" i="3"/>
  <c r="M178" i="7" s="1"/>
  <c r="M190" i="7" s="1"/>
  <c r="M248" i="7" s="1"/>
  <c r="M117" i="3"/>
  <c r="M180" i="7" s="1"/>
  <c r="L115" i="3"/>
  <c r="K115" i="3"/>
  <c r="J115" i="3"/>
  <c r="I115" i="3"/>
  <c r="H115" i="3"/>
  <c r="G115" i="3"/>
  <c r="F115" i="3"/>
  <c r="E115" i="3"/>
  <c r="D115" i="3"/>
  <c r="C115" i="3"/>
  <c r="B115" i="3"/>
  <c r="B130" i="3" s="1"/>
  <c r="M114" i="3"/>
  <c r="M165" i="7" s="1"/>
  <c r="M113" i="3"/>
  <c r="M112" i="3"/>
  <c r="M164" i="7" s="1"/>
  <c r="M111" i="3"/>
  <c r="M163" i="7" s="1"/>
  <c r="M110" i="3"/>
  <c r="M162" i="7" s="1"/>
  <c r="M109" i="3"/>
  <c r="M160" i="7" s="1"/>
  <c r="M108" i="3"/>
  <c r="M159" i="7" s="1"/>
  <c r="M107" i="3"/>
  <c r="M156" i="7" s="1"/>
  <c r="M106" i="3"/>
  <c r="M152" i="7" s="1"/>
  <c r="M105" i="3"/>
  <c r="M158" i="7" s="1"/>
  <c r="M104" i="3"/>
  <c r="M157" i="7" s="1"/>
  <c r="M103" i="3"/>
  <c r="M154" i="7" s="1"/>
  <c r="M102" i="3"/>
  <c r="M153" i="7" s="1"/>
  <c r="M101" i="3"/>
  <c r="M151" i="7" s="1"/>
  <c r="M100" i="3"/>
  <c r="M150" i="7" s="1"/>
  <c r="M99" i="3"/>
  <c r="M149" i="7" s="1"/>
  <c r="M98" i="3"/>
  <c r="M148" i="7" s="1"/>
  <c r="M97" i="3"/>
  <c r="M155" i="7" s="1"/>
  <c r="M96" i="3"/>
  <c r="M161" i="7" s="1"/>
  <c r="M95" i="3"/>
  <c r="M147" i="7" s="1"/>
  <c r="M94" i="3"/>
  <c r="M146" i="7" s="1"/>
  <c r="M93" i="3"/>
  <c r="M145" i="7" s="1"/>
  <c r="M92" i="3"/>
  <c r="M144" i="7" s="1"/>
  <c r="E86" i="3"/>
  <c r="E85" i="3"/>
  <c r="D85" i="3"/>
  <c r="D86" i="3" s="1"/>
  <c r="C85" i="3"/>
  <c r="B84" i="3"/>
  <c r="B120" i="7" s="1"/>
  <c r="B83" i="3"/>
  <c r="B82" i="3"/>
  <c r="B81" i="3"/>
  <c r="B80" i="3"/>
  <c r="B114" i="7" s="1"/>
  <c r="B79" i="3"/>
  <c r="B115" i="7" s="1"/>
  <c r="B78" i="3"/>
  <c r="B77" i="3"/>
  <c r="B112" i="7" s="1"/>
  <c r="B76" i="3"/>
  <c r="I32" i="3" s="1"/>
  <c r="I58" i="7" s="1"/>
  <c r="B75" i="3"/>
  <c r="B74" i="3"/>
  <c r="B73" i="3"/>
  <c r="E71" i="3"/>
  <c r="D71" i="3"/>
  <c r="C71" i="3"/>
  <c r="C86" i="3" s="1"/>
  <c r="B70" i="3"/>
  <c r="B93" i="7" s="1"/>
  <c r="B69" i="3"/>
  <c r="B68" i="3"/>
  <c r="B91" i="7" s="1"/>
  <c r="B67" i="3"/>
  <c r="B66" i="3"/>
  <c r="B65" i="3"/>
  <c r="B88" i="7" s="1"/>
  <c r="B64" i="3"/>
  <c r="B84" i="7" s="1"/>
  <c r="B63" i="3"/>
  <c r="B62" i="3"/>
  <c r="B95" i="7" s="1"/>
  <c r="B61" i="3"/>
  <c r="B60" i="3"/>
  <c r="B85" i="7" s="1"/>
  <c r="B59" i="3"/>
  <c r="B58" i="3"/>
  <c r="I20" i="3" s="1"/>
  <c r="I24" i="7" s="1"/>
  <c r="B57" i="3"/>
  <c r="B81" i="7" s="1"/>
  <c r="B56" i="3"/>
  <c r="B55" i="3"/>
  <c r="B54" i="3"/>
  <c r="B53" i="3"/>
  <c r="B92" i="7" s="1"/>
  <c r="B52" i="3"/>
  <c r="B78" i="7" s="1"/>
  <c r="B51" i="3"/>
  <c r="B50" i="3"/>
  <c r="B49" i="3"/>
  <c r="B75" i="7" s="1"/>
  <c r="B48" i="3"/>
  <c r="I5" i="3" s="1"/>
  <c r="D42" i="3"/>
  <c r="H41" i="3"/>
  <c r="F41" i="3"/>
  <c r="E41" i="3"/>
  <c r="D41" i="3"/>
  <c r="G41" i="3" s="1"/>
  <c r="C41" i="3"/>
  <c r="B41" i="3"/>
  <c r="I40" i="3"/>
  <c r="I60" i="7" s="1"/>
  <c r="G40" i="3"/>
  <c r="I39" i="3"/>
  <c r="I62" i="7" s="1"/>
  <c r="G39" i="3"/>
  <c r="I38" i="3"/>
  <c r="I61" i="7" s="1"/>
  <c r="G38" i="3"/>
  <c r="I37" i="3"/>
  <c r="I57" i="7" s="1"/>
  <c r="G37" i="3"/>
  <c r="I36" i="3"/>
  <c r="I63" i="7" s="1"/>
  <c r="G36" i="3"/>
  <c r="I35" i="3"/>
  <c r="I59" i="7" s="1"/>
  <c r="G35" i="3"/>
  <c r="I34" i="3"/>
  <c r="I56" i="7" s="1"/>
  <c r="G34" i="3"/>
  <c r="G33" i="3"/>
  <c r="G32" i="3"/>
  <c r="G31" i="3"/>
  <c r="G30" i="3"/>
  <c r="G29" i="3"/>
  <c r="H27" i="3"/>
  <c r="H42" i="3" s="1"/>
  <c r="G27" i="3"/>
  <c r="F27" i="3"/>
  <c r="F42" i="3" s="1"/>
  <c r="E27" i="3"/>
  <c r="E42" i="3" s="1"/>
  <c r="G42" i="3" s="1"/>
  <c r="D27" i="3"/>
  <c r="C27" i="3"/>
  <c r="C42" i="3" s="1"/>
  <c r="B27" i="3"/>
  <c r="B42" i="3" s="1"/>
  <c r="I26" i="3"/>
  <c r="I31" i="7" s="1"/>
  <c r="G26" i="3"/>
  <c r="I25" i="3"/>
  <c r="I29" i="7" s="1"/>
  <c r="G25" i="3"/>
  <c r="G24" i="3"/>
  <c r="I23" i="3"/>
  <c r="I30" i="7" s="1"/>
  <c r="G23" i="3"/>
  <c r="G22" i="3"/>
  <c r="G21" i="3"/>
  <c r="G20" i="3"/>
  <c r="I19" i="3"/>
  <c r="I23" i="7" s="1"/>
  <c r="G19" i="3"/>
  <c r="G18" i="3"/>
  <c r="I17" i="3"/>
  <c r="I22" i="7" s="1"/>
  <c r="G17" i="3"/>
  <c r="I16" i="3"/>
  <c r="I17" i="7" s="1"/>
  <c r="G16" i="3"/>
  <c r="I15" i="3"/>
  <c r="I19" i="7" s="1"/>
  <c r="G15" i="3"/>
  <c r="I14" i="3"/>
  <c r="I20" i="7" s="1"/>
  <c r="G14" i="3"/>
  <c r="I13" i="3"/>
  <c r="I16" i="7" s="1"/>
  <c r="G13" i="3"/>
  <c r="I12" i="3"/>
  <c r="I15" i="7" s="1"/>
  <c r="G12" i="3"/>
  <c r="I11" i="3"/>
  <c r="I25" i="7" s="1"/>
  <c r="G11" i="3"/>
  <c r="G10" i="3"/>
  <c r="G9" i="3"/>
  <c r="G8" i="3"/>
  <c r="I7" i="3"/>
  <c r="I10" i="7" s="1"/>
  <c r="G7" i="3"/>
  <c r="G6" i="3"/>
  <c r="G5" i="3"/>
  <c r="AE47" i="2"/>
  <c r="X47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AG46" i="2" s="1"/>
  <c r="F46" i="2"/>
  <c r="E46" i="2"/>
  <c r="D46" i="2"/>
  <c r="C46" i="2"/>
  <c r="B46" i="2"/>
  <c r="AG45" i="2"/>
  <c r="AG44" i="2"/>
  <c r="AG43" i="2"/>
  <c r="AG42" i="2"/>
  <c r="AG41" i="2"/>
  <c r="AG40" i="2"/>
  <c r="AG39" i="2"/>
  <c r="AG38" i="2"/>
  <c r="AG37" i="2"/>
  <c r="AG36" i="2"/>
  <c r="AG35" i="2"/>
  <c r="AG34" i="2"/>
  <c r="AF32" i="2"/>
  <c r="AE32" i="2"/>
  <c r="Q32" i="2"/>
  <c r="K32" i="2"/>
  <c r="K47" i="2" s="1"/>
  <c r="J32" i="2"/>
  <c r="J47" i="2" s="1"/>
  <c r="I32" i="2"/>
  <c r="I47" i="2" s="1"/>
  <c r="H32" i="2"/>
  <c r="H47" i="2" s="1"/>
  <c r="G32" i="2"/>
  <c r="G47" i="2" s="1"/>
  <c r="F32" i="2"/>
  <c r="F47" i="2" s="1"/>
  <c r="E32" i="2"/>
  <c r="E47" i="2" s="1"/>
  <c r="D32" i="2"/>
  <c r="D47" i="2" s="1"/>
  <c r="C32" i="2"/>
  <c r="C47" i="2" s="1"/>
  <c r="AF31" i="2"/>
  <c r="AE31" i="2"/>
  <c r="AD31" i="2"/>
  <c r="AC31" i="2"/>
  <c r="AB31" i="2"/>
  <c r="AA31" i="2"/>
  <c r="Z31" i="2"/>
  <c r="Y31" i="2"/>
  <c r="X31" i="2"/>
  <c r="X32" i="2" s="1"/>
  <c r="W31" i="2"/>
  <c r="V31" i="2"/>
  <c r="U31" i="2"/>
  <c r="T31" i="2"/>
  <c r="S31" i="2"/>
  <c r="S32" i="2" s="1"/>
  <c r="S47" i="2" s="1"/>
  <c r="R31" i="2"/>
  <c r="Q31" i="2"/>
  <c r="P31" i="2"/>
  <c r="P32" i="2" s="1"/>
  <c r="P47" i="2" s="1"/>
  <c r="O31" i="2"/>
  <c r="O32" i="2" s="1"/>
  <c r="O47" i="2" s="1"/>
  <c r="N31" i="2"/>
  <c r="N32" i="2" s="1"/>
  <c r="N47" i="2" s="1"/>
  <c r="M31" i="2"/>
  <c r="M32" i="2" s="1"/>
  <c r="M47" i="2" s="1"/>
  <c r="L31" i="2"/>
  <c r="L32" i="2" s="1"/>
  <c r="L47" i="2" s="1"/>
  <c r="K31" i="2"/>
  <c r="J31" i="2"/>
  <c r="I31" i="2"/>
  <c r="H31" i="2"/>
  <c r="G31" i="2"/>
  <c r="F31" i="2"/>
  <c r="E31" i="2"/>
  <c r="D31" i="2"/>
  <c r="C31" i="2"/>
  <c r="B31" i="2"/>
  <c r="AG30" i="2"/>
  <c r="AG29" i="2"/>
  <c r="AG28" i="2"/>
  <c r="AG27" i="2"/>
  <c r="AG26" i="2"/>
  <c r="AG25" i="2"/>
  <c r="AG24" i="2"/>
  <c r="AG23" i="2"/>
  <c r="AG22" i="2"/>
  <c r="AG21" i="2"/>
  <c r="AG20" i="2"/>
  <c r="AG19" i="2"/>
  <c r="AG18" i="2"/>
  <c r="AG17" i="2"/>
  <c r="AG16" i="2"/>
  <c r="AG15" i="2"/>
  <c r="AG14" i="2"/>
  <c r="AG13" i="2"/>
  <c r="AG12" i="2"/>
  <c r="AG11" i="2"/>
  <c r="AG10" i="2"/>
  <c r="AG9" i="2"/>
  <c r="AF8" i="2"/>
  <c r="AE8" i="2"/>
  <c r="AD8" i="2"/>
  <c r="AD32" i="2" s="1"/>
  <c r="AD47" i="2" s="1"/>
  <c r="AC8" i="2"/>
  <c r="AC32" i="2" s="1"/>
  <c r="AC47" i="2" s="1"/>
  <c r="AB8" i="2"/>
  <c r="AB32" i="2" s="1"/>
  <c r="AB47" i="2" s="1"/>
  <c r="AA8" i="2"/>
  <c r="AA32" i="2" s="1"/>
  <c r="AA47" i="2" s="1"/>
  <c r="Z8" i="2"/>
  <c r="Z32" i="2" s="1"/>
  <c r="Z47" i="2" s="1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AG8" i="2" s="1"/>
  <c r="B8" i="2"/>
  <c r="B32" i="2" s="1"/>
  <c r="B47" i="2" s="1"/>
  <c r="AG7" i="2"/>
  <c r="AG6" i="2"/>
  <c r="AG5" i="2"/>
  <c r="AG4" i="2"/>
  <c r="B2" i="2"/>
  <c r="C2" i="2" s="1"/>
  <c r="D2" i="2" s="1"/>
  <c r="E2" i="2" s="1"/>
  <c r="F2" i="2" s="1"/>
  <c r="G2" i="2" s="1"/>
  <c r="H2" i="2" s="1"/>
  <c r="I2" i="2" s="1"/>
  <c r="J2" i="2" s="1"/>
  <c r="K2" i="2" s="1"/>
  <c r="L2" i="2" s="1"/>
  <c r="M2" i="2" s="1"/>
  <c r="N2" i="2" s="1"/>
  <c r="O2" i="2" s="1"/>
  <c r="P2" i="2" s="1"/>
  <c r="Q2" i="2" s="1"/>
  <c r="R2" i="2" s="1"/>
  <c r="S2" i="2" s="1"/>
  <c r="T2" i="2" s="1"/>
  <c r="U2" i="2" s="1"/>
  <c r="V2" i="2" s="1"/>
  <c r="W2" i="2" s="1"/>
  <c r="X2" i="2" s="1"/>
  <c r="Y2" i="2" s="1"/>
  <c r="Z2" i="2" s="1"/>
  <c r="AA2" i="2" s="1"/>
  <c r="AB2" i="2" s="1"/>
  <c r="AC2" i="2" s="1"/>
  <c r="AD2" i="2" s="1"/>
  <c r="AE2" i="2" s="1"/>
  <c r="AF2" i="2" s="1"/>
  <c r="F46" i="1"/>
  <c r="E46" i="1"/>
  <c r="D46" i="1"/>
  <c r="C46" i="1"/>
  <c r="B46" i="1"/>
  <c r="G46" i="1" s="1"/>
  <c r="G45" i="1"/>
  <c r="G44" i="1"/>
  <c r="G43" i="1"/>
  <c r="G42" i="1"/>
  <c r="G41" i="1"/>
  <c r="G40" i="1"/>
  <c r="G39" i="1"/>
  <c r="G38" i="1"/>
  <c r="G37" i="1"/>
  <c r="G36" i="1"/>
  <c r="G35" i="1"/>
  <c r="G34" i="1"/>
  <c r="F31" i="1"/>
  <c r="E31" i="1"/>
  <c r="E32" i="1" s="1"/>
  <c r="D31" i="1"/>
  <c r="D32" i="1" s="1"/>
  <c r="C31" i="1"/>
  <c r="C32" i="1" s="1"/>
  <c r="B31" i="1"/>
  <c r="G31" i="1" s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F8" i="1"/>
  <c r="E8" i="1"/>
  <c r="D8" i="1"/>
  <c r="C8" i="1"/>
  <c r="B8" i="1"/>
  <c r="G8" i="1" s="1"/>
  <c r="G7" i="1"/>
  <c r="G6" i="1"/>
  <c r="G5" i="1"/>
  <c r="G4" i="1"/>
  <c r="L113" i="6" l="1"/>
  <c r="D235" i="7"/>
  <c r="C245" i="7"/>
  <c r="H37" i="7"/>
  <c r="H214" i="7"/>
  <c r="H217" i="7" s="1"/>
  <c r="E235" i="7"/>
  <c r="E138" i="7"/>
  <c r="D245" i="7"/>
  <c r="D176" i="7"/>
  <c r="G246" i="7"/>
  <c r="H246" i="7"/>
  <c r="K113" i="5"/>
  <c r="L203" i="7"/>
  <c r="E232" i="7"/>
  <c r="G249" i="7"/>
  <c r="I23" i="5"/>
  <c r="D207" i="7"/>
  <c r="D249" i="7"/>
  <c r="H68" i="7"/>
  <c r="H219" i="7"/>
  <c r="H222" i="7" s="1"/>
  <c r="H223" i="7" s="1"/>
  <c r="H249" i="7"/>
  <c r="I22" i="6"/>
  <c r="J113" i="6"/>
  <c r="D251" i="7"/>
  <c r="D219" i="7"/>
  <c r="D222" i="7" s="1"/>
  <c r="G64" i="7"/>
  <c r="D68" i="7"/>
  <c r="B68" i="7"/>
  <c r="B219" i="7"/>
  <c r="B222" i="7" s="1"/>
  <c r="D246" i="7"/>
  <c r="K203" i="7"/>
  <c r="F251" i="7"/>
  <c r="I11" i="7"/>
  <c r="E249" i="7"/>
  <c r="F249" i="7"/>
  <c r="I8" i="3"/>
  <c r="I14" i="7" s="1"/>
  <c r="B77" i="7"/>
  <c r="B85" i="3"/>
  <c r="B86" i="3" s="1"/>
  <c r="B108" i="7"/>
  <c r="B110" i="7"/>
  <c r="I31" i="3"/>
  <c r="I52" i="7" s="1"/>
  <c r="B71" i="3"/>
  <c r="D130" i="3"/>
  <c r="I9" i="4"/>
  <c r="I6" i="7" s="1"/>
  <c r="L171" i="7"/>
  <c r="L112" i="5"/>
  <c r="L113" i="5" s="1"/>
  <c r="B59" i="6"/>
  <c r="I35" i="6"/>
  <c r="C32" i="7"/>
  <c r="F68" i="7"/>
  <c r="B111" i="7"/>
  <c r="F206" i="7"/>
  <c r="F250" i="7" s="1"/>
  <c r="G35" i="4"/>
  <c r="G7" i="7"/>
  <c r="E130" i="3"/>
  <c r="M103" i="5"/>
  <c r="D32" i="7"/>
  <c r="G206" i="7"/>
  <c r="G250" i="7" s="1"/>
  <c r="K99" i="5"/>
  <c r="M105" i="5"/>
  <c r="I24" i="3"/>
  <c r="I13" i="7" s="1"/>
  <c r="B105" i="7"/>
  <c r="B230" i="7" s="1"/>
  <c r="E32" i="7"/>
  <c r="G10" i="7"/>
  <c r="G130" i="3"/>
  <c r="F32" i="7"/>
  <c r="E36" i="7"/>
  <c r="E216" i="7" s="1"/>
  <c r="G41" i="7"/>
  <c r="E105" i="7"/>
  <c r="E230" i="7" s="1"/>
  <c r="E171" i="7"/>
  <c r="I67" i="7"/>
  <c r="I221" i="7" s="1"/>
  <c r="F171" i="7"/>
  <c r="C222" i="7"/>
  <c r="C68" i="7"/>
  <c r="G53" i="7"/>
  <c r="E190" i="7"/>
  <c r="E248" i="7" s="1"/>
  <c r="B109" i="7"/>
  <c r="I30" i="3"/>
  <c r="I53" i="7" s="1"/>
  <c r="I9" i="3"/>
  <c r="I28" i="7" s="1"/>
  <c r="B90" i="7"/>
  <c r="G23" i="5"/>
  <c r="M94" i="4"/>
  <c r="M108" i="4" s="1"/>
  <c r="I171" i="7"/>
  <c r="B79" i="7"/>
  <c r="I10" i="3"/>
  <c r="I21" i="7" s="1"/>
  <c r="I35" i="4"/>
  <c r="M105" i="6"/>
  <c r="G190" i="7"/>
  <c r="G248" i="7" s="1"/>
  <c r="M115" i="3"/>
  <c r="M130" i="3" s="1"/>
  <c r="M110" i="5"/>
  <c r="M201" i="7" s="1"/>
  <c r="I99" i="6"/>
  <c r="B74" i="7"/>
  <c r="B96" i="7" s="1"/>
  <c r="B229" i="7" s="1"/>
  <c r="H190" i="7"/>
  <c r="H248" i="7" s="1"/>
  <c r="H251" i="7" s="1"/>
  <c r="H252" i="7" s="1"/>
  <c r="R32" i="2"/>
  <c r="R47" i="2" s="1"/>
  <c r="B97" i="7"/>
  <c r="B101" i="7" s="1"/>
  <c r="M111" i="5"/>
  <c r="I202" i="7"/>
  <c r="D74" i="6"/>
  <c r="G22" i="7"/>
  <c r="B51" i="7"/>
  <c r="B220" i="7" s="1"/>
  <c r="C96" i="7"/>
  <c r="C229" i="7" s="1"/>
  <c r="C232" i="7" s="1"/>
  <c r="M106" i="5"/>
  <c r="I194" i="7"/>
  <c r="I204" i="7"/>
  <c r="I206" i="7" s="1"/>
  <c r="I250" i="7" s="1"/>
  <c r="M106" i="6"/>
  <c r="M204" i="7" s="1"/>
  <c r="M206" i="7" s="1"/>
  <c r="M250" i="7" s="1"/>
  <c r="D51" i="7"/>
  <c r="D220" i="7" s="1"/>
  <c r="G65" i="7"/>
  <c r="G67" i="7" s="1"/>
  <c r="C134" i="7"/>
  <c r="K190" i="7"/>
  <c r="K248" i="7" s="1"/>
  <c r="C106" i="7"/>
  <c r="G219" i="7"/>
  <c r="I5" i="4"/>
  <c r="M96" i="5"/>
  <c r="M168" i="7" s="1"/>
  <c r="M171" i="7" s="1"/>
  <c r="M101" i="5"/>
  <c r="M112" i="5" s="1"/>
  <c r="D121" i="7"/>
  <c r="D234" i="7" s="1"/>
  <c r="D237" i="7" s="1"/>
  <c r="C166" i="7"/>
  <c r="C243" i="7" s="1"/>
  <c r="Y32" i="2"/>
  <c r="Y47" i="2" s="1"/>
  <c r="I18" i="3"/>
  <c r="I18" i="7" s="1"/>
  <c r="M196" i="7"/>
  <c r="B74" i="5"/>
  <c r="B75" i="5" s="1"/>
  <c r="M97" i="5"/>
  <c r="I169" i="7"/>
  <c r="E113" i="5"/>
  <c r="E121" i="7"/>
  <c r="E234" i="7" s="1"/>
  <c r="H175" i="7"/>
  <c r="H244" i="7" s="1"/>
  <c r="B207" i="7"/>
  <c r="B208" i="7" s="1"/>
  <c r="I29" i="3"/>
  <c r="M195" i="7"/>
  <c r="G175" i="7"/>
  <c r="G244" i="7" s="1"/>
  <c r="I6" i="4"/>
  <c r="I7" i="7" s="1"/>
  <c r="M197" i="7"/>
  <c r="I46" i="7"/>
  <c r="M92" i="5"/>
  <c r="M97" i="6"/>
  <c r="M99" i="6" s="1"/>
  <c r="M113" i="6" s="1"/>
  <c r="M101" i="6"/>
  <c r="M112" i="6" s="1"/>
  <c r="C121" i="7"/>
  <c r="C234" i="7" s="1"/>
  <c r="C203" i="7"/>
  <c r="M104" i="5"/>
  <c r="M192" i="7" s="1"/>
  <c r="M191" i="7"/>
  <c r="E47" i="1"/>
  <c r="I17" i="4"/>
  <c r="I112" i="6"/>
  <c r="F51" i="7"/>
  <c r="F220" i="7" s="1"/>
  <c r="G50" i="7"/>
  <c r="I9" i="6"/>
  <c r="G22" i="6"/>
  <c r="E9" i="7"/>
  <c r="J175" i="7"/>
  <c r="J244" i="7" s="1"/>
  <c r="G221" i="7"/>
  <c r="F219" i="7"/>
  <c r="F222" i="7" s="1"/>
  <c r="I27" i="5"/>
  <c r="I40" i="7" s="1"/>
  <c r="I51" i="7" s="1"/>
  <c r="I220" i="7" s="1"/>
  <c r="B124" i="7"/>
  <c r="I22" i="3"/>
  <c r="I27" i="7" s="1"/>
  <c r="B94" i="7"/>
  <c r="K175" i="7"/>
  <c r="K244" i="7" s="1"/>
  <c r="M169" i="7"/>
  <c r="Q47" i="2"/>
  <c r="AG47" i="2" s="1"/>
  <c r="G19" i="7"/>
  <c r="G34" i="7"/>
  <c r="G36" i="7" s="1"/>
  <c r="G216" i="7" s="1"/>
  <c r="F32" i="1"/>
  <c r="F47" i="1" s="1"/>
  <c r="W32" i="2"/>
  <c r="W47" i="2" s="1"/>
  <c r="B73" i="4"/>
  <c r="B74" i="4" s="1"/>
  <c r="B122" i="7"/>
  <c r="M194" i="7"/>
  <c r="I41" i="7"/>
  <c r="I7" i="6"/>
  <c r="I34" i="7" s="1"/>
  <c r="I36" i="7" s="1"/>
  <c r="I216" i="7" s="1"/>
  <c r="B32" i="1"/>
  <c r="I6" i="3"/>
  <c r="I12" i="7" s="1"/>
  <c r="I7" i="4"/>
  <c r="I8" i="7" s="1"/>
  <c r="G113" i="6"/>
  <c r="AF47" i="2"/>
  <c r="I33" i="3"/>
  <c r="I55" i="7" s="1"/>
  <c r="B128" i="7"/>
  <c r="M202" i="7"/>
  <c r="I203" i="7"/>
  <c r="I112" i="5"/>
  <c r="I113" i="5" s="1"/>
  <c r="I27" i="6"/>
  <c r="B73" i="6"/>
  <c r="L175" i="7"/>
  <c r="L244" i="7" s="1"/>
  <c r="D96" i="7"/>
  <c r="T32" i="2"/>
  <c r="T47" i="2" s="1"/>
  <c r="D47" i="1"/>
  <c r="U32" i="2"/>
  <c r="U47" i="2" s="1"/>
  <c r="M80" i="5"/>
  <c r="M99" i="5" s="1"/>
  <c r="M113" i="5" s="1"/>
  <c r="E106" i="7"/>
  <c r="V32" i="2"/>
  <c r="V47" i="2" s="1"/>
  <c r="J203" i="7"/>
  <c r="J112" i="5"/>
  <c r="J113" i="5" s="1"/>
  <c r="M95" i="5"/>
  <c r="C51" i="7"/>
  <c r="C220" i="7" s="1"/>
  <c r="C47" i="1"/>
  <c r="M170" i="7"/>
  <c r="AG31" i="2"/>
  <c r="I21" i="3"/>
  <c r="I26" i="7" s="1"/>
  <c r="B89" i="7"/>
  <c r="M166" i="7"/>
  <c r="M243" i="7" s="1"/>
  <c r="C130" i="3"/>
  <c r="K171" i="7"/>
  <c r="B32" i="7"/>
  <c r="E68" i="7"/>
  <c r="G176" i="7"/>
  <c r="E206" i="7"/>
  <c r="E250" i="7" s="1"/>
  <c r="B245" i="7"/>
  <c r="B246" i="7" s="1"/>
  <c r="B252" i="7" s="1"/>
  <c r="B132" i="7"/>
  <c r="I198" i="7"/>
  <c r="B133" i="7"/>
  <c r="J167" i="7"/>
  <c r="J171" i="7" s="1"/>
  <c r="L196" i="7"/>
  <c r="E51" i="7"/>
  <c r="M245" i="7" l="1"/>
  <c r="M176" i="7"/>
  <c r="I22" i="4"/>
  <c r="I36" i="4" s="1"/>
  <c r="I5" i="7"/>
  <c r="I9" i="7" s="1"/>
  <c r="I215" i="7" s="1"/>
  <c r="M193" i="7"/>
  <c r="C246" i="7"/>
  <c r="K249" i="7"/>
  <c r="K251" i="7" s="1"/>
  <c r="K252" i="7" s="1"/>
  <c r="K207" i="7"/>
  <c r="K208" i="7" s="1"/>
  <c r="B106" i="7"/>
  <c r="B231" i="7"/>
  <c r="B232" i="7" s="1"/>
  <c r="F245" i="7"/>
  <c r="F246" i="7" s="1"/>
  <c r="F252" i="7" s="1"/>
  <c r="F176" i="7"/>
  <c r="B37" i="7"/>
  <c r="B69" i="7" s="1"/>
  <c r="B214" i="7"/>
  <c r="B217" i="7" s="1"/>
  <c r="B223" i="7" s="1"/>
  <c r="B134" i="7"/>
  <c r="C237" i="7"/>
  <c r="C238" i="7" s="1"/>
  <c r="G68" i="7"/>
  <c r="D106" i="7"/>
  <c r="D229" i="7"/>
  <c r="D232" i="7" s="1"/>
  <c r="D238" i="7" s="1"/>
  <c r="F37" i="7"/>
  <c r="F69" i="7" s="1"/>
  <c r="F214" i="7"/>
  <c r="F217" i="7" s="1"/>
  <c r="K245" i="7"/>
  <c r="K246" i="7" s="1"/>
  <c r="K176" i="7"/>
  <c r="G251" i="7"/>
  <c r="G252" i="7" s="1"/>
  <c r="D252" i="7"/>
  <c r="B74" i="6"/>
  <c r="C235" i="7"/>
  <c r="C138" i="7"/>
  <c r="C139" i="7" s="1"/>
  <c r="I64" i="7"/>
  <c r="L249" i="7"/>
  <c r="L251" i="7" s="1"/>
  <c r="L207" i="7"/>
  <c r="L245" i="7"/>
  <c r="L246" i="7" s="1"/>
  <c r="L176" i="7"/>
  <c r="M246" i="7"/>
  <c r="G32" i="7"/>
  <c r="E37" i="7"/>
  <c r="E214" i="7"/>
  <c r="I36" i="6"/>
  <c r="B121" i="7"/>
  <c r="B234" i="7" s="1"/>
  <c r="H69" i="7"/>
  <c r="I207" i="7"/>
  <c r="I208" i="7" s="1"/>
  <c r="I249" i="7"/>
  <c r="I251" i="7" s="1"/>
  <c r="I252" i="7" s="1"/>
  <c r="F223" i="7"/>
  <c r="E237" i="7"/>
  <c r="E238" i="7" s="1"/>
  <c r="D37" i="7"/>
  <c r="D69" i="7" s="1"/>
  <c r="D214" i="7"/>
  <c r="D217" i="7" s="1"/>
  <c r="D223" i="7" s="1"/>
  <c r="F207" i="7"/>
  <c r="C176" i="7"/>
  <c r="E207" i="7"/>
  <c r="E245" i="7"/>
  <c r="E246" i="7" s="1"/>
  <c r="E176" i="7"/>
  <c r="H207" i="7"/>
  <c r="I245" i="7"/>
  <c r="I246" i="7" s="1"/>
  <c r="I176" i="7"/>
  <c r="G9" i="7"/>
  <c r="E215" i="7"/>
  <c r="G215" i="7" s="1"/>
  <c r="G51" i="7"/>
  <c r="E220" i="7"/>
  <c r="J249" i="7"/>
  <c r="J251" i="7" s="1"/>
  <c r="J252" i="7" s="1"/>
  <c r="J207" i="7"/>
  <c r="J208" i="7" s="1"/>
  <c r="I32" i="7"/>
  <c r="D208" i="7"/>
  <c r="D138" i="7"/>
  <c r="D139" i="7" s="1"/>
  <c r="M203" i="7"/>
  <c r="C37" i="7"/>
  <c r="C69" i="7" s="1"/>
  <c r="C214" i="7"/>
  <c r="C217" i="7" s="1"/>
  <c r="C223" i="7" s="1"/>
  <c r="C207" i="7"/>
  <c r="C249" i="7"/>
  <c r="C251" i="7" s="1"/>
  <c r="E139" i="7"/>
  <c r="I41" i="3"/>
  <c r="I54" i="7"/>
  <c r="AG32" i="2"/>
  <c r="G32" i="1"/>
  <c r="B47" i="1"/>
  <c r="G47" i="1" s="1"/>
  <c r="E251" i="7"/>
  <c r="E252" i="7" s="1"/>
  <c r="I27" i="3"/>
  <c r="I42" i="3" s="1"/>
  <c r="I37" i="5"/>
  <c r="J245" i="7"/>
  <c r="J246" i="7" s="1"/>
  <c r="J176" i="7"/>
  <c r="I36" i="5"/>
  <c r="I113" i="6"/>
  <c r="H176" i="7"/>
  <c r="G207" i="7"/>
  <c r="G208" i="7" s="1"/>
  <c r="E69" i="7" l="1"/>
  <c r="G69" i="7" s="1"/>
  <c r="G37" i="7"/>
  <c r="M207" i="7"/>
  <c r="M208" i="7" s="1"/>
  <c r="M249" i="7"/>
  <c r="M251" i="7" s="1"/>
  <c r="M252" i="7" s="1"/>
  <c r="I37" i="7"/>
  <c r="I214" i="7"/>
  <c r="I217" i="7" s="1"/>
  <c r="G220" i="7"/>
  <c r="E222" i="7"/>
  <c r="L208" i="7"/>
  <c r="E208" i="7"/>
  <c r="I68" i="7"/>
  <c r="I219" i="7"/>
  <c r="I222" i="7" s="1"/>
  <c r="I223" i="7" s="1"/>
  <c r="F208" i="7"/>
  <c r="G214" i="7"/>
  <c r="E217" i="7"/>
  <c r="G217" i="7" s="1"/>
  <c r="L252" i="7"/>
  <c r="H208" i="7"/>
  <c r="C252" i="7"/>
  <c r="B235" i="7"/>
  <c r="B237" i="7" s="1"/>
  <c r="B238" i="7" s="1"/>
  <c r="B138" i="7"/>
  <c r="B139" i="7" s="1"/>
  <c r="C208" i="7"/>
  <c r="E223" i="7" l="1"/>
  <c r="G223" i="7" s="1"/>
  <c r="G222" i="7"/>
  <c r="I69" i="7"/>
</calcChain>
</file>

<file path=xl/sharedStrings.xml><?xml version="1.0" encoding="utf-8"?>
<sst xmlns="http://schemas.openxmlformats.org/spreadsheetml/2006/main" count="46660" uniqueCount="8026">
  <si>
    <t>Collection Executive</t>
  </si>
  <si>
    <t>Week 1</t>
  </si>
  <si>
    <t>Week 2</t>
  </si>
  <si>
    <t>Week 3</t>
  </si>
  <si>
    <t>Week 4</t>
  </si>
  <si>
    <t>Week 5</t>
  </si>
  <si>
    <t>Grand Total</t>
  </si>
  <si>
    <t>Dues</t>
  </si>
  <si>
    <t>Monish</t>
  </si>
  <si>
    <t>Melvyn</t>
  </si>
  <si>
    <t>Walid</t>
  </si>
  <si>
    <t>Anna</t>
  </si>
  <si>
    <t>UAQ Sub Total</t>
  </si>
  <si>
    <t>Ruhul</t>
  </si>
  <si>
    <t>Ali</t>
  </si>
  <si>
    <t>Anirudh</t>
  </si>
  <si>
    <t>Aqsa</t>
  </si>
  <si>
    <t>Karan</t>
  </si>
  <si>
    <t>Rajiv</t>
  </si>
  <si>
    <t>Vinod</t>
  </si>
  <si>
    <t>Sarmad</t>
  </si>
  <si>
    <t>Zeba</t>
  </si>
  <si>
    <t>Oksana</t>
  </si>
  <si>
    <t>Omar</t>
  </si>
  <si>
    <t>Sid</t>
  </si>
  <si>
    <t>Ainur</t>
  </si>
  <si>
    <t>Lamis</t>
  </si>
  <si>
    <t>Daria</t>
  </si>
  <si>
    <t>Yusuf</t>
  </si>
  <si>
    <t>Moustafa</t>
  </si>
  <si>
    <t>Nijish</t>
  </si>
  <si>
    <t>Sabah</t>
  </si>
  <si>
    <t>Farheen</t>
  </si>
  <si>
    <t>Hussein</t>
  </si>
  <si>
    <t>Abdellatif</t>
  </si>
  <si>
    <t>SOBHA Sub Total</t>
  </si>
  <si>
    <t>Total Dues</t>
  </si>
  <si>
    <t>Advances</t>
  </si>
  <si>
    <t>Abdulla</t>
  </si>
  <si>
    <t>Ateev</t>
  </si>
  <si>
    <t>Ayari</t>
  </si>
  <si>
    <t>Nischitha</t>
  </si>
  <si>
    <t>Sherif</t>
  </si>
  <si>
    <t>Wael</t>
  </si>
  <si>
    <t>Yogesh</t>
  </si>
  <si>
    <t>Krizia</t>
  </si>
  <si>
    <t>Vijay</t>
  </si>
  <si>
    <t>Jaidev</t>
  </si>
  <si>
    <t>Basma</t>
  </si>
  <si>
    <t>Noha</t>
  </si>
  <si>
    <t>Total Advances</t>
  </si>
  <si>
    <t>Sobha</t>
  </si>
  <si>
    <t>As per Tracker</t>
  </si>
  <si>
    <t>PR</t>
  </si>
  <si>
    <t>Monthly Target</t>
  </si>
  <si>
    <t>Total Achieved %</t>
  </si>
  <si>
    <t>PR Approved</t>
  </si>
  <si>
    <t>PR Not Approved</t>
  </si>
  <si>
    <t xml:space="preserve">Total Dues </t>
  </si>
  <si>
    <t>Not Approved</t>
  </si>
  <si>
    <t>In Process</t>
  </si>
  <si>
    <t>Resubmitted</t>
  </si>
  <si>
    <t>Rejected</t>
  </si>
  <si>
    <t>SOBHA</t>
  </si>
  <si>
    <t>Cheque</t>
  </si>
  <si>
    <t>Other Mode of Payment</t>
  </si>
  <si>
    <t>Cancelled</t>
  </si>
  <si>
    <t>Cleared</t>
  </si>
  <si>
    <t>PDC</t>
  </si>
  <si>
    <t>Processed-Sent for Banking</t>
  </si>
  <si>
    <t>Cheque Hold</t>
  </si>
  <si>
    <t>UnProcessed</t>
  </si>
  <si>
    <t>Unallocated</t>
  </si>
  <si>
    <t>PDC Approved this Month / Amount to be allocated</t>
  </si>
  <si>
    <t>Siniya</t>
  </si>
  <si>
    <t>Sijit</t>
  </si>
  <si>
    <t>SINIYA</t>
  </si>
  <si>
    <t>Downtown</t>
  </si>
  <si>
    <t>Sobha AUH</t>
  </si>
  <si>
    <t>TOTAL</t>
  </si>
  <si>
    <t>SOBHA AUH Sub Total</t>
  </si>
  <si>
    <t>Total</t>
  </si>
  <si>
    <t>Ahmed</t>
  </si>
  <si>
    <t>Advance</t>
  </si>
  <si>
    <t>Sobha AUH Sub Total</t>
  </si>
  <si>
    <t>TOTAL - PW</t>
  </si>
  <si>
    <t>SOBHA DUES</t>
  </si>
  <si>
    <t>UAQ DUES</t>
  </si>
  <si>
    <t>SOBHA AUH DUES</t>
  </si>
  <si>
    <t>Total DUES</t>
  </si>
  <si>
    <t>SOBHA ADVANCE</t>
  </si>
  <si>
    <t>UAQ ADVANCE</t>
  </si>
  <si>
    <t>Sobha AUH ADVANCE</t>
  </si>
  <si>
    <t>Total ADVANCE</t>
  </si>
  <si>
    <t>GRAND TOTAL</t>
  </si>
  <si>
    <t>Total - PW</t>
  </si>
  <si>
    <t>SOBHA Dues</t>
  </si>
  <si>
    <t>UAQ Dues</t>
  </si>
  <si>
    <t>SOBHA Advance</t>
  </si>
  <si>
    <t>UAQ Advance</t>
  </si>
  <si>
    <t>Total Advance</t>
  </si>
  <si>
    <t>Payment Request: Payment Request Name</t>
  </si>
  <si>
    <t>Mode</t>
  </si>
  <si>
    <t>Amount</t>
  </si>
  <si>
    <t>Booking: Unit</t>
  </si>
  <si>
    <t>Payment Request: Created By</t>
  </si>
  <si>
    <t>Status</t>
  </si>
  <si>
    <t>Payment Request: Created Date</t>
  </si>
  <si>
    <t>Booking: Booking Name</t>
  </si>
  <si>
    <t>Unit Purchase Amount</t>
  </si>
  <si>
    <t>Instrument Date</t>
  </si>
  <si>
    <t>Cheque Date</t>
  </si>
  <si>
    <t>Date of Initiation</t>
  </si>
  <si>
    <t>Towards Other Charges Amount</t>
  </si>
  <si>
    <t>Towards Pre-Registration Amount</t>
  </si>
  <si>
    <t>Amount Towards</t>
  </si>
  <si>
    <t>Net Unit Amount</t>
  </si>
  <si>
    <t>Collector name</t>
  </si>
  <si>
    <t>Remarks</t>
  </si>
  <si>
    <t>paid percentage</t>
  </si>
  <si>
    <t>Filtering Data</t>
  </si>
  <si>
    <t>Project</t>
  </si>
  <si>
    <t>Receipt Number</t>
  </si>
  <si>
    <t>Receipt Status</t>
  </si>
  <si>
    <t>All PR this Month Updated | Salesforce</t>
  </si>
  <si>
    <t>Receipt Name</t>
  </si>
  <si>
    <t>Project Unit: Unit Name</t>
  </si>
  <si>
    <t>Opportunity: Opportunity Name</t>
  </si>
  <si>
    <t>Total Amount</t>
  </si>
  <si>
    <t>Sub Project</t>
  </si>
  <si>
    <t>Collector Name</t>
  </si>
  <si>
    <t>PDC - all time</t>
  </si>
  <si>
    <t>Executive</t>
  </si>
  <si>
    <t>Standard Name</t>
  </si>
  <si>
    <t>Executive Catgeory</t>
  </si>
  <si>
    <t>Executive Post</t>
  </si>
  <si>
    <t>R-920972</t>
  </si>
  <si>
    <t>B-48687</t>
  </si>
  <si>
    <t>SCY-RC-B402</t>
  </si>
  <si>
    <t>Ali Thallab Mohamed Fahad Alhajeri</t>
  </si>
  <si>
    <t>River Cove Residences-River Cove Residences - Tower B</t>
  </si>
  <si>
    <t>Ahmed Abdellatif Mahmoud Elhanafy Shokil</t>
  </si>
  <si>
    <t>Collector</t>
  </si>
  <si>
    <t>R-920973</t>
  </si>
  <si>
    <t>Ahmed Atia</t>
  </si>
  <si>
    <t>Atia</t>
  </si>
  <si>
    <t>R-139362</t>
  </si>
  <si>
    <t>B-17852</t>
  </si>
  <si>
    <t>6P12</t>
  </si>
  <si>
    <t>Gayathri  Potti Rajan</t>
  </si>
  <si>
    <t>Greens-Phase III - Building 6</t>
  </si>
  <si>
    <t>Ainur Mukanova</t>
  </si>
  <si>
    <t>R-447320</t>
  </si>
  <si>
    <t>B-10204</t>
  </si>
  <si>
    <t>VE 138</t>
  </si>
  <si>
    <t>Azenda Real Estate LLC</t>
  </si>
  <si>
    <t>Villas-Phase III</t>
  </si>
  <si>
    <t>Ali Babu Shaikh</t>
  </si>
  <si>
    <t>R-451660</t>
  </si>
  <si>
    <t>B-9304</t>
  </si>
  <si>
    <t>CVG-2508</t>
  </si>
  <si>
    <t>AZAT SHAIMUKHAMETOV</t>
  </si>
  <si>
    <t>Creek Vistas Grande-Creek Vistas Grande</t>
  </si>
  <si>
    <t>Anirudh Sharma</t>
  </si>
  <si>
    <t>R-451715</t>
  </si>
  <si>
    <t>B-10585</t>
  </si>
  <si>
    <t>CVG-1805</t>
  </si>
  <si>
    <t>AZAT SHAIMUKHAMETOV- CVG1805</t>
  </si>
  <si>
    <t>Aqsa Rahman</t>
  </si>
  <si>
    <t>R-459338</t>
  </si>
  <si>
    <t>B-8965</t>
  </si>
  <si>
    <t>CVG-2401</t>
  </si>
  <si>
    <t>SUBHI KANAWATI</t>
  </si>
  <si>
    <t>Daria Lisovets</t>
  </si>
  <si>
    <t>R-463887</t>
  </si>
  <si>
    <t>B-9033</t>
  </si>
  <si>
    <t>CVG-2404</t>
  </si>
  <si>
    <t>Itsaiva Pacome  CVG-2404</t>
  </si>
  <si>
    <t>Farheen Parveen</t>
  </si>
  <si>
    <t>R-463898</t>
  </si>
  <si>
    <t>B-9023</t>
  </si>
  <si>
    <t>CVG-2003</t>
  </si>
  <si>
    <t>Itsaiva Pacome</t>
  </si>
  <si>
    <t>Hussein Moawad</t>
  </si>
  <si>
    <t>R-466985</t>
  </si>
  <si>
    <t>B-9987</t>
  </si>
  <si>
    <t>CVG-3007</t>
  </si>
  <si>
    <t>Andrey Luntovskiy</t>
  </si>
  <si>
    <t>Karan Bhatia</t>
  </si>
  <si>
    <t>R-470117</t>
  </si>
  <si>
    <t>B-8690</t>
  </si>
  <si>
    <t>CVG-1910</t>
  </si>
  <si>
    <t>Samy Talaat Barakat</t>
  </si>
  <si>
    <t>Lamis Amamra</t>
  </si>
  <si>
    <t>R-470590</t>
  </si>
  <si>
    <t>B-10970</t>
  </si>
  <si>
    <t>CVG-805</t>
  </si>
  <si>
    <t>Ms. Tanya Jain Sanjiv Kumar Jain</t>
  </si>
  <si>
    <t>Moustafa Ahmed Zaky Mohamed Attallah</t>
  </si>
  <si>
    <t>R-470529</t>
  </si>
  <si>
    <t>B-9176</t>
  </si>
  <si>
    <t>CVG-3301</t>
  </si>
  <si>
    <t>VLADIMIR VOLKOV - CVG-3301</t>
  </si>
  <si>
    <t>Oksana Stepanenko</t>
  </si>
  <si>
    <t>R-470553</t>
  </si>
  <si>
    <t>B-12085</t>
  </si>
  <si>
    <t>CVG-906</t>
  </si>
  <si>
    <t>Mr. Mahad Dayib Khalif</t>
  </si>
  <si>
    <t>Omar Elsayed Mohamed Rezk Shanab</t>
  </si>
  <si>
    <t>R-470666</t>
  </si>
  <si>
    <t>B-10008</t>
  </si>
  <si>
    <t>CVG-3001</t>
  </si>
  <si>
    <t>Modern Living-CVG3001</t>
  </si>
  <si>
    <t>Rajiv Singh</t>
  </si>
  <si>
    <t>R-470667</t>
  </si>
  <si>
    <t>B-10004</t>
  </si>
  <si>
    <t>CVG-3605</t>
  </si>
  <si>
    <t>Modern Living-CVG3605</t>
  </si>
  <si>
    <t>Ruhul Amin</t>
  </si>
  <si>
    <t>R-470668</t>
  </si>
  <si>
    <t>B-10006</t>
  </si>
  <si>
    <t>CVG-3607</t>
  </si>
  <si>
    <t>Modern Living-CVG3607</t>
  </si>
  <si>
    <t>Sabah Anis</t>
  </si>
  <si>
    <t>R-471019</t>
  </si>
  <si>
    <t>B-8652</t>
  </si>
  <si>
    <t>CVG-2409</t>
  </si>
  <si>
    <t>SHILPA  SHETTY</t>
  </si>
  <si>
    <t>Sarmad Zia</t>
  </si>
  <si>
    <t>R-471420</t>
  </si>
  <si>
    <t>B-8691</t>
  </si>
  <si>
    <t>CVG-2010</t>
  </si>
  <si>
    <t>Samy Talaat Barakat- CVG 2010</t>
  </si>
  <si>
    <t>Sid Ahmed Kriket</t>
  </si>
  <si>
    <t>R-471955</t>
  </si>
  <si>
    <t>B-9458</t>
  </si>
  <si>
    <t>CVG-2801</t>
  </si>
  <si>
    <t>Jiahui Chuang CVG-2801</t>
  </si>
  <si>
    <t>Vinod Kumar Karunakaran Pankajam</t>
  </si>
  <si>
    <t>R-471977</t>
  </si>
  <si>
    <t>B-10635</t>
  </si>
  <si>
    <t>CVG-1601</t>
  </si>
  <si>
    <t>Mr. Rajan Ashok Uttamchandani</t>
  </si>
  <si>
    <t>Zeba Begum</t>
  </si>
  <si>
    <t>R-472538</t>
  </si>
  <si>
    <t>B-9113</t>
  </si>
  <si>
    <t>CVG-3702</t>
  </si>
  <si>
    <t>Ms. Tam Malin Maria Holmstrom</t>
  </si>
  <si>
    <t>Nijish Achuthan</t>
  </si>
  <si>
    <t>R-472553</t>
  </si>
  <si>
    <t>B-10171</t>
  </si>
  <si>
    <t>CVG-2501</t>
  </si>
  <si>
    <t>Mr. Ruodi Hu</t>
  </si>
  <si>
    <t>Anna Serova</t>
  </si>
  <si>
    <t>R-474622</t>
  </si>
  <si>
    <t>B-10877</t>
  </si>
  <si>
    <t>CVG-3205</t>
  </si>
  <si>
    <t>Bilal Ahmed Jamel Ahmed</t>
  </si>
  <si>
    <t>Melvyn Martin Joseph Fernandes</t>
  </si>
  <si>
    <t>R-476031</t>
  </si>
  <si>
    <t>B-8683</t>
  </si>
  <si>
    <t>CVG-1609</t>
  </si>
  <si>
    <t>Nadin Essam Loutfy Elsaid Elnaggar CVG-1609</t>
  </si>
  <si>
    <t>Monish Mangalore</t>
  </si>
  <si>
    <t>R-476048</t>
  </si>
  <si>
    <t>B-8669</t>
  </si>
  <si>
    <t>CVG-1204</t>
  </si>
  <si>
    <t>JHUMA</t>
  </si>
  <si>
    <t>WALID YASSIN</t>
  </si>
  <si>
    <t>R-476049</t>
  </si>
  <si>
    <t>B-8615</t>
  </si>
  <si>
    <t>CVG-2502</t>
  </si>
  <si>
    <t>Ms. Huihui Ding</t>
  </si>
  <si>
    <t>Mohammed Abdulla</t>
  </si>
  <si>
    <t>R-476074</t>
  </si>
  <si>
    <t>B-10014</t>
  </si>
  <si>
    <t>CVG-1306</t>
  </si>
  <si>
    <t>Mr. Teimuraz Grigolava</t>
  </si>
  <si>
    <t>Ateev Mehra</t>
  </si>
  <si>
    <t>R-477524</t>
  </si>
  <si>
    <t>B-9911</t>
  </si>
  <si>
    <t>CVG-3309</t>
  </si>
  <si>
    <t>Jurgen Riesel</t>
  </si>
  <si>
    <t>Mohamed Ayari</t>
  </si>
  <si>
    <t>R-478617</t>
  </si>
  <si>
    <t>B-8991</t>
  </si>
  <si>
    <t>CVG-3701</t>
  </si>
  <si>
    <t>Kcendzov Semen</t>
  </si>
  <si>
    <t>Basma Metwally</t>
  </si>
  <si>
    <t>R-480630</t>
  </si>
  <si>
    <t>B-10349</t>
  </si>
  <si>
    <t>CVG-203</t>
  </si>
  <si>
    <t>Ms. Sumana Devi Vijay Kumar</t>
  </si>
  <si>
    <t>Jaidev Rajesh Shah</t>
  </si>
  <si>
    <t>R-481220</t>
  </si>
  <si>
    <t>B-8660</t>
  </si>
  <si>
    <t>CVG-2109</t>
  </si>
  <si>
    <t>Mr. Yahia Abdel Moneim Kabil</t>
  </si>
  <si>
    <t>Krizia Leah Nikita Collin</t>
  </si>
  <si>
    <t>R-481589</t>
  </si>
  <si>
    <t>B-11016</t>
  </si>
  <si>
    <t>CVG-3707</t>
  </si>
  <si>
    <t>prashant Dixit</t>
  </si>
  <si>
    <t>R-481597</t>
  </si>
  <si>
    <t>B-8666</t>
  </si>
  <si>
    <t>CVG-2510</t>
  </si>
  <si>
    <t>Mr.Mehdi Hassan Issa Rammal</t>
  </si>
  <si>
    <t>Noha Elhattab</t>
  </si>
  <si>
    <t>R-481606</t>
  </si>
  <si>
    <t>B-8665</t>
  </si>
  <si>
    <t>CVG-2209</t>
  </si>
  <si>
    <t>Sherif Zaki</t>
  </si>
  <si>
    <t>R-482580</t>
  </si>
  <si>
    <t>B-8858</t>
  </si>
  <si>
    <t>CVG-910</t>
  </si>
  <si>
    <t>Mary Ann Beltran Lapuz CVG-910</t>
  </si>
  <si>
    <t>Vijay Narayanan Pillai</t>
  </si>
  <si>
    <t>R-483247</t>
  </si>
  <si>
    <t>B-8607</t>
  </si>
  <si>
    <t>CVG-3109</t>
  </si>
  <si>
    <t>DANIL ANISIMOV - CVG 3109 - (New)</t>
  </si>
  <si>
    <t>Wael Mohamed Abdelmonem Ramadan</t>
  </si>
  <si>
    <t>R-483798</t>
  </si>
  <si>
    <t>B-8869</t>
  </si>
  <si>
    <t>CVG-3809</t>
  </si>
  <si>
    <t>JOHN VIYANI GREGORY - CVG-3809</t>
  </si>
  <si>
    <t>Yogesh Karande</t>
  </si>
  <si>
    <t>R-484084</t>
  </si>
  <si>
    <t>B-10685</t>
  </si>
  <si>
    <t>CVG-2907</t>
  </si>
  <si>
    <t>Minnie Bodhanwala</t>
  </si>
  <si>
    <t>Rohan Nair</t>
  </si>
  <si>
    <t>Rohan</t>
  </si>
  <si>
    <t>Manager</t>
  </si>
  <si>
    <t>R-484620</t>
  </si>
  <si>
    <t>B-9138</t>
  </si>
  <si>
    <t>CVG-2802</t>
  </si>
  <si>
    <t>LIHUA FAN</t>
  </si>
  <si>
    <t>Karan Kohli</t>
  </si>
  <si>
    <t>R-485114</t>
  </si>
  <si>
    <t>B-9758</t>
  </si>
  <si>
    <t>CVG-1909</t>
  </si>
  <si>
    <t>GULNAWAZ AAMIR</t>
  </si>
  <si>
    <t>Manuraj Chouhan</t>
  </si>
  <si>
    <t>Manuraj</t>
  </si>
  <si>
    <t>R-487042</t>
  </si>
  <si>
    <t>B-10165</t>
  </si>
  <si>
    <t>CVG-404</t>
  </si>
  <si>
    <t>Mohammed Youssef Mohammed Abouelmagd Khashaba CVG-404</t>
  </si>
  <si>
    <t>R-487589</t>
  </si>
  <si>
    <t>B-8552</t>
  </si>
  <si>
    <t>CVG-3409</t>
  </si>
  <si>
    <t>ANAND SADASIVA IYER</t>
  </si>
  <si>
    <t>R-487604</t>
  </si>
  <si>
    <t>B-9718</t>
  </si>
  <si>
    <t>CVG-1108</t>
  </si>
  <si>
    <t>Mr. Yiping Zhang</t>
  </si>
  <si>
    <t>R-488149</t>
  </si>
  <si>
    <t>B-8799</t>
  </si>
  <si>
    <t>CVG-1503</t>
  </si>
  <si>
    <t>ELNUR NURITDNOV</t>
  </si>
  <si>
    <t>R-488872</t>
  </si>
  <si>
    <t>B-9786</t>
  </si>
  <si>
    <t>CVG-3308</t>
  </si>
  <si>
    <t>PRIYANKA VYAS</t>
  </si>
  <si>
    <t>R-488878</t>
  </si>
  <si>
    <t>B-9186</t>
  </si>
  <si>
    <t>CVG-1009</t>
  </si>
  <si>
    <t>Rehaaan Nensey</t>
  </si>
  <si>
    <t>R-488881</t>
  </si>
  <si>
    <t>B-9262</t>
  </si>
  <si>
    <t>CVG-2608</t>
  </si>
  <si>
    <t>Alsafan textile trading .</t>
  </si>
  <si>
    <t>R-493861</t>
  </si>
  <si>
    <t>B-9224</t>
  </si>
  <si>
    <t>CVG-904</t>
  </si>
  <si>
    <t>Valeriy Khegay</t>
  </si>
  <si>
    <t>R-493826</t>
  </si>
  <si>
    <t>B-23829</t>
  </si>
  <si>
    <t>CVG-3310</t>
  </si>
  <si>
    <t>Francesco Grillo</t>
  </si>
  <si>
    <t>R-493851</t>
  </si>
  <si>
    <t>B-8721</t>
  </si>
  <si>
    <t>CVG-3910</t>
  </si>
  <si>
    <t>Mr. Jihad Mohamad Hassan</t>
  </si>
  <si>
    <t>R-507555</t>
  </si>
  <si>
    <t>B-8762</t>
  </si>
  <si>
    <t>CVG-3403</t>
  </si>
  <si>
    <t>GULNARA ZUFEROVNA BERG</t>
  </si>
  <si>
    <t>R-515655</t>
  </si>
  <si>
    <t>B-9466</t>
  </si>
  <si>
    <t>CVG-1308</t>
  </si>
  <si>
    <t>ELENA CARMEN POPESCU</t>
  </si>
  <si>
    <t>R-518725</t>
  </si>
  <si>
    <t>B-8963</t>
  </si>
  <si>
    <t>CVG-3703</t>
  </si>
  <si>
    <t>OLGA BARKHUDAROVA- CVG3703</t>
  </si>
  <si>
    <t>R-521744</t>
  </si>
  <si>
    <t>B-8698</t>
  </si>
  <si>
    <t>CVG-3903</t>
  </si>
  <si>
    <t>Montrose Properties Limited</t>
  </si>
  <si>
    <t>R-523808</t>
  </si>
  <si>
    <t>B-11078</t>
  </si>
  <si>
    <t>CVG-2507</t>
  </si>
  <si>
    <t>R-527496</t>
  </si>
  <si>
    <t>B-10714</t>
  </si>
  <si>
    <t>CVG-103</t>
  </si>
  <si>
    <t>M/S. GEMA LEASING &amp; MANAGEMENT OF SELF OWNED PROPERTY L.L.C</t>
  </si>
  <si>
    <t>R-544411</t>
  </si>
  <si>
    <t>B-8747</t>
  </si>
  <si>
    <t>CVG-909</t>
  </si>
  <si>
    <t>Ms. Nishrin Murtuza Merchant</t>
  </si>
  <si>
    <t>R-602831</t>
  </si>
  <si>
    <t>B-10743</t>
  </si>
  <si>
    <t>CVG-1705</t>
  </si>
  <si>
    <t>Guojian Shao</t>
  </si>
  <si>
    <t>R-604074</t>
  </si>
  <si>
    <t>B-8750</t>
  </si>
  <si>
    <t>CVG-1110</t>
  </si>
  <si>
    <t>VLADIMIR ZHIVOTOV - CVG-1110</t>
  </si>
  <si>
    <t>R-606886</t>
  </si>
  <si>
    <t>B-8841</t>
  </si>
  <si>
    <t>CVG-4010</t>
  </si>
  <si>
    <t>FRANCIS VIEGAS</t>
  </si>
  <si>
    <t>R-621272</t>
  </si>
  <si>
    <t>B-8699</t>
  </si>
  <si>
    <t>CVG-3904</t>
  </si>
  <si>
    <t>R-626410</t>
  </si>
  <si>
    <t>B-9239</t>
  </si>
  <si>
    <t>CVG-3401</t>
  </si>
  <si>
    <t>AMMER ALSOOS - CVG-3401</t>
  </si>
  <si>
    <t>R-628247</t>
  </si>
  <si>
    <t>B-9692</t>
  </si>
  <si>
    <t>CVG-3002</t>
  </si>
  <si>
    <t>BULENT CIHANTIMUR</t>
  </si>
  <si>
    <t>R-631638</t>
  </si>
  <si>
    <t>B-11082</t>
  </si>
  <si>
    <t>CVG-2007</t>
  </si>
  <si>
    <t>R-631912</t>
  </si>
  <si>
    <t>B-8718</t>
  </si>
  <si>
    <t>CVG-3907</t>
  </si>
  <si>
    <t>R-634337</t>
  </si>
  <si>
    <t>B-9373</t>
  </si>
  <si>
    <t>CVG-1203</t>
  </si>
  <si>
    <t>Najwa Alshamsi</t>
  </si>
  <si>
    <t>R-646907</t>
  </si>
  <si>
    <t>B-9725</t>
  </si>
  <si>
    <t>CVG-1002</t>
  </si>
  <si>
    <t>RICHMOND CONSULTING LLC - FZ - CVG-1002</t>
  </si>
  <si>
    <t>R-646923</t>
  </si>
  <si>
    <t>B-9712</t>
  </si>
  <si>
    <t>CVG-1102</t>
  </si>
  <si>
    <t>RICHMOND CONSULTING LLC - FZ - CVG-1102</t>
  </si>
  <si>
    <t>R-648378</t>
  </si>
  <si>
    <t>B-9716</t>
  </si>
  <si>
    <t>CVG-1602</t>
  </si>
  <si>
    <t>RICHMOND CONSULTING LLC - FZ - CVG-1602</t>
  </si>
  <si>
    <t>R-655763</t>
  </si>
  <si>
    <t>B-9717</t>
  </si>
  <si>
    <t>CVG-902</t>
  </si>
  <si>
    <t>Ms Arunima Gupta</t>
  </si>
  <si>
    <t>R-662142</t>
  </si>
  <si>
    <t>B-9723</t>
  </si>
  <si>
    <t>CVG-2008</t>
  </si>
  <si>
    <t>RICHMOND CONSULTING LLC - FZ - CVG-2008</t>
  </si>
  <si>
    <t>R-662616</t>
  </si>
  <si>
    <t>B-9719</t>
  </si>
  <si>
    <t>CVG-1808</t>
  </si>
  <si>
    <t>RICHMOND CONSULTING LLC - FZ - CVG-1808</t>
  </si>
  <si>
    <t>R-667250</t>
  </si>
  <si>
    <t>B-9715</t>
  </si>
  <si>
    <t>CVG-1702</t>
  </si>
  <si>
    <t>RICHMOND CONSULTING LLC - FZ - CVG-1702</t>
  </si>
  <si>
    <t>R-670103</t>
  </si>
  <si>
    <t>B-10527</t>
  </si>
  <si>
    <t>CVG-1501</t>
  </si>
  <si>
    <t>Sachin Arora</t>
  </si>
  <si>
    <t>R-691803</t>
  </si>
  <si>
    <t>B-15274</t>
  </si>
  <si>
    <t>VER-3207</t>
  </si>
  <si>
    <t>Alexandre Benoit J Berthe</t>
  </si>
  <si>
    <t>Verde By Sobha-Verde</t>
  </si>
  <si>
    <t>R-706204</t>
  </si>
  <si>
    <t>B-24785</t>
  </si>
  <si>
    <t>SOR-A3016</t>
  </si>
  <si>
    <t>Shiv Kumar</t>
  </si>
  <si>
    <t>Sobha Orbis-Orbis Tower A</t>
  </si>
  <si>
    <t>R-709620</t>
  </si>
  <si>
    <t>B-15444</t>
  </si>
  <si>
    <t>WO-905</t>
  </si>
  <si>
    <t>Alla Belyak - WO-905</t>
  </si>
  <si>
    <t>Sobha Waves Opulence-Sobha Waves Opulence</t>
  </si>
  <si>
    <t>-</t>
  </si>
  <si>
    <t>R-738763</t>
  </si>
  <si>
    <t>B-10066</t>
  </si>
  <si>
    <t>CVG-3005</t>
  </si>
  <si>
    <t>Arkadii Avakian</t>
  </si>
  <si>
    <t>R-744900</t>
  </si>
  <si>
    <t>B-10894</t>
  </si>
  <si>
    <t>CVG-403</t>
  </si>
  <si>
    <t>Bela kacsis</t>
  </si>
  <si>
    <t>R-842451</t>
  </si>
  <si>
    <t>B-12832</t>
  </si>
  <si>
    <t>WO-2805</t>
  </si>
  <si>
    <t>Ashish Kumar</t>
  </si>
  <si>
    <t>R-847570</t>
  </si>
  <si>
    <t>B-47809</t>
  </si>
  <si>
    <t>SSA-1806</t>
  </si>
  <si>
    <t>INAYATULLAH MUHAMMAD</t>
  </si>
  <si>
    <t>Skyvue Altier-Skyvue Altier</t>
  </si>
  <si>
    <t>R-848901</t>
  </si>
  <si>
    <t>B-4514</t>
  </si>
  <si>
    <t>WS 33</t>
  </si>
  <si>
    <t>Gaurav Grover</t>
  </si>
  <si>
    <t>Sobha Tranquility-Sobha Tranquility</t>
  </si>
  <si>
    <t>R-911430</t>
  </si>
  <si>
    <t>B-18130</t>
  </si>
  <si>
    <t>330 RSC-4014</t>
  </si>
  <si>
    <t>Ms Sonia Gandhi Kewal Krishan</t>
  </si>
  <si>
    <t>330 Riverside Crescent-330 Riverside Crescent</t>
  </si>
  <si>
    <t>R-917925</t>
  </si>
  <si>
    <t>B-24442</t>
  </si>
  <si>
    <t>SAV-2815</t>
  </si>
  <si>
    <t>KOCHU JAMALUDHEEN KANNANKILAKATHU</t>
  </si>
  <si>
    <t>Skyscape Avenue-Skyscape Avenue</t>
  </si>
  <si>
    <t>R-918353</t>
  </si>
  <si>
    <t>B-21955</t>
  </si>
  <si>
    <t>SO-E1408</t>
  </si>
  <si>
    <t>Ravi Bhagwan Jagtiani</t>
  </si>
  <si>
    <t>Sobha One-Sobha One Tower E</t>
  </si>
  <si>
    <t>R-918359</t>
  </si>
  <si>
    <t>B-37474</t>
  </si>
  <si>
    <t>SAV-810</t>
  </si>
  <si>
    <t>Sherzod Asadov</t>
  </si>
  <si>
    <t>R-919339</t>
  </si>
  <si>
    <t>B-49041</t>
  </si>
  <si>
    <t>SCY-RC-C211</t>
  </si>
  <si>
    <t>Muayad Abdelkarim Mohammad Suwan</t>
  </si>
  <si>
    <t>River Cove Residences-River Cove Residences - Tower C</t>
  </si>
  <si>
    <t>R-919340</t>
  </si>
  <si>
    <t>R-919315</t>
  </si>
  <si>
    <t>B-49102</t>
  </si>
  <si>
    <t>SST-7601</t>
  </si>
  <si>
    <t>arash hosseinali shahsavarzehi naroueiarash hosseinali</t>
  </si>
  <si>
    <t>Skyvue Stellar-Skyvue Stellar</t>
  </si>
  <si>
    <t>PR-0505928</t>
  </si>
  <si>
    <t>Website</t>
  </si>
  <si>
    <t>RA-2113</t>
  </si>
  <si>
    <t>Rejected by System</t>
  </si>
  <si>
    <t>B-1368</t>
  </si>
  <si>
    <t>Yes</t>
  </si>
  <si>
    <t>PR-0502814</t>
  </si>
  <si>
    <t>SR-V 607</t>
  </si>
  <si>
    <t>Sobha One App</t>
  </si>
  <si>
    <t>Approved</t>
  </si>
  <si>
    <t>B-18187</t>
  </si>
  <si>
    <t>Unit Price</t>
  </si>
  <si>
    <t>PR-0505402</t>
  </si>
  <si>
    <t>SR-V 619</t>
  </si>
  <si>
    <t>B-21472</t>
  </si>
  <si>
    <t>PR-0505390</t>
  </si>
  <si>
    <t>PR-0506020</t>
  </si>
  <si>
    <t>PR-0506019</t>
  </si>
  <si>
    <t>PR-0502901</t>
  </si>
  <si>
    <t>SO-A814</t>
  </si>
  <si>
    <t>Abdulabid Chiralakandy</t>
  </si>
  <si>
    <t>B-28335</t>
  </si>
  <si>
    <t>PR-0502900</t>
  </si>
  <si>
    <t>PR-0502954</t>
  </si>
  <si>
    <t>PR-0502952</t>
  </si>
  <si>
    <t>PR-0503500</t>
  </si>
  <si>
    <t>SO-A815</t>
  </si>
  <si>
    <t>B-33555</t>
  </si>
  <si>
    <t>PR-0504284</t>
  </si>
  <si>
    <t>PR-0502756</t>
  </si>
  <si>
    <t>DWT(Domestic)</t>
  </si>
  <si>
    <t>SO-A2213</t>
  </si>
  <si>
    <t>B-32807</t>
  </si>
  <si>
    <t>PR-0505941</t>
  </si>
  <si>
    <t>SO-B1516</t>
  </si>
  <si>
    <t>Pending for Accounts Approval</t>
  </si>
  <si>
    <t>B-33407</t>
  </si>
  <si>
    <t>In process</t>
  </si>
  <si>
    <t>PR-0504186</t>
  </si>
  <si>
    <t>SO-B3917</t>
  </si>
  <si>
    <t>Resubmitted to SM/SD</t>
  </si>
  <si>
    <t>B-34010</t>
  </si>
  <si>
    <t>PR-0503017</t>
  </si>
  <si>
    <t>SO-B4117</t>
  </si>
  <si>
    <t>B-33456</t>
  </si>
  <si>
    <t>PR-0503253</t>
  </si>
  <si>
    <t>SO-B1016</t>
  </si>
  <si>
    <t>B-40377</t>
  </si>
  <si>
    <t>PR-0504587</t>
  </si>
  <si>
    <t>PR-0504439</t>
  </si>
  <si>
    <t>IWT(International)</t>
  </si>
  <si>
    <t>SO-B2120</t>
  </si>
  <si>
    <t>B-21686</t>
  </si>
  <si>
    <t>PR-0505363</t>
  </si>
  <si>
    <t>PR-0506024</t>
  </si>
  <si>
    <t>PR-0506017</t>
  </si>
  <si>
    <t>PR-0506008</t>
  </si>
  <si>
    <t>PR-0504234</t>
  </si>
  <si>
    <t>OTC Deposit(Cash counter)</t>
  </si>
  <si>
    <t>SO-D918</t>
  </si>
  <si>
    <t>Julius Santoline Noronha</t>
  </si>
  <si>
    <t>B-17486</t>
  </si>
  <si>
    <t>PR-0504914</t>
  </si>
  <si>
    <t>SO-E1412</t>
  </si>
  <si>
    <t>B-22286</t>
  </si>
  <si>
    <t>PR-0504906</t>
  </si>
  <si>
    <t>PR-0505543</t>
  </si>
  <si>
    <t>VER-3406</t>
  </si>
  <si>
    <t>Mukhammad Yusuf Mirjalil</t>
  </si>
  <si>
    <t>B-19930</t>
  </si>
  <si>
    <t>PR-0505539</t>
  </si>
  <si>
    <t>PR-0504709</t>
  </si>
  <si>
    <t>VER-6006</t>
  </si>
  <si>
    <t>B-18729</t>
  </si>
  <si>
    <t>PR-0505321</t>
  </si>
  <si>
    <t>PR-0505329</t>
  </si>
  <si>
    <t>PR-0505858</t>
  </si>
  <si>
    <t>CVH-A909</t>
  </si>
  <si>
    <t>B-16768</t>
  </si>
  <si>
    <t>PR-0504521</t>
  </si>
  <si>
    <t>SO-B4808</t>
  </si>
  <si>
    <t>B-26887</t>
  </si>
  <si>
    <t>PR-0505501</t>
  </si>
  <si>
    <t>SO-C1516</t>
  </si>
  <si>
    <t>B-33018</t>
  </si>
  <si>
    <t>PR-0503673</t>
  </si>
  <si>
    <t>SO-C3409</t>
  </si>
  <si>
    <t>B-48375</t>
  </si>
  <si>
    <t>PR-0504096</t>
  </si>
  <si>
    <t>PR-0504722</t>
  </si>
  <si>
    <t>PR-0506228</t>
  </si>
  <si>
    <t>PR-0504649</t>
  </si>
  <si>
    <t>SO-C2409</t>
  </si>
  <si>
    <t>B-23542</t>
  </si>
  <si>
    <t>PR-0505232</t>
  </si>
  <si>
    <t>SO-E4201</t>
  </si>
  <si>
    <t>B-22790</t>
  </si>
  <si>
    <t>PR-0505226</t>
  </si>
  <si>
    <t>PR-0505220</t>
  </si>
  <si>
    <t>PR-0504642</t>
  </si>
  <si>
    <t>SO-D2415</t>
  </si>
  <si>
    <t>B-26547</t>
  </si>
  <si>
    <t>PR-0505432</t>
  </si>
  <si>
    <t>PR-0505791</t>
  </si>
  <si>
    <t>PR-0504869</t>
  </si>
  <si>
    <t>Credit Card</t>
  </si>
  <si>
    <t>SO-D2815</t>
  </si>
  <si>
    <t>B-24966</t>
  </si>
  <si>
    <t>PR-0504862</t>
  </si>
  <si>
    <t>PR-0504855</t>
  </si>
  <si>
    <t>PR-0506038</t>
  </si>
  <si>
    <t>330 RSC-814</t>
  </si>
  <si>
    <t>B-18058</t>
  </si>
  <si>
    <t>PR-0506011</t>
  </si>
  <si>
    <t>PR-0503990</t>
  </si>
  <si>
    <t>330 RSC-1001</t>
  </si>
  <si>
    <t>B-33910</t>
  </si>
  <si>
    <t>PR-0502885</t>
  </si>
  <si>
    <t>330 RSC-1008</t>
  </si>
  <si>
    <t>B-17394</t>
  </si>
  <si>
    <t>PR-0503077</t>
  </si>
  <si>
    <t>PR-0503076</t>
  </si>
  <si>
    <t>PR-0503834</t>
  </si>
  <si>
    <t>CDM Cash (Cash Deposit in Machine)</t>
  </si>
  <si>
    <t>330 RSC-1209</t>
  </si>
  <si>
    <t>B-24105</t>
  </si>
  <si>
    <t>PR-0504037</t>
  </si>
  <si>
    <t>330 RSC-1310</t>
  </si>
  <si>
    <t>B-16698</t>
  </si>
  <si>
    <t>PR-0503819</t>
  </si>
  <si>
    <t>330 RSC-1705</t>
  </si>
  <si>
    <t>B-17003</t>
  </si>
  <si>
    <t>PR-0504015</t>
  </si>
  <si>
    <t>PR-0502419</t>
  </si>
  <si>
    <t>330 RSC-2115</t>
  </si>
  <si>
    <t>B-40246</t>
  </si>
  <si>
    <t>PR-0504352</t>
  </si>
  <si>
    <t>330 RSC-2510</t>
  </si>
  <si>
    <t>Rejected by Accounts</t>
  </si>
  <si>
    <t>B-16756</t>
  </si>
  <si>
    <t>PR-0504350</t>
  </si>
  <si>
    <t>PR-0504349</t>
  </si>
  <si>
    <t>PR-0505472</t>
  </si>
  <si>
    <t>PR-0506264</t>
  </si>
  <si>
    <t>330 RSC-2602</t>
  </si>
  <si>
    <t>B-18668</t>
  </si>
  <si>
    <t>PR-0504841</t>
  </si>
  <si>
    <t>330 RSC-2801</t>
  </si>
  <si>
    <t>Zohaib Ather</t>
  </si>
  <si>
    <t>B-32850</t>
  </si>
  <si>
    <t>PR-0503618</t>
  </si>
  <si>
    <t>330 RSC-4008</t>
  </si>
  <si>
    <t>B-18613</t>
  </si>
  <si>
    <t>PR-0505605</t>
  </si>
  <si>
    <t>330 RSC-4015</t>
  </si>
  <si>
    <t>B-40286</t>
  </si>
  <si>
    <t>PR-0502454</t>
  </si>
  <si>
    <t>330 RSC-4902</t>
  </si>
  <si>
    <t>B-18570</t>
  </si>
  <si>
    <t>PR-0502448</t>
  </si>
  <si>
    <t>PR-0503621</t>
  </si>
  <si>
    <t>330 RSC-5011</t>
  </si>
  <si>
    <t>B-17036</t>
  </si>
  <si>
    <t>PR-0505912</t>
  </si>
  <si>
    <t>330 RSC-5413</t>
  </si>
  <si>
    <t>B-17674</t>
  </si>
  <si>
    <t>PR-0505814</t>
  </si>
  <si>
    <t>A0601</t>
  </si>
  <si>
    <t>B-11198</t>
  </si>
  <si>
    <t>PR-0505816</t>
  </si>
  <si>
    <t>A0610</t>
  </si>
  <si>
    <t>B-11195</t>
  </si>
  <si>
    <t>PR-0505819</t>
  </si>
  <si>
    <t>A0701</t>
  </si>
  <si>
    <t>B-11199</t>
  </si>
  <si>
    <t>PR-0503180</t>
  </si>
  <si>
    <t>A0708</t>
  </si>
  <si>
    <t>B-7838</t>
  </si>
  <si>
    <t>PR-0505967</t>
  </si>
  <si>
    <t>PR-0505917</t>
  </si>
  <si>
    <t>PR-0506294</t>
  </si>
  <si>
    <t>PR-0505820</t>
  </si>
  <si>
    <t>A0711</t>
  </si>
  <si>
    <t>B-11204</t>
  </si>
  <si>
    <t>PR-0502642</t>
  </si>
  <si>
    <t>A0806</t>
  </si>
  <si>
    <t>B-6904</t>
  </si>
  <si>
    <t>PR-0504169</t>
  </si>
  <si>
    <t>A0903</t>
  </si>
  <si>
    <t>B-10405</t>
  </si>
  <si>
    <t>PR-0504163</t>
  </si>
  <si>
    <t>PR-0504157</t>
  </si>
  <si>
    <t>PR-0502622</t>
  </si>
  <si>
    <t>A1205</t>
  </si>
  <si>
    <t>B-8471</t>
  </si>
  <si>
    <t>PR-0504235</t>
  </si>
  <si>
    <t>A1511</t>
  </si>
  <si>
    <t>B-10821</t>
  </si>
  <si>
    <t>PR-0502386</t>
  </si>
  <si>
    <t>A1706</t>
  </si>
  <si>
    <t>B-6953</t>
  </si>
  <si>
    <t>PR-0502384</t>
  </si>
  <si>
    <t>PR-0502383</t>
  </si>
  <si>
    <t>PR-0502382</t>
  </si>
  <si>
    <t>PR-0502381</t>
  </si>
  <si>
    <t>PR-0504366</t>
  </si>
  <si>
    <t>A2001</t>
  </si>
  <si>
    <t>B-10071</t>
  </si>
  <si>
    <t>PR-0503865</t>
  </si>
  <si>
    <t>A2006</t>
  </si>
  <si>
    <t>B-6867</t>
  </si>
  <si>
    <t>PR-0502803</t>
  </si>
  <si>
    <t>A2401</t>
  </si>
  <si>
    <t>B-9463</t>
  </si>
  <si>
    <t>PR-0502481</t>
  </si>
  <si>
    <t>A2407</t>
  </si>
  <si>
    <t>B-8838</t>
  </si>
  <si>
    <t>PR-0505126</t>
  </si>
  <si>
    <t>A2408</t>
  </si>
  <si>
    <t>B-9861</t>
  </si>
  <si>
    <t>PR-0505635</t>
  </si>
  <si>
    <t>A2502</t>
  </si>
  <si>
    <t>B-7953</t>
  </si>
  <si>
    <t>PR-0502424</t>
  </si>
  <si>
    <t>A2505</t>
  </si>
  <si>
    <t>B-9300</t>
  </si>
  <si>
    <t>PR-0505140</t>
  </si>
  <si>
    <t>A2507</t>
  </si>
  <si>
    <t>Zarina Bestaeva</t>
  </si>
  <si>
    <t>B-6949</t>
  </si>
  <si>
    <t>PR-0502651</t>
  </si>
  <si>
    <t>A2704</t>
  </si>
  <si>
    <t>B-9194</t>
  </si>
  <si>
    <t>PR-0503619</t>
  </si>
  <si>
    <t>A3101</t>
  </si>
  <si>
    <t>B-8264</t>
  </si>
  <si>
    <t>PR-0503125</t>
  </si>
  <si>
    <t>A3106</t>
  </si>
  <si>
    <t>B-8370</t>
  </si>
  <si>
    <t>PR-0502441</t>
  </si>
  <si>
    <t>A3302</t>
  </si>
  <si>
    <t>B-8429</t>
  </si>
  <si>
    <t>PR-0505960</t>
  </si>
  <si>
    <t>PR-0505954</t>
  </si>
  <si>
    <t>PR-0502456</t>
  </si>
  <si>
    <t>A3303</t>
  </si>
  <si>
    <t>B-8246</t>
  </si>
  <si>
    <t>PR-0504116</t>
  </si>
  <si>
    <t>A3306</t>
  </si>
  <si>
    <t>B-7624</t>
  </si>
  <si>
    <t>PR-0504113</t>
  </si>
  <si>
    <t>PR-0505174</t>
  </si>
  <si>
    <t>A3408</t>
  </si>
  <si>
    <t>B-8791</t>
  </si>
  <si>
    <t>PR-0505438</t>
  </si>
  <si>
    <t>A3703</t>
  </si>
  <si>
    <t>B-9132</t>
  </si>
  <si>
    <t>PR-0504131</t>
  </si>
  <si>
    <t>A3806</t>
  </si>
  <si>
    <t>B-7625</t>
  </si>
  <si>
    <t>PR-0505784</t>
  </si>
  <si>
    <t>A4202</t>
  </si>
  <si>
    <t>B-8363</t>
  </si>
  <si>
    <t>PR-0503841</t>
  </si>
  <si>
    <t>A4408</t>
  </si>
  <si>
    <t>B-8786</t>
  </si>
  <si>
    <t>PR-0506036</t>
  </si>
  <si>
    <t>A4607</t>
  </si>
  <si>
    <t>B-9267</t>
  </si>
  <si>
    <t>PR-0502841</t>
  </si>
  <si>
    <t>C0702</t>
  </si>
  <si>
    <t>B-7930</t>
  </si>
  <si>
    <t>PR-0504943</t>
  </si>
  <si>
    <t>C0802</t>
  </si>
  <si>
    <t>B-7221</t>
  </si>
  <si>
    <t>PR-0503936</t>
  </si>
  <si>
    <t>C0804</t>
  </si>
  <si>
    <t>B-7796</t>
  </si>
  <si>
    <t>PR-0503726</t>
  </si>
  <si>
    <t>C0805</t>
  </si>
  <si>
    <t>B-7438</t>
  </si>
  <si>
    <t>PR-0503723</t>
  </si>
  <si>
    <t>PR-0503721</t>
  </si>
  <si>
    <t>PR-0503712</t>
  </si>
  <si>
    <t>PR-0503700</t>
  </si>
  <si>
    <t>PR-0503084</t>
  </si>
  <si>
    <t>C0915</t>
  </si>
  <si>
    <t>B-9811</t>
  </si>
  <si>
    <t>PR-0503830</t>
  </si>
  <si>
    <t>C0916</t>
  </si>
  <si>
    <t>B-8480</t>
  </si>
  <si>
    <t>PR-0503146</t>
  </si>
  <si>
    <t>C1112</t>
  </si>
  <si>
    <t>B-8325</t>
  </si>
  <si>
    <t>PR-0503120</t>
  </si>
  <si>
    <t>C1116</t>
  </si>
  <si>
    <t>B-7265</t>
  </si>
  <si>
    <t>PR-0504525</t>
  </si>
  <si>
    <t>C1201</t>
  </si>
  <si>
    <t>B-7182</t>
  </si>
  <si>
    <t>PR-0505870</t>
  </si>
  <si>
    <t>PR-0505866</t>
  </si>
  <si>
    <t>PR-0505865</t>
  </si>
  <si>
    <t>PR-0504530</t>
  </si>
  <si>
    <t>C1215</t>
  </si>
  <si>
    <t>B-7183</t>
  </si>
  <si>
    <t>PR-0503961</t>
  </si>
  <si>
    <t>C1501</t>
  </si>
  <si>
    <t>B-8315</t>
  </si>
  <si>
    <t>PR-0503956</t>
  </si>
  <si>
    <t>PR-0503942</t>
  </si>
  <si>
    <t>PR-0503930</t>
  </si>
  <si>
    <t>PR-0503919</t>
  </si>
  <si>
    <t>PR-0504306</t>
  </si>
  <si>
    <t>PR-0504614</t>
  </si>
  <si>
    <t>PR-0504611</t>
  </si>
  <si>
    <t>PR-0504610</t>
  </si>
  <si>
    <t>PR-0504608</t>
  </si>
  <si>
    <t>PR-0504607</t>
  </si>
  <si>
    <t>PR-0504603</t>
  </si>
  <si>
    <t>PR-0504601</t>
  </si>
  <si>
    <t>PR-0504598</t>
  </si>
  <si>
    <t>PR-0504596</t>
  </si>
  <si>
    <t>PR-0505856</t>
  </si>
  <si>
    <t>PR-0503917</t>
  </si>
  <si>
    <t>B1522</t>
  </si>
  <si>
    <t>B-7959</t>
  </si>
  <si>
    <t>PR-0503669</t>
  </si>
  <si>
    <t>C1602</t>
  </si>
  <si>
    <t>B-14093</t>
  </si>
  <si>
    <t>PR-0503162</t>
  </si>
  <si>
    <t>C1607</t>
  </si>
  <si>
    <t>B-8313</t>
  </si>
  <si>
    <t>PR-0505092</t>
  </si>
  <si>
    <t>PR-0503889</t>
  </si>
  <si>
    <t>C1608</t>
  </si>
  <si>
    <t>B-8326</t>
  </si>
  <si>
    <t>PR-0504441</t>
  </si>
  <si>
    <t>C1705</t>
  </si>
  <si>
    <t>B-8306</t>
  </si>
  <si>
    <t>PR-0505266</t>
  </si>
  <si>
    <t>C1711</t>
  </si>
  <si>
    <t>B-9190</t>
  </si>
  <si>
    <t>PR-0505919</t>
  </si>
  <si>
    <t>C1712</t>
  </si>
  <si>
    <t>B-8388</t>
  </si>
  <si>
    <t>PR-0505915</t>
  </si>
  <si>
    <t>PR-0503510</t>
  </si>
  <si>
    <t>C1813</t>
  </si>
  <si>
    <t>B-8044</t>
  </si>
  <si>
    <t>PR-0503508</t>
  </si>
  <si>
    <t>PR-0503872</t>
  </si>
  <si>
    <t>C2002</t>
  </si>
  <si>
    <t>B-7298</t>
  </si>
  <si>
    <t>PR-0503870</t>
  </si>
  <si>
    <t>PR-0503815</t>
  </si>
  <si>
    <t>C2003</t>
  </si>
  <si>
    <t>B-8074</t>
  </si>
  <si>
    <t>PR-0502503</t>
  </si>
  <si>
    <t>C2112</t>
  </si>
  <si>
    <t>B-9040</t>
  </si>
  <si>
    <t>PR-0502887</t>
  </si>
  <si>
    <t>PR-0504216</t>
  </si>
  <si>
    <t>PR-0504214</t>
  </si>
  <si>
    <t>PR-0504213</t>
  </si>
  <si>
    <t>PR-0504211</t>
  </si>
  <si>
    <t>PR-0504929</t>
  </si>
  <si>
    <t>PR-0502498</t>
  </si>
  <si>
    <t>C2205</t>
  </si>
  <si>
    <t>B-9036</t>
  </si>
  <si>
    <t>PR-0502488</t>
  </si>
  <si>
    <t>PR-0504322</t>
  </si>
  <si>
    <t>PR-0504321</t>
  </si>
  <si>
    <t>PR-0504319</t>
  </si>
  <si>
    <t>PR-0504318</t>
  </si>
  <si>
    <t>PR-0504317</t>
  </si>
  <si>
    <t>PR-0504316</t>
  </si>
  <si>
    <t>PR-0504315</t>
  </si>
  <si>
    <t>PR-0506347</t>
  </si>
  <si>
    <t>C2214</t>
  </si>
  <si>
    <t>B-7023</t>
  </si>
  <si>
    <t>PR-0505116</t>
  </si>
  <si>
    <t>C2302</t>
  </si>
  <si>
    <t>B-7089</t>
  </si>
  <si>
    <t>PR-0503748</t>
  </si>
  <si>
    <t>C2311</t>
  </si>
  <si>
    <t>B-9192</t>
  </si>
  <si>
    <t>PR-0502712</t>
  </si>
  <si>
    <t>C2315</t>
  </si>
  <si>
    <t>B-7078</t>
  </si>
  <si>
    <t>PR-0506130</t>
  </si>
  <si>
    <t>C2501</t>
  </si>
  <si>
    <t>B-7371</t>
  </si>
  <si>
    <t>PR-0506126</t>
  </si>
  <si>
    <t>PR-0506117</t>
  </si>
  <si>
    <t>C2504</t>
  </si>
  <si>
    <t>B-7813</t>
  </si>
  <si>
    <t>PR-0503107</t>
  </si>
  <si>
    <t>C2512</t>
  </si>
  <si>
    <t>B-8472</t>
  </si>
  <si>
    <t>PR-0504884</t>
  </si>
  <si>
    <t>C2515</t>
  </si>
  <si>
    <t>B-7345</t>
  </si>
  <si>
    <t>PR-0505964</t>
  </si>
  <si>
    <t>PR-0503451</t>
  </si>
  <si>
    <t>C2604</t>
  </si>
  <si>
    <t>B-7742</t>
  </si>
  <si>
    <t>PR-0505075</t>
  </si>
  <si>
    <t>C2606</t>
  </si>
  <si>
    <t>B-6997</t>
  </si>
  <si>
    <t>PR-0505074</t>
  </si>
  <si>
    <t>PR-0505073</t>
  </si>
  <si>
    <t>PR-0505043</t>
  </si>
  <si>
    <t>PR-0505822</t>
  </si>
  <si>
    <t>C2707</t>
  </si>
  <si>
    <t>B-7921</t>
  </si>
  <si>
    <t>PR-0504947</t>
  </si>
  <si>
    <t>C2711</t>
  </si>
  <si>
    <t>B-8846</t>
  </si>
  <si>
    <t>PR-0503459</t>
  </si>
  <si>
    <t>C2808</t>
  </si>
  <si>
    <t>B-8045</t>
  </si>
  <si>
    <t>PR-0503174</t>
  </si>
  <si>
    <t>C2906</t>
  </si>
  <si>
    <t>B-7045</t>
  </si>
  <si>
    <t>PR-0503781</t>
  </si>
  <si>
    <t>PR-0504933</t>
  </si>
  <si>
    <t>C3012</t>
  </si>
  <si>
    <t>B-8283</t>
  </si>
  <si>
    <t>PR-0504931</t>
  </si>
  <si>
    <t>PR-0503915</t>
  </si>
  <si>
    <t>C3103</t>
  </si>
  <si>
    <t>B-7399</t>
  </si>
  <si>
    <t>PR-0503827</t>
  </si>
  <si>
    <t>C3113</t>
  </si>
  <si>
    <t>B-7417</t>
  </si>
  <si>
    <t>PR-0505084</t>
  </si>
  <si>
    <t>C3205</t>
  </si>
  <si>
    <t>B-9892</t>
  </si>
  <si>
    <t>PR-0505802</t>
  </si>
  <si>
    <t>C3314</t>
  </si>
  <si>
    <t>B-7027</t>
  </si>
  <si>
    <t>PR-0503697</t>
  </si>
  <si>
    <t>B0705</t>
  </si>
  <si>
    <t>B-7778</t>
  </si>
  <si>
    <t>PR-0503746</t>
  </si>
  <si>
    <t>B0710</t>
  </si>
  <si>
    <t>B-7691</t>
  </si>
  <si>
    <t>PR-0502795</t>
  </si>
  <si>
    <t>B0711</t>
  </si>
  <si>
    <t>B-7684</t>
  </si>
  <si>
    <t>PR-0502784</t>
  </si>
  <si>
    <t>PR-0502747</t>
  </si>
  <si>
    <t>PR-0506209</t>
  </si>
  <si>
    <t>B0808</t>
  </si>
  <si>
    <t>B-7764</t>
  </si>
  <si>
    <t>PR-0503606</t>
  </si>
  <si>
    <t>B0902</t>
  </si>
  <si>
    <t>B-7575</t>
  </si>
  <si>
    <t>PR-0504674</t>
  </si>
  <si>
    <t>B0908</t>
  </si>
  <si>
    <t>B-8548</t>
  </si>
  <si>
    <t>PR-0502646</t>
  </si>
  <si>
    <t>B1009</t>
  </si>
  <si>
    <t>B-7952</t>
  </si>
  <si>
    <t>PR-0506097</t>
  </si>
  <si>
    <t>B1018</t>
  </si>
  <si>
    <t>B-7694</t>
  </si>
  <si>
    <t>PR-0506092</t>
  </si>
  <si>
    <t>PR-0502506</t>
  </si>
  <si>
    <t>B1207</t>
  </si>
  <si>
    <t>B-7648</t>
  </si>
  <si>
    <t>PR-0504217</t>
  </si>
  <si>
    <t>B1215</t>
  </si>
  <si>
    <t>B-7686</t>
  </si>
  <si>
    <t>PR-0502684</t>
  </si>
  <si>
    <t>B1307</t>
  </si>
  <si>
    <t>B-8064</t>
  </si>
  <si>
    <t>PR-0503590</t>
  </si>
  <si>
    <t>B1310</t>
  </si>
  <si>
    <t>B-8038</t>
  </si>
  <si>
    <t>PR-0503589</t>
  </si>
  <si>
    <t>PR-0504057</t>
  </si>
  <si>
    <t>B1321</t>
  </si>
  <si>
    <t>B-7473</t>
  </si>
  <si>
    <t>PR-0503255</t>
  </si>
  <si>
    <t>B1405</t>
  </si>
  <si>
    <t>B-7518</t>
  </si>
  <si>
    <t>PR-0503254</t>
  </si>
  <si>
    <t>PR-0503236</t>
  </si>
  <si>
    <t>PR-0503385</t>
  </si>
  <si>
    <t>PR-0503384</t>
  </si>
  <si>
    <t>PR-0503155</t>
  </si>
  <si>
    <t>B1408</t>
  </si>
  <si>
    <t>B-7586</t>
  </si>
  <si>
    <t>PR-0503138</t>
  </si>
  <si>
    <t>B1410</t>
  </si>
  <si>
    <t>B-8147</t>
  </si>
  <si>
    <t>PR-0503316</t>
  </si>
  <si>
    <t>B1411</t>
  </si>
  <si>
    <t>B-8036</t>
  </si>
  <si>
    <t>PR-0503314</t>
  </si>
  <si>
    <t>PR-0503313</t>
  </si>
  <si>
    <t>PR-0505162</t>
  </si>
  <si>
    <t>B1515</t>
  </si>
  <si>
    <t>B-7554</t>
  </si>
  <si>
    <t>PR-0505111</t>
  </si>
  <si>
    <t>B1605</t>
  </si>
  <si>
    <t>B-7485</t>
  </si>
  <si>
    <t>PR-0502418</t>
  </si>
  <si>
    <t>B1607</t>
  </si>
  <si>
    <t>B-7681</t>
  </si>
  <si>
    <t>PR-0502405</t>
  </si>
  <si>
    <t>PR-0502667</t>
  </si>
  <si>
    <t>B1611</t>
  </si>
  <si>
    <t>B-7951</t>
  </si>
  <si>
    <t>PR-0502809</t>
  </si>
  <si>
    <t>B1614</t>
  </si>
  <si>
    <t>B-8606</t>
  </si>
  <si>
    <t>PR-0505107</t>
  </si>
  <si>
    <t>B1615</t>
  </si>
  <si>
    <t>B-7510</t>
  </si>
  <si>
    <t>PR-0502823</t>
  </si>
  <si>
    <t>B1708</t>
  </si>
  <si>
    <t>B-8605</t>
  </si>
  <si>
    <t>PR-0505255</t>
  </si>
  <si>
    <t>B1719</t>
  </si>
  <si>
    <t>B-7457</t>
  </si>
  <si>
    <t>PR-0503665</t>
  </si>
  <si>
    <t>B1912</t>
  </si>
  <si>
    <t>B-7450</t>
  </si>
  <si>
    <t>PR-0503768</t>
  </si>
  <si>
    <t>B2502</t>
  </si>
  <si>
    <t>B-8346</t>
  </si>
  <si>
    <t>PR-0504646</t>
  </si>
  <si>
    <t>B2503</t>
  </si>
  <si>
    <t>B-8210</t>
  </si>
  <si>
    <t>PR-0503137</t>
  </si>
  <si>
    <t>B2508</t>
  </si>
  <si>
    <t>B-8971</t>
  </si>
  <si>
    <t>PR-0504026</t>
  </si>
  <si>
    <t>PR-0504025</t>
  </si>
  <si>
    <t>PR-0503755</t>
  </si>
  <si>
    <t>B2512</t>
  </si>
  <si>
    <t>B-8320</t>
  </si>
  <si>
    <t>PR-0503751</t>
  </si>
  <si>
    <t>B2513</t>
  </si>
  <si>
    <t>B-8321</t>
  </si>
  <si>
    <t>PR-0505104</t>
  </si>
  <si>
    <t>B2701</t>
  </si>
  <si>
    <t>B-7957</t>
  </si>
  <si>
    <t>PR-0505263</t>
  </si>
  <si>
    <t>B2711</t>
  </si>
  <si>
    <t>B-7853</t>
  </si>
  <si>
    <t>PR-0505927</t>
  </si>
  <si>
    <t>B2715</t>
  </si>
  <si>
    <t>B-7844</t>
  </si>
  <si>
    <t>PR-0505759</t>
  </si>
  <si>
    <t>B2801</t>
  </si>
  <si>
    <t>B-7942</t>
  </si>
  <si>
    <t>PR-0505129</t>
  </si>
  <si>
    <t>B2804</t>
  </si>
  <si>
    <t>B-8356</t>
  </si>
  <si>
    <t>PR-0503695</t>
  </si>
  <si>
    <t>B2812</t>
  </si>
  <si>
    <t>B-8992</t>
  </si>
  <si>
    <t>PR-0502461</t>
  </si>
  <si>
    <t>B2904</t>
  </si>
  <si>
    <t>B-7851</t>
  </si>
  <si>
    <t>PR-0503607</t>
  </si>
  <si>
    <t>B2908</t>
  </si>
  <si>
    <t>B-7911</t>
  </si>
  <si>
    <t>PR-0504224</t>
  </si>
  <si>
    <t>CDM Cheque (Cheque Deposit in Machine)</t>
  </si>
  <si>
    <t>B2909</t>
  </si>
  <si>
    <t>B-8244</t>
  </si>
  <si>
    <t>PR-0505395</t>
  </si>
  <si>
    <t>B3005</t>
  </si>
  <si>
    <t>B-9434</t>
  </si>
  <si>
    <t>PR-0502589</t>
  </si>
  <si>
    <t>B3105</t>
  </si>
  <si>
    <t>Solomon Saji George</t>
  </si>
  <si>
    <t>B-9131</t>
  </si>
  <si>
    <t>PR-0505497</t>
  </si>
  <si>
    <t>B3107</t>
  </si>
  <si>
    <t>B-8133</t>
  </si>
  <si>
    <t>PR-0505496</t>
  </si>
  <si>
    <t>PR-0505495</t>
  </si>
  <si>
    <t>PR-0505769</t>
  </si>
  <si>
    <t>PR-0505768</t>
  </si>
  <si>
    <t>PR-0505767</t>
  </si>
  <si>
    <t>PR-0502483</t>
  </si>
  <si>
    <t>B3112</t>
  </si>
  <si>
    <t>B-8765</t>
  </si>
  <si>
    <t>PR-0506249</t>
  </si>
  <si>
    <t>B3113</t>
  </si>
  <si>
    <t>B-8083</t>
  </si>
  <si>
    <t>PR-0506244</t>
  </si>
  <si>
    <t>PR-0506241</t>
  </si>
  <si>
    <t>PR-0506346</t>
  </si>
  <si>
    <t>B3207</t>
  </si>
  <si>
    <t>B-7805</t>
  </si>
  <si>
    <t>PR-0504669</t>
  </si>
  <si>
    <t>B3208</t>
  </si>
  <si>
    <t>B-7806</t>
  </si>
  <si>
    <t>PR-0504671</t>
  </si>
  <si>
    <t>B3209</t>
  </si>
  <si>
    <t>B-7808</t>
  </si>
  <si>
    <t>PR-0505153</t>
  </si>
  <si>
    <t>B3211</t>
  </si>
  <si>
    <t>B-7811</t>
  </si>
  <si>
    <t>PR-0502396</t>
  </si>
  <si>
    <t>B3306</t>
  </si>
  <si>
    <t>B-7989</t>
  </si>
  <si>
    <t>PR-0502397</t>
  </si>
  <si>
    <t>B3506</t>
  </si>
  <si>
    <t>B-8070</t>
  </si>
  <si>
    <t>PR-0504656</t>
  </si>
  <si>
    <t>B3602</t>
  </si>
  <si>
    <t>B-8079</t>
  </si>
  <si>
    <t>PR-0503175</t>
  </si>
  <si>
    <t>B3606</t>
  </si>
  <si>
    <t>B-8051</t>
  </si>
  <si>
    <t>PR-0503783</t>
  </si>
  <si>
    <t>PR-0502844</t>
  </si>
  <si>
    <t>B3703</t>
  </si>
  <si>
    <t>B-8073</t>
  </si>
  <si>
    <t>PR-0503578</t>
  </si>
  <si>
    <t>B3706</t>
  </si>
  <si>
    <t>B-8098</t>
  </si>
  <si>
    <t>PR-0503577</t>
  </si>
  <si>
    <t>PR-0503576</t>
  </si>
  <si>
    <t>PR-0503575</t>
  </si>
  <si>
    <t>PR-0503574</t>
  </si>
  <si>
    <t>PR-0503573</t>
  </si>
  <si>
    <t>PR-0503572</t>
  </si>
  <si>
    <t>PR-0503571</t>
  </si>
  <si>
    <t>PR-0503570</t>
  </si>
  <si>
    <t>PR-0503569</t>
  </si>
  <si>
    <t>PR-0503568</t>
  </si>
  <si>
    <t>PR-0504205</t>
  </si>
  <si>
    <t>PR-0504326</t>
  </si>
  <si>
    <t>PR-0504323</t>
  </si>
  <si>
    <t>PR-0504320</t>
  </si>
  <si>
    <t>PR-0504312</t>
  </si>
  <si>
    <t>PR-0503602</t>
  </si>
  <si>
    <t>B0103</t>
  </si>
  <si>
    <t>B-8284</t>
  </si>
  <si>
    <t>PR-0503617</t>
  </si>
  <si>
    <t>B0201</t>
  </si>
  <si>
    <t>B-10911</t>
  </si>
  <si>
    <t>PR-0503675</t>
  </si>
  <si>
    <t>B0206</t>
  </si>
  <si>
    <t>B-8727</t>
  </si>
  <si>
    <t>PR-0506322</t>
  </si>
  <si>
    <t>B0303</t>
  </si>
  <si>
    <t>B-8827</t>
  </si>
  <si>
    <t>PR-0502858</t>
  </si>
  <si>
    <t>B0402</t>
  </si>
  <si>
    <t>B-8612</t>
  </si>
  <si>
    <t>PR-0502857</t>
  </si>
  <si>
    <t>PR-0503206</t>
  </si>
  <si>
    <t>PR-0503205</t>
  </si>
  <si>
    <t>PR-0505524</t>
  </si>
  <si>
    <t>B0405</t>
  </si>
  <si>
    <t>B-10355</t>
  </si>
  <si>
    <t>PR-0505730</t>
  </si>
  <si>
    <t>B0407</t>
  </si>
  <si>
    <t>B-8260</t>
  </si>
  <si>
    <t>PR-0502654</t>
  </si>
  <si>
    <t>B0504</t>
  </si>
  <si>
    <t>B-8600</t>
  </si>
  <si>
    <t>PR-0503030</t>
  </si>
  <si>
    <t>PR-0502533</t>
  </si>
  <si>
    <t>B0610</t>
  </si>
  <si>
    <t>B-8414</t>
  </si>
  <si>
    <t>PR-0502531</t>
  </si>
  <si>
    <t>PR-0502486</t>
  </si>
  <si>
    <t>PR-0502464</t>
  </si>
  <si>
    <t>PR-0502452</t>
  </si>
  <si>
    <t>PR-0502658</t>
  </si>
  <si>
    <t>PR-0504240</t>
  </si>
  <si>
    <t>B0616</t>
  </si>
  <si>
    <t>B-8587</t>
  </si>
  <si>
    <t>PR-0502572</t>
  </si>
  <si>
    <t>B0619</t>
  </si>
  <si>
    <t>B-9913</t>
  </si>
  <si>
    <t>PR-0502565</t>
  </si>
  <si>
    <t>PR-0505113</t>
  </si>
  <si>
    <t>PR-0503210</t>
  </si>
  <si>
    <t>B0822</t>
  </si>
  <si>
    <t>B-8285</t>
  </si>
  <si>
    <t>PR-0504462</t>
  </si>
  <si>
    <t>B1114</t>
  </si>
  <si>
    <t>B-8633</t>
  </si>
  <si>
    <t>PR-0503600</t>
  </si>
  <si>
    <t>B1512</t>
  </si>
  <si>
    <t>B-8288</t>
  </si>
  <si>
    <t>PR-0503598</t>
  </si>
  <si>
    <t>PR-0503596</t>
  </si>
  <si>
    <t>PR-0503595</t>
  </si>
  <si>
    <t>PR-0503913</t>
  </si>
  <si>
    <t>B1712</t>
  </si>
  <si>
    <t>B-8227</t>
  </si>
  <si>
    <t>PR-0503905</t>
  </si>
  <si>
    <t>PR-0503657</t>
  </si>
  <si>
    <t>B1816</t>
  </si>
  <si>
    <t>B-8630</t>
  </si>
  <si>
    <t>PR-0504930</t>
  </si>
  <si>
    <t>B2007</t>
  </si>
  <si>
    <t>B-8193</t>
  </si>
  <si>
    <t>PR-0505211</t>
  </si>
  <si>
    <t>Submitted to Accounts for Amount Confirmation</t>
  </si>
  <si>
    <t>PR-0504034</t>
  </si>
  <si>
    <t>B2101</t>
  </si>
  <si>
    <t>B-8793</t>
  </si>
  <si>
    <t>PR-0502603</t>
  </si>
  <si>
    <t>B2105</t>
  </si>
  <si>
    <t>B-8232</t>
  </si>
  <si>
    <t>PR-0502828</t>
  </si>
  <si>
    <t>B2305</t>
  </si>
  <si>
    <t>B-8205</t>
  </si>
  <si>
    <t>PR-0502493</t>
  </si>
  <si>
    <t>B2401</t>
  </si>
  <si>
    <t>B-8360</t>
  </si>
  <si>
    <t>PR-0502492</t>
  </si>
  <si>
    <t>PR-0503835</t>
  </si>
  <si>
    <t>PR-0505076</t>
  </si>
  <si>
    <t>B2402</t>
  </si>
  <si>
    <t>B-8189</t>
  </si>
  <si>
    <t>PR-0502544</t>
  </si>
  <si>
    <t>B2407</t>
  </si>
  <si>
    <t>B-8177</t>
  </si>
  <si>
    <t>PR-0505093</t>
  </si>
  <si>
    <t>C0204</t>
  </si>
  <si>
    <t>B-10330</t>
  </si>
  <si>
    <t>PR-0505904</t>
  </si>
  <si>
    <t>C0402</t>
  </si>
  <si>
    <t>B-10011</t>
  </si>
  <si>
    <t>PR-0502719</t>
  </si>
  <si>
    <t>C0504</t>
  </si>
  <si>
    <t>B-11014</t>
  </si>
  <si>
    <t>PR-0503090</t>
  </si>
  <si>
    <t>C0506</t>
  </si>
  <si>
    <t>B-10103</t>
  </si>
  <si>
    <t>PR-0503089</t>
  </si>
  <si>
    <t>PR-0506014</t>
  </si>
  <si>
    <t>C0604</t>
  </si>
  <si>
    <t>B-10157</t>
  </si>
  <si>
    <t>PR-0505734</t>
  </si>
  <si>
    <t>C0606</t>
  </si>
  <si>
    <t>B-8417</t>
  </si>
  <si>
    <t>PR-0504619</t>
  </si>
  <si>
    <t>C0611</t>
  </si>
  <si>
    <t>B-8722</t>
  </si>
  <si>
    <t>PR-0502545</t>
  </si>
  <si>
    <t>C0619</t>
  </si>
  <si>
    <t>B-9958</t>
  </si>
  <si>
    <t>PR-0503189</t>
  </si>
  <si>
    <t>C1020</t>
  </si>
  <si>
    <t>B-8367</t>
  </si>
  <si>
    <t>PR-0503186</t>
  </si>
  <si>
    <t>PR-0502437</t>
  </si>
  <si>
    <t>C1306</t>
  </si>
  <si>
    <t>B-8668</t>
  </si>
  <si>
    <t>PR-0504074</t>
  </si>
  <si>
    <t>D0106</t>
  </si>
  <si>
    <t>B-8556</t>
  </si>
  <si>
    <t>PR-0504067</t>
  </si>
  <si>
    <t>PR-0502522</t>
  </si>
  <si>
    <t>D0207</t>
  </si>
  <si>
    <t>B-8577</t>
  </si>
  <si>
    <t>PR-0502513</t>
  </si>
  <si>
    <t>PR-0502510</t>
  </si>
  <si>
    <t>PR-0505385</t>
  </si>
  <si>
    <t>D0209</t>
  </si>
  <si>
    <t>B-10173</t>
  </si>
  <si>
    <t>PR-0506070</t>
  </si>
  <si>
    <t>PR-0506364</t>
  </si>
  <si>
    <t>D0402</t>
  </si>
  <si>
    <t>B-9432</t>
  </si>
  <si>
    <t>PR-0506359</t>
  </si>
  <si>
    <t>PR-0503083</t>
  </si>
  <si>
    <t>D0404</t>
  </si>
  <si>
    <t>B-8830</t>
  </si>
  <si>
    <t>PR-0503082</t>
  </si>
  <si>
    <t>PR-0504434</t>
  </si>
  <si>
    <t>D0508</t>
  </si>
  <si>
    <t>B-10112</t>
  </si>
  <si>
    <t>PR-0502882</t>
  </si>
  <si>
    <t>D0609</t>
  </si>
  <si>
    <t>B-9901</t>
  </si>
  <si>
    <t>PR-0502881</t>
  </si>
  <si>
    <t>PR-0505189</t>
  </si>
  <si>
    <t>PR-0503073</t>
  </si>
  <si>
    <t>D0610</t>
  </si>
  <si>
    <t>B-9925</t>
  </si>
  <si>
    <t>PR-0504572</t>
  </si>
  <si>
    <t>PR-0503129</t>
  </si>
  <si>
    <t>D0801</t>
  </si>
  <si>
    <t>B-8228</t>
  </si>
  <si>
    <t>PR-0503127</t>
  </si>
  <si>
    <t>PR-0504641</t>
  </si>
  <si>
    <t>PR-0504640</t>
  </si>
  <si>
    <t>PR-0505105</t>
  </si>
  <si>
    <t>PR-0506351</t>
  </si>
  <si>
    <t>PR-0506349</t>
  </si>
  <si>
    <t>PR-0506305</t>
  </si>
  <si>
    <t>PR-0506295</t>
  </si>
  <si>
    <t>PR-0506284</t>
  </si>
  <si>
    <t>PR-0506276</t>
  </si>
  <si>
    <t>PR-0504085</t>
  </si>
  <si>
    <t>VE 145</t>
  </si>
  <si>
    <t>B-16913</t>
  </si>
  <si>
    <t>PR-0505688</t>
  </si>
  <si>
    <t>Steve Lee Salmon</t>
  </si>
  <si>
    <t>PR-0504020</t>
  </si>
  <si>
    <t>CVG-Polyclinic 01</t>
  </si>
  <si>
    <t>B-11496</t>
  </si>
  <si>
    <t>PR-0504009</t>
  </si>
  <si>
    <t>PR-0503973</t>
  </si>
  <si>
    <t>PR-0504176</t>
  </si>
  <si>
    <t>Usman Sheikh</t>
  </si>
  <si>
    <t>PR-0504170</t>
  </si>
  <si>
    <t>PR-0504168</t>
  </si>
  <si>
    <t>PR-0504122</t>
  </si>
  <si>
    <t>PR-0504119</t>
  </si>
  <si>
    <t>PR-0503649</t>
  </si>
  <si>
    <t>PR-0505082</t>
  </si>
  <si>
    <t>PR-0505021</t>
  </si>
  <si>
    <t>PR-0505833</t>
  </si>
  <si>
    <t>PR-0505923</t>
  </si>
  <si>
    <t>PR-0502832</t>
  </si>
  <si>
    <t>PR-0504995</t>
  </si>
  <si>
    <t>CVG-409</t>
  </si>
  <si>
    <t>B-10341</t>
  </si>
  <si>
    <t>PR-0504993</t>
  </si>
  <si>
    <t>PR-0504992</t>
  </si>
  <si>
    <t>PR-0502610</t>
  </si>
  <si>
    <t>CVG-504</t>
  </si>
  <si>
    <t>B-27046</t>
  </si>
  <si>
    <t>PR-0503317</t>
  </si>
  <si>
    <t>PR-0503774</t>
  </si>
  <si>
    <t>PR-0504489</t>
  </si>
  <si>
    <t>PR-0506361</t>
  </si>
  <si>
    <t>PR-0505099</t>
  </si>
  <si>
    <t>CVG-613</t>
  </si>
  <si>
    <t>B-10248</t>
  </si>
  <si>
    <t>PR-0506189</t>
  </si>
  <si>
    <t>CVG-706</t>
  </si>
  <si>
    <t>B-10230</t>
  </si>
  <si>
    <t>PR-0505013</t>
  </si>
  <si>
    <t>CVG-709</t>
  </si>
  <si>
    <t>B-10200</t>
  </si>
  <si>
    <t>PR-0503790</t>
  </si>
  <si>
    <t>PR-0504789</t>
  </si>
  <si>
    <t>PR-0505250</t>
  </si>
  <si>
    <t>CVG-905</t>
  </si>
  <si>
    <t>B-10955</t>
  </si>
  <si>
    <t>PR-0505237</t>
  </si>
  <si>
    <t>PR-0504679</t>
  </si>
  <si>
    <t>PR-0502783</t>
  </si>
  <si>
    <t>PR-0502385</t>
  </si>
  <si>
    <t>PR-0503559</t>
  </si>
  <si>
    <t>PR-0503555</t>
  </si>
  <si>
    <t>PR-0502777</t>
  </si>
  <si>
    <t>PR-0505214</t>
  </si>
  <si>
    <t>CVG-1107</t>
  </si>
  <si>
    <t>B-11179</t>
  </si>
  <si>
    <t>PR-0505210</t>
  </si>
  <si>
    <t>PR-0505932</t>
  </si>
  <si>
    <t>PR-0503528</t>
  </si>
  <si>
    <t>CVG-1109</t>
  </si>
  <si>
    <t>B-8752</t>
  </si>
  <si>
    <t>PR-0504126</t>
  </si>
  <si>
    <t>PR-0504681</t>
  </si>
  <si>
    <t>PR-0504672</t>
  </si>
  <si>
    <t>PR-0506283</t>
  </si>
  <si>
    <t>CVG-1407</t>
  </si>
  <si>
    <t>B-11155</t>
  </si>
  <si>
    <t>PR-0504305</t>
  </si>
  <si>
    <t>CVG-1410</t>
  </si>
  <si>
    <t>B-8748</t>
  </si>
  <si>
    <t>PR-0505493</t>
  </si>
  <si>
    <t>CVG-1505</t>
  </si>
  <si>
    <t>B-10281</t>
  </si>
  <si>
    <t>PR-0502782</t>
  </si>
  <si>
    <t>PR-0502780</t>
  </si>
  <si>
    <t>PR-0502775</t>
  </si>
  <si>
    <t>PR-0504769</t>
  </si>
  <si>
    <t>CVG-1903</t>
  </si>
  <si>
    <t>B-8926</t>
  </si>
  <si>
    <t>PR-0505913</t>
  </si>
  <si>
    <t>CVG-1906</t>
  </si>
  <si>
    <t>B-9657</t>
  </si>
  <si>
    <t>PR-0506293</t>
  </si>
  <si>
    <t>CVG-2001</t>
  </si>
  <si>
    <t>B-9133</t>
  </si>
  <si>
    <t>PR-0505587</t>
  </si>
  <si>
    <t>PR-0502768</t>
  </si>
  <si>
    <t>PR-0505087</t>
  </si>
  <si>
    <t>PR-0503804</t>
  </si>
  <si>
    <t>CVG-2104</t>
  </si>
  <si>
    <t>B-9088</t>
  </si>
  <si>
    <t>PR-0504509</t>
  </si>
  <si>
    <t>PR-0505514</t>
  </si>
  <si>
    <t>CVG-2106</t>
  </si>
  <si>
    <t>B-9807</t>
  </si>
  <si>
    <t>PR-0505508</t>
  </si>
  <si>
    <t>PR-0503548</t>
  </si>
  <si>
    <t>CVG-2201</t>
  </si>
  <si>
    <t>B-10954</t>
  </si>
  <si>
    <t>PR-0504174</t>
  </si>
  <si>
    <t>PR-0504171</t>
  </si>
  <si>
    <t>PR-0503615</t>
  </si>
  <si>
    <t>PR-0504523</t>
  </si>
  <si>
    <t>CVG-2506</t>
  </si>
  <si>
    <t>B-9731</t>
  </si>
  <si>
    <t>PR-0503321</t>
  </si>
  <si>
    <t>CVG-2509</t>
  </si>
  <si>
    <t>B-8667</t>
  </si>
  <si>
    <t>PR-0503324</t>
  </si>
  <si>
    <t>PR-0503585</t>
  </si>
  <si>
    <t>PR-0503654</t>
  </si>
  <si>
    <t>PR-0506275</t>
  </si>
  <si>
    <t>CVG-2607</t>
  </si>
  <si>
    <t>B-10337</t>
  </si>
  <si>
    <t>PR-0503219</t>
  </si>
  <si>
    <t>CVG-2703</t>
  </si>
  <si>
    <t>B-8999</t>
  </si>
  <si>
    <t>PR-0504981</t>
  </si>
  <si>
    <t>CVG-2707</t>
  </si>
  <si>
    <t>B-11050</t>
  </si>
  <si>
    <t>PR-0504904</t>
  </si>
  <si>
    <t>PR-0506137</t>
  </si>
  <si>
    <t>PR-0502432</t>
  </si>
  <si>
    <t>CVG-2803</t>
  </si>
  <si>
    <t>B-9003</t>
  </si>
  <si>
    <t>PR-0502430</t>
  </si>
  <si>
    <t>PR-0502427</t>
  </si>
  <si>
    <t>PR-0506173</t>
  </si>
  <si>
    <t>PR-0504986</t>
  </si>
  <si>
    <t>PR-0505004</t>
  </si>
  <si>
    <t>CVG-3103</t>
  </si>
  <si>
    <t>B-9024</t>
  </si>
  <si>
    <t>PR-0504377</t>
  </si>
  <si>
    <t>PR-0503421</t>
  </si>
  <si>
    <t>CVG-3201</t>
  </si>
  <si>
    <t>B-9201</t>
  </si>
  <si>
    <t>PR-0503246</t>
  </si>
  <si>
    <t>CVG-3202</t>
  </si>
  <si>
    <t>B-8724</t>
  </si>
  <si>
    <t>PR-0504160</t>
  </si>
  <si>
    <t>CVG-3209</t>
  </si>
  <si>
    <t>B-8745</t>
  </si>
  <si>
    <t>PR-0505498</t>
  </si>
  <si>
    <t>PR-0505835</t>
  </si>
  <si>
    <t>PR-0505328</t>
  </si>
  <si>
    <t>CVG-3304</t>
  </si>
  <si>
    <t>B-8592</t>
  </si>
  <si>
    <t>PR-0503524</t>
  </si>
  <si>
    <t>CVG-3307</t>
  </si>
  <si>
    <t>B-11039</t>
  </si>
  <si>
    <t>PR-0503776</t>
  </si>
  <si>
    <t>PR-0503753</t>
  </si>
  <si>
    <t>PR-0506312</t>
  </si>
  <si>
    <t>CVG-3410</t>
  </si>
  <si>
    <t>B-8649</t>
  </si>
  <si>
    <t>PR-0504296</t>
  </si>
  <si>
    <t>CVG-3507</t>
  </si>
  <si>
    <t>B-10978</t>
  </si>
  <si>
    <t>PR-0503586</t>
  </si>
  <si>
    <t>CVG-3610</t>
  </si>
  <si>
    <t>B-9020</t>
  </si>
  <si>
    <t>PR-0503273</t>
  </si>
  <si>
    <t>PR-0504468</t>
  </si>
  <si>
    <t>PR-0504801</t>
  </si>
  <si>
    <t>PR-0505611</t>
  </si>
  <si>
    <t>PR-0506216</t>
  </si>
  <si>
    <t>CVG-4007</t>
  </si>
  <si>
    <t>B-10912</t>
  </si>
  <si>
    <t>PR-0506208</t>
  </si>
  <si>
    <t>PR-0506185</t>
  </si>
  <si>
    <t>PR-0504772</t>
  </si>
  <si>
    <t>CVG-4204</t>
  </si>
  <si>
    <t>B-10176</t>
  </si>
  <si>
    <t>PR-0503977</t>
  </si>
  <si>
    <t>CGA307</t>
  </si>
  <si>
    <t>B-10815</t>
  </si>
  <si>
    <t>PR-0502636</t>
  </si>
  <si>
    <t>CGA606</t>
  </si>
  <si>
    <t>B-19651</t>
  </si>
  <si>
    <t>PR-0504477</t>
  </si>
  <si>
    <t>CGA802</t>
  </si>
  <si>
    <t>B-22879</t>
  </si>
  <si>
    <t>PR-0503650</t>
  </si>
  <si>
    <t>CGA908</t>
  </si>
  <si>
    <t>B-10993</t>
  </si>
  <si>
    <t>PR-0504090</t>
  </si>
  <si>
    <t>CGA1113</t>
  </si>
  <si>
    <t>B-11903</t>
  </si>
  <si>
    <t>PR-0502953</t>
  </si>
  <si>
    <t>CGA1406</t>
  </si>
  <si>
    <t>Liubov Voronina</t>
  </si>
  <si>
    <t>B-18795</t>
  </si>
  <si>
    <t>PR-0502583</t>
  </si>
  <si>
    <t>CGA1506</t>
  </si>
  <si>
    <t>B-18891</t>
  </si>
  <si>
    <t>PR-0504563</t>
  </si>
  <si>
    <t>CGA1705</t>
  </si>
  <si>
    <t>B-12567</t>
  </si>
  <si>
    <t>PR-0504560</t>
  </si>
  <si>
    <t>PR-0504597</t>
  </si>
  <si>
    <t>Sidheek Navath</t>
  </si>
  <si>
    <t>PR-0504590</t>
  </si>
  <si>
    <t>Ilyos Abdulloev</t>
  </si>
  <si>
    <t>PR-0505485</t>
  </si>
  <si>
    <t>CGA1902</t>
  </si>
  <si>
    <t>B-9052</t>
  </si>
  <si>
    <t>PR-0505456</t>
  </si>
  <si>
    <t>CGA2002</t>
  </si>
  <si>
    <t>B-9059</t>
  </si>
  <si>
    <t>PR-0504902</t>
  </si>
  <si>
    <t>CGA2006</t>
  </si>
  <si>
    <t>B-18290</t>
  </si>
  <si>
    <t>PR-0504900</t>
  </si>
  <si>
    <t>PR-0505480</t>
  </si>
  <si>
    <t>CGA2102</t>
  </si>
  <si>
    <t>B-9053</t>
  </si>
  <si>
    <t>PR-0505463</t>
  </si>
  <si>
    <t>CGA2202</t>
  </si>
  <si>
    <t>B-9058</t>
  </si>
  <si>
    <t>PR-0505459</t>
  </si>
  <si>
    <t>CGA2402</t>
  </si>
  <si>
    <t>B-9057</t>
  </si>
  <si>
    <t>PR-0505469</t>
  </si>
  <si>
    <t>CGA2502</t>
  </si>
  <si>
    <t>B-9051</t>
  </si>
  <si>
    <t>PR-0502582</t>
  </si>
  <si>
    <t>CGA2506</t>
  </si>
  <si>
    <t>B-16386</t>
  </si>
  <si>
    <t>PR-0505461</t>
  </si>
  <si>
    <t>CGA2602</t>
  </si>
  <si>
    <t>B-9056</t>
  </si>
  <si>
    <t>PR-0505481</t>
  </si>
  <si>
    <t>CGA2702</t>
  </si>
  <si>
    <t>B-9050</t>
  </si>
  <si>
    <t>PR-0502638</t>
  </si>
  <si>
    <t>CGA2801</t>
  </si>
  <si>
    <t>B-9139</t>
  </si>
  <si>
    <t>PR-0505453</t>
  </si>
  <si>
    <t>CGA2802</t>
  </si>
  <si>
    <t>B-9055</t>
  </si>
  <si>
    <t>PR-0505476</t>
  </si>
  <si>
    <t>CGA2902</t>
  </si>
  <si>
    <t>B-9049</t>
  </si>
  <si>
    <t>PR-0505320</t>
  </si>
  <si>
    <t>CGA2904</t>
  </si>
  <si>
    <t>B-10363</t>
  </si>
  <si>
    <t>PR-0505465</t>
  </si>
  <si>
    <t>PR-0505462</t>
  </si>
  <si>
    <t>PR-0505327</t>
  </si>
  <si>
    <t>PR-0505471</t>
  </si>
  <si>
    <t>CGA3002</t>
  </si>
  <si>
    <t>B-9048</t>
  </si>
  <si>
    <t>PR-0502577</t>
  </si>
  <si>
    <t>CGA3405</t>
  </si>
  <si>
    <t>B-8941</t>
  </si>
  <si>
    <t>PR-0502534</t>
  </si>
  <si>
    <t>CGA3505</t>
  </si>
  <si>
    <t>B-10918</t>
  </si>
  <si>
    <t>PR-0505894</t>
  </si>
  <si>
    <t>CGA3603</t>
  </si>
  <si>
    <t>B-10251</t>
  </si>
  <si>
    <t>PR-0505933</t>
  </si>
  <si>
    <t>CGB202</t>
  </si>
  <si>
    <t>B-11017</t>
  </si>
  <si>
    <t>PR-0502581</t>
  </si>
  <si>
    <t>CGB401</t>
  </si>
  <si>
    <t>B-11840</t>
  </si>
  <si>
    <t>PR-0505145</t>
  </si>
  <si>
    <t>CGB606</t>
  </si>
  <si>
    <t>B-10823</t>
  </si>
  <si>
    <t>PR-0505127</t>
  </si>
  <si>
    <t>PR-0505775</t>
  </si>
  <si>
    <t>PR-0505936</t>
  </si>
  <si>
    <t>PR-0505935</t>
  </si>
  <si>
    <t>PR-0505921</t>
  </si>
  <si>
    <t>PR-0503637</t>
  </si>
  <si>
    <t>CGB608</t>
  </si>
  <si>
    <t>B-13049</t>
  </si>
  <si>
    <t>PR-0505142</t>
  </si>
  <si>
    <t>PR-0506180</t>
  </si>
  <si>
    <t>CGB908</t>
  </si>
  <si>
    <t>Aasheem Rangrez</t>
  </si>
  <si>
    <t>B-23087</t>
  </si>
  <si>
    <t>PR-0503136</t>
  </si>
  <si>
    <t>CGB1004</t>
  </si>
  <si>
    <t>B-10563</t>
  </si>
  <si>
    <t>PR-0505325</t>
  </si>
  <si>
    <t>CGB1011</t>
  </si>
  <si>
    <t>B-10406</t>
  </si>
  <si>
    <t>PR-0502626</t>
  </si>
  <si>
    <t>CGB1209</t>
  </si>
  <si>
    <t>B-9814</t>
  </si>
  <si>
    <t>PR-0502625</t>
  </si>
  <si>
    <t>PR-0504155</t>
  </si>
  <si>
    <t>PR-0504154</t>
  </si>
  <si>
    <t>PR-0504053</t>
  </si>
  <si>
    <t>PR-0504052</t>
  </si>
  <si>
    <t>PR-0504727</t>
  </si>
  <si>
    <t>PR-0504689</t>
  </si>
  <si>
    <t>PR-0504688</t>
  </si>
  <si>
    <t>PR-0506239</t>
  </si>
  <si>
    <t>PR-0506238</t>
  </si>
  <si>
    <t>PR-0502477</t>
  </si>
  <si>
    <t>CGB1210</t>
  </si>
  <si>
    <t>B-9859</t>
  </si>
  <si>
    <t>PR-0503727</t>
  </si>
  <si>
    <t>PR-0503128</t>
  </si>
  <si>
    <t>CGB1502</t>
  </si>
  <si>
    <t>B-11558</t>
  </si>
  <si>
    <t>PR-0505290</t>
  </si>
  <si>
    <t>CGB1708</t>
  </si>
  <si>
    <t>B-9348</t>
  </si>
  <si>
    <t>PR-0506382</t>
  </si>
  <si>
    <t>CGB1905</t>
  </si>
  <si>
    <t>B-9840</t>
  </si>
  <si>
    <t>PR-0503908</t>
  </si>
  <si>
    <t>CGB2005</t>
  </si>
  <si>
    <t>B-9696</t>
  </si>
  <si>
    <t>PR-0503900</t>
  </si>
  <si>
    <t>PR-0503898</t>
  </si>
  <si>
    <t>PR-0503481</t>
  </si>
  <si>
    <t>CGB2204</t>
  </si>
  <si>
    <t>B-9735</t>
  </si>
  <si>
    <t>PR-0503760</t>
  </si>
  <si>
    <t>CGB2608</t>
  </si>
  <si>
    <t>B-9384</t>
  </si>
  <si>
    <t>PR-0505410</t>
  </si>
  <si>
    <t>PR-0505787</t>
  </si>
  <si>
    <t>CGB2905</t>
  </si>
  <si>
    <t>B-9446</t>
  </si>
  <si>
    <t>PR-0506378</t>
  </si>
  <si>
    <t>CGB2907</t>
  </si>
  <si>
    <t>B-9344</t>
  </si>
  <si>
    <t>PR-0506374</t>
  </si>
  <si>
    <t>PR-0505487</t>
  </si>
  <si>
    <t>CGC102</t>
  </si>
  <si>
    <t>B-10545</t>
  </si>
  <si>
    <t>PR-0505449</t>
  </si>
  <si>
    <t>CGC203</t>
  </si>
  <si>
    <t>B-10547</t>
  </si>
  <si>
    <t>PR-0503963</t>
  </si>
  <si>
    <t>CGC505</t>
  </si>
  <si>
    <t>Jaidev Shah</t>
  </si>
  <si>
    <t>B-10453</t>
  </si>
  <si>
    <t>PR-0503960</t>
  </si>
  <si>
    <t>PR-0504082</t>
  </si>
  <si>
    <t>Anjali Kansal</t>
  </si>
  <si>
    <t>PR-0503644</t>
  </si>
  <si>
    <t>CGC807</t>
  </si>
  <si>
    <t>B-10995</t>
  </si>
  <si>
    <t>PR-0505311</t>
  </si>
  <si>
    <t>CGC901</t>
  </si>
  <si>
    <t>B-9690</t>
  </si>
  <si>
    <t>PR-0505233</t>
  </si>
  <si>
    <t>PR-0506362</t>
  </si>
  <si>
    <t>CGC905</t>
  </si>
  <si>
    <t>B-19017</t>
  </si>
  <si>
    <t>PR-0504925</t>
  </si>
  <si>
    <t>CGC910</t>
  </si>
  <si>
    <t>B-11643</t>
  </si>
  <si>
    <t>PR-0504923</t>
  </si>
  <si>
    <t>PR-0504921</t>
  </si>
  <si>
    <t>PR-0504919</t>
  </si>
  <si>
    <t>PR-0502898</t>
  </si>
  <si>
    <t>CGC1204</t>
  </si>
  <si>
    <t>B-12902</t>
  </si>
  <si>
    <t>PR-0504957</t>
  </si>
  <si>
    <t>CGC1406</t>
  </si>
  <si>
    <t>B-10562</t>
  </si>
  <si>
    <t>PR-0504092</t>
  </si>
  <si>
    <t>CGC1706</t>
  </si>
  <si>
    <t>B-10936</t>
  </si>
  <si>
    <t>PR-0506331</t>
  </si>
  <si>
    <t>CGC1803</t>
  </si>
  <si>
    <t>B-11703</t>
  </si>
  <si>
    <t>PR-0506330</t>
  </si>
  <si>
    <t>PR-0506329</t>
  </si>
  <si>
    <t>PR-0506324</t>
  </si>
  <si>
    <t>PR-0506316</t>
  </si>
  <si>
    <t>PR-0503187</t>
  </si>
  <si>
    <t>CGC2001</t>
  </si>
  <si>
    <t>B-10984</t>
  </si>
  <si>
    <t>PR-0506406</t>
  </si>
  <si>
    <t>CGC2603</t>
  </si>
  <si>
    <t>B-11988</t>
  </si>
  <si>
    <t>PR-0506404</t>
  </si>
  <si>
    <t>PR-0506400</t>
  </si>
  <si>
    <t>PR-0506398</t>
  </si>
  <si>
    <t>PR-0506396</t>
  </si>
  <si>
    <t>PR-0506395</t>
  </si>
  <si>
    <t>PR-0506393</t>
  </si>
  <si>
    <t>PR-0503181</t>
  </si>
  <si>
    <t>CGC2703</t>
  </si>
  <si>
    <t>B-10933</t>
  </si>
  <si>
    <t>PR-0505169</t>
  </si>
  <si>
    <t>PR-0505809</t>
  </si>
  <si>
    <t>CGC2804</t>
  </si>
  <si>
    <t>B-10785</t>
  </si>
  <si>
    <t>PR-0504443</t>
  </si>
  <si>
    <t>CGC3101</t>
  </si>
  <si>
    <t>B-10070</t>
  </si>
  <si>
    <t>PR-0502673</t>
  </si>
  <si>
    <t>CGC3404</t>
  </si>
  <si>
    <t>B-9675</t>
  </si>
  <si>
    <t>PR-0502653</t>
  </si>
  <si>
    <t>Dihia Mokrani</t>
  </si>
  <si>
    <t>PR-0503996</t>
  </si>
  <si>
    <t>CGC3601</t>
  </si>
  <si>
    <t>B-10699</t>
  </si>
  <si>
    <t>PR-0504172</t>
  </si>
  <si>
    <t>PR-0504148</t>
  </si>
  <si>
    <t>PR-0504123</t>
  </si>
  <si>
    <t>PR-0504054</t>
  </si>
  <si>
    <t>PR-0503638</t>
  </si>
  <si>
    <t>CGC3803</t>
  </si>
  <si>
    <t>B-10996</t>
  </si>
  <si>
    <t>PR-0502585</t>
  </si>
  <si>
    <t>CGC4001</t>
  </si>
  <si>
    <t>B-11973</t>
  </si>
  <si>
    <t>PR-0504495</t>
  </si>
  <si>
    <t>CGR07</t>
  </si>
  <si>
    <t>B-10623</t>
  </si>
  <si>
    <t>PR-0506195</t>
  </si>
  <si>
    <t>CGR08</t>
  </si>
  <si>
    <t>B-10631</t>
  </si>
  <si>
    <t>PR-0506194</t>
  </si>
  <si>
    <t>PR-0503992</t>
  </si>
  <si>
    <t>CVH-A1609</t>
  </si>
  <si>
    <t>B-11961</t>
  </si>
  <si>
    <t>PR-0504617</t>
  </si>
  <si>
    <t>PR-0505854</t>
  </si>
  <si>
    <t>CVH-A2907</t>
  </si>
  <si>
    <t>B-12442</t>
  </si>
  <si>
    <t>PR-0502715</t>
  </si>
  <si>
    <t>CVH-A2909</t>
  </si>
  <si>
    <t>B-11907</t>
  </si>
  <si>
    <t>PR-0504864</t>
  </si>
  <si>
    <t>Sarra Osman Babiker Ahmed</t>
  </si>
  <si>
    <t>PR-0504760</t>
  </si>
  <si>
    <t>PR-0505295</t>
  </si>
  <si>
    <t>PR-0504749</t>
  </si>
  <si>
    <t>CVH-A4606</t>
  </si>
  <si>
    <t>B-25960</t>
  </si>
  <si>
    <t>PR-0504745</t>
  </si>
  <si>
    <t>PR-0506021</t>
  </si>
  <si>
    <t>CVH-B1311</t>
  </si>
  <si>
    <t>B-13514</t>
  </si>
  <si>
    <t>PR-0506063</t>
  </si>
  <si>
    <t>PR-0505625</t>
  </si>
  <si>
    <t>CVH-B3102</t>
  </si>
  <si>
    <t>B-11361</t>
  </si>
  <si>
    <t>PR-0505528</t>
  </si>
  <si>
    <t>PR-0505920</t>
  </si>
  <si>
    <t>PR-0502428</t>
  </si>
  <si>
    <t>CVH-B3206</t>
  </si>
  <si>
    <t>Guvanch Shahanov</t>
  </si>
  <si>
    <t>B-47126</t>
  </si>
  <si>
    <t>PR-0502425</t>
  </si>
  <si>
    <t>PR-0505356</t>
  </si>
  <si>
    <t>CVH-B4808</t>
  </si>
  <si>
    <t>B-12209</t>
  </si>
  <si>
    <t>PR-0505354</t>
  </si>
  <si>
    <t>PR-0505351</t>
  </si>
  <si>
    <t>PR-0505349</t>
  </si>
  <si>
    <t>PR-0505346</t>
  </si>
  <si>
    <t>PR-0505341</t>
  </si>
  <si>
    <t>PR-0505340</t>
  </si>
  <si>
    <t>PR-0505339</t>
  </si>
  <si>
    <t>PR-0504461</t>
  </si>
  <si>
    <t>CVH-B1804</t>
  </si>
  <si>
    <t>B-13842</t>
  </si>
  <si>
    <t>PR-0504449</t>
  </si>
  <si>
    <t>PR-0502508</t>
  </si>
  <si>
    <t>CVH-B5001</t>
  </si>
  <si>
    <t>B-13841</t>
  </si>
  <si>
    <t>PR-0502417</t>
  </si>
  <si>
    <t>PR-0502707</t>
  </si>
  <si>
    <t>PR-0506109</t>
  </si>
  <si>
    <t>CVH-B5308</t>
  </si>
  <si>
    <t>B-12084</t>
  </si>
  <si>
    <t>PR-0503095</t>
  </si>
  <si>
    <t>CVH-B5501</t>
  </si>
  <si>
    <t>B-12851</t>
  </si>
  <si>
    <t>PR-0506056</t>
  </si>
  <si>
    <t>CVH-A104</t>
  </si>
  <si>
    <t>B-12302</t>
  </si>
  <si>
    <t>PR-0504504</t>
  </si>
  <si>
    <t>CVH-A308</t>
  </si>
  <si>
    <t>B-13014</t>
  </si>
  <si>
    <t>PR-0505236</t>
  </si>
  <si>
    <t>CVH-A807</t>
  </si>
  <si>
    <t>B-12083</t>
  </si>
  <si>
    <t>PR-0505408</t>
  </si>
  <si>
    <t>PR-0505676</t>
  </si>
  <si>
    <t>PR-0503933</t>
  </si>
  <si>
    <t>CVH-B602</t>
  </si>
  <si>
    <t>B-12333</t>
  </si>
  <si>
    <t>PR-0503928</t>
  </si>
  <si>
    <t>PR-0503899</t>
  </si>
  <si>
    <t>PR-0504505</t>
  </si>
  <si>
    <t>PR-0504605</t>
  </si>
  <si>
    <t>PR-0506150</t>
  </si>
  <si>
    <t>WO-1101</t>
  </si>
  <si>
    <t>B-13312</t>
  </si>
  <si>
    <t>PR-0505522</t>
  </si>
  <si>
    <t>WO-1304</t>
  </si>
  <si>
    <t>B-12761</t>
  </si>
  <si>
    <t>PR-0505817</t>
  </si>
  <si>
    <t>PR-0504311</t>
  </si>
  <si>
    <t>WO-2205</t>
  </si>
  <si>
    <t>B-13756</t>
  </si>
  <si>
    <t>PR-0504276</t>
  </si>
  <si>
    <t>PR-0504826</t>
  </si>
  <si>
    <t>PR-0505039</t>
  </si>
  <si>
    <t>PR-0505038</t>
  </si>
  <si>
    <t>PR-0505024</t>
  </si>
  <si>
    <t>PR-0505023</t>
  </si>
  <si>
    <t>PR-0505022</t>
  </si>
  <si>
    <t>PR-0505172</t>
  </si>
  <si>
    <t>PR-0505166</t>
  </si>
  <si>
    <t>PR-0505158</t>
  </si>
  <si>
    <t>PR-0505473</t>
  </si>
  <si>
    <t>PR-0505646</t>
  </si>
  <si>
    <t>PR-0505642</t>
  </si>
  <si>
    <t>PR-0505641</t>
  </si>
  <si>
    <t>PR-0505633</t>
  </si>
  <si>
    <t>PR-0505628</t>
  </si>
  <si>
    <t>PR-0506410</t>
  </si>
  <si>
    <t>Payment Link sent to Customer</t>
  </si>
  <si>
    <t>PR-0506407</t>
  </si>
  <si>
    <t>PR-0506403</t>
  </si>
  <si>
    <t>PR-0506402</t>
  </si>
  <si>
    <t>PR-0506401</t>
  </si>
  <si>
    <t>PR-0506375</t>
  </si>
  <si>
    <t>PR-0506369</t>
  </si>
  <si>
    <t>PR-0504808</t>
  </si>
  <si>
    <t>WO-2305</t>
  </si>
  <si>
    <t>B-13757</t>
  </si>
  <si>
    <t>PR-0504797</t>
  </si>
  <si>
    <t>PR-0505020</t>
  </si>
  <si>
    <t>PR-0505019</t>
  </si>
  <si>
    <t>PR-0505016</t>
  </si>
  <si>
    <t>PR-0505012</t>
  </si>
  <si>
    <t>PR-0505007</t>
  </si>
  <si>
    <t>PR-0505005</t>
  </si>
  <si>
    <t>PR-0505003</t>
  </si>
  <si>
    <t>PR-0504998</t>
  </si>
  <si>
    <t>PR-0505191</t>
  </si>
  <si>
    <t>PR-0505188</t>
  </si>
  <si>
    <t>PR-0505181</t>
  </si>
  <si>
    <t>PR-0505178</t>
  </si>
  <si>
    <t>PR-0506386</t>
  </si>
  <si>
    <t>PR-0506385</t>
  </si>
  <si>
    <t>PR-0506379</t>
  </si>
  <si>
    <t>PR-0504222</t>
  </si>
  <si>
    <t>WO-3204</t>
  </si>
  <si>
    <t>B-13036</t>
  </si>
  <si>
    <t>PR-0505537</t>
  </si>
  <si>
    <t>WO-3209</t>
  </si>
  <si>
    <t>B-12992</t>
  </si>
  <si>
    <t>PR-0505562</t>
  </si>
  <si>
    <t>WO-3501</t>
  </si>
  <si>
    <t>B-12949</t>
  </si>
  <si>
    <t>PR-0505561</t>
  </si>
  <si>
    <t>PR-0503805</t>
  </si>
  <si>
    <t>WO-3507</t>
  </si>
  <si>
    <t>B-12957</t>
  </si>
  <si>
    <t>PR-0503875</t>
  </si>
  <si>
    <t>PR-0502774</t>
  </si>
  <si>
    <t>WO-3508</t>
  </si>
  <si>
    <t>B-12958</t>
  </si>
  <si>
    <t>PR-0505028</t>
  </si>
  <si>
    <t>SO-A1807</t>
  </si>
  <si>
    <t>Jakub Holicky</t>
  </si>
  <si>
    <t>B-23709</t>
  </si>
  <si>
    <t>PR-0505731</t>
  </si>
  <si>
    <t>PR-0503401</t>
  </si>
  <si>
    <t>SO-A3806</t>
  </si>
  <si>
    <t>B-16693</t>
  </si>
  <si>
    <t>PR-0504363</t>
  </si>
  <si>
    <t>SO-A4406</t>
  </si>
  <si>
    <t>B-21267</t>
  </si>
  <si>
    <t>PR-0505911</t>
  </si>
  <si>
    <t>SO-B2905</t>
  </si>
  <si>
    <t>B-13052</t>
  </si>
  <si>
    <t>PR-0505910</t>
  </si>
  <si>
    <t>PR-0505907</t>
  </si>
  <si>
    <t>PR-0505906</t>
  </si>
  <si>
    <t>PR-0504376</t>
  </si>
  <si>
    <t>SO-B1413</t>
  </si>
  <si>
    <t>B-33816</t>
  </si>
  <si>
    <t>PR-0504024</t>
  </si>
  <si>
    <t>SO-B4012</t>
  </si>
  <si>
    <t>B-13352</t>
  </si>
  <si>
    <t>PR-0505209</t>
  </si>
  <si>
    <t>SO-B2811</t>
  </si>
  <si>
    <t>B-13399</t>
  </si>
  <si>
    <t>PR-0504953</t>
  </si>
  <si>
    <t>WO-211</t>
  </si>
  <si>
    <t>B-14167</t>
  </si>
  <si>
    <t>PR-0504899</t>
  </si>
  <si>
    <t>PR-0503867</t>
  </si>
  <si>
    <t>WO-304</t>
  </si>
  <si>
    <t>B-13743</t>
  </si>
  <si>
    <t>PR-0503866</t>
  </si>
  <si>
    <t>PR-0503864</t>
  </si>
  <si>
    <t>PR-0505138</t>
  </si>
  <si>
    <t>PR-0504765</t>
  </si>
  <si>
    <t>WO-404</t>
  </si>
  <si>
    <t>B-13742</t>
  </si>
  <si>
    <t>PR-0502909</t>
  </si>
  <si>
    <t>WO-703</t>
  </si>
  <si>
    <t>B-13748</t>
  </si>
  <si>
    <t>PR-0506282</t>
  </si>
  <si>
    <t>WO-802</t>
  </si>
  <si>
    <t>B-15834</t>
  </si>
  <si>
    <t>PR-0506210</t>
  </si>
  <si>
    <t>SSH-A2204</t>
  </si>
  <si>
    <t>B-15032</t>
  </si>
  <si>
    <t>PR-0505548</t>
  </si>
  <si>
    <t>SSH-A2301</t>
  </si>
  <si>
    <t>B-14504</t>
  </si>
  <si>
    <t>PR-0503664</t>
  </si>
  <si>
    <t>SSH-A2708</t>
  </si>
  <si>
    <t>B-13918</t>
  </si>
  <si>
    <t>PR-0502764</t>
  </si>
  <si>
    <t>SSH-A2405</t>
  </si>
  <si>
    <t>B-14638</t>
  </si>
  <si>
    <t>PR-0502759</t>
  </si>
  <si>
    <t>PR-0504604</t>
  </si>
  <si>
    <t>PR-0505264</t>
  </si>
  <si>
    <t>PR-0504081</t>
  </si>
  <si>
    <t>SSH-A4004</t>
  </si>
  <si>
    <t>B-14085</t>
  </si>
  <si>
    <t>PR-0504403</t>
  </si>
  <si>
    <t>SSH-A4607</t>
  </si>
  <si>
    <t>B-22130</t>
  </si>
  <si>
    <t>PR-0505828</t>
  </si>
  <si>
    <t>SSH-A4708</t>
  </si>
  <si>
    <t>B-21321</t>
  </si>
  <si>
    <t>PR-0504375</t>
  </si>
  <si>
    <t>SO-A5203</t>
  </si>
  <si>
    <t>B-14515</t>
  </si>
  <si>
    <t>PR-0504369</t>
  </si>
  <si>
    <t>PR-0504792</t>
  </si>
  <si>
    <t>SO-A901</t>
  </si>
  <si>
    <t>B-21754</t>
  </si>
  <si>
    <t>PR-0505282</t>
  </si>
  <si>
    <t>PR-0505272</t>
  </si>
  <si>
    <t>PR-0505265</t>
  </si>
  <si>
    <t>PR-0505254</t>
  </si>
  <si>
    <t>PR-0506373</t>
  </si>
  <si>
    <t>PR-0503248</t>
  </si>
  <si>
    <t>SO-B1314</t>
  </si>
  <si>
    <t>B-25498</t>
  </si>
  <si>
    <t>PR-0504243</t>
  </si>
  <si>
    <t>PR-0502916</t>
  </si>
  <si>
    <t>VER-2108</t>
  </si>
  <si>
    <t>B-15162</t>
  </si>
  <si>
    <t>PR-0502915</t>
  </si>
  <si>
    <t>PR-0502824</t>
  </si>
  <si>
    <t>PR-0502407</t>
  </si>
  <si>
    <t>VER-4103</t>
  </si>
  <si>
    <t>B-26378</t>
  </si>
  <si>
    <t>PR-0503539</t>
  </si>
  <si>
    <t>VER-5307</t>
  </si>
  <si>
    <t>B-29565</t>
  </si>
  <si>
    <t>PR-0502400</t>
  </si>
  <si>
    <t>VER-1103</t>
  </si>
  <si>
    <t>B-22075</t>
  </si>
  <si>
    <t>PR-0503072</t>
  </si>
  <si>
    <t>PR-0503068</t>
  </si>
  <si>
    <t>PR-0505198</t>
  </si>
  <si>
    <t>PR-0502877</t>
  </si>
  <si>
    <t>VER-1110</t>
  </si>
  <si>
    <t>B-15129</t>
  </si>
  <si>
    <t>PR-0502771</t>
  </si>
  <si>
    <t>PR-0502595</t>
  </si>
  <si>
    <t>VER-1206</t>
  </si>
  <si>
    <t>B-21012</t>
  </si>
  <si>
    <t>PR-0502588</t>
  </si>
  <si>
    <t>PR-0502568</t>
  </si>
  <si>
    <t>PR-0502789</t>
  </si>
  <si>
    <t>PR-0502781</t>
  </si>
  <si>
    <t>PR-0504704</t>
  </si>
  <si>
    <t>VER-1311</t>
  </si>
  <si>
    <t>B-15142</t>
  </si>
  <si>
    <t>PR-0504156</t>
  </si>
  <si>
    <t>VER-1504</t>
  </si>
  <si>
    <t>B-15640</t>
  </si>
  <si>
    <t>PR-0506060</t>
  </si>
  <si>
    <t>VER-1711</t>
  </si>
  <si>
    <t>B-21021</t>
  </si>
  <si>
    <t>PR-0505530</t>
  </si>
  <si>
    <t>VER-2104</t>
  </si>
  <si>
    <t>B-15178</t>
  </si>
  <si>
    <t>PR-0506246</t>
  </si>
  <si>
    <t>PR-0506318</t>
  </si>
  <si>
    <t>VER-2105</t>
  </si>
  <si>
    <t>B-15160</t>
  </si>
  <si>
    <t>PR-0504456</t>
  </si>
  <si>
    <t>VER-2212</t>
  </si>
  <si>
    <t>B-15226</t>
  </si>
  <si>
    <t>PR-0505545</t>
  </si>
  <si>
    <t>VER-3706</t>
  </si>
  <si>
    <t>B-15132</t>
  </si>
  <si>
    <t>PR-0504537</t>
  </si>
  <si>
    <t>VER-3709</t>
  </si>
  <si>
    <t>B-22579</t>
  </si>
  <si>
    <t>PR-0503198</t>
  </si>
  <si>
    <t>VER-5301</t>
  </si>
  <si>
    <t>B-15112</t>
  </si>
  <si>
    <t>PR-0505898</t>
  </si>
  <si>
    <t>VER-5302</t>
  </si>
  <si>
    <t>B-15114</t>
  </si>
  <si>
    <t>PR-0502474</t>
  </si>
  <si>
    <t>VER-5309</t>
  </si>
  <si>
    <t>B-15113</t>
  </si>
  <si>
    <t>PR-0503193</t>
  </si>
  <si>
    <t>PR-0502455</t>
  </si>
  <si>
    <t>VER-5310</t>
  </si>
  <si>
    <t>B-15115</t>
  </si>
  <si>
    <t>PR-0502446</t>
  </si>
  <si>
    <t>PR-0503202</t>
  </si>
  <si>
    <t>PR-0504736</t>
  </si>
  <si>
    <t>VER-5502</t>
  </si>
  <si>
    <t>B-18585</t>
  </si>
  <si>
    <t>PR-0503209</t>
  </si>
  <si>
    <t>VER-5710</t>
  </si>
  <si>
    <t>B-15118</t>
  </si>
  <si>
    <t>PR-0505818</t>
  </si>
  <si>
    <t>VER-2805</t>
  </si>
  <si>
    <t>B-15773</t>
  </si>
  <si>
    <t>PR-0504385</t>
  </si>
  <si>
    <t>VER-3208</t>
  </si>
  <si>
    <t>B-15304</t>
  </si>
  <si>
    <t>PR-0505551</t>
  </si>
  <si>
    <t>VER-4608</t>
  </si>
  <si>
    <t>B-29394</t>
  </si>
  <si>
    <t>PR-0503536</t>
  </si>
  <si>
    <t>VER-2408</t>
  </si>
  <si>
    <t>B-15307</t>
  </si>
  <si>
    <t>PR-0503535</t>
  </si>
  <si>
    <t>PR-0504711</t>
  </si>
  <si>
    <t>VER-5904</t>
  </si>
  <si>
    <t>B-15316</t>
  </si>
  <si>
    <t>PR-0506135</t>
  </si>
  <si>
    <t>SO-C702</t>
  </si>
  <si>
    <t>B-22318</t>
  </si>
  <si>
    <t>PR-0502650</t>
  </si>
  <si>
    <t>SO-C2907</t>
  </si>
  <si>
    <t>B-17465</t>
  </si>
  <si>
    <t>PR-0502649</t>
  </si>
  <si>
    <t>PR-0505505</t>
  </si>
  <si>
    <t>SO-D709</t>
  </si>
  <si>
    <t>B-22128</t>
  </si>
  <si>
    <t>PR-0505966</t>
  </si>
  <si>
    <t>SO-D911</t>
  </si>
  <si>
    <t>B-17787</t>
  </si>
  <si>
    <t>PR-0505956</t>
  </si>
  <si>
    <t>SO-D912</t>
  </si>
  <si>
    <t>B-17785</t>
  </si>
  <si>
    <t>PR-0502825</t>
  </si>
  <si>
    <t>SO-D1112</t>
  </si>
  <si>
    <t>B-17791</t>
  </si>
  <si>
    <t>PR-0502830</t>
  </si>
  <si>
    <t>SO-D1113</t>
  </si>
  <si>
    <t>B-17789</t>
  </si>
  <si>
    <t>PR-0502672</t>
  </si>
  <si>
    <t>SO-D1309</t>
  </si>
  <si>
    <t>B-21973</t>
  </si>
  <si>
    <t>PR-0505951</t>
  </si>
  <si>
    <t>SO-D1413</t>
  </si>
  <si>
    <t>B-17783</t>
  </si>
  <si>
    <t>PR-0504111</t>
  </si>
  <si>
    <t>SO-D1613</t>
  </si>
  <si>
    <t>B-17786</t>
  </si>
  <si>
    <t>PR-0504097</t>
  </si>
  <si>
    <t>PR-0504135</t>
  </si>
  <si>
    <t>SO-D2211</t>
  </si>
  <si>
    <t>B-21744</t>
  </si>
  <si>
    <t>PR-0504920</t>
  </si>
  <si>
    <t>PR-0504101</t>
  </si>
  <si>
    <t>SO-D2712</t>
  </si>
  <si>
    <t>B-17781</t>
  </si>
  <si>
    <t>PR-0504103</t>
  </si>
  <si>
    <t>SO-D2713</t>
  </si>
  <si>
    <t>B-17780</t>
  </si>
  <si>
    <t>PR-0505979</t>
  </si>
  <si>
    <t>SO-D2813</t>
  </si>
  <si>
    <t>B-17788</t>
  </si>
  <si>
    <t>PR-0502837</t>
  </si>
  <si>
    <t>SO-D2913</t>
  </si>
  <si>
    <t>B-17790</t>
  </si>
  <si>
    <t>PR-0503812</t>
  </si>
  <si>
    <t>SO-E710</t>
  </si>
  <si>
    <t>B-24963</t>
  </si>
  <si>
    <t>PR-0505428</t>
  </si>
  <si>
    <t>PR-0505091</t>
  </si>
  <si>
    <t>SO-E4007</t>
  </si>
  <si>
    <t>B-22171</t>
  </si>
  <si>
    <t>PR-0503124</t>
  </si>
  <si>
    <t>SO-E4109</t>
  </si>
  <si>
    <t>B-16479</t>
  </si>
  <si>
    <t>PR-0503715</t>
  </si>
  <si>
    <t>PR-0503967</t>
  </si>
  <si>
    <t>SO-E4110</t>
  </si>
  <si>
    <t>B-22627</t>
  </si>
  <si>
    <t>PR-0502737</t>
  </si>
  <si>
    <t>SR-V 4</t>
  </si>
  <si>
    <t>B-20580</t>
  </si>
  <si>
    <t>PR-0505564</t>
  </si>
  <si>
    <t>PR-0506271</t>
  </si>
  <si>
    <t>SR-V 428</t>
  </si>
  <si>
    <t>B-18383</t>
  </si>
  <si>
    <t>PR-0506268</t>
  </si>
  <si>
    <t>PR-0506265</t>
  </si>
  <si>
    <t>PR-0505560</t>
  </si>
  <si>
    <t>SR-V 706</t>
  </si>
  <si>
    <t>B-16190</t>
  </si>
  <si>
    <t>PR-0505202</t>
  </si>
  <si>
    <t>SR-V 735</t>
  </si>
  <si>
    <t>B-21764</t>
  </si>
  <si>
    <t>PR-0505315</t>
  </si>
  <si>
    <t>SO-C1011</t>
  </si>
  <si>
    <t>B-32784</t>
  </si>
  <si>
    <t>PR-0502540</t>
  </si>
  <si>
    <t>SO-C1012</t>
  </si>
  <si>
    <t>Asma Ben Aziza</t>
  </si>
  <si>
    <t>B-33194</t>
  </si>
  <si>
    <t>PR-0502527</t>
  </si>
  <si>
    <t>PR-0502601</t>
  </si>
  <si>
    <t>PR-0502590</t>
  </si>
  <si>
    <t>PR-0502580</t>
  </si>
  <si>
    <t>PR-0502571</t>
  </si>
  <si>
    <t>PR-0502566</t>
  </si>
  <si>
    <t>PR-0502562</t>
  </si>
  <si>
    <t>PR-0505993</t>
  </si>
  <si>
    <t>SO-C1013</t>
  </si>
  <si>
    <t>B-34057</t>
  </si>
  <si>
    <t>PR-0505990</t>
  </si>
  <si>
    <t>PR-0504499</t>
  </si>
  <si>
    <t>SO-D3012</t>
  </si>
  <si>
    <t>B-22126</t>
  </si>
  <si>
    <t>PR-0504491</t>
  </si>
  <si>
    <t>PR-0504482</t>
  </si>
  <si>
    <t>PR-0504600</t>
  </si>
  <si>
    <t>PR-0504593</t>
  </si>
  <si>
    <t>PR-0502992</t>
  </si>
  <si>
    <t>SO-D1322</t>
  </si>
  <si>
    <t>B-25964</t>
  </si>
  <si>
    <t>PR-0503185</t>
  </si>
  <si>
    <t>Ali Alshaowa</t>
  </si>
  <si>
    <t>PR-0505286</t>
  </si>
  <si>
    <t>SO-D1623</t>
  </si>
  <si>
    <t>B-21883</t>
  </si>
  <si>
    <t>PR-0504466</t>
  </si>
  <si>
    <t>VER-5010</t>
  </si>
  <si>
    <t>B-25453</t>
  </si>
  <si>
    <t>PR-0504448</t>
  </si>
  <si>
    <t>PR-0505262</t>
  </si>
  <si>
    <t>PR-0504697</t>
  </si>
  <si>
    <t>330 RSC-4514</t>
  </si>
  <si>
    <t>B-18590</t>
  </si>
  <si>
    <t>PR-0503878</t>
  </si>
  <si>
    <t>SO-D1813</t>
  </si>
  <si>
    <t>B-46828</t>
  </si>
  <si>
    <t>PR-0504411</t>
  </si>
  <si>
    <t>SO-B3521</t>
  </si>
  <si>
    <t>B-22051</t>
  </si>
  <si>
    <t>PR-0504401</t>
  </si>
  <si>
    <t>PR-0504134</t>
  </si>
  <si>
    <t>SO-C1308</t>
  </si>
  <si>
    <t>B-21482</t>
  </si>
  <si>
    <t>PR-0505238</t>
  </si>
  <si>
    <t>SO-C2508</t>
  </si>
  <si>
    <t>B-21776</t>
  </si>
  <si>
    <t>PR-0505405</t>
  </si>
  <si>
    <t>PR-0503584</t>
  </si>
  <si>
    <t>SO-A201</t>
  </si>
  <si>
    <t>B-32862</t>
  </si>
  <si>
    <t>PR-0503594</t>
  </si>
  <si>
    <t>SO-A503</t>
  </si>
  <si>
    <t>B-21512</t>
  </si>
  <si>
    <t>PR-0505293</t>
  </si>
  <si>
    <t>SR-V 606</t>
  </si>
  <si>
    <t>B-19363</t>
  </si>
  <si>
    <t>PR-0504005</t>
  </si>
  <si>
    <t>320 RSC-702</t>
  </si>
  <si>
    <t>B-32254</t>
  </si>
  <si>
    <t>PR-0502683</t>
  </si>
  <si>
    <t>320 RSC-711</t>
  </si>
  <si>
    <t>B-18522</t>
  </si>
  <si>
    <t>PR-0502682</t>
  </si>
  <si>
    <t>PR-0505297</t>
  </si>
  <si>
    <t>320 RSC-2211</t>
  </si>
  <si>
    <t>B-23939</t>
  </si>
  <si>
    <t>PR-0503044</t>
  </si>
  <si>
    <t>320 RSC-2611</t>
  </si>
  <si>
    <t>B-18835</t>
  </si>
  <si>
    <t>PR-0503672</t>
  </si>
  <si>
    <t>PR-0503670</t>
  </si>
  <si>
    <t>PR-0505343</t>
  </si>
  <si>
    <t>PR-0502507</t>
  </si>
  <si>
    <t>320 RSC-3903</t>
  </si>
  <si>
    <t>B-18551</t>
  </si>
  <si>
    <t>PR-0502504</t>
  </si>
  <si>
    <t>PR-0505289</t>
  </si>
  <si>
    <t>320 RSC-4009</t>
  </si>
  <si>
    <t>B-22372</t>
  </si>
  <si>
    <t>PR-0504179</t>
  </si>
  <si>
    <t>320 RSC-4210</t>
  </si>
  <si>
    <t>B-23646</t>
  </si>
  <si>
    <t>PR-0504027</t>
  </si>
  <si>
    <t>320 RSC-4510</t>
  </si>
  <si>
    <t>B-22760</t>
  </si>
  <si>
    <t>PR-0504010</t>
  </si>
  <si>
    <t>PR-0504647</t>
  </si>
  <si>
    <t>PR-0503312</t>
  </si>
  <si>
    <t>320 RSC-4609</t>
  </si>
  <si>
    <t>B-18436</t>
  </si>
  <si>
    <t>PR-0503311</t>
  </si>
  <si>
    <t>PR-0504018</t>
  </si>
  <si>
    <t>320 RSC-5608</t>
  </si>
  <si>
    <t>B-17851</t>
  </si>
  <si>
    <t>PR-0505218</t>
  </si>
  <si>
    <t>SO-E407</t>
  </si>
  <si>
    <t>B-33682</t>
  </si>
  <si>
    <t>PR-0504510</t>
  </si>
  <si>
    <t>SO-E201</t>
  </si>
  <si>
    <t>B-33633</t>
  </si>
  <si>
    <t>PR-0504485</t>
  </si>
  <si>
    <t>PR-0504254</t>
  </si>
  <si>
    <t>320 RSC-2704</t>
  </si>
  <si>
    <t>B-18677</t>
  </si>
  <si>
    <t>PR-0504464</t>
  </si>
  <si>
    <t>320 RSC-5804</t>
  </si>
  <si>
    <t>B-18567</t>
  </si>
  <si>
    <t>PR-0503122</t>
  </si>
  <si>
    <t>SSH-B1201</t>
  </si>
  <si>
    <t>B-18824</t>
  </si>
  <si>
    <t>PR-0504360</t>
  </si>
  <si>
    <t>SSH-B1506</t>
  </si>
  <si>
    <t>B-18641</t>
  </si>
  <si>
    <t>PR-0504774</t>
  </si>
  <si>
    <t>SSH-B1802</t>
  </si>
  <si>
    <t>B-18009</t>
  </si>
  <si>
    <t>PR-0504110</t>
  </si>
  <si>
    <t>SSH-B1902</t>
  </si>
  <si>
    <t>B-18371</t>
  </si>
  <si>
    <t>PR-0502549</t>
  </si>
  <si>
    <t>SSH-B1903</t>
  </si>
  <si>
    <t>B-18127</t>
  </si>
  <si>
    <t>PR-0502548</t>
  </si>
  <si>
    <t>PR-0502547</t>
  </si>
  <si>
    <t>PR-0503463</t>
  </si>
  <si>
    <t>PR-0502426</t>
  </si>
  <si>
    <t>SSH-B1908</t>
  </si>
  <si>
    <t>B-22182</t>
  </si>
  <si>
    <t>PR-0502920</t>
  </si>
  <si>
    <t>SSH-B1904</t>
  </si>
  <si>
    <t>B-23874</t>
  </si>
  <si>
    <t>PR-0502918</t>
  </si>
  <si>
    <t>PR-0502945</t>
  </si>
  <si>
    <t>PR-0502939</t>
  </si>
  <si>
    <t>PR-0502930</t>
  </si>
  <si>
    <t>PR-0502927</t>
  </si>
  <si>
    <t>PR-0502924</t>
  </si>
  <si>
    <t>PR-0502923</t>
  </si>
  <si>
    <t>PR-0502628</t>
  </si>
  <si>
    <t>SSH-B2208</t>
  </si>
  <si>
    <t>B-22924</t>
  </si>
  <si>
    <t>PR-0503134</t>
  </si>
  <si>
    <t>PR-0505279</t>
  </si>
  <si>
    <t>SSH-B2302</t>
  </si>
  <si>
    <t>B-18575</t>
  </si>
  <si>
    <t>PR-0505278</t>
  </si>
  <si>
    <t>PR-0505275</t>
  </si>
  <si>
    <t>PR-0505274</t>
  </si>
  <si>
    <t>PR-0503965</t>
  </si>
  <si>
    <t>330 RSC-1912</t>
  </si>
  <si>
    <t>B-18221</t>
  </si>
  <si>
    <t>PR-0504431</t>
  </si>
  <si>
    <t>PR-0504180</t>
  </si>
  <si>
    <t>330 RSC-3013</t>
  </si>
  <si>
    <t>B-18240</t>
  </si>
  <si>
    <t>PR-0504178</t>
  </si>
  <si>
    <t>PR-0504753</t>
  </si>
  <si>
    <t>330 RSC-3014</t>
  </si>
  <si>
    <t>B-18658</t>
  </si>
  <si>
    <t>PR-0502674</t>
  </si>
  <si>
    <t>320 RSC-610</t>
  </si>
  <si>
    <t>B-24839</t>
  </si>
  <si>
    <t>PR-0503626</t>
  </si>
  <si>
    <t>320 RSC-2011</t>
  </si>
  <si>
    <t>B-18513</t>
  </si>
  <si>
    <t>PR-0503614</t>
  </si>
  <si>
    <t>PR-0505312</t>
  </si>
  <si>
    <t>SSH-B3401</t>
  </si>
  <si>
    <t>B-19493</t>
  </si>
  <si>
    <t>PR-0505308</t>
  </si>
  <si>
    <t>PR-0505301</t>
  </si>
  <si>
    <t>PR-0502706</t>
  </si>
  <si>
    <t>SSH-B4001</t>
  </si>
  <si>
    <t>B-22521</t>
  </si>
  <si>
    <t>PR-0502702</t>
  </si>
  <si>
    <t>PR-0502395</t>
  </si>
  <si>
    <t>320 RSC-4608</t>
  </si>
  <si>
    <t>B-18813</t>
  </si>
  <si>
    <t>PR-0504815</t>
  </si>
  <si>
    <t>PR-0505806</t>
  </si>
  <si>
    <t>320 RSC-301</t>
  </si>
  <si>
    <t>B-47299</t>
  </si>
  <si>
    <t>PR-0506002</t>
  </si>
  <si>
    <t>PR-0505996</t>
  </si>
  <si>
    <t>PR-0503143</t>
  </si>
  <si>
    <t>320 RSC-402</t>
  </si>
  <si>
    <t>B-33550</t>
  </si>
  <si>
    <t>PR-0503078</t>
  </si>
  <si>
    <t>PR-0503382</t>
  </si>
  <si>
    <t>PR-0502876</t>
  </si>
  <si>
    <t>SSH-C2701</t>
  </si>
  <si>
    <t>B-23171</t>
  </si>
  <si>
    <t>PR-0502762</t>
  </si>
  <si>
    <t>PR-0505813</t>
  </si>
  <si>
    <t>SSH-C2502</t>
  </si>
  <si>
    <t>B-22116</t>
  </si>
  <si>
    <t>PR-0506106</t>
  </si>
  <si>
    <t>SSH-C2803</t>
  </si>
  <si>
    <t>B-22221</t>
  </si>
  <si>
    <t>PR-0503207</t>
  </si>
  <si>
    <t>340 RSC-814</t>
  </si>
  <si>
    <t>B-23503</t>
  </si>
  <si>
    <t>PR-0504064</t>
  </si>
  <si>
    <t>340 RSC-1408</t>
  </si>
  <si>
    <t>B-19164</t>
  </si>
  <si>
    <t>PR-0504050</t>
  </si>
  <si>
    <t>PR-0504042</t>
  </si>
  <si>
    <t>PR-0504189</t>
  </si>
  <si>
    <t>340 RSC-1508</t>
  </si>
  <si>
    <t>B-19162</t>
  </si>
  <si>
    <t>PR-0506363</t>
  </si>
  <si>
    <t>340 RSC-1602</t>
  </si>
  <si>
    <t>B-25235</t>
  </si>
  <si>
    <t>PR-0504602</t>
  </si>
  <si>
    <t>340 RSC-2101</t>
  </si>
  <si>
    <t>B-33436</t>
  </si>
  <si>
    <t>PR-0504594</t>
  </si>
  <si>
    <t>PR-0502472</t>
  </si>
  <si>
    <t>340 RSC-2108</t>
  </si>
  <si>
    <t>B-19241</t>
  </si>
  <si>
    <t>PR-0504127</t>
  </si>
  <si>
    <t>340 RSC-2215</t>
  </si>
  <si>
    <t>Fatma Demir</t>
  </si>
  <si>
    <t>B-33585</t>
  </si>
  <si>
    <t>PR-0505808</t>
  </si>
  <si>
    <t>340 RSC-2410</t>
  </si>
  <si>
    <t>B-19079</t>
  </si>
  <si>
    <t>PR-0506273</t>
  </si>
  <si>
    <t>340 RSC-2607</t>
  </si>
  <si>
    <t>B-19094</t>
  </si>
  <si>
    <t>PR-0506269</t>
  </si>
  <si>
    <t>PR-0502862</t>
  </si>
  <si>
    <t>340 RSC-3509</t>
  </si>
  <si>
    <t>B-20676</t>
  </si>
  <si>
    <t>PR-0502856</t>
  </si>
  <si>
    <t>PR-0505173</t>
  </si>
  <si>
    <t>340 RSC-3611</t>
  </si>
  <si>
    <t>B-19257</t>
  </si>
  <si>
    <t>PR-0505851</t>
  </si>
  <si>
    <t>340 RSC-3615</t>
  </si>
  <si>
    <t>B-34217</t>
  </si>
  <si>
    <t>PR-0504988</t>
  </si>
  <si>
    <t>340 RSC-3710</t>
  </si>
  <si>
    <t>B-19438</t>
  </si>
  <si>
    <t>PR-0504987</t>
  </si>
  <si>
    <t>PR-0503094</t>
  </si>
  <si>
    <t>340 RSC-4008</t>
  </si>
  <si>
    <t>B-24724</t>
  </si>
  <si>
    <t>PR-0506278</t>
  </si>
  <si>
    <t>340 RSC-4110</t>
  </si>
  <si>
    <t>B-19064</t>
  </si>
  <si>
    <t>PR-0506345</t>
  </si>
  <si>
    <t>340 RSC-5201</t>
  </si>
  <si>
    <t>B-33987</t>
  </si>
  <si>
    <t>PR-0502415</t>
  </si>
  <si>
    <t>340 RSC-5308</t>
  </si>
  <si>
    <t>B-20338</t>
  </si>
  <si>
    <t>PR-0502413</t>
  </si>
  <si>
    <t>PR-0506041</t>
  </si>
  <si>
    <t>340 RSC-5311</t>
  </si>
  <si>
    <t>B-19359</t>
  </si>
  <si>
    <t>PR-0506160</t>
  </si>
  <si>
    <t>340 RSC-5412</t>
  </si>
  <si>
    <t>B-19941</t>
  </si>
  <si>
    <t>PR-0503839</t>
  </si>
  <si>
    <t>340 RSC-5507</t>
  </si>
  <si>
    <t>B-22843</t>
  </si>
  <si>
    <t>PR-0506128</t>
  </si>
  <si>
    <t>SSH-C1404</t>
  </si>
  <si>
    <t>B-24808</t>
  </si>
  <si>
    <t>PR-0506123</t>
  </si>
  <si>
    <t>PR-0506118</t>
  </si>
  <si>
    <t>PR-0505801</t>
  </si>
  <si>
    <t>SSH-C1904</t>
  </si>
  <si>
    <t>B-29769</t>
  </si>
  <si>
    <t>PR-0503546</t>
  </si>
  <si>
    <t>350 RSC-1008</t>
  </si>
  <si>
    <t>B-20241</t>
  </si>
  <si>
    <t>PR-0502471</t>
  </si>
  <si>
    <t>350 RSC-1102</t>
  </si>
  <si>
    <t>B-24818</t>
  </si>
  <si>
    <t>PR-0504371</t>
  </si>
  <si>
    <t>350 RSC-1105</t>
  </si>
  <si>
    <t>B-21208</t>
  </si>
  <si>
    <t>PR-0505474</t>
  </si>
  <si>
    <t>350 RSC-3105</t>
  </si>
  <si>
    <t>B-21520</t>
  </si>
  <si>
    <t>PR-0505618</t>
  </si>
  <si>
    <t>PR-0505617</t>
  </si>
  <si>
    <t>PR-0505610</t>
  </si>
  <si>
    <t>PR-0505609</t>
  </si>
  <si>
    <t>PR-0505606</t>
  </si>
  <si>
    <t>PR-0505603</t>
  </si>
  <si>
    <t>PR-0505599</t>
  </si>
  <si>
    <t>PR-0505594</t>
  </si>
  <si>
    <t>PR-0505589</t>
  </si>
  <si>
    <t>PR-0505588</t>
  </si>
  <si>
    <t>PR-0505585</t>
  </si>
  <si>
    <t>PR-0505584</t>
  </si>
  <si>
    <t>PR-0505582</t>
  </si>
  <si>
    <t>PR-0505580</t>
  </si>
  <si>
    <t>PR-0505567</t>
  </si>
  <si>
    <t>PR-0505511</t>
  </si>
  <si>
    <t>PR-0503101</t>
  </si>
  <si>
    <t>350 RSC-3604</t>
  </si>
  <si>
    <t>B-19539</t>
  </si>
  <si>
    <t>PR-0505691</t>
  </si>
  <si>
    <t>350 RSC-4403</t>
  </si>
  <si>
    <t>B-19643</t>
  </si>
  <si>
    <t>PR-0505690</t>
  </si>
  <si>
    <t>PR-0505689</t>
  </si>
  <si>
    <t>PR-0505693</t>
  </si>
  <si>
    <t>PR-0503123</t>
  </si>
  <si>
    <t>350 RSC-5411</t>
  </si>
  <si>
    <t>B-19698</t>
  </si>
  <si>
    <t>PR-0503149</t>
  </si>
  <si>
    <t>PR-0503148</t>
  </si>
  <si>
    <t>PR-0504387</t>
  </si>
  <si>
    <t>350 RSC-5702</t>
  </si>
  <si>
    <t>B-25214</t>
  </si>
  <si>
    <t>PR-0504383</t>
  </si>
  <si>
    <t>PR-0504557</t>
  </si>
  <si>
    <t>350 RSC-6113</t>
  </si>
  <si>
    <t>B-25480</t>
  </si>
  <si>
    <t>PR-0504532</t>
  </si>
  <si>
    <t>PR-0503319</t>
  </si>
  <si>
    <t>340 RSC-1912</t>
  </si>
  <si>
    <t>B-19557</t>
  </si>
  <si>
    <t>PR-0504983</t>
  </si>
  <si>
    <t>PR-0505185</t>
  </si>
  <si>
    <t>PR-0505745</t>
  </si>
  <si>
    <t>PR-0503213</t>
  </si>
  <si>
    <t>350 RSC-4911</t>
  </si>
  <si>
    <t>B-21281</t>
  </si>
  <si>
    <t>PR-0506007</t>
  </si>
  <si>
    <t>350 RSC-907</t>
  </si>
  <si>
    <t>B-21584</t>
  </si>
  <si>
    <t>PR-0505995</t>
  </si>
  <si>
    <t>350 RSC-908</t>
  </si>
  <si>
    <t>B-21613</t>
  </si>
  <si>
    <t>PR-0505630</t>
  </si>
  <si>
    <t>350 RSC-3911</t>
  </si>
  <si>
    <t>B-20385</t>
  </si>
  <si>
    <t>PR-0504677</t>
  </si>
  <si>
    <t>350 RSC-4209</t>
  </si>
  <si>
    <t>B-20585</t>
  </si>
  <si>
    <t>PR-0503797</t>
  </si>
  <si>
    <t>350 RSC-4913</t>
  </si>
  <si>
    <t>B-29377</t>
  </si>
  <si>
    <t>PR-0503793</t>
  </si>
  <si>
    <t>PR-0502786</t>
  </si>
  <si>
    <t>310 RSC-1311</t>
  </si>
  <si>
    <t>B-30721</t>
  </si>
  <si>
    <t>PR-0502785</t>
  </si>
  <si>
    <t>PR-0503845</t>
  </si>
  <si>
    <t>310 RSC-1206</t>
  </si>
  <si>
    <t>B-22053</t>
  </si>
  <si>
    <t>PR-0505383</t>
  </si>
  <si>
    <t>310 RSC-1512</t>
  </si>
  <si>
    <t>Yuchen Shi</t>
  </si>
  <si>
    <t>B-21563</t>
  </si>
  <si>
    <t>PR-0505376</t>
  </si>
  <si>
    <t>PR-0506299</t>
  </si>
  <si>
    <t>PR-0506258</t>
  </si>
  <si>
    <t>PR-0505575</t>
  </si>
  <si>
    <t>310 RSC-1810</t>
  </si>
  <si>
    <t>B-21059</t>
  </si>
  <si>
    <t>PR-0505365</t>
  </si>
  <si>
    <t>310 RSC-2012</t>
  </si>
  <si>
    <t>B-38142</t>
  </si>
  <si>
    <t>PR-0504766</t>
  </si>
  <si>
    <t>310 RSC-3106</t>
  </si>
  <si>
    <t>B-21752</t>
  </si>
  <si>
    <t>PR-0505608</t>
  </si>
  <si>
    <t>310 RSC-3112</t>
  </si>
  <si>
    <t>B-25431</t>
  </si>
  <si>
    <t>PR-0505597</t>
  </si>
  <si>
    <t>PR-0505591</t>
  </si>
  <si>
    <t>PR-0506110</t>
  </si>
  <si>
    <t>PR-0506026</t>
  </si>
  <si>
    <t>310 RSC-3208</t>
  </si>
  <si>
    <t>B-20505</t>
  </si>
  <si>
    <t>PR-0506025</t>
  </si>
  <si>
    <t>310 RSC-3412</t>
  </si>
  <si>
    <t>B-24982</t>
  </si>
  <si>
    <t>PR-0506066</t>
  </si>
  <si>
    <t>310 RSC-3505</t>
  </si>
  <si>
    <t>B-20189</t>
  </si>
  <si>
    <t>PR-0506064</t>
  </si>
  <si>
    <t>PR-0503850</t>
  </si>
  <si>
    <t>310 RSC-3606</t>
  </si>
  <si>
    <t>B-21769</t>
  </si>
  <si>
    <t>PR-0504832</t>
  </si>
  <si>
    <t>340 RSC-502</t>
  </si>
  <si>
    <t>B-30695</t>
  </si>
  <si>
    <t>PR-0505716</t>
  </si>
  <si>
    <t>340 RSC-215</t>
  </si>
  <si>
    <t>B-46513</t>
  </si>
  <si>
    <t>PR-0505714</t>
  </si>
  <si>
    <t>PR-0503387</t>
  </si>
  <si>
    <t>340 RSC-314</t>
  </si>
  <si>
    <t>B-20885</t>
  </si>
  <si>
    <t>PR-0502845</t>
  </si>
  <si>
    <t>340 RSC-613</t>
  </si>
  <si>
    <t>B-20340</t>
  </si>
  <si>
    <t>PR-0502592</t>
  </si>
  <si>
    <t>310 RSC-4812</t>
  </si>
  <si>
    <t>B-28150</t>
  </si>
  <si>
    <t>PR-0504757</t>
  </si>
  <si>
    <t>310 RSC-3109</t>
  </si>
  <si>
    <t>B-21403</t>
  </si>
  <si>
    <t>PR-0502851</t>
  </si>
  <si>
    <t>310 RSC-6209</t>
  </si>
  <si>
    <t>B-23120</t>
  </si>
  <si>
    <t>PR-0503110</t>
  </si>
  <si>
    <t>PR-0503581</t>
  </si>
  <si>
    <t>310 RSC-4203</t>
  </si>
  <si>
    <t>B-29591</t>
  </si>
  <si>
    <t>PR-0503745</t>
  </si>
  <si>
    <t>PR-0503742</t>
  </si>
  <si>
    <t>PR-0504380</t>
  </si>
  <si>
    <t>PR-0504356</t>
  </si>
  <si>
    <t>PR-0505072</t>
  </si>
  <si>
    <t>PR-0505503</t>
  </si>
  <si>
    <t>310 RSC-4305</t>
  </si>
  <si>
    <t>B-20286</t>
  </si>
  <si>
    <t>PR-0504152</t>
  </si>
  <si>
    <t>310 RSC-4405</t>
  </si>
  <si>
    <t>B-20284</t>
  </si>
  <si>
    <t>PR-0504149</t>
  </si>
  <si>
    <t>PR-0504661</t>
  </si>
  <si>
    <t>310 RSC-4314</t>
  </si>
  <si>
    <t>B-34248</t>
  </si>
  <si>
    <t>PR-0504659</t>
  </si>
  <si>
    <t>PR-0504683</t>
  </si>
  <si>
    <t>310 RSC-6309</t>
  </si>
  <si>
    <t>B-23068</t>
  </si>
  <si>
    <t>PR-0503159</t>
  </si>
  <si>
    <t>310 RSC-5310</t>
  </si>
  <si>
    <t>B-21677</t>
  </si>
  <si>
    <t>PR-0506114</t>
  </si>
  <si>
    <t>310 RSC-6711</t>
  </si>
  <si>
    <t>B-28933</t>
  </si>
  <si>
    <t>PR-0504381</t>
  </si>
  <si>
    <t>310 RSC-6712</t>
  </si>
  <si>
    <t>B-24996</t>
  </si>
  <si>
    <t>PR-0504379</t>
  </si>
  <si>
    <t>PR-0504374</t>
  </si>
  <si>
    <t>PR-0503786</t>
  </si>
  <si>
    <t>310 RSC-7002</t>
  </si>
  <si>
    <t>B-23889</t>
  </si>
  <si>
    <t>PR-0504233</t>
  </si>
  <si>
    <t>310 RSC-6413</t>
  </si>
  <si>
    <t>B-37946</t>
  </si>
  <si>
    <t>PR-0504856</t>
  </si>
  <si>
    <t>310 RSC-6213</t>
  </si>
  <si>
    <t>B-38043</t>
  </si>
  <si>
    <t>PR-0504850</t>
  </si>
  <si>
    <t>PR-0502760</t>
  </si>
  <si>
    <t>SR-V 122</t>
  </si>
  <si>
    <t>B-21316</t>
  </si>
  <si>
    <t>PR-0503286</t>
  </si>
  <si>
    <t>SR-V 134</t>
  </si>
  <si>
    <t>B-20611</t>
  </si>
  <si>
    <t>PR-0503284</t>
  </si>
  <si>
    <t>PR-0503281</t>
  </si>
  <si>
    <t>PR-0503277</t>
  </si>
  <si>
    <t>PR-0503275</t>
  </si>
  <si>
    <t>PR-0503274</t>
  </si>
  <si>
    <t>PR-0503434</t>
  </si>
  <si>
    <t>PR-0503550</t>
  </si>
  <si>
    <t>SO-V210</t>
  </si>
  <si>
    <t>B-31703</t>
  </si>
  <si>
    <t>PR-0503567</t>
  </si>
  <si>
    <t>SO-V224</t>
  </si>
  <si>
    <t>B-33071</t>
  </si>
  <si>
    <t>PR-0504636</t>
  </si>
  <si>
    <t>PR-0504846</t>
  </si>
  <si>
    <t>PR-0503414</t>
  </si>
  <si>
    <t>SO-B602</t>
  </si>
  <si>
    <t>B-29630</t>
  </si>
  <si>
    <t>PR-0503411</t>
  </si>
  <si>
    <t>PR-0505044</t>
  </si>
  <si>
    <t>PR-0505318</t>
  </si>
  <si>
    <t>360 RSC-901</t>
  </si>
  <si>
    <t>B-25047</t>
  </si>
  <si>
    <t>PR-0504159</t>
  </si>
  <si>
    <t>360 RSC-1407</t>
  </si>
  <si>
    <t>B-20698</t>
  </si>
  <si>
    <t>PR-0504624</t>
  </si>
  <si>
    <t>PR-0504606</t>
  </si>
  <si>
    <t>PR-0505199</t>
  </si>
  <si>
    <t>360 RSC-2709</t>
  </si>
  <si>
    <t>B-21357</t>
  </si>
  <si>
    <t>PR-0506206</t>
  </si>
  <si>
    <t>360 RSC-1013</t>
  </si>
  <si>
    <t>B-34142</t>
  </si>
  <si>
    <t>PR-0503927</t>
  </si>
  <si>
    <t>360 RSC-1104</t>
  </si>
  <si>
    <t>Nailia Muratova</t>
  </si>
  <si>
    <t>B-21526</t>
  </si>
  <si>
    <t>PR-0504246</t>
  </si>
  <si>
    <t>PR-0504390</t>
  </si>
  <si>
    <t>360 RSC-5914</t>
  </si>
  <si>
    <t>B-31863</t>
  </si>
  <si>
    <t>PR-0504404</t>
  </si>
  <si>
    <t>360 RSC-1310</t>
  </si>
  <si>
    <t>B-21516</t>
  </si>
  <si>
    <t>PR-0503747</t>
  </si>
  <si>
    <t>360 RSC-1311</t>
  </si>
  <si>
    <t>Dmitrii Smirnov</t>
  </si>
  <si>
    <t>B-27169</t>
  </si>
  <si>
    <t>PR-0502478</t>
  </si>
  <si>
    <t>360 RSC-4408</t>
  </si>
  <si>
    <t>B-23214</t>
  </si>
  <si>
    <t>PR-0505136</t>
  </si>
  <si>
    <t>PR-0505125</t>
  </si>
  <si>
    <t>PR-0505326</t>
  </si>
  <si>
    <t>PR-0503204</t>
  </si>
  <si>
    <t>360 RSC-7012</t>
  </si>
  <si>
    <t>B-22871</t>
  </si>
  <si>
    <t>PR-0503203</t>
  </si>
  <si>
    <t>PR-0503368</t>
  </si>
  <si>
    <t>360 RSC-5001</t>
  </si>
  <si>
    <t>B-28448</t>
  </si>
  <si>
    <t>PR-0503367</t>
  </si>
  <si>
    <t>PR-0504465</t>
  </si>
  <si>
    <t>PR-0505556</t>
  </si>
  <si>
    <t>360 RSC-1811</t>
  </si>
  <si>
    <t>B-25054</t>
  </si>
  <si>
    <t>PR-0505436</t>
  </si>
  <si>
    <t>360 RSC-3302</t>
  </si>
  <si>
    <t>B-25232</t>
  </si>
  <si>
    <t>PR-0503687</t>
  </si>
  <si>
    <t>360 RSC-5305</t>
  </si>
  <si>
    <t>B-21113</t>
  </si>
  <si>
    <t>PR-0503896</t>
  </si>
  <si>
    <t>360 RSC-3311</t>
  </si>
  <si>
    <t>B-23849</t>
  </si>
  <si>
    <t>PR-0504084</t>
  </si>
  <si>
    <t>360 RSC-5202</t>
  </si>
  <si>
    <t>B-24009</t>
  </si>
  <si>
    <t>PR-0506358</t>
  </si>
  <si>
    <t>310 RSC-3912</t>
  </si>
  <si>
    <t>B-23929</t>
  </si>
  <si>
    <t>PR-0504298</t>
  </si>
  <si>
    <t>310 RSC-5504</t>
  </si>
  <si>
    <t>B-25514</t>
  </si>
  <si>
    <t>PR-0505788</t>
  </si>
  <si>
    <t>360 RSC-801</t>
  </si>
  <si>
    <t>B-25075</t>
  </si>
  <si>
    <t>PR-0505205</t>
  </si>
  <si>
    <t>360 RSC-2209</t>
  </si>
  <si>
    <t>B-21356</t>
  </si>
  <si>
    <t>PR-0504912</t>
  </si>
  <si>
    <t>360 RSC-3902</t>
  </si>
  <si>
    <t>B-24637</t>
  </si>
  <si>
    <t>PR-0503717</t>
  </si>
  <si>
    <t>360 RSC-3913</t>
  </si>
  <si>
    <t>B-21381</t>
  </si>
  <si>
    <t>PR-0502499</t>
  </si>
  <si>
    <t>360 RSC-4114</t>
  </si>
  <si>
    <t>B-32764</t>
  </si>
  <si>
    <t>PR-0502497</t>
  </si>
  <si>
    <t>PR-0504004</t>
  </si>
  <si>
    <t>360 RSC-5414</t>
  </si>
  <si>
    <t>B-25564</t>
  </si>
  <si>
    <t>PR-0503980</t>
  </si>
  <si>
    <t>PR-0504480</t>
  </si>
  <si>
    <t>PR-0504036</t>
  </si>
  <si>
    <t>360 RSC-906</t>
  </si>
  <si>
    <t>Hazal Ceylan</t>
  </si>
  <si>
    <t>B-44393</t>
  </si>
  <si>
    <t>PR-0505335</t>
  </si>
  <si>
    <t>360 RSC-6906</t>
  </si>
  <si>
    <t>B-21611</t>
  </si>
  <si>
    <t>PR-0504279</t>
  </si>
  <si>
    <t>310 RSC-103</t>
  </si>
  <si>
    <t>B-43135</t>
  </si>
  <si>
    <t>PR-0505974</t>
  </si>
  <si>
    <t>310 RSC-414</t>
  </si>
  <si>
    <t>B-32147</t>
  </si>
  <si>
    <t>PR-0505112</t>
  </si>
  <si>
    <t>310 RSC-702</t>
  </si>
  <si>
    <t>B-31762</t>
  </si>
  <si>
    <t>PR-0502433</t>
  </si>
  <si>
    <t>310 RSC-703</t>
  </si>
  <si>
    <t>B-25011</t>
  </si>
  <si>
    <t>PR-0502864</t>
  </si>
  <si>
    <t>PR-0505708</t>
  </si>
  <si>
    <t>PR-0502710</t>
  </si>
  <si>
    <t>SSH-C4102</t>
  </si>
  <si>
    <t>B-25785</t>
  </si>
  <si>
    <t>PR-0506169</t>
  </si>
  <si>
    <t>SOR-A811</t>
  </si>
  <si>
    <t>B-23974</t>
  </si>
  <si>
    <t>PR-0503749</t>
  </si>
  <si>
    <t>SOR-A2816</t>
  </si>
  <si>
    <t>B-28045</t>
  </si>
  <si>
    <t>PR-0504088</t>
  </si>
  <si>
    <t>SOR-A2902</t>
  </si>
  <si>
    <t>B-23295</t>
  </si>
  <si>
    <t>PR-0503530</t>
  </si>
  <si>
    <t>SOR-A319</t>
  </si>
  <si>
    <t>B-34550</t>
  </si>
  <si>
    <t>PR-0504257</t>
  </si>
  <si>
    <t>SOR-A402</t>
  </si>
  <si>
    <t>B-33960</t>
  </si>
  <si>
    <t>PR-0503856</t>
  </si>
  <si>
    <t>SOR-A609</t>
  </si>
  <si>
    <t>B-29574</t>
  </si>
  <si>
    <t>PR-0504712</t>
  </si>
  <si>
    <t>SOR-A610</t>
  </si>
  <si>
    <t>B-23113</t>
  </si>
  <si>
    <t>PR-0504718</t>
  </si>
  <si>
    <t>SOR-A707</t>
  </si>
  <si>
    <t>B-23114</t>
  </si>
  <si>
    <t>PR-0506250</t>
  </si>
  <si>
    <t>SOR-A713</t>
  </si>
  <si>
    <t>B-43558</t>
  </si>
  <si>
    <t>PR-0506141</t>
  </si>
  <si>
    <t>PR-0506139</t>
  </si>
  <si>
    <t>PR-0506138</t>
  </si>
  <si>
    <t>PR-0506136</t>
  </si>
  <si>
    <t>PR-0506134</t>
  </si>
  <si>
    <t>PR-0506272</t>
  </si>
  <si>
    <t>PR-0503190</t>
  </si>
  <si>
    <t>SOR-A902</t>
  </si>
  <si>
    <t>B-23208</t>
  </si>
  <si>
    <t>PR-0503922</t>
  </si>
  <si>
    <t>PR-0504388</t>
  </si>
  <si>
    <t>SOR-A1108</t>
  </si>
  <si>
    <t>B-24370</t>
  </si>
  <si>
    <t>PR-0506044</t>
  </si>
  <si>
    <t>SOR-A1118</t>
  </si>
  <si>
    <t>B-29991</t>
  </si>
  <si>
    <t>PR-0506043</t>
  </si>
  <si>
    <t>PR-0503838</t>
  </si>
  <si>
    <t>SOR-A1215</t>
  </si>
  <si>
    <t>B-24400</t>
  </si>
  <si>
    <t>PR-0506259</t>
  </si>
  <si>
    <t>SOR-A1414</t>
  </si>
  <si>
    <t>B-23110</t>
  </si>
  <si>
    <t>PR-0505387</t>
  </si>
  <si>
    <t>SOR-A1616</t>
  </si>
  <si>
    <t>B-25797</t>
  </si>
  <si>
    <t>PR-0504819</t>
  </si>
  <si>
    <t>SOR-A1713</t>
  </si>
  <si>
    <t>B-43130</t>
  </si>
  <si>
    <t>PR-0506051</t>
  </si>
  <si>
    <t>SOR-A1801</t>
  </si>
  <si>
    <t>B-29665</t>
  </si>
  <si>
    <t>PR-0503026</t>
  </si>
  <si>
    <t>SOR-A1813</t>
  </si>
  <si>
    <t>B-24794</t>
  </si>
  <si>
    <t>PR-0502515</t>
  </si>
  <si>
    <t>SOR-A1913</t>
  </si>
  <si>
    <t>B-22972</t>
  </si>
  <si>
    <t>Other Amount</t>
  </si>
  <si>
    <t>PR-0503931</t>
  </si>
  <si>
    <t>SOR-A2112</t>
  </si>
  <si>
    <t>B-23074</t>
  </si>
  <si>
    <t>PR-0504663</t>
  </si>
  <si>
    <t>PR-0502410</t>
  </si>
  <si>
    <t>SOR-A2417</t>
  </si>
  <si>
    <t>B-23017</t>
  </si>
  <si>
    <t>PR-0503884</t>
  </si>
  <si>
    <t>SOR-A2603</t>
  </si>
  <si>
    <t>B-23062</t>
  </si>
  <si>
    <t>PR-0502372</t>
  </si>
  <si>
    <t>SOR-A2610</t>
  </si>
  <si>
    <t>B-25939</t>
  </si>
  <si>
    <t>PR-0506122</t>
  </si>
  <si>
    <t>SOR-A3302</t>
  </si>
  <si>
    <t>B-23194</t>
  </si>
  <si>
    <t>PR-0506121</t>
  </si>
  <si>
    <t>PR-0506113</t>
  </si>
  <si>
    <t>PR-0506111</t>
  </si>
  <si>
    <t>PR-0506108</t>
  </si>
  <si>
    <t>PR-0506102</t>
  </si>
  <si>
    <t>PR-0504206</t>
  </si>
  <si>
    <t>SOR-E617</t>
  </si>
  <si>
    <t>B-35075</t>
  </si>
  <si>
    <t>PR-0503604</t>
  </si>
  <si>
    <t>SOR-E606</t>
  </si>
  <si>
    <t>B-23332</t>
  </si>
  <si>
    <t>PR-0505292</t>
  </si>
  <si>
    <t>SOR-E607</t>
  </si>
  <si>
    <t>B-30182</t>
  </si>
  <si>
    <t>PR-0505563</t>
  </si>
  <si>
    <t>SOR-E704</t>
  </si>
  <si>
    <t>B-34530</t>
  </si>
  <si>
    <t>PR-0503685</t>
  </si>
  <si>
    <t>SOR-E808</t>
  </si>
  <si>
    <t>B-28883</t>
  </si>
  <si>
    <t>PR-0503714</t>
  </si>
  <si>
    <t>SOR-E911</t>
  </si>
  <si>
    <t>B-28880</t>
  </si>
  <si>
    <t>PR-0504556</t>
  </si>
  <si>
    <t>SOR-E910</t>
  </si>
  <si>
    <t>B-24638</t>
  </si>
  <si>
    <t>PR-0504414</t>
  </si>
  <si>
    <t>PR-0504292</t>
  </si>
  <si>
    <t>SOR-E1804</t>
  </si>
  <si>
    <t>B-29906</t>
  </si>
  <si>
    <t>PR-0504029</t>
  </si>
  <si>
    <t>SOR-E1402</t>
  </si>
  <si>
    <t>B-23407</t>
  </si>
  <si>
    <t>PR-0505078</t>
  </si>
  <si>
    <t>SOR-E1311</t>
  </si>
  <si>
    <t>B-27952</t>
  </si>
  <si>
    <t>PR-0505758</t>
  </si>
  <si>
    <t>PR-0505593</t>
  </si>
  <si>
    <t>SOR-E1501</t>
  </si>
  <si>
    <t>B-26071</t>
  </si>
  <si>
    <t>PR-0503764</t>
  </si>
  <si>
    <t>SOR-E1606</t>
  </si>
  <si>
    <t>B-23770</t>
  </si>
  <si>
    <t>PR-0503215</t>
  </si>
  <si>
    <t>SOR-E1618</t>
  </si>
  <si>
    <t>Ivan Harlamov</t>
  </si>
  <si>
    <t>B-29955</t>
  </si>
  <si>
    <t>PR-0504552</t>
  </si>
  <si>
    <t>SOR-E1815</t>
  </si>
  <si>
    <t>B-29556</t>
  </si>
  <si>
    <t>PR-0504549</t>
  </si>
  <si>
    <t>PR-0504547</t>
  </si>
  <si>
    <t>PR-0503239</t>
  </si>
  <si>
    <t>SOR-E2302</t>
  </si>
  <si>
    <t>B-29036</t>
  </si>
  <si>
    <t>PR-0502765</t>
  </si>
  <si>
    <t>SOR-E2309</t>
  </si>
  <si>
    <t>B-23636</t>
  </si>
  <si>
    <t>PR-0503079</t>
  </si>
  <si>
    <t>SOR-E2402</t>
  </si>
  <si>
    <t>B-28482</t>
  </si>
  <si>
    <t>PR-0503981</t>
  </si>
  <si>
    <t>SOR-A1105</t>
  </si>
  <si>
    <t>B-25061</t>
  </si>
  <si>
    <t>PR-0503738</t>
  </si>
  <si>
    <t>SOR-A1905</t>
  </si>
  <si>
    <t>B-23710</t>
  </si>
  <si>
    <t>PR-0504686</t>
  </si>
  <si>
    <t>SOR-A2108</t>
  </si>
  <si>
    <t>B-24339</t>
  </si>
  <si>
    <t>PR-0504685</t>
  </si>
  <si>
    <t>PR-0504479</t>
  </si>
  <si>
    <t>SOR-A3408</t>
  </si>
  <si>
    <t>B-24871</t>
  </si>
  <si>
    <t>PR-0505090</t>
  </si>
  <si>
    <t>PR-0505089</t>
  </si>
  <si>
    <t>PR-0505085</t>
  </si>
  <si>
    <t>PR-0505079</t>
  </si>
  <si>
    <t>PR-0505765</t>
  </si>
  <si>
    <t>PR-0503794</t>
  </si>
  <si>
    <t>SOR-E4302</t>
  </si>
  <si>
    <t>Dilip Biswas</t>
  </si>
  <si>
    <t>B-27306</t>
  </si>
  <si>
    <t>PR-0505062</t>
  </si>
  <si>
    <t>SOR-E2905</t>
  </si>
  <si>
    <t>B-29559</t>
  </si>
  <si>
    <t>PR-0505187</t>
  </si>
  <si>
    <t>SOR-E3111</t>
  </si>
  <si>
    <t>B-27681</t>
  </si>
  <si>
    <t>PR-0505180</t>
  </si>
  <si>
    <t>PR-0504571</t>
  </si>
  <si>
    <t>SOR-E3113</t>
  </si>
  <si>
    <t>B-28234</t>
  </si>
  <si>
    <t>PR-0503686</t>
  </si>
  <si>
    <t>SOR-E3207</t>
  </si>
  <si>
    <t>B-24290</t>
  </si>
  <si>
    <t>PR-0504259</t>
  </si>
  <si>
    <t>SOR-E3305</t>
  </si>
  <si>
    <t>B-24580</t>
  </si>
  <si>
    <t>PR-0504258</t>
  </si>
  <si>
    <t>PR-0505742</t>
  </si>
  <si>
    <t>PR-0503848</t>
  </si>
  <si>
    <t>SOR-E3407</t>
  </si>
  <si>
    <t>B-23743</t>
  </si>
  <si>
    <t>PR-0504631</t>
  </si>
  <si>
    <t>SOR-E3509</t>
  </si>
  <si>
    <t>B-24835</t>
  </si>
  <si>
    <t>PR-0506077</t>
  </si>
  <si>
    <t>SOR-E3602</t>
  </si>
  <si>
    <t>B-29875</t>
  </si>
  <si>
    <t>PR-0504150</t>
  </si>
  <si>
    <t>SOR-E3619</t>
  </si>
  <si>
    <t>B-28034</t>
  </si>
  <si>
    <t>PR-0503119</t>
  </si>
  <si>
    <t>SOR-E3815</t>
  </si>
  <si>
    <t>B-32280</t>
  </si>
  <si>
    <t>PR-0503728</t>
  </si>
  <si>
    <t>SOR-E3810</t>
  </si>
  <si>
    <t>B-24110</t>
  </si>
  <si>
    <t>PR-0503151</t>
  </si>
  <si>
    <t>SOR-E3910</t>
  </si>
  <si>
    <t>B-24108</t>
  </si>
  <si>
    <t>PR-0504716</t>
  </si>
  <si>
    <t>SOR-E4109</t>
  </si>
  <si>
    <t>B-24371</t>
  </si>
  <si>
    <t>PR-0504513</t>
  </si>
  <si>
    <t>SOR-E4205</t>
  </si>
  <si>
    <t>B-24489</t>
  </si>
  <si>
    <t>PR-0504146</t>
  </si>
  <si>
    <t>SOR-E4318</t>
  </si>
  <si>
    <t>B-29472</t>
  </si>
  <si>
    <t>PR-0502767</t>
  </si>
  <si>
    <t>SOR-E4502</t>
  </si>
  <si>
    <t>B-24302</t>
  </si>
  <si>
    <t>PR-0502473</t>
  </si>
  <si>
    <t>SOR-B1809</t>
  </si>
  <si>
    <t>B-24760</t>
  </si>
  <si>
    <t>PR-0503842</t>
  </si>
  <si>
    <t>SOR-B2801</t>
  </si>
  <si>
    <t>B-23985</t>
  </si>
  <si>
    <t>PR-0504002</t>
  </si>
  <si>
    <t>SOR-B604</t>
  </si>
  <si>
    <t>B-25444</t>
  </si>
  <si>
    <t>PR-0503902</t>
  </si>
  <si>
    <t>PR-0503890</t>
  </si>
  <si>
    <t>PR-0504635</t>
  </si>
  <si>
    <t>PR-0505998</t>
  </si>
  <si>
    <t>SOR-B3410</t>
  </si>
  <si>
    <t>B-24288</t>
  </si>
  <si>
    <t>PR-0505997</t>
  </si>
  <si>
    <t>PR-0505871</t>
  </si>
  <si>
    <t>SOR-B2906</t>
  </si>
  <si>
    <t>B-24662</t>
  </si>
  <si>
    <t>PR-0505876</t>
  </si>
  <si>
    <t>PR-0503019</t>
  </si>
  <si>
    <t>SOR-B706</t>
  </si>
  <si>
    <t>B-24349</t>
  </si>
  <si>
    <t>PR-0503297</t>
  </si>
  <si>
    <t>PR-0504013</t>
  </si>
  <si>
    <t>PR-0505715</t>
  </si>
  <si>
    <t>PR-0505902</t>
  </si>
  <si>
    <t>SOR-B2916</t>
  </si>
  <si>
    <t>B-24171</t>
  </si>
  <si>
    <t>PR-0505899</t>
  </si>
  <si>
    <t>PR-0505502</t>
  </si>
  <si>
    <t>SOR-B903</t>
  </si>
  <si>
    <t>B-24173</t>
  </si>
  <si>
    <t>PR-0503462</t>
  </si>
  <si>
    <t>SOR-B1502</t>
  </si>
  <si>
    <t>B-24286</t>
  </si>
  <si>
    <t>PR-0503461</t>
  </si>
  <si>
    <t>PR-0503630</t>
  </si>
  <si>
    <t>PR-0503622</t>
  </si>
  <si>
    <t>PR-0504346</t>
  </si>
  <si>
    <t>PR-0505824</t>
  </si>
  <si>
    <t>SOR-B1709</t>
  </si>
  <si>
    <t>B-25071</t>
  </si>
  <si>
    <t>PR-0503177</t>
  </si>
  <si>
    <t>SOR-B2407</t>
  </si>
  <si>
    <t>B-24189</t>
  </si>
  <si>
    <t>PR-0505930</t>
  </si>
  <si>
    <t>PR-0505940</t>
  </si>
  <si>
    <t>SOR-B2506</t>
  </si>
  <si>
    <t>B-24194</t>
  </si>
  <si>
    <t>PR-0503433</t>
  </si>
  <si>
    <t>SOR-B1311</t>
  </si>
  <si>
    <t>B-26780</t>
  </si>
  <si>
    <t>PR-0506091</t>
  </si>
  <si>
    <t>PR-0503435</t>
  </si>
  <si>
    <t>SOR-B1519</t>
  </si>
  <si>
    <t>B-30874</t>
  </si>
  <si>
    <t>PR-0505944</t>
  </si>
  <si>
    <t>SOR-B1803</t>
  </si>
  <si>
    <t>B-24355</t>
  </si>
  <si>
    <t>PR-0505531</t>
  </si>
  <si>
    <t>SOR-B2803</t>
  </si>
  <si>
    <t>B-28030</t>
  </si>
  <si>
    <t>PR-0505538</t>
  </si>
  <si>
    <t>SOR-B1504</t>
  </si>
  <si>
    <t>Nour Shanbour</t>
  </si>
  <si>
    <t>B-24195</t>
  </si>
  <si>
    <t>PR-0502849</t>
  </si>
  <si>
    <t>SOR-B2309</t>
  </si>
  <si>
    <t>B-24814</t>
  </si>
  <si>
    <t>PR-0504879</t>
  </si>
  <si>
    <t>SOR-B1910</t>
  </si>
  <si>
    <t>B-28605</t>
  </si>
  <si>
    <t>PR-0505201</t>
  </si>
  <si>
    <t>Sedef Ozkilinc</t>
  </si>
  <si>
    <t>PR-0506263</t>
  </si>
  <si>
    <t>SOR-B2304</t>
  </si>
  <si>
    <t>B-24360</t>
  </si>
  <si>
    <t>PR-0505994</t>
  </si>
  <si>
    <t>SOR-B3412</t>
  </si>
  <si>
    <t>B-29571</t>
  </si>
  <si>
    <t>PR-0504494</t>
  </si>
  <si>
    <t>SOR-B2402</t>
  </si>
  <si>
    <t>B-24759</t>
  </si>
  <si>
    <t>PR-0505844</t>
  </si>
  <si>
    <t>SOR-B2819</t>
  </si>
  <si>
    <t>B-24367</t>
  </si>
  <si>
    <t>PR-0505843</t>
  </si>
  <si>
    <t>PR-0505837</t>
  </si>
  <si>
    <t>PR-0505834</t>
  </si>
  <si>
    <t>PR-0505830</t>
  </si>
  <si>
    <t>PR-0506013</t>
  </si>
  <si>
    <t>SOR-B2504</t>
  </si>
  <si>
    <t>B-24338</t>
  </si>
  <si>
    <t>PR-0505853</t>
  </si>
  <si>
    <t>SOR-B2911</t>
  </si>
  <si>
    <t>B-25914</t>
  </si>
  <si>
    <t>PR-0505246</t>
  </si>
  <si>
    <t>SOR-B3401</t>
  </si>
  <si>
    <t>B-24617</t>
  </si>
  <si>
    <t>PR-0505245</t>
  </si>
  <si>
    <t>PR-0504402</t>
  </si>
  <si>
    <t>SOR-F2009</t>
  </si>
  <si>
    <t>B-24643</t>
  </si>
  <si>
    <t>PR-0504476</t>
  </si>
  <si>
    <t>SOR-F908</t>
  </si>
  <si>
    <t>B-24752</t>
  </si>
  <si>
    <t>PR-0505435</t>
  </si>
  <si>
    <t>SOR-F1001</t>
  </si>
  <si>
    <t>B-38095</t>
  </si>
  <si>
    <t>PR-0505433</t>
  </si>
  <si>
    <t>PR-0505429</t>
  </si>
  <si>
    <t>PR-0505426</t>
  </si>
  <si>
    <t>PR-0505421</t>
  </si>
  <si>
    <t>PR-0504630</t>
  </si>
  <si>
    <t>SOR-F1008</t>
  </si>
  <si>
    <t>B-24344</t>
  </si>
  <si>
    <t>PR-0506226</t>
  </si>
  <si>
    <t>SOR-F1207</t>
  </si>
  <si>
    <t>B-24343</t>
  </si>
  <si>
    <t>PR-0503918</t>
  </si>
  <si>
    <t>SOR-F1408</t>
  </si>
  <si>
    <t>B-24347</t>
  </si>
  <si>
    <t>PR-0504345</t>
  </si>
  <si>
    <t>SOR-F1909</t>
  </si>
  <si>
    <t>B-34570</t>
  </si>
  <si>
    <t>PR-0504343</t>
  </si>
  <si>
    <t>PR-0506418</t>
  </si>
  <si>
    <t>SAV-1903</t>
  </si>
  <si>
    <t>B-48320</t>
  </si>
  <si>
    <t>PR-0506415</t>
  </si>
  <si>
    <t>PR-0506411</t>
  </si>
  <si>
    <t>PR-0506127</t>
  </si>
  <si>
    <t>SAV-1905</t>
  </si>
  <si>
    <t>B-24436</t>
  </si>
  <si>
    <t>PR-0504370</t>
  </si>
  <si>
    <t>SAV-4709</t>
  </si>
  <si>
    <t>B-47578</t>
  </si>
  <si>
    <t>PR-0504286</t>
  </si>
  <si>
    <t>SAV-3612</t>
  </si>
  <si>
    <t>B-24773</t>
  </si>
  <si>
    <t>PR-0505215</t>
  </si>
  <si>
    <t>PR-0506399</t>
  </si>
  <si>
    <t>PR-0506387</t>
  </si>
  <si>
    <t>PR-0506384</t>
  </si>
  <si>
    <t>PR-0506380</t>
  </si>
  <si>
    <t>PR-0505108</t>
  </si>
  <si>
    <t>SAV-3614</t>
  </si>
  <si>
    <t>B-24517</t>
  </si>
  <si>
    <t>PR-0506242</t>
  </si>
  <si>
    <t>SAV-1115</t>
  </si>
  <si>
    <t>B-24487</t>
  </si>
  <si>
    <t>PR-0502720</t>
  </si>
  <si>
    <t>SAV-1201</t>
  </si>
  <si>
    <t>B-24424</t>
  </si>
  <si>
    <t>PR-0506151</t>
  </si>
  <si>
    <t>SAV-1205</t>
  </si>
  <si>
    <t>B-24605</t>
  </si>
  <si>
    <t>PR-0503912</t>
  </si>
  <si>
    <t>SAV-1315</t>
  </si>
  <si>
    <t>B-24467</t>
  </si>
  <si>
    <t>PR-0504389</t>
  </si>
  <si>
    <t>SAV-1415</t>
  </si>
  <si>
    <t>B-24477</t>
  </si>
  <si>
    <t>PR-0502611</t>
  </si>
  <si>
    <t>SAV-1602</t>
  </si>
  <si>
    <t>B-24763</t>
  </si>
  <si>
    <t>PR-0502821</t>
  </si>
  <si>
    <t>SAV-1615</t>
  </si>
  <si>
    <t>B-24437</t>
  </si>
  <si>
    <t>PR-0504991</t>
  </si>
  <si>
    <t>PR-0502914</t>
  </si>
  <si>
    <t>SAV-1709</t>
  </si>
  <si>
    <t>Ignatius Joy Joy Solomon</t>
  </si>
  <si>
    <t>B-47822</t>
  </si>
  <si>
    <t>PR-0502903</t>
  </si>
  <si>
    <t>PR-0506177</t>
  </si>
  <si>
    <t>SAV-1810</t>
  </si>
  <si>
    <t>B-35349</t>
  </si>
  <si>
    <t>PR-0506095</t>
  </si>
  <si>
    <t>PR-0502726</t>
  </si>
  <si>
    <t>SAV-2308</t>
  </si>
  <si>
    <t>B-24430</t>
  </si>
  <si>
    <t>PR-0502834</t>
  </si>
  <si>
    <t>PR-0503141</t>
  </si>
  <si>
    <t>PR-0506310</t>
  </si>
  <si>
    <t>SAV-2314</t>
  </si>
  <si>
    <t>B-24441</t>
  </si>
  <si>
    <t>PR-0504625</t>
  </si>
  <si>
    <t>SAV-2415</t>
  </si>
  <si>
    <t>B-24777</t>
  </si>
  <si>
    <t>PR-0506155</t>
  </si>
  <si>
    <t>PR-0503556</t>
  </si>
  <si>
    <t>SAV-4107</t>
  </si>
  <si>
    <t>B-24806</t>
  </si>
  <si>
    <t>PR-0502676</t>
  </si>
  <si>
    <t>SAV-2605</t>
  </si>
  <si>
    <t>B-24530</t>
  </si>
  <si>
    <t>PR-0503667</t>
  </si>
  <si>
    <t>PR-0505177</t>
  </si>
  <si>
    <t>PR-0505101</t>
  </si>
  <si>
    <t>SAV-2615</t>
  </si>
  <si>
    <t>B-24422</t>
  </si>
  <si>
    <t>PR-0504633</t>
  </si>
  <si>
    <t>SAV-2705</t>
  </si>
  <si>
    <t>B-24414</t>
  </si>
  <si>
    <t>PR-0504719</t>
  </si>
  <si>
    <t>SAV-2707</t>
  </si>
  <si>
    <t>B-24525</t>
  </si>
  <si>
    <t>PR-0504699</t>
  </si>
  <si>
    <t>PR-0503071</t>
  </si>
  <si>
    <t>SAV-2709</t>
  </si>
  <si>
    <t>Yash Ahuja</t>
  </si>
  <si>
    <t>B-47532</t>
  </si>
  <si>
    <t>PR-0503070</t>
  </si>
  <si>
    <t>PR-0503067</t>
  </si>
  <si>
    <t>PR-0503066</t>
  </si>
  <si>
    <t>PR-0504898</t>
  </si>
  <si>
    <t>PR-0504896</t>
  </si>
  <si>
    <t>PR-0505555</t>
  </si>
  <si>
    <t>SAV-5003</t>
  </si>
  <si>
    <t>B-25006</t>
  </si>
  <si>
    <t>PR-0506052</t>
  </si>
  <si>
    <t>SAV-3105</t>
  </si>
  <si>
    <t>B-24469</t>
  </si>
  <si>
    <t>PR-0505785</t>
  </si>
  <si>
    <t>SAV-3115</t>
  </si>
  <si>
    <t>B-24413</t>
  </si>
  <si>
    <t>PR-0503731</t>
  </si>
  <si>
    <t>SAV-3209</t>
  </si>
  <si>
    <t>B-45621</t>
  </si>
  <si>
    <t>PR-0504230</t>
  </si>
  <si>
    <t>SAV-3215</t>
  </si>
  <si>
    <t>B-24439</t>
  </si>
  <si>
    <t>PR-0502776</t>
  </si>
  <si>
    <t>SAV-4307</t>
  </si>
  <si>
    <t>B-24824</t>
  </si>
  <si>
    <t>PR-0503914</t>
  </si>
  <si>
    <t>SAV-3402</t>
  </si>
  <si>
    <t>B-24528</t>
  </si>
  <si>
    <t>PR-0505922</t>
  </si>
  <si>
    <t>SAV-3603</t>
  </si>
  <si>
    <t>B-24613</t>
  </si>
  <si>
    <t>PR-0505738</t>
  </si>
  <si>
    <t>SAV-4109</t>
  </si>
  <si>
    <t>Ammar Abdulazeez</t>
  </si>
  <si>
    <t>B-47124</t>
  </si>
  <si>
    <t>PR-0505948</t>
  </si>
  <si>
    <t>PR-0506267</t>
  </si>
  <si>
    <t>PR-0502627</t>
  </si>
  <si>
    <t>SAV-4907</t>
  </si>
  <si>
    <t>B-24466</t>
  </si>
  <si>
    <t>PR-0504678</t>
  </si>
  <si>
    <t>SAV-4915</t>
  </si>
  <si>
    <t>B-24460</t>
  </si>
  <si>
    <t>PR-0505549</t>
  </si>
  <si>
    <t>SAV-4607</t>
  </si>
  <si>
    <t>B-24453</t>
  </si>
  <si>
    <t>PR-0504372</t>
  </si>
  <si>
    <t>SAV-4809</t>
  </si>
  <si>
    <t>B-47579</t>
  </si>
  <si>
    <t>PR-0503265</t>
  </si>
  <si>
    <t>SOR-G503</t>
  </si>
  <si>
    <t>B-42062</t>
  </si>
  <si>
    <t>PR-0503264</t>
  </si>
  <si>
    <t>PR-0503260</t>
  </si>
  <si>
    <t>PR-0503258</t>
  </si>
  <si>
    <t>PR-0503257</t>
  </si>
  <si>
    <t>PR-0503256</t>
  </si>
  <si>
    <t>PR-0503252</t>
  </si>
  <si>
    <t>PR-0504733</t>
  </si>
  <si>
    <t>SOR-G509</t>
  </si>
  <si>
    <t>B-39481</t>
  </si>
  <si>
    <t>PR-0504800</t>
  </si>
  <si>
    <t>PR-0504796</t>
  </si>
  <si>
    <t>PR-0504787</t>
  </si>
  <si>
    <t>PR-0504785</t>
  </si>
  <si>
    <t>PR-0504779</t>
  </si>
  <si>
    <t>PR-0504776</t>
  </si>
  <si>
    <t>PR-0504061</t>
  </si>
  <si>
    <t>SOR-G1505</t>
  </si>
  <si>
    <t>B-25293</t>
  </si>
  <si>
    <t>PR-0505228</t>
  </si>
  <si>
    <t>SOR-G1610</t>
  </si>
  <si>
    <t>B-25915</t>
  </si>
  <si>
    <t>PR-0505203</t>
  </si>
  <si>
    <t>PR-0505235</t>
  </si>
  <si>
    <t>SAR-1203</t>
  </si>
  <si>
    <t>B-31845</t>
  </si>
  <si>
    <t>PR-0505071</t>
  </si>
  <si>
    <t>SAR-1310</t>
  </si>
  <si>
    <t>B-45221</t>
  </si>
  <si>
    <t>PR-0505070</t>
  </si>
  <si>
    <t>PR-0505783</t>
  </si>
  <si>
    <t>SAR-2711</t>
  </si>
  <si>
    <t>B-38124</t>
  </si>
  <si>
    <t>PR-0505794</t>
  </si>
  <si>
    <t>SAR-3014</t>
  </si>
  <si>
    <t>B-26169</t>
  </si>
  <si>
    <t>PR-0505795</t>
  </si>
  <si>
    <t>SOR-E304</t>
  </si>
  <si>
    <t>B-37044</t>
  </si>
  <si>
    <t>PR-0503701</t>
  </si>
  <si>
    <t>SAL-901</t>
  </si>
  <si>
    <t>B-26792</t>
  </si>
  <si>
    <t>PR-0504435</t>
  </si>
  <si>
    <t>SAL-1208</t>
  </si>
  <si>
    <t>B-37627</t>
  </si>
  <si>
    <t>PR-0503923</t>
  </si>
  <si>
    <t>SAL-1108</t>
  </si>
  <si>
    <t>B-37595</t>
  </si>
  <si>
    <t>PR-0506296</t>
  </si>
  <si>
    <t>SAL-1110</t>
  </si>
  <si>
    <t>B-38295</t>
  </si>
  <si>
    <t>PR-0504842</t>
  </si>
  <si>
    <t>SAL-1508</t>
  </si>
  <si>
    <t>B-33496</t>
  </si>
  <si>
    <t>PR-0504847</t>
  </si>
  <si>
    <t>SAL-1713</t>
  </si>
  <si>
    <t>B-25715</t>
  </si>
  <si>
    <t>PR-0505448</t>
  </si>
  <si>
    <t>SAL-2311</t>
  </si>
  <si>
    <t>B-45236</t>
  </si>
  <si>
    <t>PR-0505586</t>
  </si>
  <si>
    <t>PR-0505805</t>
  </si>
  <si>
    <t>SAL-3311</t>
  </si>
  <si>
    <t>B-33570</t>
  </si>
  <si>
    <t>PR-0502820</t>
  </si>
  <si>
    <t>SAL-3411</t>
  </si>
  <si>
    <t>B-36853</t>
  </si>
  <si>
    <t>PR-0502729</t>
  </si>
  <si>
    <t>SOR-F1511</t>
  </si>
  <si>
    <t>B-29663</t>
  </si>
  <si>
    <t>PR-0502724</t>
  </si>
  <si>
    <t>SOR-F1611</t>
  </si>
  <si>
    <t>B-29492</t>
  </si>
  <si>
    <t>PR-0502690</t>
  </si>
  <si>
    <t>SOR-F1911</t>
  </si>
  <si>
    <t>B-34873</t>
  </si>
  <si>
    <t>PR-0502645</t>
  </si>
  <si>
    <t>PR-0502643</t>
  </si>
  <si>
    <t>PR-0502640</t>
  </si>
  <si>
    <t>PR-0502631</t>
  </si>
  <si>
    <t>PR-0504300</t>
  </si>
  <si>
    <t>SOR-F2102</t>
  </si>
  <si>
    <t>B-40090</t>
  </si>
  <si>
    <t>PR-0502791</t>
  </si>
  <si>
    <t>SOR-G1411</t>
  </si>
  <si>
    <t>B-28765</t>
  </si>
  <si>
    <t>PR-0505314</t>
  </si>
  <si>
    <t>SOR-G1906</t>
  </si>
  <si>
    <t>B-28528</t>
  </si>
  <si>
    <t>PR-0504268</t>
  </si>
  <si>
    <t>BR-SE-B223</t>
  </si>
  <si>
    <t>B-34619</t>
  </si>
  <si>
    <t>PR-0504266</t>
  </si>
  <si>
    <t>PR-0502705</t>
  </si>
  <si>
    <t>BR-SE-A215</t>
  </si>
  <si>
    <t>B-29411</t>
  </si>
  <si>
    <t>PR-0502695</t>
  </si>
  <si>
    <t>BR-SE-A303</t>
  </si>
  <si>
    <t>Sergiu Vladimir Ungurean</t>
  </si>
  <si>
    <t>B-37164</t>
  </si>
  <si>
    <t>PR-0502694</t>
  </si>
  <si>
    <t>PR-0502639</t>
  </si>
  <si>
    <t>PR-0502637</t>
  </si>
  <si>
    <t>PR-0502635</t>
  </si>
  <si>
    <t>PR-0502769</t>
  </si>
  <si>
    <t>PR-0504250</t>
  </si>
  <si>
    <t>PR-0504755</t>
  </si>
  <si>
    <t>PR-0504835</t>
  </si>
  <si>
    <t>PR-0504147</t>
  </si>
  <si>
    <t>BR-SE-B310</t>
  </si>
  <si>
    <t>B-32226</t>
  </si>
  <si>
    <t>PR-0505612</t>
  </si>
  <si>
    <t>BR-SE-B313</t>
  </si>
  <si>
    <t>B-27865</t>
  </si>
  <si>
    <t>PR-0505607</t>
  </si>
  <si>
    <t>PR-0506277</t>
  </si>
  <si>
    <t>BR-SE-B314</t>
  </si>
  <si>
    <t>B-26601</t>
  </si>
  <si>
    <t>PR-0504417</t>
  </si>
  <si>
    <t>BR-SE-B319</t>
  </si>
  <si>
    <t>B-37936</t>
  </si>
  <si>
    <t>PR-0506315</t>
  </si>
  <si>
    <t>BR-SE-C310</t>
  </si>
  <si>
    <t>B-26600</t>
  </si>
  <si>
    <t>PR-0503333</t>
  </si>
  <si>
    <t>BR-SE-A406</t>
  </si>
  <si>
    <t>B-26647</t>
  </si>
  <si>
    <t>PR-0502736</t>
  </si>
  <si>
    <t>BR-SE-C511</t>
  </si>
  <si>
    <t>B-26804</t>
  </si>
  <si>
    <t>PR-0502725</t>
  </si>
  <si>
    <t>BR-SE-B522</t>
  </si>
  <si>
    <t>B-26767</t>
  </si>
  <si>
    <t>PR-0502387</t>
  </si>
  <si>
    <t>BR-SE-B524</t>
  </si>
  <si>
    <t>B-30175</t>
  </si>
  <si>
    <t>PR-0503295</t>
  </si>
  <si>
    <t>BR-SE-B601</t>
  </si>
  <si>
    <t>B-26501</t>
  </si>
  <si>
    <t>PR-0502431</t>
  </si>
  <si>
    <t>BR-SE-B606</t>
  </si>
  <si>
    <t>B-26606</t>
  </si>
  <si>
    <t>PR-0506288</t>
  </si>
  <si>
    <t>BR-SE-B620</t>
  </si>
  <si>
    <t>B-26595</t>
  </si>
  <si>
    <t>PR-0502848</t>
  </si>
  <si>
    <t>BR-SE-B627</t>
  </si>
  <si>
    <t>B-26447</t>
  </si>
  <si>
    <t>PR-0505989</t>
  </si>
  <si>
    <t>BR-SE-A701</t>
  </si>
  <si>
    <t>B-28980</t>
  </si>
  <si>
    <t>PR-0503301</t>
  </si>
  <si>
    <t>BR-SE-C702</t>
  </si>
  <si>
    <t>B-26234</t>
  </si>
  <si>
    <t>PR-0506042</t>
  </si>
  <si>
    <t>BR-SE-C704</t>
  </si>
  <si>
    <t>B-26205</t>
  </si>
  <si>
    <t>PR-0506050</t>
  </si>
  <si>
    <t>PR-0503307</t>
  </si>
  <si>
    <t>BR-SE-B809</t>
  </si>
  <si>
    <t>B-31548</t>
  </si>
  <si>
    <t>PR-0505840</t>
  </si>
  <si>
    <t>BR-SE-B833</t>
  </si>
  <si>
    <t>B-26139</t>
  </si>
  <si>
    <t>PR-0505342</t>
  </si>
  <si>
    <t>SEL-V 415</t>
  </si>
  <si>
    <t>B-26266</t>
  </si>
  <si>
    <t>PR-0505348</t>
  </si>
  <si>
    <t>SEL-V 416</t>
  </si>
  <si>
    <t>B-26277</t>
  </si>
  <si>
    <t>PR-0505336</t>
  </si>
  <si>
    <t>SEL-V 417</t>
  </si>
  <si>
    <t>B-26275</t>
  </si>
  <si>
    <t>PR-0502678</t>
  </si>
  <si>
    <t>SEL-V 013</t>
  </si>
  <si>
    <t>B-34524</t>
  </si>
  <si>
    <t>PR-0503085</t>
  </si>
  <si>
    <t>PR-0502373</t>
  </si>
  <si>
    <t>SEL-V 016</t>
  </si>
  <si>
    <t>B-33261</t>
  </si>
  <si>
    <t>PR-0505069</t>
  </si>
  <si>
    <t>PR-0504618</t>
  </si>
  <si>
    <t>SEL-V 235</t>
  </si>
  <si>
    <t>B-29551</t>
  </si>
  <si>
    <t>PR-0505362</t>
  </si>
  <si>
    <t>SEL-V 431</t>
  </si>
  <si>
    <t>B-26272</t>
  </si>
  <si>
    <t>PR-0505331</t>
  </si>
  <si>
    <t>PR-0505355</t>
  </si>
  <si>
    <t>SEL-V 432</t>
  </si>
  <si>
    <t>B-26269</t>
  </si>
  <si>
    <t>PR-0504331</t>
  </si>
  <si>
    <t>SAR-3909</t>
  </si>
  <si>
    <t>B-39262</t>
  </si>
  <si>
    <t>PR-0505139</t>
  </si>
  <si>
    <t>SAV-2002</t>
  </si>
  <si>
    <t>B-38315</t>
  </si>
  <si>
    <t>PR-0505170</t>
  </si>
  <si>
    <t>PR-0505161</t>
  </si>
  <si>
    <t>PR-0505147</t>
  </si>
  <si>
    <t>PR-0504141</t>
  </si>
  <si>
    <t>SAV-2009</t>
  </si>
  <si>
    <t>B-45857</t>
  </si>
  <si>
    <t>PR-0504109</t>
  </si>
  <si>
    <t>PR-0504046</t>
  </si>
  <si>
    <t>PR-0505056</t>
  </si>
  <si>
    <t>PR-0505055</t>
  </si>
  <si>
    <t>PR-0505001</t>
  </si>
  <si>
    <t>PR-0505302</t>
  </si>
  <si>
    <t>PR-0505299</t>
  </si>
  <si>
    <t>PR-0505296</t>
  </si>
  <si>
    <t>PR-0502661</t>
  </si>
  <si>
    <t>SAV-5309</t>
  </si>
  <si>
    <t>B-45951</t>
  </si>
  <si>
    <t>PR-0503299</t>
  </si>
  <si>
    <t>PR-0504287</t>
  </si>
  <si>
    <t>PR-0505338</t>
  </si>
  <si>
    <t>SAL-5805</t>
  </si>
  <si>
    <t>B-39488</t>
  </si>
  <si>
    <t>PR-0504540</t>
  </si>
  <si>
    <t>SAL-5905</t>
  </si>
  <si>
    <t>B-43639</t>
  </si>
  <si>
    <t>PR-0503579</t>
  </si>
  <si>
    <t>SAL-7207</t>
  </si>
  <si>
    <t>B-34369</t>
  </si>
  <si>
    <t>PR-0503565</t>
  </si>
  <si>
    <t>PR-0503564</t>
  </si>
  <si>
    <t>PR-0503563</t>
  </si>
  <si>
    <t>PR-0503562</t>
  </si>
  <si>
    <t>PR-0503561</t>
  </si>
  <si>
    <t>PR-0503560</t>
  </si>
  <si>
    <t>PR-0503558</t>
  </si>
  <si>
    <t>PR-0503557</t>
  </si>
  <si>
    <t>PR-0503554</t>
  </si>
  <si>
    <t>PR-0503553</t>
  </si>
  <si>
    <t>PR-0503543</t>
  </si>
  <si>
    <t>PR-0503542</t>
  </si>
  <si>
    <t>PR-0504072</t>
  </si>
  <si>
    <t>PR-0504737</t>
  </si>
  <si>
    <t>PR-0504732</t>
  </si>
  <si>
    <t>PR-0504726</t>
  </si>
  <si>
    <t>PR-0504956</t>
  </si>
  <si>
    <t>PR-0504952</t>
  </si>
  <si>
    <t>PR-0504951</t>
  </si>
  <si>
    <t>PR-0505058</t>
  </si>
  <si>
    <t>PR-0505057</t>
  </si>
  <si>
    <t>PR-0505757</t>
  </si>
  <si>
    <t>PR-0506182</t>
  </si>
  <si>
    <t>PR-0503843</t>
  </si>
  <si>
    <t>SAL-7502</t>
  </si>
  <si>
    <t>B-33328</t>
  </si>
  <si>
    <t>PR-0503943</t>
  </si>
  <si>
    <t>PR-0503893</t>
  </si>
  <si>
    <t>PR-0503863</t>
  </si>
  <si>
    <t>PR-0504458</t>
  </si>
  <si>
    <t>SAL-7801</t>
  </si>
  <si>
    <t>B-42161</t>
  </si>
  <si>
    <t>PR-0503381</t>
  </si>
  <si>
    <t>SOR-C1603</t>
  </si>
  <si>
    <t>B-44023</t>
  </si>
  <si>
    <t>PR-0503379</t>
  </si>
  <si>
    <t>PR-0504996</t>
  </si>
  <si>
    <t>SOR-C1706</t>
  </si>
  <si>
    <t>B-39512</t>
  </si>
  <si>
    <t>PR-0503370</t>
  </si>
  <si>
    <t>SOR-C508</t>
  </si>
  <si>
    <t>B-40689</t>
  </si>
  <si>
    <t>PR-0503369</t>
  </si>
  <si>
    <t>PR-0503113</t>
  </si>
  <si>
    <t>SOR-C1009</t>
  </si>
  <si>
    <t>B-35854</t>
  </si>
  <si>
    <t>PR-0503974</t>
  </si>
  <si>
    <t>SOR-C1010</t>
  </si>
  <si>
    <t>B-26952</t>
  </si>
  <si>
    <t>PR-0503972</t>
  </si>
  <si>
    <t>PR-0502389</t>
  </si>
  <si>
    <t>SOR-C1301</t>
  </si>
  <si>
    <t>B-40972</t>
  </si>
  <si>
    <t>PR-0505823</t>
  </si>
  <si>
    <t>SOR-C2004</t>
  </si>
  <si>
    <t>B-34214</t>
  </si>
  <si>
    <t>PR-0503801</t>
  </si>
  <si>
    <t>SOR-C2007</t>
  </si>
  <si>
    <t>B-27239</t>
  </si>
  <si>
    <t>PR-0503549</t>
  </si>
  <si>
    <t>SOR-C2011</t>
  </si>
  <si>
    <t>B-36332</t>
  </si>
  <si>
    <t>PR-0503547</t>
  </si>
  <si>
    <t>PR-0503545</t>
  </si>
  <si>
    <t>PR-0503544</t>
  </si>
  <si>
    <t>PR-0502390</t>
  </si>
  <si>
    <t>SOR-C1503</t>
  </si>
  <si>
    <t>B-40969</t>
  </si>
  <si>
    <t>PR-0503064</t>
  </si>
  <si>
    <t>PR-0504891</t>
  </si>
  <si>
    <t>SOR-C1804</t>
  </si>
  <si>
    <t>B-33649</t>
  </si>
  <si>
    <t>PR-0504882</t>
  </si>
  <si>
    <t>PR-0505812</t>
  </si>
  <si>
    <t>SOR-C1904</t>
  </si>
  <si>
    <t>B-34213</t>
  </si>
  <si>
    <t>PR-0503625</t>
  </si>
  <si>
    <t>BR-DE-A101</t>
  </si>
  <si>
    <t>B-44854</t>
  </si>
  <si>
    <t>PR-0505102</t>
  </si>
  <si>
    <t>BR-DE-B232</t>
  </si>
  <si>
    <t>B-29965</t>
  </si>
  <si>
    <t>PR-0504700</t>
  </si>
  <si>
    <t>BR-DE-B302</t>
  </si>
  <si>
    <t>B-28512</t>
  </si>
  <si>
    <t>PR-0503892</t>
  </si>
  <si>
    <t>BR-DE-B311</t>
  </si>
  <si>
    <t>B-29631</t>
  </si>
  <si>
    <t>PR-0504940</t>
  </si>
  <si>
    <t>PR-0503176</t>
  </si>
  <si>
    <t>BR-DE-B323</t>
  </si>
  <si>
    <t>B-29735</t>
  </si>
  <si>
    <t>PR-0503676</t>
  </si>
  <si>
    <t>PR-0502641</t>
  </si>
  <si>
    <t>BR-DE-B410</t>
  </si>
  <si>
    <t>B-29388</t>
  </si>
  <si>
    <t>PR-0504788</t>
  </si>
  <si>
    <t>BR-DE-B501</t>
  </si>
  <si>
    <t>B-27339</t>
  </si>
  <si>
    <t>PR-0504742</t>
  </si>
  <si>
    <t>BR-DE-C514</t>
  </si>
  <si>
    <t>B-35701</t>
  </si>
  <si>
    <t>PR-0502634</t>
  </si>
  <si>
    <t>BR-DE-B703</t>
  </si>
  <si>
    <t>B-28177</t>
  </si>
  <si>
    <t>PR-0505141</t>
  </si>
  <si>
    <t>BR-DE-C705</t>
  </si>
  <si>
    <t>B-29763</t>
  </si>
  <si>
    <t>PR-0502409</t>
  </si>
  <si>
    <t>SEL-V 105</t>
  </si>
  <si>
    <t>B-32904</t>
  </si>
  <si>
    <t>PR-0504915</t>
  </si>
  <si>
    <t>SOL-A2417</t>
  </si>
  <si>
    <t>B-30165</t>
  </si>
  <si>
    <t>PR-0505239</t>
  </si>
  <si>
    <t>PR-0502412</t>
  </si>
  <si>
    <t>SOL-A511</t>
  </si>
  <si>
    <t>B-36221</t>
  </si>
  <si>
    <t>PR-0502870</t>
  </si>
  <si>
    <t>SOL-A603</t>
  </si>
  <si>
    <t>B-34870</t>
  </si>
  <si>
    <t>PR-0504428</t>
  </si>
  <si>
    <t>SOL-A907</t>
  </si>
  <si>
    <t>B-37180</t>
  </si>
  <si>
    <t>PR-0506027</t>
  </si>
  <si>
    <t>SOL-A901</t>
  </si>
  <si>
    <t>B-37350</t>
  </si>
  <si>
    <t>PR-0503080</t>
  </si>
  <si>
    <t>SOL-A917</t>
  </si>
  <si>
    <t>B-27483</t>
  </si>
  <si>
    <t>PR-0503197</t>
  </si>
  <si>
    <t>PR-0503196</t>
  </si>
  <si>
    <t>PR-0503191</t>
  </si>
  <si>
    <t>PR-0505857</t>
  </si>
  <si>
    <t>SOL-A1317</t>
  </si>
  <si>
    <t>B-37211</t>
  </si>
  <si>
    <t>PR-0505793</t>
  </si>
  <si>
    <t>SOL-A1410</t>
  </si>
  <si>
    <t>B-40673</t>
  </si>
  <si>
    <t>PR-0505776</t>
  </si>
  <si>
    <t>SOL-A1618</t>
  </si>
  <si>
    <t>B-30137</t>
  </si>
  <si>
    <t>PR-0505256</t>
  </si>
  <si>
    <t>SOL-A1814</t>
  </si>
  <si>
    <t>B-27786</t>
  </si>
  <si>
    <t>PR-0504183</t>
  </si>
  <si>
    <t>SOL-A1902</t>
  </si>
  <si>
    <t>B-27269</t>
  </si>
  <si>
    <t>PR-0504522</t>
  </si>
  <si>
    <t>PR-0504512</t>
  </si>
  <si>
    <t>PR-0504501</t>
  </si>
  <si>
    <t>SOL-A1912</t>
  </si>
  <si>
    <t>Gaurav Yogesh Trivedi</t>
  </si>
  <si>
    <t>B-38170</t>
  </si>
  <si>
    <t>PR-0505119</t>
  </si>
  <si>
    <t>PR-0505826</t>
  </si>
  <si>
    <t>PR-0504691</t>
  </si>
  <si>
    <t>SOL-A2117</t>
  </si>
  <si>
    <t>B-30793</t>
  </si>
  <si>
    <t>PR-0505423</t>
  </si>
  <si>
    <t>SOL-A2301</t>
  </si>
  <si>
    <t>B-43065</t>
  </si>
  <si>
    <t>PR-0502875</t>
  </si>
  <si>
    <t>SOL-A2318</t>
  </si>
  <si>
    <t>B-29525</t>
  </si>
  <si>
    <t>PR-0506001</t>
  </si>
  <si>
    <t>SOL-A2806</t>
  </si>
  <si>
    <t>B-40196</t>
  </si>
  <si>
    <t>PR-0504313</t>
  </si>
  <si>
    <t>SOL-A3117</t>
  </si>
  <si>
    <t>B-29122</t>
  </si>
  <si>
    <t>PR-0505222</t>
  </si>
  <si>
    <t>SOL-A3205</t>
  </si>
  <si>
    <t>B-39917</t>
  </si>
  <si>
    <t>PR-0504028</t>
  </si>
  <si>
    <t>SOL-A3214</t>
  </si>
  <si>
    <t>B-29995</t>
  </si>
  <si>
    <t>PR-0504016</t>
  </si>
  <si>
    <t>PR-0504105</t>
  </si>
  <si>
    <t>SOL-A3616</t>
  </si>
  <si>
    <t>B-28306</t>
  </si>
  <si>
    <t>PR-0504506</t>
  </si>
  <si>
    <t>PR-0502648</t>
  </si>
  <si>
    <t>SOL-A4205</t>
  </si>
  <si>
    <t>Ankush Nayyar</t>
  </si>
  <si>
    <t>B-40787</t>
  </si>
  <si>
    <t>PR-0505880</t>
  </si>
  <si>
    <t>SOL-A4216</t>
  </si>
  <si>
    <t>B-29081</t>
  </si>
  <si>
    <t>PR-0502574</t>
  </si>
  <si>
    <t>SOL-A4218</t>
  </si>
  <si>
    <t>B-28022</t>
  </si>
  <si>
    <t>PR-0502569</t>
  </si>
  <si>
    <t>PR-0502567</t>
  </si>
  <si>
    <t>PR-0502551</t>
  </si>
  <si>
    <t>PR-0505190</t>
  </si>
  <si>
    <t>SOL-A4319</t>
  </si>
  <si>
    <t>B-29362</t>
  </si>
  <si>
    <t>PR-0503493</t>
  </si>
  <si>
    <t>PG-V-106</t>
  </si>
  <si>
    <t>Hiba Khalifa</t>
  </si>
  <si>
    <t>B-31982</t>
  </si>
  <si>
    <t>PR-0506419</t>
  </si>
  <si>
    <t>PR-0505149</t>
  </si>
  <si>
    <t>PG-V-193</t>
  </si>
  <si>
    <t>B-44205</t>
  </si>
  <si>
    <t>PR-0506391</t>
  </si>
  <si>
    <t>PG-V-219</t>
  </si>
  <si>
    <t>B-39597</t>
  </si>
  <si>
    <t>PR-0506388</t>
  </si>
  <si>
    <t>PR-0504353</t>
  </si>
  <si>
    <t>SO-C712</t>
  </si>
  <si>
    <t>B-33598</t>
  </si>
  <si>
    <t>PR-0504990</t>
  </si>
  <si>
    <t>PR-0504989</t>
  </si>
  <si>
    <t>PR-0504984</t>
  </si>
  <si>
    <t>PR-0504980</t>
  </si>
  <si>
    <t>PR-0504979</t>
  </si>
  <si>
    <t>PR-0505810</t>
  </si>
  <si>
    <t>PR-0505717</t>
  </si>
  <si>
    <t>PR-0506104</t>
  </si>
  <si>
    <t>BR-CO-A207</t>
  </si>
  <si>
    <t>B-29303</t>
  </si>
  <si>
    <t>PR-0505425</t>
  </si>
  <si>
    <t>BR-CO-A212</t>
  </si>
  <si>
    <t>B-34040</t>
  </si>
  <si>
    <t>PR-0504165</t>
  </si>
  <si>
    <t>BR-CO-A217</t>
  </si>
  <si>
    <t>B-32247</t>
  </si>
  <si>
    <t>PR-0505600</t>
  </si>
  <si>
    <t>PR-0503507</t>
  </si>
  <si>
    <t>BR-CO-B222</t>
  </si>
  <si>
    <t>B-29514</t>
  </si>
  <si>
    <t>PR-0503169</t>
  </si>
  <si>
    <t>BR-CO-B223</t>
  </si>
  <si>
    <t>B-29513</t>
  </si>
  <si>
    <t>PR-0505243</t>
  </si>
  <si>
    <t>BR-CO-A306</t>
  </si>
  <si>
    <t>B-29049</t>
  </si>
  <si>
    <t>PR-0503732</t>
  </si>
  <si>
    <t>BR-CO-B310</t>
  </si>
  <si>
    <t>B-29647</t>
  </si>
  <si>
    <t>PR-0504962</t>
  </si>
  <si>
    <t>BR-CO-B312</t>
  </si>
  <si>
    <t>B-29278</t>
  </si>
  <si>
    <t>PR-0504897</t>
  </si>
  <si>
    <t>BR-CO-B318</t>
  </si>
  <si>
    <t>B-29220</t>
  </si>
  <si>
    <t>PR-0502546</t>
  </si>
  <si>
    <t>BR-CO-C312</t>
  </si>
  <si>
    <t>B-29455</t>
  </si>
  <si>
    <t>PR-0506084</t>
  </si>
  <si>
    <t>BR-CO-A401</t>
  </si>
  <si>
    <t>B-29605</t>
  </si>
  <si>
    <t>PR-0505368</t>
  </si>
  <si>
    <t>BR-CO-A409</t>
  </si>
  <si>
    <t>B-29740</t>
  </si>
  <si>
    <t>PR-0503957</t>
  </si>
  <si>
    <t>BR-CO-B412</t>
  </si>
  <si>
    <t>B-29039</t>
  </si>
  <si>
    <t>PR-0502687</t>
  </si>
  <si>
    <t>BR-CO-C410</t>
  </si>
  <si>
    <t>B-29392</t>
  </si>
  <si>
    <t>PR-0502685</t>
  </si>
  <si>
    <t>PR-0502619</t>
  </si>
  <si>
    <t>PR-0502618</t>
  </si>
  <si>
    <t>PR-0502617</t>
  </si>
  <si>
    <t>PR-0502616</t>
  </si>
  <si>
    <t>PR-0502615</t>
  </si>
  <si>
    <t>PR-0502613</t>
  </si>
  <si>
    <t>PR-0502612</t>
  </si>
  <si>
    <t>PR-0502608</t>
  </si>
  <si>
    <t>PR-0503962</t>
  </si>
  <si>
    <t>PR-0503958</t>
  </si>
  <si>
    <t>PR-0505360</t>
  </si>
  <si>
    <t>BR-CO-C415</t>
  </si>
  <si>
    <t>B-29713</t>
  </si>
  <si>
    <t>PR-0504783</t>
  </si>
  <si>
    <t>BR-CO-C402</t>
  </si>
  <si>
    <t>B-28696</t>
  </si>
  <si>
    <t>PR-0503505</t>
  </si>
  <si>
    <t>BR-CO-B501</t>
  </si>
  <si>
    <t>B-29858</t>
  </si>
  <si>
    <t>PR-0505720</t>
  </si>
  <si>
    <t>BR-CO-B506</t>
  </si>
  <si>
    <t>B-28944</t>
  </si>
  <si>
    <t>PR-0504400</t>
  </si>
  <si>
    <t>BR-CO-B531</t>
  </si>
  <si>
    <t>B-29921</t>
  </si>
  <si>
    <t>PR-0505156</t>
  </si>
  <si>
    <t>BR-CO-C508</t>
  </si>
  <si>
    <t>B-31927</t>
  </si>
  <si>
    <t>PR-0503179</t>
  </si>
  <si>
    <t>BR-CO-A604</t>
  </si>
  <si>
    <t>B-28465</t>
  </si>
  <si>
    <t>PR-0502496</t>
  </si>
  <si>
    <t>BR-CO-A608</t>
  </si>
  <si>
    <t>B-28706</t>
  </si>
  <si>
    <t>PR-0502495</t>
  </si>
  <si>
    <t>PR-0503623</t>
  </si>
  <si>
    <t>PR-0503517</t>
  </si>
  <si>
    <t>PR-0503837</t>
  </si>
  <si>
    <t>PR-0503832</t>
  </si>
  <si>
    <t>PR-0503780</t>
  </si>
  <si>
    <t>PR-0503954</t>
  </si>
  <si>
    <t>PR-0504083</t>
  </si>
  <si>
    <t>PR-0504445</t>
  </si>
  <si>
    <t>PR-0504415</t>
  </si>
  <si>
    <t>PR-0505115</t>
  </si>
  <si>
    <t>PR-0505244</t>
  </si>
  <si>
    <t>PR-0505897</t>
  </si>
  <si>
    <t>PR-0505895</t>
  </si>
  <si>
    <t>PR-0505887</t>
  </si>
  <si>
    <t>PR-0503131</t>
  </si>
  <si>
    <t>BR-CO-B615</t>
  </si>
  <si>
    <t>B-28712</t>
  </si>
  <si>
    <t>PR-0503117</t>
  </si>
  <si>
    <t>Safeer Al Yousef</t>
  </si>
  <si>
    <t>PR-0503115</t>
  </si>
  <si>
    <t>BR-CO-B622</t>
  </si>
  <si>
    <t>B-28710</t>
  </si>
  <si>
    <t>PR-0503114</t>
  </si>
  <si>
    <t>PR-0503410</t>
  </si>
  <si>
    <t>PR-0505049</t>
  </si>
  <si>
    <t>BR-CO-B629</t>
  </si>
  <si>
    <t>B-28744</t>
  </si>
  <si>
    <t>PR-0504675</t>
  </si>
  <si>
    <t>BR-CO-A712</t>
  </si>
  <si>
    <t>B-32826</t>
  </si>
  <si>
    <t>PR-0504043</t>
  </si>
  <si>
    <t>BR-CO-B720</t>
  </si>
  <si>
    <t>B-28369</t>
  </si>
  <si>
    <t>PR-0503042</t>
  </si>
  <si>
    <t>BR-CO-B721</t>
  </si>
  <si>
    <t>B-38195</t>
  </si>
  <si>
    <t>PR-0504643</t>
  </si>
  <si>
    <t>BR-CO-B728</t>
  </si>
  <si>
    <t>B-29374</t>
  </si>
  <si>
    <t>PR-0504409</t>
  </si>
  <si>
    <t>BR-CO-B714</t>
  </si>
  <si>
    <t>B-38527</t>
  </si>
  <si>
    <t>PR-0505361</t>
  </si>
  <si>
    <t>BR-CO-B933</t>
  </si>
  <si>
    <t>B-28313</t>
  </si>
  <si>
    <t>PR-0502983</t>
  </si>
  <si>
    <t>BR-CO-B823</t>
  </si>
  <si>
    <t>B-28669</t>
  </si>
  <si>
    <t>PR-0503343</t>
  </si>
  <si>
    <t>PR-0503342</t>
  </si>
  <si>
    <t>PR-0505032</t>
  </si>
  <si>
    <t>PR-0505306</t>
  </si>
  <si>
    <t>BR-CO-B908</t>
  </si>
  <si>
    <t>B-28617</t>
  </si>
  <si>
    <t>PR-0506055</t>
  </si>
  <si>
    <t>PR-0504426</t>
  </si>
  <si>
    <t>BR-CO-B919</t>
  </si>
  <si>
    <t>B-29841</t>
  </si>
  <si>
    <t>PR-0504599</t>
  </si>
  <si>
    <t>CB-V-322</t>
  </si>
  <si>
    <t>B-28769</t>
  </si>
  <si>
    <t>PR-0502532</t>
  </si>
  <si>
    <t>CB-V-310</t>
  </si>
  <si>
    <t>B-46522</t>
  </si>
  <si>
    <t>PR-0502403</t>
  </si>
  <si>
    <t>PR-0506252</t>
  </si>
  <si>
    <t>Fahad</t>
  </si>
  <si>
    <t>PR-0506245</t>
  </si>
  <si>
    <t>PR-0502550</t>
  </si>
  <si>
    <t>SE-V 211</t>
  </si>
  <si>
    <t>B-35876</t>
  </si>
  <si>
    <t>PR-0502902</t>
  </si>
  <si>
    <t>SOR-A1005</t>
  </si>
  <si>
    <t>B-29295</t>
  </si>
  <si>
    <t>PR-0503371</t>
  </si>
  <si>
    <t>SOR-C408</t>
  </si>
  <si>
    <t>B-40688</t>
  </si>
  <si>
    <t>PR-0504817</t>
  </si>
  <si>
    <t>BR-AQ-C507</t>
  </si>
  <si>
    <t>B-29584</t>
  </si>
  <si>
    <t>PR-0504453</t>
  </si>
  <si>
    <t>BR-AQ-D15</t>
  </si>
  <si>
    <t>B-29572</t>
  </si>
  <si>
    <t>PR-0504427</t>
  </si>
  <si>
    <t>PR-0503056</t>
  </si>
  <si>
    <t>BR-AQ-A317</t>
  </si>
  <si>
    <t>B-29633</t>
  </si>
  <si>
    <t>PR-0503055</t>
  </si>
  <si>
    <t>PR-0503054</t>
  </si>
  <si>
    <t>PR-0504182</t>
  </si>
  <si>
    <t>PR-0506220</t>
  </si>
  <si>
    <t>BR-AQ-A215</t>
  </si>
  <si>
    <t>B-30626</t>
  </si>
  <si>
    <t>PR-0506337</t>
  </si>
  <si>
    <t>BR-AQ-B232</t>
  </si>
  <si>
    <t>B-30264</t>
  </si>
  <si>
    <t>PR-0504293</t>
  </si>
  <si>
    <t>BR-AQ-C207</t>
  </si>
  <si>
    <t>B-35310</t>
  </si>
  <si>
    <t>PR-0504291</t>
  </si>
  <si>
    <t>PR-0505413</t>
  </si>
  <si>
    <t>PR-0505669</t>
  </si>
  <si>
    <t>PR-0505663</t>
  </si>
  <si>
    <t>PR-0502614</t>
  </si>
  <si>
    <t>BR-AQ-B305</t>
  </si>
  <si>
    <t>B-29880</t>
  </si>
  <si>
    <t>PR-0505842</t>
  </si>
  <si>
    <t>BR-AQ-B337</t>
  </si>
  <si>
    <t>B-29892</t>
  </si>
  <si>
    <t>PR-0505146</t>
  </si>
  <si>
    <t>BR-AQ-A417</t>
  </si>
  <si>
    <t>B-29714</t>
  </si>
  <si>
    <t>PR-0503482</t>
  </si>
  <si>
    <t>BR-AQ-B401</t>
  </si>
  <si>
    <t>B-29836</t>
  </si>
  <si>
    <t>PR-0505366</t>
  </si>
  <si>
    <t>BR-AQ-B430</t>
  </si>
  <si>
    <t>B-29505</t>
  </si>
  <si>
    <t>PR-0504237</t>
  </si>
  <si>
    <t>BR-AQ-C413</t>
  </si>
  <si>
    <t>B-29876</t>
  </si>
  <si>
    <t>PR-0502593</t>
  </si>
  <si>
    <t>BR-AQ-C415</t>
  </si>
  <si>
    <t>B-30760</t>
  </si>
  <si>
    <t>PR-0504976</t>
  </si>
  <si>
    <t>BR-AQ-A515</t>
  </si>
  <si>
    <t>B-29709</t>
  </si>
  <si>
    <t>PR-0504978</t>
  </si>
  <si>
    <t>BR-AQ-A516</t>
  </si>
  <si>
    <t>B-29561</t>
  </si>
  <si>
    <t>PR-0505680</t>
  </si>
  <si>
    <t>BR-AQ-A517</t>
  </si>
  <si>
    <t>B-29893</t>
  </si>
  <si>
    <t>PR-0506286</t>
  </si>
  <si>
    <t>PR-0505981</t>
  </si>
  <si>
    <t>BR-AQ-B501</t>
  </si>
  <si>
    <t>B-29564</t>
  </si>
  <si>
    <t>PR-0504874</t>
  </si>
  <si>
    <t>BR-AQ-B502</t>
  </si>
  <si>
    <t>B-29524</t>
  </si>
  <si>
    <t>PR-0504871</t>
  </si>
  <si>
    <t>BR-AQ-B503</t>
  </si>
  <si>
    <t>B-29518</t>
  </si>
  <si>
    <t>PR-0502861</t>
  </si>
  <si>
    <t>BR-AQ-B636</t>
  </si>
  <si>
    <t>B-31070</t>
  </si>
  <si>
    <t>PR-0504527</t>
  </si>
  <si>
    <t>BR-AQ-B523</t>
  </si>
  <si>
    <t>B-29614</t>
  </si>
  <si>
    <t>PR-0503130</t>
  </si>
  <si>
    <t>BR-AQ-B530</t>
  </si>
  <si>
    <t>B-29540</t>
  </si>
  <si>
    <t>PR-0506191</t>
  </si>
  <si>
    <t>BR-AQ-C512</t>
  </si>
  <si>
    <t>B-29774</t>
  </si>
  <si>
    <t>PR-0504820</t>
  </si>
  <si>
    <t>BR-AQ-C513</t>
  </si>
  <si>
    <t>B-29586</t>
  </si>
  <si>
    <t>PR-0503013</t>
  </si>
  <si>
    <t>BR-AQ-C518</t>
  </si>
  <si>
    <t>B-30079</t>
  </si>
  <si>
    <t>PR-0503011</t>
  </si>
  <si>
    <t>PR-0503009</t>
  </si>
  <si>
    <t>PR-0503008</t>
  </si>
  <si>
    <t>PR-0503006</t>
  </si>
  <si>
    <t>PR-0503005</t>
  </si>
  <si>
    <t>PR-0504362</t>
  </si>
  <si>
    <t>BR-AQ-B612</t>
  </si>
  <si>
    <t>B-30710</t>
  </si>
  <si>
    <t>PR-0503167</t>
  </si>
  <si>
    <t>BR-AQ-C604</t>
  </si>
  <si>
    <t>B-30113</t>
  </si>
  <si>
    <t>PR-0503091</t>
  </si>
  <si>
    <t>BR-AQ-C608</t>
  </si>
  <si>
    <t>B-30285</t>
  </si>
  <si>
    <t>PR-0505231</t>
  </si>
  <si>
    <t>BR-AQ-A705</t>
  </si>
  <si>
    <t>B-40912</t>
  </si>
  <si>
    <t>PR-0505713</t>
  </si>
  <si>
    <t>BR-AQ-A713</t>
  </si>
  <si>
    <t>B-30168</t>
  </si>
  <si>
    <t>PR-0504308</t>
  </si>
  <si>
    <t>BR-AQ-B716</t>
  </si>
  <si>
    <t>B-29938</t>
  </si>
  <si>
    <t>PR-0503822</t>
  </si>
  <si>
    <t>BR-AQ-B819</t>
  </si>
  <si>
    <t>B-29746</t>
  </si>
  <si>
    <t>PR-0503402</t>
  </si>
  <si>
    <t>BR-AQ-B729</t>
  </si>
  <si>
    <t>B-29535</t>
  </si>
  <si>
    <t>PR-0502596</t>
  </si>
  <si>
    <t>BR-AQ-B730</t>
  </si>
  <si>
    <t>B-29554</t>
  </si>
  <si>
    <t>PR-0505194</t>
  </si>
  <si>
    <t>BR-AQ-B733</t>
  </si>
  <si>
    <t>B-29750</t>
  </si>
  <si>
    <t>PR-0505270</t>
  </si>
  <si>
    <t>BR-AQ-B805</t>
  </si>
  <si>
    <t>B-30069</t>
  </si>
  <si>
    <t>PR-0505943</t>
  </si>
  <si>
    <t>PR-0505287</t>
  </si>
  <si>
    <t>BR-AQ-B836</t>
  </si>
  <si>
    <t>B-29479</t>
  </si>
  <si>
    <t>PR-0504094</t>
  </si>
  <si>
    <t>BR-AQ-B838</t>
  </si>
  <si>
    <t>B-29587</t>
  </si>
  <si>
    <t>PR-0504586</t>
  </si>
  <si>
    <t>PR-0504282</t>
  </si>
  <si>
    <t>BR-AQ-B908</t>
  </si>
  <si>
    <t>B-29857</t>
  </si>
  <si>
    <t>PR-0503034</t>
  </si>
  <si>
    <t>BR-AQ-B913</t>
  </si>
  <si>
    <t>B-29610</t>
  </si>
  <si>
    <t>PR-0503033</t>
  </si>
  <si>
    <t>PR-0503552</t>
  </si>
  <si>
    <t>PR-0503739</t>
  </si>
  <si>
    <t>BR-AQ-B917</t>
  </si>
  <si>
    <t>B-29624</t>
  </si>
  <si>
    <t>PR-0505718</t>
  </si>
  <si>
    <t>BR-AQ-B923</t>
  </si>
  <si>
    <t>B-30024</t>
  </si>
  <si>
    <t>PR-0505143</t>
  </si>
  <si>
    <t>BR-AQ-B934</t>
  </si>
  <si>
    <t>B-29635</t>
  </si>
  <si>
    <t>PR-0505478</t>
  </si>
  <si>
    <t>BR-AQ-B937</t>
  </si>
  <si>
    <t>B-29594</t>
  </si>
  <si>
    <t>PR-0504138</t>
  </si>
  <si>
    <t>PG-V-217</t>
  </si>
  <si>
    <t>B-29793</t>
  </si>
  <si>
    <t>PR-0502788</t>
  </si>
  <si>
    <t>SSO-806</t>
  </si>
  <si>
    <t>B-37986</t>
  </si>
  <si>
    <t>PR-0503955</t>
  </si>
  <si>
    <t>SSO-5515</t>
  </si>
  <si>
    <t>B-32243</t>
  </si>
  <si>
    <t>PR-0503808</t>
  </si>
  <si>
    <t>SSO-2015</t>
  </si>
  <si>
    <t>B-32763</t>
  </si>
  <si>
    <t>PR-0503800</t>
  </si>
  <si>
    <t>PR-0502717</t>
  </si>
  <si>
    <t>SSO-2503</t>
  </si>
  <si>
    <t>B-31229</t>
  </si>
  <si>
    <t>PR-0503201</t>
  </si>
  <si>
    <t>PR-0504104</t>
  </si>
  <si>
    <t>SSO-2708</t>
  </si>
  <si>
    <t>B-31812</t>
  </si>
  <si>
    <t>PR-0506247</t>
  </si>
  <si>
    <t>SSO-3610</t>
  </si>
  <si>
    <t>B-30318</t>
  </si>
  <si>
    <t>PR-0504207</t>
  </si>
  <si>
    <t>SSO-5004</t>
  </si>
  <si>
    <t>B-33750</t>
  </si>
  <si>
    <t>PR-0504049</t>
  </si>
  <si>
    <t>SSO-5311</t>
  </si>
  <si>
    <t>B-30315</t>
  </si>
  <si>
    <t>PR-0503951</t>
  </si>
  <si>
    <t>SSO-5715</t>
  </si>
  <si>
    <t>B-32228</t>
  </si>
  <si>
    <t>PR-0505367</t>
  </si>
  <si>
    <t>BR-FL-C202</t>
  </si>
  <si>
    <t>B-33064</t>
  </si>
  <si>
    <t>PR-0505358</t>
  </si>
  <si>
    <t>PR-0505344</t>
  </si>
  <si>
    <t>PR-0502754</t>
  </si>
  <si>
    <t>BR-FL-B509</t>
  </si>
  <si>
    <t>B-31932</t>
  </si>
  <si>
    <t>PR-0504066</t>
  </si>
  <si>
    <t>PR-0503532</t>
  </si>
  <si>
    <t>BR-FL-A614</t>
  </si>
  <si>
    <t>B-31060</t>
  </si>
  <si>
    <t>PR-0505752</t>
  </si>
  <si>
    <t>PR-0505751</t>
  </si>
  <si>
    <t>PR-0505750</t>
  </si>
  <si>
    <t>PR-0504262</t>
  </si>
  <si>
    <t>BR-FL-A705</t>
  </si>
  <si>
    <t>B-45418</t>
  </si>
  <si>
    <t>PR-0503086</t>
  </si>
  <si>
    <t>CB-V-342</t>
  </si>
  <si>
    <t>B-33735</t>
  </si>
  <si>
    <t>PR-0504048</t>
  </si>
  <si>
    <t>BR-CL-A01</t>
  </si>
  <si>
    <t>B-36185</t>
  </si>
  <si>
    <t>PR-0504068</t>
  </si>
  <si>
    <t>BR-CL-C203</t>
  </si>
  <si>
    <t>B-43816</t>
  </si>
  <si>
    <t>PR-0502742</t>
  </si>
  <si>
    <t>BR-CL-A209</t>
  </si>
  <si>
    <t>B-32833</t>
  </si>
  <si>
    <t>PR-0504861</t>
  </si>
  <si>
    <t>BR-CL-D507</t>
  </si>
  <si>
    <t>B-40361</t>
  </si>
  <si>
    <t>PR-0504682</t>
  </si>
  <si>
    <t>BR-CL-B505</t>
  </si>
  <si>
    <t>B-44879</t>
  </si>
  <si>
    <t>PR-0506116</t>
  </si>
  <si>
    <t>BR-CL-B606</t>
  </si>
  <si>
    <t>B-31623</t>
  </si>
  <si>
    <t>PR-0503929</t>
  </si>
  <si>
    <t>BR-CL-A604</t>
  </si>
  <si>
    <t>B-37529</t>
  </si>
  <si>
    <t>PR-0503656</t>
  </si>
  <si>
    <t>BR-CL-D701</t>
  </si>
  <si>
    <t>B-32310</t>
  </si>
  <si>
    <t>PR-0502529</t>
  </si>
  <si>
    <t>SSO-807</t>
  </si>
  <si>
    <t>Deepak Prakashbhai Tahelyani</t>
  </si>
  <si>
    <t>B-44122</t>
  </si>
  <si>
    <t>PR-0502632</t>
  </si>
  <si>
    <t>PR-0505359</t>
  </si>
  <si>
    <t>PR-0504645</t>
  </si>
  <si>
    <t>SSO-3807</t>
  </si>
  <si>
    <t>B-32249</t>
  </si>
  <si>
    <t>PR-0505552</t>
  </si>
  <si>
    <t>SSO-5909</t>
  </si>
  <si>
    <t>B-31640</t>
  </si>
  <si>
    <t>PR-0504333</t>
  </si>
  <si>
    <t>SOL-A106</t>
  </si>
  <si>
    <t>B-45648</t>
  </si>
  <si>
    <t>PR-0504332</t>
  </si>
  <si>
    <t>PR-0504798</t>
  </si>
  <si>
    <t>PR-0503037</t>
  </si>
  <si>
    <t>SOL-A202</t>
  </si>
  <si>
    <t>B-38182</t>
  </si>
  <si>
    <t>PR-0503448</t>
  </si>
  <si>
    <t>PR-0503447</t>
  </si>
  <si>
    <t>PR-0505051</t>
  </si>
  <si>
    <t>PR-0505050</t>
  </si>
  <si>
    <t>PR-0505048</t>
  </si>
  <si>
    <t>PR-0505047</t>
  </si>
  <si>
    <t>PR-0504454</t>
  </si>
  <si>
    <t>SOL-A312</t>
  </si>
  <si>
    <t>B-43586</t>
  </si>
  <si>
    <t>PR-0502620</t>
  </si>
  <si>
    <t>SOL-A401</t>
  </si>
  <si>
    <t>B-38331</t>
  </si>
  <si>
    <t>PR-0505931</t>
  </si>
  <si>
    <t>SOL-A412</t>
  </si>
  <si>
    <t>B-40922</t>
  </si>
  <si>
    <t>PR-0505958</t>
  </si>
  <si>
    <t>SOR-D711</t>
  </si>
  <si>
    <t>B-43275</t>
  </si>
  <si>
    <t>PR-0506076</t>
  </si>
  <si>
    <t>SOR-D1801</t>
  </si>
  <si>
    <t>B-41443</t>
  </si>
  <si>
    <t>PR-0503744</t>
  </si>
  <si>
    <t>SOR-D2105</t>
  </si>
  <si>
    <t>B-33999</t>
  </si>
  <si>
    <t>PR-0505924</t>
  </si>
  <si>
    <t>SOR-D603</t>
  </si>
  <si>
    <t>B-36981</t>
  </si>
  <si>
    <t>PR-0503372</t>
  </si>
  <si>
    <t>SOR-D1208</t>
  </si>
  <si>
    <t>B-40835</t>
  </si>
  <si>
    <t>PR-0504658</t>
  </si>
  <si>
    <t>SOL-D2510</t>
  </si>
  <si>
    <t>B-33928</t>
  </si>
  <si>
    <t>PR-0503888</t>
  </si>
  <si>
    <t>SOL-C1110</t>
  </si>
  <si>
    <t>B-44525</t>
  </si>
  <si>
    <t>PR-0503580</t>
  </si>
  <si>
    <t>SOL-C1505</t>
  </si>
  <si>
    <t>B-36095</t>
  </si>
  <si>
    <t>PR-0504144</t>
  </si>
  <si>
    <t>SOL-C1509</t>
  </si>
  <si>
    <t>Parin Farokh Irani</t>
  </si>
  <si>
    <t>B-40262</t>
  </si>
  <si>
    <t>PR-0504242</t>
  </si>
  <si>
    <t>PR-0504058</t>
  </si>
  <si>
    <t>SOL-C1519</t>
  </si>
  <si>
    <t>B-35390</t>
  </si>
  <si>
    <t>PR-0505100</t>
  </si>
  <si>
    <t>PR-0503633</t>
  </si>
  <si>
    <t>SOL-C1812</t>
  </si>
  <si>
    <t>B-41696</t>
  </si>
  <si>
    <t>PR-0502680</t>
  </si>
  <si>
    <t>SOL-C1912</t>
  </si>
  <si>
    <t>B-39229</t>
  </si>
  <si>
    <t>PR-0505114</t>
  </si>
  <si>
    <t>SOL-C1916</t>
  </si>
  <si>
    <t>B-34361</t>
  </si>
  <si>
    <t>PR-0503711</t>
  </si>
  <si>
    <t>SOL-C2001</t>
  </si>
  <si>
    <t>B-34189</t>
  </si>
  <si>
    <t>PR-0502406</t>
  </si>
  <si>
    <t>SOL-C2002</t>
  </si>
  <si>
    <t>B-36701</t>
  </si>
  <si>
    <t>PR-0503267</t>
  </si>
  <si>
    <t>SOL-C2103</t>
  </si>
  <si>
    <t>B-34381</t>
  </si>
  <si>
    <t>PR-0503895</t>
  </si>
  <si>
    <t>SOL-C2214</t>
  </si>
  <si>
    <t>B-38099</t>
  </si>
  <si>
    <t>PR-0504780</t>
  </si>
  <si>
    <t>PR-0503674</t>
  </si>
  <si>
    <t>SOL-C2304</t>
  </si>
  <si>
    <t>B-40051</t>
  </si>
  <si>
    <t>PR-0503678</t>
  </si>
  <si>
    <t>PR-0502810</t>
  </si>
  <si>
    <t>SOL-C2514</t>
  </si>
  <si>
    <t>B-37796</t>
  </si>
  <si>
    <t>PR-0502807</t>
  </si>
  <si>
    <t>PR-0502800</t>
  </si>
  <si>
    <t>PR-0505901</t>
  </si>
  <si>
    <t>SOL-C2602</t>
  </si>
  <si>
    <t>Aviel Safiev</t>
  </si>
  <si>
    <t>B-36983</t>
  </si>
  <si>
    <t>PR-0502793</t>
  </si>
  <si>
    <t>SOL-C2614</t>
  </si>
  <si>
    <t>B-37793</t>
  </si>
  <si>
    <t>PR-0502816</t>
  </si>
  <si>
    <t>SOL-C2814</t>
  </si>
  <si>
    <t>B-37790</t>
  </si>
  <si>
    <t>PR-0502812</t>
  </si>
  <si>
    <t>PR-0504430</t>
  </si>
  <si>
    <t>PR-0506000</t>
  </si>
  <si>
    <t>SOL-C2914</t>
  </si>
  <si>
    <t>B-37786</t>
  </si>
  <si>
    <t>PR-0503373</t>
  </si>
  <si>
    <t>SOL-C3003</t>
  </si>
  <si>
    <t>B-34280</t>
  </si>
  <si>
    <t>PR-0504249</t>
  </si>
  <si>
    <t>PR-0504247</t>
  </si>
  <si>
    <t>PR-0506061</t>
  </si>
  <si>
    <t>SOL-B1519</t>
  </si>
  <si>
    <t>B-33795</t>
  </si>
  <si>
    <t>PR-0506058</t>
  </si>
  <si>
    <t>PR-0502739</t>
  </si>
  <si>
    <t>SOL-D813</t>
  </si>
  <si>
    <t>B-37153</t>
  </si>
  <si>
    <t>PR-0502735</t>
  </si>
  <si>
    <t>PR-0506016</t>
  </si>
  <si>
    <t>SOL-D1014</t>
  </si>
  <si>
    <t>B-32967</t>
  </si>
  <si>
    <t>PR-0505977</t>
  </si>
  <si>
    <t>PR-0506381</t>
  </si>
  <si>
    <t>PR-0505516</t>
  </si>
  <si>
    <t>SOL-D2003</t>
  </si>
  <si>
    <t>B-33922</t>
  </si>
  <si>
    <t>PR-0504627</t>
  </si>
  <si>
    <t>SOL-D1815</t>
  </si>
  <si>
    <t>B-32803</t>
  </si>
  <si>
    <t>PR-0503825</t>
  </si>
  <si>
    <t>SOL-D2514</t>
  </si>
  <si>
    <t>B-32426</t>
  </si>
  <si>
    <t>PR-0503821</t>
  </si>
  <si>
    <t>PR-0503818</t>
  </si>
  <si>
    <t>PR-0503816</t>
  </si>
  <si>
    <t>PR-0503814</t>
  </si>
  <si>
    <t>PR-0503807</t>
  </si>
  <si>
    <t>PR-0503803</t>
  </si>
  <si>
    <t>PR-0503799</t>
  </si>
  <si>
    <t>PR-0503792</t>
  </si>
  <si>
    <t>PR-0503789</t>
  </si>
  <si>
    <t>PR-0503784</t>
  </si>
  <si>
    <t>PR-0503782</t>
  </si>
  <si>
    <t>PR-0503537</t>
  </si>
  <si>
    <t>SOL-B514</t>
  </si>
  <si>
    <t>B-42165</t>
  </si>
  <si>
    <t>PR-0503778</t>
  </si>
  <si>
    <t>PR-0504690</t>
  </si>
  <si>
    <t>SOL-B809</t>
  </si>
  <si>
    <t>Gopeshwar Mahato</t>
  </si>
  <si>
    <t>B-43684</t>
  </si>
  <si>
    <t>PR-0505659</t>
  </si>
  <si>
    <t>PR-0505515</t>
  </si>
  <si>
    <t>PR-0504715</t>
  </si>
  <si>
    <t>SOL-B1017</t>
  </si>
  <si>
    <t>B-34163</t>
  </si>
  <si>
    <t>PR-0504701</t>
  </si>
  <si>
    <t>PR-0505520</t>
  </si>
  <si>
    <t>SOL-B1205</t>
  </si>
  <si>
    <t>B-41439</t>
  </si>
  <si>
    <t>PR-0502445</t>
  </si>
  <si>
    <t>SOL-B1711</t>
  </si>
  <si>
    <t>B-43189</t>
  </si>
  <si>
    <t>PR-0505905</t>
  </si>
  <si>
    <t>PR-0502541</t>
  </si>
  <si>
    <t>SOL-B2002</t>
  </si>
  <si>
    <t>B-34438</t>
  </si>
  <si>
    <t>PR-0502536</t>
  </si>
  <si>
    <t>PR-0502494</t>
  </si>
  <si>
    <t>PR-0502485</t>
  </si>
  <si>
    <t>PR-0502587</t>
  </si>
  <si>
    <t>PR-0502904</t>
  </si>
  <si>
    <t>PR-0502897</t>
  </si>
  <si>
    <t>PR-0503092</t>
  </si>
  <si>
    <t>PR-0503290</t>
  </si>
  <si>
    <t>PR-0503289</t>
  </si>
  <si>
    <t>PR-0503283</t>
  </si>
  <si>
    <t>PR-0505970</t>
  </si>
  <si>
    <t>PR-0505699</t>
  </si>
  <si>
    <t>SOL-B2006</t>
  </si>
  <si>
    <t>Abdullah Hussain Mujeeb Hussain</t>
  </si>
  <si>
    <t>B-41250</t>
  </si>
  <si>
    <t>PR-0505697</t>
  </si>
  <si>
    <t>PR-0505695</t>
  </si>
  <si>
    <t>PR-0502394</t>
  </si>
  <si>
    <t>SOL-B2013</t>
  </si>
  <si>
    <t>B-43039</t>
  </si>
  <si>
    <t>PR-0502393</t>
  </si>
  <si>
    <t>PR-0502392</t>
  </si>
  <si>
    <t>PR-0502391</t>
  </si>
  <si>
    <t>PR-0503046</t>
  </si>
  <si>
    <t>PR-0503415</t>
  </si>
  <si>
    <t>PR-0503378</t>
  </si>
  <si>
    <t>SOL-B2111</t>
  </si>
  <si>
    <t>B-43250</t>
  </si>
  <si>
    <t>PR-0503642</t>
  </si>
  <si>
    <t>SOL-B2212</t>
  </si>
  <si>
    <t>Zeynep Ecevit</t>
  </si>
  <si>
    <t>B-43109</t>
  </si>
  <si>
    <t>PR-0503635</t>
  </si>
  <si>
    <t>SOL-B2606</t>
  </si>
  <si>
    <t>B-42825</t>
  </si>
  <si>
    <t>PR-0503592</t>
  </si>
  <si>
    <t>SOL-B2613</t>
  </si>
  <si>
    <t>B-39373</t>
  </si>
  <si>
    <t>PR-0506039</t>
  </si>
  <si>
    <t>SOL-B3318</t>
  </si>
  <si>
    <t>B-32492</t>
  </si>
  <si>
    <t>PR-0504357</t>
  </si>
  <si>
    <t>SOL-B2807</t>
  </si>
  <si>
    <t>B-42261</t>
  </si>
  <si>
    <t>PR-0505217</t>
  </si>
  <si>
    <t>SOL-B3010</t>
  </si>
  <si>
    <t>Anuj Yadav</t>
  </si>
  <si>
    <t>B-41346</t>
  </si>
  <si>
    <t>PR-0504703</t>
  </si>
  <si>
    <t>SOL-B3214</t>
  </si>
  <si>
    <t>B-33505</t>
  </si>
  <si>
    <t>PR-0502449</t>
  </si>
  <si>
    <t>MR-BA-B228</t>
  </si>
  <si>
    <t>B-33266</t>
  </si>
  <si>
    <t>PR-0502801</t>
  </si>
  <si>
    <t>MR-BA-A214</t>
  </si>
  <si>
    <t>Rahma Ben Hassen Ep Ben Ahmed</t>
  </si>
  <si>
    <t>B-48282</t>
  </si>
  <si>
    <t>PR-0504044</t>
  </si>
  <si>
    <t>Priya Nandhakumar</t>
  </si>
  <si>
    <t>PR-0503100</t>
  </si>
  <si>
    <t>MR-BA-B202</t>
  </si>
  <si>
    <t>B-44243</t>
  </si>
  <si>
    <t>PR-0504475</t>
  </si>
  <si>
    <t>MR-BA-A409</t>
  </si>
  <si>
    <t>B-34031</t>
  </si>
  <si>
    <t>PR-0502827</t>
  </si>
  <si>
    <t>MR-BA-A413</t>
  </si>
  <si>
    <t>B-34132</t>
  </si>
  <si>
    <t>PR-0505773</t>
  </si>
  <si>
    <t>MR-BA-C606</t>
  </si>
  <si>
    <t>B-35284</t>
  </si>
  <si>
    <t>PR-0505772</t>
  </si>
  <si>
    <t>PR-0505770</t>
  </si>
  <si>
    <t>PR-0506125</t>
  </si>
  <si>
    <t>PR-0505744</t>
  </si>
  <si>
    <t>MR-BA-A710</t>
  </si>
  <si>
    <t>B-33262</t>
  </si>
  <si>
    <t>PR-0505743</t>
  </si>
  <si>
    <t>PR-0504117</t>
  </si>
  <si>
    <t>MR-BA-C701</t>
  </si>
  <si>
    <t>B-37961</t>
  </si>
  <si>
    <t>PR-0504763</t>
  </si>
  <si>
    <t>PR-0505704</t>
  </si>
  <si>
    <t>MR-BA-C703</t>
  </si>
  <si>
    <t>B-33871</t>
  </si>
  <si>
    <t>PR-0503423</t>
  </si>
  <si>
    <t>MR-BA-B809</t>
  </si>
  <si>
    <t>B-33888</t>
  </si>
  <si>
    <t>PR-0504248</t>
  </si>
  <si>
    <t>MR-BA-B828</t>
  </si>
  <si>
    <t>B-33914</t>
  </si>
  <si>
    <t>PR-0504245</t>
  </si>
  <si>
    <t>PR-0503771</t>
  </si>
  <si>
    <t>MR-BA-B910</t>
  </si>
  <si>
    <t>B-38190</t>
  </si>
  <si>
    <t>PR-0505629</t>
  </si>
  <si>
    <t>MR-BA-B925</t>
  </si>
  <si>
    <t>B-33518</t>
  </si>
  <si>
    <t>PR-0503777</t>
  </si>
  <si>
    <t>SSO-3902</t>
  </si>
  <si>
    <t>B-33326</t>
  </si>
  <si>
    <t>PR-0503775</t>
  </si>
  <si>
    <t>PR-0504751</t>
  </si>
  <si>
    <t>PR-0506005</t>
  </si>
  <si>
    <t>PR-0505230</t>
  </si>
  <si>
    <t>SSO-2104</t>
  </si>
  <si>
    <t>B-33551</t>
  </si>
  <si>
    <t>PR-0505869</t>
  </si>
  <si>
    <t>SO-EL-1201</t>
  </si>
  <si>
    <t>B-33620</t>
  </si>
  <si>
    <t>PR-0505831</t>
  </si>
  <si>
    <t>PR-0505889</t>
  </si>
  <si>
    <t>PR-0506140</t>
  </si>
  <si>
    <t>PR-0503724</t>
  </si>
  <si>
    <t>SO-EL-2608</t>
  </si>
  <si>
    <t>B-39188</t>
  </si>
  <si>
    <t>PR-0503088</t>
  </si>
  <si>
    <t>SO-EL-2708</t>
  </si>
  <si>
    <t>B-39477</t>
  </si>
  <si>
    <t>PR-0503901</t>
  </si>
  <si>
    <t>PR-0505031</t>
  </si>
  <si>
    <t>PR-0504698</t>
  </si>
  <si>
    <t>SO-EL-4802</t>
  </si>
  <si>
    <t>B-38420</t>
  </si>
  <si>
    <t>PR-0504696</t>
  </si>
  <si>
    <t>PR-0504392</t>
  </si>
  <si>
    <t>SO-EL-5705</t>
  </si>
  <si>
    <t>B-39906</t>
  </si>
  <si>
    <t>PR-0504378</t>
  </si>
  <si>
    <t>PR-0502829</t>
  </si>
  <si>
    <t>SO-EL-5905</t>
  </si>
  <si>
    <t>B-36932</t>
  </si>
  <si>
    <t>PR-0502826</t>
  </si>
  <si>
    <t>PR-0502822</t>
  </si>
  <si>
    <t>PR-0502818</t>
  </si>
  <si>
    <t>PR-0503016</t>
  </si>
  <si>
    <t>PR-0503214</t>
  </si>
  <si>
    <t>PR-0505682</t>
  </si>
  <si>
    <t>MR-BA-A103</t>
  </si>
  <si>
    <t>B-47762</t>
  </si>
  <si>
    <t>PR-0505661</t>
  </si>
  <si>
    <t>PR-0505639</t>
  </si>
  <si>
    <t>PR-0505947</t>
  </si>
  <si>
    <t>PR-0505939</t>
  </si>
  <si>
    <t>PR-0505934</t>
  </si>
  <si>
    <t>PR-0503487</t>
  </si>
  <si>
    <t>MR-BA-A104</t>
  </si>
  <si>
    <t>B-43474</t>
  </si>
  <si>
    <t>PR-0503486</t>
  </si>
  <si>
    <t>PR-0504416</t>
  </si>
  <si>
    <t>PR-0505317</t>
  </si>
  <si>
    <t>PR-0505303</t>
  </si>
  <si>
    <t>PR-0503610</t>
  </si>
  <si>
    <t>SOL-B306</t>
  </si>
  <si>
    <t>B-44906</t>
  </si>
  <si>
    <t>PR-0503613</t>
  </si>
  <si>
    <t>SOL-B307</t>
  </si>
  <si>
    <t>B-44948</t>
  </si>
  <si>
    <t>PR-0503662</t>
  </si>
  <si>
    <t>SOL-B407</t>
  </si>
  <si>
    <t>B-42983</t>
  </si>
  <si>
    <t>PR-0505879</t>
  </si>
  <si>
    <t>SOL-B410</t>
  </si>
  <si>
    <t>B-45103</t>
  </si>
  <si>
    <t>PR-0502750</t>
  </si>
  <si>
    <t>SOL-C306</t>
  </si>
  <si>
    <t>B-44910</t>
  </si>
  <si>
    <t>PR-0503844</t>
  </si>
  <si>
    <t>PR-0503836</t>
  </si>
  <si>
    <t>PR-0503582</t>
  </si>
  <si>
    <t>SOL-C312</t>
  </si>
  <si>
    <t>Megha Kaushik</t>
  </si>
  <si>
    <t>B-45199</t>
  </si>
  <si>
    <t>PR-0504473</t>
  </si>
  <si>
    <t>SOL-C411</t>
  </si>
  <si>
    <t>B-44999</t>
  </si>
  <si>
    <t>PR-0502711</t>
  </si>
  <si>
    <t>MR-PS-C213</t>
  </si>
  <si>
    <t>B-38208</t>
  </si>
  <si>
    <t>PR-0502709</t>
  </si>
  <si>
    <t>PR-0504142</t>
  </si>
  <si>
    <t>MR-PS-A308</t>
  </si>
  <si>
    <t>Vladilina Romasco</t>
  </si>
  <si>
    <t>B-47468</t>
  </si>
  <si>
    <t>PR-0506335</t>
  </si>
  <si>
    <t>MR-PS-B314</t>
  </si>
  <si>
    <t>B-36470</t>
  </si>
  <si>
    <t>PR-0503304</t>
  </si>
  <si>
    <t>MR-PS-B329</t>
  </si>
  <si>
    <t>B-36814</t>
  </si>
  <si>
    <t>PR-0504167</t>
  </si>
  <si>
    <t>PR-0506309</t>
  </si>
  <si>
    <t>MR-PS-C310</t>
  </si>
  <si>
    <t>B-37027</t>
  </si>
  <si>
    <t>PR-0503885</t>
  </si>
  <si>
    <t>MR-PS-A404</t>
  </si>
  <si>
    <t>B-36499</t>
  </si>
  <si>
    <t>PR-0503882</t>
  </si>
  <si>
    <t>PR-0505151</t>
  </si>
  <si>
    <t>MR-PS-C404</t>
  </si>
  <si>
    <t>B-38253</t>
  </si>
  <si>
    <t>PR-0505671</t>
  </si>
  <si>
    <t>PR-0504151</t>
  </si>
  <si>
    <t>MR-PS-A509</t>
  </si>
  <si>
    <t>B-37385</t>
  </si>
  <si>
    <t>PR-0504210</t>
  </si>
  <si>
    <t>MR-PS-B911</t>
  </si>
  <si>
    <t>B-34059</t>
  </si>
  <si>
    <t>PR-0504693</t>
  </si>
  <si>
    <t>PR-0505106</t>
  </si>
  <si>
    <t>PR-0505097</t>
  </si>
  <si>
    <t>PR-0502723</t>
  </si>
  <si>
    <t>MR-PS-A612</t>
  </si>
  <si>
    <t>B-36882</t>
  </si>
  <si>
    <t>PR-0504062</t>
  </si>
  <si>
    <t>MR-PS-C614</t>
  </si>
  <si>
    <t>B-34479</t>
  </si>
  <si>
    <t>PR-0502889</t>
  </si>
  <si>
    <t>MR-PS-A704</t>
  </si>
  <si>
    <t>B-37140</t>
  </si>
  <si>
    <t>PR-0505692</t>
  </si>
  <si>
    <t>MR-PS-B728</t>
  </si>
  <si>
    <t>B-35893</t>
  </si>
  <si>
    <t>PR-0505686</t>
  </si>
  <si>
    <t>PR-0505685</t>
  </si>
  <si>
    <t>PR-0504837</t>
  </si>
  <si>
    <t>MR-PS-C716</t>
  </si>
  <si>
    <t>Ilia Svetenko</t>
  </si>
  <si>
    <t>B-37625</t>
  </si>
  <si>
    <t>PR-0504191</t>
  </si>
  <si>
    <t>SSP-914</t>
  </si>
  <si>
    <t>B-35568</t>
  </si>
  <si>
    <t>PR-0504187</t>
  </si>
  <si>
    <t>PR-0504185</t>
  </si>
  <si>
    <t>PR-0504161</t>
  </si>
  <si>
    <t>PR-0504413</t>
  </si>
  <si>
    <t>SSP-1011</t>
  </si>
  <si>
    <t>B-34654</t>
  </si>
  <si>
    <t>PR-0504406</t>
  </si>
  <si>
    <t>PR-0503966</t>
  </si>
  <si>
    <t>SSP-1609</t>
  </si>
  <si>
    <t>B-36892</t>
  </si>
  <si>
    <t>PR-0502644</t>
  </si>
  <si>
    <t>SSP-3909</t>
  </si>
  <si>
    <t>B-35047</t>
  </si>
  <si>
    <t>PR-0503683</t>
  </si>
  <si>
    <t>SSP-1802</t>
  </si>
  <si>
    <t>B-34838</t>
  </si>
  <si>
    <t>PR-0502376</t>
  </si>
  <si>
    <t>SSP-2703</t>
  </si>
  <si>
    <t>B-35569</t>
  </si>
  <si>
    <t>PR-0502375</t>
  </si>
  <si>
    <t>PR-0502374</t>
  </si>
  <si>
    <t>PR-0503407</t>
  </si>
  <si>
    <t>SSP-3203</t>
  </si>
  <si>
    <t>B-35114</t>
  </si>
  <si>
    <t>PR-0505401</t>
  </si>
  <si>
    <t>PR-0505986</t>
  </si>
  <si>
    <t>PR-0503383</t>
  </si>
  <si>
    <t>SSP-3508</t>
  </si>
  <si>
    <t>B-36724</t>
  </si>
  <si>
    <t>PR-0504289</t>
  </si>
  <si>
    <t>SSP-3513</t>
  </si>
  <si>
    <t>B-34666</t>
  </si>
  <si>
    <t>PR-0504278</t>
  </si>
  <si>
    <t>Harish Prem Singh Tiruwa</t>
  </si>
  <si>
    <t>PR-0504267</t>
  </si>
  <si>
    <t>PR-0505535</t>
  </si>
  <si>
    <t>SSP-1801</t>
  </si>
  <si>
    <t>B-36569</t>
  </si>
  <si>
    <t>PR-0505789</t>
  </si>
  <si>
    <t>SSP-3201</t>
  </si>
  <si>
    <t>B-39036</t>
  </si>
  <si>
    <t>PR-0503632</t>
  </si>
  <si>
    <t>SSP-3801</t>
  </si>
  <si>
    <t>B-35643</t>
  </si>
  <si>
    <t>PR-0504303</t>
  </si>
  <si>
    <t>BR-SL-A306</t>
  </si>
  <si>
    <t>B-36064</t>
  </si>
  <si>
    <t>PR-0504302</t>
  </si>
  <si>
    <t>PR-0505400</t>
  </si>
  <si>
    <t>BR-SL-D412</t>
  </si>
  <si>
    <t>B-37521</t>
  </si>
  <si>
    <t>PR-0502399</t>
  </si>
  <si>
    <t>BR-SL-C708</t>
  </si>
  <si>
    <t>B-36271</t>
  </si>
  <si>
    <t>PR-0502398</t>
  </si>
  <si>
    <t>PR-0506090</t>
  </si>
  <si>
    <t>BR-SL-B410</t>
  </si>
  <si>
    <t>B-37545</t>
  </si>
  <si>
    <t>PR-0505687</t>
  </si>
  <si>
    <t>BR-SL-D509</t>
  </si>
  <si>
    <t>Saleh Ramadan</t>
  </si>
  <si>
    <t>B-45351</t>
  </si>
  <si>
    <t>PR-0502846</t>
  </si>
  <si>
    <t>BR-SL-C506</t>
  </si>
  <si>
    <t>B-36655</t>
  </si>
  <si>
    <t>PR-0503989</t>
  </si>
  <si>
    <t>BR-SL-C510</t>
  </si>
  <si>
    <t>B-36208</t>
  </si>
  <si>
    <t>PR-0503986</t>
  </si>
  <si>
    <t>PR-0504804</t>
  </si>
  <si>
    <t>BR-SL-B506</t>
  </si>
  <si>
    <t>B-37956</t>
  </si>
  <si>
    <t>PR-0504818</t>
  </si>
  <si>
    <t>BR-SL-D707</t>
  </si>
  <si>
    <t>B-39186</t>
  </si>
  <si>
    <t>PR-0503620</t>
  </si>
  <si>
    <t>BR-SL-A713</t>
  </si>
  <si>
    <t>B-36601</t>
  </si>
  <si>
    <t>PR-0502514</t>
  </si>
  <si>
    <t>BR-SL-A806</t>
  </si>
  <si>
    <t>B-35921</t>
  </si>
  <si>
    <t>PR-0504662</t>
  </si>
  <si>
    <t>BR-SL-A910</t>
  </si>
  <si>
    <t>B-45040</t>
  </si>
  <si>
    <t>PR-0505168</t>
  </si>
  <si>
    <t>BR-SL-D02</t>
  </si>
  <si>
    <t>B-36849</t>
  </si>
  <si>
    <t>PR-0504188</t>
  </si>
  <si>
    <t>MR-PS-A101</t>
  </si>
  <si>
    <t>B-44158</t>
  </si>
  <si>
    <t>PR-0502999</t>
  </si>
  <si>
    <t>MR-PS-C108</t>
  </si>
  <si>
    <t>B-38277</t>
  </si>
  <si>
    <t>PR-0503587</t>
  </si>
  <si>
    <t>PR-0505517</t>
  </si>
  <si>
    <t>PR-0503880</t>
  </si>
  <si>
    <t>MR-PS-C109</t>
  </si>
  <si>
    <t>B-38228</t>
  </si>
  <si>
    <t>PR-0503876</t>
  </si>
  <si>
    <t>PR-0503874</t>
  </si>
  <si>
    <t>PR-0504204</t>
  </si>
  <si>
    <t>PR-0504201</t>
  </si>
  <si>
    <t>PR-0505124</t>
  </si>
  <si>
    <t>PR-0505123</t>
  </si>
  <si>
    <t>PR-0504972</t>
  </si>
  <si>
    <t>PR-0505280</t>
  </si>
  <si>
    <t>PR-0505259</t>
  </si>
  <si>
    <t>PR-0505248</t>
  </si>
  <si>
    <t>PR-0502718</t>
  </si>
  <si>
    <t>SST-808</t>
  </si>
  <si>
    <t>B-37190</t>
  </si>
  <si>
    <t>PR-0503706</t>
  </si>
  <si>
    <t>SST-1607</t>
  </si>
  <si>
    <t>B-45196</t>
  </si>
  <si>
    <t>PR-0503869</t>
  </si>
  <si>
    <t>SST-901</t>
  </si>
  <si>
    <t>B-38173</t>
  </si>
  <si>
    <t>PR-0506045</t>
  </si>
  <si>
    <t>SST-1001</t>
  </si>
  <si>
    <t>B-37864</t>
  </si>
  <si>
    <t>PR-0502728</t>
  </si>
  <si>
    <t>SST-1008</t>
  </si>
  <si>
    <t>B-37192</t>
  </si>
  <si>
    <t>PR-0504852</t>
  </si>
  <si>
    <t>SST-3505</t>
  </si>
  <si>
    <t>B-37058</t>
  </si>
  <si>
    <t>PR-0505536</t>
  </si>
  <si>
    <t>SST-1201</t>
  </si>
  <si>
    <t>B-36902</t>
  </si>
  <si>
    <t>PR-0506057</t>
  </si>
  <si>
    <t>SST-1212</t>
  </si>
  <si>
    <t>B-37825</t>
  </si>
  <si>
    <t>PR-0502732</t>
  </si>
  <si>
    <t>SST-1308</t>
  </si>
  <si>
    <t>B-37202</t>
  </si>
  <si>
    <t>PR-0503211</t>
  </si>
  <si>
    <t>SST-1402</t>
  </si>
  <si>
    <t>B-36799</t>
  </si>
  <si>
    <t>PR-0502377</t>
  </si>
  <si>
    <t>SST-1409</t>
  </si>
  <si>
    <t>B-37921</t>
  </si>
  <si>
    <t>PR-0504710</t>
  </si>
  <si>
    <t>SST-1703</t>
  </si>
  <si>
    <t>B-36309</t>
  </si>
  <si>
    <t>PR-0503245</t>
  </si>
  <si>
    <t>SST-1709</t>
  </si>
  <si>
    <t>B-38711</t>
  </si>
  <si>
    <t>PR-0503244</t>
  </si>
  <si>
    <t>PR-0503242</t>
  </si>
  <si>
    <t>PR-0503241</t>
  </si>
  <si>
    <t>PR-0503497</t>
  </si>
  <si>
    <t>PR-0503496</t>
  </si>
  <si>
    <t>PR-0503495</t>
  </si>
  <si>
    <t>PR-0503494</t>
  </si>
  <si>
    <t>PR-0505741</t>
  </si>
  <si>
    <t>PR-0506033</t>
  </si>
  <si>
    <t>PR-0506023</t>
  </si>
  <si>
    <t>PR-0506018</t>
  </si>
  <si>
    <t>PR-0502772</t>
  </si>
  <si>
    <t>SST-1710</t>
  </si>
  <si>
    <t>B-38139</t>
  </si>
  <si>
    <t>PR-0502708</t>
  </si>
  <si>
    <t>SST-1908</t>
  </si>
  <si>
    <t>B-37176</t>
  </si>
  <si>
    <t>PR-0506101</t>
  </si>
  <si>
    <t>SST-2001</t>
  </si>
  <si>
    <t>B-38288</t>
  </si>
  <si>
    <t>PR-0504588</t>
  </si>
  <si>
    <t>SST-4808</t>
  </si>
  <si>
    <t>B-38003</t>
  </si>
  <si>
    <t>PR-0502758</t>
  </si>
  <si>
    <t>SST-2906</t>
  </si>
  <si>
    <t>B-44028</t>
  </si>
  <si>
    <t>PR-0504724</t>
  </si>
  <si>
    <t>SST-2909</t>
  </si>
  <si>
    <t>B-37142</t>
  </si>
  <si>
    <t>PR-0504236</t>
  </si>
  <si>
    <t>SST-2910</t>
  </si>
  <si>
    <t>B-37191</t>
  </si>
  <si>
    <t>PR-0504432</t>
  </si>
  <si>
    <t>SST-3009</t>
  </si>
  <si>
    <t>B-37050</t>
  </si>
  <si>
    <t>PR-0502836</t>
  </si>
  <si>
    <t>SST-3612</t>
  </si>
  <si>
    <t>B-42196</t>
  </si>
  <si>
    <t>PR-0504795</t>
  </si>
  <si>
    <t>SST-3608</t>
  </si>
  <si>
    <t>B-37088</t>
  </si>
  <si>
    <t>PR-0504790</t>
  </si>
  <si>
    <t>PR-0504060</t>
  </si>
  <si>
    <t>SST-5107</t>
  </si>
  <si>
    <t>B-37107</t>
  </si>
  <si>
    <t>PR-0505976</t>
  </si>
  <si>
    <t>PR-0505601</t>
  </si>
  <si>
    <t>SST-5405</t>
  </si>
  <si>
    <t>B-37758</t>
  </si>
  <si>
    <t>PR-0505598</t>
  </si>
  <si>
    <t>PR-0504705</t>
  </si>
  <si>
    <t>SST-6706</t>
  </si>
  <si>
    <t>B-36307</t>
  </si>
  <si>
    <t>PR-0503849</t>
  </si>
  <si>
    <t>SST-6708</t>
  </si>
  <si>
    <t>B-38578</t>
  </si>
  <si>
    <t>PR-0503846</t>
  </si>
  <si>
    <t>PR-0502487</t>
  </si>
  <si>
    <t>SST-7208</t>
  </si>
  <si>
    <t>B-37735</t>
  </si>
  <si>
    <t>PR-0505624</t>
  </si>
  <si>
    <t>PR-0505623</t>
  </si>
  <si>
    <t>PR-0505622</t>
  </si>
  <si>
    <t>PR-0505621</t>
  </si>
  <si>
    <t>PR-0505620</t>
  </si>
  <si>
    <t>PR-0505619</t>
  </si>
  <si>
    <t>PR-0505554</t>
  </si>
  <si>
    <t>PR-0503498</t>
  </si>
  <si>
    <t>SST-7406</t>
  </si>
  <si>
    <t>B-36192</t>
  </si>
  <si>
    <t>PR-0505068</t>
  </si>
  <si>
    <t>SSP-709</t>
  </si>
  <si>
    <t>B-37338</t>
  </si>
  <si>
    <t>PR-0502368</t>
  </si>
  <si>
    <t>SSP-4211</t>
  </si>
  <si>
    <t>B-37248</t>
  </si>
  <si>
    <t>PR-0502367</t>
  </si>
  <si>
    <t>PR-0502366</t>
  </si>
  <si>
    <t>PR-0502633</t>
  </si>
  <si>
    <t>PR-0502586</t>
  </si>
  <si>
    <t>PR-0503266</t>
  </si>
  <si>
    <t>PR-0505080</t>
  </si>
  <si>
    <t>SST-3907</t>
  </si>
  <si>
    <t>B-38670</t>
  </si>
  <si>
    <t>PR-0503353</t>
  </si>
  <si>
    <t>SST-3910</t>
  </si>
  <si>
    <t>B-37286</t>
  </si>
  <si>
    <t>PR-0503352</t>
  </si>
  <si>
    <t>PR-0503809</t>
  </si>
  <si>
    <t>SST-4007</t>
  </si>
  <si>
    <t>B-38843</t>
  </si>
  <si>
    <t>PR-0502573</t>
  </si>
  <si>
    <t>SST-4009</t>
  </si>
  <si>
    <t>B-38989</t>
  </si>
  <si>
    <t>PR-0503831</t>
  </si>
  <si>
    <t>SST-4012</t>
  </si>
  <si>
    <t>B-38513</t>
  </si>
  <si>
    <t>PR-0504175</t>
  </si>
  <si>
    <t>SST-5102</t>
  </si>
  <si>
    <t>B-43320</t>
  </si>
  <si>
    <t>PR-0505849</t>
  </si>
  <si>
    <t>SST-5809</t>
  </si>
  <si>
    <t>B-37969</t>
  </si>
  <si>
    <t>PR-0503164</t>
  </si>
  <si>
    <t>SST-6102</t>
  </si>
  <si>
    <t>B-43410</t>
  </si>
  <si>
    <t>PR-0503161</t>
  </si>
  <si>
    <t>PR-0502989</t>
  </si>
  <si>
    <t>DT-AQ-C1906</t>
  </si>
  <si>
    <t>Borhane Zerdoumi</t>
  </si>
  <si>
    <t>B-37694</t>
  </si>
  <si>
    <t>PR-0504368</t>
  </si>
  <si>
    <t>DT-AQ-B808</t>
  </si>
  <si>
    <t>B-37682</t>
  </si>
  <si>
    <t>PR-0505647</t>
  </si>
  <si>
    <t>PR-0503653</t>
  </si>
  <si>
    <t>DT-AQ-B810</t>
  </si>
  <si>
    <t>B-42081</t>
  </si>
  <si>
    <t>PR-0503639</t>
  </si>
  <si>
    <t>PR-0503612</t>
  </si>
  <si>
    <t>PR-0504395</t>
  </si>
  <si>
    <t>PR-0504446</t>
  </si>
  <si>
    <t>PR-0506088</t>
  </si>
  <si>
    <t>DT-AQ-B906</t>
  </si>
  <si>
    <t>B-47660</t>
  </si>
  <si>
    <t>PR-0503108</t>
  </si>
  <si>
    <t>DT-AQ-A410</t>
  </si>
  <si>
    <t>B-46497</t>
  </si>
  <si>
    <t>PR-0503934</t>
  </si>
  <si>
    <t>DT-AQ-A910</t>
  </si>
  <si>
    <t>B-46863</t>
  </si>
  <si>
    <t>PR-0504493</t>
  </si>
  <si>
    <t>PR-0505378</t>
  </si>
  <si>
    <t>DT-AQ-A1009</t>
  </si>
  <si>
    <t>B-37873</t>
  </si>
  <si>
    <t>PR-0505364</t>
  </si>
  <si>
    <t>PR-0505347</t>
  </si>
  <si>
    <t>PR-0505345</t>
  </si>
  <si>
    <t>PR-0506062</t>
  </si>
  <si>
    <t>PR-0504051</t>
  </si>
  <si>
    <t>DT-AQ-A1010</t>
  </si>
  <si>
    <t>B-37644</t>
  </si>
  <si>
    <t>PR-0502416</t>
  </si>
  <si>
    <t>DT-AQ-A1510</t>
  </si>
  <si>
    <t>B-39248</t>
  </si>
  <si>
    <t>PR-0503438</t>
  </si>
  <si>
    <t>DT-AQ-A1903</t>
  </si>
  <si>
    <t>Lusine Dallakyan</t>
  </si>
  <si>
    <t>B-47581</t>
  </si>
  <si>
    <t>PR-0504196</t>
  </si>
  <si>
    <t>DT-AQ-A1608</t>
  </si>
  <si>
    <t>B-38284</t>
  </si>
  <si>
    <t>PR-0504193</t>
  </si>
  <si>
    <t>PR-0504192</t>
  </si>
  <si>
    <t>PR-0504184</t>
  </si>
  <si>
    <t>PR-0505176</t>
  </si>
  <si>
    <t>PR-0505352</t>
  </si>
  <si>
    <t>PR-0505350</t>
  </si>
  <si>
    <t>PR-0506172</t>
  </si>
  <si>
    <t>PR-0505067</t>
  </si>
  <si>
    <t>DT-AQ-C2107</t>
  </si>
  <si>
    <t>B-38687</t>
  </si>
  <si>
    <t>PR-0505066</t>
  </si>
  <si>
    <t>PR-0505065</t>
  </si>
  <si>
    <t>PR-0505064</t>
  </si>
  <si>
    <t>PR-0505063</t>
  </si>
  <si>
    <t>PR-0502607</t>
  </si>
  <si>
    <t>DT-AQ-C2109</t>
  </si>
  <si>
    <t>B-38076</t>
  </si>
  <si>
    <t>PR-0502602</t>
  </si>
  <si>
    <t>PR-0504478</t>
  </si>
  <si>
    <t>DT-AQ-C2110</t>
  </si>
  <si>
    <t>B-37823</t>
  </si>
  <si>
    <t>PR-0504361</t>
  </si>
  <si>
    <t>DT-AQ-A2008</t>
  </si>
  <si>
    <t>B-37915</t>
  </si>
  <si>
    <t>PR-0506080</t>
  </si>
  <si>
    <t>DT-AQ-A2208</t>
  </si>
  <si>
    <t>B-38421</t>
  </si>
  <si>
    <t>PR-0505614</t>
  </si>
  <si>
    <t>DT-AQ-A2211</t>
  </si>
  <si>
    <t>B-38618</t>
  </si>
  <si>
    <t>PR-0504514</t>
  </si>
  <si>
    <t>DT-AQ-A2311</t>
  </si>
  <si>
    <t>B-37651</t>
  </si>
  <si>
    <t>PR-0503502</t>
  </si>
  <si>
    <t>DT-AQ-A2402</t>
  </si>
  <si>
    <t>B-37899</t>
  </si>
  <si>
    <t>PR-0504702</t>
  </si>
  <si>
    <t>DT-AQ-A2711</t>
  </si>
  <si>
    <t>B-38627</t>
  </si>
  <si>
    <t>PR-0503611</t>
  </si>
  <si>
    <t>DT-AQ-A2810</t>
  </si>
  <si>
    <t>B-40362</t>
  </si>
  <si>
    <t>PR-0505488</t>
  </si>
  <si>
    <t>DT-AQ-A3802</t>
  </si>
  <si>
    <t>B-37670</t>
  </si>
  <si>
    <t>PR-0506257</t>
  </si>
  <si>
    <t>PR-0504330</t>
  </si>
  <si>
    <t>DT-AQ-A3806</t>
  </si>
  <si>
    <t>B-37571</t>
  </si>
  <si>
    <t>PR-0504329</t>
  </si>
  <si>
    <t>PR-0504327</t>
  </si>
  <si>
    <t>PR-0504325</t>
  </si>
  <si>
    <t>PR-0505273</t>
  </si>
  <si>
    <t>PR-0505224</t>
  </si>
  <si>
    <t>DT-AQ-A3807</t>
  </si>
  <si>
    <t>B-38090</t>
  </si>
  <si>
    <t>PR-0503118</t>
  </si>
  <si>
    <t>DT-AQ-A3810</t>
  </si>
  <si>
    <t>B-37729</t>
  </si>
  <si>
    <t>PR-0503057</t>
  </si>
  <si>
    <t>PR-0503053</t>
  </si>
  <si>
    <t>PR-0505394</t>
  </si>
  <si>
    <t>DT-AQ-A3910</t>
  </si>
  <si>
    <t>B-38927</t>
  </si>
  <si>
    <t>PR-0505083</t>
  </si>
  <si>
    <t>DT-AQ-C2311</t>
  </si>
  <si>
    <t>B-38215</t>
  </si>
  <si>
    <t>PR-0505081</t>
  </si>
  <si>
    <t>PR-0505026</t>
  </si>
  <si>
    <t>PR-0505025</t>
  </si>
  <si>
    <t>PR-0505018</t>
  </si>
  <si>
    <t>PR-0505015</t>
  </si>
  <si>
    <t>PR-0505011</t>
  </si>
  <si>
    <t>PR-0505009</t>
  </si>
  <si>
    <t>PR-0505006</t>
  </si>
  <si>
    <t>PR-0505316</t>
  </si>
  <si>
    <t>Ali Ahmed Mohamed Abdelghani</t>
  </si>
  <si>
    <t>PR-0504023</t>
  </si>
  <si>
    <t>DT-AQ-B1209</t>
  </si>
  <si>
    <t>B-37914</t>
  </si>
  <si>
    <t>PR-0503661</t>
  </si>
  <si>
    <t>DT-AQ-B1306</t>
  </si>
  <si>
    <t>Victor Hugo Rodrigues Da Silva</t>
  </si>
  <si>
    <t>B-44880</t>
  </si>
  <si>
    <t>PR-0504073</t>
  </si>
  <si>
    <t>PR-0503061</t>
  </si>
  <si>
    <t>DT-AQ-B1404</t>
  </si>
  <si>
    <t>payments Site Guest User</t>
  </si>
  <si>
    <t>B-37816</t>
  </si>
  <si>
    <t>PR-0503060</t>
  </si>
  <si>
    <t>PR-0505373</t>
  </si>
  <si>
    <t>DT-AQ-B1810</t>
  </si>
  <si>
    <t>B-38790</t>
  </si>
  <si>
    <t>PR-0503052</t>
  </si>
  <si>
    <t>DT-AQ-B2107</t>
  </si>
  <si>
    <t>B-37993</t>
  </si>
  <si>
    <t>PR-0503051</t>
  </si>
  <si>
    <t>PR-0503050</t>
  </si>
  <si>
    <t>PR-0503049</t>
  </si>
  <si>
    <t>PR-0504469</t>
  </si>
  <si>
    <t>DT-AQ-B2710</t>
  </si>
  <si>
    <t>B-38786</t>
  </si>
  <si>
    <t>PR-0505377</t>
  </si>
  <si>
    <t>DT-AQ-B2807</t>
  </si>
  <si>
    <t>B-38247</t>
  </si>
  <si>
    <t>PR-0505409</t>
  </si>
  <si>
    <t>DT-AQ-B2904</t>
  </si>
  <si>
    <t>B-47657</t>
  </si>
  <si>
    <t>PR-0505667</t>
  </si>
  <si>
    <t>DT-AQ-B2907</t>
  </si>
  <si>
    <t>B-38617</t>
  </si>
  <si>
    <t>PR-0505616</t>
  </si>
  <si>
    <t>PR-0502884</t>
  </si>
  <si>
    <t>DT-AQ-B3006</t>
  </si>
  <si>
    <t>B-37749</t>
  </si>
  <si>
    <t>PR-0505261</t>
  </si>
  <si>
    <t>DT-AQ-B3111</t>
  </si>
  <si>
    <t>B-37601</t>
  </si>
  <si>
    <t>PR-0505213</t>
  </si>
  <si>
    <t>PR-0505909</t>
  </si>
  <si>
    <t>PR-0505903</t>
  </si>
  <si>
    <t>PR-0504483</t>
  </si>
  <si>
    <t>DT-AQ-C804</t>
  </si>
  <si>
    <t>B-45088</t>
  </si>
  <si>
    <t>PR-0505792</t>
  </si>
  <si>
    <t>PR-0503891</t>
  </si>
  <si>
    <t>DT-AQ-C910</t>
  </si>
  <si>
    <t>B-38175</t>
  </si>
  <si>
    <t>PR-0505374</t>
  </si>
  <si>
    <t>DT-AQ-C1006</t>
  </si>
  <si>
    <t>B-39010</t>
  </si>
  <si>
    <t>PR-0505534</t>
  </si>
  <si>
    <t>DT-AQ-C1207</t>
  </si>
  <si>
    <t>B-39012</t>
  </si>
  <si>
    <t>PR-0505550</t>
  </si>
  <si>
    <t>DT-AQ-C1208</t>
  </si>
  <si>
    <t>B-38246</t>
  </si>
  <si>
    <t>PR-0506147</t>
  </si>
  <si>
    <t>PR-0506145</t>
  </si>
  <si>
    <t>PR-0505468</t>
  </si>
  <si>
    <t>DT-AQ-C1604</t>
  </si>
  <si>
    <t>B-37906</t>
  </si>
  <si>
    <t>PR-0505443</t>
  </si>
  <si>
    <t>PR-0505434</t>
  </si>
  <si>
    <t>PR-0502703</t>
  </si>
  <si>
    <t>DT-AQ-C1607</t>
  </si>
  <si>
    <t>B-38088</t>
  </si>
  <si>
    <t>PR-0502699</t>
  </si>
  <si>
    <t>PR-0502697</t>
  </si>
  <si>
    <t>DT-AQ-C1707</t>
  </si>
  <si>
    <t>B-37721</t>
  </si>
  <si>
    <t>PR-0505494</t>
  </si>
  <si>
    <t>DT-AQ-C1709</t>
  </si>
  <si>
    <t>B-37590</t>
  </si>
  <si>
    <t>PR-0502700</t>
  </si>
  <si>
    <t>SC-TH-4302</t>
  </si>
  <si>
    <t>B-37797</t>
  </si>
  <si>
    <t>PR-0502600</t>
  </si>
  <si>
    <t>PR-0504575</t>
  </si>
  <si>
    <t>SC-TH-4920</t>
  </si>
  <si>
    <t>B-39151</t>
  </si>
  <si>
    <t>PR-0503208</t>
  </si>
  <si>
    <t>SC-TH-5003</t>
  </si>
  <si>
    <t>B-37814</t>
  </si>
  <si>
    <t>PR-0505144</t>
  </si>
  <si>
    <t>SC-TH-1402</t>
  </si>
  <si>
    <t>B-38094</t>
  </si>
  <si>
    <t>PR-0504093</t>
  </si>
  <si>
    <t>SC-TH-1406</t>
  </si>
  <si>
    <t>B-38176</t>
  </si>
  <si>
    <t>PR-0505148</t>
  </si>
  <si>
    <t>SC-TH-1706</t>
  </si>
  <si>
    <t>B-38093</t>
  </si>
  <si>
    <t>PR-0504695</t>
  </si>
  <si>
    <t>SC-TH-1903</t>
  </si>
  <si>
    <t>B-38168</t>
  </si>
  <si>
    <t>PR-0505756</t>
  </si>
  <si>
    <t>SC-TH-1906</t>
  </si>
  <si>
    <t>B-38423</t>
  </si>
  <si>
    <t>PR-0505755</t>
  </si>
  <si>
    <t>PR-0506357</t>
  </si>
  <si>
    <t>PR-0506341</t>
  </si>
  <si>
    <t>PR-0504128</t>
  </si>
  <si>
    <t>SC-TH-1907</t>
  </si>
  <si>
    <t>B-38802</t>
  </si>
  <si>
    <t>PR-0504124</t>
  </si>
  <si>
    <t>PR-0504115</t>
  </si>
  <si>
    <t>PR-0504075</t>
  </si>
  <si>
    <t>PR-0504382</t>
  </si>
  <si>
    <t>PR-0506029</t>
  </si>
  <si>
    <t>SC-TH-2004</t>
  </si>
  <si>
    <t>B-37932</t>
  </si>
  <si>
    <t>PR-0506012</t>
  </si>
  <si>
    <t>PR-0506009</t>
  </si>
  <si>
    <t>PR-0505999</t>
  </si>
  <si>
    <t>PR-0505987</t>
  </si>
  <si>
    <t>PR-0505985</t>
  </si>
  <si>
    <t>PR-0505978</t>
  </si>
  <si>
    <t>PR-0505972</t>
  </si>
  <si>
    <t>PR-0505968</t>
  </si>
  <si>
    <t>PR-0505963</t>
  </si>
  <si>
    <t>PR-0502404</t>
  </si>
  <si>
    <t>SC-TH-4503</t>
  </si>
  <si>
    <t>B-37955</t>
  </si>
  <si>
    <t>PR-0506015</t>
  </si>
  <si>
    <t>SC-TH-2302</t>
  </si>
  <si>
    <t>B-38153</t>
  </si>
  <si>
    <t>PR-0503251</t>
  </si>
  <si>
    <t>SC-TH-2303</t>
  </si>
  <si>
    <t>B-38774</t>
  </si>
  <si>
    <t>PR-0503499</t>
  </si>
  <si>
    <t>PR-0503468</t>
  </si>
  <si>
    <t>PR-0503466</t>
  </si>
  <si>
    <t>PR-0503465</t>
  </si>
  <si>
    <t>PR-0504351</t>
  </si>
  <si>
    <t>PR-0504253</t>
  </si>
  <si>
    <t>PR-0505613</t>
  </si>
  <si>
    <t>PR-0505581</t>
  </si>
  <si>
    <t>PR-0505577</t>
  </si>
  <si>
    <t>PR-0504518</t>
  </si>
  <si>
    <t>SC-TH-2402</t>
  </si>
  <si>
    <t>B-37997</t>
  </si>
  <si>
    <t>PR-0502401</t>
  </si>
  <si>
    <t>SC-TH-6801</t>
  </si>
  <si>
    <t>Ashish Banerjee</t>
  </si>
  <si>
    <t>B-45288</t>
  </si>
  <si>
    <t>PR-0502982</t>
  </si>
  <si>
    <t>PR-0502947</t>
  </si>
  <si>
    <t>PR-0504221</t>
  </si>
  <si>
    <t>PR-0504739</t>
  </si>
  <si>
    <t>PR-0505513</t>
  </si>
  <si>
    <t>SC-TH-2513</t>
  </si>
  <si>
    <t>B-38203</t>
  </si>
  <si>
    <t>PR-0506075</t>
  </si>
  <si>
    <t>PR-0505152</t>
  </si>
  <si>
    <t>SC-TH-2702</t>
  </si>
  <si>
    <t>B-37827</t>
  </si>
  <si>
    <t>PR-0505227</t>
  </si>
  <si>
    <t>SC-TH-2803</t>
  </si>
  <si>
    <t>B-38062</t>
  </si>
  <si>
    <t>PR-0505088</t>
  </si>
  <si>
    <t>SC-TH-2920</t>
  </si>
  <si>
    <t>B-39109</t>
  </si>
  <si>
    <t>PR-0503534</t>
  </si>
  <si>
    <t>SC-TH-3106</t>
  </si>
  <si>
    <t>B-38172</t>
  </si>
  <si>
    <t>PR-0503770</t>
  </si>
  <si>
    <t>PR-0503767</t>
  </si>
  <si>
    <t>PR-0503681</t>
  </si>
  <si>
    <t>PR-0504218</t>
  </si>
  <si>
    <t>PR-0504423</t>
  </si>
  <si>
    <t>SC-TH-3120</t>
  </si>
  <si>
    <t>B-38757</t>
  </si>
  <si>
    <t>PR-0504421</t>
  </si>
  <si>
    <t>PR-0504418</t>
  </si>
  <si>
    <t>PR-0505184</t>
  </si>
  <si>
    <t>PR-0505183</t>
  </si>
  <si>
    <t>PR-0506320</t>
  </si>
  <si>
    <t>PR-0505925</t>
  </si>
  <si>
    <t>SC-TH-3213</t>
  </si>
  <si>
    <t>B-38422</t>
  </si>
  <si>
    <t>PR-0504524</t>
  </si>
  <si>
    <t>SC-TH-3302</t>
  </si>
  <si>
    <t>Yamen Moallem</t>
  </si>
  <si>
    <t>B-37836</t>
  </si>
  <si>
    <t>PR-0504777</t>
  </si>
  <si>
    <t>SC-TH-3303</t>
  </si>
  <si>
    <t>B-37918</t>
  </si>
  <si>
    <t>PR-0504775</t>
  </si>
  <si>
    <t>PR-0504770</t>
  </si>
  <si>
    <t>PR-0506093</t>
  </si>
  <si>
    <t>SC-TH-3304</t>
  </si>
  <si>
    <t>B-37832</t>
  </si>
  <si>
    <t>PR-0503140</t>
  </si>
  <si>
    <t>SC-TH-3313</t>
  </si>
  <si>
    <t>B-39291</t>
  </si>
  <si>
    <t>PR-0503145</t>
  </si>
  <si>
    <t>PR-0503593</t>
  </si>
  <si>
    <t>PR-0504555</t>
  </si>
  <si>
    <t>SC-TH-3507</t>
  </si>
  <si>
    <t>Omar Ameziane El Hassani</t>
  </si>
  <si>
    <t>B-38244</t>
  </si>
  <si>
    <t>PR-0504539</t>
  </si>
  <si>
    <t>PR-0504535</t>
  </si>
  <si>
    <t>PR-0505042</t>
  </si>
  <si>
    <t>SC-TH-3513</t>
  </si>
  <si>
    <t>B-39069</t>
  </si>
  <si>
    <t>PR-0505197</t>
  </si>
  <si>
    <t>SC-TH-3606</t>
  </si>
  <si>
    <t>B-38013</t>
  </si>
  <si>
    <t>PR-0504759</t>
  </si>
  <si>
    <t>SC-TH-3906</t>
  </si>
  <si>
    <t>B-38105</t>
  </si>
  <si>
    <t>PR-0504890</t>
  </si>
  <si>
    <t>PR-0505379</t>
  </si>
  <si>
    <t>SC-TH-4002</t>
  </si>
  <si>
    <t>B-38715</t>
  </si>
  <si>
    <t>PR-0505415</t>
  </si>
  <si>
    <t>SC-TH-4004</t>
  </si>
  <si>
    <t>B-38750</t>
  </si>
  <si>
    <t>PR-0503741</t>
  </si>
  <si>
    <t>SC-TH-4012</t>
  </si>
  <si>
    <t>Devyanshi Kaushik</t>
  </si>
  <si>
    <t>B-47512</t>
  </si>
  <si>
    <t>PR-0504463</t>
  </si>
  <si>
    <t>PR-0503993</t>
  </si>
  <si>
    <t>SC-TH-4403</t>
  </si>
  <si>
    <t>B-37874</t>
  </si>
  <si>
    <t>PR-0503028</t>
  </si>
  <si>
    <t>SC-TH-4413</t>
  </si>
  <si>
    <t>B-38723</t>
  </si>
  <si>
    <t>PR-0505631</t>
  </si>
  <si>
    <t>SC-TH-4606</t>
  </si>
  <si>
    <t>B-38032</t>
  </si>
  <si>
    <t>PR-0506253</t>
  </si>
  <si>
    <t>SC-TH-4703</t>
  </si>
  <si>
    <t>B-38069</t>
  </si>
  <si>
    <t>PR-0506260</t>
  </si>
  <si>
    <t>SC-TH-4704</t>
  </si>
  <si>
    <t>B-38072</t>
  </si>
  <si>
    <t>PR-0504550</t>
  </si>
  <si>
    <t>SC-TH-5203</t>
  </si>
  <si>
    <t>B-37991</t>
  </si>
  <si>
    <t>PR-0504545</t>
  </si>
  <si>
    <t>PR-0504538</t>
  </si>
  <si>
    <t>PR-0505500</t>
  </si>
  <si>
    <t>PR-0506037</t>
  </si>
  <si>
    <t>SC-TH-5219</t>
  </si>
  <si>
    <t>B-38231</t>
  </si>
  <si>
    <t>PR-0506010</t>
  </si>
  <si>
    <t>PR-0506098</t>
  </si>
  <si>
    <t>PR-0503172</t>
  </si>
  <si>
    <t>SC-TH-5306</t>
  </si>
  <si>
    <t>B-38045</t>
  </si>
  <si>
    <t>PR-0504017</t>
  </si>
  <si>
    <t>PR-0504616</t>
  </si>
  <si>
    <t>SC-TH-5320</t>
  </si>
  <si>
    <t>B-37945</t>
  </si>
  <si>
    <t>PR-0503810</t>
  </si>
  <si>
    <t>SC-TH-5501</t>
  </si>
  <si>
    <t>B-39274</t>
  </si>
  <si>
    <t>PR-0503983</t>
  </si>
  <si>
    <t>PR-0504166</t>
  </si>
  <si>
    <t>SC-TH-5703</t>
  </si>
  <si>
    <t>B-37801</t>
  </si>
  <si>
    <t>PR-0504164</t>
  </si>
  <si>
    <t>SC-TH-5903</t>
  </si>
  <si>
    <t>B-38467</t>
  </si>
  <si>
    <t>PR-0504153</t>
  </si>
  <si>
    <t>SC-TH-6003</t>
  </si>
  <si>
    <t>B-38463</t>
  </si>
  <si>
    <t>PR-0502880</t>
  </si>
  <si>
    <t>SC-TH-6104</t>
  </si>
  <si>
    <t>B-37992</t>
  </si>
  <si>
    <t>PR-0502872</t>
  </si>
  <si>
    <t>PR-0502741</t>
  </si>
  <si>
    <t>PR-0503725</t>
  </si>
  <si>
    <t>PR-0503709</t>
  </si>
  <si>
    <t>PR-0504566</t>
  </si>
  <si>
    <t>PR-0505442</t>
  </si>
  <si>
    <t>PR-0506370</t>
  </si>
  <si>
    <t>PR-0503591</t>
  </si>
  <si>
    <t>SC-TH-6206</t>
  </si>
  <si>
    <t>B-38123</t>
  </si>
  <si>
    <t>PR-0506266</t>
  </si>
  <si>
    <t>SC-TH-6301</t>
  </si>
  <si>
    <t>B-40923</t>
  </si>
  <si>
    <t>PR-0504001</t>
  </si>
  <si>
    <t>SC-TH-6303</t>
  </si>
  <si>
    <t>B-37894</t>
  </si>
  <si>
    <t>PR-0506243</t>
  </si>
  <si>
    <t>SC-TH-6602</t>
  </si>
  <si>
    <t>B-37883</t>
  </si>
  <si>
    <t>PR-0504367</t>
  </si>
  <si>
    <t>SC-TH-6618</t>
  </si>
  <si>
    <t>Alni Amookhteh</t>
  </si>
  <si>
    <t>B-42886</t>
  </si>
  <si>
    <t>PR-0504634</t>
  </si>
  <si>
    <t>PR-0503142</t>
  </si>
  <si>
    <t>SC-TH-6703</t>
  </si>
  <si>
    <t>B-38120</t>
  </si>
  <si>
    <t>PR-0503132</t>
  </si>
  <si>
    <t>PR-0503111</t>
  </si>
  <si>
    <t>PR-0503671</t>
  </si>
  <si>
    <t>PR-0503769</t>
  </si>
  <si>
    <t>PR-0503734</t>
  </si>
  <si>
    <t>PR-0503722</t>
  </si>
  <si>
    <t>PR-0503698</t>
  </si>
  <si>
    <t>PR-0504386</t>
  </si>
  <si>
    <t>PR-0504373</t>
  </si>
  <si>
    <t>PR-0504558</t>
  </si>
  <si>
    <t>PR-0504497</t>
  </si>
  <si>
    <t>PR-0504481</t>
  </si>
  <si>
    <t>PR-0504644</t>
  </si>
  <si>
    <t>PR-0505291</t>
  </si>
  <si>
    <t>PR-0504541</t>
  </si>
  <si>
    <t>SC-TH-7002</t>
  </si>
  <si>
    <t>B-39370</t>
  </si>
  <si>
    <t>PR-0504007</t>
  </si>
  <si>
    <t>SC-TH-7112</t>
  </si>
  <si>
    <t>B-38305</t>
  </si>
  <si>
    <t>PR-0504561</t>
  </si>
  <si>
    <t>SC-TH-7307</t>
  </si>
  <si>
    <t>B-38114</t>
  </si>
  <si>
    <t>PR-0505596</t>
  </si>
  <si>
    <t>MR-YS-B228</t>
  </si>
  <si>
    <t>Aiesce Ciraolo</t>
  </si>
  <si>
    <t>B-38346</t>
  </si>
  <si>
    <t>PR-0505722</t>
  </si>
  <si>
    <t>PR-0505900</t>
  </si>
  <si>
    <t>MR-YS-B304</t>
  </si>
  <si>
    <t>B-38736</t>
  </si>
  <si>
    <t>PR-0504985</t>
  </si>
  <si>
    <t>MR-YS-B327</t>
  </si>
  <si>
    <t>B-38271</t>
  </si>
  <si>
    <t>PR-0503039</t>
  </si>
  <si>
    <t>MR-YS-B329</t>
  </si>
  <si>
    <t>B-38840</t>
  </si>
  <si>
    <t>PR-0505733</t>
  </si>
  <si>
    <t>PR-0503666</t>
  </si>
  <si>
    <t>MR-YS-B330</t>
  </si>
  <si>
    <t>B-38470</t>
  </si>
  <si>
    <t>PR-0502561</t>
  </si>
  <si>
    <t>MR-YS-C311</t>
  </si>
  <si>
    <t>Sardar Abbas Khan</t>
  </si>
  <si>
    <t>B-42166</t>
  </si>
  <si>
    <t>PR-0504632</t>
  </si>
  <si>
    <t>MR-YS-A403</t>
  </si>
  <si>
    <t>B-38419</t>
  </si>
  <si>
    <t>PR-0503489</t>
  </si>
  <si>
    <t>MR-YS-B428</t>
  </si>
  <si>
    <t>B-38383</t>
  </si>
  <si>
    <t>PR-0503750</t>
  </si>
  <si>
    <t>MR-YS-B430</t>
  </si>
  <si>
    <t>B-38447</t>
  </si>
  <si>
    <t>PR-0505583</t>
  </si>
  <si>
    <t>MR-YS-B532</t>
  </si>
  <si>
    <t>B-41036</t>
  </si>
  <si>
    <t>PR-0504252</t>
  </si>
  <si>
    <t>MR-YS-B609</t>
  </si>
  <si>
    <t>B-38486</t>
  </si>
  <si>
    <t>PR-0505526</t>
  </si>
  <si>
    <t>MR-YS-B613</t>
  </si>
  <si>
    <t>B-38442</t>
  </si>
  <si>
    <t>PR-0505525</t>
  </si>
  <si>
    <t>PR-0505518</t>
  </si>
  <si>
    <t>PR-0505797</t>
  </si>
  <si>
    <t>PR-0502797</t>
  </si>
  <si>
    <t>MR-YS-B709</t>
  </si>
  <si>
    <t>B-38454</t>
  </si>
  <si>
    <t>PR-0504365</t>
  </si>
  <si>
    <t>MR-YS-B710</t>
  </si>
  <si>
    <t>B-38316</t>
  </si>
  <si>
    <t>PR-0504997</t>
  </si>
  <si>
    <t>MR-YS-B724</t>
  </si>
  <si>
    <t>B-38438</t>
  </si>
  <si>
    <t>PR-0504195</t>
  </si>
  <si>
    <t>MR-YS-B728</t>
  </si>
  <si>
    <t>B-38445</t>
  </si>
  <si>
    <t>PR-0504095</t>
  </si>
  <si>
    <t>MR-YS-C709</t>
  </si>
  <si>
    <t>B-39165</t>
  </si>
  <si>
    <t>PR-0505512</t>
  </si>
  <si>
    <t>MR-YS-C714</t>
  </si>
  <si>
    <t>B-39045</t>
  </si>
  <si>
    <t>PR-0505740</t>
  </si>
  <si>
    <t>MR-YS-B803</t>
  </si>
  <si>
    <t>B-38409</t>
  </si>
  <si>
    <t>PR-0505737</t>
  </si>
  <si>
    <t>PR-0505825</t>
  </si>
  <si>
    <t>MR-YS-B811</t>
  </si>
  <si>
    <t>B-38387</t>
  </si>
  <si>
    <t>PR-0505086</t>
  </si>
  <si>
    <t>MR-YS-B816</t>
  </si>
  <si>
    <t>B-38396</t>
  </si>
  <si>
    <t>PR-0506086</t>
  </si>
  <si>
    <t>MR-YS-B826</t>
  </si>
  <si>
    <t>B-38391</t>
  </si>
  <si>
    <t>PR-0502606</t>
  </si>
  <si>
    <t>BR-PT-A208</t>
  </si>
  <si>
    <t>B-45171</t>
  </si>
  <si>
    <t>PR-0506031</t>
  </si>
  <si>
    <t>PR-0506248</t>
  </si>
  <si>
    <t>PR-0506183</t>
  </si>
  <si>
    <t>PR-0505014</t>
  </si>
  <si>
    <t>BR-PT-A402</t>
  </si>
  <si>
    <t>B-44579</t>
  </si>
  <si>
    <t>PR-0504338</t>
  </si>
  <si>
    <t>BR-PT-D402</t>
  </si>
  <si>
    <t>B-43580</t>
  </si>
  <si>
    <t>PR-0506078</t>
  </si>
  <si>
    <t>BR-PT-B508</t>
  </si>
  <si>
    <t>B-40115</t>
  </si>
  <si>
    <t>PR-0505838</t>
  </si>
  <si>
    <t>BR-PT-C707</t>
  </si>
  <si>
    <t>B-39127</t>
  </si>
  <si>
    <t>PR-0505300</t>
  </si>
  <si>
    <t>BR-PT-D811</t>
  </si>
  <si>
    <t>B-40289</t>
  </si>
  <si>
    <t>PR-0506176</t>
  </si>
  <si>
    <t>SC-TE-1514</t>
  </si>
  <si>
    <t>B-47549</t>
  </si>
  <si>
    <t>PR-0506148</t>
  </si>
  <si>
    <t>SC-TE-1904</t>
  </si>
  <si>
    <t>B-47606</t>
  </si>
  <si>
    <t>PR-0505206</t>
  </si>
  <si>
    <t>SC-TE-2106</t>
  </si>
  <si>
    <t>B-39918</t>
  </si>
  <si>
    <t>PR-0505285</t>
  </si>
  <si>
    <t>SC-TE-2706</t>
  </si>
  <si>
    <t>B-40327</t>
  </si>
  <si>
    <t>PR-0504748</t>
  </si>
  <si>
    <t>SC-TE-4218</t>
  </si>
  <si>
    <t>B-47626</t>
  </si>
  <si>
    <t>PR-0502621</t>
  </si>
  <si>
    <t>SC-TE-5618</t>
  </si>
  <si>
    <t>B-45952</t>
  </si>
  <si>
    <t>PR-0502570</t>
  </si>
  <si>
    <t>MR-BT-A316</t>
  </si>
  <si>
    <t>B-44824</t>
  </si>
  <si>
    <t>PR-0502556</t>
  </si>
  <si>
    <t>PR-0504136</t>
  </si>
  <si>
    <t>MR-BT-B332</t>
  </si>
  <si>
    <t>B-40609</t>
  </si>
  <si>
    <t>PR-0504384</t>
  </si>
  <si>
    <t>MR-BT-B335</t>
  </si>
  <si>
    <t>B-46403</t>
  </si>
  <si>
    <t>PR-0503488</t>
  </si>
  <si>
    <t>MR-BT-C309</t>
  </si>
  <si>
    <t>B-43468</t>
  </si>
  <si>
    <t>PR-0504436</t>
  </si>
  <si>
    <t>PR-0505313</t>
  </si>
  <si>
    <t>PR-0504950</t>
  </si>
  <si>
    <t>MR-BT-B405</t>
  </si>
  <si>
    <t>B-44694</t>
  </si>
  <si>
    <t>PR-0504942</t>
  </si>
  <si>
    <t>PR-0506004</t>
  </si>
  <si>
    <t>MR-BT-B434</t>
  </si>
  <si>
    <t>B-46836</t>
  </si>
  <si>
    <t>PR-0504909</t>
  </si>
  <si>
    <t>MR-BT-C407</t>
  </si>
  <si>
    <t>B-47665</t>
  </si>
  <si>
    <t>PR-0503309</t>
  </si>
  <si>
    <t>MR-BT-B534</t>
  </si>
  <si>
    <t>B-44857</t>
  </si>
  <si>
    <t>PR-0503308</t>
  </si>
  <si>
    <t>PR-0505175</t>
  </si>
  <si>
    <t>MR-BT-C516</t>
  </si>
  <si>
    <t>B-40531</t>
  </si>
  <si>
    <t>PR-0505638</t>
  </si>
  <si>
    <t>MR-BT-B625</t>
  </si>
  <si>
    <t>B-41959</t>
  </si>
  <si>
    <t>PR-0505571</t>
  </si>
  <si>
    <t>MR-BT-B634</t>
  </si>
  <si>
    <t>Nura Saleh Yousuf</t>
  </si>
  <si>
    <t>B-44863</t>
  </si>
  <si>
    <t>PR-0505566</t>
  </si>
  <si>
    <t>PR-0505703</t>
  </si>
  <si>
    <t>PR-0504424</t>
  </si>
  <si>
    <t>MR-BT-B737</t>
  </si>
  <si>
    <t>B-41013</t>
  </si>
  <si>
    <t>PR-0505982</t>
  </si>
  <si>
    <t>MR-BT-C610</t>
  </si>
  <si>
    <t>B-46157</t>
  </si>
  <si>
    <t>PR-0504519</t>
  </si>
  <si>
    <t>MR-BT-B709</t>
  </si>
  <si>
    <t>B-40940</t>
  </si>
  <si>
    <t>PR-0504503</t>
  </si>
  <si>
    <t>PR-0504502</t>
  </si>
  <si>
    <t>PR-0504500</t>
  </si>
  <si>
    <t>PR-0506040</t>
  </si>
  <si>
    <t>MR-BT-B710</t>
  </si>
  <si>
    <t>B-44600</t>
  </si>
  <si>
    <t>PR-0503460</t>
  </si>
  <si>
    <t>MR-BT-B904</t>
  </si>
  <si>
    <t>B-39887</t>
  </si>
  <si>
    <t>PR-0504277</t>
  </si>
  <si>
    <t>MR-CS-A310</t>
  </si>
  <si>
    <t>B-48110</t>
  </si>
  <si>
    <t>PR-0504687</t>
  </si>
  <si>
    <t>Divit Trehan</t>
  </si>
  <si>
    <t>PR-0505160</t>
  </si>
  <si>
    <t>MR-CS-B410</t>
  </si>
  <si>
    <t>B-45970</t>
  </si>
  <si>
    <t>PR-0505155</t>
  </si>
  <si>
    <t>MR-CS-B427</t>
  </si>
  <si>
    <t>Akrm Jamal</t>
  </si>
  <si>
    <t>B-47683</t>
  </si>
  <si>
    <t>PR-0505223</t>
  </si>
  <si>
    <t>MR-CS-B430</t>
  </si>
  <si>
    <t>B-44894</t>
  </si>
  <si>
    <t>PR-0505219</t>
  </si>
  <si>
    <t>PR-0505207</t>
  </si>
  <si>
    <t>PR-0503959</t>
  </si>
  <si>
    <t>MR-CS-B437</t>
  </si>
  <si>
    <t>B-40719</t>
  </si>
  <si>
    <t>PR-0504358</t>
  </si>
  <si>
    <t>PR-0504355</t>
  </si>
  <si>
    <t>PR-0504868</t>
  </si>
  <si>
    <t>PR-0502808</t>
  </si>
  <si>
    <t>MR-CS-A503</t>
  </si>
  <si>
    <t>B-41671</t>
  </si>
  <si>
    <t>PR-0505135</t>
  </si>
  <si>
    <t>MR-CS-B501</t>
  </si>
  <si>
    <t>B-44974</t>
  </si>
  <si>
    <t>PR-0505604</t>
  </si>
  <si>
    <t>MR-CS-B536</t>
  </si>
  <si>
    <t>B-42441</t>
  </si>
  <si>
    <t>PR-0505579</t>
  </si>
  <si>
    <t>PR-0504771</t>
  </si>
  <si>
    <t>MR-CS-B541</t>
  </si>
  <si>
    <t>B-45556</t>
  </si>
  <si>
    <t>PR-0505627</t>
  </si>
  <si>
    <t>PR-0503300</t>
  </si>
  <si>
    <t>MR-CS-B639</t>
  </si>
  <si>
    <t>B-44131</t>
  </si>
  <si>
    <t>PR-0503293</t>
  </si>
  <si>
    <t>MR-CS-A716</t>
  </si>
  <si>
    <t>B-40696</t>
  </si>
  <si>
    <t>PR-0503292</t>
  </si>
  <si>
    <t>PR-0503291</t>
  </si>
  <si>
    <t>PR-0504784</t>
  </si>
  <si>
    <t>MR-CS-B708</t>
  </si>
  <si>
    <t>B-41624</t>
  </si>
  <si>
    <t>PR-0502482</t>
  </si>
  <si>
    <t>MR-CS-B735</t>
  </si>
  <si>
    <t>B-45673</t>
  </si>
  <si>
    <t>PR-0504452</t>
  </si>
  <si>
    <t>MR-CS-B932</t>
  </si>
  <si>
    <t>Katarzyna Dolkowska</t>
  </si>
  <si>
    <t>B-41889</t>
  </si>
  <si>
    <t>PR-0505860</t>
  </si>
  <si>
    <t>PR-0504908</t>
  </si>
  <si>
    <t>SC-TS-1518</t>
  </si>
  <si>
    <t>Manavi Bahl</t>
  </si>
  <si>
    <t>B-45279</t>
  </si>
  <si>
    <t>PR-0505017</t>
  </si>
  <si>
    <t>PR-0505701</t>
  </si>
  <si>
    <t>PR-0506175</t>
  </si>
  <si>
    <t>SC-TS-2106</t>
  </si>
  <si>
    <t>B-47784</t>
  </si>
  <si>
    <t>PR-0504227</t>
  </si>
  <si>
    <t>SC-TS-4505</t>
  </si>
  <si>
    <t>B-42494</t>
  </si>
  <si>
    <t>PR-0504574</t>
  </si>
  <si>
    <t>SC-TS-4603</t>
  </si>
  <si>
    <t>B-42120</t>
  </si>
  <si>
    <t>PR-0504568</t>
  </si>
  <si>
    <t>PR-0504467</t>
  </si>
  <si>
    <t>PR-0504714</t>
  </si>
  <si>
    <t>PR-0504694</t>
  </si>
  <si>
    <t>PR-0504684</t>
  </si>
  <si>
    <t>PR-0502408</t>
  </si>
  <si>
    <t>MR-PL-A309</t>
  </si>
  <si>
    <t>B-45209</t>
  </si>
  <si>
    <t>PR-0503184</t>
  </si>
  <si>
    <t>PR-0505404</t>
  </si>
  <si>
    <t>MR-PL-B516</t>
  </si>
  <si>
    <t>B-48039</t>
  </si>
  <si>
    <t>PR-0504767</t>
  </si>
  <si>
    <t>MR-PL-B608</t>
  </si>
  <si>
    <t>B-45090</t>
  </si>
  <si>
    <t>PR-0504648</t>
  </si>
  <si>
    <t>MR-PL-A803</t>
  </si>
  <si>
    <t>B-42390</t>
  </si>
  <si>
    <t>PR-0504811</t>
  </si>
  <si>
    <t>PR-0504612</t>
  </si>
  <si>
    <t>MR-PL-A706</t>
  </si>
  <si>
    <t>B-44041</t>
  </si>
  <si>
    <t>PR-0503643</t>
  </si>
  <si>
    <t>CVHR12</t>
  </si>
  <si>
    <t>B-43356</t>
  </si>
  <si>
    <t>PR-0506340</t>
  </si>
  <si>
    <t>WO-R07</t>
  </si>
  <si>
    <t>B-42981</t>
  </si>
  <si>
    <t>PR-0504821</t>
  </si>
  <si>
    <t>SSH-RA03</t>
  </si>
  <si>
    <t>B-43359</t>
  </si>
  <si>
    <t>PR-0502429</t>
  </si>
  <si>
    <t>SC-TQ-1405</t>
  </si>
  <si>
    <t>B-44500</t>
  </si>
  <si>
    <t>PR-0506003</t>
  </si>
  <si>
    <t>SC-TQ-2312</t>
  </si>
  <si>
    <t>B-45553</t>
  </si>
  <si>
    <t>PR-0505983</t>
  </si>
  <si>
    <t>SC-TQ-2903</t>
  </si>
  <si>
    <t>B-44867</t>
  </si>
  <si>
    <t>PR-0505969</t>
  </si>
  <si>
    <t>PR-0504999</t>
  </si>
  <si>
    <t>SC-TQ-3503</t>
  </si>
  <si>
    <t>B-44808</t>
  </si>
  <si>
    <t>PR-0505874</t>
  </si>
  <si>
    <t>PR-0505873</t>
  </si>
  <si>
    <t>PR-0506131</t>
  </si>
  <si>
    <t>PR-0504208</t>
  </si>
  <si>
    <t>SC-TQ-4812</t>
  </si>
  <si>
    <t>B-45838</t>
  </si>
  <si>
    <t>PR-0503766</t>
  </si>
  <si>
    <t>310 RSC-R008</t>
  </si>
  <si>
    <t>B-44909</t>
  </si>
  <si>
    <t>PR-0506307</t>
  </si>
  <si>
    <t>350 RSC-R001</t>
  </si>
  <si>
    <t>B-44782</t>
  </si>
  <si>
    <t>PR-0503166</t>
  </si>
  <si>
    <t>DT-AC-A607</t>
  </si>
  <si>
    <t>B-47999</t>
  </si>
  <si>
    <t>PR-0505094</t>
  </si>
  <si>
    <t>PR-0504140</t>
  </si>
  <si>
    <t>DT-AC-A2107</t>
  </si>
  <si>
    <t>B-45871</t>
  </si>
  <si>
    <t>PR-0503163</t>
  </si>
  <si>
    <t>DT-AC-A2808</t>
  </si>
  <si>
    <t>B-47988</t>
  </si>
  <si>
    <t>PR-0505095</t>
  </si>
  <si>
    <t>PR-0505371</t>
  </si>
  <si>
    <t>DT-AC-C1409</t>
  </si>
  <si>
    <t>B-47642</t>
  </si>
  <si>
    <t>PR-0505965</t>
  </si>
  <si>
    <t>DT-AC-D4209</t>
  </si>
  <si>
    <t>B-45822</t>
  </si>
  <si>
    <t>PR-0505171</t>
  </si>
  <si>
    <t>SC-MG-2202</t>
  </si>
  <si>
    <t>B-45785</t>
  </si>
  <si>
    <t>PR-0505167</t>
  </si>
  <si>
    <t>PR-0505134</t>
  </si>
  <si>
    <t>SC-MG-2606</t>
  </si>
  <si>
    <t>B-45862</t>
  </si>
  <si>
    <t>PR-0506186</t>
  </si>
  <si>
    <t>SC-MG-2902</t>
  </si>
  <si>
    <t>Rawan Mostafa Emam Abdelghany</t>
  </si>
  <si>
    <t>B-48194</t>
  </si>
  <si>
    <t>PR-0502599</t>
  </si>
  <si>
    <t>SC-MG-3502</t>
  </si>
  <si>
    <t>B-47708</t>
  </si>
  <si>
    <t>PR-0503150</t>
  </si>
  <si>
    <t>SC-MG-4106</t>
  </si>
  <si>
    <t>B-45326</t>
  </si>
  <si>
    <t>PR-0505110</t>
  </si>
  <si>
    <t>SC-MG-5406</t>
  </si>
  <si>
    <t>B-45191</t>
  </si>
  <si>
    <t>PR-0504137</t>
  </si>
  <si>
    <t>SC-MG-5803</t>
  </si>
  <si>
    <t>B-45394</t>
  </si>
  <si>
    <t>PR-0503877</t>
  </si>
  <si>
    <t>SC-MG-2104</t>
  </si>
  <si>
    <t>B-45181</t>
  </si>
  <si>
    <t>PR-0503857</t>
  </si>
  <si>
    <t>SC-MG-2504</t>
  </si>
  <si>
    <t>B-45157</t>
  </si>
  <si>
    <t>PR-0504391</t>
  </si>
  <si>
    <t>PR-0504223</t>
  </si>
  <si>
    <t>Gaurav Anilkumar Jagyasi</t>
  </si>
  <si>
    <t>PR-0504314</t>
  </si>
  <si>
    <t>SC-MG-2704</t>
  </si>
  <si>
    <t>B-45163</t>
  </si>
  <si>
    <t>PR-0504592</t>
  </si>
  <si>
    <t>PR-0505975</t>
  </si>
  <si>
    <t>SC-MG-5911</t>
  </si>
  <si>
    <t>B-46245</t>
  </si>
  <si>
    <t>PR-0505489</t>
  </si>
  <si>
    <t>SSA-1408</t>
  </si>
  <si>
    <t>Aya El Kharoua</t>
  </si>
  <si>
    <t>B-48078</t>
  </si>
  <si>
    <t>PR-0504667</t>
  </si>
  <si>
    <t>SSA-1705</t>
  </si>
  <si>
    <t>B-45585</t>
  </si>
  <si>
    <t>PR-0504665</t>
  </si>
  <si>
    <t>PR-0504660</t>
  </si>
  <si>
    <t>PR-0504657</t>
  </si>
  <si>
    <t>PR-0505458</t>
  </si>
  <si>
    <t>SSA-1810</t>
  </si>
  <si>
    <t>Fatima Bendib</t>
  </si>
  <si>
    <t>B-45674</t>
  </si>
  <si>
    <t>PR-0503303</t>
  </si>
  <si>
    <t>SSA-2008</t>
  </si>
  <si>
    <t>B-47206</t>
  </si>
  <si>
    <t>PR-0504492</t>
  </si>
  <si>
    <t>PR-0504490</t>
  </si>
  <si>
    <t>PR-0505000</t>
  </si>
  <si>
    <t>SSA-2013</t>
  </si>
  <si>
    <t>Linda Elakad</t>
  </si>
  <si>
    <t>B-48071</t>
  </si>
  <si>
    <t>PR-0502839</t>
  </si>
  <si>
    <t>SSA-2513</t>
  </si>
  <si>
    <t>Sanaa Loucif</t>
  </si>
  <si>
    <t>B-48558</t>
  </si>
  <si>
    <t>PR-0505323</t>
  </si>
  <si>
    <t>PR-0504958</t>
  </si>
  <si>
    <t>SSA-3809</t>
  </si>
  <si>
    <t>B-46233</t>
  </si>
  <si>
    <t>PR-0505527</t>
  </si>
  <si>
    <t>SSA-3109</t>
  </si>
  <si>
    <t>B-47926</t>
  </si>
  <si>
    <t>PR-0504664</t>
  </si>
  <si>
    <t>SSA-3504</t>
  </si>
  <si>
    <t>Marie Claire Bartoli</t>
  </si>
  <si>
    <t>B-48122</t>
  </si>
  <si>
    <t>PR-0504139</t>
  </si>
  <si>
    <t>SSA-4408</t>
  </si>
  <si>
    <t>Kanchan Kumar Bhatia</t>
  </si>
  <si>
    <t>B-48229</t>
  </si>
  <si>
    <t>PR-0504457</t>
  </si>
  <si>
    <t>SSA-6209</t>
  </si>
  <si>
    <t>B-46492</t>
  </si>
  <si>
    <t>PR-0505652</t>
  </si>
  <si>
    <t>PR-0505836</t>
  </si>
  <si>
    <t>SR-R08</t>
  </si>
  <si>
    <t>B-45942</t>
  </si>
  <si>
    <t>PR-0505208</t>
  </si>
  <si>
    <t>SC-PL-5603</t>
  </si>
  <si>
    <t>B-47658</t>
  </si>
  <si>
    <t>PR-0502686</t>
  </si>
  <si>
    <t>SC-PL-3915</t>
  </si>
  <si>
    <t>Yasmine Boualbani</t>
  </si>
  <si>
    <t>B-48923</t>
  </si>
  <si>
    <t>PR-0503710</t>
  </si>
  <si>
    <t>PR-0504673</t>
  </si>
  <si>
    <t>SC-PL-4101</t>
  </si>
  <si>
    <t>B-47092</t>
  </si>
  <si>
    <t>PR-0504764</t>
  </si>
  <si>
    <t>PR-0505821</t>
  </si>
  <si>
    <t>PR-0505800</t>
  </si>
  <si>
    <t>PR-0502484</t>
  </si>
  <si>
    <t>SC-PL-5215</t>
  </si>
  <si>
    <t>Hosamaldin Amir Mohammed Mohammed Ahmed</t>
  </si>
  <si>
    <t>B-48067</t>
  </si>
  <si>
    <t>PR-0503234</t>
  </si>
  <si>
    <t>PR-0503408</t>
  </si>
  <si>
    <t>PR-0503406</t>
  </si>
  <si>
    <t>PR-0505864</t>
  </si>
  <si>
    <t>PR-0505846</t>
  </si>
  <si>
    <t>PR-0505841</t>
  </si>
  <si>
    <t>PR-0505811</t>
  </si>
  <si>
    <t>PR-0505950</t>
  </si>
  <si>
    <t>PR-0502779</t>
  </si>
  <si>
    <t>SC-PL-5415</t>
  </si>
  <si>
    <t>B-47504</t>
  </si>
  <si>
    <t>PR-0504108</t>
  </si>
  <si>
    <t>SC-PL-5714</t>
  </si>
  <si>
    <t>Shanaiya Shamsuddin Abrew</t>
  </si>
  <si>
    <t>B-48191</t>
  </si>
  <si>
    <t>PR-0506030</t>
  </si>
  <si>
    <t>PR-0505558</t>
  </si>
  <si>
    <t>SC-PL-5815</t>
  </si>
  <si>
    <t>Mohammed Shahaan Ameeruddin</t>
  </si>
  <si>
    <t>B-47608</t>
  </si>
  <si>
    <t>PR-0506365</t>
  </si>
  <si>
    <t>PR-0502662</t>
  </si>
  <si>
    <t>SC-PL-6102</t>
  </si>
  <si>
    <t>B-47213</t>
  </si>
  <si>
    <t>PR-0502660</t>
  </si>
  <si>
    <t>PR-0502655</t>
  </si>
  <si>
    <t>PR-0503702</t>
  </si>
  <si>
    <t>SC-PL-7014</t>
  </si>
  <si>
    <t>B-47799</t>
  </si>
  <si>
    <t>PR-0504241</t>
  </si>
  <si>
    <t>PR-0503182</t>
  </si>
  <si>
    <t>SC-PL-8003</t>
  </si>
  <si>
    <t>B-46758</t>
  </si>
  <si>
    <t>PR-0505570</t>
  </si>
  <si>
    <t>SC-PL-8602</t>
  </si>
  <si>
    <t>Churendra Vikram Srinet</t>
  </si>
  <si>
    <t>B-46423</t>
  </si>
  <si>
    <t>PR-0504623</t>
  </si>
  <si>
    <t>SC-PL-8702</t>
  </si>
  <si>
    <t>Syed Nawaz Suhail</t>
  </si>
  <si>
    <t>B-46420</t>
  </si>
  <si>
    <t>PR-0504622</t>
  </si>
  <si>
    <t>PR-0504621</t>
  </si>
  <si>
    <t>PR-0505916</t>
  </si>
  <si>
    <t>PR-0505914</t>
  </si>
  <si>
    <t>PR-0503995</t>
  </si>
  <si>
    <t>SC-PL-9102</t>
  </si>
  <si>
    <t>B-46419</t>
  </si>
  <si>
    <t>PR-0504041</t>
  </si>
  <si>
    <t>PR-0504019</t>
  </si>
  <si>
    <t>SC-TE-3902</t>
  </si>
  <si>
    <t>B-47700</t>
  </si>
  <si>
    <t>PR-0504000</t>
  </si>
  <si>
    <t>PR-0504059</t>
  </si>
  <si>
    <t>PR-0505307</t>
  </si>
  <si>
    <t>PR-0505186</t>
  </si>
  <si>
    <t>PR-0505117</t>
  </si>
  <si>
    <t>SSA-2110</t>
  </si>
  <si>
    <t>B-46594</t>
  </si>
  <si>
    <t>PR-0504829</t>
  </si>
  <si>
    <t>SC-TH-2809</t>
  </si>
  <si>
    <t>B-46974</t>
  </si>
  <si>
    <t>PR-0504750</t>
  </si>
  <si>
    <t>SEL-V 505</t>
  </si>
  <si>
    <t>B-46566</t>
  </si>
  <si>
    <t>PR-0504851</t>
  </si>
  <si>
    <t>PR-0502688</t>
  </si>
  <si>
    <t>SEL-V 801</t>
  </si>
  <si>
    <t>B-46625</t>
  </si>
  <si>
    <t>PR-0505389</t>
  </si>
  <si>
    <t>SC-R-004</t>
  </si>
  <si>
    <t>B-46685</t>
  </si>
  <si>
    <t>PR-0505388</t>
  </si>
  <si>
    <t>PR-0505386</t>
  </si>
  <si>
    <t>PR-0505380</t>
  </si>
  <si>
    <t>PR-0503188</t>
  </si>
  <si>
    <t>TGN-GV-610</t>
  </si>
  <si>
    <t>Shadi Saberian</t>
  </si>
  <si>
    <t>B-47450</t>
  </si>
  <si>
    <t>PR-0503183</t>
  </si>
  <si>
    <t>PR-0503178</t>
  </si>
  <si>
    <t>PR-0503840</t>
  </si>
  <si>
    <t>PR-0504570</t>
  </si>
  <si>
    <t>PR-0504567</t>
  </si>
  <si>
    <t>PR-0504578</t>
  </si>
  <si>
    <t>PR-0505353</t>
  </si>
  <si>
    <t>PR-0505664</t>
  </si>
  <si>
    <t>PR-0505662</t>
  </si>
  <si>
    <t>PR-0505658</t>
  </si>
  <si>
    <t>PR-0505654</t>
  </si>
  <si>
    <t>PR-0505650</t>
  </si>
  <si>
    <t>PR-0503224</t>
  </si>
  <si>
    <t>TGN-GV-615</t>
  </si>
  <si>
    <t>B-47589</t>
  </si>
  <si>
    <t>PR-0502948</t>
  </si>
  <si>
    <t>TBR-CV-312</t>
  </si>
  <si>
    <t>B-47288</t>
  </si>
  <si>
    <t>PR-0502931</t>
  </si>
  <si>
    <t>PR-0503663</t>
  </si>
  <si>
    <t>Ainur Tussupbekova</t>
  </si>
  <si>
    <t>PR-0504773</t>
  </si>
  <si>
    <t>PR-0504768</t>
  </si>
  <si>
    <t>PR-0505644</t>
  </si>
  <si>
    <t>PR-0505626</t>
  </si>
  <si>
    <t>PR-0505602</t>
  </si>
  <si>
    <t>PR-0505568</t>
  </si>
  <si>
    <t>PR-0505547</t>
  </si>
  <si>
    <t>TBR-CV-329</t>
  </si>
  <si>
    <t>B-47267</t>
  </si>
  <si>
    <t>PR-0502411</t>
  </si>
  <si>
    <t>TBR-GV-023</t>
  </si>
  <si>
    <t>B-47615</t>
  </si>
  <si>
    <t>PR-0503765</t>
  </si>
  <si>
    <t>TBR-GV-026</t>
  </si>
  <si>
    <t>B-47545</t>
  </si>
  <si>
    <t>PR-0503762</t>
  </si>
  <si>
    <t>PR-0503988</t>
  </si>
  <si>
    <t>PR-0502462</t>
  </si>
  <si>
    <t>TBR-GV-076</t>
  </si>
  <si>
    <t>B-47225</t>
  </si>
  <si>
    <t>PR-0502460</t>
  </si>
  <si>
    <t>PR-0502459</t>
  </si>
  <si>
    <t>PR-0503098</t>
  </si>
  <si>
    <t>PR-0503097</t>
  </si>
  <si>
    <t>PR-0503940</t>
  </si>
  <si>
    <t>PR-0503938</t>
  </si>
  <si>
    <t>PR-0503937</t>
  </si>
  <si>
    <t>PR-0503935</t>
  </si>
  <si>
    <t>PR-0502552</t>
  </si>
  <si>
    <t>TBR-GV-077</t>
  </si>
  <si>
    <t>B-47254</t>
  </si>
  <si>
    <t>PR-0506096</t>
  </si>
  <si>
    <t>TBR-CV-429</t>
  </si>
  <si>
    <t>Gulruh Allaberdiyeva</t>
  </si>
  <si>
    <t>B-48291</t>
  </si>
  <si>
    <t>PR-0505392</t>
  </si>
  <si>
    <t>TGN-GV-545</t>
  </si>
  <si>
    <t>B-47300</t>
  </si>
  <si>
    <t>PR-0503634</t>
  </si>
  <si>
    <t>TGN-GV-550</t>
  </si>
  <si>
    <t>B-47366</t>
  </si>
  <si>
    <t>PR-0503627</t>
  </si>
  <si>
    <t>PR-0503826</t>
  </si>
  <si>
    <t>TGN-GV-012</t>
  </si>
  <si>
    <t>B-47650</t>
  </si>
  <si>
    <t>PR-0502535</t>
  </si>
  <si>
    <t>TGN-GV-024</t>
  </si>
  <si>
    <t>B-47359</t>
  </si>
  <si>
    <t>PR-0502528</t>
  </si>
  <si>
    <t>PR-0502463</t>
  </si>
  <si>
    <t>TGN-GV-050</t>
  </si>
  <si>
    <t>Zaynab Difai</t>
  </si>
  <si>
    <t>B-47556</t>
  </si>
  <si>
    <t>PR-0503920</t>
  </si>
  <si>
    <t>PR-0503868</t>
  </si>
  <si>
    <t>PR-0505337</t>
  </si>
  <si>
    <t>PR-0505333</t>
  </si>
  <si>
    <t>PR-0503226</t>
  </si>
  <si>
    <t>TGN-GV-066</t>
  </si>
  <si>
    <t>B-47555</t>
  </si>
  <si>
    <t>PR-0504133</t>
  </si>
  <si>
    <t>TGN-GV-509</t>
  </si>
  <si>
    <t>Ashwin Palliyil Agosh</t>
  </si>
  <si>
    <t>B-47673</t>
  </si>
  <si>
    <t>PR-0504256</t>
  </si>
  <si>
    <t>TGN-GV-659</t>
  </si>
  <si>
    <t>B-47756</t>
  </si>
  <si>
    <t>PR-0505334</t>
  </si>
  <si>
    <t>PR-0503693</t>
  </si>
  <si>
    <t>TGN-GV-663</t>
  </si>
  <si>
    <t>Aidana Mukhametzhanova</t>
  </si>
  <si>
    <t>B-47440</t>
  </si>
  <si>
    <t>PR-0504548</t>
  </si>
  <si>
    <t>PR-0506073</t>
  </si>
  <si>
    <t>PR-0506072</t>
  </si>
  <si>
    <t>PR-0506071</t>
  </si>
  <si>
    <t>PR-0506067</t>
  </si>
  <si>
    <t>PR-0503718</t>
  </si>
  <si>
    <t>TWL-GV-045</t>
  </si>
  <si>
    <t>B-47816</t>
  </si>
  <si>
    <t>PR-0504911</t>
  </si>
  <si>
    <t>TWL-GV-063</t>
  </si>
  <si>
    <t>B-47904</t>
  </si>
  <si>
    <t>PR-0504613</t>
  </si>
  <si>
    <t>TWL-GV-127</t>
  </si>
  <si>
    <t>B-47986</t>
  </si>
  <si>
    <t>PR-0503652</t>
  </si>
  <si>
    <t>SOL-RA04</t>
  </si>
  <si>
    <t>Faisal Khan</t>
  </si>
  <si>
    <t>B-48082</t>
  </si>
  <si>
    <t>PR-0505929</t>
  </si>
  <si>
    <t>PR-0506068</t>
  </si>
  <si>
    <t>PR-0502951</t>
  </si>
  <si>
    <t>TGN-GV-117</t>
  </si>
  <si>
    <t>B-48567</t>
  </si>
  <si>
    <t>PR-0504194</t>
  </si>
  <si>
    <t>SCY-RC-A1103</t>
  </si>
  <si>
    <t>Karan Deepak</t>
  </si>
  <si>
    <t>B-48932</t>
  </si>
  <si>
    <t>PR-0503648</t>
  </si>
  <si>
    <t>SCY-RC-B411</t>
  </si>
  <si>
    <t>Suraj Manjunath Jogi</t>
  </si>
  <si>
    <t>B-48933</t>
  </si>
  <si>
    <t>PR-0502669</t>
  </si>
  <si>
    <t>SCY-RC-B502</t>
  </si>
  <si>
    <t>Liu Hui</t>
  </si>
  <si>
    <t>B-48853</t>
  </si>
  <si>
    <t>PR-0502670</t>
  </si>
  <si>
    <t>SCY-RC-B503</t>
  </si>
  <si>
    <t>B-48856</t>
  </si>
  <si>
    <t>PR-0505891</t>
  </si>
  <si>
    <t>SCY-RC-A102</t>
  </si>
  <si>
    <t>Vidadi Dzhabrailov</t>
  </si>
  <si>
    <t>B-49007</t>
  </si>
  <si>
    <t>PR-0505882</t>
  </si>
  <si>
    <t>PR-0505878</t>
  </si>
  <si>
    <t>PR-0504638</t>
  </si>
  <si>
    <t>SCY-RC-C806</t>
  </si>
  <si>
    <t>Huifen Jie</t>
  </si>
  <si>
    <t>B-49046</t>
  </si>
  <si>
    <t>Achieved  (01/05 -  07/05)</t>
  </si>
  <si>
    <t>Daily Target 07/05</t>
  </si>
  <si>
    <t>Collected   07-05-26</t>
  </si>
  <si>
    <t>Target  (01/05 -  07/05)</t>
  </si>
  <si>
    <t>R-921120</t>
  </si>
  <si>
    <t>R-923485</t>
  </si>
  <si>
    <t>R-931091</t>
  </si>
  <si>
    <t>R-921258</t>
  </si>
  <si>
    <t>R-921501</t>
  </si>
  <si>
    <t>R-922284</t>
  </si>
  <si>
    <t>R-922225</t>
  </si>
  <si>
    <t>R-922472</t>
  </si>
  <si>
    <t>R-923439</t>
  </si>
  <si>
    <t>R-931352</t>
  </si>
  <si>
    <t>R-922475</t>
  </si>
  <si>
    <t>R-931107</t>
  </si>
  <si>
    <t>R-922752</t>
  </si>
  <si>
    <t>R-931362</t>
  </si>
  <si>
    <t>R-930989</t>
  </si>
  <si>
    <t>R-922114</t>
  </si>
  <si>
    <t>R-923250</t>
  </si>
  <si>
    <t>R-931036</t>
  </si>
  <si>
    <t>R-930982</t>
  </si>
  <si>
    <t>R-931052</t>
  </si>
  <si>
    <t>R-931329</t>
  </si>
  <si>
    <t>R-931222</t>
  </si>
  <si>
    <t>R-923182</t>
  </si>
  <si>
    <t>R-931297</t>
  </si>
  <si>
    <t>R-922402</t>
  </si>
  <si>
    <t>R-922163</t>
  </si>
  <si>
    <t>R-931236</t>
  </si>
  <si>
    <t>R-923331</t>
  </si>
  <si>
    <t>R-922885</t>
  </si>
  <si>
    <t>R-923694</t>
  </si>
  <si>
    <t>R-922421</t>
  </si>
  <si>
    <t>R-930977</t>
  </si>
  <si>
    <t>R-930976</t>
  </si>
  <si>
    <t>R-930978</t>
  </si>
  <si>
    <t>R-921366</t>
  </si>
  <si>
    <t>R-931059</t>
  </si>
  <si>
    <t>R-930979</t>
  </si>
  <si>
    <t>R-922780</t>
  </si>
  <si>
    <t>R-922779</t>
  </si>
  <si>
    <t>R-922720</t>
  </si>
  <si>
    <t>R-921765</t>
  </si>
  <si>
    <t>R-922776</t>
  </si>
  <si>
    <t>R-920682</t>
  </si>
  <si>
    <t>R-923147</t>
  </si>
  <si>
    <t>R-922596</t>
  </si>
  <si>
    <t>R-921108</t>
  </si>
  <si>
    <t>R-922189</t>
  </si>
  <si>
    <t>R-931069</t>
  </si>
  <si>
    <t>R-930852</t>
  </si>
  <si>
    <t>R-923156</t>
  </si>
  <si>
    <t>R-921595</t>
  </si>
  <si>
    <t>R-922170</t>
  </si>
  <si>
    <t>R-920776</t>
  </si>
  <si>
    <t>R-922335</t>
  </si>
  <si>
    <t>R-923183</t>
  </si>
  <si>
    <t>R-923550</t>
  </si>
  <si>
    <t>R-922336</t>
  </si>
  <si>
    <t>R-922904</t>
  </si>
  <si>
    <t>R-931093</t>
  </si>
  <si>
    <t>R-921164</t>
  </si>
  <si>
    <t>R-921977</t>
  </si>
  <si>
    <t>R-922162</t>
  </si>
  <si>
    <t>R-922387</t>
  </si>
  <si>
    <t>R-922204</t>
  </si>
  <si>
    <t>R-922672</t>
  </si>
  <si>
    <t>R-922673</t>
  </si>
  <si>
    <t>R-922584</t>
  </si>
  <si>
    <t>R-922577</t>
  </si>
  <si>
    <t>R-922571</t>
  </si>
  <si>
    <t>R-930933</t>
  </si>
  <si>
    <t>R-922426</t>
  </si>
  <si>
    <t>R-922553</t>
  </si>
  <si>
    <t>R-922245</t>
  </si>
  <si>
    <t>R-923478</t>
  </si>
  <si>
    <t>R-931160</t>
  </si>
  <si>
    <t>R-922111</t>
  </si>
  <si>
    <t>R-920811</t>
  </si>
  <si>
    <t>R-921211</t>
  </si>
  <si>
    <t>R-922227</t>
  </si>
  <si>
    <t>R-922960</t>
  </si>
  <si>
    <t>R-920797</t>
  </si>
  <si>
    <t>R-922307</t>
  </si>
  <si>
    <t>R-922306</t>
  </si>
  <si>
    <t>R-922305</t>
  </si>
  <si>
    <t>R-922761</t>
  </si>
  <si>
    <t>R-921027</t>
  </si>
  <si>
    <t>R-931179</t>
  </si>
  <si>
    <t>R-922358</t>
  </si>
  <si>
    <t>R-923056</t>
  </si>
  <si>
    <t>R-931083</t>
  </si>
  <si>
    <t>R-922857</t>
  </si>
  <si>
    <t>R-923050</t>
  </si>
  <si>
    <t>R-923098</t>
  </si>
  <si>
    <t>R-922116</t>
  </si>
  <si>
    <t>R-921850</t>
  </si>
  <si>
    <t>R-923092</t>
  </si>
  <si>
    <t>R-923671</t>
  </si>
  <si>
    <t>R-922581</t>
  </si>
  <si>
    <t>R-922751</t>
  </si>
  <si>
    <t>R-921106</t>
  </si>
  <si>
    <t>R-921568</t>
  </si>
  <si>
    <t>R-922247</t>
  </si>
  <si>
    <t>R-920813</t>
  </si>
  <si>
    <t>R-922788</t>
  </si>
  <si>
    <t>R-922285</t>
  </si>
  <si>
    <t>R-922772</t>
  </si>
  <si>
    <t>R-922749</t>
  </si>
  <si>
    <t>R-922637</t>
  </si>
  <si>
    <t>R-921384</t>
  </si>
  <si>
    <t>R-921461</t>
  </si>
  <si>
    <t>R-922208</t>
  </si>
  <si>
    <t>R-921434</t>
  </si>
  <si>
    <t>R-921432</t>
  </si>
  <si>
    <t>R-922261</t>
  </si>
  <si>
    <t>R-921121</t>
  </si>
  <si>
    <t>R-921132</t>
  </si>
  <si>
    <t>R-931141</t>
  </si>
  <si>
    <t>R-922528</t>
  </si>
  <si>
    <t>R-922384</t>
  </si>
  <si>
    <t>R-921353</t>
  </si>
  <si>
    <t>R-922052</t>
  </si>
  <si>
    <t>R-922774</t>
  </si>
  <si>
    <t>R-922773</t>
  </si>
  <si>
    <t>R-931153</t>
  </si>
  <si>
    <t>R-922580</t>
  </si>
  <si>
    <t>R-922383</t>
  </si>
  <si>
    <t>R-922408</t>
  </si>
  <si>
    <t>R-921007</t>
  </si>
  <si>
    <t>R-922202</t>
  </si>
  <si>
    <t>R-923593</t>
  </si>
  <si>
    <t>R-923594</t>
  </si>
  <si>
    <t>R-931016</t>
  </si>
  <si>
    <t>R-921851</t>
  </si>
  <si>
    <t>R-921174</t>
  </si>
  <si>
    <t>R-921522</t>
  </si>
  <si>
    <t>R-921521</t>
  </si>
  <si>
    <t>R-922308</t>
  </si>
  <si>
    <t>R-922302</t>
  </si>
  <si>
    <t>R-922394</t>
  </si>
  <si>
    <t>R-922414</t>
  </si>
  <si>
    <t>R-922556</t>
  </si>
  <si>
    <t>R-920968</t>
  </si>
  <si>
    <t>R-921291</t>
  </si>
  <si>
    <t>R-920957</t>
  </si>
  <si>
    <t>R-922271</t>
  </si>
  <si>
    <t>R-922205</t>
  </si>
  <si>
    <t>R-922476</t>
  </si>
  <si>
    <t>R-921952</t>
  </si>
  <si>
    <t>R-921942</t>
  </si>
  <si>
    <t>R-922474</t>
  </si>
  <si>
    <t>R-931012</t>
  </si>
  <si>
    <t>R-921653</t>
  </si>
  <si>
    <t>R-921139</t>
  </si>
  <si>
    <t>R-920804</t>
  </si>
  <si>
    <t>R-920795</t>
  </si>
  <si>
    <t>R-921883</t>
  </si>
  <si>
    <t>R-930937</t>
  </si>
  <si>
    <t>R-921820</t>
  </si>
  <si>
    <t>R-931058</t>
  </si>
  <si>
    <t>R-921047</t>
  </si>
  <si>
    <t>R-922110</t>
  </si>
  <si>
    <t>R-922102</t>
  </si>
  <si>
    <t>R-920848</t>
  </si>
  <si>
    <t>R-922579</t>
  </si>
  <si>
    <t>R-922372</t>
  </si>
  <si>
    <t>R-920770</t>
  </si>
  <si>
    <t>R-931001</t>
  </si>
  <si>
    <t>R-931000</t>
  </si>
  <si>
    <t>R-920825</t>
  </si>
  <si>
    <t>R-920819</t>
  </si>
  <si>
    <t>R-931271</t>
  </si>
  <si>
    <t>R-923523</t>
  </si>
  <si>
    <t>R-921222</t>
  </si>
  <si>
    <t>R-921203</t>
  </si>
  <si>
    <t>R-923198</t>
  </si>
  <si>
    <t>R-923181</t>
  </si>
  <si>
    <t>R-922115</t>
  </si>
  <si>
    <t>R-922177</t>
  </si>
  <si>
    <t>R-923231</t>
  </si>
  <si>
    <t>R-923236</t>
  </si>
  <si>
    <t>R-931431</t>
  </si>
  <si>
    <t>R-931367</t>
  </si>
  <si>
    <t>R-922576</t>
  </si>
  <si>
    <t>R-930858</t>
  </si>
  <si>
    <t>R-922354</t>
  </si>
  <si>
    <t>R-922353</t>
  </si>
  <si>
    <t>R-922172</t>
  </si>
  <si>
    <t>R-922182</t>
  </si>
  <si>
    <t>R-922180</t>
  </si>
  <si>
    <t>R-922164</t>
  </si>
  <si>
    <t>R-922174</t>
  </si>
  <si>
    <t>R-923577</t>
  </si>
  <si>
    <t>R-930988</t>
  </si>
  <si>
    <t>R-923066</t>
  </si>
  <si>
    <t>R-930921</t>
  </si>
  <si>
    <t>R-922559</t>
  </si>
  <si>
    <t>R-923117</t>
  </si>
  <si>
    <t>R-923116</t>
  </si>
  <si>
    <t>R-920918</t>
  </si>
  <si>
    <t>R-921435</t>
  </si>
  <si>
    <t>R-921835</t>
  </si>
  <si>
    <t>R-922493</t>
  </si>
  <si>
    <t>R-931409</t>
  </si>
  <si>
    <t>R-931096</t>
  </si>
  <si>
    <t>R-931243</t>
  </si>
  <si>
    <t>R-923009</t>
  </si>
  <si>
    <t>R-922850</t>
  </si>
  <si>
    <t>R-923281</t>
  </si>
  <si>
    <t>R-931191</t>
  </si>
  <si>
    <t>R-923503</t>
  </si>
  <si>
    <t>R-920681</t>
  </si>
  <si>
    <t>R-921516</t>
  </si>
  <si>
    <t>R-923500</t>
  </si>
  <si>
    <t>R-930894</t>
  </si>
  <si>
    <t>R-930827</t>
  </si>
  <si>
    <t>R-922128</t>
  </si>
  <si>
    <t>R-922929</t>
  </si>
  <si>
    <t>R-922669</t>
  </si>
  <si>
    <t>R-930994</t>
  </si>
  <si>
    <t>R-923502</t>
  </si>
  <si>
    <t>R-923501</t>
  </si>
  <si>
    <t>R-923499</t>
  </si>
  <si>
    <t>R-922833</t>
  </si>
  <si>
    <t>R-931414</t>
  </si>
  <si>
    <t>R-921865</t>
  </si>
  <si>
    <t>R-922519</t>
  </si>
  <si>
    <t>R-931337</t>
  </si>
  <si>
    <t>R-922181</t>
  </si>
  <si>
    <t>R-922165</t>
  </si>
  <si>
    <t>R-922045</t>
  </si>
  <si>
    <t>R-923149</t>
  </si>
  <si>
    <t>R-921549</t>
  </si>
  <si>
    <t>R-921638</t>
  </si>
  <si>
    <t>R-921907</t>
  </si>
  <si>
    <t>R-923243</t>
  </si>
  <si>
    <t>R-923106</t>
  </si>
  <si>
    <t>R-930936</t>
  </si>
  <si>
    <t>R-923207</t>
  </si>
  <si>
    <t>R-931335</t>
  </si>
  <si>
    <t>R-930898</t>
  </si>
  <si>
    <t>R-922209</t>
  </si>
  <si>
    <t>R-923565</t>
  </si>
  <si>
    <t>R-930939</t>
  </si>
  <si>
    <t>R-921838</t>
  </si>
  <si>
    <t>R-921824</t>
  </si>
  <si>
    <t>R-922728</t>
  </si>
  <si>
    <t>R-922516</t>
  </si>
  <si>
    <t>R-922854</t>
  </si>
  <si>
    <t>R-931368</t>
  </si>
  <si>
    <t>R-931175</t>
  </si>
  <si>
    <t>R-922048</t>
  </si>
  <si>
    <t>R-920947</t>
  </si>
  <si>
    <t>R-922481</t>
  </si>
  <si>
    <t>R-922466</t>
  </si>
  <si>
    <t>R-922117</t>
  </si>
  <si>
    <t>R-921352</t>
  </si>
  <si>
    <t>R-920895</t>
  </si>
  <si>
    <t>R-922928</t>
  </si>
  <si>
    <t>R-922546</t>
  </si>
  <si>
    <t>R-922570</t>
  </si>
  <si>
    <t>R-922565</t>
  </si>
  <si>
    <t>R-930840</t>
  </si>
  <si>
    <t>R-930831</t>
  </si>
  <si>
    <t>R-923058</t>
  </si>
  <si>
    <t>R-930838</t>
  </si>
  <si>
    <t>R-930834</t>
  </si>
  <si>
    <t>R-930832</t>
  </si>
  <si>
    <t>R-930835</t>
  </si>
  <si>
    <t>R-920894</t>
  </si>
  <si>
    <t>R-930833</t>
  </si>
  <si>
    <t>R-930839</t>
  </si>
  <si>
    <t>R-921084</t>
  </si>
  <si>
    <t>R-930830</t>
  </si>
  <si>
    <t>R-930837</t>
  </si>
  <si>
    <t>R-923356</t>
  </si>
  <si>
    <t>R-930836</t>
  </si>
  <si>
    <t>R-920921</t>
  </si>
  <si>
    <t>R-920893</t>
  </si>
  <si>
    <t>R-923150</t>
  </si>
  <si>
    <t>R-931032</t>
  </si>
  <si>
    <t>R-923144</t>
  </si>
  <si>
    <t>R-931429</t>
  </si>
  <si>
    <t>R-931137</t>
  </si>
  <si>
    <t>R-920935</t>
  </si>
  <si>
    <t>R-920939</t>
  </si>
  <si>
    <t>R-922179</t>
  </si>
  <si>
    <t>R-922190</t>
  </si>
  <si>
    <t>R-922088</t>
  </si>
  <si>
    <t>R-922081</t>
  </si>
  <si>
    <t>R-922765</t>
  </si>
  <si>
    <t>R-922730</t>
  </si>
  <si>
    <t>R-922692</t>
  </si>
  <si>
    <t>R-931315</t>
  </si>
  <si>
    <t>R-931314</t>
  </si>
  <si>
    <t>R-922743</t>
  </si>
  <si>
    <t>R-923313</t>
  </si>
  <si>
    <t>R-921949</t>
  </si>
  <si>
    <t>R-921939</t>
  </si>
  <si>
    <t>R-921940</t>
  </si>
  <si>
    <t>R-921493</t>
  </si>
  <si>
    <t>R-922796</t>
  </si>
  <si>
    <t>R-923495</t>
  </si>
  <si>
    <t>R-931002</t>
  </si>
  <si>
    <t>R-930841</t>
  </si>
  <si>
    <t>R-930829</t>
  </si>
  <si>
    <t>R-921996</t>
  </si>
  <si>
    <t>R-922661</t>
  </si>
  <si>
    <t>R-922451</t>
  </si>
  <si>
    <t>R-931054</t>
  </si>
  <si>
    <t>R-923085</t>
  </si>
  <si>
    <t>R-923083</t>
  </si>
  <si>
    <t>R-923082</t>
  </si>
  <si>
    <t>R-923081</t>
  </si>
  <si>
    <t>R-921895</t>
  </si>
  <si>
    <t>R-931395</t>
  </si>
  <si>
    <t>R-931394</t>
  </si>
  <si>
    <t>R-931383</t>
  </si>
  <si>
    <t>R-931376</t>
  </si>
  <si>
    <t>R-931299</t>
  </si>
  <si>
    <t>R-931041</t>
  </si>
  <si>
    <t>R-923534</t>
  </si>
  <si>
    <t>R-923482</t>
  </si>
  <si>
    <t>R-920953</t>
  </si>
  <si>
    <t>R-922166</t>
  </si>
  <si>
    <t>R-922146</t>
  </si>
  <si>
    <t>R-922438</t>
  </si>
  <si>
    <t>R-920896</t>
  </si>
  <si>
    <t>R-931250</t>
  </si>
  <si>
    <t>R-931249</t>
  </si>
  <si>
    <t>R-930951</t>
  </si>
  <si>
    <t>R-922792</t>
  </si>
  <si>
    <t>R-923330</t>
  </si>
  <si>
    <t>R-931045</t>
  </si>
  <si>
    <t>R-920762</t>
  </si>
  <si>
    <t>R-920749</t>
  </si>
  <si>
    <t>R-931188</t>
  </si>
  <si>
    <t>R-931187</t>
  </si>
  <si>
    <t>R-931184</t>
  </si>
  <si>
    <t>R-930913</t>
  </si>
  <si>
    <t>R-931441</t>
  </si>
  <si>
    <t>R-930899</t>
  </si>
  <si>
    <t>R-922927</t>
  </si>
  <si>
    <t>R-922439</t>
  </si>
  <si>
    <t>R-921083</t>
  </si>
  <si>
    <t>R-921000</t>
  </si>
  <si>
    <t>R-931350</t>
  </si>
  <si>
    <t>R-922213</t>
  </si>
  <si>
    <t>R-931264</t>
  </si>
  <si>
    <t>R-923128</t>
  </si>
  <si>
    <t>R-930862</t>
  </si>
  <si>
    <t>R-922485</t>
  </si>
  <si>
    <t>R-922484</t>
  </si>
  <si>
    <t>R-922745</t>
  </si>
  <si>
    <t>R-922301</t>
  </si>
  <si>
    <t>R-922279</t>
  </si>
  <si>
    <t>R-923022</t>
  </si>
  <si>
    <t>R-923172</t>
  </si>
  <si>
    <t>R-923161</t>
  </si>
  <si>
    <t>R-930854</t>
  </si>
  <si>
    <t>R-930853</t>
  </si>
  <si>
    <t>R-930851</t>
  </si>
  <si>
    <t>R-931451</t>
  </si>
  <si>
    <t>R-931450</t>
  </si>
  <si>
    <t>R-931421</t>
  </si>
  <si>
    <t>R-931417</t>
  </si>
  <si>
    <t>R-923013</t>
  </si>
  <si>
    <t>R-923008</t>
  </si>
  <si>
    <t>R-923006</t>
  </si>
  <si>
    <t>R-923005</t>
  </si>
  <si>
    <t>R-923199</t>
  </si>
  <si>
    <t>R-923189</t>
  </si>
  <si>
    <t>R-923185</t>
  </si>
  <si>
    <t>R-931439</t>
  </si>
  <si>
    <t>R-931432</t>
  </si>
  <si>
    <t>R-922781</t>
  </si>
  <si>
    <t>R-931348</t>
  </si>
  <si>
    <t>R-931284</t>
  </si>
  <si>
    <t>R-931331</t>
  </si>
  <si>
    <t>R-921879</t>
  </si>
  <si>
    <t>R-921911</t>
  </si>
  <si>
    <t>R-921095</t>
  </si>
  <si>
    <t>R-923015</t>
  </si>
  <si>
    <t>R-930869</t>
  </si>
  <si>
    <t>R-921976</t>
  </si>
  <si>
    <t>R-930993</t>
  </si>
  <si>
    <t>R-922051</t>
  </si>
  <si>
    <t>R-923267</t>
  </si>
  <si>
    <t>R-922979</t>
  </si>
  <si>
    <t>R-922915</t>
  </si>
  <si>
    <t>R-922914</t>
  </si>
  <si>
    <t>R-922913</t>
  </si>
  <si>
    <t>R-931199</t>
  </si>
  <si>
    <t>R-930893</t>
  </si>
  <si>
    <t>R-922161</t>
  </si>
  <si>
    <t>R-922869</t>
  </si>
  <si>
    <t>R-922507</t>
  </si>
  <si>
    <t>R-923251</t>
  </si>
  <si>
    <t>R-931444</t>
  </si>
  <si>
    <t>R-922533</t>
  </si>
  <si>
    <t>R-922908</t>
  </si>
  <si>
    <t>R-923192</t>
  </si>
  <si>
    <t>R-923165</t>
  </si>
  <si>
    <t>R-923298</t>
  </si>
  <si>
    <t>R-923274</t>
  </si>
  <si>
    <t>R-931420</t>
  </si>
  <si>
    <t>R-921398</t>
  </si>
  <si>
    <t>R-922253</t>
  </si>
  <si>
    <t>R-921240</t>
  </si>
  <si>
    <t>R-921235</t>
  </si>
  <si>
    <t>R-921133</t>
  </si>
  <si>
    <t>R-922585</t>
  </si>
  <si>
    <t>R-931223</t>
  </si>
  <si>
    <t>R-921210</t>
  </si>
  <si>
    <t>R-921100</t>
  </si>
  <si>
    <t>R-923490</t>
  </si>
  <si>
    <t>R-931287</t>
  </si>
  <si>
    <t>R-931116</t>
  </si>
  <si>
    <t>R-923266</t>
  </si>
  <si>
    <t>R-931108</t>
  </si>
  <si>
    <t>R-921864</t>
  </si>
  <si>
    <t>R-921743</t>
  </si>
  <si>
    <t>R-921652</t>
  </si>
  <si>
    <t>R-922375</t>
  </si>
  <si>
    <t>R-923362</t>
  </si>
  <si>
    <t>R-921508</t>
  </si>
  <si>
    <t>R-922708</t>
  </si>
  <si>
    <t>R-931276</t>
  </si>
  <si>
    <t>R-922725</t>
  </si>
  <si>
    <t>R-922257</t>
  </si>
  <si>
    <t>R-931346</t>
  </si>
  <si>
    <t>R-922262</t>
  </si>
  <si>
    <t>R-931140</t>
  </si>
  <si>
    <t>R-922142</t>
  </si>
  <si>
    <t>R-922969</t>
  </si>
  <si>
    <t>R-931138</t>
  </si>
  <si>
    <t>R-931139</t>
  </si>
  <si>
    <t>R-931283</t>
  </si>
  <si>
    <t>R-923624</t>
  </si>
  <si>
    <t>R-922239</t>
  </si>
  <si>
    <t>R-922590</t>
  </si>
  <si>
    <t>R-923643</t>
  </si>
  <si>
    <t>R-931365</t>
  </si>
  <si>
    <t>R-923626</t>
  </si>
  <si>
    <t>R-931224</t>
  </si>
  <si>
    <t>R-920897</t>
  </si>
  <si>
    <t>R-920888</t>
  </si>
  <si>
    <t>R-920869</t>
  </si>
  <si>
    <t>R-920867</t>
  </si>
  <si>
    <t>R-920860</t>
  </si>
  <si>
    <t>R-922517</t>
  </si>
  <si>
    <t>R-922503</t>
  </si>
  <si>
    <t>R-922489</t>
  </si>
  <si>
    <t>R-923279</t>
  </si>
  <si>
    <t>R-923271</t>
  </si>
  <si>
    <t>R-921769</t>
  </si>
  <si>
    <t>R-923311</t>
  </si>
  <si>
    <t>R-922469</t>
  </si>
  <si>
    <t>R-931148</t>
  </si>
  <si>
    <t>R-921914</t>
  </si>
  <si>
    <t>R-923508</t>
  </si>
  <si>
    <t>R-923456</t>
  </si>
  <si>
    <t>R-922350</t>
  </si>
  <si>
    <t>R-931136</t>
  </si>
  <si>
    <t>R-921534</t>
  </si>
  <si>
    <t>R-922386</t>
  </si>
  <si>
    <t>R-922127</t>
  </si>
  <si>
    <t>R-922195</t>
  </si>
  <si>
    <t>R-921103</t>
  </si>
  <si>
    <t>R-923324</t>
  </si>
  <si>
    <t>R-921301</t>
  </si>
  <si>
    <t>R-921640</t>
  </si>
  <si>
    <t>R-923428</t>
  </si>
  <si>
    <t>R-920814</t>
  </si>
  <si>
    <t>R-920812</t>
  </si>
  <si>
    <t>R-930912</t>
  </si>
  <si>
    <t>R-922628</t>
  </si>
  <si>
    <t>R-923351</t>
  </si>
  <si>
    <t>R-930974</t>
  </si>
  <si>
    <t>R-921431</t>
  </si>
  <si>
    <t>R-931057</t>
  </si>
  <si>
    <t>R-930820</t>
  </si>
  <si>
    <t>R-931291</t>
  </si>
  <si>
    <t>R-922871</t>
  </si>
  <si>
    <t>R-931176</t>
  </si>
  <si>
    <t>R-922892</t>
  </si>
  <si>
    <t>R-920847</t>
  </si>
  <si>
    <t>R-921482</t>
  </si>
  <si>
    <t>R-922201</t>
  </si>
  <si>
    <t>R-921816</t>
  </si>
  <si>
    <t>R-921821</t>
  </si>
  <si>
    <t>R-921562</t>
  </si>
  <si>
    <t>R-931208</t>
  </si>
  <si>
    <t>R-931200</t>
  </si>
  <si>
    <t>R-931197</t>
  </si>
  <si>
    <t>R-931177</t>
  </si>
  <si>
    <t>R-922431</t>
  </si>
  <si>
    <t>R-922486</t>
  </si>
  <si>
    <t>R-923564</t>
  </si>
  <si>
    <t>R-921207</t>
  </si>
  <si>
    <t>R-931405</t>
  </si>
  <si>
    <t>R-920689</t>
  </si>
  <si>
    <t>R-922866</t>
  </si>
  <si>
    <t>R-931037</t>
  </si>
  <si>
    <t>R-921350</t>
  </si>
  <si>
    <t>R-921320</t>
  </si>
  <si>
    <t>R-921459</t>
  </si>
  <si>
    <t>R-921209</t>
  </si>
  <si>
    <t>R-921055</t>
  </si>
  <si>
    <t>R-921370</t>
  </si>
  <si>
    <t>R-923323</t>
  </si>
  <si>
    <t>R-922798</t>
  </si>
  <si>
    <t>R-923219</t>
  </si>
  <si>
    <t>R-923218</t>
  </si>
  <si>
    <t>R-920787</t>
  </si>
  <si>
    <t>R-922150</t>
  </si>
  <si>
    <t>R-922997</t>
  </si>
  <si>
    <t>R-921328</t>
  </si>
  <si>
    <t>R-921884</t>
  </si>
  <si>
    <t>R-922044</t>
  </si>
  <si>
    <t>R-922377</t>
  </si>
  <si>
    <t>R-922366</t>
  </si>
  <si>
    <t>R-923699</t>
  </si>
  <si>
    <t>R-923697</t>
  </si>
  <si>
    <t>R-923691</t>
  </si>
  <si>
    <t>R-923684</t>
  </si>
  <si>
    <t>R-923681</t>
  </si>
  <si>
    <t>R-923677</t>
  </si>
  <si>
    <t>R-923675</t>
  </si>
  <si>
    <t>R-923656</t>
  </si>
  <si>
    <t>R-923641</t>
  </si>
  <si>
    <t>R-923568</t>
  </si>
  <si>
    <t>R-921330</t>
  </si>
  <si>
    <t>R-930863</t>
  </si>
  <si>
    <t>R-921355</t>
  </si>
  <si>
    <t>R-921354</t>
  </si>
  <si>
    <t>R-922925</t>
  </si>
  <si>
    <t>R-923341</t>
  </si>
  <si>
    <t>R-930886</t>
  </si>
  <si>
    <t>R-921437</t>
  </si>
  <si>
    <t>R-930874</t>
  </si>
  <si>
    <t>R-922881</t>
  </si>
  <si>
    <t>R-931372</t>
  </si>
  <si>
    <t>R-931017</t>
  </si>
  <si>
    <t>R-921655</t>
  </si>
  <si>
    <t>R-921654</t>
  </si>
  <si>
    <t>R-921887</t>
  </si>
  <si>
    <t>R-923479</t>
  </si>
  <si>
    <t>R-931321</t>
  </si>
  <si>
    <t>R-923558</t>
  </si>
  <si>
    <t>R-931438</t>
  </si>
  <si>
    <t>R-931437</t>
  </si>
  <si>
    <t>R-921890</t>
  </si>
  <si>
    <t>R-922873</t>
  </si>
  <si>
    <t>R-924610</t>
  </si>
  <si>
    <t>R-924550</t>
  </si>
  <si>
    <t>R-922572</t>
  </si>
  <si>
    <t>R-923491</t>
  </si>
  <si>
    <t>R-921524</t>
  </si>
  <si>
    <t>R-921808</t>
  </si>
  <si>
    <t>R-922370</t>
  </si>
  <si>
    <t>R-922343</t>
  </si>
  <si>
    <t>R-923049</t>
  </si>
  <si>
    <t>R-923113</t>
  </si>
  <si>
    <t>R-923129</t>
  </si>
  <si>
    <t>R-931006</t>
  </si>
  <si>
    <t>R-923080</t>
  </si>
  <si>
    <t>R-922263</t>
  </si>
  <si>
    <t>R-923320</t>
  </si>
  <si>
    <t>R-923214</t>
  </si>
  <si>
    <t>R-923180</t>
  </si>
  <si>
    <t>R-922870</t>
  </si>
  <si>
    <t>R-923135</t>
  </si>
  <si>
    <t>R-921420</t>
  </si>
  <si>
    <t>R-921417</t>
  </si>
  <si>
    <t>R-921474</t>
  </si>
  <si>
    <t>R-922544</t>
  </si>
  <si>
    <t>R-921520</t>
  </si>
  <si>
    <t>R-922886</t>
  </si>
  <si>
    <t>R-923029</t>
  </si>
  <si>
    <t>R-931231</t>
  </si>
  <si>
    <t>R-922601</t>
  </si>
  <si>
    <t>R-923625</t>
  </si>
  <si>
    <t>R-922258</t>
  </si>
  <si>
    <t>R-923451</t>
  </si>
  <si>
    <t>R-923488</t>
  </si>
  <si>
    <t>R-922087</t>
  </si>
  <si>
    <t>R-930828</t>
  </si>
  <si>
    <t>R-921369</t>
  </si>
  <si>
    <t>R-923588</t>
  </si>
  <si>
    <t>R-931354</t>
  </si>
  <si>
    <t>R-931298</t>
  </si>
  <si>
    <t>R-922701</t>
  </si>
  <si>
    <t>R-931014</t>
  </si>
  <si>
    <t>R-931156</t>
  </si>
  <si>
    <t>R-923627</t>
  </si>
  <si>
    <t>R-931509</t>
  </si>
  <si>
    <t>R-930917</t>
  </si>
  <si>
    <t>R-920805</t>
  </si>
  <si>
    <t>R-920796</t>
  </si>
  <si>
    <t>R-923127</t>
  </si>
  <si>
    <t>R-922629</t>
  </si>
  <si>
    <t>R-931282</t>
  </si>
  <si>
    <t>R-922282</t>
  </si>
  <si>
    <t>R-920754</t>
  </si>
  <si>
    <t>R-921194</t>
  </si>
  <si>
    <t>R-930865</t>
  </si>
  <si>
    <t>R-923319</t>
  </si>
  <si>
    <t>R-921625</t>
  </si>
  <si>
    <t>R-922681</t>
  </si>
  <si>
    <t>R-931039</t>
  </si>
  <si>
    <t>R-931320</t>
  </si>
  <si>
    <t>R-931202</t>
  </si>
  <si>
    <t>R-931210</t>
  </si>
  <si>
    <t>R-921371</t>
  </si>
  <si>
    <t>R-922627</t>
  </si>
  <si>
    <t>R-923270</t>
  </si>
  <si>
    <t>R-923472</t>
  </si>
  <si>
    <t>R-921289</t>
  </si>
  <si>
    <t>R-922345</t>
  </si>
  <si>
    <t>R-923130</t>
  </si>
  <si>
    <t>R-921552</t>
  </si>
  <si>
    <t>R-921923</t>
  </si>
  <si>
    <t>R-920675</t>
  </si>
  <si>
    <t>R-931173</t>
  </si>
  <si>
    <t>R-931166</t>
  </si>
  <si>
    <t>R-931165</t>
  </si>
  <si>
    <t>R-922221</t>
  </si>
  <si>
    <t>R-931351</t>
  </si>
  <si>
    <t>R-922046</t>
  </si>
  <si>
    <t>R-922047</t>
  </si>
  <si>
    <t>R-922542</t>
  </si>
  <si>
    <t>R-923055</t>
  </si>
  <si>
    <t>R-930880</t>
  </si>
  <si>
    <t>R-923685</t>
  </si>
  <si>
    <t>R-922491</t>
  </si>
  <si>
    <t>R-922541</t>
  </si>
  <si>
    <t>R-922548</t>
  </si>
  <si>
    <t>R-922540</t>
  </si>
  <si>
    <t>R-921385</t>
  </si>
  <si>
    <t>R-921060</t>
  </si>
  <si>
    <t>R-923212</t>
  </si>
  <si>
    <t>R-922739</t>
  </si>
  <si>
    <t>R-922684</t>
  </si>
  <si>
    <t>R-922683</t>
  </si>
  <si>
    <t>R-922488</t>
  </si>
  <si>
    <t>R-923072</t>
  </si>
  <si>
    <t>R-923068</t>
  </si>
  <si>
    <t>R-930881</t>
  </si>
  <si>
    <t>R-921853</t>
  </si>
  <si>
    <t>R-923043</t>
  </si>
  <si>
    <t>R-931412</t>
  </si>
  <si>
    <t>R-931411</t>
  </si>
  <si>
    <t>R-922574</t>
  </si>
  <si>
    <t>R-922272</t>
  </si>
  <si>
    <t>R-930872</t>
  </si>
  <si>
    <t>R-923064</t>
  </si>
  <si>
    <t>R-922151</t>
  </si>
  <si>
    <t>R-922483</t>
  </si>
  <si>
    <t>R-922228</t>
  </si>
  <si>
    <t>R-922909</t>
  </si>
  <si>
    <t>R-923140</t>
  </si>
  <si>
    <t>R-922696</t>
  </si>
  <si>
    <t>R-922907</t>
  </si>
  <si>
    <t>R-922621</t>
  </si>
  <si>
    <t>R-921287</t>
  </si>
  <si>
    <t>R-921425</t>
  </si>
  <si>
    <t>R-922024</t>
  </si>
  <si>
    <t>R-930866</t>
  </si>
  <si>
    <t>R-923567</t>
  </si>
  <si>
    <t>R-921481</t>
  </si>
  <si>
    <t>R-921600</t>
  </si>
  <si>
    <t>R-921596</t>
  </si>
  <si>
    <t>R-930909</t>
  </si>
  <si>
    <t>R-922157</t>
  </si>
  <si>
    <t>R-923605</t>
  </si>
  <si>
    <t>R-923637</t>
  </si>
  <si>
    <t>R-930908</t>
  </si>
  <si>
    <t>R-922918</t>
  </si>
  <si>
    <t>R-923263</t>
  </si>
  <si>
    <t>R-930926</t>
  </si>
  <si>
    <t>R-930819</t>
  </si>
  <si>
    <t>R-931413</t>
  </si>
  <si>
    <t>R-931418</t>
  </si>
  <si>
    <t>R-931388</t>
  </si>
  <si>
    <t>R-931381</t>
  </si>
  <si>
    <t>R-923235</t>
  </si>
  <si>
    <t>R-931419</t>
  </si>
  <si>
    <t>R-923211</t>
  </si>
  <si>
    <t>R-922323</t>
  </si>
  <si>
    <t>R-931452</t>
  </si>
  <si>
    <t>R-922862</t>
  </si>
  <si>
    <t>R-922286</t>
  </si>
  <si>
    <t>R-930902</t>
  </si>
  <si>
    <t>R-931446</t>
  </si>
  <si>
    <t>R-931440</t>
  </si>
  <si>
    <t>R-922219</t>
  </si>
  <si>
    <t>R-922858</t>
  </si>
  <si>
    <t>R-923230</t>
  </si>
  <si>
    <t>R-920952</t>
  </si>
  <si>
    <t>R-922999</t>
  </si>
  <si>
    <t>R-921243</t>
  </si>
  <si>
    <t>R-922326</t>
  </si>
  <si>
    <t>R-931242</t>
  </si>
  <si>
    <t>R-922223</t>
  </si>
  <si>
    <t>R-931267</t>
  </si>
  <si>
    <t>R-931332</t>
  </si>
  <si>
    <t>R-922555</t>
  </si>
  <si>
    <t>R-921404</t>
  </si>
  <si>
    <t>R-931325</t>
  </si>
  <si>
    <t>R-931115</t>
  </si>
  <si>
    <t>R-921314</t>
  </si>
  <si>
    <t>R-921312</t>
  </si>
  <si>
    <t>R-921311</t>
  </si>
  <si>
    <t>R-922943</t>
  </si>
  <si>
    <t>R-922942</t>
  </si>
  <si>
    <t>R-922532</t>
  </si>
  <si>
    <t>R-931013</t>
  </si>
  <si>
    <t>R-922238</t>
  </si>
  <si>
    <t>R-922593</t>
  </si>
  <si>
    <t>R-931050</t>
  </si>
  <si>
    <t>R-931322</t>
  </si>
  <si>
    <t>R-931407</t>
  </si>
  <si>
    <t>R-931024</t>
  </si>
  <si>
    <t>R-922864</t>
  </si>
  <si>
    <t>R-921412</t>
  </si>
  <si>
    <t>R-921414</t>
  </si>
  <si>
    <t>R-921409</t>
  </si>
  <si>
    <t>R-921406</t>
  </si>
  <si>
    <t>R-921405</t>
  </si>
  <si>
    <t>R-921399</t>
  </si>
  <si>
    <t>R-922853</t>
  </si>
  <si>
    <t>R-922852</t>
  </si>
  <si>
    <t>R-922840</t>
  </si>
  <si>
    <t>R-922826</t>
  </si>
  <si>
    <t>R-922080</t>
  </si>
  <si>
    <t>R-923245</t>
  </si>
  <si>
    <t>R-923048</t>
  </si>
  <si>
    <t>R-921848</t>
  </si>
  <si>
    <t>R-922636</t>
  </si>
  <si>
    <t>R-931214</t>
  </si>
  <si>
    <t>R-930821</t>
  </si>
  <si>
    <t>R-931060</t>
  </si>
  <si>
    <t>R-922341</t>
  </si>
  <si>
    <t>R-922932</t>
  </si>
  <si>
    <t>R-923632</t>
  </si>
  <si>
    <t>R-920987</t>
  </si>
  <si>
    <t>R-920943</t>
  </si>
  <si>
    <t>R-921758</t>
  </si>
  <si>
    <t>R-922689</t>
  </si>
  <si>
    <t>R-922583</t>
  </si>
  <si>
    <t>R-922352</t>
  </si>
  <si>
    <t>R-920995</t>
  </si>
  <si>
    <t>R-920991</t>
  </si>
  <si>
    <t>R-922877</t>
  </si>
  <si>
    <t>R-923104</t>
  </si>
  <si>
    <t>R-923695</t>
  </si>
  <si>
    <t>R-920683</t>
  </si>
  <si>
    <t>R-921588</t>
  </si>
  <si>
    <t>R-921187</t>
  </si>
  <si>
    <t>R-921896</t>
  </si>
  <si>
    <t>R-930984</t>
  </si>
  <si>
    <t>R-923610</t>
  </si>
  <si>
    <t>R-920676</t>
  </si>
  <si>
    <t>R-923047</t>
  </si>
  <si>
    <t>R-923463</t>
  </si>
  <si>
    <t>R-922311</t>
  </si>
  <si>
    <t>R-930826</t>
  </si>
  <si>
    <t>R-931324</t>
  </si>
  <si>
    <t>R-923003</t>
  </si>
  <si>
    <t>R-920963</t>
  </si>
  <si>
    <t>R-921426</t>
  </si>
  <si>
    <t>R-922292</t>
  </si>
  <si>
    <t>R-931293</t>
  </si>
  <si>
    <t>R-923434</t>
  </si>
  <si>
    <t>R-921517</t>
  </si>
  <si>
    <t>R-921515</t>
  </si>
  <si>
    <t>R-922740</t>
  </si>
  <si>
    <t>R-922971</t>
  </si>
  <si>
    <t>R-923041</t>
  </si>
  <si>
    <t>R-923040</t>
  </si>
  <si>
    <t>R-931225</t>
  </si>
  <si>
    <t>R-921886</t>
  </si>
  <si>
    <t>R-921982</t>
  </si>
  <si>
    <t>R-921958</t>
  </si>
  <si>
    <t>R-921898</t>
  </si>
  <si>
    <t>R-931410</t>
  </si>
  <si>
    <t>R-922015</t>
  </si>
  <si>
    <t>R-930770</t>
  </si>
  <si>
    <t>R-921450</t>
  </si>
  <si>
    <t>R-930999</t>
  </si>
  <si>
    <t>R-922004</t>
  </si>
  <si>
    <t>R-920685</t>
  </si>
  <si>
    <t>R-921903</t>
  </si>
  <si>
    <t>R-921513</t>
  </si>
  <si>
    <t>R-921512</t>
  </si>
  <si>
    <t>R-921309</t>
  </si>
  <si>
    <t>R-930822</t>
  </si>
  <si>
    <t>R-922814</t>
  </si>
  <si>
    <t>R-923615</t>
  </si>
  <si>
    <t>R-922687</t>
  </si>
  <si>
    <t>R-923097</t>
  </si>
  <si>
    <t>R-921877</t>
  </si>
  <si>
    <t>R-922841</t>
  </si>
  <si>
    <t>R-922244</t>
  </si>
  <si>
    <t>R-923261</t>
  </si>
  <si>
    <t>R-922482</t>
  </si>
  <si>
    <t>R-923595</t>
  </si>
  <si>
    <t>R-921368</t>
  </si>
  <si>
    <t>R-931144</t>
  </si>
  <si>
    <t>R-922518</t>
  </si>
  <si>
    <t>R-931312</t>
  </si>
  <si>
    <t>R-930961</t>
  </si>
  <si>
    <t>R-923600</t>
  </si>
  <si>
    <t>R-922680</t>
  </si>
  <si>
    <t>R-922303</t>
  </si>
  <si>
    <t>R-922053</t>
  </si>
  <si>
    <t>R-922049</t>
  </si>
  <si>
    <t>R-922917</t>
  </si>
  <si>
    <t>R-922251</t>
  </si>
  <si>
    <t>R-920892</t>
  </si>
  <si>
    <t>R-920875</t>
  </si>
  <si>
    <t>R-920871</t>
  </si>
  <si>
    <t>R-921495</t>
  </si>
  <si>
    <t>R-931453</t>
  </si>
  <si>
    <t>R-923151</t>
  </si>
  <si>
    <t>R-922998</t>
  </si>
  <si>
    <t>R-922994</t>
  </si>
  <si>
    <t>R-930864</t>
  </si>
  <si>
    <t>R-922564</t>
  </si>
  <si>
    <t>R-923682</t>
  </si>
  <si>
    <t>R-921615</t>
  </si>
  <si>
    <t>R-931387</t>
  </si>
  <si>
    <t>R-922613</t>
  </si>
  <si>
    <t>R-922950</t>
  </si>
  <si>
    <t>R-922194</t>
  </si>
  <si>
    <t>R-931076</t>
  </si>
  <si>
    <t>R-923597</t>
  </si>
  <si>
    <t>R-920986</t>
  </si>
  <si>
    <t>R-920985</t>
  </si>
  <si>
    <t>R-922008</t>
  </si>
  <si>
    <t>R-922002</t>
  </si>
  <si>
    <t>R-923186</t>
  </si>
  <si>
    <t>R-930868</t>
  </si>
  <si>
    <t>R-923531</t>
  </si>
  <si>
    <t>R-923160</t>
  </si>
  <si>
    <t>R-922236</t>
  </si>
  <si>
    <t>R-922235</t>
  </si>
  <si>
    <t>R-923035</t>
  </si>
  <si>
    <t>R-923115</t>
  </si>
  <si>
    <t>R-922619</t>
  </si>
  <si>
    <t>R-921299</t>
  </si>
  <si>
    <t>R-923524</t>
  </si>
  <si>
    <t>R-923532</t>
  </si>
  <si>
    <t>R-923443</t>
  </si>
  <si>
    <t>R-921442</t>
  </si>
  <si>
    <t>R-921441</t>
  </si>
  <si>
    <t>R-923018</t>
  </si>
  <si>
    <t>R-923533</t>
  </si>
  <si>
    <t>R-920863</t>
  </si>
  <si>
    <t>R-921034</t>
  </si>
  <si>
    <t>R-922342</t>
  </si>
  <si>
    <t>R-921451</t>
  </si>
  <si>
    <t>R-922921</t>
  </si>
  <si>
    <t>R-922447</t>
  </si>
  <si>
    <t>R-922926</t>
  </si>
  <si>
    <t>R-922184</t>
  </si>
  <si>
    <t>R-922289</t>
  </si>
  <si>
    <t>R-923497</t>
  </si>
  <si>
    <t>R-930861</t>
  </si>
  <si>
    <t>R-930857</t>
  </si>
  <si>
    <t>R-921757</t>
  </si>
  <si>
    <t>R-923157</t>
  </si>
  <si>
    <t>R-922616</t>
  </si>
  <si>
    <t>R-923457</t>
  </si>
  <si>
    <t>R-920900</t>
  </si>
  <si>
    <t>R-923102</t>
  </si>
  <si>
    <t>R-931342</t>
  </si>
  <si>
    <t>R-930891</t>
  </si>
  <si>
    <t>R-923702</t>
  </si>
  <si>
    <t>R-923155</t>
  </si>
  <si>
    <t>R-922363</t>
  </si>
  <si>
    <t>R-922922</t>
  </si>
  <si>
    <t>R-922726</t>
  </si>
  <si>
    <t>R-922714</t>
  </si>
  <si>
    <t>R-931261</t>
  </si>
  <si>
    <t>R-922700</t>
  </si>
  <si>
    <t>R-923239</t>
  </si>
  <si>
    <t>R-930925</t>
  </si>
  <si>
    <t>R-921361</t>
  </si>
  <si>
    <t>R-922727</t>
  </si>
  <si>
    <t>R-923255</t>
  </si>
  <si>
    <t>R-922763</t>
  </si>
  <si>
    <t>R-923100</t>
  </si>
  <si>
    <t>R-923191</t>
  </si>
  <si>
    <t>R-920901</t>
  </si>
  <si>
    <t>R-931042</t>
  </si>
  <si>
    <t>R-931154</t>
  </si>
  <si>
    <t>R-923293</t>
  </si>
  <si>
    <t>R-931043</t>
  </si>
  <si>
    <t>R-922762</t>
  </si>
  <si>
    <t>R-921800</t>
  </si>
  <si>
    <t>R-930867</t>
  </si>
  <si>
    <t>R-922657</t>
  </si>
  <si>
    <t>R-921035</t>
  </si>
  <si>
    <t>R-921374</t>
  </si>
  <si>
    <t>R-922222</t>
  </si>
  <si>
    <t>R-922656</t>
  </si>
  <si>
    <t>R-923444</t>
  </si>
  <si>
    <t>R-923441</t>
  </si>
  <si>
    <t>R-922091</t>
  </si>
  <si>
    <t>R-921507</t>
  </si>
  <si>
    <t>R-930877</t>
  </si>
  <si>
    <t>R-930876</t>
  </si>
  <si>
    <t>R-930875</t>
  </si>
  <si>
    <t>R-923282</t>
  </si>
  <si>
    <t>R-931035</t>
  </si>
  <si>
    <t>R-922660</t>
  </si>
  <si>
    <t>R-921044</t>
  </si>
  <si>
    <t>R-923123</t>
  </si>
  <si>
    <t>R-923698</t>
  </si>
  <si>
    <t>R-922650</t>
  </si>
  <si>
    <t>R-921630</t>
  </si>
  <si>
    <t>R-923562</t>
  </si>
  <si>
    <t>R-931353</t>
  </si>
  <si>
    <t>R-922319</t>
  </si>
  <si>
    <t>R-921475</t>
  </si>
  <si>
    <t>R-923037</t>
  </si>
  <si>
    <t>R-923036</t>
  </si>
  <si>
    <t>R-923034</t>
  </si>
  <si>
    <t>R-923553</t>
  </si>
  <si>
    <t>R-920922</t>
  </si>
  <si>
    <t>R-931142</t>
  </si>
  <si>
    <t>R-922750</t>
  </si>
  <si>
    <t>R-931063</t>
  </si>
  <si>
    <t>R-921452</t>
  </si>
  <si>
    <t>R-922665</t>
  </si>
  <si>
    <t>R-922582</t>
  </si>
  <si>
    <t>R-921523</t>
  </si>
  <si>
    <t>R-931119</t>
  </si>
  <si>
    <t>R-923187</t>
  </si>
  <si>
    <t>R-922916</t>
  </si>
  <si>
    <t>R-931106</t>
  </si>
  <si>
    <t>R-923095</t>
  </si>
  <si>
    <t>R-922280</t>
  </si>
  <si>
    <t>R-931133</t>
  </si>
  <si>
    <t>R-922587</t>
  </si>
  <si>
    <t>R-931183</t>
  </si>
  <si>
    <t>R-921415</t>
  </si>
  <si>
    <t>R-923590</t>
  </si>
  <si>
    <t>R-922296</t>
  </si>
  <si>
    <t>R-921109</t>
  </si>
  <si>
    <t>R-922295</t>
  </si>
  <si>
    <t>R-923518</t>
  </si>
  <si>
    <t>R-921453</t>
  </si>
  <si>
    <t>R-923587</t>
  </si>
  <si>
    <t>R-931021</t>
  </si>
  <si>
    <t>R-923581</t>
  </si>
  <si>
    <t>R-923787</t>
  </si>
  <si>
    <t>R-923591</t>
  </si>
  <si>
    <t>R-922716</t>
  </si>
  <si>
    <t>R-922707</t>
  </si>
  <si>
    <t>R-922346</t>
  </si>
  <si>
    <t>R-931121</t>
  </si>
  <si>
    <t>R-920688</t>
  </si>
  <si>
    <t>R-921302</t>
  </si>
  <si>
    <t>R-921467</t>
  </si>
  <si>
    <t>R-922156</t>
  </si>
  <si>
    <t>R-921617</t>
  </si>
  <si>
    <t>R-923142</t>
  </si>
  <si>
    <t>R-931396</t>
  </si>
  <si>
    <t>R-931467</t>
  </si>
  <si>
    <t>R-921614</t>
  </si>
  <si>
    <t>R-921116</t>
  </si>
  <si>
    <t>R-923101</t>
  </si>
  <si>
    <t>R-930882</t>
  </si>
  <si>
    <t>R-931178</t>
  </si>
  <si>
    <t>R-930873</t>
  </si>
  <si>
    <t>R-922847</t>
  </si>
  <si>
    <t>R-931110</t>
  </si>
  <si>
    <t>R-921908</t>
  </si>
  <si>
    <t>R-922259</t>
  </si>
  <si>
    <t>R-922254</t>
  </si>
  <si>
    <t>R-930850</t>
  </si>
  <si>
    <t>R-922838</t>
  </si>
  <si>
    <t>R-922837</t>
  </si>
  <si>
    <t>R-923563</t>
  </si>
  <si>
    <t>R-931375</t>
  </si>
  <si>
    <t>R-930941</t>
  </si>
  <si>
    <t>R-930920</t>
  </si>
  <si>
    <t>R-930971</t>
  </si>
  <si>
    <t>R-931198</t>
  </si>
  <si>
    <t>R-923633</t>
  </si>
  <si>
    <t>R-921325</t>
  </si>
  <si>
    <t>R-921932</t>
  </si>
  <si>
    <t>R-923016</t>
  </si>
  <si>
    <t>R-922697</t>
  </si>
  <si>
    <t>R-922934</t>
  </si>
  <si>
    <t>R-921126</t>
  </si>
  <si>
    <t>R-922882</t>
  </si>
  <si>
    <t>R-931046</t>
  </si>
  <si>
    <t>R-931031</t>
  </si>
  <si>
    <t>R-921814</t>
  </si>
  <si>
    <t>R-923509</t>
  </si>
  <si>
    <t>R-931193</t>
  </si>
  <si>
    <t>R-931230</t>
  </si>
  <si>
    <t>R-922573</t>
  </si>
  <si>
    <t>R-922369</t>
  </si>
  <si>
    <t>R-922409</t>
  </si>
  <si>
    <t>R-923089</t>
  </si>
  <si>
    <t>R-922487</t>
  </si>
  <si>
    <t>R-922218</t>
  </si>
  <si>
    <t>R-922212</t>
  </si>
  <si>
    <t>R-922143</t>
  </si>
  <si>
    <t>R-923112</t>
  </si>
  <si>
    <t>R-922423</t>
  </si>
  <si>
    <t>R-931442</t>
  </si>
  <si>
    <t>R-923136</t>
  </si>
  <si>
    <t>R-922933</t>
  </si>
  <si>
    <t>R-923122</t>
  </si>
  <si>
    <t>R-923091</t>
  </si>
  <si>
    <t>R-922090</t>
  </si>
  <si>
    <t>R-931109</t>
  </si>
  <si>
    <t>R-931275</t>
  </si>
  <si>
    <t>R-931274</t>
  </si>
  <si>
    <t>R-922878</t>
  </si>
  <si>
    <t>R-922198</t>
  </si>
  <si>
    <t>R-923510</t>
  </si>
  <si>
    <t>R-923505</t>
  </si>
  <si>
    <t>R-922079</t>
  </si>
  <si>
    <t>R-931294</t>
  </si>
  <si>
    <t>R-920677</t>
  </si>
  <si>
    <t>R-922145</t>
  </si>
  <si>
    <t>R-931380</t>
  </si>
  <si>
    <t>R-922287</t>
  </si>
  <si>
    <t>R-922281</t>
  </si>
  <si>
    <t>R-922744</t>
  </si>
  <si>
    <t>R-923105</t>
  </si>
  <si>
    <t>R-920694</t>
  </si>
  <si>
    <t>R-924076</t>
  </si>
  <si>
    <t>R-922011</t>
  </si>
  <si>
    <t>R-931379</t>
  </si>
  <si>
    <t>R-931307</t>
  </si>
  <si>
    <t>R-922822</t>
  </si>
  <si>
    <t>R-920820</t>
  </si>
  <si>
    <t>R-922666</t>
  </si>
  <si>
    <t>R-923173</t>
  </si>
  <si>
    <t>R-922327</t>
  </si>
  <si>
    <t>R-921277</t>
  </si>
  <si>
    <t>R-921553</t>
  </si>
  <si>
    <t>R-923582</t>
  </si>
  <si>
    <t>R-921915</t>
  </si>
  <si>
    <t>R-922214</t>
  </si>
  <si>
    <t>R-923131</t>
  </si>
  <si>
    <t>R-923295</t>
  </si>
  <si>
    <t>R-923268</t>
  </si>
  <si>
    <t>R-921220</t>
  </si>
  <si>
    <t>R-930916</t>
  </si>
  <si>
    <t>R-921216</t>
  </si>
  <si>
    <t>R-921221</t>
  </si>
  <si>
    <t>R-920678</t>
  </si>
  <si>
    <t>R-930900</t>
  </si>
  <si>
    <t>R-921394</t>
  </si>
  <si>
    <t>R-921393</t>
  </si>
  <si>
    <t>R-921392</t>
  </si>
  <si>
    <t>R-921498</t>
  </si>
  <si>
    <t>R-921497</t>
  </si>
  <si>
    <t>R-921496</t>
  </si>
  <si>
    <t>R-930871</t>
  </si>
  <si>
    <t>R-931092</t>
  </si>
  <si>
    <t>R-931084</t>
  </si>
  <si>
    <t>R-922890</t>
  </si>
  <si>
    <t>R-921090</t>
  </si>
  <si>
    <t>R-930901</t>
  </si>
  <si>
    <t>R-922467</t>
  </si>
  <si>
    <t>R-921151</t>
  </si>
  <si>
    <t>R-922842</t>
  </si>
  <si>
    <t>R-930910</t>
  </si>
  <si>
    <t>R-921885</t>
  </si>
  <si>
    <t>R-930816</t>
  </si>
  <si>
    <t>R-930849</t>
  </si>
  <si>
    <t>R-930848</t>
  </si>
  <si>
    <t>R-930847</t>
  </si>
  <si>
    <t>R-930846</t>
  </si>
  <si>
    <t>R-930845</t>
  </si>
  <si>
    <t>R-930844</t>
  </si>
  <si>
    <t>R-921499</t>
  </si>
  <si>
    <t>R-923046</t>
  </si>
  <si>
    <t>R-920940</t>
  </si>
  <si>
    <t>R-921413</t>
  </si>
  <si>
    <t>R-930960</t>
  </si>
  <si>
    <t>R-921446</t>
  </si>
  <si>
    <t>R-922883</t>
  </si>
  <si>
    <t>R-920876</t>
  </si>
  <si>
    <t>R-922591</t>
  </si>
  <si>
    <t>R-931280</t>
  </si>
  <si>
    <t>R-921269</t>
  </si>
  <si>
    <t>R-922365</t>
  </si>
  <si>
    <t>R-930856</t>
  </si>
  <si>
    <t>R-921627</t>
  </si>
  <si>
    <t>R-921594</t>
  </si>
  <si>
    <t>R-922385</t>
  </si>
  <si>
    <t>R-922446</t>
  </si>
  <si>
    <t>R-921332</t>
  </si>
  <si>
    <t>R-922505</t>
  </si>
  <si>
    <t>R-923328</t>
  </si>
  <si>
    <t>R-920744</t>
  </si>
  <si>
    <t>R-923184</t>
  </si>
  <si>
    <t>R-931216</t>
  </si>
  <si>
    <t>R-923045</t>
  </si>
  <si>
    <t>R-923044</t>
  </si>
  <si>
    <t>R-920917</t>
  </si>
  <si>
    <t>R-920915</t>
  </si>
  <si>
    <t>R-923216</t>
  </si>
  <si>
    <t>R-930843</t>
  </si>
  <si>
    <t>R-923606</t>
  </si>
  <si>
    <t>R-921783</t>
  </si>
  <si>
    <t>R-923540</t>
  </si>
  <si>
    <t>R-921586</t>
  </si>
  <si>
    <t>R-931318</t>
  </si>
  <si>
    <t>R-922310</t>
  </si>
  <si>
    <t>R-922309</t>
  </si>
  <si>
    <t>R-923284</t>
  </si>
  <si>
    <t>R-921336</t>
  </si>
  <si>
    <t>R-921304</t>
  </si>
  <si>
    <t>R-930825</t>
  </si>
  <si>
    <t>R-930824</t>
  </si>
  <si>
    <t>R-931019</t>
  </si>
  <si>
    <t>R-922618</t>
  </si>
  <si>
    <t>R-922098</t>
  </si>
  <si>
    <t>R-921305</t>
  </si>
  <si>
    <t>R-931071</t>
  </si>
  <si>
    <t>R-923215</t>
  </si>
  <si>
    <t>R-931073</t>
  </si>
  <si>
    <t>R-931155</t>
  </si>
  <si>
    <t>R-930859</t>
  </si>
  <si>
    <t>R-921360</t>
  </si>
  <si>
    <t>R-923217</t>
  </si>
  <si>
    <t>R-922635</t>
  </si>
  <si>
    <t>R-931072</t>
  </si>
  <si>
    <t>R-923607</t>
  </si>
  <si>
    <t>R-923561</t>
  </si>
  <si>
    <t>R-923560</t>
  </si>
  <si>
    <t>R-921058</t>
  </si>
  <si>
    <t>R-921053</t>
  </si>
  <si>
    <t>R-921935</t>
  </si>
  <si>
    <t>R-920906</t>
  </si>
  <si>
    <t>R-931426</t>
  </si>
  <si>
    <t>R-922748</t>
  </si>
  <si>
    <t>R-931186</t>
  </si>
  <si>
    <t>R-923687</t>
  </si>
  <si>
    <t>R-931221</t>
  </si>
  <si>
    <t>R-922706</t>
  </si>
  <si>
    <t>R-930879</t>
  </si>
  <si>
    <t>R-930878</t>
  </si>
  <si>
    <t>R-931406</t>
  </si>
  <si>
    <t>R-931403</t>
  </si>
  <si>
    <t>R-923332</t>
  </si>
  <si>
    <t>R-931085</t>
  </si>
  <si>
    <t>R-931077</t>
  </si>
  <si>
    <t>R-931074</t>
  </si>
  <si>
    <t>R-920716</t>
  </si>
  <si>
    <t>R-921500</t>
  </si>
  <si>
    <t>R-921486</t>
  </si>
  <si>
    <t>R-921483</t>
  </si>
  <si>
    <t>R-922328</t>
  </si>
  <si>
    <t>R-922265</t>
  </si>
  <si>
    <t>R-923696</t>
  </si>
  <si>
    <t>R-923673</t>
  </si>
  <si>
    <t>R-923143</t>
  </si>
  <si>
    <t>R-921266</t>
  </si>
  <si>
    <t>R-922778</t>
  </si>
  <si>
    <t>R-931126</t>
  </si>
  <si>
    <t>R-923158</t>
  </si>
  <si>
    <t>R-931336</t>
  </si>
  <si>
    <t>R-922789</t>
  </si>
  <si>
    <t>R-922418</t>
  </si>
  <si>
    <t>R-923196</t>
  </si>
  <si>
    <t>R-931382</t>
  </si>
  <si>
    <t>R-923223</t>
  </si>
  <si>
    <t>R-923690</t>
  </si>
  <si>
    <t>R-923689</t>
  </si>
  <si>
    <t>R-923688</t>
  </si>
  <si>
    <t>R-931328</t>
  </si>
  <si>
    <t>R-931268</t>
  </si>
  <si>
    <t>R-922537</t>
  </si>
  <si>
    <t>R-922529</t>
  </si>
  <si>
    <t>R-922799</t>
  </si>
  <si>
    <t>R-922938</t>
  </si>
  <si>
    <t>R-931302</t>
  </si>
  <si>
    <t>R-921807</t>
  </si>
  <si>
    <t>R-922461</t>
  </si>
  <si>
    <t>R-923353</t>
  </si>
  <si>
    <t>R-921290</t>
  </si>
  <si>
    <t>R-923566</t>
  </si>
  <si>
    <t>R-931158</t>
  </si>
  <si>
    <t>R-921362</t>
  </si>
  <si>
    <t>R-922050</t>
  </si>
  <si>
    <t>R-923220</t>
  </si>
  <si>
    <t>R-922887</t>
  </si>
  <si>
    <t>R-922359</t>
  </si>
  <si>
    <t>R-922702</t>
  </si>
  <si>
    <t>R-922356</t>
  </si>
  <si>
    <t>R-922355</t>
  </si>
  <si>
    <t>R-921202</t>
  </si>
  <si>
    <t>R-921780</t>
  </si>
  <si>
    <t>R-922549</t>
  </si>
  <si>
    <t>R-923526</t>
  </si>
  <si>
    <t>R-922794</t>
  </si>
  <si>
    <t>R-922612</t>
  </si>
  <si>
    <t>R-922630</t>
  </si>
  <si>
    <t>R-921349</t>
  </si>
  <si>
    <t>R-921345</t>
  </si>
  <si>
    <t>R-921333</t>
  </si>
  <si>
    <t>R-921644</t>
  </si>
  <si>
    <t>R-921755</t>
  </si>
  <si>
    <t>R-922530</t>
  </si>
  <si>
    <t>R-922671</t>
  </si>
  <si>
    <t>R-923170</t>
  </si>
  <si>
    <t>R-923678</t>
  </si>
  <si>
    <t>R-921298</t>
  </si>
  <si>
    <t>R-930870</t>
  </si>
  <si>
    <t>R-922551</t>
  </si>
  <si>
    <t>R-920866</t>
  </si>
  <si>
    <t>R-922620</t>
  </si>
  <si>
    <t>R-923530</t>
  </si>
  <si>
    <t>R-931341</t>
  </si>
  <si>
    <t>R-922264</t>
  </si>
  <si>
    <t>R-923601</t>
  </si>
  <si>
    <t>R-923583</t>
  </si>
  <si>
    <t>R-930884</t>
  </si>
  <si>
    <t>R-922939</t>
  </si>
  <si>
    <t>R-922364</t>
  </si>
  <si>
    <t>R-931292</t>
  </si>
  <si>
    <t>R-922775</t>
  </si>
  <si>
    <t>R-922108</t>
  </si>
  <si>
    <t>R-931007</t>
  </si>
  <si>
    <t>R-931311</t>
  </si>
  <si>
    <t>R-923007</t>
  </si>
  <si>
    <t>R-922320</t>
  </si>
  <si>
    <t>R-931129</t>
  </si>
  <si>
    <t>R-931257</t>
  </si>
  <si>
    <t>R-931330</t>
  </si>
  <si>
    <t>R-922782</t>
  </si>
  <si>
    <t>R-922811</t>
  </si>
  <si>
    <t>R-920886</t>
  </si>
  <si>
    <t>R-920854</t>
  </si>
  <si>
    <t>R-923329</t>
  </si>
  <si>
    <t>R-921806</t>
  </si>
  <si>
    <t>R-923511</t>
  </si>
  <si>
    <t>R-931192</t>
  </si>
  <si>
    <t>R-923513</t>
  </si>
  <si>
    <t>R-923512</t>
  </si>
  <si>
    <t>R-931286</t>
  </si>
  <si>
    <t>R-923065</t>
  </si>
  <si>
    <t>R-922178</t>
  </si>
  <si>
    <t>R-922171</t>
  </si>
  <si>
    <t>R-931364</t>
  </si>
  <si>
    <t>R-931465</t>
  </si>
  <si>
    <t>R-923026</t>
  </si>
  <si>
    <t>R-923148</t>
  </si>
  <si>
    <t>R-922509</t>
  </si>
  <si>
    <t>R-922690</t>
  </si>
  <si>
    <t>R-921990</t>
  </si>
  <si>
    <t>R-922337</t>
  </si>
  <si>
    <t>R-922893</t>
  </si>
  <si>
    <t>R-921744</t>
  </si>
  <si>
    <t>R-931471</t>
  </si>
  <si>
    <t>R-923693</t>
  </si>
  <si>
    <t>R-922872</t>
  </si>
  <si>
    <t>R-923703</t>
  </si>
  <si>
    <t>R-921893</t>
  </si>
  <si>
    <t>R-921424</t>
  </si>
  <si>
    <t>R-921423</t>
  </si>
  <si>
    <t>R-923611</t>
  </si>
  <si>
    <t>R-920789</t>
  </si>
  <si>
    <t>R-931290</t>
  </si>
  <si>
    <t>R-923492</t>
  </si>
  <si>
    <t>R-931266</t>
  </si>
  <si>
    <t>R-922816</t>
  </si>
  <si>
    <t>R-922552</t>
  </si>
  <si>
    <t>R-922470</t>
  </si>
  <si>
    <t>R-922715</t>
  </si>
  <si>
    <t>R-921367</t>
  </si>
  <si>
    <t>R-922819</t>
  </si>
  <si>
    <t>R-922647</t>
  </si>
  <si>
    <t>R-922876</t>
  </si>
  <si>
    <t>R-923194</t>
  </si>
  <si>
    <t>R-922078</t>
  </si>
  <si>
    <t>R-923262</t>
  </si>
  <si>
    <t>R-922401</t>
  </si>
  <si>
    <t>R-930954</t>
  </si>
  <si>
    <t>R-931180</t>
  </si>
  <si>
    <t>R-922226</t>
  </si>
  <si>
    <t>R-922823</t>
  </si>
  <si>
    <t>R-922856</t>
  </si>
  <si>
    <t>R-923213</t>
  </si>
  <si>
    <t>R-922855</t>
  </si>
  <si>
    <t>R-931070</t>
  </si>
  <si>
    <t>R-931510</t>
  </si>
  <si>
    <t>R-931135</t>
  </si>
  <si>
    <t>R-931134</t>
  </si>
  <si>
    <t>R-931435</t>
  </si>
  <si>
    <t>R-931132</t>
  </si>
  <si>
    <t>R-923090</t>
  </si>
  <si>
    <t>R-922884</t>
  </si>
  <si>
    <t>R-922304</t>
  </si>
  <si>
    <t>R-922569</t>
  </si>
  <si>
    <t>R-923710</t>
  </si>
  <si>
    <t>R-923716</t>
  </si>
  <si>
    <t>R-931125</t>
  </si>
  <si>
    <t>R-931434</t>
  </si>
  <si>
    <t>R-923554</t>
  </si>
  <si>
    <t>R-921428</t>
  </si>
  <si>
    <t>R-922504</t>
  </si>
  <si>
    <t>R-930823</t>
  </si>
  <si>
    <t>R-921167</t>
  </si>
  <si>
    <t>R-923363</t>
  </si>
  <si>
    <t>R-922978</t>
  </si>
  <si>
    <t>R-931427</t>
  </si>
  <si>
    <t>R-922875</t>
  </si>
  <si>
    <t>R-922453</t>
  </si>
  <si>
    <t>R-923762</t>
  </si>
  <si>
    <t>R-923225</t>
  </si>
  <si>
    <t>R-922277</t>
  </si>
  <si>
    <t>R-921771</t>
  </si>
  <si>
    <t>R-922676</t>
  </si>
  <si>
    <t>R-922801</t>
  </si>
  <si>
    <t>R-921186</t>
  </si>
  <si>
    <t>R-921466</t>
  </si>
  <si>
    <t>R-930940</t>
  </si>
  <si>
    <t>R-930930</t>
  </si>
  <si>
    <t>R-931022</t>
  </si>
  <si>
    <t>R-922125</t>
  </si>
  <si>
    <t>R-920964</t>
  </si>
  <si>
    <t>R-920962</t>
  </si>
  <si>
    <t>R-922949</t>
  </si>
  <si>
    <t>R-930800</t>
  </si>
  <si>
    <t>R-931349</t>
  </si>
  <si>
    <t>R-922600</t>
  </si>
  <si>
    <t>R-922599</t>
  </si>
  <si>
    <t>R-922597</t>
  </si>
  <si>
    <t>R-930995</t>
  </si>
  <si>
    <t>R-930992</t>
  </si>
  <si>
    <t>R-922056</t>
  </si>
  <si>
    <t>R-922112</t>
  </si>
  <si>
    <t>R-922082</t>
  </si>
  <si>
    <t>R-923333</t>
  </si>
  <si>
    <t>R-931068</t>
  </si>
  <si>
    <t>R-931147</t>
  </si>
  <si>
    <t>R-930918</t>
  </si>
  <si>
    <t>R-921539</t>
  </si>
  <si>
    <t>R-923493</t>
  </si>
  <si>
    <t>R-923484</t>
  </si>
  <si>
    <t>R-923480</t>
  </si>
  <si>
    <t>R-923469</t>
  </si>
  <si>
    <t>R-931296</t>
  </si>
  <si>
    <t>R-931285</t>
  </si>
  <si>
    <t>R-931273</t>
  </si>
  <si>
    <t>R-931263</t>
  </si>
  <si>
    <t>R-931240</t>
  </si>
  <si>
    <t>R-931239</t>
  </si>
  <si>
    <t>R-921378</t>
  </si>
  <si>
    <t>R-923552</t>
  </si>
  <si>
    <t>R-923786</t>
  </si>
  <si>
    <t>R-923683</t>
  </si>
  <si>
    <t>R-923647</t>
  </si>
  <si>
    <t>R-920731</t>
  </si>
  <si>
    <t>R-922815</t>
  </si>
  <si>
    <t>R-922797</t>
  </si>
  <si>
    <t>R-923361</t>
  </si>
  <si>
    <t>R-920793</t>
  </si>
  <si>
    <t>R-920786</t>
  </si>
  <si>
    <t>R-920781</t>
  </si>
  <si>
    <t>R-921341</t>
  </si>
  <si>
    <t>R-921337</t>
  </si>
  <si>
    <t>R-922007</t>
  </si>
  <si>
    <t>R-922001</t>
  </si>
  <si>
    <t>R-921998</t>
  </si>
  <si>
    <t>R-922203</t>
  </si>
  <si>
    <t>R-923573</t>
  </si>
  <si>
    <t>R-922437</t>
  </si>
  <si>
    <t>R-922425</t>
  </si>
  <si>
    <t>R-922575</t>
  </si>
  <si>
    <t>R-920782</t>
  </si>
  <si>
    <t>R-922646</t>
  </si>
  <si>
    <t>R-921913</t>
  </si>
  <si>
    <t>R-923427</t>
  </si>
  <si>
    <t>R-923426</t>
  </si>
  <si>
    <t>R-921380</t>
  </si>
  <si>
    <t>R-922787</t>
  </si>
  <si>
    <t>R-923052</t>
  </si>
  <si>
    <t>R-922480</t>
  </si>
  <si>
    <t>R-931207</t>
  </si>
  <si>
    <t>R-922638</t>
  </si>
  <si>
    <t>R-921629</t>
  </si>
  <si>
    <t>R-931128</t>
  </si>
  <si>
    <t>R-921253</t>
  </si>
  <si>
    <t>R-922433</t>
  </si>
  <si>
    <t>R-922460</t>
  </si>
  <si>
    <t>R-921003</t>
  </si>
  <si>
    <t>R-921004</t>
  </si>
  <si>
    <t>R-930972</t>
  </si>
  <si>
    <t>R-923241</t>
  </si>
  <si>
    <t>Unit</t>
  </si>
  <si>
    <t>Date</t>
  </si>
  <si>
    <t>Cheque/ Transaction</t>
  </si>
  <si>
    <t>Deposit</t>
  </si>
  <si>
    <t>PR No.</t>
  </si>
  <si>
    <t>Installment type</t>
  </si>
  <si>
    <t>Booking ID</t>
  </si>
  <si>
    <t>Sale type</t>
  </si>
  <si>
    <t>PR Status</t>
  </si>
  <si>
    <t>Total PR Value</t>
  </si>
  <si>
    <t>New Sales PR Value</t>
  </si>
  <si>
    <t>RM</t>
  </si>
  <si>
    <t>Partial Due Amount</t>
  </si>
  <si>
    <t>Projects</t>
  </si>
  <si>
    <t>TT</t>
  </si>
  <si>
    <t>PR-0501895</t>
  </si>
  <si>
    <t>C1209</t>
  </si>
  <si>
    <t>PR-0502165</t>
  </si>
  <si>
    <t>B-7263</t>
  </si>
  <si>
    <t>OTC</t>
  </si>
  <si>
    <t>Transfer</t>
  </si>
  <si>
    <t>330 RSC-4515</t>
  </si>
  <si>
    <t>PR-0501752</t>
  </si>
  <si>
    <t>B-18528</t>
  </si>
  <si>
    <t>SCY-OR-1132</t>
  </si>
  <si>
    <t> </t>
  </si>
  <si>
    <t>B-48844</t>
  </si>
  <si>
    <t>SCY-RC-C609</t>
  </si>
  <si>
    <t>R-920024</t>
  </si>
  <si>
    <t>B-49063</t>
  </si>
  <si>
    <t>R-920052</t>
  </si>
  <si>
    <t>SCY-RC-B513</t>
  </si>
  <si>
    <t>PR-0502190</t>
  </si>
  <si>
    <t>B-48759</t>
  </si>
  <si>
    <t>DT-AQ-C610</t>
  </si>
  <si>
    <t>PR-0502128</t>
  </si>
  <si>
    <t>B-41101</t>
  </si>
  <si>
    <t>IWT</t>
  </si>
  <si>
    <t>MR-PS-B413</t>
  </si>
  <si>
    <t>DWT</t>
  </si>
  <si>
    <t>B-34110</t>
  </si>
  <si>
    <t>SO-A2409</t>
  </si>
  <si>
    <t xml:space="preserve">Wael </t>
  </si>
  <si>
    <t>PR-0502214</t>
  </si>
  <si>
    <t>B-15094</t>
  </si>
  <si>
    <t>350 Riverside Crescent</t>
  </si>
  <si>
    <t>PR-0502338</t>
  </si>
  <si>
    <t>SC-MG-2205</t>
  </si>
  <si>
    <t>PR-0502293</t>
  </si>
  <si>
    <t>B-47103</t>
  </si>
  <si>
    <t>340 RSC-3007</t>
  </si>
  <si>
    <t>PR-0502261</t>
  </si>
  <si>
    <t>B-19854</t>
  </si>
  <si>
    <t>340 RSC-5205</t>
  </si>
  <si>
    <t>PR-0502246</t>
  </si>
  <si>
    <t>B-19699</t>
  </si>
  <si>
    <t>350 RSC-4803</t>
  </si>
  <si>
    <t>PR-0501724</t>
  </si>
  <si>
    <t>B-20148</t>
  </si>
  <si>
    <t>PR-0502318</t>
  </si>
  <si>
    <t>360 RSC-6712</t>
  </si>
  <si>
    <t>PR-0502342</t>
  </si>
  <si>
    <t>B-25082</t>
  </si>
  <si>
    <t>PR-0502347</t>
  </si>
  <si>
    <t>PR-0502272</t>
  </si>
  <si>
    <t>PR-0502270</t>
  </si>
  <si>
    <t>PR-0502194</t>
  </si>
  <si>
    <t>PR-0501950</t>
  </si>
  <si>
    <t>PR-0501719</t>
  </si>
  <si>
    <t>PR-0501742</t>
  </si>
  <si>
    <t>PR-0501750</t>
  </si>
  <si>
    <t>PR-0501756</t>
  </si>
  <si>
    <t>SAV-2814</t>
  </si>
  <si>
    <t>PR-0498965</t>
  </si>
  <si>
    <t>B-24420</t>
  </si>
  <si>
    <t>SAL-2709</t>
  </si>
  <si>
    <t>B-43679</t>
  </si>
  <si>
    <t>PR-0499585</t>
  </si>
  <si>
    <t>B3614</t>
  </si>
  <si>
    <t xml:space="preserve"> PR-0322911 </t>
  </si>
  <si>
    <t>B-8057</t>
  </si>
  <si>
    <t xml:space="preserve"> PR-0502396 </t>
  </si>
  <si>
    <t xml:space="preserve"> PR-0502397 </t>
  </si>
  <si>
    <t>PR-0502281</t>
  </si>
  <si>
    <t>B3104</t>
  </si>
  <si>
    <t xml:space="preserve"> PR-0332759 </t>
  </si>
  <si>
    <t>B-9472</t>
  </si>
  <si>
    <t>B3804</t>
  </si>
  <si>
    <t xml:space="preserve"> PR-0349072 </t>
  </si>
  <si>
    <t>B-8287</t>
  </si>
  <si>
    <t>B3312</t>
  </si>
  <si>
    <t xml:space="preserve"> PR-0340771 </t>
  </si>
  <si>
    <t>B-8506</t>
  </si>
  <si>
    <t>B3605</t>
  </si>
  <si>
    <t xml:space="preserve"> PR-0339663 </t>
  </si>
  <si>
    <t>B-8399</t>
  </si>
  <si>
    <t xml:space="preserve"> PR-0502492 </t>
  </si>
  <si>
    <t xml:space="preserve"> PR-0502493 </t>
  </si>
  <si>
    <t>B2505</t>
  </si>
  <si>
    <t xml:space="preserve"> PR-0350787 </t>
  </si>
  <si>
    <t>B-10175</t>
  </si>
  <si>
    <t xml:space="preserve"> PR-0502506 </t>
  </si>
  <si>
    <t>B1015</t>
  </si>
  <si>
    <t xml:space="preserve"> PR-0502031 </t>
  </si>
  <si>
    <t>B-7799</t>
  </si>
  <si>
    <t xml:space="preserve"> PR-0502658 </t>
  </si>
  <si>
    <t xml:space="preserve"> PR-0502654 </t>
  </si>
  <si>
    <t xml:space="preserve"> PR-0502483 </t>
  </si>
  <si>
    <t xml:space="preserve"> PR-0502418 </t>
  </si>
  <si>
    <t>LINK</t>
  </si>
  <si>
    <t>APP</t>
  </si>
  <si>
    <t>SC-TH-3004</t>
  </si>
  <si>
    <t>B-38863</t>
  </si>
  <si>
    <t>POP awaited</t>
  </si>
  <si>
    <t>SC-MG-3003</t>
  </si>
  <si>
    <t>PR-0501743</t>
  </si>
  <si>
    <t>B-47381</t>
  </si>
  <si>
    <t>Partial 10% due</t>
  </si>
  <si>
    <t>TGR-EV-014</t>
  </si>
  <si>
    <t>B-47675</t>
  </si>
  <si>
    <t>SOL-C1311</t>
  </si>
  <si>
    <t>PR-0501633</t>
  </si>
  <si>
    <t>B-43591</t>
  </si>
  <si>
    <t>SOL-B3418</t>
  </si>
  <si>
    <t>B-37948</t>
  </si>
  <si>
    <t>SOL-B614</t>
  </si>
  <si>
    <t>B-42268</t>
  </si>
  <si>
    <t>SEL-V 101</t>
  </si>
  <si>
    <t>B-27949</t>
  </si>
  <si>
    <t>SEL-V 224</t>
  </si>
  <si>
    <t>B-28195</t>
  </si>
  <si>
    <t>BR-PT-A706</t>
  </si>
  <si>
    <t>PR-0502343</t>
  </si>
  <si>
    <t>B-44073</t>
  </si>
  <si>
    <t>BR-AQ-B508</t>
  </si>
  <si>
    <t>WEB</t>
  </si>
  <si>
    <t>PR-0502041</t>
  </si>
  <si>
    <t>B-37380</t>
  </si>
  <si>
    <t>MR-YS-B610</t>
  </si>
  <si>
    <t>PR-0502071</t>
  </si>
  <si>
    <t>B-38308</t>
  </si>
  <si>
    <t>BR-AQ-B405</t>
  </si>
  <si>
    <t>PR-0502365</t>
  </si>
  <si>
    <t>B-29515</t>
  </si>
  <si>
    <t>Chq</t>
  </si>
  <si>
    <t>MR-YS-B902</t>
  </si>
  <si>
    <t>PR-0501650</t>
  </si>
  <si>
    <t>B-39210</t>
  </si>
  <si>
    <t>BR-CO-C315</t>
  </si>
  <si>
    <t>App</t>
  </si>
  <si>
    <t>PR-0501691</t>
  </si>
  <si>
    <t>B-29368</t>
  </si>
  <si>
    <t>BR-CO-B930</t>
  </si>
  <si>
    <t>PR-0501524</t>
  </si>
  <si>
    <t>B-28711</t>
  </si>
  <si>
    <t>PR-0501527</t>
  </si>
  <si>
    <t>MR-BA-B622</t>
  </si>
  <si>
    <t>PR-0501827</t>
  </si>
  <si>
    <t>B-33204</t>
  </si>
  <si>
    <t>PR-0501828</t>
  </si>
  <si>
    <t>PR-0501804</t>
  </si>
  <si>
    <t>PR-0501810</t>
  </si>
  <si>
    <t>PR-0501918</t>
  </si>
  <si>
    <t>BR-SE-B332</t>
  </si>
  <si>
    <t>PR-0501909</t>
  </si>
  <si>
    <t>B-26297</t>
  </si>
  <si>
    <t>BR-SE-B832</t>
  </si>
  <si>
    <t>PR-0502241</t>
  </si>
  <si>
    <t>B-47393</t>
  </si>
  <si>
    <t>PR-0502242</t>
  </si>
  <si>
    <t>Cash</t>
  </si>
  <si>
    <t>BR-FL-C508</t>
  </si>
  <si>
    <t>B-37929</t>
  </si>
  <si>
    <t>PR-0502309</t>
  </si>
  <si>
    <t>PR-0502297</t>
  </si>
  <si>
    <t>PR-0502166</t>
  </si>
  <si>
    <t>PR-0501748</t>
  </si>
  <si>
    <t>D0101</t>
  </si>
  <si>
    <t>PR-0339737</t>
  </si>
  <si>
    <t>B-9970</t>
  </si>
  <si>
    <t>D0102</t>
  </si>
  <si>
    <t>PR-0346791</t>
  </si>
  <si>
    <t>B-8554</t>
  </si>
  <si>
    <t>D0105</t>
  </si>
  <si>
    <t>PR-0381987</t>
  </si>
  <si>
    <t>B-10309</t>
  </si>
  <si>
    <t>SO-A715</t>
  </si>
  <si>
    <t>B-33403</t>
  </si>
  <si>
    <t>SR-V 116</t>
  </si>
  <si>
    <t>website</t>
  </si>
  <si>
    <t>PR-0502024</t>
  </si>
  <si>
    <t>B-22703</t>
  </si>
  <si>
    <t>PR-0502244</t>
  </si>
  <si>
    <t>SSP-1705</t>
  </si>
  <si>
    <t>PR-0502300</t>
  </si>
  <si>
    <t>B-47075</t>
  </si>
  <si>
    <t>SO-C3102</t>
  </si>
  <si>
    <t>PR-0501634</t>
  </si>
  <si>
    <t>B-21605</t>
  </si>
  <si>
    <t>SO-C2816</t>
  </si>
  <si>
    <t>PR-0501941</t>
  </si>
  <si>
    <t>B-32602</t>
  </si>
  <si>
    <t>CGC2905</t>
  </si>
  <si>
    <t>PR-0502173</t>
  </si>
  <si>
    <t>B-12574</t>
  </si>
  <si>
    <t>PR-0502209</t>
  </si>
  <si>
    <t>SST-7008</t>
  </si>
  <si>
    <t>PR-0502104</t>
  </si>
  <si>
    <t>B-37543</t>
  </si>
  <si>
    <t>320 RSC-5105</t>
  </si>
  <si>
    <t>PR-0501960</t>
  </si>
  <si>
    <t>B-18223</t>
  </si>
  <si>
    <t>PR-0501961</t>
  </si>
  <si>
    <t>PR-0501966</t>
  </si>
  <si>
    <t>PR-0501968</t>
  </si>
  <si>
    <t>PR-0501820</t>
  </si>
  <si>
    <t>PR-0501853</t>
  </si>
  <si>
    <t>Ver-2009</t>
  </si>
  <si>
    <t>B-15258</t>
  </si>
  <si>
    <t>Ver-5008</t>
  </si>
  <si>
    <t>B-29113</t>
  </si>
  <si>
    <t>DT-AQ-B2611</t>
  </si>
  <si>
    <t>PR-0502294</t>
  </si>
  <si>
    <t>B-37762</t>
  </si>
  <si>
    <t>DT-AQ-B3402</t>
  </si>
  <si>
    <t>PR-0502037</t>
  </si>
  <si>
    <t>B-37736</t>
  </si>
  <si>
    <t>DT-AQ-B1506</t>
  </si>
  <si>
    <t>PR-0502184</t>
  </si>
  <si>
    <t>B-38266</t>
  </si>
  <si>
    <t>BR-CL-C509</t>
  </si>
  <si>
    <t>PR-0501121</t>
  </si>
  <si>
    <t>B-37983</t>
  </si>
  <si>
    <t>CB-V-327</t>
  </si>
  <si>
    <t>B-32413</t>
  </si>
  <si>
    <t>SOR-F1411</t>
  </si>
  <si>
    <t>PR-0501952</t>
  </si>
  <si>
    <t>B-29667</t>
  </si>
  <si>
    <t>SC-TQ-5906</t>
  </si>
  <si>
    <t>B-46988</t>
  </si>
  <si>
    <t>PR-0502219</t>
  </si>
  <si>
    <t>SO-E1204</t>
  </si>
  <si>
    <t>PR-0501667</t>
  </si>
  <si>
    <t>B-21958</t>
  </si>
  <si>
    <t>A3403</t>
  </si>
  <si>
    <t>PR-0501682</t>
  </si>
  <si>
    <t>B-7775</t>
  </si>
  <si>
    <t>PR-0501671</t>
  </si>
  <si>
    <t>PR-0501661</t>
  </si>
  <si>
    <t>SO-E2407</t>
  </si>
  <si>
    <t>PR-0502078</t>
  </si>
  <si>
    <t>B-24740</t>
  </si>
  <si>
    <t>A3808</t>
  </si>
  <si>
    <t>PR-0502129</t>
  </si>
  <si>
    <t>B-8821</t>
  </si>
  <si>
    <t>PR-0502125</t>
  </si>
  <si>
    <t>PR-0502123</t>
  </si>
  <si>
    <t>PR-0502121</t>
  </si>
  <si>
    <t>A3605</t>
  </si>
  <si>
    <t>PR-0502132</t>
  </si>
  <si>
    <t>B-9105</t>
  </si>
  <si>
    <t>A4502</t>
  </si>
  <si>
    <t>PR-0342416</t>
  </si>
  <si>
    <t>B-8369</t>
  </si>
  <si>
    <t>PR-0336163</t>
  </si>
  <si>
    <t>A0802</t>
  </si>
  <si>
    <t>PR-0363381</t>
  </si>
  <si>
    <t>B-8421</t>
  </si>
  <si>
    <t>SSO-915</t>
  </si>
  <si>
    <t>PR-0502217</t>
  </si>
  <si>
    <t>B-36752</t>
  </si>
  <si>
    <t>SC-PL-4514</t>
  </si>
  <si>
    <t>PR-0502240</t>
  </si>
  <si>
    <t>B-48497</t>
  </si>
  <si>
    <t>New Sales</t>
  </si>
  <si>
    <t>PR-0502289</t>
  </si>
  <si>
    <t>MR-BA-C407</t>
  </si>
  <si>
    <t>PR-0501906</t>
  </si>
  <si>
    <t>B-38491</t>
  </si>
  <si>
    <t>PR-0501904</t>
  </si>
  <si>
    <t>PR-0502204</t>
  </si>
  <si>
    <t>PR-0501832</t>
  </si>
  <si>
    <t>PR-0501767</t>
  </si>
  <si>
    <t>TGN-GV-051</t>
  </si>
  <si>
    <t>B-47392</t>
  </si>
  <si>
    <t>SSH-B4002</t>
  </si>
  <si>
    <t>B-19971</t>
  </si>
  <si>
    <t>SAR-1306</t>
  </si>
  <si>
    <t>B-25224</t>
  </si>
  <si>
    <t>SOR-A3014</t>
  </si>
  <si>
    <t>B-23099</t>
  </si>
  <si>
    <t>new sales</t>
  </si>
  <si>
    <t>OTC cash</t>
  </si>
  <si>
    <t>PR-0501711</t>
  </si>
  <si>
    <t>DT-AQ-C1109</t>
  </si>
  <si>
    <t>B-37744</t>
  </si>
  <si>
    <t>SOBHA APP</t>
  </si>
  <si>
    <t>MR-PS-B403</t>
  </si>
  <si>
    <t>B-37949</t>
  </si>
  <si>
    <t>SAV-1601</t>
  </si>
  <si>
    <t>PR-0501361</t>
  </si>
  <si>
    <t>B-24516</t>
  </si>
  <si>
    <t>Sobha app</t>
  </si>
  <si>
    <t>BR-CL-D409</t>
  </si>
  <si>
    <t>PR-0501651</t>
  </si>
  <si>
    <t>B-48254</t>
  </si>
  <si>
    <t>B0804</t>
  </si>
  <si>
    <t xml:space="preserve"> PR-0332729 </t>
  </si>
  <si>
    <t>B-7577</t>
  </si>
  <si>
    <t xml:space="preserve"> PR-0503138 </t>
  </si>
  <si>
    <t>b3703</t>
  </si>
  <si>
    <t xml:space="preserve"> PR-0502844 </t>
  </si>
  <si>
    <t>B1502</t>
  </si>
  <si>
    <t xml:space="preserve"> PR-0502045 </t>
  </si>
  <si>
    <t>B-7494</t>
  </si>
  <si>
    <t xml:space="preserve"> PR-0503137 </t>
  </si>
  <si>
    <t xml:space="preserve"> PR-0503602 </t>
  </si>
  <si>
    <t>b1816</t>
  </si>
  <si>
    <t xml:space="preserve"> PR-0503657 </t>
  </si>
  <si>
    <t>b1912</t>
  </si>
  <si>
    <t xml:space="preserve"> PR-0503665 </t>
  </si>
  <si>
    <t xml:space="preserve"> PR-0503675 </t>
  </si>
  <si>
    <t>B1115</t>
  </si>
  <si>
    <t>B-7793</t>
  </si>
  <si>
    <t xml:space="preserve"> PR-0503695 </t>
  </si>
  <si>
    <t xml:space="preserve"> PR-0503697 </t>
  </si>
  <si>
    <t xml:space="preserve"> PR-0503650 </t>
  </si>
  <si>
    <t xml:space="preserve">DWT </t>
  </si>
  <si>
    <t>SC-TH-1702</t>
  </si>
  <si>
    <t>Full POP</t>
  </si>
  <si>
    <t>B-38050</t>
  </si>
  <si>
    <t>SSH-A5203</t>
  </si>
  <si>
    <t>CDM/cheque</t>
  </si>
  <si>
    <t>B-44892</t>
  </si>
  <si>
    <t>SOL-B2517</t>
  </si>
  <si>
    <t>B-33961</t>
  </si>
  <si>
    <t>SOR-A419</t>
  </si>
  <si>
    <t>B-33882</t>
  </si>
  <si>
    <t>SEL-V 084</t>
  </si>
  <si>
    <t>B-27750</t>
  </si>
  <si>
    <t>C2109</t>
  </si>
  <si>
    <t>B-7242</t>
  </si>
  <si>
    <t>BR-AQ-B638</t>
  </si>
  <si>
    <t>B-29545</t>
  </si>
  <si>
    <t>BR-AQ-B930</t>
  </si>
  <si>
    <t>B-29483</t>
  </si>
  <si>
    <t>BR-AQ-B832</t>
  </si>
  <si>
    <t>B-29482</t>
  </si>
  <si>
    <t>BR-FL-A514</t>
  </si>
  <si>
    <t>B-31633</t>
  </si>
  <si>
    <t>MR-PS-A204</t>
  </si>
  <si>
    <t>B-37036</t>
  </si>
  <si>
    <t>MR-PS-A206</t>
  </si>
  <si>
    <t>B-37037</t>
  </si>
  <si>
    <t>MR-PS-B432</t>
  </si>
  <si>
    <t>B-35645</t>
  </si>
  <si>
    <t>SOR-E3610</t>
  </si>
  <si>
    <t>PR-0502334</t>
  </si>
  <si>
    <t>B-24113</t>
  </si>
  <si>
    <t>SO-B718</t>
  </si>
  <si>
    <t>B-21917</t>
  </si>
  <si>
    <t>BP-65166</t>
  </si>
  <si>
    <t>C2505</t>
  </si>
  <si>
    <t>PR-0501015</t>
  </si>
  <si>
    <t>B-8635</t>
  </si>
  <si>
    <t>C2713</t>
  </si>
  <si>
    <t>PR-0502151</t>
  </si>
  <si>
    <t>B-7174</t>
  </si>
  <si>
    <t>C1504</t>
  </si>
  <si>
    <t>PR-0502140</t>
  </si>
  <si>
    <t>B-9783</t>
  </si>
  <si>
    <t>C1606</t>
  </si>
  <si>
    <t>PR-0502066</t>
  </si>
  <si>
    <t>B-9424</t>
  </si>
  <si>
    <t>TWL-GV-026</t>
  </si>
  <si>
    <t>PR-0502663</t>
  </si>
  <si>
    <t>B-48418</t>
  </si>
  <si>
    <t>Sales</t>
  </si>
  <si>
    <t>SE-V 113</t>
  </si>
  <si>
    <t>PR-0502076</t>
  </si>
  <si>
    <t>B-14619</t>
  </si>
  <si>
    <t>SOL-B615</t>
  </si>
  <si>
    <t>B-47487</t>
  </si>
  <si>
    <t>A3602</t>
  </si>
  <si>
    <t>PR-0329654</t>
  </si>
  <si>
    <t>B-7370</t>
  </si>
  <si>
    <t>A3606</t>
  </si>
  <si>
    <t>B-10154</t>
  </si>
  <si>
    <t>SSA-6108</t>
  </si>
  <si>
    <t>PR-0503012</t>
  </si>
  <si>
    <t>B-48433</t>
  </si>
  <si>
    <t>PR-0503003</t>
  </si>
  <si>
    <t>A2103</t>
  </si>
  <si>
    <t>PR-0341924</t>
  </si>
  <si>
    <t>B-8307</t>
  </si>
  <si>
    <t>A3404</t>
  </si>
  <si>
    <t>PR-0333303</t>
  </si>
  <si>
    <t>B-9589</t>
  </si>
  <si>
    <t>SAR-3601</t>
  </si>
  <si>
    <t>B-45404</t>
  </si>
  <si>
    <t>MNG CHQ</t>
  </si>
  <si>
    <t>MR-BT-B713</t>
  </si>
  <si>
    <t>B-46854</t>
  </si>
  <si>
    <t>cc</t>
  </si>
  <si>
    <t>BP-65171</t>
  </si>
  <si>
    <t>cheque</t>
  </si>
  <si>
    <t>TBR-CV-430</t>
  </si>
  <si>
    <t>B-48452</t>
  </si>
  <si>
    <t>340 RSC-4102</t>
  </si>
  <si>
    <t>B-20941</t>
  </si>
  <si>
    <t>SOR-A408</t>
  </si>
  <si>
    <t>B-36380</t>
  </si>
  <si>
    <t>PR-0501600</t>
  </si>
  <si>
    <t>PR-0501916</t>
  </si>
  <si>
    <t>PR-0501905</t>
  </si>
  <si>
    <t>PR-0501956</t>
  </si>
  <si>
    <t>SSA-2706</t>
  </si>
  <si>
    <t>B-45463</t>
  </si>
  <si>
    <t>SSH-B2503</t>
  </si>
  <si>
    <t>B-17934</t>
  </si>
  <si>
    <t>SAV-1511</t>
  </si>
  <si>
    <t>B-44891</t>
  </si>
  <si>
    <t>PG-V-122</t>
  </si>
  <si>
    <t>B-45336</t>
  </si>
  <si>
    <t xml:space="preserve">
PR-0504052</t>
  </si>
  <si>
    <t>PR-0504047</t>
  </si>
  <si>
    <t xml:space="preserve"> PR-0504016 </t>
  </si>
  <si>
    <t xml:space="preserve"> PR-0504028 </t>
  </si>
  <si>
    <t xml:space="preserve"> PR-0502953 </t>
  </si>
  <si>
    <t xml:space="preserve"> PR-0503155 </t>
  </si>
  <si>
    <t xml:space="preserve"> PR-0502589 </t>
  </si>
  <si>
    <t xml:space="preserve"> PR-0502684 </t>
  </si>
  <si>
    <t>b0711</t>
  </si>
  <si>
    <t xml:space="preserve"> PR-0502795 </t>
  </si>
  <si>
    <t xml:space="preserve"> PR-0502809 </t>
  </si>
  <si>
    <t>b1708</t>
  </si>
  <si>
    <t xml:space="preserve"> PR-0502823 </t>
  </si>
  <si>
    <t xml:space="preserve"> PR-0502828 </t>
  </si>
  <si>
    <t xml:space="preserve"> PR-0502870 </t>
  </si>
  <si>
    <t>sol-a2318</t>
  </si>
  <si>
    <t xml:space="preserve"> PR-0502875 </t>
  </si>
  <si>
    <t xml:space="preserve"> PR-0503768 </t>
  </si>
  <si>
    <t xml:space="preserve"> PR-0503568 </t>
  </si>
  <si>
    <t>SR-V 405</t>
  </si>
  <si>
    <t>B-18470</t>
  </si>
  <si>
    <t>SEL-V 316</t>
  </si>
  <si>
    <t>B-28219</t>
  </si>
  <si>
    <t>SE-V 246</t>
  </si>
  <si>
    <t>B-46823</t>
  </si>
  <si>
    <t xml:space="preserve"> </t>
  </si>
  <si>
    <t>BR-AQ-A301</t>
  </si>
  <si>
    <t>B-29972</t>
  </si>
  <si>
    <t>D0201</t>
  </si>
  <si>
    <t>PR-0336259</t>
  </si>
  <si>
    <t>B-8576</t>
  </si>
  <si>
    <t>CDM</t>
  </si>
  <si>
    <t>BP-65165</t>
  </si>
  <si>
    <t>C2705</t>
  </si>
  <si>
    <t>B-8042</t>
  </si>
  <si>
    <t>C3304</t>
  </si>
  <si>
    <t>B-7397</t>
  </si>
  <si>
    <t>C1905</t>
  </si>
  <si>
    <t>B-8735</t>
  </si>
  <si>
    <t>C1809</t>
  </si>
  <si>
    <t>B-8053</t>
  </si>
  <si>
    <t>C2809</t>
  </si>
  <si>
    <t>B-7280</t>
  </si>
  <si>
    <t>C0505</t>
  </si>
  <si>
    <t>B-10145</t>
  </si>
  <si>
    <t>C2510</t>
  </si>
  <si>
    <t>B-7771</t>
  </si>
  <si>
    <t>C2210</t>
  </si>
  <si>
    <t>B-7946</t>
  </si>
  <si>
    <t>C2114</t>
  </si>
  <si>
    <t>B-7017</t>
  </si>
  <si>
    <t>C2310</t>
  </si>
  <si>
    <t>B-7947</t>
  </si>
  <si>
    <t>C1108</t>
  </si>
  <si>
    <t>B-8463</t>
  </si>
  <si>
    <t>320 RSC-806</t>
  </si>
  <si>
    <t>B-17894</t>
  </si>
  <si>
    <t>TWL-GV-017</t>
  </si>
  <si>
    <t>PR-0502749</t>
  </si>
  <si>
    <t>B-48868</t>
  </si>
  <si>
    <t>PR-0501635</t>
  </si>
  <si>
    <t>PR-0501636</t>
  </si>
  <si>
    <t>PR-0501637</t>
  </si>
  <si>
    <t>PR-0501638</t>
  </si>
  <si>
    <t>PR-0501639</t>
  </si>
  <si>
    <t>SO-B1617</t>
  </si>
  <si>
    <t>B-40304</t>
  </si>
  <si>
    <t xml:space="preserve"> PR-0504051</t>
  </si>
  <si>
    <t>DT-AQ-C2201</t>
  </si>
  <si>
    <t>B-37802</t>
  </si>
  <si>
    <t>DT-AQ-C2210</t>
  </si>
  <si>
    <t>B-37805</t>
  </si>
  <si>
    <t>PR-0501927</t>
  </si>
  <si>
    <t>A2506</t>
  </si>
  <si>
    <t>PR-0344646</t>
  </si>
  <si>
    <t>B-6951</t>
  </si>
  <si>
    <t>PR-0504263</t>
  </si>
  <si>
    <t>PR-0504264</t>
  </si>
  <si>
    <t>BR-SE-B604</t>
  </si>
  <si>
    <t>B-26471</t>
  </si>
  <si>
    <t>SOR-D1008</t>
  </si>
  <si>
    <t>B-38563</t>
  </si>
  <si>
    <t>otc</t>
  </si>
  <si>
    <t>CGC3901</t>
  </si>
  <si>
    <t>B-9656</t>
  </si>
  <si>
    <t>CDM cash</t>
  </si>
  <si>
    <t>PR-0491562</t>
  </si>
  <si>
    <t>PG-V-199</t>
  </si>
  <si>
    <t>B-43719</t>
  </si>
  <si>
    <t>CVG-3006</t>
  </si>
  <si>
    <t>B-9672</t>
  </si>
  <si>
    <t>PG-V-130</t>
  </si>
  <si>
    <t>B-35695</t>
  </si>
  <si>
    <t>350 RSC-802</t>
  </si>
  <si>
    <t>B-25039</t>
  </si>
  <si>
    <t>SAV-4308</t>
  </si>
  <si>
    <t>B-38235</t>
  </si>
  <si>
    <t>BR-CL-D707</t>
  </si>
  <si>
    <t>B-37776</t>
  </si>
  <si>
    <t xml:space="preserve"> PR-0503448 </t>
  </si>
  <si>
    <t xml:space="preserve"> PR-0503316 </t>
  </si>
  <si>
    <t xml:space="preserve"> PR-0503385 </t>
  </si>
  <si>
    <t xml:space="preserve"> PR-0503236 </t>
  </si>
  <si>
    <t>b2401</t>
  </si>
  <si>
    <t xml:space="preserve"> PR-0503835 </t>
  </si>
  <si>
    <t xml:space="preserve"> PR-0504224 </t>
  </si>
  <si>
    <t>B2104</t>
  </si>
  <si>
    <t xml:space="preserve"> PR-0502106 </t>
  </si>
  <si>
    <t>B-8263</t>
  </si>
  <si>
    <t xml:space="preserve"> PR-0504034 </t>
  </si>
  <si>
    <t xml:space="preserve"> PR-0503905 </t>
  </si>
  <si>
    <t xml:space="preserve"> PR-0503913 </t>
  </si>
  <si>
    <t xml:space="preserve"> PR-0504057 </t>
  </si>
  <si>
    <t>cga1113</t>
  </si>
  <si>
    <t xml:space="preserve"> PR-0504090 </t>
  </si>
  <si>
    <t xml:space="preserve"> PR-0504240 </t>
  </si>
  <si>
    <t xml:space="preserve"> PR-0501551 </t>
  </si>
  <si>
    <t xml:space="preserve"> PR-0504313 </t>
  </si>
  <si>
    <t>b1114</t>
  </si>
  <si>
    <t xml:space="preserve"> PR-0504462 </t>
  </si>
  <si>
    <t xml:space="preserve"> PR-0505047 </t>
  </si>
  <si>
    <t xml:space="preserve"> PR-0505050 </t>
  </si>
  <si>
    <t xml:space="preserve"> PR-0505051 </t>
  </si>
  <si>
    <t>cga2006</t>
  </si>
  <si>
    <t xml:space="preserve"> PR-0504902 </t>
  </si>
  <si>
    <t xml:space="preserve"> PR-0505211 </t>
  </si>
  <si>
    <t xml:space="preserve"> PR-0505255 </t>
  </si>
  <si>
    <t xml:space="preserve"> PR-0505263 </t>
  </si>
  <si>
    <t xml:space="preserve"> PR-0503576 </t>
  </si>
  <si>
    <t xml:space="preserve"> PR-0504332 </t>
  </si>
  <si>
    <t>cga2904</t>
  </si>
  <si>
    <t xml:space="preserve"> PR-0501818 </t>
  </si>
  <si>
    <t xml:space="preserve"> PR-0501849 </t>
  </si>
  <si>
    <t xml:space="preserve"> PR-0505327 </t>
  </si>
  <si>
    <t>SSH-A1602</t>
  </si>
  <si>
    <t xml:space="preserve">Unidentified </t>
  </si>
  <si>
    <t>B-13902</t>
  </si>
  <si>
    <t>SC-TH-2203</t>
  </si>
  <si>
    <t>PP</t>
  </si>
  <si>
    <t>B-38130</t>
  </si>
  <si>
    <t>SC-TH-2015</t>
  </si>
  <si>
    <t>B-38918</t>
  </si>
  <si>
    <t>330 RSC-4602</t>
  </si>
  <si>
    <t>PR-0501899</t>
  </si>
  <si>
    <t>B-32583</t>
  </si>
  <si>
    <t>BR-AQ-A316</t>
  </si>
  <si>
    <t>B-29615</t>
  </si>
  <si>
    <t>BR-AQ-C304</t>
  </si>
  <si>
    <t>B-29962</t>
  </si>
  <si>
    <t>BR-AQ-B833</t>
  </si>
  <si>
    <t>B-29689</t>
  </si>
  <si>
    <t>MR-YS-B918</t>
  </si>
  <si>
    <t>B-39041</t>
  </si>
  <si>
    <t>MR-YS-B922</t>
  </si>
  <si>
    <t>B-39044</t>
  </si>
  <si>
    <t>PR-0500134</t>
  </si>
  <si>
    <t>BR-DE-B222</t>
  </si>
  <si>
    <t>B-30628</t>
  </si>
  <si>
    <t>CVG-606</t>
  </si>
  <si>
    <t>B-10834</t>
  </si>
  <si>
    <t>CVG-1106</t>
  </si>
  <si>
    <t>B-10044</t>
  </si>
  <si>
    <t>CVG-3405</t>
  </si>
  <si>
    <t>B-10336</t>
  </si>
  <si>
    <t>310 RSC-5411</t>
  </si>
  <si>
    <t>B-32644</t>
  </si>
  <si>
    <t>SSP-1310</t>
  </si>
  <si>
    <t>B-35601</t>
  </si>
  <si>
    <t>C0304</t>
  </si>
  <si>
    <t>PR-0342605</t>
  </si>
  <si>
    <t>B-10135</t>
  </si>
  <si>
    <t>C1610</t>
  </si>
  <si>
    <t>B-7187</t>
  </si>
  <si>
    <t>Ver-2805</t>
  </si>
  <si>
    <t>A4608</t>
  </si>
  <si>
    <t>PR-0443381</t>
  </si>
  <si>
    <t>B-6978</t>
  </si>
  <si>
    <t>A4201</t>
  </si>
  <si>
    <t>PR-0342435</t>
  </si>
  <si>
    <t>B-10063</t>
  </si>
  <si>
    <t>A1601</t>
  </si>
  <si>
    <t>PR-0332485</t>
  </si>
  <si>
    <t>B-10645</t>
  </si>
  <si>
    <t>SSO-3101</t>
  </si>
  <si>
    <t>WAITING ON ID</t>
  </si>
  <si>
    <t>B-34491</t>
  </si>
  <si>
    <t>SSH-B3501</t>
  </si>
  <si>
    <t>B-20487</t>
  </si>
  <si>
    <t>340 RSC-5207</t>
  </si>
  <si>
    <t>B-19335</t>
  </si>
  <si>
    <t>SC-TH-2507</t>
  </si>
  <si>
    <t>B-39299</t>
  </si>
  <si>
    <t>A0602</t>
  </si>
  <si>
    <t>B-11021</t>
  </si>
  <si>
    <t>CGB3302</t>
  </si>
  <si>
    <t>B-9362</t>
  </si>
  <si>
    <t>BR-CO-C517</t>
  </si>
  <si>
    <t>B-30672</t>
  </si>
  <si>
    <t>330 RSC-3201</t>
  </si>
  <si>
    <t>B-27687</t>
  </si>
  <si>
    <t>WO-3704</t>
  </si>
  <si>
    <t>B-15732</t>
  </si>
  <si>
    <t>BR-SL-C407</t>
  </si>
  <si>
    <t>PR-0501253</t>
  </si>
  <si>
    <t>B-39897</t>
  </si>
  <si>
    <t>SAV-5408</t>
  </si>
  <si>
    <t>B-27690</t>
  </si>
  <si>
    <t>SOR-D1911</t>
  </si>
  <si>
    <t>B-41040</t>
  </si>
  <si>
    <t>CVG-2901</t>
  </si>
  <si>
    <t>B-10596</t>
  </si>
  <si>
    <t>TGN-GV-236</t>
  </si>
  <si>
    <t>B-47684</t>
  </si>
  <si>
    <t>SAV-3913</t>
  </si>
  <si>
    <t>B-43235</t>
  </si>
  <si>
    <t>SAV-4715</t>
  </si>
  <si>
    <t>B-24433</t>
  </si>
  <si>
    <t>BR-SL-A510</t>
  </si>
  <si>
    <t>B-46838</t>
  </si>
  <si>
    <t xml:space="preserve">	
PR-0505687</t>
  </si>
  <si>
    <t xml:space="preserve"> PR-0505453 </t>
  </si>
  <si>
    <t xml:space="preserve"> PR-0505395 </t>
  </si>
  <si>
    <t>b2801</t>
  </si>
  <si>
    <t xml:space="preserve"> PR-0505759 </t>
  </si>
  <si>
    <t xml:space="preserve"> PR-0505776 </t>
  </si>
  <si>
    <t xml:space="preserve"> PR-0504326 </t>
  </si>
  <si>
    <t xml:space="preserve"> PR-0505927 </t>
  </si>
  <si>
    <t xml:space="preserve"> PR-0505524 </t>
  </si>
  <si>
    <t>cga1705</t>
  </si>
  <si>
    <t xml:space="preserve"> PR-0504560 </t>
  </si>
  <si>
    <t xml:space="preserve"> PR-0504501 </t>
  </si>
  <si>
    <t xml:space="preserve"> PR-0504646 </t>
  </si>
  <si>
    <t xml:space="preserve"> PR-0504669 </t>
  </si>
  <si>
    <t xml:space="preserve"> PR-0504671 </t>
  </si>
  <si>
    <t>b0908</t>
  </si>
  <si>
    <t xml:space="preserve"> PR-0504674 </t>
  </si>
  <si>
    <t xml:space="preserve"> PR-0503606 </t>
  </si>
  <si>
    <t>3P docs</t>
  </si>
  <si>
    <t>SC-TH-2403</t>
  </si>
  <si>
    <t>B-38891</t>
  </si>
  <si>
    <t>SC-TH-5606</t>
  </si>
  <si>
    <t>PR-0502263</t>
  </si>
  <si>
    <t>B-37981</t>
  </si>
  <si>
    <t>SOL-C3019</t>
  </si>
  <si>
    <t>PR-0501678</t>
  </si>
  <si>
    <t>B-37145</t>
  </si>
  <si>
    <t>PR-0501762</t>
  </si>
  <si>
    <t>PR-0501772</t>
  </si>
  <si>
    <t>PR-0501792</t>
  </si>
  <si>
    <t>330 RSC-5010</t>
  </si>
  <si>
    <t>PR-0501920</t>
  </si>
  <si>
    <t>B-18304</t>
  </si>
  <si>
    <t>SOL-B3215</t>
  </si>
  <si>
    <t>B-44107</t>
  </si>
  <si>
    <t>SOR-G1308</t>
  </si>
  <si>
    <t>B-24961</t>
  </si>
  <si>
    <t>SOL-B1311</t>
  </si>
  <si>
    <t>B-43863</t>
  </si>
  <si>
    <t>MR-YS-B824</t>
  </si>
  <si>
    <t>B-38571</t>
  </si>
  <si>
    <t>MR-YS-B725</t>
  </si>
  <si>
    <t>B-38347</t>
  </si>
  <si>
    <t>BR-DE-B215</t>
  </si>
  <si>
    <t>B-29680</t>
  </si>
  <si>
    <t>BR-DE-B216</t>
  </si>
  <si>
    <t>B-29678</t>
  </si>
  <si>
    <t>BR-DE-B934</t>
  </si>
  <si>
    <t>B-27554</t>
  </si>
  <si>
    <t>PG-V-169</t>
  </si>
  <si>
    <t>B-32206</t>
  </si>
  <si>
    <t>SO-B1215</t>
  </si>
  <si>
    <t>B-33799</t>
  </si>
  <si>
    <t>SOR-E3704</t>
  </si>
  <si>
    <t>B-29749</t>
  </si>
  <si>
    <t>SOR-E4406</t>
  </si>
  <si>
    <t>B-24514</t>
  </si>
  <si>
    <t>SO-C705</t>
  </si>
  <si>
    <t>B-22454</t>
  </si>
  <si>
    <t>DWt</t>
  </si>
  <si>
    <t>SSP-2601</t>
  </si>
  <si>
    <t>B-37588</t>
  </si>
  <si>
    <t>C1302</t>
  </si>
  <si>
    <t>B-7751</t>
  </si>
  <si>
    <t>C0616</t>
  </si>
  <si>
    <t>B-8523</t>
  </si>
  <si>
    <t>C2001</t>
  </si>
  <si>
    <t>PR-0337026</t>
  </si>
  <si>
    <t>B-7294</t>
  </si>
  <si>
    <t>C2806</t>
  </si>
  <si>
    <t>B-7024</t>
  </si>
  <si>
    <t>C2813</t>
  </si>
  <si>
    <t>B-7026</t>
  </si>
  <si>
    <t>PR-0505407</t>
  </si>
  <si>
    <t xml:space="preserve">
PR-0504815</t>
  </si>
  <si>
    <t>Ver-1711</t>
  </si>
  <si>
    <t>310 RSC-4801</t>
  </si>
  <si>
    <t>B-33826</t>
  </si>
  <si>
    <t>SO-E4702</t>
  </si>
  <si>
    <t>B-17684</t>
  </si>
  <si>
    <t>DT-AQ-C1008</t>
  </si>
  <si>
    <t>B-38243</t>
  </si>
  <si>
    <t>BR-CO-C713</t>
  </si>
  <si>
    <t>B-28999</t>
  </si>
  <si>
    <t>DT-AQ-A3402</t>
  </si>
  <si>
    <t>B-38221</t>
  </si>
  <si>
    <t>DT-AQ-B1704</t>
  </si>
  <si>
    <t>B-45622</t>
  </si>
  <si>
    <t>DT-AQ-C1110</t>
  </si>
  <si>
    <t>B-38330</t>
  </si>
  <si>
    <t>DT-AQ-B2509</t>
  </si>
  <si>
    <t>B-38931</t>
  </si>
  <si>
    <t xml:space="preserve"> PR-0505614</t>
  </si>
  <si>
    <t>SEL-V 230</t>
  </si>
  <si>
    <t>B-29195</t>
  </si>
  <si>
    <t>SOR-F2109</t>
  </si>
  <si>
    <t>B-34404</t>
  </si>
  <si>
    <t>A4105</t>
  </si>
  <si>
    <t>PR-0349292</t>
  </si>
  <si>
    <t>B-7271</t>
  </si>
  <si>
    <t>A1001</t>
  </si>
  <si>
    <t>PR-0345178</t>
  </si>
  <si>
    <t>B-10314</t>
  </si>
  <si>
    <t>A3202</t>
  </si>
  <si>
    <t>PR-0345322</t>
  </si>
  <si>
    <t>B-10351</t>
  </si>
  <si>
    <t>A3204</t>
  </si>
  <si>
    <t>PR-0344621</t>
  </si>
  <si>
    <t>B-10673</t>
  </si>
  <si>
    <t>A0811</t>
  </si>
  <si>
    <t>PR-0332581</t>
  </si>
  <si>
    <t>B-11027</t>
  </si>
  <si>
    <t>A1804</t>
  </si>
  <si>
    <t>PR-0338594</t>
  </si>
  <si>
    <t>B-9462</t>
  </si>
  <si>
    <t>SO-D2217</t>
  </si>
  <si>
    <t>B-33778</t>
  </si>
  <si>
    <t>SSO-1601</t>
  </si>
  <si>
    <t>B-37931</t>
  </si>
  <si>
    <t>SSO-2401</t>
  </si>
  <si>
    <t>B-37938</t>
  </si>
  <si>
    <t>SC-PL-6115</t>
  </si>
  <si>
    <t>B-47404</t>
  </si>
  <si>
    <t>SC-TH-3503</t>
  </si>
  <si>
    <t>B-39449</t>
  </si>
  <si>
    <t>MR-CS-B637</t>
  </si>
  <si>
    <t>B-41988</t>
  </si>
  <si>
    <t>340 RSC-2201</t>
  </si>
  <si>
    <t>B-32590</t>
  </si>
  <si>
    <t>340 RSC-2301</t>
  </si>
  <si>
    <t>B-32591</t>
  </si>
  <si>
    <t>TBR-CV-401</t>
  </si>
  <si>
    <t>B-47411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</si>
</sst>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_(* #,##0_);_(* \(#,##0\);_(* &quot;-&quot;??_);_(@_)"/>
    <numFmt numFmtId="167" formatCode="_-* #,##0_-;\-* #,##0_-;_-* &quot;-&quot;??_-;_-@_-"/>
    <numFmt numFmtId="168" formatCode="0.0%"/>
    <numFmt numFmtId="169" formatCode="[$-409]d\-mmm\-yy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b/>
      <sz val="11"/>
      <color rgb="FF000000"/>
      <name val="Aptos Narrow"/>
      <family val="2"/>
    </font>
    <font>
      <sz val="9"/>
      <color theme="1"/>
      <name val="Tahoma"/>
      <family val="2"/>
    </font>
    <font>
      <sz val="10"/>
      <color theme="1"/>
      <name val="Tahoma"/>
      <family val="2"/>
    </font>
    <font>
      <b/>
      <sz val="9"/>
      <color rgb="FF000000"/>
      <name val="Tahoma"/>
      <family val="2"/>
    </font>
    <font>
      <b/>
      <sz val="14"/>
      <color theme="1"/>
      <name val="Aptos Narrow"/>
      <family val="2"/>
      <scheme val="minor"/>
    </font>
    <font>
      <sz val="10"/>
      <color rgb="FF000000"/>
      <name val="Tahoma"/>
      <family val="2"/>
    </font>
    <font>
      <b/>
      <sz val="14"/>
      <color theme="0"/>
      <name val="Aptos Narrow"/>
      <family val="2"/>
      <scheme val="minor"/>
    </font>
    <font>
      <b/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.5"/>
      <color rgb="FF000000"/>
      <name val="Tahoma"/>
      <family val="2"/>
    </font>
    <font>
      <sz val="10.5"/>
      <color theme="1"/>
      <name val="Aptos Narrow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7E6E6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254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15" fontId="4" fillId="2" borderId="2" xfId="3" applyNumberFormat="1" applyFont="1" applyFill="1" applyBorder="1" applyAlignment="1">
      <alignment horizontal="center" vertical="center" wrapText="1"/>
    </xf>
    <xf numFmtId="4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/>
    </xf>
    <xf numFmtId="166" fontId="7" fillId="0" borderId="1" xfId="3" applyNumberFormat="1" applyFont="1" applyBorder="1" applyAlignment="1">
      <alignment horizontal="left" vertical="center"/>
    </xf>
    <xf numFmtId="167" fontId="8" fillId="0" borderId="1" xfId="3" applyNumberFormat="1" applyFont="1" applyBorder="1" applyAlignment="1">
      <alignment vertical="center"/>
    </xf>
    <xf numFmtId="4" fontId="8" fillId="0" borderId="1" xfId="0" applyNumberFormat="1" applyFont="1" applyBorder="1"/>
    <xf numFmtId="167" fontId="8" fillId="0" borderId="1" xfId="0" applyNumberFormat="1" applyFont="1" applyBorder="1"/>
    <xf numFmtId="166" fontId="5" fillId="4" borderId="1" xfId="3" applyNumberFormat="1" applyFont="1" applyFill="1" applyBorder="1" applyAlignment="1">
      <alignment horizontal="left" vertical="center"/>
    </xf>
    <xf numFmtId="167" fontId="5" fillId="5" borderId="1" xfId="3" applyNumberFormat="1" applyFont="1" applyFill="1" applyBorder="1" applyAlignment="1">
      <alignment vertical="center"/>
    </xf>
    <xf numFmtId="4" fontId="5" fillId="4" borderId="1" xfId="0" applyNumberFormat="1" applyFont="1" applyFill="1" applyBorder="1"/>
    <xf numFmtId="167" fontId="5" fillId="4" borderId="1" xfId="0" applyNumberFormat="1" applyFont="1" applyFill="1" applyBorder="1"/>
    <xf numFmtId="167" fontId="5" fillId="4" borderId="1" xfId="3" applyNumberFormat="1" applyFont="1" applyFill="1" applyBorder="1" applyAlignment="1">
      <alignment vertical="center"/>
    </xf>
    <xf numFmtId="166" fontId="5" fillId="2" borderId="1" xfId="3" applyNumberFormat="1" applyFont="1" applyFill="1" applyBorder="1" applyAlignment="1">
      <alignment horizontal="left" vertical="center"/>
    </xf>
    <xf numFmtId="167" fontId="5" fillId="2" borderId="1" xfId="3" applyNumberFormat="1" applyFont="1" applyFill="1" applyBorder="1" applyAlignment="1">
      <alignment vertical="center"/>
    </xf>
    <xf numFmtId="4" fontId="5" fillId="2" borderId="1" xfId="0" applyNumberFormat="1" applyFont="1" applyFill="1" applyBorder="1"/>
    <xf numFmtId="167" fontId="5" fillId="2" borderId="1" xfId="0" applyNumberFormat="1" applyFont="1" applyFill="1" applyBorder="1"/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167" fontId="0" fillId="0" borderId="0" xfId="0" applyNumberFormat="1"/>
    <xf numFmtId="166" fontId="5" fillId="6" borderId="1" xfId="3" applyNumberFormat="1" applyFont="1" applyFill="1" applyBorder="1" applyAlignment="1">
      <alignment horizontal="left" vertical="center"/>
    </xf>
    <xf numFmtId="166" fontId="5" fillId="6" borderId="1" xfId="3" applyNumberFormat="1" applyFont="1" applyFill="1" applyBorder="1" applyAlignment="1">
      <alignment vertical="center"/>
    </xf>
    <xf numFmtId="4" fontId="5" fillId="6" borderId="1" xfId="0" applyNumberFormat="1" applyFont="1" applyFill="1" applyBorder="1"/>
    <xf numFmtId="167" fontId="5" fillId="6" borderId="1" xfId="0" applyNumberFormat="1" applyFont="1" applyFill="1" applyBorder="1"/>
    <xf numFmtId="167" fontId="5" fillId="6" borderId="1" xfId="3" applyNumberFormat="1" applyFont="1" applyFill="1" applyBorder="1" applyAlignment="1">
      <alignment vertical="center"/>
    </xf>
    <xf numFmtId="0" fontId="8" fillId="0" borderId="0" xfId="0" applyFont="1"/>
    <xf numFmtId="15" fontId="0" fillId="0" borderId="0" xfId="0" applyNumberFormat="1"/>
    <xf numFmtId="0" fontId="4" fillId="7" borderId="2" xfId="0" applyFont="1" applyFill="1" applyBorder="1" applyAlignment="1">
      <alignment horizontal="center" vertical="center" wrapText="1"/>
    </xf>
    <xf numFmtId="165" fontId="9" fillId="7" borderId="6" xfId="0" applyNumberFormat="1" applyFont="1" applyFill="1" applyBorder="1" applyAlignment="1">
      <alignment horizontal="center" vertical="center" wrapText="1"/>
    </xf>
    <xf numFmtId="15" fontId="9" fillId="7" borderId="2" xfId="3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7" fontId="7" fillId="0" borderId="1" xfId="3" applyNumberFormat="1" applyFont="1" applyBorder="1" applyAlignment="1">
      <alignment vertical="center"/>
    </xf>
    <xf numFmtId="166" fontId="8" fillId="5" borderId="1" xfId="3" applyNumberFormat="1" applyFont="1" applyFill="1" applyBorder="1" applyAlignment="1">
      <alignment horizontal="left" vertical="center"/>
    </xf>
    <xf numFmtId="167" fontId="8" fillId="5" borderId="1" xfId="3" applyNumberFormat="1" applyFont="1" applyFill="1" applyBorder="1" applyAlignment="1">
      <alignment vertical="center"/>
    </xf>
    <xf numFmtId="166" fontId="5" fillId="8" borderId="1" xfId="3" applyNumberFormat="1" applyFont="1" applyFill="1" applyBorder="1" applyAlignment="1">
      <alignment horizontal="left" vertical="center"/>
    </xf>
    <xf numFmtId="167" fontId="5" fillId="8" borderId="1" xfId="3" applyNumberFormat="1" applyFont="1" applyFill="1" applyBorder="1" applyAlignment="1">
      <alignment vertical="center"/>
    </xf>
    <xf numFmtId="166" fontId="7" fillId="0" borderId="7" xfId="3" applyNumberFormat="1" applyFont="1" applyBorder="1" applyAlignment="1">
      <alignment horizontal="left" vertical="center"/>
    </xf>
    <xf numFmtId="166" fontId="0" fillId="0" borderId="0" xfId="0" applyNumberFormat="1"/>
    <xf numFmtId="166" fontId="5" fillId="0" borderId="8" xfId="0" applyNumberFormat="1" applyFont="1" applyBorder="1" applyAlignment="1">
      <alignment horizontal="left" vertical="center"/>
    </xf>
    <xf numFmtId="0" fontId="10" fillId="9" borderId="1" xfId="0" applyFont="1" applyFill="1" applyBorder="1" applyAlignment="1">
      <alignment vertical="center"/>
    </xf>
    <xf numFmtId="0" fontId="10" fillId="9" borderId="3" xfId="0" applyFont="1" applyFill="1" applyBorder="1" applyAlignment="1">
      <alignment horizontal="center" vertical="center"/>
    </xf>
    <xf numFmtId="0" fontId="10" fillId="9" borderId="4" xfId="0" applyFont="1" applyFill="1" applyBorder="1" applyAlignment="1">
      <alignment horizontal="center" vertical="center"/>
    </xf>
    <xf numFmtId="0" fontId="10" fillId="9" borderId="5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vertical="center" wrapText="1"/>
    </xf>
    <xf numFmtId="0" fontId="4" fillId="7" borderId="6" xfId="0" applyFont="1" applyFill="1" applyBorder="1" applyAlignment="1">
      <alignment horizontal="center" vertical="center" wrapText="1"/>
    </xf>
    <xf numFmtId="165" fontId="4" fillId="7" borderId="6" xfId="0" applyNumberFormat="1" applyFont="1" applyFill="1" applyBorder="1" applyAlignment="1">
      <alignment horizontal="center" vertical="center" wrapText="1"/>
    </xf>
    <xf numFmtId="167" fontId="4" fillId="7" borderId="2" xfId="3" applyNumberFormat="1" applyFont="1" applyFill="1" applyBorder="1" applyAlignment="1">
      <alignment vertical="center" wrapText="1"/>
    </xf>
    <xf numFmtId="4" fontId="4" fillId="7" borderId="6" xfId="0" applyNumberFormat="1" applyFont="1" applyFill="1" applyBorder="1" applyAlignment="1">
      <alignment horizontal="right" vertical="center" wrapText="1"/>
    </xf>
    <xf numFmtId="167" fontId="4" fillId="7" borderId="2" xfId="3" applyNumberFormat="1" applyFont="1" applyFill="1" applyBorder="1" applyAlignment="1">
      <alignment horizontal="center" vertical="center" wrapText="1"/>
    </xf>
    <xf numFmtId="167" fontId="4" fillId="7" borderId="2" xfId="3" applyNumberFormat="1" applyFont="1" applyFill="1" applyBorder="1" applyAlignment="1">
      <alignment horizontal="center" vertical="center"/>
    </xf>
    <xf numFmtId="166" fontId="8" fillId="0" borderId="1" xfId="3" applyNumberFormat="1" applyFont="1" applyBorder="1" applyAlignment="1">
      <alignment horizontal="left" vertical="center"/>
    </xf>
    <xf numFmtId="167" fontId="8" fillId="10" borderId="7" xfId="3" applyNumberFormat="1" applyFont="1" applyFill="1" applyBorder="1" applyAlignment="1">
      <alignment vertical="center"/>
    </xf>
    <xf numFmtId="167" fontId="0" fillId="0" borderId="7" xfId="3" applyNumberFormat="1" applyFont="1" applyBorder="1" applyAlignment="1">
      <alignment vertical="center"/>
    </xf>
    <xf numFmtId="167" fontId="8" fillId="0" borderId="7" xfId="3" applyNumberFormat="1" applyFont="1" applyBorder="1" applyAlignment="1">
      <alignment vertical="center"/>
    </xf>
    <xf numFmtId="4" fontId="0" fillId="0" borderId="7" xfId="3" applyNumberFormat="1" applyFont="1" applyBorder="1" applyAlignment="1">
      <alignment horizontal="right"/>
    </xf>
    <xf numFmtId="168" fontId="8" fillId="6" borderId="1" xfId="2" applyNumberFormat="1" applyFont="1" applyFill="1" applyBorder="1" applyAlignment="1">
      <alignment vertical="center"/>
    </xf>
    <xf numFmtId="167" fontId="8" fillId="0" borderId="1" xfId="3" applyNumberFormat="1" applyFont="1" applyBorder="1" applyAlignment="1">
      <alignment horizontal="center" vertical="center"/>
    </xf>
    <xf numFmtId="3" fontId="0" fillId="0" borderId="0" xfId="0" applyNumberFormat="1"/>
    <xf numFmtId="4" fontId="0" fillId="0" borderId="0" xfId="0" applyNumberFormat="1"/>
    <xf numFmtId="167" fontId="8" fillId="11" borderId="1" xfId="3" applyNumberFormat="1" applyFont="1" applyFill="1" applyBorder="1" applyAlignment="1">
      <alignment horizontal="center" vertical="center"/>
    </xf>
    <xf numFmtId="166" fontId="8" fillId="9" borderId="1" xfId="3" applyNumberFormat="1" applyFont="1" applyFill="1" applyBorder="1" applyAlignment="1">
      <alignment horizontal="left" vertical="center"/>
    </xf>
    <xf numFmtId="167" fontId="8" fillId="9" borderId="1" xfId="3" applyNumberFormat="1" applyFont="1" applyFill="1" applyBorder="1" applyAlignment="1">
      <alignment vertical="center"/>
    </xf>
    <xf numFmtId="167" fontId="0" fillId="9" borderId="1" xfId="3" applyNumberFormat="1" applyFont="1" applyFill="1" applyBorder="1" applyAlignment="1">
      <alignment vertical="center"/>
    </xf>
    <xf numFmtId="4" fontId="11" fillId="9" borderId="1" xfId="3" applyNumberFormat="1" applyFont="1" applyFill="1" applyBorder="1" applyAlignment="1">
      <alignment horizontal="right" vertical="center"/>
    </xf>
    <xf numFmtId="168" fontId="8" fillId="9" borderId="1" xfId="2" applyNumberFormat="1" applyFont="1" applyFill="1" applyBorder="1" applyAlignment="1">
      <alignment vertical="center"/>
    </xf>
    <xf numFmtId="167" fontId="8" fillId="9" borderId="1" xfId="3" applyNumberFormat="1" applyFont="1" applyFill="1" applyBorder="1" applyAlignment="1">
      <alignment horizontal="center" vertical="center"/>
    </xf>
    <xf numFmtId="166" fontId="8" fillId="0" borderId="7" xfId="3" applyNumberFormat="1" applyFont="1" applyBorder="1" applyAlignment="1">
      <alignment horizontal="left" vertical="center"/>
    </xf>
    <xf numFmtId="168" fontId="8" fillId="6" borderId="7" xfId="2" applyNumberFormat="1" applyFont="1" applyFill="1" applyBorder="1" applyAlignment="1">
      <alignment vertical="center"/>
    </xf>
    <xf numFmtId="167" fontId="8" fillId="0" borderId="7" xfId="3" applyNumberFormat="1" applyFont="1" applyBorder="1" applyAlignment="1">
      <alignment horizontal="center" vertical="center"/>
    </xf>
    <xf numFmtId="166" fontId="5" fillId="12" borderId="1" xfId="3" applyNumberFormat="1" applyFont="1" applyFill="1" applyBorder="1" applyAlignment="1">
      <alignment horizontal="left" vertical="center"/>
    </xf>
    <xf numFmtId="167" fontId="5" fillId="12" borderId="1" xfId="3" applyNumberFormat="1" applyFont="1" applyFill="1" applyBorder="1" applyAlignment="1">
      <alignment vertical="center"/>
    </xf>
    <xf numFmtId="166" fontId="5" fillId="12" borderId="1" xfId="3" applyNumberFormat="1" applyFont="1" applyFill="1" applyBorder="1" applyAlignment="1">
      <alignment vertical="center"/>
    </xf>
    <xf numFmtId="4" fontId="5" fillId="12" borderId="1" xfId="3" applyNumberFormat="1" applyFont="1" applyFill="1" applyBorder="1" applyAlignment="1">
      <alignment horizontal="right" vertical="center"/>
    </xf>
    <xf numFmtId="168" fontId="5" fillId="12" borderId="1" xfId="2" applyNumberFormat="1" applyFont="1" applyFill="1" applyBorder="1" applyAlignment="1">
      <alignment vertical="center"/>
    </xf>
    <xf numFmtId="167" fontId="5" fillId="12" borderId="1" xfId="3" applyNumberFormat="1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4" fontId="0" fillId="0" borderId="0" xfId="0" applyNumberFormat="1" applyAlignment="1">
      <alignment horizontal="right"/>
    </xf>
    <xf numFmtId="0" fontId="4" fillId="7" borderId="1" xfId="0" applyFont="1" applyFill="1" applyBorder="1" applyAlignment="1">
      <alignment vertical="center" wrapText="1"/>
    </xf>
    <xf numFmtId="167" fontId="4" fillId="7" borderId="1" xfId="3" applyNumberFormat="1" applyFont="1" applyFill="1" applyBorder="1" applyAlignment="1">
      <alignment horizontal="center" vertical="center"/>
    </xf>
    <xf numFmtId="164" fontId="0" fillId="0" borderId="1" xfId="3" applyFont="1" applyBorder="1"/>
    <xf numFmtId="166" fontId="0" fillId="0" borderId="1" xfId="0" applyNumberFormat="1" applyBorder="1"/>
    <xf numFmtId="43" fontId="0" fillId="0" borderId="1" xfId="0" applyNumberFormat="1" applyBorder="1"/>
    <xf numFmtId="164" fontId="0" fillId="9" borderId="1" xfId="3" applyFont="1" applyFill="1" applyBorder="1"/>
    <xf numFmtId="164" fontId="0" fillId="9" borderId="1" xfId="0" applyNumberFormat="1" applyFill="1" applyBorder="1"/>
    <xf numFmtId="164" fontId="3" fillId="12" borderId="1" xfId="0" applyNumberFormat="1" applyFont="1" applyFill="1" applyBorder="1"/>
    <xf numFmtId="0" fontId="3" fillId="12" borderId="1" xfId="0" applyFont="1" applyFill="1" applyBorder="1" applyAlignment="1">
      <alignment horizontal="center"/>
    </xf>
    <xf numFmtId="0" fontId="3" fillId="12" borderId="3" xfId="0" applyFont="1" applyFill="1" applyBorder="1" applyAlignment="1">
      <alignment horizontal="center"/>
    </xf>
    <xf numFmtId="0" fontId="10" fillId="3" borderId="9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13" borderId="9" xfId="0" applyFont="1" applyFill="1" applyBorder="1" applyAlignment="1">
      <alignment horizontal="center" vertical="center"/>
    </xf>
    <xf numFmtId="0" fontId="10" fillId="13" borderId="10" xfId="0" applyFont="1" applyFill="1" applyBorder="1" applyAlignment="1">
      <alignment horizontal="center" vertical="center"/>
    </xf>
    <xf numFmtId="0" fontId="10" fillId="13" borderId="1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67" fontId="4" fillId="7" borderId="6" xfId="3" applyNumberFormat="1" applyFont="1" applyFill="1" applyBorder="1" applyAlignment="1">
      <alignment horizontal="center" vertical="center"/>
    </xf>
    <xf numFmtId="167" fontId="4" fillId="7" borderId="12" xfId="3" applyNumberFormat="1" applyFont="1" applyFill="1" applyBorder="1" applyAlignment="1">
      <alignment horizontal="center" vertical="center"/>
    </xf>
    <xf numFmtId="167" fontId="4" fillId="7" borderId="13" xfId="3" applyNumberFormat="1" applyFont="1" applyFill="1" applyBorder="1" applyAlignment="1">
      <alignment horizontal="center" vertical="center"/>
    </xf>
    <xf numFmtId="4" fontId="4" fillId="7" borderId="14" xfId="3" applyNumberFormat="1" applyFont="1" applyFill="1" applyBorder="1" applyAlignment="1">
      <alignment horizontal="right" vertical="center" wrapText="1"/>
    </xf>
    <xf numFmtId="167" fontId="4" fillId="7" borderId="14" xfId="3" applyNumberFormat="1" applyFont="1" applyFill="1" applyBorder="1" applyAlignment="1">
      <alignment horizontal="center" vertical="center" wrapText="1"/>
    </xf>
    <xf numFmtId="167" fontId="4" fillId="7" borderId="15" xfId="3" applyNumberFormat="1" applyFont="1" applyFill="1" applyBorder="1" applyAlignment="1">
      <alignment horizontal="center" vertical="center"/>
    </xf>
    <xf numFmtId="167" fontId="4" fillId="7" borderId="5" xfId="3" applyNumberFormat="1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/>
    </xf>
    <xf numFmtId="4" fontId="8" fillId="9" borderId="1" xfId="3" applyNumberFormat="1" applyFont="1" applyFill="1" applyBorder="1" applyAlignment="1">
      <alignment horizontal="right" vertical="center"/>
    </xf>
    <xf numFmtId="166" fontId="8" fillId="0" borderId="0" xfId="3" applyNumberFormat="1" applyFont="1" applyBorder="1" applyAlignment="1">
      <alignment horizontal="left" vertical="center"/>
    </xf>
    <xf numFmtId="0" fontId="10" fillId="5" borderId="1" xfId="0" applyFont="1" applyFill="1" applyBorder="1" applyAlignment="1">
      <alignment vertical="center"/>
    </xf>
    <xf numFmtId="0" fontId="10" fillId="5" borderId="3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4" fontId="10" fillId="5" borderId="4" xfId="0" applyNumberFormat="1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4" fontId="4" fillId="7" borderId="6" xfId="0" applyNumberFormat="1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4" fontId="6" fillId="3" borderId="4" xfId="0" applyNumberFormat="1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4" fontId="0" fillId="0" borderId="1" xfId="0" applyNumberFormat="1" applyBorder="1"/>
    <xf numFmtId="4" fontId="0" fillId="0" borderId="7" xfId="3" applyNumberFormat="1" applyFont="1" applyBorder="1"/>
    <xf numFmtId="4" fontId="5" fillId="12" borderId="1" xfId="3" applyNumberFormat="1" applyFont="1" applyFill="1" applyBorder="1" applyAlignment="1">
      <alignment vertical="center"/>
    </xf>
    <xf numFmtId="14" fontId="0" fillId="0" borderId="0" xfId="0" applyNumberFormat="1"/>
    <xf numFmtId="0" fontId="10" fillId="5" borderId="4" xfId="0" applyFont="1" applyFill="1" applyBorder="1" applyAlignment="1">
      <alignment horizontal="center" vertical="center"/>
    </xf>
    <xf numFmtId="43" fontId="0" fillId="9" borderId="1" xfId="0" applyNumberFormat="1" applyFill="1" applyBorder="1"/>
    <xf numFmtId="0" fontId="3" fillId="14" borderId="3" xfId="0" applyFont="1" applyFill="1" applyBorder="1" applyAlignment="1">
      <alignment horizontal="center"/>
    </xf>
    <xf numFmtId="0" fontId="3" fillId="14" borderId="17" xfId="0" applyFont="1" applyFill="1" applyBorder="1" applyAlignment="1">
      <alignment horizontal="center"/>
    </xf>
    <xf numFmtId="4" fontId="4" fillId="7" borderId="14" xfId="3" applyNumberFormat="1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/>
    </xf>
    <xf numFmtId="4" fontId="8" fillId="9" borderId="1" xfId="3" applyNumberFormat="1" applyFont="1" applyFill="1" applyBorder="1" applyAlignment="1">
      <alignment horizontal="center" vertical="center"/>
    </xf>
    <xf numFmtId="4" fontId="5" fillId="12" borderId="1" xfId="3" applyNumberFormat="1" applyFont="1" applyFill="1" applyBorder="1" applyAlignment="1">
      <alignment horizontal="center" vertical="center"/>
    </xf>
    <xf numFmtId="0" fontId="12" fillId="15" borderId="1" xfId="0" applyFont="1" applyFill="1" applyBorder="1" applyAlignment="1">
      <alignment vertical="center"/>
    </xf>
    <xf numFmtId="0" fontId="12" fillId="15" borderId="3" xfId="0" applyFont="1" applyFill="1" applyBorder="1" applyAlignment="1">
      <alignment horizontal="center" vertical="center"/>
    </xf>
    <xf numFmtId="0" fontId="12" fillId="15" borderId="4" xfId="0" applyFont="1" applyFill="1" applyBorder="1" applyAlignment="1">
      <alignment horizontal="center" vertical="center"/>
    </xf>
    <xf numFmtId="4" fontId="12" fillId="15" borderId="4" xfId="0" applyNumberFormat="1" applyFont="1" applyFill="1" applyBorder="1" applyAlignment="1">
      <alignment horizontal="center" vertical="center"/>
    </xf>
    <xf numFmtId="0" fontId="12" fillId="15" borderId="5" xfId="0" applyFont="1" applyFill="1" applyBorder="1" applyAlignment="1">
      <alignment horizontal="center" vertical="center"/>
    </xf>
    <xf numFmtId="0" fontId="12" fillId="15" borderId="3" xfId="0" applyFont="1" applyFill="1" applyBorder="1" applyAlignment="1">
      <alignment horizontal="center" vertical="center"/>
    </xf>
    <xf numFmtId="0" fontId="12" fillId="15" borderId="5" xfId="0" applyFont="1" applyFill="1" applyBorder="1" applyAlignment="1">
      <alignment horizontal="center" vertical="center"/>
    </xf>
    <xf numFmtId="4" fontId="11" fillId="0" borderId="1" xfId="3" applyNumberFormat="1" applyFont="1" applyBorder="1" applyAlignment="1">
      <alignment horizontal="center" vertical="center"/>
    </xf>
    <xf numFmtId="0" fontId="12" fillId="15" borderId="4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0" fillId="0" borderId="18" xfId="0" applyFont="1" applyBorder="1" applyAlignment="1">
      <alignment horizontal="center" vertical="center"/>
    </xf>
    <xf numFmtId="167" fontId="4" fillId="7" borderId="19" xfId="3" applyNumberFormat="1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vertical="center"/>
    </xf>
    <xf numFmtId="0" fontId="10" fillId="13" borderId="3" xfId="0" applyFont="1" applyFill="1" applyBorder="1" applyAlignment="1">
      <alignment horizontal="center" vertical="center"/>
    </xf>
    <xf numFmtId="0" fontId="10" fillId="13" borderId="4" xfId="0" applyFont="1" applyFill="1" applyBorder="1" applyAlignment="1">
      <alignment horizontal="center" vertical="center"/>
    </xf>
    <xf numFmtId="0" fontId="10" fillId="13" borderId="5" xfId="0" applyFont="1" applyFill="1" applyBorder="1" applyAlignment="1">
      <alignment horizontal="center" vertical="center"/>
    </xf>
    <xf numFmtId="0" fontId="10" fillId="13" borderId="3" xfId="0" applyFont="1" applyFill="1" applyBorder="1" applyAlignment="1">
      <alignment horizontal="center" vertical="center"/>
    </xf>
    <xf numFmtId="0" fontId="10" fillId="13" borderId="5" xfId="0" applyFont="1" applyFill="1" applyBorder="1" applyAlignment="1">
      <alignment horizontal="center" vertical="center"/>
    </xf>
    <xf numFmtId="168" fontId="8" fillId="0" borderId="1" xfId="2" applyNumberFormat="1" applyFont="1" applyFill="1" applyBorder="1" applyAlignment="1">
      <alignment vertical="center"/>
    </xf>
    <xf numFmtId="167" fontId="0" fillId="0" borderId="0" xfId="1" applyNumberFormat="1" applyFont="1"/>
    <xf numFmtId="0" fontId="0" fillId="0" borderId="0" xfId="0" applyAlignment="1">
      <alignment vertical="center" wrapText="1"/>
    </xf>
    <xf numFmtId="166" fontId="8" fillId="11" borderId="1" xfId="3" applyNumberFormat="1" applyFont="1" applyFill="1" applyBorder="1" applyAlignment="1">
      <alignment horizontal="left" vertical="center"/>
    </xf>
    <xf numFmtId="168" fontId="8" fillId="11" borderId="1" xfId="2" applyNumberFormat="1" applyFont="1" applyFill="1" applyBorder="1" applyAlignment="1">
      <alignment vertical="center"/>
    </xf>
    <xf numFmtId="166" fontId="8" fillId="12" borderId="1" xfId="3" applyNumberFormat="1" applyFont="1" applyFill="1" applyBorder="1" applyAlignment="1">
      <alignment horizontal="left" vertical="center"/>
    </xf>
    <xf numFmtId="167" fontId="8" fillId="12" borderId="1" xfId="3" applyNumberFormat="1" applyFont="1" applyFill="1" applyBorder="1" applyAlignment="1">
      <alignment vertical="center"/>
    </xf>
    <xf numFmtId="168" fontId="8" fillId="12" borderId="1" xfId="2" applyNumberFormat="1" applyFont="1" applyFill="1" applyBorder="1" applyAlignment="1">
      <alignment vertical="center"/>
    </xf>
    <xf numFmtId="166" fontId="7" fillId="0" borderId="0" xfId="3" applyNumberFormat="1" applyFont="1" applyBorder="1" applyAlignment="1">
      <alignment horizontal="left" vertical="center"/>
    </xf>
    <xf numFmtId="167" fontId="7" fillId="0" borderId="0" xfId="3" applyNumberFormat="1" applyFont="1" applyBorder="1" applyAlignment="1">
      <alignment vertical="center"/>
    </xf>
    <xf numFmtId="166" fontId="8" fillId="9" borderId="7" xfId="3" applyNumberFormat="1" applyFont="1" applyFill="1" applyBorder="1" applyAlignment="1">
      <alignment horizontal="left" vertical="center"/>
    </xf>
    <xf numFmtId="167" fontId="8" fillId="11" borderId="1" xfId="3" applyNumberFormat="1" applyFont="1" applyFill="1" applyBorder="1" applyAlignment="1">
      <alignment vertical="center"/>
    </xf>
    <xf numFmtId="168" fontId="5" fillId="6" borderId="1" xfId="2" applyNumberFormat="1" applyFont="1" applyFill="1" applyBorder="1" applyAlignment="1">
      <alignment vertical="center"/>
    </xf>
    <xf numFmtId="167" fontId="5" fillId="6" borderId="1" xfId="3" applyNumberFormat="1" applyFont="1" applyFill="1" applyBorder="1" applyAlignment="1">
      <alignment horizontal="center" vertical="center"/>
    </xf>
    <xf numFmtId="0" fontId="10" fillId="13" borderId="4" xfId="0" applyFont="1" applyFill="1" applyBorder="1" applyAlignment="1">
      <alignment horizontal="center" vertical="center"/>
    </xf>
    <xf numFmtId="164" fontId="0" fillId="12" borderId="1" xfId="3" applyFont="1" applyFill="1" applyBorder="1"/>
    <xf numFmtId="164" fontId="0" fillId="12" borderId="1" xfId="0" applyNumberFormat="1" applyFill="1" applyBorder="1"/>
    <xf numFmtId="164" fontId="3" fillId="6" borderId="1" xfId="0" applyNumberFormat="1" applyFont="1" applyFill="1" applyBorder="1"/>
    <xf numFmtId="0" fontId="3" fillId="13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167" fontId="4" fillId="7" borderId="20" xfId="3" applyNumberFormat="1" applyFont="1" applyFill="1" applyBorder="1" applyAlignment="1">
      <alignment horizontal="center" vertical="center"/>
    </xf>
    <xf numFmtId="167" fontId="4" fillId="7" borderId="6" xfId="3" applyNumberFormat="1" applyFont="1" applyFill="1" applyBorder="1" applyAlignment="1">
      <alignment horizontal="center" vertical="center" wrapText="1"/>
    </xf>
    <xf numFmtId="167" fontId="4" fillId="7" borderId="21" xfId="3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43" fontId="0" fillId="11" borderId="1" xfId="0" applyNumberFormat="1" applyFill="1" applyBorder="1"/>
    <xf numFmtId="43" fontId="0" fillId="12" borderId="1" xfId="0" applyNumberFormat="1" applyFill="1" applyBorder="1"/>
    <xf numFmtId="167" fontId="0" fillId="0" borderId="1" xfId="0" applyNumberFormat="1" applyBorder="1"/>
    <xf numFmtId="167" fontId="0" fillId="9" borderId="1" xfId="0" applyNumberFormat="1" applyFill="1" applyBorder="1"/>
    <xf numFmtId="43" fontId="3" fillId="6" borderId="1" xfId="0" applyNumberFormat="1" applyFont="1" applyFill="1" applyBorder="1"/>
    <xf numFmtId="0" fontId="4" fillId="7" borderId="1" xfId="0" applyFont="1" applyFill="1" applyBorder="1" applyAlignment="1">
      <alignment horizontal="center" vertical="center" wrapText="1"/>
    </xf>
    <xf numFmtId="165" fontId="4" fillId="7" borderId="1" xfId="0" applyNumberFormat="1" applyFont="1" applyFill="1" applyBorder="1" applyAlignment="1">
      <alignment horizontal="center" vertical="center" wrapText="1"/>
    </xf>
    <xf numFmtId="167" fontId="4" fillId="7" borderId="1" xfId="3" applyNumberFormat="1" applyFont="1" applyFill="1" applyBorder="1" applyAlignment="1">
      <alignment vertical="center" wrapText="1"/>
    </xf>
    <xf numFmtId="167" fontId="4" fillId="7" borderId="1" xfId="3" applyNumberFormat="1" applyFont="1" applyFill="1" applyBorder="1" applyAlignment="1">
      <alignment horizontal="center" vertical="center" wrapText="1"/>
    </xf>
    <xf numFmtId="0" fontId="0" fillId="0" borderId="1" xfId="0" applyBorder="1"/>
    <xf numFmtId="9" fontId="0" fillId="0" borderId="1" xfId="2" applyFont="1" applyBorder="1"/>
    <xf numFmtId="0" fontId="0" fillId="9" borderId="1" xfId="0" applyFill="1" applyBorder="1"/>
    <xf numFmtId="9" fontId="0" fillId="9" borderId="1" xfId="2" applyFont="1" applyFill="1" applyBorder="1"/>
    <xf numFmtId="0" fontId="0" fillId="12" borderId="1" xfId="0" applyFill="1" applyBorder="1"/>
    <xf numFmtId="167" fontId="0" fillId="12" borderId="1" xfId="0" applyNumberFormat="1" applyFill="1" applyBorder="1"/>
    <xf numFmtId="9" fontId="0" fillId="12" borderId="1" xfId="2" applyFont="1" applyFill="1" applyBorder="1"/>
    <xf numFmtId="0" fontId="3" fillId="13" borderId="3" xfId="0" applyFont="1" applyFill="1" applyBorder="1" applyAlignment="1">
      <alignment horizontal="center"/>
    </xf>
    <xf numFmtId="0" fontId="3" fillId="13" borderId="5" xfId="0" applyFont="1" applyFill="1" applyBorder="1" applyAlignment="1">
      <alignment horizontal="center"/>
    </xf>
    <xf numFmtId="0" fontId="10" fillId="3" borderId="3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/>
    </xf>
    <xf numFmtId="0" fontId="6" fillId="3" borderId="16" xfId="0" applyFont="1" applyFill="1" applyBorder="1" applyAlignment="1">
      <alignment horizontal="center"/>
    </xf>
    <xf numFmtId="0" fontId="6" fillId="3" borderId="23" xfId="0" applyFont="1" applyFill="1" applyBorder="1" applyAlignment="1">
      <alignment horizontal="center"/>
    </xf>
    <xf numFmtId="0" fontId="3" fillId="12" borderId="1" xfId="0" applyFont="1" applyFill="1" applyBorder="1"/>
    <xf numFmtId="43" fontId="3" fillId="12" borderId="1" xfId="0" applyNumberFormat="1" applyFont="1" applyFill="1" applyBorder="1"/>
    <xf numFmtId="164" fontId="3" fillId="16" borderId="0" xfId="3" applyFont="1" applyFill="1"/>
    <xf numFmtId="0" fontId="3" fillId="16" borderId="0" xfId="0" applyFont="1" applyFill="1"/>
    <xf numFmtId="0" fontId="13" fillId="16" borderId="0" xfId="0" applyFont="1" applyFill="1"/>
    <xf numFmtId="0" fontId="3" fillId="0" borderId="0" xfId="0" applyFont="1"/>
    <xf numFmtId="0" fontId="3" fillId="17" borderId="0" xfId="0" applyFont="1" applyFill="1"/>
    <xf numFmtId="0" fontId="3" fillId="18" borderId="0" xfId="0" applyFont="1" applyFill="1"/>
    <xf numFmtId="168" fontId="3" fillId="5" borderId="1" xfId="2" applyNumberFormat="1" applyFont="1" applyFill="1" applyBorder="1"/>
    <xf numFmtId="0" fontId="14" fillId="0" borderId="0" xfId="4"/>
    <xf numFmtId="164" fontId="0" fillId="0" borderId="0" xfId="3" applyFont="1"/>
    <xf numFmtId="18" fontId="3" fillId="19" borderId="1" xfId="0" applyNumberFormat="1" applyFont="1" applyFill="1" applyBorder="1"/>
    <xf numFmtId="0" fontId="14" fillId="0" borderId="0" xfId="4" applyFill="1"/>
    <xf numFmtId="0" fontId="3" fillId="20" borderId="1" xfId="0" applyFont="1" applyFill="1" applyBorder="1" applyAlignment="1">
      <alignment horizontal="left"/>
    </xf>
    <xf numFmtId="0" fontId="3" fillId="20" borderId="1" xfId="0" applyFont="1" applyFill="1" applyBorder="1"/>
    <xf numFmtId="0" fontId="15" fillId="0" borderId="0" xfId="0" applyFont="1"/>
    <xf numFmtId="164" fontId="0" fillId="16" borderId="0" xfId="3" applyFont="1" applyFill="1"/>
    <xf numFmtId="0" fontId="0" fillId="16" borderId="0" xfId="0" applyFill="1"/>
    <xf numFmtId="10" fontId="0" fillId="16" borderId="0" xfId="2" applyNumberFormat="1" applyFont="1" applyFill="1"/>
    <xf numFmtId="0" fontId="0" fillId="17" borderId="0" xfId="0" applyFill="1"/>
    <xf numFmtId="0" fontId="0" fillId="18" borderId="0" xfId="0" applyFill="1"/>
    <xf numFmtId="0" fontId="0" fillId="13" borderId="0" xfId="0" applyFill="1" applyAlignment="1">
      <alignment wrapText="1"/>
    </xf>
    <xf numFmtId="0" fontId="0" fillId="0" borderId="0" xfId="0" quotePrefix="1"/>
    <xf numFmtId="0" fontId="16" fillId="13" borderId="24" xfId="0" applyFont="1" applyFill="1" applyBorder="1" applyAlignment="1">
      <alignment horizontal="left" vertical="center"/>
    </xf>
    <xf numFmtId="0" fontId="16" fillId="13" borderId="25" xfId="0" applyFont="1" applyFill="1" applyBorder="1"/>
    <xf numFmtId="0" fontId="16" fillId="0" borderId="0" xfId="0" applyFont="1"/>
    <xf numFmtId="0" fontId="16" fillId="9" borderId="24" xfId="0" applyFont="1" applyFill="1" applyBorder="1" applyAlignment="1">
      <alignment horizontal="left" vertical="center"/>
    </xf>
    <xf numFmtId="0" fontId="16" fillId="9" borderId="25" xfId="0" applyFont="1" applyFill="1" applyBorder="1"/>
    <xf numFmtId="0" fontId="16" fillId="8" borderId="24" xfId="0" applyFont="1" applyFill="1" applyBorder="1" applyAlignment="1">
      <alignment horizontal="left" vertical="center"/>
    </xf>
    <xf numFmtId="0" fontId="16" fillId="8" borderId="25" xfId="0" applyFont="1" applyFill="1" applyBorder="1"/>
    <xf numFmtId="0" fontId="16" fillId="17" borderId="24" xfId="0" applyFont="1" applyFill="1" applyBorder="1" applyAlignment="1">
      <alignment horizontal="left" vertical="center"/>
    </xf>
    <xf numFmtId="0" fontId="16" fillId="17" borderId="25" xfId="0" applyFont="1" applyFill="1" applyBorder="1"/>
    <xf numFmtId="0" fontId="16" fillId="21" borderId="24" xfId="0" applyFont="1" applyFill="1" applyBorder="1"/>
    <xf numFmtId="0" fontId="16" fillId="21" borderId="25" xfId="0" applyFont="1" applyFill="1" applyBorder="1"/>
    <xf numFmtId="0" fontId="0" fillId="0" borderId="0" xfId="0" applyAlignment="1">
      <alignment horizontal="left"/>
    </xf>
    <xf numFmtId="2" fontId="0" fillId="0" borderId="0" xfId="0" applyNumberFormat="1"/>
    <xf numFmtId="1" fontId="0" fillId="0" borderId="0" xfId="0" applyNumberFormat="1"/>
    <xf numFmtId="169" fontId="17" fillId="22" borderId="1" xfId="0" applyNumberFormat="1" applyFont="1" applyFill="1" applyBorder="1" applyAlignment="1">
      <alignment horizontal="left" vertical="center"/>
    </xf>
    <xf numFmtId="169" fontId="17" fillId="23" borderId="1" xfId="0" applyNumberFormat="1" applyFont="1" applyFill="1" applyBorder="1" applyAlignment="1">
      <alignment horizontal="left" vertical="center"/>
    </xf>
    <xf numFmtId="169" fontId="17" fillId="23" borderId="1" xfId="0" applyNumberFormat="1" applyFont="1" applyFill="1" applyBorder="1" applyAlignment="1">
      <alignment horizontal="center" vertical="center"/>
    </xf>
    <xf numFmtId="169" fontId="17" fillId="24" borderId="1" xfId="0" applyNumberFormat="1" applyFont="1" applyFill="1" applyBorder="1" applyAlignment="1">
      <alignment horizontal="center" vertical="center"/>
    </xf>
    <xf numFmtId="169" fontId="17" fillId="23" borderId="5" xfId="0" applyNumberFormat="1" applyFont="1" applyFill="1" applyBorder="1" applyAlignment="1">
      <alignment horizontal="center" vertical="center"/>
    </xf>
    <xf numFmtId="169" fontId="17" fillId="25" borderId="1" xfId="0" applyNumberFormat="1" applyFont="1" applyFill="1" applyBorder="1" applyAlignment="1">
      <alignment horizontal="left" vertical="center"/>
    </xf>
    <xf numFmtId="169" fontId="17" fillId="23" borderId="1" xfId="0" quotePrefix="1" applyNumberFormat="1" applyFont="1" applyFill="1" applyBorder="1" applyAlignment="1">
      <alignment horizontal="left" vertical="center"/>
    </xf>
    <xf numFmtId="0" fontId="3" fillId="16" borderId="1" xfId="0" applyFont="1" applyFill="1" applyBorder="1"/>
    <xf numFmtId="169" fontId="0" fillId="0" borderId="0" xfId="0" applyNumberFormat="1" applyAlignment="1">
      <alignment horizontal="center" vertical="center"/>
    </xf>
    <xf numFmtId="166" fontId="0" fillId="0" borderId="0" xfId="3" applyNumberFormat="1" applyFont="1" applyFill="1" applyAlignment="1">
      <alignment horizontal="left"/>
    </xf>
    <xf numFmtId="0" fontId="18" fillId="0" borderId="0" xfId="0" applyFont="1" applyAlignment="1">
      <alignment horizontal="center"/>
    </xf>
    <xf numFmtId="0" fontId="0" fillId="26" borderId="1" xfId="0" applyFill="1" applyBorder="1" applyAlignment="1">
      <alignment horizontal="left" vertical="center"/>
    </xf>
    <xf numFmtId="0" fontId="0" fillId="27" borderId="1" xfId="0" applyFill="1" applyBorder="1" applyAlignment="1">
      <alignment horizontal="left" vertical="center"/>
    </xf>
    <xf numFmtId="166" fontId="0" fillId="21" borderId="1" xfId="3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6" fontId="0" fillId="0" borderId="1" xfId="3" applyNumberFormat="1" applyFont="1" applyBorder="1"/>
    <xf numFmtId="0" fontId="0" fillId="0" borderId="0" xfId="0" applyAlignment="1">
      <alignment horizontal="left" vertical="center"/>
    </xf>
  </cellXfs>
  <cellStyles count="5">
    <cellStyle name="Comma" xfId="1" builtinId="3"/>
    <cellStyle name="Comma 15" xfId="3" xr:uid="{564EF528-5D7F-4A32-B1C7-374FBF9061B5}"/>
    <cellStyle name="Hyperlink" xfId="4" builtinId="8"/>
    <cellStyle name="Normal" xfId="0" builtinId="0"/>
    <cellStyle name="Percent" xfId="2" builtinId="5"/>
  </cellStyles>
  <dxfs count="8">
    <dxf>
      <fill>
        <patternFill>
          <bgColor rgb="FFFFD3D3"/>
        </patternFill>
      </fill>
    </dxf>
    <dxf>
      <fill>
        <patternFill>
          <bgColor rgb="FFFFD3D3"/>
        </patternFill>
      </fill>
    </dxf>
    <dxf>
      <fill>
        <patternFill>
          <bgColor rgb="FFFFD3D3"/>
        </patternFill>
      </fill>
    </dxf>
    <dxf>
      <fill>
        <patternFill>
          <bgColor rgb="FFFFD3D3"/>
        </patternFill>
      </fill>
    </dxf>
    <dxf>
      <fill>
        <patternFill>
          <bgColor rgb="FFFFD3D3"/>
        </patternFill>
      </fill>
    </dxf>
    <dxf>
      <fill>
        <patternFill>
          <bgColor rgb="FFFFD3D3"/>
        </patternFill>
      </fill>
    </dxf>
    <dxf>
      <fill>
        <patternFill>
          <bgColor rgb="FFFFD3D3"/>
        </patternFill>
      </fill>
    </dxf>
    <dxf>
      <fill>
        <patternFill>
          <bgColor rgb="FFFFD3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85D32-3718-42AD-8ED3-FDEEA0C44E37}">
  <dimension ref="A2:M47"/>
  <sheetViews>
    <sheetView workbookViewId="0">
      <pane ySplit="2" topLeftCell="A24" activePane="bottomLeft" state="frozen"/>
      <selection activeCell="G54" sqref="G54"/>
      <selection pane="bottomLeft" activeCell="G54" sqref="G54"/>
    </sheetView>
  </sheetViews>
  <sheetFormatPr defaultRowHeight="15" x14ac:dyDescent="0.25"/>
  <cols>
    <col min="1" max="1" width="18.42578125" bestFit="1" customWidth="1"/>
    <col min="2" max="2" width="15" style="29" bestFit="1" customWidth="1"/>
    <col min="3" max="3" width="16.28515625" style="29" customWidth="1"/>
    <col min="4" max="4" width="14.7109375" style="29" hidden="1" customWidth="1"/>
    <col min="5" max="5" width="14.28515625" style="29" hidden="1" customWidth="1"/>
    <col min="6" max="6" width="13.85546875" style="29" hidden="1" customWidth="1"/>
    <col min="7" max="7" width="15.7109375" style="29" bestFit="1" customWidth="1"/>
    <col min="12" max="12" width="10.5703125" bestFit="1" customWidth="1"/>
    <col min="13" max="13" width="12" bestFit="1" customWidth="1"/>
  </cols>
  <sheetData>
    <row r="2" spans="1:7" ht="25.5" x14ac:dyDescent="0.25">
      <c r="A2" s="1" t="s">
        <v>0</v>
      </c>
      <c r="B2" s="2" t="s">
        <v>1</v>
      </c>
      <c r="C2" s="3" t="s">
        <v>2</v>
      </c>
      <c r="D2" s="4" t="s">
        <v>3</v>
      </c>
      <c r="E2" s="5" t="s">
        <v>4</v>
      </c>
      <c r="F2" s="5" t="s">
        <v>5</v>
      </c>
      <c r="G2" s="4" t="s">
        <v>6</v>
      </c>
    </row>
    <row r="3" spans="1:7" x14ac:dyDescent="0.25">
      <c r="A3" s="6" t="s">
        <v>7</v>
      </c>
      <c r="B3" s="6"/>
      <c r="C3" s="6"/>
      <c r="D3" s="6"/>
      <c r="E3" s="6"/>
      <c r="F3" s="6"/>
      <c r="G3" s="6"/>
    </row>
    <row r="4" spans="1:7" x14ac:dyDescent="0.25">
      <c r="A4" s="7" t="s">
        <v>8</v>
      </c>
      <c r="B4" s="8">
        <v>7155724.3600000003</v>
      </c>
      <c r="C4" s="9">
        <v>5763299.9999999991</v>
      </c>
      <c r="D4" s="10">
        <v>0</v>
      </c>
      <c r="E4" s="8">
        <v>0</v>
      </c>
      <c r="F4" s="8">
        <v>0</v>
      </c>
      <c r="G4" s="8">
        <f>SUM(B4:F4)</f>
        <v>12919024.359999999</v>
      </c>
    </row>
    <row r="5" spans="1:7" x14ac:dyDescent="0.25">
      <c r="A5" s="7" t="s">
        <v>9</v>
      </c>
      <c r="B5" s="8">
        <v>3459118.8499999996</v>
      </c>
      <c r="C5" s="9">
        <v>7468102.6000000006</v>
      </c>
      <c r="D5" s="10">
        <v>0</v>
      </c>
      <c r="E5" s="8">
        <v>0</v>
      </c>
      <c r="F5" s="8">
        <v>0</v>
      </c>
      <c r="G5" s="8">
        <f t="shared" ref="G5:G32" si="0">SUM(B5:F5)</f>
        <v>10927221.449999999</v>
      </c>
    </row>
    <row r="6" spans="1:7" x14ac:dyDescent="0.25">
      <c r="A6" s="7" t="s">
        <v>10</v>
      </c>
      <c r="B6" s="8">
        <v>7881000.9399999995</v>
      </c>
      <c r="C6" s="8">
        <v>8410159.6099999994</v>
      </c>
      <c r="D6" s="8">
        <v>0</v>
      </c>
      <c r="E6" s="8">
        <v>0</v>
      </c>
      <c r="F6" s="8">
        <v>0</v>
      </c>
      <c r="G6" s="8">
        <f t="shared" si="0"/>
        <v>16291160.549999999</v>
      </c>
    </row>
    <row r="7" spans="1:7" x14ac:dyDescent="0.25">
      <c r="A7" s="7" t="s">
        <v>11</v>
      </c>
      <c r="B7" s="8">
        <v>1325391.8799999999</v>
      </c>
      <c r="C7" s="9">
        <v>1606659.88</v>
      </c>
      <c r="D7" s="10">
        <v>0</v>
      </c>
      <c r="E7" s="8">
        <v>0</v>
      </c>
      <c r="F7" s="8">
        <v>0</v>
      </c>
      <c r="G7" s="8">
        <f t="shared" si="0"/>
        <v>2932051.76</v>
      </c>
    </row>
    <row r="8" spans="1:7" x14ac:dyDescent="0.25">
      <c r="A8" s="11" t="s">
        <v>12</v>
      </c>
      <c r="B8" s="12">
        <f>SUM(B4:B7)</f>
        <v>19821236.029999997</v>
      </c>
      <c r="C8" s="13">
        <f>SUM(C4:C7)</f>
        <v>23248222.09</v>
      </c>
      <c r="D8" s="14">
        <f>SUM(D4:D7)</f>
        <v>0</v>
      </c>
      <c r="E8" s="14">
        <f>SUM(E4:E7)</f>
        <v>0</v>
      </c>
      <c r="F8" s="14">
        <f>SUM(F4:F7)</f>
        <v>0</v>
      </c>
      <c r="G8" s="15">
        <f t="shared" si="0"/>
        <v>43069458.119999997</v>
      </c>
    </row>
    <row r="9" spans="1:7" x14ac:dyDescent="0.25">
      <c r="A9" s="7" t="s">
        <v>13</v>
      </c>
      <c r="B9" s="8">
        <v>498000</v>
      </c>
      <c r="C9" s="9">
        <v>1335821</v>
      </c>
      <c r="D9" s="10">
        <v>0</v>
      </c>
      <c r="E9" s="8">
        <v>0</v>
      </c>
      <c r="F9" s="8">
        <v>0</v>
      </c>
      <c r="G9" s="8">
        <f t="shared" si="0"/>
        <v>1833821</v>
      </c>
    </row>
    <row r="10" spans="1:7" x14ac:dyDescent="0.25">
      <c r="A10" s="7" t="s">
        <v>14</v>
      </c>
      <c r="B10" s="8">
        <v>3009971</v>
      </c>
      <c r="C10" s="9">
        <v>3907729</v>
      </c>
      <c r="D10" s="10">
        <v>0</v>
      </c>
      <c r="E10" s="8">
        <v>0</v>
      </c>
      <c r="F10" s="8">
        <v>0</v>
      </c>
      <c r="G10" s="8">
        <f t="shared" si="0"/>
        <v>6917700</v>
      </c>
    </row>
    <row r="11" spans="1:7" x14ac:dyDescent="0.25">
      <c r="A11" s="7" t="s">
        <v>15</v>
      </c>
      <c r="B11" s="8">
        <v>4491953.5199999996</v>
      </c>
      <c r="C11" s="9">
        <v>5334775.1900000004</v>
      </c>
      <c r="D11" s="10">
        <v>0</v>
      </c>
      <c r="E11" s="8">
        <v>0</v>
      </c>
      <c r="F11" s="8">
        <v>0</v>
      </c>
      <c r="G11" s="8">
        <f t="shared" si="0"/>
        <v>9826728.7100000009</v>
      </c>
    </row>
    <row r="12" spans="1:7" x14ac:dyDescent="0.25">
      <c r="A12" s="7" t="s">
        <v>16</v>
      </c>
      <c r="B12" s="8">
        <v>5572975</v>
      </c>
      <c r="C12" s="9">
        <v>6186990.1200000001</v>
      </c>
      <c r="D12" s="10">
        <v>0</v>
      </c>
      <c r="E12" s="8">
        <v>0</v>
      </c>
      <c r="F12" s="8">
        <v>0</v>
      </c>
      <c r="G12" s="8">
        <f t="shared" si="0"/>
        <v>11759965.120000001</v>
      </c>
    </row>
    <row r="13" spans="1:7" x14ac:dyDescent="0.25">
      <c r="A13" s="7" t="s">
        <v>17</v>
      </c>
      <c r="B13" s="8">
        <v>2647104</v>
      </c>
      <c r="C13" s="9">
        <v>4343823</v>
      </c>
      <c r="D13" s="10">
        <v>0</v>
      </c>
      <c r="E13" s="8">
        <v>0</v>
      </c>
      <c r="F13" s="8">
        <v>0</v>
      </c>
      <c r="G13" s="8">
        <f t="shared" si="0"/>
        <v>6990927</v>
      </c>
    </row>
    <row r="14" spans="1:7" x14ac:dyDescent="0.25">
      <c r="A14" s="7" t="s">
        <v>18</v>
      </c>
      <c r="B14" s="8">
        <v>4660561</v>
      </c>
      <c r="C14" s="9">
        <v>6841253</v>
      </c>
      <c r="D14" s="10">
        <v>0</v>
      </c>
      <c r="E14" s="8">
        <v>0</v>
      </c>
      <c r="F14" s="8">
        <v>0</v>
      </c>
      <c r="G14" s="8">
        <f t="shared" si="0"/>
        <v>11501814</v>
      </c>
    </row>
    <row r="15" spans="1:7" x14ac:dyDescent="0.25">
      <c r="A15" s="7" t="s">
        <v>19</v>
      </c>
      <c r="B15" s="8">
        <v>431500</v>
      </c>
      <c r="C15" s="9">
        <v>1625439.41</v>
      </c>
      <c r="D15" s="10">
        <v>0</v>
      </c>
      <c r="E15" s="8">
        <v>0</v>
      </c>
      <c r="F15" s="8">
        <v>0</v>
      </c>
      <c r="G15" s="8">
        <f t="shared" si="0"/>
        <v>2056939.41</v>
      </c>
    </row>
    <row r="16" spans="1:7" x14ac:dyDescent="0.25">
      <c r="A16" s="7" t="s">
        <v>20</v>
      </c>
      <c r="B16" s="8">
        <v>5883054.9199999999</v>
      </c>
      <c r="C16" s="9">
        <v>8708469.4900000002</v>
      </c>
      <c r="D16" s="10">
        <v>0</v>
      </c>
      <c r="E16" s="8">
        <v>0</v>
      </c>
      <c r="F16" s="8">
        <v>0</v>
      </c>
      <c r="G16" s="8">
        <f t="shared" si="0"/>
        <v>14591524.41</v>
      </c>
    </row>
    <row r="17" spans="1:7" x14ac:dyDescent="0.25">
      <c r="A17" s="7" t="s">
        <v>21</v>
      </c>
      <c r="B17" s="8">
        <v>4831508.7200000007</v>
      </c>
      <c r="C17" s="9">
        <v>5672744.5199999996</v>
      </c>
      <c r="D17" s="10">
        <v>0</v>
      </c>
      <c r="E17" s="8">
        <v>0</v>
      </c>
      <c r="F17" s="8">
        <v>0</v>
      </c>
      <c r="G17" s="8">
        <f t="shared" si="0"/>
        <v>10504253.24</v>
      </c>
    </row>
    <row r="18" spans="1:7" x14ac:dyDescent="0.25">
      <c r="A18" s="7" t="s">
        <v>22</v>
      </c>
      <c r="B18" s="8">
        <v>4259004</v>
      </c>
      <c r="C18" s="9">
        <v>6132007</v>
      </c>
      <c r="D18" s="10">
        <v>0</v>
      </c>
      <c r="E18" s="8">
        <v>0</v>
      </c>
      <c r="F18" s="8">
        <v>0</v>
      </c>
      <c r="G18" s="8">
        <f t="shared" si="0"/>
        <v>10391011</v>
      </c>
    </row>
    <row r="19" spans="1:7" x14ac:dyDescent="0.25">
      <c r="A19" s="7" t="s">
        <v>23</v>
      </c>
      <c r="B19" s="8">
        <v>2739365.36</v>
      </c>
      <c r="C19" s="9">
        <v>7010906.1699999999</v>
      </c>
      <c r="D19" s="10">
        <v>0</v>
      </c>
      <c r="E19" s="8">
        <v>0</v>
      </c>
      <c r="F19" s="8">
        <v>0</v>
      </c>
      <c r="G19" s="8">
        <f t="shared" si="0"/>
        <v>9750271.5299999993</v>
      </c>
    </row>
    <row r="20" spans="1:7" x14ac:dyDescent="0.25">
      <c r="A20" s="7" t="s">
        <v>24</v>
      </c>
      <c r="B20" s="8">
        <v>4101645</v>
      </c>
      <c r="C20" s="9">
        <v>4682952.4000000004</v>
      </c>
      <c r="D20" s="10">
        <v>0</v>
      </c>
      <c r="E20" s="8">
        <v>0</v>
      </c>
      <c r="F20" s="8">
        <v>0</v>
      </c>
      <c r="G20" s="8">
        <f t="shared" si="0"/>
        <v>8784597.4000000004</v>
      </c>
    </row>
    <row r="21" spans="1:7" x14ac:dyDescent="0.25">
      <c r="A21" s="7" t="s">
        <v>25</v>
      </c>
      <c r="B21" s="8">
        <v>4219475</v>
      </c>
      <c r="C21" s="9">
        <v>6025239</v>
      </c>
      <c r="D21" s="10">
        <v>0</v>
      </c>
      <c r="E21" s="8">
        <v>0</v>
      </c>
      <c r="F21" s="8">
        <v>0</v>
      </c>
      <c r="G21" s="8">
        <f t="shared" si="0"/>
        <v>10244714</v>
      </c>
    </row>
    <row r="22" spans="1:7" x14ac:dyDescent="0.25">
      <c r="A22" s="7" t="s">
        <v>26</v>
      </c>
      <c r="B22" s="8">
        <v>2227052</v>
      </c>
      <c r="C22" s="9">
        <v>3273247</v>
      </c>
      <c r="D22" s="10">
        <v>0</v>
      </c>
      <c r="E22" s="8">
        <v>0</v>
      </c>
      <c r="F22" s="8">
        <v>0</v>
      </c>
      <c r="G22" s="8">
        <f t="shared" si="0"/>
        <v>5500299</v>
      </c>
    </row>
    <row r="23" spans="1:7" x14ac:dyDescent="0.25">
      <c r="A23" s="7" t="s">
        <v>27</v>
      </c>
      <c r="B23" s="8">
        <v>4061209</v>
      </c>
      <c r="C23" s="9">
        <v>5556077</v>
      </c>
      <c r="D23" s="10">
        <v>0</v>
      </c>
      <c r="E23" s="8">
        <v>0</v>
      </c>
      <c r="F23" s="8">
        <v>0</v>
      </c>
      <c r="G23" s="8">
        <f t="shared" si="0"/>
        <v>9617286</v>
      </c>
    </row>
    <row r="24" spans="1:7" x14ac:dyDescent="0.25">
      <c r="A24" s="7" t="s">
        <v>28</v>
      </c>
      <c r="B24" s="8">
        <v>2333678.4700000002</v>
      </c>
      <c r="C24" s="9">
        <v>5006716.32</v>
      </c>
      <c r="D24" s="10">
        <v>0</v>
      </c>
      <c r="E24" s="8">
        <v>0</v>
      </c>
      <c r="F24" s="8">
        <v>0</v>
      </c>
      <c r="G24" s="8">
        <f t="shared" si="0"/>
        <v>7340394.790000001</v>
      </c>
    </row>
    <row r="25" spans="1:7" x14ac:dyDescent="0.25">
      <c r="A25" s="7" t="s">
        <v>29</v>
      </c>
      <c r="B25" s="8">
        <v>2726659.96</v>
      </c>
      <c r="C25" s="9">
        <v>3145192</v>
      </c>
      <c r="D25" s="10">
        <v>0</v>
      </c>
      <c r="E25" s="8">
        <v>0</v>
      </c>
      <c r="F25" s="8">
        <v>0</v>
      </c>
      <c r="G25" s="8">
        <f t="shared" si="0"/>
        <v>5871851.96</v>
      </c>
    </row>
    <row r="26" spans="1:7" x14ac:dyDescent="0.25">
      <c r="A26" s="7" t="s">
        <v>30</v>
      </c>
      <c r="B26" s="8">
        <v>1227870.56</v>
      </c>
      <c r="C26" s="9">
        <v>3213092.52</v>
      </c>
      <c r="D26" s="10">
        <v>0</v>
      </c>
      <c r="E26" s="8">
        <v>0</v>
      </c>
      <c r="F26" s="8">
        <v>0</v>
      </c>
      <c r="G26" s="8">
        <f t="shared" si="0"/>
        <v>4440963.08</v>
      </c>
    </row>
    <row r="27" spans="1:7" x14ac:dyDescent="0.25">
      <c r="A27" s="7" t="s">
        <v>31</v>
      </c>
      <c r="B27" s="8">
        <v>1983537</v>
      </c>
      <c r="C27" s="9">
        <v>3056329</v>
      </c>
      <c r="D27" s="10">
        <v>0</v>
      </c>
      <c r="E27" s="8">
        <v>0</v>
      </c>
      <c r="F27" s="8">
        <v>0</v>
      </c>
      <c r="G27" s="8">
        <f t="shared" si="0"/>
        <v>5039866</v>
      </c>
    </row>
    <row r="28" spans="1:7" x14ac:dyDescent="0.25">
      <c r="A28" s="7" t="s">
        <v>32</v>
      </c>
      <c r="B28" s="8">
        <v>1877901.6400000001</v>
      </c>
      <c r="C28" s="9">
        <v>3242312.58</v>
      </c>
      <c r="D28" s="10">
        <v>0</v>
      </c>
      <c r="E28" s="8">
        <v>0</v>
      </c>
      <c r="F28" s="8">
        <v>0</v>
      </c>
      <c r="G28" s="8">
        <f t="shared" si="0"/>
        <v>5120214.2200000007</v>
      </c>
    </row>
    <row r="29" spans="1:7" x14ac:dyDescent="0.25">
      <c r="A29" s="7" t="s">
        <v>33</v>
      </c>
      <c r="B29" s="8">
        <v>2079391</v>
      </c>
      <c r="C29" s="9">
        <v>4459661</v>
      </c>
      <c r="D29" s="10">
        <v>0</v>
      </c>
      <c r="E29" s="8">
        <v>0</v>
      </c>
      <c r="F29" s="8">
        <v>0</v>
      </c>
      <c r="G29" s="8">
        <f t="shared" si="0"/>
        <v>6539052</v>
      </c>
    </row>
    <row r="30" spans="1:7" x14ac:dyDescent="0.25">
      <c r="A30" s="7" t="s">
        <v>34</v>
      </c>
      <c r="B30" s="8">
        <v>3923405.7199999997</v>
      </c>
      <c r="C30" s="9">
        <v>5716735.6699999999</v>
      </c>
      <c r="D30" s="10">
        <v>0</v>
      </c>
      <c r="E30" s="8">
        <v>0</v>
      </c>
      <c r="F30" s="8">
        <v>0</v>
      </c>
      <c r="G30" s="8">
        <f t="shared" si="0"/>
        <v>9640141.3900000006</v>
      </c>
    </row>
    <row r="31" spans="1:7" x14ac:dyDescent="0.25">
      <c r="A31" s="11" t="s">
        <v>35</v>
      </c>
      <c r="B31" s="12">
        <f>SUM(B9:B30)</f>
        <v>69786822.870000005</v>
      </c>
      <c r="C31" s="13">
        <f>SUM(C9:C30)</f>
        <v>104477512.39</v>
      </c>
      <c r="D31" s="14">
        <f>SUM(D9:D30)</f>
        <v>0</v>
      </c>
      <c r="E31" s="15">
        <f>SUM(E9:E30)</f>
        <v>0</v>
      </c>
      <c r="F31" s="15">
        <f>SUM(F9:F30)</f>
        <v>0</v>
      </c>
      <c r="G31" s="15">
        <f t="shared" si="0"/>
        <v>174264335.25999999</v>
      </c>
    </row>
    <row r="32" spans="1:7" x14ac:dyDescent="0.25">
      <c r="A32" s="16" t="s">
        <v>36</v>
      </c>
      <c r="B32" s="17">
        <f>SUM(B31,B8)</f>
        <v>89608058.900000006</v>
      </c>
      <c r="C32" s="18">
        <f>SUM(C31,C8)</f>
        <v>127725734.48</v>
      </c>
      <c r="D32" s="19">
        <f>SUM(D31,D8)</f>
        <v>0</v>
      </c>
      <c r="E32" s="17">
        <f>SUM(E31,E8)</f>
        <v>0</v>
      </c>
      <c r="F32" s="17">
        <f>SUM(F31,F8)</f>
        <v>0</v>
      </c>
      <c r="G32" s="17">
        <f t="shared" si="0"/>
        <v>217333793.38</v>
      </c>
    </row>
    <row r="33" spans="1:13" x14ac:dyDescent="0.25">
      <c r="A33" s="20" t="s">
        <v>37</v>
      </c>
      <c r="B33" s="21"/>
      <c r="C33" s="21"/>
      <c r="D33" s="21"/>
      <c r="E33" s="21"/>
      <c r="F33" s="21"/>
      <c r="G33" s="22"/>
    </row>
    <row r="34" spans="1:13" x14ac:dyDescent="0.25">
      <c r="A34" s="7" t="s">
        <v>38</v>
      </c>
      <c r="B34" s="8">
        <v>1527000</v>
      </c>
      <c r="C34" s="9">
        <v>3000682</v>
      </c>
      <c r="D34" s="10">
        <v>0</v>
      </c>
      <c r="E34" s="8">
        <v>0</v>
      </c>
      <c r="F34" s="8">
        <v>0</v>
      </c>
      <c r="G34" s="8">
        <f t="shared" ref="G34:G47" si="1">SUM(B34:F34)</f>
        <v>4527682</v>
      </c>
    </row>
    <row r="35" spans="1:13" x14ac:dyDescent="0.25">
      <c r="A35" s="7" t="s">
        <v>39</v>
      </c>
      <c r="B35" s="8">
        <v>4361320</v>
      </c>
      <c r="C35" s="9">
        <v>7551735</v>
      </c>
      <c r="D35" s="10">
        <v>0</v>
      </c>
      <c r="E35" s="8">
        <v>0</v>
      </c>
      <c r="F35" s="8">
        <v>0</v>
      </c>
      <c r="G35" s="8">
        <f t="shared" si="1"/>
        <v>11913055</v>
      </c>
    </row>
    <row r="36" spans="1:13" x14ac:dyDescent="0.25">
      <c r="A36" s="7" t="s">
        <v>40</v>
      </c>
      <c r="B36" s="8">
        <v>3577590</v>
      </c>
      <c r="C36" s="9">
        <v>2781023</v>
      </c>
      <c r="D36" s="10">
        <v>0</v>
      </c>
      <c r="E36" s="8">
        <v>0</v>
      </c>
      <c r="F36" s="8">
        <v>0</v>
      </c>
      <c r="G36" s="8">
        <f t="shared" si="1"/>
        <v>6358613</v>
      </c>
    </row>
    <row r="37" spans="1:13" x14ac:dyDescent="0.25">
      <c r="A37" s="7" t="s">
        <v>41</v>
      </c>
      <c r="B37" s="8">
        <v>0</v>
      </c>
      <c r="C37" s="9">
        <v>0</v>
      </c>
      <c r="D37" s="10">
        <v>0</v>
      </c>
      <c r="E37" s="8">
        <v>0</v>
      </c>
      <c r="F37" s="8">
        <v>0</v>
      </c>
      <c r="G37" s="8">
        <f t="shared" si="1"/>
        <v>0</v>
      </c>
    </row>
    <row r="38" spans="1:13" x14ac:dyDescent="0.25">
      <c r="A38" s="7" t="s">
        <v>42</v>
      </c>
      <c r="B38" s="8">
        <v>1778643</v>
      </c>
      <c r="C38" s="9">
        <v>3396199</v>
      </c>
      <c r="D38" s="10">
        <v>0</v>
      </c>
      <c r="E38" s="8">
        <v>0</v>
      </c>
      <c r="F38" s="8">
        <v>0</v>
      </c>
      <c r="G38" s="8">
        <f t="shared" si="1"/>
        <v>5174842</v>
      </c>
    </row>
    <row r="39" spans="1:13" x14ac:dyDescent="0.25">
      <c r="A39" s="7" t="s">
        <v>43</v>
      </c>
      <c r="B39" s="8">
        <v>2246551</v>
      </c>
      <c r="C39" s="9">
        <v>4503634.97</v>
      </c>
      <c r="D39" s="10">
        <v>0</v>
      </c>
      <c r="E39" s="8">
        <v>0</v>
      </c>
      <c r="F39" s="8">
        <v>0</v>
      </c>
      <c r="G39" s="8">
        <f t="shared" si="1"/>
        <v>6750185.9699999997</v>
      </c>
    </row>
    <row r="40" spans="1:13" x14ac:dyDescent="0.25">
      <c r="A40" s="7" t="s">
        <v>44</v>
      </c>
      <c r="B40" s="8">
        <v>1236697</v>
      </c>
      <c r="C40" s="9">
        <v>1914006</v>
      </c>
      <c r="D40" s="10">
        <v>0</v>
      </c>
      <c r="E40" s="8">
        <v>0</v>
      </c>
      <c r="F40" s="8">
        <v>0</v>
      </c>
      <c r="G40" s="8">
        <f t="shared" si="1"/>
        <v>3150703</v>
      </c>
    </row>
    <row r="41" spans="1:13" x14ac:dyDescent="0.25">
      <c r="A41" s="7" t="s">
        <v>45</v>
      </c>
      <c r="B41" s="8">
        <v>1814275</v>
      </c>
      <c r="C41" s="9">
        <v>2765789.56</v>
      </c>
      <c r="D41" s="10">
        <v>0</v>
      </c>
      <c r="E41" s="8">
        <v>0</v>
      </c>
      <c r="F41" s="8">
        <v>0</v>
      </c>
      <c r="G41" s="8">
        <f t="shared" si="1"/>
        <v>4580064.5600000005</v>
      </c>
    </row>
    <row r="42" spans="1:13" x14ac:dyDescent="0.25">
      <c r="A42" s="7" t="s">
        <v>46</v>
      </c>
      <c r="B42" s="8">
        <v>1700796</v>
      </c>
      <c r="C42" s="9">
        <v>2601344</v>
      </c>
      <c r="D42" s="10">
        <v>0</v>
      </c>
      <c r="E42" s="8">
        <v>0</v>
      </c>
      <c r="F42" s="8">
        <v>0</v>
      </c>
      <c r="G42" s="8">
        <f t="shared" si="1"/>
        <v>4302140</v>
      </c>
    </row>
    <row r="43" spans="1:13" x14ac:dyDescent="0.25">
      <c r="A43" s="7" t="s">
        <v>47</v>
      </c>
      <c r="B43" s="8">
        <v>1520232</v>
      </c>
      <c r="C43" s="9">
        <v>3888415.5</v>
      </c>
      <c r="D43" s="10">
        <v>0</v>
      </c>
      <c r="E43" s="8">
        <v>0</v>
      </c>
      <c r="F43" s="8">
        <v>0</v>
      </c>
      <c r="G43" s="8">
        <f t="shared" si="1"/>
        <v>5408647.5</v>
      </c>
    </row>
    <row r="44" spans="1:13" x14ac:dyDescent="0.25">
      <c r="A44" s="7" t="s">
        <v>48</v>
      </c>
      <c r="B44" s="8">
        <v>4555749</v>
      </c>
      <c r="C44" s="9">
        <v>6188354</v>
      </c>
      <c r="D44" s="10">
        <v>0</v>
      </c>
      <c r="E44" s="8">
        <v>0</v>
      </c>
      <c r="F44" s="8">
        <v>0</v>
      </c>
      <c r="G44" s="8">
        <f t="shared" si="1"/>
        <v>10744103</v>
      </c>
    </row>
    <row r="45" spans="1:13" x14ac:dyDescent="0.25">
      <c r="A45" s="7" t="s">
        <v>49</v>
      </c>
      <c r="B45" s="8">
        <v>3651990</v>
      </c>
      <c r="C45" s="9">
        <v>1561248.6099999999</v>
      </c>
      <c r="D45" s="10">
        <v>0</v>
      </c>
      <c r="E45" s="8">
        <v>0</v>
      </c>
      <c r="F45" s="8">
        <v>0</v>
      </c>
      <c r="G45" s="8">
        <f t="shared" si="1"/>
        <v>5213238.6099999994</v>
      </c>
    </row>
    <row r="46" spans="1:13" x14ac:dyDescent="0.25">
      <c r="A46" s="16" t="s">
        <v>50</v>
      </c>
      <c r="B46" s="17">
        <f>SUM(B34:B45)</f>
        <v>27970843</v>
      </c>
      <c r="C46" s="18">
        <f>SUM(C34:C45)</f>
        <v>40152431.640000001</v>
      </c>
      <c r="D46" s="19">
        <f>SUM(D34:D45)</f>
        <v>0</v>
      </c>
      <c r="E46" s="17">
        <f>SUM(E34:E45)</f>
        <v>0</v>
      </c>
      <c r="F46" s="17">
        <f>SUM(F34:F45)</f>
        <v>0</v>
      </c>
      <c r="G46" s="17">
        <f t="shared" si="1"/>
        <v>68123274.640000001</v>
      </c>
      <c r="M46" s="23"/>
    </row>
    <row r="47" spans="1:13" x14ac:dyDescent="0.25">
      <c r="A47" s="24" t="s">
        <v>6</v>
      </c>
      <c r="B47" s="25">
        <f>SUM(B32,B46)</f>
        <v>117578901.90000001</v>
      </c>
      <c r="C47" s="26">
        <f>SUM(C32,C46)</f>
        <v>167878166.12</v>
      </c>
      <c r="D47" s="27">
        <f>SUM(D32,D46)</f>
        <v>0</v>
      </c>
      <c r="E47" s="28">
        <f>SUM(E32,E46)</f>
        <v>0</v>
      </c>
      <c r="F47" s="28">
        <f>SUM(F32,F46)</f>
        <v>0</v>
      </c>
      <c r="G47" s="28">
        <f t="shared" si="1"/>
        <v>285457068.01999998</v>
      </c>
      <c r="H47" s="23"/>
    </row>
  </sheetData>
  <mergeCells count="2">
    <mergeCell ref="A3:G3"/>
    <mergeCell ref="A33:G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EBF70-8366-47BB-AA63-87A6FA5B77D5}">
  <sheetPr>
    <tabColor rgb="FFFFFF66"/>
  </sheetPr>
  <dimension ref="A1:AJ97"/>
  <sheetViews>
    <sheetView zoomScale="85" zoomScaleNormal="85" workbookViewId="0">
      <pane xSplit="1" ySplit="3" topLeftCell="B22" activePane="bottomRight" state="frozen"/>
      <selection activeCell="G54" sqref="G54"/>
      <selection pane="topRight" activeCell="G54" sqref="G54"/>
      <selection pane="bottomLeft" activeCell="G54" sqref="G54"/>
      <selection pane="bottomRight" activeCell="AK47" sqref="AK47"/>
    </sheetView>
  </sheetViews>
  <sheetFormatPr defaultRowHeight="15" x14ac:dyDescent="0.25"/>
  <cols>
    <col min="1" max="1" width="17.85546875" bestFit="1" customWidth="1"/>
    <col min="2" max="2" width="13.5703125" customWidth="1"/>
    <col min="3" max="4" width="13.42578125" hidden="1" customWidth="1"/>
    <col min="5" max="6" width="13.42578125" customWidth="1"/>
    <col min="7" max="8" width="13.7109375" customWidth="1"/>
    <col min="9" max="17" width="13.7109375" hidden="1" customWidth="1"/>
    <col min="18" max="18" width="13.42578125" hidden="1" customWidth="1"/>
    <col min="19" max="20" width="13.7109375" hidden="1" customWidth="1"/>
    <col min="21" max="23" width="13.42578125" hidden="1" customWidth="1"/>
    <col min="24" max="24" width="13.7109375" hidden="1" customWidth="1"/>
    <col min="25" max="32" width="13.42578125" hidden="1" customWidth="1"/>
    <col min="33" max="33" width="16.28515625" bestFit="1" customWidth="1"/>
    <col min="34" max="35" width="11.5703125" bestFit="1" customWidth="1"/>
    <col min="44" max="44" width="10.5703125" bestFit="1" customWidth="1"/>
  </cols>
  <sheetData>
    <row r="1" spans="1:34" x14ac:dyDescent="0.25">
      <c r="A1" s="30">
        <v>46142</v>
      </c>
    </row>
    <row r="2" spans="1:34" s="34" customFormat="1" ht="25.5" x14ac:dyDescent="0.25">
      <c r="A2" s="31" t="s">
        <v>0</v>
      </c>
      <c r="B2" s="32">
        <f>A1+1</f>
        <v>46143</v>
      </c>
      <c r="C2" s="33">
        <f t="shared" ref="C2:AF2" si="0">B2+1</f>
        <v>46144</v>
      </c>
      <c r="D2" s="33">
        <f t="shared" si="0"/>
        <v>46145</v>
      </c>
      <c r="E2" s="33">
        <f t="shared" si="0"/>
        <v>46146</v>
      </c>
      <c r="F2" s="33">
        <f t="shared" si="0"/>
        <v>46147</v>
      </c>
      <c r="G2" s="33">
        <f t="shared" si="0"/>
        <v>46148</v>
      </c>
      <c r="H2" s="33">
        <f t="shared" si="0"/>
        <v>46149</v>
      </c>
      <c r="I2" s="33">
        <f t="shared" si="0"/>
        <v>46150</v>
      </c>
      <c r="J2" s="33">
        <f t="shared" si="0"/>
        <v>46151</v>
      </c>
      <c r="K2" s="33">
        <f t="shared" si="0"/>
        <v>46152</v>
      </c>
      <c r="L2" s="33">
        <f t="shared" si="0"/>
        <v>46153</v>
      </c>
      <c r="M2" s="33">
        <f t="shared" si="0"/>
        <v>46154</v>
      </c>
      <c r="N2" s="33">
        <f t="shared" si="0"/>
        <v>46155</v>
      </c>
      <c r="O2" s="33">
        <f t="shared" si="0"/>
        <v>46156</v>
      </c>
      <c r="P2" s="33">
        <f t="shared" si="0"/>
        <v>46157</v>
      </c>
      <c r="Q2" s="33">
        <f t="shared" si="0"/>
        <v>46158</v>
      </c>
      <c r="R2" s="33">
        <f t="shared" si="0"/>
        <v>46159</v>
      </c>
      <c r="S2" s="33">
        <f t="shared" si="0"/>
        <v>46160</v>
      </c>
      <c r="T2" s="33">
        <f t="shared" si="0"/>
        <v>46161</v>
      </c>
      <c r="U2" s="33">
        <f t="shared" si="0"/>
        <v>46162</v>
      </c>
      <c r="V2" s="33">
        <f t="shared" si="0"/>
        <v>46163</v>
      </c>
      <c r="W2" s="33">
        <f t="shared" si="0"/>
        <v>46164</v>
      </c>
      <c r="X2" s="33">
        <f t="shared" si="0"/>
        <v>46165</v>
      </c>
      <c r="Y2" s="33">
        <f t="shared" si="0"/>
        <v>46166</v>
      </c>
      <c r="Z2" s="33">
        <f t="shared" si="0"/>
        <v>46167</v>
      </c>
      <c r="AA2" s="33">
        <f t="shared" si="0"/>
        <v>46168</v>
      </c>
      <c r="AB2" s="33">
        <f t="shared" si="0"/>
        <v>46169</v>
      </c>
      <c r="AC2" s="33">
        <f t="shared" si="0"/>
        <v>46170</v>
      </c>
      <c r="AD2" s="33">
        <f t="shared" si="0"/>
        <v>46171</v>
      </c>
      <c r="AE2" s="33">
        <f t="shared" si="0"/>
        <v>46172</v>
      </c>
      <c r="AF2" s="33">
        <f t="shared" si="0"/>
        <v>46173</v>
      </c>
      <c r="AG2" s="33" t="s">
        <v>6</v>
      </c>
    </row>
    <row r="3" spans="1:34" x14ac:dyDescent="0.25">
      <c r="A3" s="20" t="s">
        <v>7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2"/>
    </row>
    <row r="4" spans="1:34" x14ac:dyDescent="0.25">
      <c r="A4" s="7" t="s">
        <v>8</v>
      </c>
      <c r="B4" s="35">
        <v>4098413.4000000004</v>
      </c>
      <c r="C4" s="35">
        <v>0</v>
      </c>
      <c r="D4" s="35">
        <v>0</v>
      </c>
      <c r="E4" s="35">
        <v>3057310.96</v>
      </c>
      <c r="F4" s="35">
        <v>1572743</v>
      </c>
      <c r="G4" s="35">
        <v>1730345.0999999999</v>
      </c>
      <c r="H4" s="35">
        <v>2460211.9000000004</v>
      </c>
      <c r="I4" s="35">
        <v>0</v>
      </c>
      <c r="J4" s="35">
        <v>0</v>
      </c>
      <c r="K4" s="35">
        <v>0</v>
      </c>
      <c r="L4" s="35">
        <v>0</v>
      </c>
      <c r="M4" s="35">
        <v>0</v>
      </c>
      <c r="N4" s="35">
        <v>0</v>
      </c>
      <c r="O4" s="35">
        <v>0</v>
      </c>
      <c r="P4" s="35">
        <v>0</v>
      </c>
      <c r="Q4" s="35">
        <v>0</v>
      </c>
      <c r="R4" s="35">
        <v>0</v>
      </c>
      <c r="S4" s="35">
        <v>0</v>
      </c>
      <c r="T4" s="35">
        <v>0</v>
      </c>
      <c r="U4" s="35">
        <v>0</v>
      </c>
      <c r="V4" s="35">
        <v>0</v>
      </c>
      <c r="W4" s="35">
        <v>0</v>
      </c>
      <c r="X4" s="35">
        <v>0</v>
      </c>
      <c r="Y4" s="35">
        <v>0</v>
      </c>
      <c r="Z4" s="35">
        <v>0</v>
      </c>
      <c r="AA4" s="35">
        <v>0</v>
      </c>
      <c r="AB4" s="35">
        <v>0</v>
      </c>
      <c r="AC4" s="35">
        <v>0</v>
      </c>
      <c r="AD4" s="35">
        <v>0</v>
      </c>
      <c r="AE4" s="35">
        <v>0</v>
      </c>
      <c r="AF4" s="35">
        <v>0</v>
      </c>
      <c r="AG4" s="35">
        <f t="shared" ref="AG4:AG31" si="1">SUM(B4:AF4)</f>
        <v>12919024.359999999</v>
      </c>
      <c r="AH4" s="23"/>
    </row>
    <row r="5" spans="1:34" x14ac:dyDescent="0.25">
      <c r="A5" s="7" t="s">
        <v>10</v>
      </c>
      <c r="B5" s="35">
        <v>2879518.38</v>
      </c>
      <c r="C5" s="35">
        <v>0</v>
      </c>
      <c r="D5" s="35">
        <v>0</v>
      </c>
      <c r="E5" s="35">
        <v>5001482.5600000005</v>
      </c>
      <c r="F5" s="35">
        <v>3818560.7600000002</v>
      </c>
      <c r="G5" s="35">
        <v>2591192.1</v>
      </c>
      <c r="H5" s="35">
        <v>2000406.75</v>
      </c>
      <c r="I5" s="35">
        <v>0</v>
      </c>
      <c r="J5" s="35">
        <v>0</v>
      </c>
      <c r="K5" s="35">
        <v>0</v>
      </c>
      <c r="L5" s="35">
        <v>0</v>
      </c>
      <c r="M5" s="35">
        <v>0</v>
      </c>
      <c r="N5" s="35">
        <v>0</v>
      </c>
      <c r="O5" s="35">
        <v>0</v>
      </c>
      <c r="P5" s="35">
        <v>0</v>
      </c>
      <c r="Q5" s="35">
        <v>0</v>
      </c>
      <c r="R5" s="35">
        <v>0</v>
      </c>
      <c r="S5" s="35">
        <v>0</v>
      </c>
      <c r="T5" s="35">
        <v>0</v>
      </c>
      <c r="U5" s="35">
        <v>0</v>
      </c>
      <c r="V5" s="35">
        <v>0</v>
      </c>
      <c r="W5" s="35">
        <v>0</v>
      </c>
      <c r="X5" s="35">
        <v>0</v>
      </c>
      <c r="Y5" s="35">
        <v>0</v>
      </c>
      <c r="Z5" s="35">
        <v>0</v>
      </c>
      <c r="AA5" s="35">
        <v>0</v>
      </c>
      <c r="AB5" s="35">
        <v>0</v>
      </c>
      <c r="AC5" s="35">
        <v>0</v>
      </c>
      <c r="AD5" s="35">
        <v>0</v>
      </c>
      <c r="AE5" s="35">
        <v>0</v>
      </c>
      <c r="AF5" s="35">
        <v>0</v>
      </c>
      <c r="AG5" s="35">
        <f>SUM(B5:AF5)</f>
        <v>16291160.550000001</v>
      </c>
      <c r="AH5" s="23"/>
    </row>
    <row r="6" spans="1:34" x14ac:dyDescent="0.25">
      <c r="A6" s="7" t="s">
        <v>9</v>
      </c>
      <c r="B6" s="35">
        <v>1145061.56</v>
      </c>
      <c r="C6" s="35">
        <v>0</v>
      </c>
      <c r="D6" s="35">
        <v>0</v>
      </c>
      <c r="E6" s="35">
        <v>2314057.29</v>
      </c>
      <c r="F6" s="35">
        <v>2340843.0499999998</v>
      </c>
      <c r="G6" s="35">
        <v>2509495.0700000003</v>
      </c>
      <c r="H6" s="35">
        <v>2617764.48</v>
      </c>
      <c r="I6" s="35">
        <v>0</v>
      </c>
      <c r="J6" s="35">
        <v>0</v>
      </c>
      <c r="K6" s="35">
        <v>0</v>
      </c>
      <c r="L6" s="35">
        <v>0</v>
      </c>
      <c r="M6" s="35">
        <v>0</v>
      </c>
      <c r="N6" s="35">
        <v>0</v>
      </c>
      <c r="O6" s="35">
        <v>0</v>
      </c>
      <c r="P6" s="35">
        <v>0</v>
      </c>
      <c r="Q6" s="35">
        <v>0</v>
      </c>
      <c r="R6" s="35">
        <v>0</v>
      </c>
      <c r="S6" s="35">
        <v>0</v>
      </c>
      <c r="T6" s="35">
        <v>0</v>
      </c>
      <c r="U6" s="35">
        <v>0</v>
      </c>
      <c r="V6" s="35">
        <v>0</v>
      </c>
      <c r="W6" s="35">
        <v>0</v>
      </c>
      <c r="X6" s="35">
        <v>0</v>
      </c>
      <c r="Y6" s="35">
        <v>0</v>
      </c>
      <c r="Z6" s="35">
        <v>0</v>
      </c>
      <c r="AA6" s="35">
        <v>0</v>
      </c>
      <c r="AB6" s="35">
        <v>0</v>
      </c>
      <c r="AC6" s="35">
        <v>0</v>
      </c>
      <c r="AD6" s="35">
        <v>0</v>
      </c>
      <c r="AE6" s="35">
        <v>0</v>
      </c>
      <c r="AF6" s="35">
        <v>0</v>
      </c>
      <c r="AG6" s="35">
        <f t="shared" si="1"/>
        <v>10927221.450000001</v>
      </c>
      <c r="AH6" s="23"/>
    </row>
    <row r="7" spans="1:34" x14ac:dyDescent="0.25">
      <c r="A7" s="7" t="s">
        <v>11</v>
      </c>
      <c r="B7" s="35">
        <v>0</v>
      </c>
      <c r="C7" s="35">
        <v>0</v>
      </c>
      <c r="D7" s="35">
        <v>0</v>
      </c>
      <c r="E7" s="35">
        <v>1325391.8799999999</v>
      </c>
      <c r="F7" s="35">
        <v>587649</v>
      </c>
      <c r="G7" s="35">
        <v>598975.15</v>
      </c>
      <c r="H7" s="35">
        <v>420035.73</v>
      </c>
      <c r="I7" s="35">
        <v>0</v>
      </c>
      <c r="J7" s="35">
        <v>0</v>
      </c>
      <c r="K7" s="35">
        <v>0</v>
      </c>
      <c r="L7" s="35">
        <v>0</v>
      </c>
      <c r="M7" s="35">
        <v>0</v>
      </c>
      <c r="N7" s="35">
        <v>0</v>
      </c>
      <c r="O7" s="35">
        <v>0</v>
      </c>
      <c r="P7" s="35">
        <v>0</v>
      </c>
      <c r="Q7" s="35">
        <v>0</v>
      </c>
      <c r="R7" s="35">
        <v>0</v>
      </c>
      <c r="S7" s="35">
        <v>0</v>
      </c>
      <c r="T7" s="35">
        <v>0</v>
      </c>
      <c r="U7" s="35">
        <v>0</v>
      </c>
      <c r="V7" s="35">
        <v>0</v>
      </c>
      <c r="W7" s="35">
        <v>0</v>
      </c>
      <c r="X7" s="35">
        <v>0</v>
      </c>
      <c r="Y7" s="35">
        <v>0</v>
      </c>
      <c r="Z7" s="35">
        <v>0</v>
      </c>
      <c r="AA7" s="35">
        <v>0</v>
      </c>
      <c r="AB7" s="35">
        <v>0</v>
      </c>
      <c r="AC7" s="35">
        <v>0</v>
      </c>
      <c r="AD7" s="35">
        <v>0</v>
      </c>
      <c r="AE7" s="35">
        <v>0</v>
      </c>
      <c r="AF7" s="35">
        <v>0</v>
      </c>
      <c r="AG7" s="35">
        <f>SUM(B7:AF7)</f>
        <v>2932051.76</v>
      </c>
      <c r="AH7" s="23"/>
    </row>
    <row r="8" spans="1:34" x14ac:dyDescent="0.25">
      <c r="A8" s="36" t="s">
        <v>12</v>
      </c>
      <c r="B8" s="37">
        <f t="shared" ref="B8:AF8" si="2">SUM(B4:B7)</f>
        <v>8122993.3399999999</v>
      </c>
      <c r="C8" s="37">
        <f t="shared" si="2"/>
        <v>0</v>
      </c>
      <c r="D8" s="37">
        <f t="shared" si="2"/>
        <v>0</v>
      </c>
      <c r="E8" s="37">
        <f t="shared" si="2"/>
        <v>11698242.690000001</v>
      </c>
      <c r="F8" s="37">
        <f t="shared" si="2"/>
        <v>8319795.8099999996</v>
      </c>
      <c r="G8" s="37">
        <f t="shared" si="2"/>
        <v>7430007.4200000009</v>
      </c>
      <c r="H8" s="37">
        <f t="shared" si="2"/>
        <v>7498418.8600000013</v>
      </c>
      <c r="I8" s="37">
        <f t="shared" si="2"/>
        <v>0</v>
      </c>
      <c r="J8" s="37">
        <f t="shared" si="2"/>
        <v>0</v>
      </c>
      <c r="K8" s="37">
        <f t="shared" si="2"/>
        <v>0</v>
      </c>
      <c r="L8" s="37">
        <f t="shared" si="2"/>
        <v>0</v>
      </c>
      <c r="M8" s="37">
        <f t="shared" si="2"/>
        <v>0</v>
      </c>
      <c r="N8" s="37">
        <f t="shared" si="2"/>
        <v>0</v>
      </c>
      <c r="O8" s="37">
        <f t="shared" si="2"/>
        <v>0</v>
      </c>
      <c r="P8" s="37">
        <f t="shared" si="2"/>
        <v>0</v>
      </c>
      <c r="Q8" s="37">
        <f t="shared" si="2"/>
        <v>0</v>
      </c>
      <c r="R8" s="37">
        <f t="shared" si="2"/>
        <v>0</v>
      </c>
      <c r="S8" s="37">
        <f t="shared" si="2"/>
        <v>0</v>
      </c>
      <c r="T8" s="37">
        <f t="shared" si="2"/>
        <v>0</v>
      </c>
      <c r="U8" s="37">
        <f t="shared" si="2"/>
        <v>0</v>
      </c>
      <c r="V8" s="37">
        <f t="shared" si="2"/>
        <v>0</v>
      </c>
      <c r="W8" s="37">
        <f t="shared" si="2"/>
        <v>0</v>
      </c>
      <c r="X8" s="37">
        <f t="shared" si="2"/>
        <v>0</v>
      </c>
      <c r="Y8" s="37">
        <f t="shared" si="2"/>
        <v>0</v>
      </c>
      <c r="Z8" s="37">
        <f t="shared" si="2"/>
        <v>0</v>
      </c>
      <c r="AA8" s="37">
        <f t="shared" si="2"/>
        <v>0</v>
      </c>
      <c r="AB8" s="37">
        <f t="shared" si="2"/>
        <v>0</v>
      </c>
      <c r="AC8" s="37">
        <f t="shared" si="2"/>
        <v>0</v>
      </c>
      <c r="AD8" s="37">
        <f t="shared" si="2"/>
        <v>0</v>
      </c>
      <c r="AE8" s="37">
        <f t="shared" si="2"/>
        <v>0</v>
      </c>
      <c r="AF8" s="37">
        <f t="shared" si="2"/>
        <v>0</v>
      </c>
      <c r="AG8" s="37">
        <f t="shared" si="1"/>
        <v>43069458.119999997</v>
      </c>
      <c r="AH8" s="23"/>
    </row>
    <row r="9" spans="1:34" x14ac:dyDescent="0.25">
      <c r="A9" s="7" t="s">
        <v>13</v>
      </c>
      <c r="B9" s="35">
        <v>200000</v>
      </c>
      <c r="C9" s="35">
        <v>0</v>
      </c>
      <c r="D9" s="35">
        <v>0</v>
      </c>
      <c r="E9" s="35">
        <v>298000</v>
      </c>
      <c r="F9" s="35">
        <v>291447</v>
      </c>
      <c r="G9" s="35">
        <v>519864</v>
      </c>
      <c r="H9" s="35">
        <v>524510</v>
      </c>
      <c r="I9" s="35">
        <v>0</v>
      </c>
      <c r="J9" s="35">
        <v>0</v>
      </c>
      <c r="K9" s="35">
        <v>0</v>
      </c>
      <c r="L9" s="35">
        <v>0</v>
      </c>
      <c r="M9" s="35">
        <v>0</v>
      </c>
      <c r="N9" s="35">
        <v>0</v>
      </c>
      <c r="O9" s="35">
        <v>0</v>
      </c>
      <c r="P9" s="35">
        <v>0</v>
      </c>
      <c r="Q9" s="35">
        <v>0</v>
      </c>
      <c r="R9" s="35">
        <v>0</v>
      </c>
      <c r="S9" s="35">
        <v>0</v>
      </c>
      <c r="T9" s="35">
        <v>0</v>
      </c>
      <c r="U9" s="35">
        <v>0</v>
      </c>
      <c r="V9" s="35">
        <v>0</v>
      </c>
      <c r="W9" s="35">
        <v>0</v>
      </c>
      <c r="X9" s="35">
        <v>0</v>
      </c>
      <c r="Y9" s="35">
        <v>0</v>
      </c>
      <c r="Z9" s="35">
        <v>0</v>
      </c>
      <c r="AA9" s="35">
        <v>0</v>
      </c>
      <c r="AB9" s="35">
        <v>0</v>
      </c>
      <c r="AC9" s="35">
        <v>0</v>
      </c>
      <c r="AD9" s="35">
        <v>0</v>
      </c>
      <c r="AE9" s="35">
        <v>0</v>
      </c>
      <c r="AF9" s="35">
        <v>0</v>
      </c>
      <c r="AG9" s="35">
        <f t="shared" si="1"/>
        <v>1833821</v>
      </c>
      <c r="AH9" s="23"/>
    </row>
    <row r="10" spans="1:34" x14ac:dyDescent="0.25">
      <c r="A10" s="7" t="s">
        <v>14</v>
      </c>
      <c r="B10" s="35">
        <v>1476660</v>
      </c>
      <c r="C10" s="35">
        <v>0</v>
      </c>
      <c r="D10" s="35">
        <v>0</v>
      </c>
      <c r="E10" s="35">
        <v>1533311</v>
      </c>
      <c r="F10" s="35">
        <v>1549723</v>
      </c>
      <c r="G10" s="35">
        <v>1575286</v>
      </c>
      <c r="H10" s="35">
        <v>782720</v>
      </c>
      <c r="I10" s="35">
        <v>0</v>
      </c>
      <c r="J10" s="35">
        <v>0</v>
      </c>
      <c r="K10" s="35">
        <v>0</v>
      </c>
      <c r="L10" s="35">
        <v>0</v>
      </c>
      <c r="M10" s="35">
        <v>0</v>
      </c>
      <c r="N10" s="35">
        <v>0</v>
      </c>
      <c r="O10" s="35">
        <v>0</v>
      </c>
      <c r="P10" s="35">
        <v>0</v>
      </c>
      <c r="Q10" s="35">
        <v>0</v>
      </c>
      <c r="R10" s="35">
        <v>0</v>
      </c>
      <c r="S10" s="35">
        <v>0</v>
      </c>
      <c r="T10" s="35">
        <v>0</v>
      </c>
      <c r="U10" s="35">
        <v>0</v>
      </c>
      <c r="V10" s="35">
        <v>0</v>
      </c>
      <c r="W10" s="35">
        <v>0</v>
      </c>
      <c r="X10" s="35">
        <v>0</v>
      </c>
      <c r="Y10" s="35">
        <v>0</v>
      </c>
      <c r="Z10" s="35">
        <v>0</v>
      </c>
      <c r="AA10" s="35">
        <v>0</v>
      </c>
      <c r="AB10" s="35">
        <v>0</v>
      </c>
      <c r="AC10" s="35">
        <v>0</v>
      </c>
      <c r="AD10" s="35">
        <v>0</v>
      </c>
      <c r="AE10" s="35">
        <v>0</v>
      </c>
      <c r="AF10" s="35">
        <v>0</v>
      </c>
      <c r="AG10" s="35">
        <f t="shared" si="1"/>
        <v>6917700</v>
      </c>
      <c r="AH10" s="23"/>
    </row>
    <row r="11" spans="1:34" x14ac:dyDescent="0.25">
      <c r="A11" s="7" t="s">
        <v>15</v>
      </c>
      <c r="B11" s="35">
        <v>2487142.2999999998</v>
      </c>
      <c r="C11" s="35">
        <v>0</v>
      </c>
      <c r="D11" s="35">
        <v>0</v>
      </c>
      <c r="E11" s="35">
        <v>2004811.22</v>
      </c>
      <c r="F11" s="35">
        <v>1716589.07</v>
      </c>
      <c r="G11" s="35">
        <v>1800817</v>
      </c>
      <c r="H11" s="35">
        <v>1817369.12</v>
      </c>
      <c r="I11" s="35">
        <v>0</v>
      </c>
      <c r="J11" s="35">
        <v>0</v>
      </c>
      <c r="K11" s="35">
        <v>0</v>
      </c>
      <c r="L11" s="35">
        <v>0</v>
      </c>
      <c r="M11" s="35">
        <v>0</v>
      </c>
      <c r="N11" s="35">
        <v>0</v>
      </c>
      <c r="O11" s="35">
        <v>0</v>
      </c>
      <c r="P11" s="35">
        <v>0</v>
      </c>
      <c r="Q11" s="35">
        <v>0</v>
      </c>
      <c r="R11" s="35">
        <v>0</v>
      </c>
      <c r="S11" s="35">
        <v>0</v>
      </c>
      <c r="T11" s="35">
        <v>0</v>
      </c>
      <c r="U11" s="35">
        <v>0</v>
      </c>
      <c r="V11" s="35">
        <v>0</v>
      </c>
      <c r="W11" s="35">
        <v>0</v>
      </c>
      <c r="X11" s="35">
        <v>0</v>
      </c>
      <c r="Y11" s="35">
        <v>0</v>
      </c>
      <c r="Z11" s="35">
        <v>0</v>
      </c>
      <c r="AA11" s="35">
        <v>0</v>
      </c>
      <c r="AB11" s="35">
        <v>0</v>
      </c>
      <c r="AC11" s="35">
        <v>0</v>
      </c>
      <c r="AD11" s="35">
        <v>0</v>
      </c>
      <c r="AE11" s="35">
        <v>0</v>
      </c>
      <c r="AF11" s="35">
        <v>0</v>
      </c>
      <c r="AG11" s="35">
        <f t="shared" si="1"/>
        <v>9826728.7100000009</v>
      </c>
      <c r="AH11" s="23"/>
    </row>
    <row r="12" spans="1:34" x14ac:dyDescent="0.25">
      <c r="A12" s="7" t="s">
        <v>16</v>
      </c>
      <c r="B12" s="35">
        <v>1471944</v>
      </c>
      <c r="C12" s="35">
        <v>0</v>
      </c>
      <c r="D12" s="35">
        <v>0</v>
      </c>
      <c r="E12" s="35">
        <v>4101031</v>
      </c>
      <c r="F12" s="35">
        <v>2272475.62</v>
      </c>
      <c r="G12" s="35">
        <v>1935737.5</v>
      </c>
      <c r="H12" s="35">
        <v>1978777</v>
      </c>
      <c r="I12" s="35">
        <v>0</v>
      </c>
      <c r="J12" s="35">
        <v>0</v>
      </c>
      <c r="K12" s="35">
        <v>0</v>
      </c>
      <c r="L12" s="35">
        <v>0</v>
      </c>
      <c r="M12" s="35">
        <v>0</v>
      </c>
      <c r="N12" s="35">
        <v>0</v>
      </c>
      <c r="O12" s="35">
        <v>0</v>
      </c>
      <c r="P12" s="35">
        <v>0</v>
      </c>
      <c r="Q12" s="35">
        <v>0</v>
      </c>
      <c r="R12" s="35">
        <v>0</v>
      </c>
      <c r="S12" s="35">
        <v>0</v>
      </c>
      <c r="T12" s="35">
        <v>0</v>
      </c>
      <c r="U12" s="35">
        <v>0</v>
      </c>
      <c r="V12" s="35">
        <v>0</v>
      </c>
      <c r="W12" s="35">
        <v>0</v>
      </c>
      <c r="X12" s="35">
        <v>0</v>
      </c>
      <c r="Y12" s="35">
        <v>0</v>
      </c>
      <c r="Z12" s="35">
        <v>0</v>
      </c>
      <c r="AA12" s="35">
        <v>0</v>
      </c>
      <c r="AB12" s="35">
        <v>0</v>
      </c>
      <c r="AC12" s="35">
        <v>0</v>
      </c>
      <c r="AD12" s="35">
        <v>0</v>
      </c>
      <c r="AE12" s="35">
        <v>0</v>
      </c>
      <c r="AF12" s="35">
        <v>0</v>
      </c>
      <c r="AG12" s="35">
        <f t="shared" si="1"/>
        <v>11759965.120000001</v>
      </c>
      <c r="AH12" s="23"/>
    </row>
    <row r="13" spans="1:34" x14ac:dyDescent="0.25">
      <c r="A13" s="7" t="s">
        <v>17</v>
      </c>
      <c r="B13" s="35">
        <v>1426030</v>
      </c>
      <c r="C13" s="35">
        <v>0</v>
      </c>
      <c r="D13" s="35">
        <v>0</v>
      </c>
      <c r="E13" s="35">
        <v>1221074</v>
      </c>
      <c r="F13" s="35">
        <v>1621551</v>
      </c>
      <c r="G13" s="35">
        <v>1410721</v>
      </c>
      <c r="H13" s="35">
        <v>1311551</v>
      </c>
      <c r="I13" s="35">
        <v>0</v>
      </c>
      <c r="J13" s="35">
        <v>0</v>
      </c>
      <c r="K13" s="35">
        <v>0</v>
      </c>
      <c r="L13" s="35">
        <v>0</v>
      </c>
      <c r="M13" s="35">
        <v>0</v>
      </c>
      <c r="N13" s="35">
        <v>0</v>
      </c>
      <c r="O13" s="35">
        <v>0</v>
      </c>
      <c r="P13" s="35">
        <v>0</v>
      </c>
      <c r="Q13" s="35">
        <v>0</v>
      </c>
      <c r="R13" s="35">
        <v>0</v>
      </c>
      <c r="S13" s="35">
        <v>0</v>
      </c>
      <c r="T13" s="35">
        <v>0</v>
      </c>
      <c r="U13" s="35">
        <v>0</v>
      </c>
      <c r="V13" s="35">
        <v>0</v>
      </c>
      <c r="W13" s="35">
        <v>0</v>
      </c>
      <c r="X13" s="35">
        <v>0</v>
      </c>
      <c r="Y13" s="35">
        <v>0</v>
      </c>
      <c r="Z13" s="35">
        <v>0</v>
      </c>
      <c r="AA13" s="35">
        <v>0</v>
      </c>
      <c r="AB13" s="35">
        <v>0</v>
      </c>
      <c r="AC13" s="35">
        <v>0</v>
      </c>
      <c r="AD13" s="35">
        <v>0</v>
      </c>
      <c r="AE13" s="35">
        <v>0</v>
      </c>
      <c r="AF13" s="35">
        <v>0</v>
      </c>
      <c r="AG13" s="35">
        <f t="shared" si="1"/>
        <v>6990927</v>
      </c>
      <c r="AH13" s="23"/>
    </row>
    <row r="14" spans="1:34" x14ac:dyDescent="0.25">
      <c r="A14" s="7" t="s">
        <v>18</v>
      </c>
      <c r="B14" s="35">
        <v>2541514</v>
      </c>
      <c r="C14" s="35">
        <v>0</v>
      </c>
      <c r="D14" s="35">
        <v>0</v>
      </c>
      <c r="E14" s="35">
        <v>2119047</v>
      </c>
      <c r="F14" s="35">
        <v>2211363</v>
      </c>
      <c r="G14" s="35">
        <v>2350313</v>
      </c>
      <c r="H14" s="35">
        <v>2279577</v>
      </c>
      <c r="I14" s="35">
        <v>0</v>
      </c>
      <c r="J14" s="35">
        <v>0</v>
      </c>
      <c r="K14" s="35">
        <v>0</v>
      </c>
      <c r="L14" s="35">
        <v>0</v>
      </c>
      <c r="M14" s="35">
        <v>0</v>
      </c>
      <c r="N14" s="35">
        <v>0</v>
      </c>
      <c r="O14" s="35">
        <v>0</v>
      </c>
      <c r="P14" s="35">
        <v>0</v>
      </c>
      <c r="Q14" s="35">
        <v>0</v>
      </c>
      <c r="R14" s="35">
        <v>0</v>
      </c>
      <c r="S14" s="35">
        <v>0</v>
      </c>
      <c r="T14" s="35">
        <v>0</v>
      </c>
      <c r="U14" s="35">
        <v>0</v>
      </c>
      <c r="V14" s="35">
        <v>0</v>
      </c>
      <c r="W14" s="35">
        <v>0</v>
      </c>
      <c r="X14" s="35">
        <v>0</v>
      </c>
      <c r="Y14" s="35">
        <v>0</v>
      </c>
      <c r="Z14" s="35">
        <v>0</v>
      </c>
      <c r="AA14" s="35">
        <v>0</v>
      </c>
      <c r="AB14" s="35">
        <v>0</v>
      </c>
      <c r="AC14" s="35">
        <v>0</v>
      </c>
      <c r="AD14" s="35">
        <v>0</v>
      </c>
      <c r="AE14" s="35">
        <v>0</v>
      </c>
      <c r="AF14" s="35">
        <v>0</v>
      </c>
      <c r="AG14" s="35">
        <f t="shared" si="1"/>
        <v>11501814</v>
      </c>
      <c r="AH14" s="23"/>
    </row>
    <row r="15" spans="1:34" x14ac:dyDescent="0.25">
      <c r="A15" s="7" t="s">
        <v>19</v>
      </c>
      <c r="B15" s="35">
        <v>202000</v>
      </c>
      <c r="C15" s="35">
        <v>0</v>
      </c>
      <c r="D15" s="35">
        <v>0</v>
      </c>
      <c r="E15" s="35">
        <v>229500</v>
      </c>
      <c r="F15" s="35">
        <v>1092125.9099999999</v>
      </c>
      <c r="G15" s="35">
        <v>333313.5</v>
      </c>
      <c r="H15" s="35">
        <v>200000</v>
      </c>
      <c r="I15" s="35">
        <v>0</v>
      </c>
      <c r="J15" s="35">
        <v>0</v>
      </c>
      <c r="K15" s="35">
        <v>0</v>
      </c>
      <c r="L15" s="35">
        <v>0</v>
      </c>
      <c r="M15" s="35">
        <v>0</v>
      </c>
      <c r="N15" s="35">
        <v>0</v>
      </c>
      <c r="O15" s="35">
        <v>0</v>
      </c>
      <c r="P15" s="35">
        <v>0</v>
      </c>
      <c r="Q15" s="35">
        <v>0</v>
      </c>
      <c r="R15" s="35">
        <v>0</v>
      </c>
      <c r="S15" s="35">
        <v>0</v>
      </c>
      <c r="T15" s="35">
        <v>0</v>
      </c>
      <c r="U15" s="35">
        <v>0</v>
      </c>
      <c r="V15" s="35">
        <v>0</v>
      </c>
      <c r="W15" s="35">
        <v>0</v>
      </c>
      <c r="X15" s="35">
        <v>0</v>
      </c>
      <c r="Y15" s="35">
        <v>0</v>
      </c>
      <c r="Z15" s="35">
        <v>0</v>
      </c>
      <c r="AA15" s="35">
        <v>0</v>
      </c>
      <c r="AB15" s="35">
        <v>0</v>
      </c>
      <c r="AC15" s="35">
        <v>0</v>
      </c>
      <c r="AD15" s="35">
        <v>0</v>
      </c>
      <c r="AE15" s="35">
        <v>0</v>
      </c>
      <c r="AF15" s="35">
        <v>0</v>
      </c>
      <c r="AG15" s="35">
        <f t="shared" si="1"/>
        <v>2056939.41</v>
      </c>
      <c r="AH15" s="23"/>
    </row>
    <row r="16" spans="1:34" x14ac:dyDescent="0.25">
      <c r="A16" s="7" t="s">
        <v>20</v>
      </c>
      <c r="B16" s="35">
        <v>2737489</v>
      </c>
      <c r="C16" s="35">
        <v>0</v>
      </c>
      <c r="D16" s="35">
        <v>0</v>
      </c>
      <c r="E16" s="35">
        <v>3145565.92</v>
      </c>
      <c r="F16" s="35">
        <v>3117450.4899999998</v>
      </c>
      <c r="G16" s="35">
        <v>3092921</v>
      </c>
      <c r="H16" s="35">
        <v>2498098</v>
      </c>
      <c r="I16" s="35">
        <v>0</v>
      </c>
      <c r="J16" s="35">
        <v>0</v>
      </c>
      <c r="K16" s="35">
        <v>0</v>
      </c>
      <c r="L16" s="35">
        <v>0</v>
      </c>
      <c r="M16" s="35">
        <v>0</v>
      </c>
      <c r="N16" s="35">
        <v>0</v>
      </c>
      <c r="O16" s="35">
        <v>0</v>
      </c>
      <c r="P16" s="35">
        <v>0</v>
      </c>
      <c r="Q16" s="35">
        <v>0</v>
      </c>
      <c r="R16" s="35">
        <v>0</v>
      </c>
      <c r="S16" s="35">
        <v>0</v>
      </c>
      <c r="T16" s="35">
        <v>0</v>
      </c>
      <c r="U16" s="35">
        <v>0</v>
      </c>
      <c r="V16" s="35">
        <v>0</v>
      </c>
      <c r="W16" s="35">
        <v>0</v>
      </c>
      <c r="X16" s="35">
        <v>0</v>
      </c>
      <c r="Y16" s="35">
        <v>0</v>
      </c>
      <c r="Z16" s="35">
        <v>0</v>
      </c>
      <c r="AA16" s="35">
        <v>0</v>
      </c>
      <c r="AB16" s="35">
        <v>0</v>
      </c>
      <c r="AC16" s="35">
        <v>0</v>
      </c>
      <c r="AD16" s="35">
        <v>0</v>
      </c>
      <c r="AE16" s="35">
        <v>0</v>
      </c>
      <c r="AF16" s="35">
        <v>0</v>
      </c>
      <c r="AG16" s="35">
        <f t="shared" si="1"/>
        <v>14591524.41</v>
      </c>
      <c r="AH16" s="23"/>
    </row>
    <row r="17" spans="1:34" x14ac:dyDescent="0.25">
      <c r="A17" s="7" t="s">
        <v>21</v>
      </c>
      <c r="B17" s="35">
        <v>2555920.7200000002</v>
      </c>
      <c r="C17" s="35">
        <v>0</v>
      </c>
      <c r="D17" s="35">
        <v>0</v>
      </c>
      <c r="E17" s="35">
        <v>2275588</v>
      </c>
      <c r="F17" s="35">
        <v>2008035.52</v>
      </c>
      <c r="G17" s="35">
        <v>2506470</v>
      </c>
      <c r="H17" s="35">
        <v>1158239</v>
      </c>
      <c r="I17" s="35">
        <v>0</v>
      </c>
      <c r="J17" s="35">
        <v>0</v>
      </c>
      <c r="K17" s="35">
        <v>0</v>
      </c>
      <c r="L17" s="35">
        <v>0</v>
      </c>
      <c r="M17" s="35">
        <v>0</v>
      </c>
      <c r="N17" s="35">
        <v>0</v>
      </c>
      <c r="O17" s="35">
        <v>0</v>
      </c>
      <c r="P17" s="35">
        <v>0</v>
      </c>
      <c r="Q17" s="35">
        <v>0</v>
      </c>
      <c r="R17" s="35">
        <v>0</v>
      </c>
      <c r="S17" s="35">
        <v>0</v>
      </c>
      <c r="T17" s="35">
        <v>0</v>
      </c>
      <c r="U17" s="35">
        <v>0</v>
      </c>
      <c r="V17" s="35">
        <v>0</v>
      </c>
      <c r="W17" s="35">
        <v>0</v>
      </c>
      <c r="X17" s="35">
        <v>0</v>
      </c>
      <c r="Y17" s="35">
        <v>0</v>
      </c>
      <c r="Z17" s="35">
        <v>0</v>
      </c>
      <c r="AA17" s="35">
        <v>0</v>
      </c>
      <c r="AB17" s="35">
        <v>0</v>
      </c>
      <c r="AC17" s="35">
        <v>0</v>
      </c>
      <c r="AD17" s="35">
        <v>0</v>
      </c>
      <c r="AE17" s="35">
        <v>0</v>
      </c>
      <c r="AF17" s="35">
        <v>0</v>
      </c>
      <c r="AG17" s="35">
        <f t="shared" si="1"/>
        <v>10504253.24</v>
      </c>
      <c r="AH17" s="23"/>
    </row>
    <row r="18" spans="1:34" x14ac:dyDescent="0.25">
      <c r="A18" s="7" t="s">
        <v>22</v>
      </c>
      <c r="B18" s="35">
        <v>2128529</v>
      </c>
      <c r="C18" s="35">
        <v>0</v>
      </c>
      <c r="D18" s="35">
        <v>0</v>
      </c>
      <c r="E18" s="35">
        <v>2130475</v>
      </c>
      <c r="F18" s="35">
        <v>2049878</v>
      </c>
      <c r="G18" s="35">
        <v>2022619</v>
      </c>
      <c r="H18" s="35">
        <v>2059510</v>
      </c>
      <c r="I18" s="35">
        <v>0</v>
      </c>
      <c r="J18" s="35">
        <v>0</v>
      </c>
      <c r="K18" s="35">
        <v>0</v>
      </c>
      <c r="L18" s="35">
        <v>0</v>
      </c>
      <c r="M18" s="35">
        <v>0</v>
      </c>
      <c r="N18" s="35">
        <v>0</v>
      </c>
      <c r="O18" s="35">
        <v>0</v>
      </c>
      <c r="P18" s="35">
        <v>0</v>
      </c>
      <c r="Q18" s="35">
        <v>0</v>
      </c>
      <c r="R18" s="35">
        <v>0</v>
      </c>
      <c r="S18" s="35">
        <v>0</v>
      </c>
      <c r="T18" s="35">
        <v>0</v>
      </c>
      <c r="U18" s="35">
        <v>0</v>
      </c>
      <c r="V18" s="35">
        <v>0</v>
      </c>
      <c r="W18" s="35">
        <v>0</v>
      </c>
      <c r="X18" s="35">
        <v>0</v>
      </c>
      <c r="Y18" s="35">
        <v>0</v>
      </c>
      <c r="Z18" s="35">
        <v>0</v>
      </c>
      <c r="AA18" s="35">
        <v>0</v>
      </c>
      <c r="AB18" s="35">
        <v>0</v>
      </c>
      <c r="AC18" s="35">
        <v>0</v>
      </c>
      <c r="AD18" s="35">
        <v>0</v>
      </c>
      <c r="AE18" s="35">
        <v>0</v>
      </c>
      <c r="AF18" s="35">
        <v>0</v>
      </c>
      <c r="AG18" s="35">
        <f t="shared" si="1"/>
        <v>10391011</v>
      </c>
      <c r="AH18" s="23"/>
    </row>
    <row r="19" spans="1:34" x14ac:dyDescent="0.25">
      <c r="A19" s="7" t="s">
        <v>23</v>
      </c>
      <c r="B19" s="35">
        <v>669971</v>
      </c>
      <c r="C19" s="35">
        <v>0</v>
      </c>
      <c r="D19" s="35">
        <v>0</v>
      </c>
      <c r="E19" s="35">
        <v>2069394.36</v>
      </c>
      <c r="F19" s="35">
        <v>2116543.14</v>
      </c>
      <c r="G19" s="35">
        <v>2722870.2800000003</v>
      </c>
      <c r="H19" s="35">
        <v>2171492.75</v>
      </c>
      <c r="I19" s="35">
        <v>0</v>
      </c>
      <c r="J19" s="35">
        <v>0</v>
      </c>
      <c r="K19" s="35">
        <v>0</v>
      </c>
      <c r="L19" s="35">
        <v>0</v>
      </c>
      <c r="M19" s="35">
        <v>0</v>
      </c>
      <c r="N19" s="35">
        <v>0</v>
      </c>
      <c r="O19" s="35">
        <v>0</v>
      </c>
      <c r="P19" s="35">
        <v>0</v>
      </c>
      <c r="Q19" s="35">
        <v>0</v>
      </c>
      <c r="R19" s="35">
        <v>0</v>
      </c>
      <c r="S19" s="35">
        <v>0</v>
      </c>
      <c r="T19" s="35">
        <v>0</v>
      </c>
      <c r="U19" s="35">
        <v>0</v>
      </c>
      <c r="V19" s="35">
        <v>0</v>
      </c>
      <c r="W19" s="35">
        <v>0</v>
      </c>
      <c r="X19" s="35">
        <v>0</v>
      </c>
      <c r="Y19" s="35">
        <v>0</v>
      </c>
      <c r="Z19" s="35">
        <v>0</v>
      </c>
      <c r="AA19" s="35">
        <v>0</v>
      </c>
      <c r="AB19" s="35">
        <v>0</v>
      </c>
      <c r="AC19" s="35">
        <v>0</v>
      </c>
      <c r="AD19" s="35">
        <v>0</v>
      </c>
      <c r="AE19" s="35">
        <v>0</v>
      </c>
      <c r="AF19" s="35">
        <v>0</v>
      </c>
      <c r="AG19" s="35">
        <f t="shared" si="1"/>
        <v>9750271.5300000012</v>
      </c>
      <c r="AH19" s="23"/>
    </row>
    <row r="20" spans="1:34" x14ac:dyDescent="0.25">
      <c r="A20" s="7" t="s">
        <v>28</v>
      </c>
      <c r="B20" s="35">
        <v>329528.08</v>
      </c>
      <c r="C20" s="35">
        <v>0</v>
      </c>
      <c r="D20" s="35">
        <v>0</v>
      </c>
      <c r="E20" s="35">
        <v>2004150.3900000001</v>
      </c>
      <c r="F20" s="35">
        <v>1929236.12</v>
      </c>
      <c r="G20" s="35">
        <v>1590901.2</v>
      </c>
      <c r="H20" s="35">
        <v>1486579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  <c r="N20" s="35">
        <v>0</v>
      </c>
      <c r="O20" s="35">
        <v>0</v>
      </c>
      <c r="P20" s="35">
        <v>0</v>
      </c>
      <c r="Q20" s="35">
        <v>0</v>
      </c>
      <c r="R20" s="35">
        <v>0</v>
      </c>
      <c r="S20" s="35">
        <v>0</v>
      </c>
      <c r="T20" s="35">
        <v>0</v>
      </c>
      <c r="U20" s="35">
        <v>0</v>
      </c>
      <c r="V20" s="35">
        <v>0</v>
      </c>
      <c r="W20" s="35">
        <v>0</v>
      </c>
      <c r="X20" s="35">
        <v>0</v>
      </c>
      <c r="Y20" s="35">
        <v>0</v>
      </c>
      <c r="Z20" s="35">
        <v>0</v>
      </c>
      <c r="AA20" s="35">
        <v>0</v>
      </c>
      <c r="AB20" s="35">
        <v>0</v>
      </c>
      <c r="AC20" s="35">
        <v>0</v>
      </c>
      <c r="AD20" s="35">
        <v>0</v>
      </c>
      <c r="AE20" s="35">
        <v>0</v>
      </c>
      <c r="AF20" s="35">
        <v>0</v>
      </c>
      <c r="AG20" s="35">
        <f t="shared" si="1"/>
        <v>7340394.79</v>
      </c>
      <c r="AH20" s="23"/>
    </row>
    <row r="21" spans="1:34" x14ac:dyDescent="0.25">
      <c r="A21" s="7" t="s">
        <v>24</v>
      </c>
      <c r="B21" s="35">
        <v>2063013</v>
      </c>
      <c r="C21" s="35">
        <v>0</v>
      </c>
      <c r="D21" s="35">
        <v>0</v>
      </c>
      <c r="E21" s="35">
        <v>2038632</v>
      </c>
      <c r="F21" s="35">
        <v>1920077</v>
      </c>
      <c r="G21" s="35">
        <v>1335951</v>
      </c>
      <c r="H21" s="35">
        <v>1426924.4</v>
      </c>
      <c r="I21" s="35">
        <v>0</v>
      </c>
      <c r="J21" s="35">
        <v>0</v>
      </c>
      <c r="K21" s="35">
        <v>0</v>
      </c>
      <c r="L21" s="35">
        <v>0</v>
      </c>
      <c r="M21" s="35">
        <v>0</v>
      </c>
      <c r="N21" s="35">
        <v>0</v>
      </c>
      <c r="O21" s="35">
        <v>0</v>
      </c>
      <c r="P21" s="35">
        <v>0</v>
      </c>
      <c r="Q21" s="35">
        <v>0</v>
      </c>
      <c r="R21" s="35">
        <v>0</v>
      </c>
      <c r="S21" s="35">
        <v>0</v>
      </c>
      <c r="T21" s="35">
        <v>0</v>
      </c>
      <c r="U21" s="35">
        <v>0</v>
      </c>
      <c r="V21" s="35">
        <v>0</v>
      </c>
      <c r="W21" s="35">
        <v>0</v>
      </c>
      <c r="X21" s="35">
        <v>0</v>
      </c>
      <c r="Y21" s="35">
        <v>0</v>
      </c>
      <c r="Z21" s="35">
        <v>0</v>
      </c>
      <c r="AA21" s="35">
        <v>0</v>
      </c>
      <c r="AB21" s="35">
        <v>0</v>
      </c>
      <c r="AC21" s="35">
        <v>0</v>
      </c>
      <c r="AD21" s="35">
        <v>0</v>
      </c>
      <c r="AE21" s="35">
        <v>0</v>
      </c>
      <c r="AF21" s="35">
        <v>0</v>
      </c>
      <c r="AG21" s="35">
        <f t="shared" si="1"/>
        <v>8784597.4000000004</v>
      </c>
      <c r="AH21" s="23"/>
    </row>
    <row r="22" spans="1:34" x14ac:dyDescent="0.25">
      <c r="A22" s="7" t="s">
        <v>25</v>
      </c>
      <c r="B22" s="35">
        <v>2269987</v>
      </c>
      <c r="C22" s="35">
        <v>0</v>
      </c>
      <c r="D22" s="35">
        <v>0</v>
      </c>
      <c r="E22" s="35">
        <v>1949488</v>
      </c>
      <c r="F22" s="35">
        <v>2019852</v>
      </c>
      <c r="G22" s="35">
        <v>2093733</v>
      </c>
      <c r="H22" s="35">
        <v>1911654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  <c r="N22" s="35">
        <v>0</v>
      </c>
      <c r="O22" s="35">
        <v>0</v>
      </c>
      <c r="P22" s="35">
        <v>0</v>
      </c>
      <c r="Q22" s="35">
        <v>0</v>
      </c>
      <c r="R22" s="35">
        <v>0</v>
      </c>
      <c r="S22" s="35">
        <v>0</v>
      </c>
      <c r="T22" s="35">
        <v>0</v>
      </c>
      <c r="U22" s="35">
        <v>0</v>
      </c>
      <c r="V22" s="35">
        <v>0</v>
      </c>
      <c r="W22" s="35">
        <v>0</v>
      </c>
      <c r="X22" s="35">
        <v>0</v>
      </c>
      <c r="Y22" s="35">
        <v>0</v>
      </c>
      <c r="Z22" s="35">
        <v>0</v>
      </c>
      <c r="AA22" s="35">
        <v>0</v>
      </c>
      <c r="AB22" s="35">
        <v>0</v>
      </c>
      <c r="AC22" s="35">
        <v>0</v>
      </c>
      <c r="AD22" s="35">
        <v>0</v>
      </c>
      <c r="AE22" s="35">
        <v>0</v>
      </c>
      <c r="AF22" s="35">
        <v>0</v>
      </c>
      <c r="AG22" s="35">
        <f t="shared" si="1"/>
        <v>10244714</v>
      </c>
      <c r="AH22" s="23"/>
    </row>
    <row r="23" spans="1:34" x14ac:dyDescent="0.25">
      <c r="A23" s="7" t="s">
        <v>26</v>
      </c>
      <c r="B23" s="35">
        <v>2102595</v>
      </c>
      <c r="C23" s="35">
        <v>0</v>
      </c>
      <c r="D23" s="35">
        <v>0</v>
      </c>
      <c r="E23" s="35">
        <v>124457</v>
      </c>
      <c r="F23" s="35">
        <v>0</v>
      </c>
      <c r="G23" s="35">
        <v>0</v>
      </c>
      <c r="H23" s="35">
        <v>3273247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  <c r="N23" s="35">
        <v>0</v>
      </c>
      <c r="O23" s="35">
        <v>0</v>
      </c>
      <c r="P23" s="35">
        <v>0</v>
      </c>
      <c r="Q23" s="35">
        <v>0</v>
      </c>
      <c r="R23" s="35">
        <v>0</v>
      </c>
      <c r="S23" s="35">
        <v>0</v>
      </c>
      <c r="T23" s="35">
        <v>0</v>
      </c>
      <c r="U23" s="35">
        <v>0</v>
      </c>
      <c r="V23" s="35">
        <v>0</v>
      </c>
      <c r="W23" s="35">
        <v>0</v>
      </c>
      <c r="X23" s="35">
        <v>0</v>
      </c>
      <c r="Y23" s="35">
        <v>0</v>
      </c>
      <c r="Z23" s="35">
        <v>0</v>
      </c>
      <c r="AA23" s="35">
        <v>0</v>
      </c>
      <c r="AB23" s="35">
        <v>0</v>
      </c>
      <c r="AC23" s="35">
        <v>0</v>
      </c>
      <c r="AD23" s="35">
        <v>0</v>
      </c>
      <c r="AE23" s="35">
        <v>0</v>
      </c>
      <c r="AF23" s="35">
        <v>0</v>
      </c>
      <c r="AG23" s="35">
        <f t="shared" si="1"/>
        <v>5500299</v>
      </c>
      <c r="AH23" s="23"/>
    </row>
    <row r="24" spans="1:34" x14ac:dyDescent="0.25">
      <c r="A24" s="7" t="s">
        <v>27</v>
      </c>
      <c r="B24" s="35">
        <v>1561209</v>
      </c>
      <c r="C24" s="35">
        <v>0</v>
      </c>
      <c r="D24" s="35">
        <v>0</v>
      </c>
      <c r="E24" s="35">
        <v>2500000</v>
      </c>
      <c r="F24" s="35">
        <v>2042944</v>
      </c>
      <c r="G24" s="35">
        <v>2000000</v>
      </c>
      <c r="H24" s="35">
        <v>1513133</v>
      </c>
      <c r="I24" s="35">
        <v>0</v>
      </c>
      <c r="J24" s="35">
        <v>0</v>
      </c>
      <c r="K24" s="35">
        <v>0</v>
      </c>
      <c r="L24" s="35">
        <v>0</v>
      </c>
      <c r="M24" s="35">
        <v>0</v>
      </c>
      <c r="N24" s="35">
        <v>0</v>
      </c>
      <c r="O24" s="35">
        <v>0</v>
      </c>
      <c r="P24" s="35">
        <v>0</v>
      </c>
      <c r="Q24" s="35">
        <v>0</v>
      </c>
      <c r="R24" s="35">
        <v>0</v>
      </c>
      <c r="S24" s="35">
        <v>0</v>
      </c>
      <c r="T24" s="35">
        <v>0</v>
      </c>
      <c r="U24" s="35">
        <v>0</v>
      </c>
      <c r="V24" s="35">
        <v>0</v>
      </c>
      <c r="W24" s="35">
        <v>0</v>
      </c>
      <c r="X24" s="35">
        <v>0</v>
      </c>
      <c r="Y24" s="35">
        <v>0</v>
      </c>
      <c r="Z24" s="35">
        <v>0</v>
      </c>
      <c r="AA24" s="35">
        <v>0</v>
      </c>
      <c r="AB24" s="35">
        <v>0</v>
      </c>
      <c r="AC24" s="35">
        <v>0</v>
      </c>
      <c r="AD24" s="35">
        <v>0</v>
      </c>
      <c r="AE24" s="35">
        <v>0</v>
      </c>
      <c r="AF24" s="35">
        <v>0</v>
      </c>
      <c r="AG24" s="35">
        <f t="shared" si="1"/>
        <v>9617286</v>
      </c>
      <c r="AH24" s="23"/>
    </row>
    <row r="25" spans="1:34" x14ac:dyDescent="0.25">
      <c r="A25" s="7" t="s">
        <v>34</v>
      </c>
      <c r="B25" s="35">
        <v>1826773</v>
      </c>
      <c r="C25" s="35">
        <v>0</v>
      </c>
      <c r="D25" s="35">
        <v>0</v>
      </c>
      <c r="E25" s="35">
        <v>2096632.7200000002</v>
      </c>
      <c r="F25" s="35">
        <v>2064246.97</v>
      </c>
      <c r="G25" s="35">
        <v>2092079.32</v>
      </c>
      <c r="H25" s="35">
        <v>1560409.38</v>
      </c>
      <c r="I25" s="35">
        <v>0</v>
      </c>
      <c r="J25" s="35">
        <v>0</v>
      </c>
      <c r="K25" s="35">
        <v>0</v>
      </c>
      <c r="L25" s="35">
        <v>0</v>
      </c>
      <c r="M25" s="35">
        <v>0</v>
      </c>
      <c r="N25" s="35">
        <v>0</v>
      </c>
      <c r="O25" s="35">
        <v>0</v>
      </c>
      <c r="P25" s="35">
        <v>0</v>
      </c>
      <c r="Q25" s="35">
        <v>0</v>
      </c>
      <c r="R25" s="35">
        <v>0</v>
      </c>
      <c r="S25" s="35">
        <v>0</v>
      </c>
      <c r="T25" s="35">
        <v>0</v>
      </c>
      <c r="U25" s="35">
        <v>0</v>
      </c>
      <c r="V25" s="35">
        <v>0</v>
      </c>
      <c r="W25" s="35">
        <v>0</v>
      </c>
      <c r="X25" s="35">
        <v>0</v>
      </c>
      <c r="Y25" s="35">
        <v>0</v>
      </c>
      <c r="Z25" s="35">
        <v>0</v>
      </c>
      <c r="AA25" s="35">
        <v>0</v>
      </c>
      <c r="AB25" s="35">
        <v>0</v>
      </c>
      <c r="AC25" s="35">
        <v>0</v>
      </c>
      <c r="AD25" s="35">
        <v>0</v>
      </c>
      <c r="AE25" s="35">
        <v>0</v>
      </c>
      <c r="AF25" s="35">
        <v>0</v>
      </c>
      <c r="AG25" s="35">
        <f t="shared" si="1"/>
        <v>9640141.3900000006</v>
      </c>
      <c r="AH25" s="23"/>
    </row>
    <row r="26" spans="1:34" x14ac:dyDescent="0.25">
      <c r="A26" s="7" t="s">
        <v>32</v>
      </c>
      <c r="B26" s="35">
        <v>867964.64</v>
      </c>
      <c r="C26" s="35">
        <v>0</v>
      </c>
      <c r="D26" s="35">
        <v>0</v>
      </c>
      <c r="E26" s="35">
        <v>1009937</v>
      </c>
      <c r="F26" s="35">
        <v>1111265</v>
      </c>
      <c r="G26" s="35">
        <v>1091686</v>
      </c>
      <c r="H26" s="35">
        <v>1039361.58</v>
      </c>
      <c r="I26" s="35">
        <v>0</v>
      </c>
      <c r="J26" s="35">
        <v>0</v>
      </c>
      <c r="K26" s="35">
        <v>0</v>
      </c>
      <c r="L26" s="35">
        <v>0</v>
      </c>
      <c r="M26" s="35">
        <v>0</v>
      </c>
      <c r="N26" s="35">
        <v>0</v>
      </c>
      <c r="O26" s="35">
        <v>0</v>
      </c>
      <c r="P26" s="35">
        <v>0</v>
      </c>
      <c r="Q26" s="35">
        <v>0</v>
      </c>
      <c r="R26" s="35">
        <v>0</v>
      </c>
      <c r="S26" s="35">
        <v>0</v>
      </c>
      <c r="T26" s="35">
        <v>0</v>
      </c>
      <c r="U26" s="35">
        <v>0</v>
      </c>
      <c r="V26" s="35">
        <v>0</v>
      </c>
      <c r="W26" s="35">
        <v>0</v>
      </c>
      <c r="X26" s="35">
        <v>0</v>
      </c>
      <c r="Y26" s="35">
        <v>0</v>
      </c>
      <c r="Z26" s="35">
        <v>0</v>
      </c>
      <c r="AA26" s="35">
        <v>0</v>
      </c>
      <c r="AB26" s="35">
        <v>0</v>
      </c>
      <c r="AC26" s="35">
        <v>0</v>
      </c>
      <c r="AD26" s="35">
        <v>0</v>
      </c>
      <c r="AE26" s="35">
        <v>0</v>
      </c>
      <c r="AF26" s="35">
        <v>0</v>
      </c>
      <c r="AG26" s="35">
        <f t="shared" si="1"/>
        <v>5120214.22</v>
      </c>
      <c r="AH26" s="23"/>
    </row>
    <row r="27" spans="1:34" x14ac:dyDescent="0.25">
      <c r="A27" s="7" t="s">
        <v>30</v>
      </c>
      <c r="B27" s="35">
        <v>506841</v>
      </c>
      <c r="C27" s="35">
        <v>0</v>
      </c>
      <c r="D27" s="35">
        <v>0</v>
      </c>
      <c r="E27" s="35">
        <v>721029.56</v>
      </c>
      <c r="F27" s="35">
        <v>556263</v>
      </c>
      <c r="G27" s="35">
        <v>1055326.55</v>
      </c>
      <c r="H27" s="35">
        <v>1601502.97</v>
      </c>
      <c r="I27" s="35">
        <v>0</v>
      </c>
      <c r="J27" s="35">
        <v>0</v>
      </c>
      <c r="K27" s="35">
        <v>0</v>
      </c>
      <c r="L27" s="35">
        <v>0</v>
      </c>
      <c r="M27" s="35">
        <v>0</v>
      </c>
      <c r="N27" s="35">
        <v>0</v>
      </c>
      <c r="O27" s="35">
        <v>0</v>
      </c>
      <c r="P27" s="35">
        <v>0</v>
      </c>
      <c r="Q27" s="35">
        <v>0</v>
      </c>
      <c r="R27" s="35">
        <v>0</v>
      </c>
      <c r="S27" s="35">
        <v>0</v>
      </c>
      <c r="T27" s="35">
        <v>0</v>
      </c>
      <c r="U27" s="35">
        <v>0</v>
      </c>
      <c r="V27" s="35">
        <v>0</v>
      </c>
      <c r="W27" s="35">
        <v>0</v>
      </c>
      <c r="X27" s="35">
        <v>0</v>
      </c>
      <c r="Y27" s="35">
        <v>0</v>
      </c>
      <c r="Z27" s="35">
        <v>0</v>
      </c>
      <c r="AA27" s="35">
        <v>0</v>
      </c>
      <c r="AB27" s="35">
        <v>0</v>
      </c>
      <c r="AC27" s="35">
        <v>0</v>
      </c>
      <c r="AD27" s="35">
        <v>0</v>
      </c>
      <c r="AE27" s="35">
        <v>0</v>
      </c>
      <c r="AF27" s="35">
        <v>0</v>
      </c>
      <c r="AG27" s="35">
        <f t="shared" si="1"/>
        <v>4440963.08</v>
      </c>
      <c r="AH27" s="23"/>
    </row>
    <row r="28" spans="1:34" x14ac:dyDescent="0.25">
      <c r="A28" s="7" t="s">
        <v>31</v>
      </c>
      <c r="B28" s="35">
        <v>472467</v>
      </c>
      <c r="C28" s="35">
        <v>0</v>
      </c>
      <c r="D28" s="35">
        <v>0</v>
      </c>
      <c r="E28" s="35">
        <v>1511070</v>
      </c>
      <c r="F28" s="35">
        <v>1187590</v>
      </c>
      <c r="G28" s="35">
        <v>869428</v>
      </c>
      <c r="H28" s="35">
        <v>999311</v>
      </c>
      <c r="I28" s="35">
        <v>0</v>
      </c>
      <c r="J28" s="35">
        <v>0</v>
      </c>
      <c r="K28" s="35">
        <v>0</v>
      </c>
      <c r="L28" s="35">
        <v>0</v>
      </c>
      <c r="M28" s="35">
        <v>0</v>
      </c>
      <c r="N28" s="35">
        <v>0</v>
      </c>
      <c r="O28" s="35">
        <v>0</v>
      </c>
      <c r="P28" s="35">
        <v>0</v>
      </c>
      <c r="Q28" s="35">
        <v>0</v>
      </c>
      <c r="R28" s="35">
        <v>0</v>
      </c>
      <c r="S28" s="35">
        <v>0</v>
      </c>
      <c r="T28" s="35">
        <v>0</v>
      </c>
      <c r="U28" s="35">
        <v>0</v>
      </c>
      <c r="V28" s="35">
        <v>0</v>
      </c>
      <c r="W28" s="35">
        <v>0</v>
      </c>
      <c r="X28" s="35">
        <v>0</v>
      </c>
      <c r="Y28" s="35">
        <v>0</v>
      </c>
      <c r="Z28" s="35">
        <v>0</v>
      </c>
      <c r="AA28" s="35">
        <v>0</v>
      </c>
      <c r="AB28" s="35">
        <v>0</v>
      </c>
      <c r="AC28" s="35">
        <v>0</v>
      </c>
      <c r="AD28" s="35">
        <v>0</v>
      </c>
      <c r="AE28" s="35">
        <v>0</v>
      </c>
      <c r="AF28" s="35">
        <v>0</v>
      </c>
      <c r="AG28" s="35">
        <f t="shared" si="1"/>
        <v>5039866</v>
      </c>
      <c r="AH28" s="23"/>
    </row>
    <row r="29" spans="1:34" x14ac:dyDescent="0.25">
      <c r="A29" s="7" t="s">
        <v>33</v>
      </c>
      <c r="B29" s="35">
        <v>779728</v>
      </c>
      <c r="C29" s="35">
        <v>0</v>
      </c>
      <c r="D29" s="35">
        <v>0</v>
      </c>
      <c r="E29" s="35">
        <v>1299663</v>
      </c>
      <c r="F29" s="35">
        <v>1307131</v>
      </c>
      <c r="G29" s="35">
        <v>1409600</v>
      </c>
      <c r="H29" s="35">
        <v>1742930</v>
      </c>
      <c r="I29" s="35">
        <v>0</v>
      </c>
      <c r="J29" s="35">
        <v>0</v>
      </c>
      <c r="K29" s="35">
        <v>0</v>
      </c>
      <c r="L29" s="35">
        <v>0</v>
      </c>
      <c r="M29" s="35">
        <v>0</v>
      </c>
      <c r="N29" s="35">
        <v>0</v>
      </c>
      <c r="O29" s="35">
        <v>0</v>
      </c>
      <c r="P29" s="35">
        <v>0</v>
      </c>
      <c r="Q29" s="35">
        <v>0</v>
      </c>
      <c r="R29" s="35">
        <v>0</v>
      </c>
      <c r="S29" s="35">
        <v>0</v>
      </c>
      <c r="T29" s="35">
        <v>0</v>
      </c>
      <c r="U29" s="35">
        <v>0</v>
      </c>
      <c r="V29" s="35">
        <v>0</v>
      </c>
      <c r="W29" s="35">
        <v>0</v>
      </c>
      <c r="X29" s="35">
        <v>0</v>
      </c>
      <c r="Y29" s="35">
        <v>0</v>
      </c>
      <c r="Z29" s="35">
        <v>0</v>
      </c>
      <c r="AA29" s="35">
        <v>0</v>
      </c>
      <c r="AB29" s="35">
        <v>0</v>
      </c>
      <c r="AC29" s="35">
        <v>0</v>
      </c>
      <c r="AD29" s="35">
        <v>0</v>
      </c>
      <c r="AE29" s="35">
        <v>0</v>
      </c>
      <c r="AF29" s="35">
        <v>0</v>
      </c>
      <c r="AG29" s="35">
        <f t="shared" si="1"/>
        <v>6539052</v>
      </c>
      <c r="AH29" s="23"/>
    </row>
    <row r="30" spans="1:34" x14ac:dyDescent="0.25">
      <c r="A30" s="7" t="s">
        <v>29</v>
      </c>
      <c r="B30" s="35">
        <v>1584659.96</v>
      </c>
      <c r="C30" s="35">
        <v>0</v>
      </c>
      <c r="D30" s="35">
        <v>0</v>
      </c>
      <c r="E30" s="35">
        <v>1142000</v>
      </c>
      <c r="F30" s="35">
        <v>1014000</v>
      </c>
      <c r="G30" s="35">
        <v>1029590</v>
      </c>
      <c r="H30" s="35">
        <v>1101602</v>
      </c>
      <c r="I30" s="35">
        <v>0</v>
      </c>
      <c r="J30" s="35">
        <v>0</v>
      </c>
      <c r="K30" s="35">
        <v>0</v>
      </c>
      <c r="L30" s="35">
        <v>0</v>
      </c>
      <c r="M30" s="35">
        <v>0</v>
      </c>
      <c r="N30" s="35">
        <v>0</v>
      </c>
      <c r="O30" s="35">
        <v>0</v>
      </c>
      <c r="P30" s="35">
        <v>0</v>
      </c>
      <c r="Q30" s="35">
        <v>0</v>
      </c>
      <c r="R30" s="35">
        <v>0</v>
      </c>
      <c r="S30" s="35">
        <v>0</v>
      </c>
      <c r="T30" s="35">
        <v>0</v>
      </c>
      <c r="U30" s="35">
        <v>0</v>
      </c>
      <c r="V30" s="35">
        <v>0</v>
      </c>
      <c r="W30" s="35">
        <v>0</v>
      </c>
      <c r="X30" s="35">
        <v>0</v>
      </c>
      <c r="Y30" s="35">
        <v>0</v>
      </c>
      <c r="Z30" s="35">
        <v>0</v>
      </c>
      <c r="AA30" s="35">
        <v>0</v>
      </c>
      <c r="AB30" s="35">
        <v>0</v>
      </c>
      <c r="AC30" s="35">
        <v>0</v>
      </c>
      <c r="AD30" s="35">
        <v>0</v>
      </c>
      <c r="AE30" s="35">
        <v>0</v>
      </c>
      <c r="AF30" s="35">
        <v>0</v>
      </c>
      <c r="AG30" s="35">
        <f t="shared" si="1"/>
        <v>5871851.96</v>
      </c>
      <c r="AH30" s="23"/>
    </row>
    <row r="31" spans="1:34" x14ac:dyDescent="0.25">
      <c r="A31" s="36" t="s">
        <v>35</v>
      </c>
      <c r="B31" s="37">
        <f t="shared" ref="B31:AF31" si="3">SUM(B9:B30)</f>
        <v>32261965.700000003</v>
      </c>
      <c r="C31" s="37">
        <f t="shared" si="3"/>
        <v>0</v>
      </c>
      <c r="D31" s="37">
        <f t="shared" si="3"/>
        <v>0</v>
      </c>
      <c r="E31" s="37">
        <f t="shared" si="3"/>
        <v>37524857.170000002</v>
      </c>
      <c r="F31" s="37">
        <f t="shared" si="3"/>
        <v>35199786.840000004</v>
      </c>
      <c r="G31" s="37">
        <f t="shared" si="3"/>
        <v>34839227.350000001</v>
      </c>
      <c r="H31" s="37">
        <f t="shared" si="3"/>
        <v>34438498.199999996</v>
      </c>
      <c r="I31" s="37">
        <f t="shared" si="3"/>
        <v>0</v>
      </c>
      <c r="J31" s="37">
        <f t="shared" si="3"/>
        <v>0</v>
      </c>
      <c r="K31" s="37">
        <f t="shared" si="3"/>
        <v>0</v>
      </c>
      <c r="L31" s="37">
        <f t="shared" si="3"/>
        <v>0</v>
      </c>
      <c r="M31" s="37">
        <f t="shared" si="3"/>
        <v>0</v>
      </c>
      <c r="N31" s="37">
        <f t="shared" si="3"/>
        <v>0</v>
      </c>
      <c r="O31" s="37">
        <f t="shared" si="3"/>
        <v>0</v>
      </c>
      <c r="P31" s="37">
        <f t="shared" si="3"/>
        <v>0</v>
      </c>
      <c r="Q31" s="37">
        <f t="shared" si="3"/>
        <v>0</v>
      </c>
      <c r="R31" s="37">
        <f t="shared" si="3"/>
        <v>0</v>
      </c>
      <c r="S31" s="37">
        <f t="shared" si="3"/>
        <v>0</v>
      </c>
      <c r="T31" s="37">
        <f t="shared" si="3"/>
        <v>0</v>
      </c>
      <c r="U31" s="37">
        <f t="shared" si="3"/>
        <v>0</v>
      </c>
      <c r="V31" s="37">
        <f t="shared" si="3"/>
        <v>0</v>
      </c>
      <c r="W31" s="37">
        <f t="shared" si="3"/>
        <v>0</v>
      </c>
      <c r="X31" s="37">
        <f t="shared" si="3"/>
        <v>0</v>
      </c>
      <c r="Y31" s="37">
        <f t="shared" si="3"/>
        <v>0</v>
      </c>
      <c r="Z31" s="37">
        <f t="shared" si="3"/>
        <v>0</v>
      </c>
      <c r="AA31" s="37">
        <f t="shared" si="3"/>
        <v>0</v>
      </c>
      <c r="AB31" s="37">
        <f t="shared" si="3"/>
        <v>0</v>
      </c>
      <c r="AC31" s="37">
        <f t="shared" si="3"/>
        <v>0</v>
      </c>
      <c r="AD31" s="37">
        <f t="shared" si="3"/>
        <v>0</v>
      </c>
      <c r="AE31" s="37">
        <f t="shared" si="3"/>
        <v>0</v>
      </c>
      <c r="AF31" s="37">
        <f t="shared" si="3"/>
        <v>0</v>
      </c>
      <c r="AG31" s="37">
        <f t="shared" si="1"/>
        <v>174264335.25999999</v>
      </c>
    </row>
    <row r="32" spans="1:34" x14ac:dyDescent="0.25">
      <c r="A32" s="38" t="s">
        <v>36</v>
      </c>
      <c r="B32" s="39">
        <f t="shared" ref="B32:AF32" si="4">SUM(B31,B8)</f>
        <v>40384959.040000007</v>
      </c>
      <c r="C32" s="39">
        <f t="shared" si="4"/>
        <v>0</v>
      </c>
      <c r="D32" s="39">
        <f t="shared" si="4"/>
        <v>0</v>
      </c>
      <c r="E32" s="39">
        <f t="shared" si="4"/>
        <v>49223099.859999999</v>
      </c>
      <c r="F32" s="39">
        <f t="shared" si="4"/>
        <v>43519582.650000006</v>
      </c>
      <c r="G32" s="39">
        <f t="shared" si="4"/>
        <v>42269234.770000003</v>
      </c>
      <c r="H32" s="39">
        <f t="shared" si="4"/>
        <v>41936917.059999995</v>
      </c>
      <c r="I32" s="39">
        <f t="shared" si="4"/>
        <v>0</v>
      </c>
      <c r="J32" s="39">
        <f t="shared" si="4"/>
        <v>0</v>
      </c>
      <c r="K32" s="39">
        <f t="shared" si="4"/>
        <v>0</v>
      </c>
      <c r="L32" s="39">
        <f t="shared" si="4"/>
        <v>0</v>
      </c>
      <c r="M32" s="39">
        <f t="shared" si="4"/>
        <v>0</v>
      </c>
      <c r="N32" s="39">
        <f t="shared" si="4"/>
        <v>0</v>
      </c>
      <c r="O32" s="39">
        <f t="shared" si="4"/>
        <v>0</v>
      </c>
      <c r="P32" s="39">
        <f t="shared" si="4"/>
        <v>0</v>
      </c>
      <c r="Q32" s="39">
        <f t="shared" si="4"/>
        <v>0</v>
      </c>
      <c r="R32" s="39">
        <f t="shared" si="4"/>
        <v>0</v>
      </c>
      <c r="S32" s="39">
        <f t="shared" si="4"/>
        <v>0</v>
      </c>
      <c r="T32" s="39">
        <f t="shared" si="4"/>
        <v>0</v>
      </c>
      <c r="U32" s="39">
        <f t="shared" si="4"/>
        <v>0</v>
      </c>
      <c r="V32" s="39">
        <f t="shared" si="4"/>
        <v>0</v>
      </c>
      <c r="W32" s="39">
        <f t="shared" si="4"/>
        <v>0</v>
      </c>
      <c r="X32" s="39">
        <f t="shared" si="4"/>
        <v>0</v>
      </c>
      <c r="Y32" s="39">
        <f t="shared" si="4"/>
        <v>0</v>
      </c>
      <c r="Z32" s="39">
        <f t="shared" si="4"/>
        <v>0</v>
      </c>
      <c r="AA32" s="39">
        <f t="shared" si="4"/>
        <v>0</v>
      </c>
      <c r="AB32" s="39">
        <f t="shared" si="4"/>
        <v>0</v>
      </c>
      <c r="AC32" s="39">
        <f t="shared" si="4"/>
        <v>0</v>
      </c>
      <c r="AD32" s="39">
        <f t="shared" si="4"/>
        <v>0</v>
      </c>
      <c r="AE32" s="39">
        <f t="shared" si="4"/>
        <v>0</v>
      </c>
      <c r="AF32" s="39">
        <f t="shared" si="4"/>
        <v>0</v>
      </c>
      <c r="AG32" s="39">
        <f>SUM(B32:AF32)</f>
        <v>217333793.38000003</v>
      </c>
    </row>
    <row r="33" spans="1:36" x14ac:dyDescent="0.25">
      <c r="A33" s="20" t="s">
        <v>37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2"/>
    </row>
    <row r="34" spans="1:36" x14ac:dyDescent="0.25">
      <c r="A34" s="40" t="s">
        <v>38</v>
      </c>
      <c r="B34" s="35">
        <v>527000</v>
      </c>
      <c r="C34" s="35">
        <v>0</v>
      </c>
      <c r="D34" s="35">
        <v>0</v>
      </c>
      <c r="E34" s="35">
        <v>1000000</v>
      </c>
      <c r="F34" s="35">
        <v>1000629</v>
      </c>
      <c r="G34" s="35">
        <v>1000053</v>
      </c>
      <c r="H34" s="35">
        <v>1000000</v>
      </c>
      <c r="I34" s="35">
        <v>0</v>
      </c>
      <c r="J34" s="35">
        <v>0</v>
      </c>
      <c r="K34" s="35">
        <v>0</v>
      </c>
      <c r="L34" s="35">
        <v>0</v>
      </c>
      <c r="M34" s="35">
        <v>0</v>
      </c>
      <c r="N34" s="35">
        <v>0</v>
      </c>
      <c r="O34" s="35">
        <v>0</v>
      </c>
      <c r="P34" s="35">
        <v>0</v>
      </c>
      <c r="Q34" s="35">
        <v>0</v>
      </c>
      <c r="R34" s="35">
        <v>0</v>
      </c>
      <c r="S34" s="35">
        <v>0</v>
      </c>
      <c r="T34" s="35">
        <v>0</v>
      </c>
      <c r="U34" s="35">
        <v>0</v>
      </c>
      <c r="V34" s="35">
        <v>0</v>
      </c>
      <c r="W34" s="35">
        <v>0</v>
      </c>
      <c r="X34" s="35">
        <v>0</v>
      </c>
      <c r="Y34" s="35">
        <v>0</v>
      </c>
      <c r="Z34" s="35">
        <v>0</v>
      </c>
      <c r="AA34" s="35">
        <v>0</v>
      </c>
      <c r="AB34" s="35">
        <v>0</v>
      </c>
      <c r="AC34" s="35">
        <v>0</v>
      </c>
      <c r="AD34" s="35">
        <v>0</v>
      </c>
      <c r="AE34" s="35">
        <v>0</v>
      </c>
      <c r="AF34" s="35">
        <v>0</v>
      </c>
      <c r="AG34" s="35">
        <f t="shared" ref="AG34:AG47" si="5">SUM(B34:AF34)</f>
        <v>4527682</v>
      </c>
    </row>
    <row r="35" spans="1:36" x14ac:dyDescent="0.25">
      <c r="A35" s="40" t="s">
        <v>39</v>
      </c>
      <c r="B35" s="35">
        <v>1903600</v>
      </c>
      <c r="C35" s="35">
        <v>0</v>
      </c>
      <c r="D35" s="35">
        <v>0</v>
      </c>
      <c r="E35" s="35">
        <v>2457720</v>
      </c>
      <c r="F35" s="35">
        <v>2603374</v>
      </c>
      <c r="G35" s="35">
        <v>2436483</v>
      </c>
      <c r="H35" s="35">
        <v>2511878</v>
      </c>
      <c r="I35" s="35">
        <v>0</v>
      </c>
      <c r="J35" s="35">
        <v>0</v>
      </c>
      <c r="K35" s="35">
        <v>0</v>
      </c>
      <c r="L35" s="35">
        <v>0</v>
      </c>
      <c r="M35" s="35">
        <v>0</v>
      </c>
      <c r="N35" s="35">
        <v>0</v>
      </c>
      <c r="O35" s="35">
        <v>0</v>
      </c>
      <c r="P35" s="35">
        <v>0</v>
      </c>
      <c r="Q35" s="35">
        <v>0</v>
      </c>
      <c r="R35" s="35">
        <v>0</v>
      </c>
      <c r="S35" s="35">
        <v>0</v>
      </c>
      <c r="T35" s="35">
        <v>0</v>
      </c>
      <c r="U35" s="35">
        <v>0</v>
      </c>
      <c r="V35" s="35">
        <v>0</v>
      </c>
      <c r="W35" s="35">
        <v>0</v>
      </c>
      <c r="X35" s="35">
        <v>0</v>
      </c>
      <c r="Y35" s="35">
        <v>0</v>
      </c>
      <c r="Z35" s="35">
        <v>0</v>
      </c>
      <c r="AA35" s="35">
        <v>0</v>
      </c>
      <c r="AB35" s="35">
        <v>0</v>
      </c>
      <c r="AC35" s="35">
        <v>0</v>
      </c>
      <c r="AD35" s="35">
        <v>0</v>
      </c>
      <c r="AE35" s="35">
        <v>0</v>
      </c>
      <c r="AF35" s="35">
        <v>0</v>
      </c>
      <c r="AG35" s="35">
        <f t="shared" si="5"/>
        <v>11913055</v>
      </c>
    </row>
    <row r="36" spans="1:36" x14ac:dyDescent="0.25">
      <c r="A36" s="40" t="s">
        <v>40</v>
      </c>
      <c r="B36" s="35">
        <v>2577558</v>
      </c>
      <c r="C36" s="35">
        <v>0</v>
      </c>
      <c r="D36" s="35">
        <v>0</v>
      </c>
      <c r="E36" s="35">
        <v>1000032</v>
      </c>
      <c r="F36" s="35">
        <v>1035731</v>
      </c>
      <c r="G36" s="35">
        <v>745292</v>
      </c>
      <c r="H36" s="35">
        <v>1000000</v>
      </c>
      <c r="I36" s="35">
        <v>0</v>
      </c>
      <c r="J36" s="35">
        <v>0</v>
      </c>
      <c r="K36" s="35">
        <v>0</v>
      </c>
      <c r="L36" s="35">
        <v>0</v>
      </c>
      <c r="M36" s="35">
        <v>0</v>
      </c>
      <c r="N36" s="35">
        <v>0</v>
      </c>
      <c r="O36" s="35">
        <v>0</v>
      </c>
      <c r="P36" s="35">
        <v>0</v>
      </c>
      <c r="Q36" s="35">
        <v>0</v>
      </c>
      <c r="R36" s="35">
        <v>0</v>
      </c>
      <c r="S36" s="35">
        <v>0</v>
      </c>
      <c r="T36" s="35">
        <v>0</v>
      </c>
      <c r="U36" s="35">
        <v>0</v>
      </c>
      <c r="V36" s="35">
        <v>0</v>
      </c>
      <c r="W36" s="35">
        <v>0</v>
      </c>
      <c r="X36" s="35">
        <v>0</v>
      </c>
      <c r="Y36" s="35">
        <v>0</v>
      </c>
      <c r="Z36" s="35">
        <v>0</v>
      </c>
      <c r="AA36" s="35">
        <v>0</v>
      </c>
      <c r="AB36" s="35">
        <v>0</v>
      </c>
      <c r="AC36" s="35">
        <v>0</v>
      </c>
      <c r="AD36" s="35">
        <v>0</v>
      </c>
      <c r="AE36" s="35">
        <v>0</v>
      </c>
      <c r="AF36" s="35">
        <v>0</v>
      </c>
      <c r="AG36" s="35">
        <f t="shared" si="5"/>
        <v>6358613</v>
      </c>
    </row>
    <row r="37" spans="1:36" x14ac:dyDescent="0.25">
      <c r="A37" s="40" t="s">
        <v>41</v>
      </c>
      <c r="B37" s="35">
        <v>0</v>
      </c>
      <c r="C37" s="35">
        <v>0</v>
      </c>
      <c r="D37" s="35">
        <v>0</v>
      </c>
      <c r="E37" s="35">
        <v>0</v>
      </c>
      <c r="F37" s="35">
        <v>0</v>
      </c>
      <c r="G37" s="35">
        <v>0</v>
      </c>
      <c r="H37" s="35">
        <v>0</v>
      </c>
      <c r="I37" s="35">
        <v>0</v>
      </c>
      <c r="J37" s="35">
        <v>0</v>
      </c>
      <c r="K37" s="35">
        <v>0</v>
      </c>
      <c r="L37" s="35">
        <v>0</v>
      </c>
      <c r="M37" s="35">
        <v>0</v>
      </c>
      <c r="N37" s="35">
        <v>0</v>
      </c>
      <c r="O37" s="35">
        <v>0</v>
      </c>
      <c r="P37" s="35">
        <v>0</v>
      </c>
      <c r="Q37" s="35">
        <v>0</v>
      </c>
      <c r="R37" s="35">
        <v>0</v>
      </c>
      <c r="S37" s="35">
        <v>0</v>
      </c>
      <c r="T37" s="35">
        <v>0</v>
      </c>
      <c r="U37" s="35">
        <v>0</v>
      </c>
      <c r="V37" s="35">
        <v>0</v>
      </c>
      <c r="W37" s="35">
        <v>0</v>
      </c>
      <c r="X37" s="35">
        <v>0</v>
      </c>
      <c r="Y37" s="35">
        <v>0</v>
      </c>
      <c r="Z37" s="35">
        <v>0</v>
      </c>
      <c r="AA37" s="35">
        <v>0</v>
      </c>
      <c r="AB37" s="35">
        <v>0</v>
      </c>
      <c r="AC37" s="35">
        <v>0</v>
      </c>
      <c r="AD37" s="35">
        <v>0</v>
      </c>
      <c r="AE37" s="35">
        <v>0</v>
      </c>
      <c r="AF37" s="35">
        <v>0</v>
      </c>
      <c r="AG37" s="35">
        <f t="shared" si="5"/>
        <v>0</v>
      </c>
    </row>
    <row r="38" spans="1:36" x14ac:dyDescent="0.25">
      <c r="A38" s="40" t="s">
        <v>48</v>
      </c>
      <c r="B38" s="35">
        <v>2008082</v>
      </c>
      <c r="C38" s="35">
        <v>0</v>
      </c>
      <c r="D38" s="35">
        <v>0</v>
      </c>
      <c r="E38" s="35">
        <v>2547667</v>
      </c>
      <c r="F38" s="35">
        <v>2011915</v>
      </c>
      <c r="G38" s="35">
        <v>2176439</v>
      </c>
      <c r="H38" s="35">
        <v>2000000</v>
      </c>
      <c r="I38" s="35">
        <v>0</v>
      </c>
      <c r="J38" s="35">
        <v>0</v>
      </c>
      <c r="K38" s="35">
        <v>0</v>
      </c>
      <c r="L38" s="35">
        <v>0</v>
      </c>
      <c r="M38" s="35">
        <v>0</v>
      </c>
      <c r="N38" s="35">
        <v>0</v>
      </c>
      <c r="O38" s="35">
        <v>0</v>
      </c>
      <c r="P38" s="35">
        <v>0</v>
      </c>
      <c r="Q38" s="35">
        <v>0</v>
      </c>
      <c r="R38" s="35">
        <v>0</v>
      </c>
      <c r="S38" s="35">
        <v>0</v>
      </c>
      <c r="T38" s="35">
        <v>0</v>
      </c>
      <c r="U38" s="35">
        <v>0</v>
      </c>
      <c r="V38" s="35">
        <v>0</v>
      </c>
      <c r="W38" s="35">
        <v>0</v>
      </c>
      <c r="X38" s="35">
        <v>0</v>
      </c>
      <c r="Y38" s="35">
        <v>0</v>
      </c>
      <c r="Z38" s="35">
        <v>0</v>
      </c>
      <c r="AA38" s="35">
        <v>0</v>
      </c>
      <c r="AB38" s="35">
        <v>0</v>
      </c>
      <c r="AC38" s="35">
        <v>0</v>
      </c>
      <c r="AD38" s="35">
        <v>0</v>
      </c>
      <c r="AE38" s="35">
        <v>0</v>
      </c>
      <c r="AF38" s="35">
        <v>0</v>
      </c>
      <c r="AG38" s="35">
        <f t="shared" si="5"/>
        <v>10744103</v>
      </c>
    </row>
    <row r="39" spans="1:36" x14ac:dyDescent="0.25">
      <c r="A39" s="7" t="s">
        <v>42</v>
      </c>
      <c r="B39" s="35">
        <v>1000589</v>
      </c>
      <c r="C39" s="35">
        <v>0</v>
      </c>
      <c r="D39" s="35">
        <v>0</v>
      </c>
      <c r="E39" s="35">
        <v>778054</v>
      </c>
      <c r="F39" s="35">
        <v>1000175</v>
      </c>
      <c r="G39" s="35">
        <v>1000000</v>
      </c>
      <c r="H39" s="35">
        <v>1396024</v>
      </c>
      <c r="I39" s="35">
        <v>0</v>
      </c>
      <c r="J39" s="35">
        <v>0</v>
      </c>
      <c r="K39" s="35">
        <v>0</v>
      </c>
      <c r="L39" s="35">
        <v>0</v>
      </c>
      <c r="M39" s="35">
        <v>0</v>
      </c>
      <c r="N39" s="35">
        <v>0</v>
      </c>
      <c r="O39" s="35">
        <v>0</v>
      </c>
      <c r="P39" s="35">
        <v>0</v>
      </c>
      <c r="Q39" s="35">
        <v>0</v>
      </c>
      <c r="R39" s="35">
        <v>0</v>
      </c>
      <c r="S39" s="35">
        <v>0</v>
      </c>
      <c r="T39" s="35">
        <v>0</v>
      </c>
      <c r="U39" s="35">
        <v>0</v>
      </c>
      <c r="V39" s="35">
        <v>0</v>
      </c>
      <c r="W39" s="35">
        <v>0</v>
      </c>
      <c r="X39" s="35">
        <v>0</v>
      </c>
      <c r="Y39" s="35">
        <v>0</v>
      </c>
      <c r="Z39" s="35">
        <v>0</v>
      </c>
      <c r="AA39" s="35">
        <v>0</v>
      </c>
      <c r="AB39" s="35">
        <v>0</v>
      </c>
      <c r="AC39" s="35">
        <v>0</v>
      </c>
      <c r="AD39" s="35">
        <v>0</v>
      </c>
      <c r="AE39" s="35">
        <v>0</v>
      </c>
      <c r="AF39" s="35">
        <v>0</v>
      </c>
      <c r="AG39" s="35">
        <f t="shared" si="5"/>
        <v>5174842</v>
      </c>
    </row>
    <row r="40" spans="1:36" x14ac:dyDescent="0.25">
      <c r="A40" s="7" t="s">
        <v>43</v>
      </c>
      <c r="B40" s="35">
        <v>1036362</v>
      </c>
      <c r="C40" s="35">
        <v>0</v>
      </c>
      <c r="D40" s="35">
        <v>0</v>
      </c>
      <c r="E40" s="35">
        <v>1210189</v>
      </c>
      <c r="F40" s="35">
        <v>2001934</v>
      </c>
      <c r="G40" s="35">
        <v>1501564.56</v>
      </c>
      <c r="H40" s="35">
        <v>1000136.41</v>
      </c>
      <c r="I40" s="35">
        <v>0</v>
      </c>
      <c r="J40" s="35">
        <v>0</v>
      </c>
      <c r="K40" s="35">
        <v>0</v>
      </c>
      <c r="L40" s="35">
        <v>0</v>
      </c>
      <c r="M40" s="35">
        <v>0</v>
      </c>
      <c r="N40" s="35">
        <v>0</v>
      </c>
      <c r="O40" s="35">
        <v>0</v>
      </c>
      <c r="P40" s="35">
        <v>0</v>
      </c>
      <c r="Q40" s="35">
        <v>0</v>
      </c>
      <c r="R40" s="35">
        <v>0</v>
      </c>
      <c r="S40" s="35">
        <v>0</v>
      </c>
      <c r="T40" s="35">
        <v>0</v>
      </c>
      <c r="U40" s="35">
        <v>0</v>
      </c>
      <c r="V40" s="35">
        <v>0</v>
      </c>
      <c r="W40" s="35">
        <v>0</v>
      </c>
      <c r="X40" s="35">
        <v>0</v>
      </c>
      <c r="Y40" s="35">
        <v>0</v>
      </c>
      <c r="Z40" s="35">
        <v>0</v>
      </c>
      <c r="AA40" s="35">
        <v>0</v>
      </c>
      <c r="AB40" s="35">
        <v>0</v>
      </c>
      <c r="AC40" s="35">
        <v>0</v>
      </c>
      <c r="AD40" s="35">
        <v>0</v>
      </c>
      <c r="AE40" s="35">
        <v>0</v>
      </c>
      <c r="AF40" s="35">
        <v>0</v>
      </c>
      <c r="AG40" s="35">
        <f t="shared" si="5"/>
        <v>6750185.9700000007</v>
      </c>
    </row>
    <row r="41" spans="1:36" x14ac:dyDescent="0.25">
      <c r="A41" s="7" t="s">
        <v>44</v>
      </c>
      <c r="B41" s="35">
        <v>436577</v>
      </c>
      <c r="C41" s="35">
        <v>0</v>
      </c>
      <c r="D41" s="35">
        <v>0</v>
      </c>
      <c r="E41" s="35">
        <v>800120</v>
      </c>
      <c r="F41" s="35">
        <v>613976</v>
      </c>
      <c r="G41" s="35">
        <v>616706</v>
      </c>
      <c r="H41" s="35">
        <v>683324</v>
      </c>
      <c r="I41" s="35">
        <v>0</v>
      </c>
      <c r="J41" s="35">
        <v>0</v>
      </c>
      <c r="K41" s="35">
        <v>0</v>
      </c>
      <c r="L41" s="35">
        <v>0</v>
      </c>
      <c r="M41" s="35">
        <v>0</v>
      </c>
      <c r="N41" s="35">
        <v>0</v>
      </c>
      <c r="O41" s="35">
        <v>0</v>
      </c>
      <c r="P41" s="35">
        <v>0</v>
      </c>
      <c r="Q41" s="35">
        <v>0</v>
      </c>
      <c r="R41" s="35">
        <v>0</v>
      </c>
      <c r="S41" s="35">
        <v>0</v>
      </c>
      <c r="T41" s="35">
        <v>0</v>
      </c>
      <c r="U41" s="35">
        <v>0</v>
      </c>
      <c r="V41" s="35">
        <v>0</v>
      </c>
      <c r="W41" s="35">
        <v>0</v>
      </c>
      <c r="X41" s="35">
        <v>0</v>
      </c>
      <c r="Y41" s="35">
        <v>0</v>
      </c>
      <c r="Z41" s="35">
        <v>0</v>
      </c>
      <c r="AA41" s="35">
        <v>0</v>
      </c>
      <c r="AB41" s="35">
        <v>0</v>
      </c>
      <c r="AC41" s="35">
        <v>0</v>
      </c>
      <c r="AD41" s="35">
        <v>0</v>
      </c>
      <c r="AE41" s="35">
        <v>0</v>
      </c>
      <c r="AF41" s="35">
        <v>0</v>
      </c>
      <c r="AG41" s="35">
        <f t="shared" si="5"/>
        <v>3150703</v>
      </c>
    </row>
    <row r="42" spans="1:36" x14ac:dyDescent="0.25">
      <c r="A42" s="40" t="s">
        <v>45</v>
      </c>
      <c r="B42" s="35">
        <v>1113130</v>
      </c>
      <c r="C42" s="35">
        <v>0</v>
      </c>
      <c r="D42" s="35">
        <v>0</v>
      </c>
      <c r="E42" s="35">
        <v>701145</v>
      </c>
      <c r="F42" s="35">
        <v>509301</v>
      </c>
      <c r="G42" s="35">
        <v>509071.56</v>
      </c>
      <c r="H42" s="35">
        <v>1747417</v>
      </c>
      <c r="I42" s="35">
        <v>0</v>
      </c>
      <c r="J42" s="35">
        <v>0</v>
      </c>
      <c r="K42" s="35">
        <v>0</v>
      </c>
      <c r="L42" s="35">
        <v>0</v>
      </c>
      <c r="M42" s="35">
        <v>0</v>
      </c>
      <c r="N42" s="35">
        <v>0</v>
      </c>
      <c r="O42" s="35">
        <v>0</v>
      </c>
      <c r="P42" s="35">
        <v>0</v>
      </c>
      <c r="Q42" s="35">
        <v>0</v>
      </c>
      <c r="R42" s="35">
        <v>0</v>
      </c>
      <c r="S42" s="35">
        <v>0</v>
      </c>
      <c r="T42" s="35">
        <v>0</v>
      </c>
      <c r="U42" s="35">
        <v>0</v>
      </c>
      <c r="V42" s="35">
        <v>0</v>
      </c>
      <c r="W42" s="35">
        <v>0</v>
      </c>
      <c r="X42" s="35">
        <v>0</v>
      </c>
      <c r="Y42" s="35">
        <v>0</v>
      </c>
      <c r="Z42" s="35">
        <v>0</v>
      </c>
      <c r="AA42" s="35">
        <v>0</v>
      </c>
      <c r="AB42" s="35">
        <v>0</v>
      </c>
      <c r="AC42" s="35">
        <v>0</v>
      </c>
      <c r="AD42" s="35">
        <v>0</v>
      </c>
      <c r="AE42" s="35">
        <v>0</v>
      </c>
      <c r="AF42" s="35">
        <v>0</v>
      </c>
      <c r="AG42" s="35">
        <f t="shared" si="5"/>
        <v>4580064.5600000005</v>
      </c>
    </row>
    <row r="43" spans="1:36" x14ac:dyDescent="0.25">
      <c r="A43" s="40" t="s">
        <v>46</v>
      </c>
      <c r="B43" s="35">
        <v>1000698</v>
      </c>
      <c r="C43" s="35">
        <v>0</v>
      </c>
      <c r="D43" s="35">
        <v>0</v>
      </c>
      <c r="E43" s="35">
        <v>700098</v>
      </c>
      <c r="F43" s="35">
        <v>601000</v>
      </c>
      <c r="G43" s="35">
        <v>1000215</v>
      </c>
      <c r="H43" s="35">
        <v>1000129</v>
      </c>
      <c r="I43" s="35">
        <v>0</v>
      </c>
      <c r="J43" s="35">
        <v>0</v>
      </c>
      <c r="K43" s="35">
        <v>0</v>
      </c>
      <c r="L43" s="35">
        <v>0</v>
      </c>
      <c r="M43" s="35">
        <v>0</v>
      </c>
      <c r="N43" s="35">
        <v>0</v>
      </c>
      <c r="O43" s="35">
        <v>0</v>
      </c>
      <c r="P43" s="35">
        <v>0</v>
      </c>
      <c r="Q43" s="35">
        <v>0</v>
      </c>
      <c r="R43" s="35">
        <v>0</v>
      </c>
      <c r="S43" s="35">
        <v>0</v>
      </c>
      <c r="T43" s="35">
        <v>0</v>
      </c>
      <c r="U43" s="35">
        <v>0</v>
      </c>
      <c r="V43" s="35">
        <v>0</v>
      </c>
      <c r="W43" s="35">
        <v>0</v>
      </c>
      <c r="X43" s="35">
        <v>0</v>
      </c>
      <c r="Y43" s="35">
        <v>0</v>
      </c>
      <c r="Z43" s="35">
        <v>0</v>
      </c>
      <c r="AA43" s="35">
        <v>0</v>
      </c>
      <c r="AB43" s="35">
        <v>0</v>
      </c>
      <c r="AC43" s="35">
        <v>0</v>
      </c>
      <c r="AD43" s="35">
        <v>0</v>
      </c>
      <c r="AE43" s="35">
        <v>0</v>
      </c>
      <c r="AF43" s="35">
        <v>0</v>
      </c>
      <c r="AG43" s="35">
        <f t="shared" si="5"/>
        <v>4302140</v>
      </c>
    </row>
    <row r="44" spans="1:36" x14ac:dyDescent="0.25">
      <c r="A44" s="40" t="s">
        <v>47</v>
      </c>
      <c r="B44" s="35">
        <v>519046</v>
      </c>
      <c r="C44" s="35">
        <v>0</v>
      </c>
      <c r="D44" s="35">
        <v>0</v>
      </c>
      <c r="E44" s="35">
        <v>1001186</v>
      </c>
      <c r="F44" s="35">
        <v>1039578.5</v>
      </c>
      <c r="G44" s="35">
        <v>1004599</v>
      </c>
      <c r="H44" s="35">
        <v>1844238</v>
      </c>
      <c r="I44" s="35">
        <v>0</v>
      </c>
      <c r="J44" s="35">
        <v>0</v>
      </c>
      <c r="K44" s="35">
        <v>0</v>
      </c>
      <c r="L44" s="35">
        <v>0</v>
      </c>
      <c r="M44" s="35">
        <v>0</v>
      </c>
      <c r="N44" s="35">
        <v>0</v>
      </c>
      <c r="O44" s="35">
        <v>0</v>
      </c>
      <c r="P44" s="35">
        <v>0</v>
      </c>
      <c r="Q44" s="35">
        <v>0</v>
      </c>
      <c r="R44" s="35">
        <v>0</v>
      </c>
      <c r="S44" s="35">
        <v>0</v>
      </c>
      <c r="T44" s="35">
        <v>0</v>
      </c>
      <c r="U44" s="35">
        <v>0</v>
      </c>
      <c r="V44" s="35">
        <v>0</v>
      </c>
      <c r="W44" s="35">
        <v>0</v>
      </c>
      <c r="X44" s="35">
        <v>0</v>
      </c>
      <c r="Y44" s="35">
        <v>0</v>
      </c>
      <c r="Z44" s="35">
        <v>0</v>
      </c>
      <c r="AA44" s="35">
        <v>0</v>
      </c>
      <c r="AB44" s="35">
        <v>0</v>
      </c>
      <c r="AC44" s="35">
        <v>0</v>
      </c>
      <c r="AD44" s="35">
        <v>0</v>
      </c>
      <c r="AE44" s="35">
        <v>0</v>
      </c>
      <c r="AF44" s="35">
        <v>0</v>
      </c>
      <c r="AG44" s="35">
        <f t="shared" si="5"/>
        <v>5408647.5</v>
      </c>
    </row>
    <row r="45" spans="1:36" x14ac:dyDescent="0.25">
      <c r="A45" s="40" t="s">
        <v>49</v>
      </c>
      <c r="B45" s="35">
        <v>1430954</v>
      </c>
      <c r="C45" s="35">
        <v>0</v>
      </c>
      <c r="D45" s="35">
        <v>0</v>
      </c>
      <c r="E45" s="35">
        <v>2221036</v>
      </c>
      <c r="F45" s="35">
        <v>551059.61</v>
      </c>
      <c r="G45" s="35">
        <v>358881</v>
      </c>
      <c r="H45" s="35">
        <v>651308</v>
      </c>
      <c r="I45" s="35">
        <v>0</v>
      </c>
      <c r="J45" s="35">
        <v>0</v>
      </c>
      <c r="K45" s="35">
        <v>0</v>
      </c>
      <c r="L45" s="35">
        <v>0</v>
      </c>
      <c r="M45" s="35">
        <v>0</v>
      </c>
      <c r="N45" s="35">
        <v>0</v>
      </c>
      <c r="O45" s="35">
        <v>0</v>
      </c>
      <c r="P45" s="35">
        <v>0</v>
      </c>
      <c r="Q45" s="35">
        <v>0</v>
      </c>
      <c r="R45" s="35">
        <v>0</v>
      </c>
      <c r="S45" s="35">
        <v>0</v>
      </c>
      <c r="T45" s="35">
        <v>0</v>
      </c>
      <c r="U45" s="35">
        <v>0</v>
      </c>
      <c r="V45" s="35">
        <v>0</v>
      </c>
      <c r="W45" s="35">
        <v>0</v>
      </c>
      <c r="X45" s="35">
        <v>0</v>
      </c>
      <c r="Y45" s="35">
        <v>0</v>
      </c>
      <c r="Z45" s="35">
        <v>0</v>
      </c>
      <c r="AA45" s="35">
        <v>0</v>
      </c>
      <c r="AB45" s="35">
        <v>0</v>
      </c>
      <c r="AC45" s="35">
        <v>0</v>
      </c>
      <c r="AD45" s="35">
        <v>0</v>
      </c>
      <c r="AE45" s="35">
        <v>0</v>
      </c>
      <c r="AF45" s="35">
        <v>0</v>
      </c>
      <c r="AG45" s="35">
        <f t="shared" si="5"/>
        <v>5213238.6100000003</v>
      </c>
    </row>
    <row r="46" spans="1:36" x14ac:dyDescent="0.25">
      <c r="A46" s="38" t="s">
        <v>50</v>
      </c>
      <c r="B46" s="39">
        <f t="shared" ref="B46:AF46" si="6">SUM(B34:B45)</f>
        <v>13553596</v>
      </c>
      <c r="C46" s="39">
        <f t="shared" si="6"/>
        <v>0</v>
      </c>
      <c r="D46" s="39">
        <f t="shared" si="6"/>
        <v>0</v>
      </c>
      <c r="E46" s="39">
        <f t="shared" si="6"/>
        <v>14417247</v>
      </c>
      <c r="F46" s="39">
        <f t="shared" si="6"/>
        <v>12968673.109999999</v>
      </c>
      <c r="G46" s="39">
        <f t="shared" si="6"/>
        <v>12349304.120000001</v>
      </c>
      <c r="H46" s="39">
        <f t="shared" si="6"/>
        <v>14834454.41</v>
      </c>
      <c r="I46" s="39">
        <f t="shared" si="6"/>
        <v>0</v>
      </c>
      <c r="J46" s="39">
        <f t="shared" si="6"/>
        <v>0</v>
      </c>
      <c r="K46" s="39">
        <f t="shared" si="6"/>
        <v>0</v>
      </c>
      <c r="L46" s="39">
        <f t="shared" si="6"/>
        <v>0</v>
      </c>
      <c r="M46" s="39">
        <f t="shared" si="6"/>
        <v>0</v>
      </c>
      <c r="N46" s="39">
        <f t="shared" si="6"/>
        <v>0</v>
      </c>
      <c r="O46" s="39">
        <f t="shared" si="6"/>
        <v>0</v>
      </c>
      <c r="P46" s="39">
        <f t="shared" si="6"/>
        <v>0</v>
      </c>
      <c r="Q46" s="39">
        <f t="shared" si="6"/>
        <v>0</v>
      </c>
      <c r="R46" s="39">
        <f t="shared" si="6"/>
        <v>0</v>
      </c>
      <c r="S46" s="39">
        <f t="shared" si="6"/>
        <v>0</v>
      </c>
      <c r="T46" s="39">
        <f t="shared" si="6"/>
        <v>0</v>
      </c>
      <c r="U46" s="39">
        <f t="shared" si="6"/>
        <v>0</v>
      </c>
      <c r="V46" s="39">
        <f t="shared" si="6"/>
        <v>0</v>
      </c>
      <c r="W46" s="39">
        <f t="shared" si="6"/>
        <v>0</v>
      </c>
      <c r="X46" s="39">
        <f t="shared" si="6"/>
        <v>0</v>
      </c>
      <c r="Y46" s="39">
        <f t="shared" si="6"/>
        <v>0</v>
      </c>
      <c r="Z46" s="39">
        <f t="shared" si="6"/>
        <v>0</v>
      </c>
      <c r="AA46" s="39">
        <f t="shared" si="6"/>
        <v>0</v>
      </c>
      <c r="AB46" s="39">
        <f t="shared" si="6"/>
        <v>0</v>
      </c>
      <c r="AC46" s="39">
        <f t="shared" si="6"/>
        <v>0</v>
      </c>
      <c r="AD46" s="39">
        <f t="shared" si="6"/>
        <v>0</v>
      </c>
      <c r="AE46" s="39">
        <f t="shared" si="6"/>
        <v>0</v>
      </c>
      <c r="AF46" s="39">
        <f t="shared" si="6"/>
        <v>0</v>
      </c>
      <c r="AG46" s="39">
        <f t="shared" si="5"/>
        <v>68123274.640000001</v>
      </c>
      <c r="AH46" s="23"/>
    </row>
    <row r="47" spans="1:36" x14ac:dyDescent="0.25">
      <c r="A47" s="24" t="s">
        <v>6</v>
      </c>
      <c r="B47" s="28">
        <f t="shared" ref="B47:AF47" si="7">SUM(B32,B46)</f>
        <v>53938555.040000007</v>
      </c>
      <c r="C47" s="25">
        <f t="shared" si="7"/>
        <v>0</v>
      </c>
      <c r="D47" s="25">
        <f t="shared" si="7"/>
        <v>0</v>
      </c>
      <c r="E47" s="25">
        <f t="shared" si="7"/>
        <v>63640346.859999999</v>
      </c>
      <c r="F47" s="25">
        <f t="shared" si="7"/>
        <v>56488255.760000005</v>
      </c>
      <c r="G47" s="25">
        <f t="shared" si="7"/>
        <v>54618538.890000001</v>
      </c>
      <c r="H47" s="25">
        <f t="shared" si="7"/>
        <v>56771371.469999999</v>
      </c>
      <c r="I47" s="25">
        <f t="shared" si="7"/>
        <v>0</v>
      </c>
      <c r="J47" s="25">
        <f t="shared" si="7"/>
        <v>0</v>
      </c>
      <c r="K47" s="25">
        <f t="shared" si="7"/>
        <v>0</v>
      </c>
      <c r="L47" s="25">
        <f t="shared" si="7"/>
        <v>0</v>
      </c>
      <c r="M47" s="25">
        <f t="shared" si="7"/>
        <v>0</v>
      </c>
      <c r="N47" s="25">
        <f t="shared" si="7"/>
        <v>0</v>
      </c>
      <c r="O47" s="25">
        <f t="shared" si="7"/>
        <v>0</v>
      </c>
      <c r="P47" s="25">
        <f t="shared" si="7"/>
        <v>0</v>
      </c>
      <c r="Q47" s="25">
        <f t="shared" si="7"/>
        <v>0</v>
      </c>
      <c r="R47" s="25">
        <f t="shared" si="7"/>
        <v>0</v>
      </c>
      <c r="S47" s="25">
        <f t="shared" si="7"/>
        <v>0</v>
      </c>
      <c r="T47" s="25">
        <f t="shared" si="7"/>
        <v>0</v>
      </c>
      <c r="U47" s="25">
        <f t="shared" si="7"/>
        <v>0</v>
      </c>
      <c r="V47" s="25">
        <f t="shared" si="7"/>
        <v>0</v>
      </c>
      <c r="W47" s="25">
        <f t="shared" si="7"/>
        <v>0</v>
      </c>
      <c r="X47" s="25">
        <f t="shared" si="7"/>
        <v>0</v>
      </c>
      <c r="Y47" s="25">
        <f t="shared" si="7"/>
        <v>0</v>
      </c>
      <c r="Z47" s="25">
        <f t="shared" si="7"/>
        <v>0</v>
      </c>
      <c r="AA47" s="25">
        <f t="shared" si="7"/>
        <v>0</v>
      </c>
      <c r="AB47" s="25">
        <f t="shared" si="7"/>
        <v>0</v>
      </c>
      <c r="AC47" s="25">
        <f t="shared" si="7"/>
        <v>0</v>
      </c>
      <c r="AD47" s="25">
        <f t="shared" si="7"/>
        <v>0</v>
      </c>
      <c r="AE47" s="25">
        <f t="shared" si="7"/>
        <v>0</v>
      </c>
      <c r="AF47" s="25">
        <f t="shared" si="7"/>
        <v>0</v>
      </c>
      <c r="AG47" s="25">
        <f t="shared" si="5"/>
        <v>285457068.01999998</v>
      </c>
      <c r="AI47" s="41"/>
      <c r="AJ47" s="41"/>
    </row>
    <row r="49" spans="1:33" x14ac:dyDescent="0.25">
      <c r="AG49" s="41"/>
    </row>
    <row r="50" spans="1:33" x14ac:dyDescent="0.25">
      <c r="AG50" s="41"/>
    </row>
    <row r="51" spans="1:33" x14ac:dyDescent="0.25">
      <c r="B51" s="40"/>
    </row>
    <row r="55" spans="1:33" x14ac:dyDescent="0.25">
      <c r="A55" s="42"/>
    </row>
    <row r="56" spans="1:33" x14ac:dyDescent="0.25">
      <c r="A56" s="42"/>
    </row>
    <row r="57" spans="1:33" x14ac:dyDescent="0.25">
      <c r="A57" s="42"/>
    </row>
    <row r="58" spans="1:33" x14ac:dyDescent="0.25">
      <c r="A58" s="42"/>
    </row>
    <row r="59" spans="1:33" x14ac:dyDescent="0.25">
      <c r="A59" s="42"/>
    </row>
    <row r="60" spans="1:33" x14ac:dyDescent="0.25">
      <c r="A60" s="42"/>
    </row>
    <row r="61" spans="1:33" x14ac:dyDescent="0.25">
      <c r="A61" s="42"/>
    </row>
    <row r="62" spans="1:33" x14ac:dyDescent="0.25">
      <c r="A62" s="42"/>
    </row>
    <row r="63" spans="1:33" x14ac:dyDescent="0.25">
      <c r="A63" s="42"/>
    </row>
    <row r="64" spans="1:33" x14ac:dyDescent="0.25">
      <c r="A64" s="42"/>
    </row>
    <row r="65" spans="1:1" x14ac:dyDescent="0.25">
      <c r="A65" s="42"/>
    </row>
    <row r="66" spans="1:1" x14ac:dyDescent="0.25">
      <c r="A66" s="42"/>
    </row>
    <row r="67" spans="1:1" x14ac:dyDescent="0.25">
      <c r="A67" s="42"/>
    </row>
    <row r="68" spans="1:1" x14ac:dyDescent="0.25">
      <c r="A68" s="42"/>
    </row>
    <row r="69" spans="1:1" x14ac:dyDescent="0.25">
      <c r="A69" s="42"/>
    </row>
    <row r="70" spans="1:1" x14ac:dyDescent="0.25">
      <c r="A70" s="42"/>
    </row>
    <row r="71" spans="1:1" x14ac:dyDescent="0.25">
      <c r="A71" s="42"/>
    </row>
    <row r="72" spans="1:1" x14ac:dyDescent="0.25">
      <c r="A72" s="42"/>
    </row>
    <row r="73" spans="1:1" x14ac:dyDescent="0.25">
      <c r="A73" s="42"/>
    </row>
    <row r="74" spans="1:1" x14ac:dyDescent="0.25">
      <c r="A74" s="42"/>
    </row>
    <row r="75" spans="1:1" x14ac:dyDescent="0.25">
      <c r="A75" s="42"/>
    </row>
    <row r="76" spans="1:1" x14ac:dyDescent="0.25">
      <c r="A76" s="42"/>
    </row>
    <row r="77" spans="1:1" x14ac:dyDescent="0.25">
      <c r="A77" s="42"/>
    </row>
    <row r="78" spans="1:1" x14ac:dyDescent="0.25">
      <c r="A78" s="42"/>
    </row>
    <row r="79" spans="1:1" x14ac:dyDescent="0.25">
      <c r="A79" s="42"/>
    </row>
    <row r="80" spans="1:1" x14ac:dyDescent="0.25">
      <c r="A80" s="42"/>
    </row>
    <row r="81" spans="1:1" x14ac:dyDescent="0.25">
      <c r="A81" s="42"/>
    </row>
    <row r="82" spans="1:1" x14ac:dyDescent="0.25">
      <c r="A82" s="42"/>
    </row>
    <row r="83" spans="1:1" x14ac:dyDescent="0.25">
      <c r="A83" s="42"/>
    </row>
    <row r="84" spans="1:1" x14ac:dyDescent="0.25">
      <c r="A84" s="42"/>
    </row>
    <row r="85" spans="1:1" x14ac:dyDescent="0.25">
      <c r="A85" s="42"/>
    </row>
    <row r="86" spans="1:1" x14ac:dyDescent="0.25">
      <c r="A86" s="42"/>
    </row>
    <row r="87" spans="1:1" x14ac:dyDescent="0.25">
      <c r="A87" s="42"/>
    </row>
    <row r="88" spans="1:1" x14ac:dyDescent="0.25">
      <c r="A88" s="42"/>
    </row>
    <row r="89" spans="1:1" x14ac:dyDescent="0.25">
      <c r="A89" s="42"/>
    </row>
    <row r="90" spans="1:1" x14ac:dyDescent="0.25">
      <c r="A90" s="42"/>
    </row>
    <row r="91" spans="1:1" x14ac:dyDescent="0.25">
      <c r="A91" s="42"/>
    </row>
    <row r="92" spans="1:1" x14ac:dyDescent="0.25">
      <c r="A92" s="42"/>
    </row>
    <row r="93" spans="1:1" x14ac:dyDescent="0.25">
      <c r="A93" s="42"/>
    </row>
    <row r="94" spans="1:1" x14ac:dyDescent="0.25">
      <c r="A94" s="42"/>
    </row>
    <row r="95" spans="1:1" x14ac:dyDescent="0.25">
      <c r="A95" s="42"/>
    </row>
    <row r="96" spans="1:1" x14ac:dyDescent="0.25">
      <c r="A96" s="42"/>
    </row>
    <row r="97" spans="1:1" x14ac:dyDescent="0.25">
      <c r="A97" s="42"/>
    </row>
  </sheetData>
  <mergeCells count="2">
    <mergeCell ref="A3:AG3"/>
    <mergeCell ref="A33:AG3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59604-E913-4D06-BD4D-BCF993E80106}">
  <dimension ref="A2:W130"/>
  <sheetViews>
    <sheetView zoomScale="75" zoomScaleNormal="75" workbookViewId="0">
      <selection activeCell="G54" sqref="G54"/>
    </sheetView>
  </sheetViews>
  <sheetFormatPr defaultRowHeight="15" x14ac:dyDescent="0.25"/>
  <cols>
    <col min="1" max="1" width="16.140625" bestFit="1" customWidth="1"/>
    <col min="2" max="2" width="18.42578125" bestFit="1" customWidth="1"/>
    <col min="3" max="3" width="16.28515625" bestFit="1" customWidth="1"/>
    <col min="4" max="4" width="16.7109375" bestFit="1" customWidth="1"/>
    <col min="5" max="5" width="17.85546875" bestFit="1" customWidth="1"/>
    <col min="6" max="6" width="20.28515625" style="80" bestFit="1" customWidth="1"/>
    <col min="7" max="7" width="12.7109375" bestFit="1" customWidth="1"/>
    <col min="8" max="8" width="18.28515625" bestFit="1" customWidth="1"/>
    <col min="9" max="9" width="16.85546875" bestFit="1" customWidth="1"/>
    <col min="10" max="10" width="14.5703125" bestFit="1" customWidth="1"/>
    <col min="11" max="11" width="17.28515625" bestFit="1" customWidth="1"/>
    <col min="12" max="12" width="15" bestFit="1" customWidth="1"/>
    <col min="13" max="13" width="16" bestFit="1" customWidth="1"/>
    <col min="14" max="14" width="14.85546875" style="62" bestFit="1" customWidth="1"/>
    <col min="15" max="15" width="12.85546875" bestFit="1" customWidth="1"/>
    <col min="16" max="16" width="13.140625" bestFit="1" customWidth="1"/>
    <col min="17" max="17" width="11.7109375" bestFit="1" customWidth="1"/>
    <col min="18" max="18" width="13.140625" bestFit="1" customWidth="1"/>
    <col min="19" max="20" width="11.7109375" bestFit="1" customWidth="1"/>
    <col min="21" max="21" width="9.28515625" bestFit="1" customWidth="1"/>
    <col min="22" max="22" width="11.7109375" bestFit="1" customWidth="1"/>
    <col min="23" max="23" width="10.140625" bestFit="1" customWidth="1"/>
  </cols>
  <sheetData>
    <row r="2" spans="1:12" ht="18.75" x14ac:dyDescent="0.25">
      <c r="A2" s="43" t="s">
        <v>51</v>
      </c>
      <c r="B2" s="44" t="s">
        <v>52</v>
      </c>
      <c r="C2" s="45"/>
      <c r="D2" s="45"/>
      <c r="E2" s="45"/>
      <c r="F2" s="45"/>
      <c r="G2" s="46"/>
      <c r="H2" s="44" t="s">
        <v>53</v>
      </c>
      <c r="I2" s="46"/>
    </row>
    <row r="3" spans="1:12" ht="25.5" x14ac:dyDescent="0.25">
      <c r="A3" s="47" t="s">
        <v>0</v>
      </c>
      <c r="B3" s="48" t="s">
        <v>5844</v>
      </c>
      <c r="C3" s="49" t="s">
        <v>5845</v>
      </c>
      <c r="D3" s="50" t="s">
        <v>5846</v>
      </c>
      <c r="E3" s="47" t="s">
        <v>5843</v>
      </c>
      <c r="F3" s="51" t="s">
        <v>54</v>
      </c>
      <c r="G3" s="52" t="s">
        <v>55</v>
      </c>
      <c r="H3" s="53" t="s">
        <v>56</v>
      </c>
      <c r="I3" s="52" t="s">
        <v>57</v>
      </c>
    </row>
    <row r="4" spans="1:12" x14ac:dyDescent="0.25">
      <c r="A4" s="20" t="s">
        <v>7</v>
      </c>
      <c r="B4" s="21"/>
      <c r="C4" s="21"/>
      <c r="D4" s="21"/>
      <c r="E4" s="21"/>
      <c r="F4" s="21"/>
      <c r="G4" s="21"/>
      <c r="H4" s="21"/>
      <c r="I4" s="22"/>
    </row>
    <row r="5" spans="1:12" x14ac:dyDescent="0.25">
      <c r="A5" s="54" t="s">
        <v>14</v>
      </c>
      <c r="B5" s="8">
        <v>2176503.6470588236</v>
      </c>
      <c r="C5" s="55">
        <v>782720</v>
      </c>
      <c r="D5" s="56">
        <v>10882518.235294119</v>
      </c>
      <c r="E5" s="57">
        <v>6917700</v>
      </c>
      <c r="F5" s="58">
        <v>37000562</v>
      </c>
      <c r="G5" s="59">
        <f t="shared" ref="G5:G27" si="0">IFERROR(E5/D5,0)</f>
        <v>0.63567088521520287</v>
      </c>
      <c r="H5" s="60">
        <v>6097448.3999999994</v>
      </c>
      <c r="I5" s="60">
        <f t="shared" ref="I5:I26" si="1">_xlfn.XLOOKUP(A5,$A$48:$A$70,$B$48:$B$70)</f>
        <v>5003503.5999999996</v>
      </c>
      <c r="L5" s="61"/>
    </row>
    <row r="6" spans="1:12" x14ac:dyDescent="0.25">
      <c r="A6" s="54" t="s">
        <v>15</v>
      </c>
      <c r="B6" s="8">
        <v>2840497.8235294116</v>
      </c>
      <c r="C6" s="55">
        <v>1817369.12</v>
      </c>
      <c r="D6" s="56">
        <v>14202489.117647057</v>
      </c>
      <c r="E6" s="57">
        <v>9826728.709999999</v>
      </c>
      <c r="F6" s="58">
        <v>48288463</v>
      </c>
      <c r="G6" s="59">
        <f t="shared" si="0"/>
        <v>0.69190186513080776</v>
      </c>
      <c r="H6" s="60">
        <v>12626119.09</v>
      </c>
      <c r="I6" s="60">
        <f t="shared" si="1"/>
        <v>4572456.96</v>
      </c>
      <c r="L6" s="61"/>
    </row>
    <row r="7" spans="1:12" x14ac:dyDescent="0.25">
      <c r="A7" s="54" t="s">
        <v>13</v>
      </c>
      <c r="B7" s="8">
        <v>2774274.2352941176</v>
      </c>
      <c r="C7" s="55">
        <v>524510</v>
      </c>
      <c r="D7" s="56">
        <v>13871371.176470589</v>
      </c>
      <c r="E7" s="57">
        <v>1833821</v>
      </c>
      <c r="F7" s="58">
        <v>47162662</v>
      </c>
      <c r="G7" s="59">
        <f t="shared" si="0"/>
        <v>0.13220185493346409</v>
      </c>
      <c r="H7" s="60">
        <v>5649097.7199999997</v>
      </c>
      <c r="I7" s="60">
        <f t="shared" si="1"/>
        <v>4238208.5</v>
      </c>
      <c r="L7" s="61"/>
    </row>
    <row r="8" spans="1:12" x14ac:dyDescent="0.25">
      <c r="A8" s="54" t="s">
        <v>17</v>
      </c>
      <c r="B8" s="8">
        <v>2554015.1176470588</v>
      </c>
      <c r="C8" s="55">
        <v>1311551</v>
      </c>
      <c r="D8" s="56">
        <v>12770075.588235294</v>
      </c>
      <c r="E8" s="57">
        <v>6990927</v>
      </c>
      <c r="F8" s="58">
        <v>43418257</v>
      </c>
      <c r="G8" s="59">
        <f t="shared" si="0"/>
        <v>0.54744601562425688</v>
      </c>
      <c r="H8" s="60">
        <v>1317193.7</v>
      </c>
      <c r="I8" s="60">
        <f t="shared" si="1"/>
        <v>2640605.4299999997</v>
      </c>
      <c r="L8" s="61"/>
    </row>
    <row r="9" spans="1:12" x14ac:dyDescent="0.25">
      <c r="A9" s="54" t="s">
        <v>28</v>
      </c>
      <c r="B9" s="8">
        <v>2248108.411764706</v>
      </c>
      <c r="C9" s="55">
        <v>1486579</v>
      </c>
      <c r="D9" s="56">
        <v>11240542.05882353</v>
      </c>
      <c r="E9" s="57">
        <v>7340394.79</v>
      </c>
      <c r="F9" s="58">
        <v>38217843</v>
      </c>
      <c r="G9" s="59">
        <f t="shared" si="0"/>
        <v>0.65302854182534587</v>
      </c>
      <c r="H9" s="60">
        <v>4090159.1900000004</v>
      </c>
      <c r="I9" s="60">
        <f t="shared" si="1"/>
        <v>8197132.9100000011</v>
      </c>
      <c r="L9" s="61"/>
    </row>
    <row r="10" spans="1:12" x14ac:dyDescent="0.25">
      <c r="A10" s="54" t="s">
        <v>31</v>
      </c>
      <c r="B10" s="8">
        <v>1740757.5294117648</v>
      </c>
      <c r="C10" s="55">
        <v>999311</v>
      </c>
      <c r="D10" s="56">
        <v>8703787.6470588241</v>
      </c>
      <c r="E10" s="57">
        <v>5039866</v>
      </c>
      <c r="F10" s="58">
        <v>29592878</v>
      </c>
      <c r="G10" s="59">
        <f t="shared" si="0"/>
        <v>0.57904284943154227</v>
      </c>
      <c r="H10" s="60">
        <v>3510870.31</v>
      </c>
      <c r="I10" s="60">
        <f t="shared" si="1"/>
        <v>3034882.09</v>
      </c>
      <c r="L10" s="61"/>
    </row>
    <row r="11" spans="1:12" x14ac:dyDescent="0.25">
      <c r="A11" s="54" t="s">
        <v>27</v>
      </c>
      <c r="B11" s="8">
        <v>1878569.9411764706</v>
      </c>
      <c r="C11" s="55">
        <v>1513133</v>
      </c>
      <c r="D11" s="56">
        <v>9392849.7058823537</v>
      </c>
      <c r="E11" s="57">
        <v>9617286</v>
      </c>
      <c r="F11" s="58">
        <v>31935689</v>
      </c>
      <c r="G11" s="59">
        <f t="shared" si="0"/>
        <v>1.0238943772279345</v>
      </c>
      <c r="H11" s="60">
        <v>12317751.159999998</v>
      </c>
      <c r="I11" s="60">
        <f t="shared" si="1"/>
        <v>1980461.19</v>
      </c>
      <c r="L11" s="61"/>
    </row>
    <row r="12" spans="1:12" x14ac:dyDescent="0.25">
      <c r="A12" s="54" t="s">
        <v>18</v>
      </c>
      <c r="B12" s="8">
        <v>2238461.0588235296</v>
      </c>
      <c r="C12" s="55">
        <v>2279577</v>
      </c>
      <c r="D12" s="56">
        <v>11192305.294117648</v>
      </c>
      <c r="E12" s="57">
        <v>11501814</v>
      </c>
      <c r="F12" s="58">
        <v>38053838</v>
      </c>
      <c r="G12" s="59">
        <f t="shared" si="0"/>
        <v>1.0276537047327525</v>
      </c>
      <c r="H12" s="60">
        <v>5271884.8</v>
      </c>
      <c r="I12" s="60">
        <f t="shared" si="1"/>
        <v>7215187.21</v>
      </c>
      <c r="L12" s="61"/>
    </row>
    <row r="13" spans="1:12" x14ac:dyDescent="0.25">
      <c r="A13" s="54" t="s">
        <v>19</v>
      </c>
      <c r="B13" s="8">
        <v>3230160.0588235296</v>
      </c>
      <c r="C13" s="55">
        <v>200000</v>
      </c>
      <c r="D13" s="56">
        <v>16150800.294117648</v>
      </c>
      <c r="E13" s="57">
        <v>2056939.41</v>
      </c>
      <c r="F13" s="58">
        <v>54912721</v>
      </c>
      <c r="G13" s="59">
        <f t="shared" si="0"/>
        <v>0.12735835825727884</v>
      </c>
      <c r="H13" s="60">
        <v>3957231.39</v>
      </c>
      <c r="I13" s="60">
        <f t="shared" si="1"/>
        <v>4142840.85</v>
      </c>
      <c r="L13" s="61"/>
    </row>
    <row r="14" spans="1:12" x14ac:dyDescent="0.25">
      <c r="A14" s="54" t="s">
        <v>23</v>
      </c>
      <c r="B14" s="8">
        <v>2458129.8823529412</v>
      </c>
      <c r="C14" s="55">
        <v>2171492.75</v>
      </c>
      <c r="D14" s="56">
        <v>12290649.411764706</v>
      </c>
      <c r="E14" s="57">
        <v>9750271.5300000012</v>
      </c>
      <c r="F14" s="58">
        <v>41788208</v>
      </c>
      <c r="G14" s="59">
        <f t="shared" si="0"/>
        <v>0.79330808351485194</v>
      </c>
      <c r="H14" s="60">
        <v>20466704.549999997</v>
      </c>
      <c r="I14" s="60">
        <f t="shared" si="1"/>
        <v>4744590.04</v>
      </c>
      <c r="L14" s="61"/>
    </row>
    <row r="15" spans="1:12" x14ac:dyDescent="0.25">
      <c r="A15" s="54" t="s">
        <v>22</v>
      </c>
      <c r="B15" s="8">
        <v>2106539.8235294116</v>
      </c>
      <c r="C15" s="55">
        <v>2059510</v>
      </c>
      <c r="D15" s="56">
        <v>10532699.117647057</v>
      </c>
      <c r="E15" s="57">
        <v>10391011</v>
      </c>
      <c r="F15" s="58">
        <v>35811177</v>
      </c>
      <c r="G15" s="59">
        <f t="shared" si="0"/>
        <v>0.98654778646342745</v>
      </c>
      <c r="H15" s="60">
        <v>5228871.51</v>
      </c>
      <c r="I15" s="60">
        <f t="shared" si="1"/>
        <v>5422934.5499999998</v>
      </c>
      <c r="L15" s="61"/>
    </row>
    <row r="16" spans="1:12" x14ac:dyDescent="0.25">
      <c r="A16" s="54" t="s">
        <v>20</v>
      </c>
      <c r="B16" s="8">
        <v>3286315.2941176472</v>
      </c>
      <c r="C16" s="55">
        <v>2498098</v>
      </c>
      <c r="D16" s="56">
        <v>16431576.470588237</v>
      </c>
      <c r="E16" s="57">
        <v>14591524.41</v>
      </c>
      <c r="F16" s="58">
        <v>55867360</v>
      </c>
      <c r="G16" s="59">
        <f t="shared" si="0"/>
        <v>0.8880173144748561</v>
      </c>
      <c r="H16" s="60">
        <v>6509956.9900000002</v>
      </c>
      <c r="I16" s="60">
        <f t="shared" si="1"/>
        <v>8001301.29</v>
      </c>
      <c r="L16" s="61"/>
    </row>
    <row r="17" spans="1:17" x14ac:dyDescent="0.25">
      <c r="A17" s="54" t="s">
        <v>25</v>
      </c>
      <c r="B17" s="8">
        <v>2182823.3529411764</v>
      </c>
      <c r="C17" s="55">
        <v>1911654</v>
      </c>
      <c r="D17" s="56">
        <v>10914116.764705881</v>
      </c>
      <c r="E17" s="57">
        <v>10244714</v>
      </c>
      <c r="F17" s="58">
        <v>37107997</v>
      </c>
      <c r="G17" s="59">
        <f t="shared" si="0"/>
        <v>0.93866633653117959</v>
      </c>
      <c r="H17" s="60">
        <v>6961773.8399999989</v>
      </c>
      <c r="I17" s="60">
        <f t="shared" si="1"/>
        <v>7925559.1200000001</v>
      </c>
      <c r="L17" s="61"/>
    </row>
    <row r="18" spans="1:17" x14ac:dyDescent="0.25">
      <c r="A18" s="54" t="s">
        <v>21</v>
      </c>
      <c r="B18" s="8">
        <v>2363747</v>
      </c>
      <c r="C18" s="55">
        <v>1158239</v>
      </c>
      <c r="D18" s="56">
        <v>11818735</v>
      </c>
      <c r="E18" s="57">
        <v>10504253.24</v>
      </c>
      <c r="F18" s="58">
        <v>40183699</v>
      </c>
      <c r="G18" s="59">
        <f t="shared" si="0"/>
        <v>0.88877982626736285</v>
      </c>
      <c r="H18" s="60">
        <v>5863137.3799999999</v>
      </c>
      <c r="I18" s="60">
        <f t="shared" si="1"/>
        <v>6262318.2599999998</v>
      </c>
      <c r="L18" s="61"/>
      <c r="O18" s="63"/>
      <c r="Q18" s="23"/>
    </row>
    <row r="19" spans="1:17" x14ac:dyDescent="0.25">
      <c r="A19" s="54" t="s">
        <v>26</v>
      </c>
      <c r="B19" s="8">
        <v>1870006.0588235294</v>
      </c>
      <c r="C19" s="55">
        <v>3273247</v>
      </c>
      <c r="D19" s="56">
        <v>9350030.2941176463</v>
      </c>
      <c r="E19" s="57">
        <v>5500299</v>
      </c>
      <c r="F19" s="58">
        <v>31790103</v>
      </c>
      <c r="G19" s="59">
        <f t="shared" si="0"/>
        <v>0.58826536674008267</v>
      </c>
      <c r="H19" s="60">
        <v>859898.74</v>
      </c>
      <c r="I19" s="60">
        <f t="shared" si="1"/>
        <v>8319487.1600000001</v>
      </c>
      <c r="L19" s="61"/>
    </row>
    <row r="20" spans="1:17" x14ac:dyDescent="0.25">
      <c r="A20" s="54" t="s">
        <v>34</v>
      </c>
      <c r="B20" s="8">
        <v>2058136.9411764706</v>
      </c>
      <c r="C20" s="55">
        <v>1560409.38</v>
      </c>
      <c r="D20" s="56">
        <v>10290684.705882354</v>
      </c>
      <c r="E20" s="57">
        <v>9640141.3900000006</v>
      </c>
      <c r="F20" s="58">
        <v>34988328</v>
      </c>
      <c r="G20" s="59">
        <f t="shared" si="0"/>
        <v>0.9367832817275521</v>
      </c>
      <c r="H20" s="60">
        <v>7772319.2700000005</v>
      </c>
      <c r="I20" s="60">
        <f t="shared" si="1"/>
        <v>3159710.7199999997</v>
      </c>
      <c r="L20" s="61"/>
    </row>
    <row r="21" spans="1:17" x14ac:dyDescent="0.25">
      <c r="A21" s="54" t="s">
        <v>32</v>
      </c>
      <c r="B21" s="8">
        <v>1973792.1764705882</v>
      </c>
      <c r="C21" s="55">
        <v>1039361.58</v>
      </c>
      <c r="D21" s="56">
        <v>9868960.8823529407</v>
      </c>
      <c r="E21" s="57">
        <v>5120214.22</v>
      </c>
      <c r="F21" s="58">
        <v>33554467</v>
      </c>
      <c r="G21" s="59">
        <f t="shared" si="0"/>
        <v>0.51881999341548179</v>
      </c>
      <c r="H21" s="60">
        <v>3513272.6</v>
      </c>
      <c r="I21" s="60">
        <f t="shared" si="1"/>
        <v>4632513.5</v>
      </c>
      <c r="L21" s="61"/>
    </row>
    <row r="22" spans="1:17" x14ac:dyDescent="0.25">
      <c r="A22" s="54" t="s">
        <v>30</v>
      </c>
      <c r="B22" s="8">
        <v>1875513.3529411764</v>
      </c>
      <c r="C22" s="55">
        <v>1601502.97</v>
      </c>
      <c r="D22" s="56">
        <v>9377566.7647058815</v>
      </c>
      <c r="E22" s="57">
        <v>4440963.08</v>
      </c>
      <c r="F22" s="58">
        <v>31883727</v>
      </c>
      <c r="G22" s="59">
        <f t="shared" si="0"/>
        <v>0.47357306979827052</v>
      </c>
      <c r="H22" s="60">
        <v>2219219.7999999998</v>
      </c>
      <c r="I22" s="60">
        <f t="shared" si="1"/>
        <v>2499807.9300000002</v>
      </c>
      <c r="L22" s="61"/>
    </row>
    <row r="23" spans="1:17" x14ac:dyDescent="0.25">
      <c r="A23" s="54" t="s">
        <v>24</v>
      </c>
      <c r="B23" s="8">
        <v>1680050.9411764706</v>
      </c>
      <c r="C23" s="55">
        <v>1426924.4</v>
      </c>
      <c r="D23" s="56">
        <v>8400254.7058823537</v>
      </c>
      <c r="E23" s="57">
        <v>8784597.4000000004</v>
      </c>
      <c r="F23" s="58">
        <v>28560866</v>
      </c>
      <c r="G23" s="59">
        <f t="shared" si="0"/>
        <v>1.0457536952836093</v>
      </c>
      <c r="H23" s="60">
        <v>3889347.37</v>
      </c>
      <c r="I23" s="60">
        <f t="shared" si="1"/>
        <v>2767323.9699999997</v>
      </c>
      <c r="L23" s="61"/>
    </row>
    <row r="24" spans="1:17" x14ac:dyDescent="0.25">
      <c r="A24" s="54" t="s">
        <v>16</v>
      </c>
      <c r="B24" s="8">
        <v>3450528.411764706</v>
      </c>
      <c r="C24" s="55">
        <v>1978777</v>
      </c>
      <c r="D24" s="56">
        <v>17252642.05882353</v>
      </c>
      <c r="E24" s="57">
        <v>11759965.120000001</v>
      </c>
      <c r="F24" s="58">
        <v>58658983</v>
      </c>
      <c r="G24" s="59">
        <f t="shared" si="0"/>
        <v>0.68163270761104067</v>
      </c>
      <c r="H24" s="60">
        <v>5336207.01</v>
      </c>
      <c r="I24" s="60">
        <f t="shared" si="1"/>
        <v>4216231.34</v>
      </c>
      <c r="L24" s="61"/>
    </row>
    <row r="25" spans="1:17" x14ac:dyDescent="0.25">
      <c r="A25" s="54" t="s">
        <v>33</v>
      </c>
      <c r="B25" s="8">
        <v>1595716.0588235294</v>
      </c>
      <c r="C25" s="55">
        <v>1742930</v>
      </c>
      <c r="D25" s="56">
        <v>7978580.2941176472</v>
      </c>
      <c r="E25" s="57">
        <v>6539052</v>
      </c>
      <c r="F25" s="58">
        <v>27127173</v>
      </c>
      <c r="G25" s="59">
        <f t="shared" si="0"/>
        <v>0.81957588429874351</v>
      </c>
      <c r="H25" s="60">
        <v>2699046</v>
      </c>
      <c r="I25" s="60">
        <f t="shared" si="1"/>
        <v>3657233.3</v>
      </c>
      <c r="L25" s="61"/>
    </row>
    <row r="26" spans="1:17" x14ac:dyDescent="0.25">
      <c r="A26" s="54" t="s">
        <v>29</v>
      </c>
      <c r="B26" s="8">
        <v>1670123.705882353</v>
      </c>
      <c r="C26" s="55">
        <v>1101602</v>
      </c>
      <c r="D26" s="56">
        <v>8350618.5294117648</v>
      </c>
      <c r="E26" s="57">
        <v>5871851.96</v>
      </c>
      <c r="F26" s="58">
        <v>28392103</v>
      </c>
      <c r="G26" s="59">
        <f t="shared" si="0"/>
        <v>0.70316371647426046</v>
      </c>
      <c r="H26" s="60">
        <v>3612983.68</v>
      </c>
      <c r="I26" s="60">
        <f t="shared" si="1"/>
        <v>4581377.5999999996</v>
      </c>
      <c r="L26" s="61"/>
    </row>
    <row r="27" spans="1:17" x14ac:dyDescent="0.25">
      <c r="A27" s="64" t="s">
        <v>58</v>
      </c>
      <c r="B27" s="65">
        <f>SUM(B5:B26)</f>
        <v>50252770.823529415</v>
      </c>
      <c r="C27" s="65">
        <f>SUM(C5:C26)</f>
        <v>34438498.199999996</v>
      </c>
      <c r="D27" s="66">
        <f>SUM(D5:D26)</f>
        <v>251263854.11764708</v>
      </c>
      <c r="E27" s="65">
        <f>SUM(E5:E26)</f>
        <v>174264335.26000002</v>
      </c>
      <c r="F27" s="67">
        <f>SUM(F5:F26)</f>
        <v>854297104</v>
      </c>
      <c r="G27" s="68">
        <f t="shared" si="0"/>
        <v>0.69355115112739518</v>
      </c>
      <c r="H27" s="69">
        <f>SUM(H5:H26)</f>
        <v>129770494.49999999</v>
      </c>
      <c r="I27" s="69">
        <f>SUM(I5:I26)</f>
        <v>107215667.52</v>
      </c>
    </row>
    <row r="28" spans="1:17" x14ac:dyDescent="0.25">
      <c r="A28" s="20" t="s">
        <v>37</v>
      </c>
      <c r="B28" s="21"/>
      <c r="C28" s="21"/>
      <c r="D28" s="21"/>
      <c r="E28" s="21"/>
      <c r="F28" s="21"/>
      <c r="G28" s="21"/>
      <c r="H28" s="21"/>
      <c r="I28" s="22"/>
    </row>
    <row r="29" spans="1:17" x14ac:dyDescent="0.25">
      <c r="A29" s="70" t="s">
        <v>40</v>
      </c>
      <c r="B29" s="57">
        <v>0</v>
      </c>
      <c r="C29" s="55">
        <v>1000000</v>
      </c>
      <c r="D29" s="56">
        <v>0</v>
      </c>
      <c r="E29" s="57">
        <v>6358613</v>
      </c>
      <c r="F29" s="58">
        <v>0</v>
      </c>
      <c r="G29" s="71">
        <f t="shared" ref="G29:G42" si="2">IFERROR(E29/D29,0)</f>
        <v>0</v>
      </c>
      <c r="H29" s="72">
        <v>5456392.8599999994</v>
      </c>
      <c r="I29" s="60">
        <f t="shared" ref="I29:I40" si="3">_xlfn.XLOOKUP(A29,$A$73:$A$84,$B$73:$B$84)</f>
        <v>973340</v>
      </c>
    </row>
    <row r="30" spans="1:17" x14ac:dyDescent="0.25">
      <c r="A30" s="70" t="s">
        <v>39</v>
      </c>
      <c r="B30" s="57">
        <v>0</v>
      </c>
      <c r="C30" s="55">
        <v>2511878</v>
      </c>
      <c r="D30" s="56">
        <v>0</v>
      </c>
      <c r="E30" s="57">
        <v>11913055</v>
      </c>
      <c r="F30" s="58">
        <v>0</v>
      </c>
      <c r="G30" s="71">
        <f t="shared" si="2"/>
        <v>0</v>
      </c>
      <c r="H30" s="72">
        <v>9493591</v>
      </c>
      <c r="I30" s="60">
        <f t="shared" si="3"/>
        <v>3599020</v>
      </c>
    </row>
    <row r="31" spans="1:17" x14ac:dyDescent="0.25">
      <c r="A31" s="70" t="s">
        <v>38</v>
      </c>
      <c r="B31" s="57">
        <v>0</v>
      </c>
      <c r="C31" s="55">
        <v>1000000</v>
      </c>
      <c r="D31" s="56">
        <v>0</v>
      </c>
      <c r="E31" s="57">
        <v>4310770</v>
      </c>
      <c r="F31" s="58">
        <v>0</v>
      </c>
      <c r="G31" s="71">
        <f t="shared" si="2"/>
        <v>0</v>
      </c>
      <c r="H31" s="72">
        <v>3073221</v>
      </c>
      <c r="I31" s="60">
        <f t="shared" si="3"/>
        <v>1563457</v>
      </c>
    </row>
    <row r="32" spans="1:17" x14ac:dyDescent="0.25">
      <c r="A32" s="54" t="s">
        <v>43</v>
      </c>
      <c r="B32" s="8">
        <v>0</v>
      </c>
      <c r="C32" s="55">
        <v>1000136.41</v>
      </c>
      <c r="D32" s="56">
        <v>0</v>
      </c>
      <c r="E32" s="57">
        <v>6750185.9700000007</v>
      </c>
      <c r="F32" s="58">
        <v>0</v>
      </c>
      <c r="G32" s="59">
        <f t="shared" si="2"/>
        <v>0</v>
      </c>
      <c r="H32" s="72">
        <v>3920238</v>
      </c>
      <c r="I32" s="60">
        <f t="shared" si="3"/>
        <v>2292038.6</v>
      </c>
    </row>
    <row r="33" spans="1:9" x14ac:dyDescent="0.25">
      <c r="A33" s="54" t="s">
        <v>41</v>
      </c>
      <c r="B33" s="8">
        <v>0</v>
      </c>
      <c r="C33" s="55">
        <v>0</v>
      </c>
      <c r="D33" s="56">
        <v>0</v>
      </c>
      <c r="E33" s="57">
        <v>0</v>
      </c>
      <c r="F33" s="58">
        <v>0</v>
      </c>
      <c r="G33" s="59">
        <f t="shared" si="2"/>
        <v>0</v>
      </c>
      <c r="H33" s="72">
        <v>0</v>
      </c>
      <c r="I33" s="60">
        <f t="shared" si="3"/>
        <v>0</v>
      </c>
    </row>
    <row r="34" spans="1:9" x14ac:dyDescent="0.25">
      <c r="A34" s="54" t="s">
        <v>42</v>
      </c>
      <c r="B34" s="8">
        <v>0</v>
      </c>
      <c r="C34" s="55">
        <v>637266</v>
      </c>
      <c r="D34" s="56">
        <v>0</v>
      </c>
      <c r="E34" s="57">
        <v>2560947</v>
      </c>
      <c r="F34" s="58">
        <v>0</v>
      </c>
      <c r="G34" s="59">
        <f t="shared" si="2"/>
        <v>0</v>
      </c>
      <c r="H34" s="72">
        <v>4680292.4399999995</v>
      </c>
      <c r="I34" s="60">
        <f t="shared" si="3"/>
        <v>840912</v>
      </c>
    </row>
    <row r="35" spans="1:9" x14ac:dyDescent="0.25">
      <c r="A35" s="54" t="s">
        <v>44</v>
      </c>
      <c r="B35" s="8">
        <v>0</v>
      </c>
      <c r="C35" s="55">
        <v>683324</v>
      </c>
      <c r="D35" s="56">
        <v>0</v>
      </c>
      <c r="E35" s="57">
        <v>1369006</v>
      </c>
      <c r="F35" s="58">
        <v>0</v>
      </c>
      <c r="G35" s="59">
        <f t="shared" si="2"/>
        <v>0</v>
      </c>
      <c r="H35" s="72">
        <v>1237047.04</v>
      </c>
      <c r="I35" s="60">
        <f t="shared" si="3"/>
        <v>0</v>
      </c>
    </row>
    <row r="36" spans="1:9" x14ac:dyDescent="0.25">
      <c r="A36" s="54" t="s">
        <v>45</v>
      </c>
      <c r="B36" s="8">
        <v>0</v>
      </c>
      <c r="C36" s="55">
        <v>0</v>
      </c>
      <c r="D36" s="56">
        <v>0</v>
      </c>
      <c r="E36" s="57">
        <v>1143453.56</v>
      </c>
      <c r="F36" s="58">
        <v>0</v>
      </c>
      <c r="G36" s="59">
        <f t="shared" si="2"/>
        <v>0</v>
      </c>
      <c r="H36" s="72">
        <v>561470</v>
      </c>
      <c r="I36" s="60">
        <f t="shared" si="3"/>
        <v>860483.56</v>
      </c>
    </row>
    <row r="37" spans="1:9" x14ac:dyDescent="0.25">
      <c r="A37" s="54" t="s">
        <v>46</v>
      </c>
      <c r="B37" s="8">
        <v>0</v>
      </c>
      <c r="C37" s="55">
        <v>1000129</v>
      </c>
      <c r="D37" s="56">
        <v>0</v>
      </c>
      <c r="E37" s="57">
        <v>4302140</v>
      </c>
      <c r="F37" s="58">
        <v>0</v>
      </c>
      <c r="G37" s="59">
        <f t="shared" si="2"/>
        <v>0</v>
      </c>
      <c r="H37" s="72">
        <v>1589332</v>
      </c>
      <c r="I37" s="60">
        <f t="shared" si="3"/>
        <v>900324</v>
      </c>
    </row>
    <row r="38" spans="1:9" x14ac:dyDescent="0.25">
      <c r="A38" s="54" t="s">
        <v>47</v>
      </c>
      <c r="B38" s="8">
        <v>0</v>
      </c>
      <c r="C38" s="55">
        <v>1844238</v>
      </c>
      <c r="D38" s="56">
        <v>0</v>
      </c>
      <c r="E38" s="57">
        <v>5408647.5</v>
      </c>
      <c r="F38" s="58">
        <v>0</v>
      </c>
      <c r="G38" s="59">
        <f t="shared" si="2"/>
        <v>0</v>
      </c>
      <c r="H38" s="72">
        <v>3730663.6599999997</v>
      </c>
      <c r="I38" s="60">
        <f t="shared" si="3"/>
        <v>1672212</v>
      </c>
    </row>
    <row r="39" spans="1:9" x14ac:dyDescent="0.25">
      <c r="A39" s="54" t="s">
        <v>48</v>
      </c>
      <c r="B39" s="8">
        <v>0</v>
      </c>
      <c r="C39" s="55">
        <v>1477391</v>
      </c>
      <c r="D39" s="56">
        <v>0</v>
      </c>
      <c r="E39" s="57">
        <v>9515613</v>
      </c>
      <c r="F39" s="58">
        <v>0</v>
      </c>
      <c r="G39" s="59">
        <f t="shared" si="2"/>
        <v>0</v>
      </c>
      <c r="H39" s="72">
        <v>7291361</v>
      </c>
      <c r="I39" s="60">
        <f t="shared" si="3"/>
        <v>7149935.5299999993</v>
      </c>
    </row>
    <row r="40" spans="1:9" x14ac:dyDescent="0.25">
      <c r="A40" s="54" t="s">
        <v>49</v>
      </c>
      <c r="B40" s="8">
        <v>0</v>
      </c>
      <c r="C40" s="55">
        <v>586308</v>
      </c>
      <c r="D40" s="56">
        <v>0</v>
      </c>
      <c r="E40" s="57">
        <v>4823726.6100000003</v>
      </c>
      <c r="F40" s="58">
        <v>0</v>
      </c>
      <c r="G40" s="59">
        <f t="shared" si="2"/>
        <v>0</v>
      </c>
      <c r="H40" s="72">
        <v>2924662.74</v>
      </c>
      <c r="I40" s="60">
        <f t="shared" si="3"/>
        <v>1032657.87</v>
      </c>
    </row>
    <row r="41" spans="1:9" x14ac:dyDescent="0.25">
      <c r="A41" s="64" t="s">
        <v>50</v>
      </c>
      <c r="B41" s="65">
        <f>SUM(B29:B40)</f>
        <v>0</v>
      </c>
      <c r="C41" s="65">
        <f>SUM(C29:C40)</f>
        <v>11740670.41</v>
      </c>
      <c r="D41" s="66">
        <f>SUM(D29:D40)</f>
        <v>0</v>
      </c>
      <c r="E41" s="65">
        <f>SUM(E29:E40)</f>
        <v>58456157.640000001</v>
      </c>
      <c r="F41" s="67">
        <f>SUM(F29:F40)</f>
        <v>0</v>
      </c>
      <c r="G41" s="68">
        <f t="shared" si="2"/>
        <v>0</v>
      </c>
      <c r="H41" s="69">
        <f>SUM(H29:H40)</f>
        <v>43958271.739999995</v>
      </c>
      <c r="I41" s="69">
        <f>SUM(I29:I40)</f>
        <v>20884380.559999999</v>
      </c>
    </row>
    <row r="42" spans="1:9" x14ac:dyDescent="0.25">
      <c r="A42" s="73" t="s">
        <v>6</v>
      </c>
      <c r="B42" s="74">
        <f>SUM(B27,B41)</f>
        <v>50252770.823529415</v>
      </c>
      <c r="C42" s="74">
        <f>SUM(C27,C41)</f>
        <v>46179168.609999999</v>
      </c>
      <c r="D42" s="75">
        <f>SUM(D27,D41)</f>
        <v>251263854.11764708</v>
      </c>
      <c r="E42" s="75">
        <f>SUM(E27,E41)</f>
        <v>232720492.90000004</v>
      </c>
      <c r="F42" s="76">
        <f>SUM(F27,F41)</f>
        <v>854297104</v>
      </c>
      <c r="G42" s="77">
        <f t="shared" si="2"/>
        <v>0.9261996466512662</v>
      </c>
      <c r="H42" s="78">
        <f>SUM(H27,H41)</f>
        <v>173728766.23999998</v>
      </c>
      <c r="I42" s="78">
        <f>SUM(I27,I41)</f>
        <v>128100048.08</v>
      </c>
    </row>
    <row r="45" spans="1:9" ht="18.75" x14ac:dyDescent="0.25">
      <c r="A45" s="79" t="s">
        <v>51</v>
      </c>
      <c r="B45" s="79"/>
      <c r="C45" s="79"/>
      <c r="D45" s="79"/>
      <c r="E45" s="79"/>
    </row>
    <row r="46" spans="1:9" ht="25.5" x14ac:dyDescent="0.25">
      <c r="A46" s="81" t="s">
        <v>0</v>
      </c>
      <c r="B46" s="82" t="s">
        <v>59</v>
      </c>
      <c r="C46" s="82" t="s">
        <v>60</v>
      </c>
      <c r="D46" s="82" t="s">
        <v>61</v>
      </c>
      <c r="E46" s="82" t="s">
        <v>62</v>
      </c>
    </row>
    <row r="47" spans="1:9" x14ac:dyDescent="0.25">
      <c r="A47" s="6" t="s">
        <v>7</v>
      </c>
      <c r="B47" s="6"/>
      <c r="C47" s="6"/>
      <c r="D47" s="6"/>
      <c r="E47" s="6"/>
    </row>
    <row r="48" spans="1:9" x14ac:dyDescent="0.25">
      <c r="A48" s="54" t="s">
        <v>14</v>
      </c>
      <c r="B48" s="83">
        <f t="shared" ref="B48:B70" si="4">SUM(C48:E48)</f>
        <v>5003503.5999999996</v>
      </c>
      <c r="C48" s="84">
        <v>1911450.75</v>
      </c>
      <c r="D48" s="85">
        <v>1035336</v>
      </c>
      <c r="E48" s="85">
        <v>2056716.85</v>
      </c>
    </row>
    <row r="49" spans="1:5" x14ac:dyDescent="0.25">
      <c r="A49" s="54" t="s">
        <v>15</v>
      </c>
      <c r="B49" s="83">
        <f t="shared" si="4"/>
        <v>4572456.96</v>
      </c>
      <c r="C49" s="84">
        <v>1415573</v>
      </c>
      <c r="D49" s="85">
        <v>388254</v>
      </c>
      <c r="E49" s="85">
        <v>2768629.96</v>
      </c>
    </row>
    <row r="50" spans="1:5" x14ac:dyDescent="0.25">
      <c r="A50" s="54" t="s">
        <v>13</v>
      </c>
      <c r="B50" s="83">
        <f t="shared" si="4"/>
        <v>4238208.5</v>
      </c>
      <c r="C50" s="84">
        <v>1282474.3999999999</v>
      </c>
      <c r="D50" s="85">
        <v>2552809.0999999996</v>
      </c>
      <c r="E50" s="85">
        <v>402925</v>
      </c>
    </row>
    <row r="51" spans="1:5" x14ac:dyDescent="0.25">
      <c r="A51" s="54" t="s">
        <v>17</v>
      </c>
      <c r="B51" s="83">
        <f t="shared" si="4"/>
        <v>2640605.4299999997</v>
      </c>
      <c r="C51" s="84">
        <v>819291.02999999991</v>
      </c>
      <c r="D51" s="85">
        <v>331587</v>
      </c>
      <c r="E51" s="85">
        <v>1489727.4</v>
      </c>
    </row>
    <row r="52" spans="1:5" x14ac:dyDescent="0.25">
      <c r="A52" s="54" t="s">
        <v>16</v>
      </c>
      <c r="B52" s="83">
        <f t="shared" si="4"/>
        <v>4216231.34</v>
      </c>
      <c r="C52" s="84">
        <v>527326</v>
      </c>
      <c r="D52" s="85">
        <v>481716</v>
      </c>
      <c r="E52" s="85">
        <v>3207189.3400000003</v>
      </c>
    </row>
    <row r="53" spans="1:5" x14ac:dyDescent="0.25">
      <c r="A53" s="54" t="s">
        <v>33</v>
      </c>
      <c r="B53" s="83">
        <f t="shared" si="4"/>
        <v>3657233.3</v>
      </c>
      <c r="C53" s="84">
        <v>2787121</v>
      </c>
      <c r="D53" s="85">
        <v>545312</v>
      </c>
      <c r="E53" s="85">
        <v>324800.30000000005</v>
      </c>
    </row>
    <row r="54" spans="1:5" x14ac:dyDescent="0.25">
      <c r="A54" s="54" t="s">
        <v>28</v>
      </c>
      <c r="B54" s="83">
        <f t="shared" si="4"/>
        <v>8197132.9100000011</v>
      </c>
      <c r="C54" s="84">
        <v>1966885</v>
      </c>
      <c r="D54" s="85">
        <v>775854.62</v>
      </c>
      <c r="E54" s="85">
        <v>5454393.290000001</v>
      </c>
    </row>
    <row r="55" spans="1:5" x14ac:dyDescent="0.25">
      <c r="A55" s="54" t="s">
        <v>31</v>
      </c>
      <c r="B55" s="83">
        <f t="shared" si="4"/>
        <v>3034882.09</v>
      </c>
      <c r="C55" s="84">
        <v>630995</v>
      </c>
      <c r="D55" s="85">
        <v>919602.54</v>
      </c>
      <c r="E55" s="85">
        <v>1484284.55</v>
      </c>
    </row>
    <row r="56" spans="1:5" x14ac:dyDescent="0.25">
      <c r="A56" s="54" t="s">
        <v>27</v>
      </c>
      <c r="B56" s="83">
        <f t="shared" si="4"/>
        <v>1980461.19</v>
      </c>
      <c r="C56" s="84">
        <v>251525</v>
      </c>
      <c r="D56" s="85">
        <v>621644</v>
      </c>
      <c r="E56" s="85">
        <v>1107292.19</v>
      </c>
    </row>
    <row r="57" spans="1:5" x14ac:dyDescent="0.25">
      <c r="A57" s="54" t="s">
        <v>18</v>
      </c>
      <c r="B57" s="83">
        <f t="shared" si="4"/>
        <v>7215187.21</v>
      </c>
      <c r="C57" s="84">
        <v>6003574</v>
      </c>
      <c r="D57" s="85">
        <v>682599</v>
      </c>
      <c r="E57" s="85">
        <v>529014.21</v>
      </c>
    </row>
    <row r="58" spans="1:5" x14ac:dyDescent="0.25">
      <c r="A58" s="54" t="s">
        <v>34</v>
      </c>
      <c r="B58" s="83">
        <f t="shared" si="4"/>
        <v>3159710.7199999997</v>
      </c>
      <c r="C58" s="84">
        <v>724329.96</v>
      </c>
      <c r="D58" s="85">
        <v>968272.38000000012</v>
      </c>
      <c r="E58" s="85">
        <v>1467108.38</v>
      </c>
    </row>
    <row r="59" spans="1:5" x14ac:dyDescent="0.25">
      <c r="A59" s="54" t="s">
        <v>19</v>
      </c>
      <c r="B59" s="83">
        <f t="shared" si="4"/>
        <v>4142840.85</v>
      </c>
      <c r="C59" s="84">
        <v>344922.59</v>
      </c>
      <c r="D59" s="85">
        <v>3029965.7600000002</v>
      </c>
      <c r="E59" s="85">
        <v>767952.5</v>
      </c>
    </row>
    <row r="60" spans="1:5" x14ac:dyDescent="0.25">
      <c r="A60" s="54" t="s">
        <v>25</v>
      </c>
      <c r="B60" s="83">
        <f t="shared" si="4"/>
        <v>7925559.1200000001</v>
      </c>
      <c r="C60" s="84">
        <v>2713378</v>
      </c>
      <c r="D60" s="85">
        <v>670556</v>
      </c>
      <c r="E60" s="85">
        <v>4541625.12</v>
      </c>
    </row>
    <row r="61" spans="1:5" x14ac:dyDescent="0.25">
      <c r="A61" s="54" t="s">
        <v>20</v>
      </c>
      <c r="B61" s="83">
        <f t="shared" si="4"/>
        <v>8001301.29</v>
      </c>
      <c r="C61" s="84">
        <v>2209843.5499999998</v>
      </c>
      <c r="D61" s="85">
        <v>318010.34000000003</v>
      </c>
      <c r="E61" s="85">
        <v>5473447.4000000004</v>
      </c>
    </row>
    <row r="62" spans="1:5" x14ac:dyDescent="0.25">
      <c r="A62" s="54" t="s">
        <v>26</v>
      </c>
      <c r="B62" s="83">
        <f t="shared" si="4"/>
        <v>8319487.1600000001</v>
      </c>
      <c r="C62" s="84">
        <v>7143565.9699999997</v>
      </c>
      <c r="D62" s="85">
        <v>177795</v>
      </c>
      <c r="E62" s="85">
        <v>998126.19000000006</v>
      </c>
    </row>
    <row r="63" spans="1:5" x14ac:dyDescent="0.25">
      <c r="A63" s="54" t="s">
        <v>23</v>
      </c>
      <c r="B63" s="83">
        <f t="shared" si="4"/>
        <v>4744590.04</v>
      </c>
      <c r="C63" s="84">
        <v>2706753.32</v>
      </c>
      <c r="D63" s="85">
        <v>1035244</v>
      </c>
      <c r="E63" s="85">
        <v>1002592.72</v>
      </c>
    </row>
    <row r="64" spans="1:5" x14ac:dyDescent="0.25">
      <c r="A64" s="54" t="s">
        <v>22</v>
      </c>
      <c r="B64" s="83">
        <f t="shared" si="4"/>
        <v>5422934.5499999998</v>
      </c>
      <c r="C64" s="84">
        <v>1362943</v>
      </c>
      <c r="D64" s="85">
        <v>1145514</v>
      </c>
      <c r="E64" s="85">
        <v>2914477.55</v>
      </c>
    </row>
    <row r="65" spans="1:5" x14ac:dyDescent="0.25">
      <c r="A65" s="54" t="s">
        <v>21</v>
      </c>
      <c r="B65" s="83">
        <f t="shared" si="4"/>
        <v>6262318.2599999998</v>
      </c>
      <c r="C65" s="84">
        <v>3627897</v>
      </c>
      <c r="D65" s="85">
        <v>1720843.1600000001</v>
      </c>
      <c r="E65" s="85">
        <v>913578.1</v>
      </c>
    </row>
    <row r="66" spans="1:5" x14ac:dyDescent="0.25">
      <c r="A66" s="54" t="s">
        <v>32</v>
      </c>
      <c r="B66" s="83">
        <f t="shared" si="4"/>
        <v>4632513.5</v>
      </c>
      <c r="C66" s="84">
        <v>1807230</v>
      </c>
      <c r="D66" s="85">
        <v>680925.5</v>
      </c>
      <c r="E66" s="85">
        <v>2144358</v>
      </c>
    </row>
    <row r="67" spans="1:5" x14ac:dyDescent="0.25">
      <c r="A67" s="54" t="s">
        <v>30</v>
      </c>
      <c r="B67" s="83">
        <f t="shared" si="4"/>
        <v>2499807.9300000002</v>
      </c>
      <c r="C67" s="84">
        <v>405851.42000000004</v>
      </c>
      <c r="D67" s="85">
        <v>37486.79</v>
      </c>
      <c r="E67" s="85">
        <v>2056469.72</v>
      </c>
    </row>
    <row r="68" spans="1:5" x14ac:dyDescent="0.25">
      <c r="A68" s="54" t="s">
        <v>24</v>
      </c>
      <c r="B68" s="83">
        <f t="shared" si="4"/>
        <v>2767323.9699999997</v>
      </c>
      <c r="C68" s="84">
        <v>140000</v>
      </c>
      <c r="D68" s="85">
        <v>1535800</v>
      </c>
      <c r="E68" s="85">
        <v>1091523.97</v>
      </c>
    </row>
    <row r="69" spans="1:5" x14ac:dyDescent="0.25">
      <c r="A69" s="54" t="s">
        <v>33</v>
      </c>
      <c r="B69" s="83">
        <f t="shared" si="4"/>
        <v>3657233.3</v>
      </c>
      <c r="C69" s="84">
        <v>2787121</v>
      </c>
      <c r="D69" s="85">
        <v>545312</v>
      </c>
      <c r="E69" s="85">
        <v>324800.30000000005</v>
      </c>
    </row>
    <row r="70" spans="1:5" x14ac:dyDescent="0.25">
      <c r="A70" s="54" t="s">
        <v>29</v>
      </c>
      <c r="B70" s="83">
        <f t="shared" si="4"/>
        <v>4581377.5999999996</v>
      </c>
      <c r="C70" s="84">
        <v>426604</v>
      </c>
      <c r="D70" s="85">
        <v>1473080.8</v>
      </c>
      <c r="E70" s="85">
        <v>2681692.7999999998</v>
      </c>
    </row>
    <row r="71" spans="1:5" x14ac:dyDescent="0.25">
      <c r="A71" s="64" t="s">
        <v>58</v>
      </c>
      <c r="B71" s="86">
        <f>SUM(B48:B70)</f>
        <v>110872900.81999999</v>
      </c>
      <c r="C71" s="86">
        <f>SUM(C48:C70)</f>
        <v>43996654.990000002</v>
      </c>
      <c r="D71" s="86">
        <f>SUM(D48:D70)</f>
        <v>21673519.989999998</v>
      </c>
      <c r="E71" s="86">
        <f>SUM(E48:E70)</f>
        <v>45202725.839999996</v>
      </c>
    </row>
    <row r="72" spans="1:5" x14ac:dyDescent="0.25">
      <c r="A72" s="6" t="s">
        <v>37</v>
      </c>
      <c r="B72" s="6"/>
      <c r="C72" s="6"/>
      <c r="D72" s="6"/>
      <c r="E72" s="6"/>
    </row>
    <row r="73" spans="1:5" x14ac:dyDescent="0.25">
      <c r="A73" s="54" t="s">
        <v>40</v>
      </c>
      <c r="B73" s="83">
        <f t="shared" ref="B73:B84" si="5">SUM(C73:E73)</f>
        <v>973340</v>
      </c>
      <c r="C73" s="84">
        <v>46000</v>
      </c>
      <c r="D73" s="85">
        <v>200000</v>
      </c>
      <c r="E73" s="85">
        <v>727340</v>
      </c>
    </row>
    <row r="74" spans="1:5" x14ac:dyDescent="0.25">
      <c r="A74" s="54" t="s">
        <v>39</v>
      </c>
      <c r="B74" s="83">
        <f t="shared" si="5"/>
        <v>3599020</v>
      </c>
      <c r="C74" s="84">
        <v>1652682</v>
      </c>
      <c r="D74" s="85">
        <v>0</v>
      </c>
      <c r="E74" s="85">
        <v>1946338</v>
      </c>
    </row>
    <row r="75" spans="1:5" x14ac:dyDescent="0.25">
      <c r="A75" s="54" t="s">
        <v>38</v>
      </c>
      <c r="B75" s="83">
        <f t="shared" si="5"/>
        <v>1563457</v>
      </c>
      <c r="C75" s="84">
        <v>1563457</v>
      </c>
      <c r="D75" s="85">
        <v>0</v>
      </c>
      <c r="E75" s="85">
        <v>0</v>
      </c>
    </row>
    <row r="76" spans="1:5" x14ac:dyDescent="0.25">
      <c r="A76" s="54" t="s">
        <v>43</v>
      </c>
      <c r="B76" s="83">
        <f t="shared" si="5"/>
        <v>2292038.6</v>
      </c>
      <c r="C76" s="84">
        <v>718079.82000000007</v>
      </c>
      <c r="D76" s="85">
        <v>490451.78</v>
      </c>
      <c r="E76" s="85">
        <v>1083507</v>
      </c>
    </row>
    <row r="77" spans="1:5" x14ac:dyDescent="0.25">
      <c r="A77" s="54" t="s">
        <v>41</v>
      </c>
      <c r="B77" s="83">
        <f t="shared" si="5"/>
        <v>0</v>
      </c>
      <c r="C77" s="84">
        <v>0</v>
      </c>
      <c r="D77" s="85">
        <v>0</v>
      </c>
      <c r="E77" s="85">
        <v>0</v>
      </c>
    </row>
    <row r="78" spans="1:5" x14ac:dyDescent="0.25">
      <c r="A78" s="54" t="s">
        <v>42</v>
      </c>
      <c r="B78" s="83">
        <f t="shared" si="5"/>
        <v>840912</v>
      </c>
      <c r="C78" s="84">
        <v>840912</v>
      </c>
      <c r="D78" s="85">
        <v>0</v>
      </c>
      <c r="E78" s="85">
        <v>0</v>
      </c>
    </row>
    <row r="79" spans="1:5" x14ac:dyDescent="0.25">
      <c r="A79" s="54" t="s">
        <v>45</v>
      </c>
      <c r="B79" s="83">
        <f t="shared" si="5"/>
        <v>860483.56</v>
      </c>
      <c r="C79" s="84">
        <v>133983.56</v>
      </c>
      <c r="D79" s="85">
        <v>726500</v>
      </c>
      <c r="E79" s="85">
        <v>0</v>
      </c>
    </row>
    <row r="80" spans="1:5" x14ac:dyDescent="0.25">
      <c r="A80" s="54" t="s">
        <v>49</v>
      </c>
      <c r="B80" s="83">
        <f t="shared" si="5"/>
        <v>1032657.87</v>
      </c>
      <c r="C80" s="84">
        <v>150073.87</v>
      </c>
      <c r="D80" s="85">
        <v>0</v>
      </c>
      <c r="E80" s="85">
        <v>882584</v>
      </c>
    </row>
    <row r="81" spans="1:23" x14ac:dyDescent="0.25">
      <c r="A81" s="54" t="s">
        <v>46</v>
      </c>
      <c r="B81" s="83">
        <f t="shared" si="5"/>
        <v>900324</v>
      </c>
      <c r="C81" s="84">
        <v>720324</v>
      </c>
      <c r="D81" s="85">
        <v>0</v>
      </c>
      <c r="E81" s="85">
        <v>180000</v>
      </c>
    </row>
    <row r="82" spans="1:23" x14ac:dyDescent="0.25">
      <c r="A82" s="54" t="s">
        <v>47</v>
      </c>
      <c r="B82" s="83">
        <f t="shared" si="5"/>
        <v>1672212</v>
      </c>
      <c r="C82" s="84">
        <v>642426</v>
      </c>
      <c r="D82" s="85">
        <v>0</v>
      </c>
      <c r="E82" s="85">
        <v>1029786</v>
      </c>
    </row>
    <row r="83" spans="1:23" x14ac:dyDescent="0.25">
      <c r="A83" s="54" t="s">
        <v>48</v>
      </c>
      <c r="B83" s="83">
        <f t="shared" si="5"/>
        <v>7149935.5299999993</v>
      </c>
      <c r="C83" s="84">
        <v>1731115.73</v>
      </c>
      <c r="D83" s="85">
        <v>0</v>
      </c>
      <c r="E83" s="85">
        <v>5418819.7999999998</v>
      </c>
    </row>
    <row r="84" spans="1:23" x14ac:dyDescent="0.25">
      <c r="A84" s="54" t="s">
        <v>44</v>
      </c>
      <c r="B84" s="83">
        <f t="shared" si="5"/>
        <v>0</v>
      </c>
      <c r="C84" s="84">
        <v>0</v>
      </c>
      <c r="D84" s="85">
        <v>0</v>
      </c>
      <c r="E84" s="85">
        <v>0</v>
      </c>
    </row>
    <row r="85" spans="1:23" x14ac:dyDescent="0.25">
      <c r="A85" s="64" t="s">
        <v>50</v>
      </c>
      <c r="B85" s="87">
        <f>SUM(B73:B84)</f>
        <v>20884380.559999999</v>
      </c>
      <c r="C85" s="87">
        <f>SUM(C73:C84)</f>
        <v>8199053.9800000004</v>
      </c>
      <c r="D85" s="87">
        <f>SUM(D73:D84)</f>
        <v>1416951.78</v>
      </c>
      <c r="E85" s="87">
        <f>SUM(E73:E84)</f>
        <v>11268374.800000001</v>
      </c>
    </row>
    <row r="86" spans="1:23" x14ac:dyDescent="0.25">
      <c r="A86" s="73" t="s">
        <v>6</v>
      </c>
      <c r="B86" s="88">
        <f>SUM(B85,B71)</f>
        <v>131757281.38</v>
      </c>
      <c r="C86" s="88">
        <f>SUM(C85,C71)</f>
        <v>52195708.969999999</v>
      </c>
      <c r="D86" s="88">
        <f>SUM(D85,D71)</f>
        <v>23090471.77</v>
      </c>
      <c r="E86" s="88">
        <f>SUM(E85,E71)</f>
        <v>56471100.640000001</v>
      </c>
    </row>
    <row r="88" spans="1:23" ht="15.75" thickBot="1" x14ac:dyDescent="0.3"/>
    <row r="89" spans="1:23" ht="18.75" x14ac:dyDescent="0.25">
      <c r="A89" s="89" t="s">
        <v>63</v>
      </c>
      <c r="B89" s="90"/>
      <c r="C89" s="91" t="s">
        <v>64</v>
      </c>
      <c r="D89" s="92"/>
      <c r="E89" s="92"/>
      <c r="F89" s="92"/>
      <c r="G89" s="92"/>
      <c r="H89" s="93"/>
      <c r="I89" s="94" t="s">
        <v>65</v>
      </c>
      <c r="J89" s="95"/>
      <c r="K89" s="95"/>
      <c r="L89" s="96"/>
      <c r="M89" s="97"/>
    </row>
    <row r="90" spans="1:23" ht="51.75" thickBot="1" x14ac:dyDescent="0.3">
      <c r="A90" s="47" t="s">
        <v>0</v>
      </c>
      <c r="B90" s="98" t="s">
        <v>56</v>
      </c>
      <c r="C90" s="99" t="s">
        <v>66</v>
      </c>
      <c r="D90" s="100" t="s">
        <v>67</v>
      </c>
      <c r="E90" s="100" t="s">
        <v>68</v>
      </c>
      <c r="F90" s="101" t="s">
        <v>69</v>
      </c>
      <c r="G90" s="102" t="s">
        <v>70</v>
      </c>
      <c r="H90" s="103" t="s">
        <v>71</v>
      </c>
      <c r="I90" s="99" t="s">
        <v>72</v>
      </c>
      <c r="J90" s="100" t="s">
        <v>66</v>
      </c>
      <c r="K90" s="100" t="s">
        <v>67</v>
      </c>
      <c r="L90" s="103" t="s">
        <v>71</v>
      </c>
      <c r="M90" s="104" t="s">
        <v>73</v>
      </c>
    </row>
    <row r="91" spans="1:23" x14ac:dyDescent="0.25">
      <c r="A91" s="20" t="s">
        <v>7</v>
      </c>
      <c r="B91" s="21"/>
      <c r="C91" s="105"/>
      <c r="D91" s="105"/>
      <c r="E91" s="105"/>
      <c r="F91" s="105"/>
      <c r="G91" s="105"/>
      <c r="H91" s="105"/>
      <c r="I91" s="105"/>
      <c r="J91" s="105"/>
      <c r="K91" s="105"/>
      <c r="L91" s="105"/>
      <c r="M91" s="21"/>
    </row>
    <row r="92" spans="1:23" x14ac:dyDescent="0.25">
      <c r="A92" s="54" t="s">
        <v>14</v>
      </c>
      <c r="B92" s="60">
        <v>6097448.3999999994</v>
      </c>
      <c r="C92" s="72">
        <v>0</v>
      </c>
      <c r="D92" s="72">
        <v>229359</v>
      </c>
      <c r="E92" s="72">
        <v>0</v>
      </c>
      <c r="F92" s="72">
        <v>0</v>
      </c>
      <c r="G92" s="72">
        <v>0</v>
      </c>
      <c r="H92" s="72">
        <v>1618007</v>
      </c>
      <c r="I92" s="72">
        <v>0</v>
      </c>
      <c r="J92" s="72">
        <v>0</v>
      </c>
      <c r="K92" s="72">
        <v>4250082.4000000004</v>
      </c>
      <c r="L92" s="72">
        <v>0</v>
      </c>
      <c r="M92" s="60">
        <f t="shared" ref="M92:M114" si="6">B92-SUM(C92:L92)</f>
        <v>0</v>
      </c>
      <c r="O92" s="62"/>
      <c r="P92" s="62"/>
      <c r="Q92" s="62"/>
      <c r="R92" s="62"/>
      <c r="S92" s="62"/>
      <c r="T92" s="62"/>
      <c r="U92" s="62"/>
      <c r="V92" s="62"/>
      <c r="W92" s="62"/>
    </row>
    <row r="93" spans="1:23" x14ac:dyDescent="0.25">
      <c r="A93" s="54" t="s">
        <v>15</v>
      </c>
      <c r="B93" s="60">
        <v>12626119.09</v>
      </c>
      <c r="C93" s="72">
        <v>0</v>
      </c>
      <c r="D93" s="72">
        <v>1913650</v>
      </c>
      <c r="E93" s="72">
        <v>3786094</v>
      </c>
      <c r="F93" s="72">
        <v>0</v>
      </c>
      <c r="G93" s="72">
        <v>0</v>
      </c>
      <c r="H93" s="72">
        <v>500000</v>
      </c>
      <c r="I93" s="72">
        <v>0</v>
      </c>
      <c r="J93" s="72">
        <v>0</v>
      </c>
      <c r="K93" s="72">
        <v>6426375.0899999999</v>
      </c>
      <c r="L93" s="72">
        <v>0</v>
      </c>
      <c r="M93" s="60">
        <f t="shared" si="6"/>
        <v>0</v>
      </c>
      <c r="O93" s="62"/>
      <c r="P93" s="62"/>
      <c r="Q93" s="62"/>
      <c r="R93" s="62"/>
      <c r="S93" s="62"/>
      <c r="T93" s="62"/>
      <c r="U93" s="62"/>
      <c r="V93" s="62"/>
      <c r="W93" s="62"/>
    </row>
    <row r="94" spans="1:23" x14ac:dyDescent="0.25">
      <c r="A94" s="54" t="s">
        <v>13</v>
      </c>
      <c r="B94" s="60">
        <v>5649097.7199999997</v>
      </c>
      <c r="C94" s="72">
        <v>0</v>
      </c>
      <c r="D94" s="72">
        <v>0</v>
      </c>
      <c r="E94" s="72">
        <v>0</v>
      </c>
      <c r="F94" s="72">
        <v>0</v>
      </c>
      <c r="G94" s="72">
        <v>0</v>
      </c>
      <c r="H94" s="72">
        <v>0</v>
      </c>
      <c r="I94" s="72">
        <v>1108547.07</v>
      </c>
      <c r="J94" s="72">
        <v>0</v>
      </c>
      <c r="K94" s="72">
        <v>4540550.6500000004</v>
      </c>
      <c r="L94" s="72">
        <v>0</v>
      </c>
      <c r="M94" s="60">
        <f t="shared" si="6"/>
        <v>0</v>
      </c>
      <c r="O94" s="62"/>
      <c r="P94" s="62"/>
      <c r="Q94" s="62"/>
      <c r="R94" s="62"/>
      <c r="S94" s="62"/>
      <c r="T94" s="62"/>
      <c r="U94" s="62"/>
      <c r="V94" s="62"/>
      <c r="W94" s="62"/>
    </row>
    <row r="95" spans="1:23" x14ac:dyDescent="0.25">
      <c r="A95" s="54" t="s">
        <v>17</v>
      </c>
      <c r="B95" s="60">
        <v>1317193.7</v>
      </c>
      <c r="C95" s="72">
        <v>0</v>
      </c>
      <c r="D95" s="72">
        <v>0</v>
      </c>
      <c r="E95" s="72">
        <v>0</v>
      </c>
      <c r="F95" s="72">
        <v>0</v>
      </c>
      <c r="G95" s="72">
        <v>0</v>
      </c>
      <c r="H95" s="72">
        <v>0</v>
      </c>
      <c r="I95" s="72">
        <v>0</v>
      </c>
      <c r="J95" s="72">
        <v>0</v>
      </c>
      <c r="K95" s="72">
        <v>1317193.7</v>
      </c>
      <c r="L95" s="72">
        <v>0</v>
      </c>
      <c r="M95" s="60">
        <f t="shared" si="6"/>
        <v>0</v>
      </c>
      <c r="O95" s="62"/>
      <c r="P95" s="62"/>
      <c r="Q95" s="62"/>
      <c r="R95" s="62"/>
      <c r="S95" s="62"/>
      <c r="T95" s="62"/>
      <c r="U95" s="62"/>
      <c r="V95" s="62"/>
      <c r="W95" s="62"/>
    </row>
    <row r="96" spans="1:23" x14ac:dyDescent="0.25">
      <c r="A96" s="54" t="s">
        <v>33</v>
      </c>
      <c r="B96" s="60">
        <v>2699046</v>
      </c>
      <c r="C96" s="72">
        <v>0</v>
      </c>
      <c r="D96" s="72">
        <v>179200</v>
      </c>
      <c r="E96" s="72">
        <v>930746</v>
      </c>
      <c r="F96" s="72">
        <v>0</v>
      </c>
      <c r="G96" s="72">
        <v>0</v>
      </c>
      <c r="H96" s="72">
        <v>779728</v>
      </c>
      <c r="I96" s="72">
        <v>171505</v>
      </c>
      <c r="J96" s="72">
        <v>0</v>
      </c>
      <c r="K96" s="72">
        <v>637867</v>
      </c>
      <c r="L96" s="72">
        <v>0</v>
      </c>
      <c r="M96" s="60">
        <f t="shared" si="6"/>
        <v>0</v>
      </c>
      <c r="O96" s="62"/>
      <c r="P96" s="62"/>
      <c r="Q96" s="62"/>
      <c r="R96" s="62"/>
      <c r="S96" s="62"/>
      <c r="T96" s="62"/>
      <c r="U96" s="62"/>
      <c r="V96" s="62"/>
      <c r="W96" s="62"/>
    </row>
    <row r="97" spans="1:23" x14ac:dyDescent="0.25">
      <c r="A97" s="54" t="s">
        <v>28</v>
      </c>
      <c r="B97" s="60">
        <v>4090159.1900000004</v>
      </c>
      <c r="C97" s="72">
        <v>0</v>
      </c>
      <c r="D97" s="72">
        <v>0</v>
      </c>
      <c r="E97" s="72">
        <v>0</v>
      </c>
      <c r="F97" s="72">
        <v>0</v>
      </c>
      <c r="G97" s="72">
        <v>0</v>
      </c>
      <c r="H97" s="72">
        <v>0</v>
      </c>
      <c r="I97" s="72">
        <v>0</v>
      </c>
      <c r="J97" s="72">
        <v>0</v>
      </c>
      <c r="K97" s="72">
        <v>4090159.1900000004</v>
      </c>
      <c r="L97" s="72">
        <v>0</v>
      </c>
      <c r="M97" s="60">
        <f t="shared" si="6"/>
        <v>0</v>
      </c>
      <c r="O97" s="62"/>
      <c r="P97" s="62"/>
      <c r="Q97" s="62"/>
      <c r="R97" s="62"/>
      <c r="S97" s="62"/>
      <c r="T97" s="62"/>
      <c r="U97" s="62"/>
      <c r="V97" s="62"/>
      <c r="W97" s="62"/>
    </row>
    <row r="98" spans="1:23" x14ac:dyDescent="0.25">
      <c r="A98" s="54" t="s">
        <v>31</v>
      </c>
      <c r="B98" s="60">
        <v>3510870.31</v>
      </c>
      <c r="C98" s="72">
        <v>0</v>
      </c>
      <c r="D98" s="72">
        <v>0</v>
      </c>
      <c r="E98" s="72">
        <v>0</v>
      </c>
      <c r="F98" s="72">
        <v>0</v>
      </c>
      <c r="G98" s="72">
        <v>0</v>
      </c>
      <c r="H98" s="72">
        <v>150000</v>
      </c>
      <c r="I98" s="72">
        <v>165207.41</v>
      </c>
      <c r="J98" s="72">
        <v>0</v>
      </c>
      <c r="K98" s="72">
        <v>3195662.9</v>
      </c>
      <c r="L98" s="72">
        <v>0</v>
      </c>
      <c r="M98" s="60">
        <f t="shared" si="6"/>
        <v>0</v>
      </c>
      <c r="O98" s="62"/>
      <c r="P98" s="62"/>
      <c r="Q98" s="62"/>
      <c r="R98" s="62"/>
      <c r="S98" s="62"/>
      <c r="T98" s="62"/>
      <c r="U98" s="62"/>
      <c r="V98" s="62"/>
      <c r="W98" s="62"/>
    </row>
    <row r="99" spans="1:23" x14ac:dyDescent="0.25">
      <c r="A99" s="54" t="s">
        <v>27</v>
      </c>
      <c r="B99" s="60">
        <v>12317751.159999998</v>
      </c>
      <c r="C99" s="72">
        <v>0</v>
      </c>
      <c r="D99" s="72">
        <v>7800000</v>
      </c>
      <c r="E99" s="72">
        <v>0</v>
      </c>
      <c r="F99" s="72">
        <v>0</v>
      </c>
      <c r="G99" s="72">
        <v>0</v>
      </c>
      <c r="H99" s="72">
        <v>0</v>
      </c>
      <c r="I99" s="72">
        <v>205520.94</v>
      </c>
      <c r="J99" s="72">
        <v>0</v>
      </c>
      <c r="K99" s="72">
        <v>3660471.2199999993</v>
      </c>
      <c r="L99" s="72">
        <v>0</v>
      </c>
      <c r="M99" s="60">
        <f t="shared" si="6"/>
        <v>651758.99999999814</v>
      </c>
      <c r="O99" s="62"/>
      <c r="P99" s="62"/>
      <c r="Q99" s="62"/>
      <c r="R99" s="62"/>
      <c r="S99" s="62"/>
      <c r="T99" s="62"/>
      <c r="U99" s="62"/>
      <c r="V99" s="62"/>
      <c r="W99" s="62"/>
    </row>
    <row r="100" spans="1:23" x14ac:dyDescent="0.25">
      <c r="A100" s="54" t="s">
        <v>18</v>
      </c>
      <c r="B100" s="60">
        <v>5271884.8</v>
      </c>
      <c r="C100" s="72">
        <v>0</v>
      </c>
      <c r="D100" s="72">
        <v>0</v>
      </c>
      <c r="E100" s="72">
        <v>0</v>
      </c>
      <c r="F100" s="72">
        <v>0</v>
      </c>
      <c r="G100" s="72">
        <v>0</v>
      </c>
      <c r="H100" s="72">
        <v>1212616</v>
      </c>
      <c r="I100" s="72">
        <v>0</v>
      </c>
      <c r="J100" s="72">
        <v>0</v>
      </c>
      <c r="K100" s="72">
        <v>4059268.8000000003</v>
      </c>
      <c r="L100" s="72">
        <v>0</v>
      </c>
      <c r="M100" s="60">
        <f t="shared" si="6"/>
        <v>0</v>
      </c>
      <c r="O100" s="62"/>
      <c r="P100" s="62"/>
      <c r="Q100" s="62"/>
      <c r="R100" s="62"/>
      <c r="S100" s="62"/>
      <c r="T100" s="62"/>
      <c r="U100" s="62"/>
      <c r="V100" s="62"/>
      <c r="W100" s="62"/>
    </row>
    <row r="101" spans="1:23" x14ac:dyDescent="0.25">
      <c r="A101" s="54" t="s">
        <v>34</v>
      </c>
      <c r="B101" s="60">
        <v>7772319.2700000005</v>
      </c>
      <c r="C101" s="72">
        <v>0</v>
      </c>
      <c r="D101" s="72">
        <v>0</v>
      </c>
      <c r="E101" s="72">
        <v>0</v>
      </c>
      <c r="F101" s="72">
        <v>0</v>
      </c>
      <c r="G101" s="72">
        <v>0</v>
      </c>
      <c r="H101" s="72">
        <v>684798.4</v>
      </c>
      <c r="I101" s="72">
        <v>0</v>
      </c>
      <c r="J101" s="72">
        <v>0</v>
      </c>
      <c r="K101" s="72">
        <v>7087520.8700000001</v>
      </c>
      <c r="L101" s="72">
        <v>0</v>
      </c>
      <c r="M101" s="60">
        <f t="shared" si="6"/>
        <v>0</v>
      </c>
      <c r="O101" s="62"/>
      <c r="P101" s="62"/>
      <c r="Q101" s="62"/>
      <c r="R101" s="62"/>
      <c r="S101" s="62"/>
      <c r="T101" s="62"/>
      <c r="U101" s="62"/>
      <c r="V101" s="62"/>
      <c r="W101" s="62"/>
    </row>
    <row r="102" spans="1:23" x14ac:dyDescent="0.25">
      <c r="A102" s="54" t="s">
        <v>16</v>
      </c>
      <c r="B102" s="60">
        <v>5336207.01</v>
      </c>
      <c r="C102" s="72">
        <v>0</v>
      </c>
      <c r="D102" s="72">
        <v>0</v>
      </c>
      <c r="E102" s="72">
        <v>0</v>
      </c>
      <c r="F102" s="72">
        <v>0</v>
      </c>
      <c r="G102" s="72">
        <v>0</v>
      </c>
      <c r="H102" s="72">
        <v>0</v>
      </c>
      <c r="I102" s="72">
        <v>0</v>
      </c>
      <c r="J102" s="72">
        <v>0</v>
      </c>
      <c r="K102" s="72">
        <v>5336207.01</v>
      </c>
      <c r="L102" s="72">
        <v>0</v>
      </c>
      <c r="M102" s="60">
        <f t="shared" si="6"/>
        <v>0</v>
      </c>
      <c r="O102" s="62"/>
      <c r="P102" s="62"/>
      <c r="Q102" s="62"/>
      <c r="R102" s="62"/>
      <c r="S102" s="62"/>
      <c r="T102" s="62"/>
      <c r="U102" s="62"/>
      <c r="V102" s="62"/>
      <c r="W102" s="62"/>
    </row>
    <row r="103" spans="1:23" x14ac:dyDescent="0.25">
      <c r="A103" s="54" t="s">
        <v>19</v>
      </c>
      <c r="B103" s="60">
        <v>3957231.39</v>
      </c>
      <c r="C103" s="72">
        <v>0</v>
      </c>
      <c r="D103" s="72">
        <v>502000</v>
      </c>
      <c r="E103" s="72">
        <v>0</v>
      </c>
      <c r="F103" s="72">
        <v>0</v>
      </c>
      <c r="G103" s="72">
        <v>0</v>
      </c>
      <c r="H103" s="72">
        <v>679221.7</v>
      </c>
      <c r="I103" s="72">
        <v>0</v>
      </c>
      <c r="J103" s="72">
        <v>0</v>
      </c>
      <c r="K103" s="72">
        <v>2776009.69</v>
      </c>
      <c r="L103" s="72">
        <v>0</v>
      </c>
      <c r="M103" s="60">
        <f t="shared" si="6"/>
        <v>0</v>
      </c>
      <c r="O103" s="62"/>
      <c r="P103" s="62"/>
      <c r="Q103" s="62"/>
      <c r="R103" s="62"/>
      <c r="S103" s="62"/>
      <c r="T103" s="62"/>
      <c r="U103" s="62"/>
      <c r="V103" s="62"/>
      <c r="W103" s="62"/>
    </row>
    <row r="104" spans="1:23" x14ac:dyDescent="0.25">
      <c r="A104" s="54" t="s">
        <v>20</v>
      </c>
      <c r="B104" s="60">
        <v>6509956.9900000002</v>
      </c>
      <c r="C104" s="72">
        <v>0</v>
      </c>
      <c r="D104" s="72">
        <v>81518</v>
      </c>
      <c r="E104" s="72">
        <v>0</v>
      </c>
      <c r="F104" s="72">
        <v>0</v>
      </c>
      <c r="G104" s="72">
        <v>0</v>
      </c>
      <c r="H104" s="72">
        <v>0</v>
      </c>
      <c r="I104" s="72">
        <v>402966.8</v>
      </c>
      <c r="J104" s="72">
        <v>0</v>
      </c>
      <c r="K104" s="72">
        <v>6025472.1900000004</v>
      </c>
      <c r="L104" s="72">
        <v>0</v>
      </c>
      <c r="M104" s="60">
        <f t="shared" si="6"/>
        <v>0</v>
      </c>
      <c r="O104" s="62"/>
      <c r="P104" s="62"/>
      <c r="Q104" s="62"/>
      <c r="R104" s="62"/>
      <c r="S104" s="62"/>
      <c r="T104" s="62"/>
      <c r="U104" s="62"/>
      <c r="V104" s="62"/>
      <c r="W104" s="62"/>
    </row>
    <row r="105" spans="1:23" x14ac:dyDescent="0.25">
      <c r="A105" s="54" t="s">
        <v>21</v>
      </c>
      <c r="B105" s="60">
        <v>5863137.3799999999</v>
      </c>
      <c r="C105" s="72">
        <v>0</v>
      </c>
      <c r="D105" s="72">
        <v>0</v>
      </c>
      <c r="E105" s="72">
        <v>0</v>
      </c>
      <c r="F105" s="72">
        <v>0</v>
      </c>
      <c r="G105" s="72">
        <v>0</v>
      </c>
      <c r="H105" s="72">
        <v>944144</v>
      </c>
      <c r="I105" s="72">
        <v>0</v>
      </c>
      <c r="J105" s="72">
        <v>0</v>
      </c>
      <c r="K105" s="72">
        <v>4918993.38</v>
      </c>
      <c r="L105" s="72">
        <v>0</v>
      </c>
      <c r="M105" s="60">
        <f t="shared" si="6"/>
        <v>0</v>
      </c>
      <c r="O105" s="62"/>
      <c r="P105" s="62"/>
      <c r="Q105" s="62"/>
      <c r="R105" s="62"/>
      <c r="S105" s="62"/>
      <c r="T105" s="62"/>
      <c r="U105" s="62"/>
      <c r="V105" s="62"/>
      <c r="W105" s="62"/>
    </row>
    <row r="106" spans="1:23" x14ac:dyDescent="0.25">
      <c r="A106" s="54" t="s">
        <v>25</v>
      </c>
      <c r="B106" s="60">
        <v>6961773.8399999989</v>
      </c>
      <c r="C106" s="72">
        <v>0</v>
      </c>
      <c r="D106" s="72">
        <v>518096</v>
      </c>
      <c r="E106" s="72">
        <v>0</v>
      </c>
      <c r="F106" s="72">
        <v>0</v>
      </c>
      <c r="G106" s="72">
        <v>0</v>
      </c>
      <c r="H106" s="72">
        <v>198220</v>
      </c>
      <c r="I106" s="72">
        <v>0</v>
      </c>
      <c r="J106" s="72">
        <v>0</v>
      </c>
      <c r="K106" s="72">
        <v>5879667.8399999989</v>
      </c>
      <c r="L106" s="72">
        <v>0</v>
      </c>
      <c r="M106" s="60">
        <f t="shared" si="6"/>
        <v>365790</v>
      </c>
      <c r="O106" s="62"/>
      <c r="P106" s="62"/>
      <c r="Q106" s="62"/>
      <c r="R106" s="62"/>
      <c r="S106" s="62"/>
      <c r="T106" s="62"/>
      <c r="U106" s="62"/>
      <c r="V106" s="62"/>
      <c r="W106" s="62"/>
    </row>
    <row r="107" spans="1:23" x14ac:dyDescent="0.25">
      <c r="A107" s="54" t="s">
        <v>24</v>
      </c>
      <c r="B107" s="60">
        <v>3889347.37</v>
      </c>
      <c r="C107" s="72">
        <v>0</v>
      </c>
      <c r="D107" s="72">
        <v>1401478</v>
      </c>
      <c r="E107" s="72">
        <v>0</v>
      </c>
      <c r="F107" s="72">
        <v>0</v>
      </c>
      <c r="G107" s="72">
        <v>0</v>
      </c>
      <c r="H107" s="72">
        <v>0</v>
      </c>
      <c r="I107" s="72">
        <v>0</v>
      </c>
      <c r="J107" s="72">
        <v>0</v>
      </c>
      <c r="K107" s="72">
        <v>2417869.37</v>
      </c>
      <c r="L107" s="72">
        <v>0</v>
      </c>
      <c r="M107" s="60">
        <f t="shared" si="6"/>
        <v>70000</v>
      </c>
      <c r="O107" s="62"/>
      <c r="P107" s="62"/>
      <c r="Q107" s="62"/>
      <c r="R107" s="62"/>
      <c r="S107" s="62"/>
      <c r="T107" s="62"/>
      <c r="U107" s="62"/>
      <c r="V107" s="62"/>
      <c r="W107" s="62"/>
    </row>
    <row r="108" spans="1:23" x14ac:dyDescent="0.25">
      <c r="A108" s="54" t="s">
        <v>23</v>
      </c>
      <c r="B108" s="60">
        <v>20466704.549999997</v>
      </c>
      <c r="C108" s="72">
        <v>0</v>
      </c>
      <c r="D108" s="72">
        <v>223670</v>
      </c>
      <c r="E108" s="72">
        <v>0</v>
      </c>
      <c r="F108" s="72">
        <v>0</v>
      </c>
      <c r="G108" s="72">
        <v>0</v>
      </c>
      <c r="H108" s="72">
        <v>301974.59999999998</v>
      </c>
      <c r="I108" s="72">
        <v>0</v>
      </c>
      <c r="J108" s="72">
        <v>0</v>
      </c>
      <c r="K108" s="72">
        <v>6010429.9900000002</v>
      </c>
      <c r="L108" s="72">
        <v>0</v>
      </c>
      <c r="M108" s="60">
        <f t="shared" si="6"/>
        <v>13930629.959999997</v>
      </c>
      <c r="O108" s="62"/>
      <c r="P108" s="62"/>
      <c r="Q108" s="62"/>
      <c r="R108" s="62"/>
      <c r="S108" s="62"/>
      <c r="T108" s="62"/>
      <c r="U108" s="62"/>
      <c r="V108" s="62"/>
      <c r="W108" s="62"/>
    </row>
    <row r="109" spans="1:23" x14ac:dyDescent="0.25">
      <c r="A109" s="54" t="s">
        <v>22</v>
      </c>
      <c r="B109" s="60">
        <v>5228871.51</v>
      </c>
      <c r="C109" s="72">
        <v>0</v>
      </c>
      <c r="D109" s="72">
        <v>180407</v>
      </c>
      <c r="E109" s="72">
        <v>0</v>
      </c>
      <c r="F109" s="72">
        <v>0</v>
      </c>
      <c r="G109" s="72">
        <v>0</v>
      </c>
      <c r="H109" s="72">
        <v>0</v>
      </c>
      <c r="I109" s="72">
        <v>0</v>
      </c>
      <c r="J109" s="72">
        <v>0</v>
      </c>
      <c r="K109" s="72">
        <v>5038464.51</v>
      </c>
      <c r="L109" s="72">
        <v>10000</v>
      </c>
      <c r="M109" s="60">
        <f t="shared" si="6"/>
        <v>0</v>
      </c>
      <c r="O109" s="62"/>
      <c r="P109" s="62"/>
      <c r="Q109" s="62"/>
      <c r="R109" s="62"/>
      <c r="S109" s="62"/>
      <c r="T109" s="62"/>
      <c r="U109" s="62"/>
      <c r="V109" s="62"/>
      <c r="W109" s="62"/>
    </row>
    <row r="110" spans="1:23" x14ac:dyDescent="0.25">
      <c r="A110" s="54" t="s">
        <v>26</v>
      </c>
      <c r="B110" s="60">
        <v>859898.74</v>
      </c>
      <c r="C110" s="72">
        <v>0</v>
      </c>
      <c r="D110" s="72">
        <v>100529</v>
      </c>
      <c r="E110" s="72">
        <v>0</v>
      </c>
      <c r="F110" s="72">
        <v>0</v>
      </c>
      <c r="G110" s="72">
        <v>0</v>
      </c>
      <c r="H110" s="72">
        <v>0</v>
      </c>
      <c r="I110" s="72">
        <v>0</v>
      </c>
      <c r="J110" s="72">
        <v>0</v>
      </c>
      <c r="K110" s="72">
        <v>759369.74</v>
      </c>
      <c r="L110" s="72">
        <v>0</v>
      </c>
      <c r="M110" s="60">
        <f t="shared" si="6"/>
        <v>0</v>
      </c>
      <c r="O110" s="62"/>
      <c r="P110" s="62"/>
      <c r="Q110" s="62"/>
      <c r="R110" s="62"/>
      <c r="S110" s="62"/>
      <c r="T110" s="62"/>
      <c r="U110" s="62"/>
      <c r="V110" s="62"/>
      <c r="W110" s="62"/>
    </row>
    <row r="111" spans="1:23" x14ac:dyDescent="0.25">
      <c r="A111" s="54" t="s">
        <v>32</v>
      </c>
      <c r="B111" s="60">
        <v>3513272.6</v>
      </c>
      <c r="C111" s="72">
        <v>0</v>
      </c>
      <c r="D111" s="72">
        <v>514598</v>
      </c>
      <c r="E111" s="72">
        <v>0</v>
      </c>
      <c r="F111" s="72">
        <v>0</v>
      </c>
      <c r="G111" s="72">
        <v>0</v>
      </c>
      <c r="H111" s="72">
        <v>0</v>
      </c>
      <c r="I111" s="72">
        <v>756836.9</v>
      </c>
      <c r="J111" s="72">
        <v>0</v>
      </c>
      <c r="K111" s="72">
        <v>2241837.7000000002</v>
      </c>
      <c r="L111" s="72">
        <v>0</v>
      </c>
      <c r="M111" s="60">
        <f t="shared" si="6"/>
        <v>0</v>
      </c>
      <c r="O111" s="62"/>
      <c r="P111" s="62"/>
      <c r="Q111" s="62"/>
      <c r="R111" s="62"/>
      <c r="S111" s="62"/>
      <c r="T111" s="62"/>
      <c r="U111" s="62"/>
      <c r="V111" s="62"/>
      <c r="W111" s="62"/>
    </row>
    <row r="112" spans="1:23" x14ac:dyDescent="0.25">
      <c r="A112" s="54" t="s">
        <v>30</v>
      </c>
      <c r="B112" s="60">
        <v>2219219.7999999998</v>
      </c>
      <c r="C112" s="72">
        <v>0</v>
      </c>
      <c r="D112" s="72">
        <v>186787</v>
      </c>
      <c r="E112" s="72">
        <v>0</v>
      </c>
      <c r="F112" s="72">
        <v>0</v>
      </c>
      <c r="G112" s="72">
        <v>0</v>
      </c>
      <c r="H112" s="72">
        <v>0</v>
      </c>
      <c r="I112" s="72">
        <v>129582</v>
      </c>
      <c r="J112" s="72">
        <v>0</v>
      </c>
      <c r="K112" s="72">
        <v>1902850.8</v>
      </c>
      <c r="L112" s="72">
        <v>0</v>
      </c>
      <c r="M112" s="60">
        <f t="shared" si="6"/>
        <v>0</v>
      </c>
      <c r="O112" s="62"/>
      <c r="P112" s="62"/>
      <c r="Q112" s="62"/>
      <c r="R112" s="62"/>
      <c r="S112" s="62"/>
      <c r="T112" s="62"/>
      <c r="U112" s="62"/>
      <c r="V112" s="62"/>
      <c r="W112" s="62"/>
    </row>
    <row r="113" spans="1:23" x14ac:dyDescent="0.25">
      <c r="A113" s="54" t="s">
        <v>33</v>
      </c>
      <c r="B113" s="60">
        <v>2699046</v>
      </c>
      <c r="C113" s="72">
        <v>0</v>
      </c>
      <c r="D113" s="72">
        <v>179200</v>
      </c>
      <c r="E113" s="72">
        <v>930746</v>
      </c>
      <c r="F113" s="72">
        <v>0</v>
      </c>
      <c r="G113" s="72">
        <v>0</v>
      </c>
      <c r="H113" s="72">
        <v>779728</v>
      </c>
      <c r="I113" s="72">
        <v>171505</v>
      </c>
      <c r="J113" s="72">
        <v>0</v>
      </c>
      <c r="K113" s="72">
        <v>637867</v>
      </c>
      <c r="L113" s="72">
        <v>0</v>
      </c>
      <c r="M113" s="60">
        <f t="shared" si="6"/>
        <v>0</v>
      </c>
      <c r="O113" s="62"/>
      <c r="P113" s="62"/>
      <c r="Q113" s="62"/>
      <c r="R113" s="62"/>
      <c r="S113" s="62"/>
      <c r="T113" s="62"/>
      <c r="U113" s="62"/>
      <c r="V113" s="62"/>
      <c r="W113" s="62"/>
    </row>
    <row r="114" spans="1:23" x14ac:dyDescent="0.25">
      <c r="A114" s="54" t="s">
        <v>29</v>
      </c>
      <c r="B114" s="60">
        <v>3612983.68</v>
      </c>
      <c r="C114" s="72">
        <v>0</v>
      </c>
      <c r="D114" s="72">
        <v>236429</v>
      </c>
      <c r="E114" s="72">
        <v>0</v>
      </c>
      <c r="F114" s="72">
        <v>0</v>
      </c>
      <c r="G114" s="72">
        <v>0</v>
      </c>
      <c r="H114" s="72">
        <v>129707</v>
      </c>
      <c r="I114" s="72">
        <v>0</v>
      </c>
      <c r="J114" s="72">
        <v>0</v>
      </c>
      <c r="K114" s="72">
        <v>3246847.68</v>
      </c>
      <c r="L114" s="72">
        <v>0</v>
      </c>
      <c r="M114" s="60">
        <f t="shared" si="6"/>
        <v>0</v>
      </c>
      <c r="O114" s="62"/>
      <c r="P114" s="62"/>
      <c r="Q114" s="62"/>
      <c r="R114" s="62"/>
      <c r="S114" s="62"/>
      <c r="T114" s="62"/>
      <c r="U114" s="62"/>
      <c r="V114" s="62"/>
      <c r="W114" s="62"/>
    </row>
    <row r="115" spans="1:23" x14ac:dyDescent="0.25">
      <c r="A115" s="64" t="s">
        <v>58</v>
      </c>
      <c r="B115" s="69">
        <f t="shared" ref="B115:M115" si="7">SUM(B92:B114)</f>
        <v>132469540.49999999</v>
      </c>
      <c r="C115" s="69">
        <f t="shared" si="7"/>
        <v>0</v>
      </c>
      <c r="D115" s="69">
        <f t="shared" si="7"/>
        <v>14246921</v>
      </c>
      <c r="E115" s="69">
        <f t="shared" si="7"/>
        <v>5647586</v>
      </c>
      <c r="F115" s="106">
        <f t="shared" si="7"/>
        <v>0</v>
      </c>
      <c r="G115" s="69">
        <f t="shared" si="7"/>
        <v>0</v>
      </c>
      <c r="H115" s="69">
        <f t="shared" si="7"/>
        <v>7978144.7000000002</v>
      </c>
      <c r="I115" s="69">
        <f t="shared" si="7"/>
        <v>3111671.12</v>
      </c>
      <c r="J115" s="69">
        <f t="shared" si="7"/>
        <v>0</v>
      </c>
      <c r="K115" s="69">
        <f t="shared" si="7"/>
        <v>86457038.719999999</v>
      </c>
      <c r="L115" s="69">
        <f t="shared" si="7"/>
        <v>10000</v>
      </c>
      <c r="M115" s="69">
        <f t="shared" si="7"/>
        <v>15018178.959999995</v>
      </c>
      <c r="O115" s="62"/>
      <c r="P115" s="62"/>
      <c r="Q115" s="62"/>
      <c r="R115" s="62"/>
      <c r="S115" s="62"/>
      <c r="T115" s="62"/>
      <c r="U115" s="62"/>
    </row>
    <row r="116" spans="1:23" x14ac:dyDescent="0.25">
      <c r="A116" s="20" t="s">
        <v>37</v>
      </c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</row>
    <row r="117" spans="1:23" x14ac:dyDescent="0.25">
      <c r="A117" s="70" t="s">
        <v>40</v>
      </c>
      <c r="B117" s="60">
        <v>5456392.8599999994</v>
      </c>
      <c r="C117" s="72">
        <v>0</v>
      </c>
      <c r="D117" s="72">
        <v>223348.86</v>
      </c>
      <c r="E117" s="72">
        <v>0</v>
      </c>
      <c r="F117" s="72">
        <v>0</v>
      </c>
      <c r="G117" s="72">
        <v>0</v>
      </c>
      <c r="H117" s="72">
        <v>1935731</v>
      </c>
      <c r="I117" s="72">
        <v>0</v>
      </c>
      <c r="J117" s="72">
        <v>0</v>
      </c>
      <c r="K117" s="72">
        <v>3297313</v>
      </c>
      <c r="L117" s="72">
        <v>0</v>
      </c>
      <c r="M117" s="60">
        <f t="shared" ref="M117:M128" si="8">B117-SUM(C117:L117)</f>
        <v>0</v>
      </c>
      <c r="O117" s="107"/>
      <c r="T117" s="62"/>
      <c r="U117" s="62"/>
      <c r="V117" s="62"/>
      <c r="W117" s="62"/>
    </row>
    <row r="118" spans="1:23" x14ac:dyDescent="0.25">
      <c r="A118" s="70" t="s">
        <v>38</v>
      </c>
      <c r="B118" s="60">
        <v>3073221</v>
      </c>
      <c r="C118" s="72">
        <v>0</v>
      </c>
      <c r="D118" s="72">
        <v>0</v>
      </c>
      <c r="E118" s="72">
        <v>0</v>
      </c>
      <c r="F118" s="72">
        <v>0</v>
      </c>
      <c r="G118" s="72">
        <v>0</v>
      </c>
      <c r="H118" s="72">
        <v>0</v>
      </c>
      <c r="I118" s="72">
        <v>0</v>
      </c>
      <c r="J118" s="72">
        <v>0</v>
      </c>
      <c r="K118" s="72">
        <v>3073221</v>
      </c>
      <c r="L118" s="72">
        <v>0</v>
      </c>
      <c r="M118" s="60">
        <f t="shared" si="8"/>
        <v>0</v>
      </c>
      <c r="O118" s="107"/>
      <c r="T118" s="62"/>
      <c r="U118" s="62"/>
      <c r="V118" s="62"/>
      <c r="W118" s="62"/>
    </row>
    <row r="119" spans="1:23" x14ac:dyDescent="0.25">
      <c r="A119" s="70" t="s">
        <v>39</v>
      </c>
      <c r="B119" s="60">
        <v>9493591</v>
      </c>
      <c r="C119" s="72">
        <v>0</v>
      </c>
      <c r="D119" s="72">
        <v>936899</v>
      </c>
      <c r="E119" s="72">
        <v>0</v>
      </c>
      <c r="F119" s="72">
        <v>0</v>
      </c>
      <c r="G119" s="72">
        <v>0</v>
      </c>
      <c r="H119" s="72">
        <v>0</v>
      </c>
      <c r="I119" s="72">
        <v>0</v>
      </c>
      <c r="J119" s="72">
        <v>0</v>
      </c>
      <c r="K119" s="72">
        <v>8556692</v>
      </c>
      <c r="L119" s="72">
        <v>0</v>
      </c>
      <c r="M119" s="60">
        <f t="shared" si="8"/>
        <v>0</v>
      </c>
      <c r="O119" s="107"/>
      <c r="T119" s="62"/>
      <c r="U119" s="62"/>
      <c r="V119" s="62"/>
      <c r="W119" s="62"/>
    </row>
    <row r="120" spans="1:23" x14ac:dyDescent="0.25">
      <c r="A120" s="54" t="s">
        <v>43</v>
      </c>
      <c r="B120" s="60">
        <v>3920238</v>
      </c>
      <c r="C120" s="72">
        <v>0</v>
      </c>
      <c r="D120" s="72">
        <v>0</v>
      </c>
      <c r="E120" s="72">
        <v>0</v>
      </c>
      <c r="F120" s="72">
        <v>0</v>
      </c>
      <c r="G120" s="72">
        <v>0</v>
      </c>
      <c r="H120" s="72">
        <v>347417</v>
      </c>
      <c r="I120" s="72">
        <v>0</v>
      </c>
      <c r="J120" s="72">
        <v>0</v>
      </c>
      <c r="K120" s="72">
        <v>3572821</v>
      </c>
      <c r="L120" s="72">
        <v>0</v>
      </c>
      <c r="M120" s="60">
        <f>B120-SUM(C120:L120)</f>
        <v>0</v>
      </c>
      <c r="O120" s="107"/>
      <c r="T120" s="62"/>
      <c r="U120" s="62"/>
      <c r="V120" s="62"/>
      <c r="W120" s="62"/>
    </row>
    <row r="121" spans="1:23" x14ac:dyDescent="0.25">
      <c r="A121" s="54" t="s">
        <v>42</v>
      </c>
      <c r="B121" s="60">
        <v>4680292.4399999995</v>
      </c>
      <c r="C121" s="72">
        <v>0</v>
      </c>
      <c r="D121" s="72">
        <v>0</v>
      </c>
      <c r="E121" s="72">
        <v>0</v>
      </c>
      <c r="F121" s="72">
        <v>0</v>
      </c>
      <c r="G121" s="72">
        <v>0</v>
      </c>
      <c r="H121" s="72">
        <v>0</v>
      </c>
      <c r="I121" s="72">
        <v>0</v>
      </c>
      <c r="J121" s="72">
        <v>0</v>
      </c>
      <c r="K121" s="72">
        <v>4680292.4399999995</v>
      </c>
      <c r="L121" s="72">
        <v>0</v>
      </c>
      <c r="M121" s="60">
        <f t="shared" si="8"/>
        <v>0</v>
      </c>
      <c r="O121" s="107"/>
      <c r="T121" s="62"/>
      <c r="U121" s="62"/>
      <c r="V121" s="62"/>
      <c r="W121" s="62"/>
    </row>
    <row r="122" spans="1:23" x14ac:dyDescent="0.25">
      <c r="A122" s="54" t="s">
        <v>41</v>
      </c>
      <c r="B122" s="60">
        <v>0</v>
      </c>
      <c r="C122" s="72">
        <v>0</v>
      </c>
      <c r="D122" s="72">
        <v>0</v>
      </c>
      <c r="E122" s="72">
        <v>0</v>
      </c>
      <c r="F122" s="72">
        <v>0</v>
      </c>
      <c r="G122" s="72">
        <v>0</v>
      </c>
      <c r="H122" s="72">
        <v>0</v>
      </c>
      <c r="I122" s="72">
        <v>0</v>
      </c>
      <c r="J122" s="72">
        <v>0</v>
      </c>
      <c r="K122" s="72">
        <v>0</v>
      </c>
      <c r="L122" s="72">
        <v>0</v>
      </c>
      <c r="M122" s="60">
        <f t="shared" si="8"/>
        <v>0</v>
      </c>
      <c r="O122" s="107"/>
      <c r="T122" s="62"/>
      <c r="U122" s="62"/>
      <c r="V122" s="62"/>
      <c r="W122" s="62"/>
    </row>
    <row r="123" spans="1:23" x14ac:dyDescent="0.25">
      <c r="A123" s="54" t="s">
        <v>45</v>
      </c>
      <c r="B123" s="60">
        <v>561470</v>
      </c>
      <c r="C123" s="72">
        <v>0</v>
      </c>
      <c r="D123" s="72">
        <v>0</v>
      </c>
      <c r="E123" s="72">
        <v>0</v>
      </c>
      <c r="F123" s="72">
        <v>0</v>
      </c>
      <c r="G123" s="72">
        <v>0</v>
      </c>
      <c r="H123" s="72">
        <v>0</v>
      </c>
      <c r="I123" s="72">
        <v>0</v>
      </c>
      <c r="J123" s="72">
        <v>0</v>
      </c>
      <c r="K123" s="72">
        <v>561470</v>
      </c>
      <c r="L123" s="72">
        <v>0</v>
      </c>
      <c r="M123" s="60">
        <f t="shared" si="8"/>
        <v>0</v>
      </c>
      <c r="O123" s="107"/>
      <c r="T123" s="62"/>
      <c r="U123" s="62"/>
      <c r="V123" s="62"/>
      <c r="W123" s="62"/>
    </row>
    <row r="124" spans="1:23" x14ac:dyDescent="0.25">
      <c r="A124" s="54" t="s">
        <v>49</v>
      </c>
      <c r="B124" s="60">
        <v>2924662.74</v>
      </c>
      <c r="C124" s="72">
        <v>0</v>
      </c>
      <c r="D124" s="72">
        <v>2221036</v>
      </c>
      <c r="E124" s="72">
        <v>0</v>
      </c>
      <c r="F124" s="72">
        <v>0</v>
      </c>
      <c r="G124" s="72">
        <v>0</v>
      </c>
      <c r="H124" s="72">
        <v>0</v>
      </c>
      <c r="I124" s="72">
        <v>0</v>
      </c>
      <c r="J124" s="72">
        <v>0</v>
      </c>
      <c r="K124" s="72">
        <v>703626.74</v>
      </c>
      <c r="L124" s="72">
        <v>0</v>
      </c>
      <c r="M124" s="60">
        <f t="shared" si="8"/>
        <v>0</v>
      </c>
      <c r="O124" s="107"/>
      <c r="T124" s="62"/>
      <c r="U124" s="62"/>
      <c r="V124" s="62"/>
      <c r="W124" s="62"/>
    </row>
    <row r="125" spans="1:23" x14ac:dyDescent="0.25">
      <c r="A125" s="54" t="s">
        <v>46</v>
      </c>
      <c r="B125" s="60">
        <v>1589332</v>
      </c>
      <c r="C125" s="72">
        <v>0</v>
      </c>
      <c r="D125" s="72">
        <v>0</v>
      </c>
      <c r="E125" s="72">
        <v>0</v>
      </c>
      <c r="F125" s="72">
        <v>0</v>
      </c>
      <c r="G125" s="72">
        <v>0</v>
      </c>
      <c r="H125" s="72">
        <v>0</v>
      </c>
      <c r="I125" s="72">
        <v>0</v>
      </c>
      <c r="J125" s="72">
        <v>0</v>
      </c>
      <c r="K125" s="72">
        <v>1589332</v>
      </c>
      <c r="L125" s="72">
        <v>0</v>
      </c>
      <c r="M125" s="60">
        <f t="shared" si="8"/>
        <v>0</v>
      </c>
      <c r="O125" s="107"/>
      <c r="T125" s="62"/>
      <c r="U125" s="62"/>
      <c r="V125" s="62"/>
      <c r="W125" s="62"/>
    </row>
    <row r="126" spans="1:23" x14ac:dyDescent="0.25">
      <c r="A126" s="54" t="s">
        <v>47</v>
      </c>
      <c r="B126" s="60">
        <v>3730663.6599999997</v>
      </c>
      <c r="C126" s="72">
        <v>0</v>
      </c>
      <c r="D126" s="72">
        <v>519804</v>
      </c>
      <c r="E126" s="72">
        <v>0</v>
      </c>
      <c r="F126" s="72">
        <v>0</v>
      </c>
      <c r="G126" s="72">
        <v>0</v>
      </c>
      <c r="H126" s="72">
        <v>0</v>
      </c>
      <c r="I126" s="72">
        <v>417070.97</v>
      </c>
      <c r="J126" s="72">
        <v>0</v>
      </c>
      <c r="K126" s="72">
        <v>2793788.69</v>
      </c>
      <c r="L126" s="72">
        <v>0</v>
      </c>
      <c r="M126" s="60">
        <f t="shared" si="8"/>
        <v>0</v>
      </c>
      <c r="O126" s="107"/>
      <c r="T126" s="62"/>
      <c r="U126" s="62"/>
      <c r="V126" s="62"/>
      <c r="W126" s="62"/>
    </row>
    <row r="127" spans="1:23" x14ac:dyDescent="0.25">
      <c r="A127" s="54" t="s">
        <v>48</v>
      </c>
      <c r="B127" s="60">
        <v>7291361</v>
      </c>
      <c r="C127" s="72">
        <v>0</v>
      </c>
      <c r="D127" s="72">
        <v>0</v>
      </c>
      <c r="E127" s="72">
        <v>0</v>
      </c>
      <c r="F127" s="72">
        <v>0</v>
      </c>
      <c r="G127" s="72">
        <v>0</v>
      </c>
      <c r="H127" s="72">
        <v>0</v>
      </c>
      <c r="I127" s="72">
        <v>0</v>
      </c>
      <c r="J127" s="72">
        <v>0</v>
      </c>
      <c r="K127" s="72">
        <v>7291361</v>
      </c>
      <c r="L127" s="72">
        <v>0</v>
      </c>
      <c r="M127" s="60">
        <f t="shared" si="8"/>
        <v>0</v>
      </c>
      <c r="O127" s="107"/>
      <c r="T127" s="62"/>
      <c r="U127" s="62"/>
      <c r="V127" s="62"/>
      <c r="W127" s="62"/>
    </row>
    <row r="128" spans="1:23" x14ac:dyDescent="0.25">
      <c r="A128" s="54" t="s">
        <v>44</v>
      </c>
      <c r="B128" s="60">
        <v>1237047.04</v>
      </c>
      <c r="C128" s="72">
        <v>0</v>
      </c>
      <c r="D128" s="72">
        <v>0</v>
      </c>
      <c r="E128" s="72">
        <v>0</v>
      </c>
      <c r="F128" s="72">
        <v>0</v>
      </c>
      <c r="G128" s="72">
        <v>0</v>
      </c>
      <c r="H128" s="72">
        <v>0</v>
      </c>
      <c r="I128" s="72">
        <v>0</v>
      </c>
      <c r="J128" s="72">
        <v>0</v>
      </c>
      <c r="K128" s="72">
        <v>1128479.04</v>
      </c>
      <c r="L128" s="72">
        <v>108568</v>
      </c>
      <c r="M128" s="60">
        <f t="shared" si="8"/>
        <v>0</v>
      </c>
      <c r="O128" s="107"/>
      <c r="T128" s="62"/>
      <c r="U128" s="62"/>
      <c r="V128" s="62"/>
      <c r="W128" s="62"/>
    </row>
    <row r="129" spans="1:13" x14ac:dyDescent="0.25">
      <c r="A129" s="64" t="s">
        <v>50</v>
      </c>
      <c r="B129" s="69">
        <f t="shared" ref="B129:M129" si="9">SUM(B117:B128)</f>
        <v>43958271.739999995</v>
      </c>
      <c r="C129" s="69">
        <f t="shared" si="9"/>
        <v>0</v>
      </c>
      <c r="D129" s="69">
        <f t="shared" si="9"/>
        <v>3901087.86</v>
      </c>
      <c r="E129" s="69">
        <f t="shared" si="9"/>
        <v>0</v>
      </c>
      <c r="F129" s="106">
        <f t="shared" si="9"/>
        <v>0</v>
      </c>
      <c r="G129" s="69">
        <f t="shared" si="9"/>
        <v>0</v>
      </c>
      <c r="H129" s="69">
        <f t="shared" si="9"/>
        <v>2283148</v>
      </c>
      <c r="I129" s="69">
        <f t="shared" si="9"/>
        <v>417070.97</v>
      </c>
      <c r="J129" s="69">
        <f t="shared" si="9"/>
        <v>0</v>
      </c>
      <c r="K129" s="69">
        <f t="shared" si="9"/>
        <v>37248396.909999996</v>
      </c>
      <c r="L129" s="69">
        <f t="shared" si="9"/>
        <v>108568</v>
      </c>
      <c r="M129" s="69">
        <f t="shared" si="9"/>
        <v>0</v>
      </c>
    </row>
    <row r="130" spans="1:13" x14ac:dyDescent="0.25">
      <c r="A130" s="73" t="s">
        <v>6</v>
      </c>
      <c r="B130" s="78">
        <f>SUM(B115,B129)</f>
        <v>176427812.23999998</v>
      </c>
      <c r="C130" s="78">
        <f t="shared" ref="C130:L130" si="10">SUM(C129,C115)</f>
        <v>0</v>
      </c>
      <c r="D130" s="78">
        <f t="shared" si="10"/>
        <v>18148008.859999999</v>
      </c>
      <c r="E130" s="78">
        <f t="shared" si="10"/>
        <v>5647586</v>
      </c>
      <c r="F130" s="76">
        <f t="shared" si="10"/>
        <v>0</v>
      </c>
      <c r="G130" s="78">
        <f t="shared" si="10"/>
        <v>0</v>
      </c>
      <c r="H130" s="78">
        <f t="shared" si="10"/>
        <v>10261292.699999999</v>
      </c>
      <c r="I130" s="78">
        <f t="shared" si="10"/>
        <v>3528742.09</v>
      </c>
      <c r="J130" s="78">
        <f t="shared" si="10"/>
        <v>0</v>
      </c>
      <c r="K130" s="78">
        <f t="shared" si="10"/>
        <v>123705435.63</v>
      </c>
      <c r="L130" s="78">
        <f t="shared" si="10"/>
        <v>118568</v>
      </c>
      <c r="M130" s="78">
        <f>SUM(M115,M129)</f>
        <v>15018178.959999995</v>
      </c>
    </row>
  </sheetData>
  <mergeCells count="12">
    <mergeCell ref="A72:E72"/>
    <mergeCell ref="A89:B89"/>
    <mergeCell ref="C89:H89"/>
    <mergeCell ref="I89:L89"/>
    <mergeCell ref="A91:M91"/>
    <mergeCell ref="A116:M116"/>
    <mergeCell ref="B2:G2"/>
    <mergeCell ref="H2:I2"/>
    <mergeCell ref="A4:I4"/>
    <mergeCell ref="A28:I28"/>
    <mergeCell ref="A45:E45"/>
    <mergeCell ref="A47:E47"/>
  </mergeCells>
  <conditionalFormatting sqref="A92:A96 A98:A100 A102:A114 A117:A125 A127:A128 A130">
    <cfRule type="cellIs" dxfId="7" priority="1" operator="lessThan">
      <formula>#REF!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E459F-D4ED-42DB-B7C1-96E5B733CBA5}">
  <dimension ref="A2:R108"/>
  <sheetViews>
    <sheetView zoomScale="80" zoomScaleNormal="80" workbookViewId="0">
      <selection activeCell="G54" sqref="G54"/>
    </sheetView>
  </sheetViews>
  <sheetFormatPr defaultRowHeight="15" x14ac:dyDescent="0.25"/>
  <cols>
    <col min="1" max="1" width="16.140625" bestFit="1" customWidth="1"/>
    <col min="2" max="2" width="17.140625" bestFit="1" customWidth="1"/>
    <col min="3" max="3" width="15.140625" bestFit="1" customWidth="1"/>
    <col min="4" max="4" width="15.28515625" bestFit="1" customWidth="1"/>
    <col min="5" max="5" width="17.85546875" bestFit="1" customWidth="1"/>
    <col min="6" max="6" width="16.7109375" style="62" customWidth="1"/>
    <col min="7" max="7" width="9" bestFit="1" customWidth="1"/>
    <col min="8" max="8" width="15.7109375" bestFit="1" customWidth="1"/>
    <col min="9" max="9" width="15.5703125" bestFit="1" customWidth="1"/>
    <col min="10" max="10" width="11.7109375" bestFit="1" customWidth="1"/>
    <col min="11" max="11" width="15.5703125" bestFit="1" customWidth="1"/>
    <col min="12" max="12" width="15" bestFit="1" customWidth="1"/>
    <col min="13" max="13" width="16.28515625" bestFit="1" customWidth="1"/>
    <col min="15" max="15" width="12.28515625" bestFit="1" customWidth="1"/>
    <col min="17" max="17" width="14.85546875" bestFit="1" customWidth="1"/>
    <col min="18" max="18" width="11.28515625" bestFit="1" customWidth="1"/>
  </cols>
  <sheetData>
    <row r="2" spans="1:17" ht="18.75" x14ac:dyDescent="0.25">
      <c r="A2" s="108" t="s">
        <v>74</v>
      </c>
      <c r="B2" s="109" t="s">
        <v>52</v>
      </c>
      <c r="C2" s="110"/>
      <c r="D2" s="110"/>
      <c r="E2" s="110"/>
      <c r="F2" s="111"/>
      <c r="G2" s="112"/>
      <c r="H2" s="113" t="s">
        <v>53</v>
      </c>
      <c r="I2" s="114"/>
    </row>
    <row r="3" spans="1:17" ht="38.25" x14ac:dyDescent="0.25">
      <c r="A3" s="47" t="s">
        <v>0</v>
      </c>
      <c r="B3" s="48" t="s">
        <v>5844</v>
      </c>
      <c r="C3" s="49" t="s">
        <v>5845</v>
      </c>
      <c r="D3" s="50" t="s">
        <v>5846</v>
      </c>
      <c r="E3" s="47" t="s">
        <v>5843</v>
      </c>
      <c r="F3" s="115" t="s">
        <v>54</v>
      </c>
      <c r="G3" s="52" t="s">
        <v>55</v>
      </c>
      <c r="H3" s="53" t="s">
        <v>56</v>
      </c>
      <c r="I3" s="52" t="s">
        <v>57</v>
      </c>
    </row>
    <row r="4" spans="1:17" x14ac:dyDescent="0.25">
      <c r="A4" s="116" t="s">
        <v>7</v>
      </c>
      <c r="B4" s="117"/>
      <c r="C4" s="117"/>
      <c r="D4" s="117"/>
      <c r="E4" s="117"/>
      <c r="F4" s="118"/>
      <c r="G4" s="117"/>
      <c r="H4" s="117"/>
      <c r="I4" s="119"/>
    </row>
    <row r="5" spans="1:17" x14ac:dyDescent="0.25">
      <c r="A5" s="54" t="s">
        <v>8</v>
      </c>
      <c r="B5" s="8">
        <v>3823529.411764706</v>
      </c>
      <c r="C5" s="55">
        <v>2460211.9000000004</v>
      </c>
      <c r="D5" s="56">
        <v>19117647.05882353</v>
      </c>
      <c r="E5" s="57">
        <v>12919024.360000001</v>
      </c>
      <c r="F5" s="120">
        <v>65000000</v>
      </c>
      <c r="G5" s="59">
        <f t="shared" ref="G5:G21" si="0">IFERROR(E5/D5,0)</f>
        <v>0.67576435113846156</v>
      </c>
      <c r="H5" s="72">
        <v>6517845.8499999996</v>
      </c>
      <c r="I5" s="72">
        <f t="shared" ref="I5:I21" si="1">_xlfn.XLOOKUP(A5,$A$41:$A$59,$B$41:$B$59)</f>
        <v>5676444.3399999999</v>
      </c>
    </row>
    <row r="6" spans="1:17" x14ac:dyDescent="0.25">
      <c r="A6" s="54" t="s">
        <v>9</v>
      </c>
      <c r="B6" s="8">
        <v>2647058.8235294116</v>
      </c>
      <c r="C6" s="55">
        <v>2617764.48</v>
      </c>
      <c r="D6" s="56">
        <v>13235294.117647057</v>
      </c>
      <c r="E6" s="57">
        <v>10927221.449999999</v>
      </c>
      <c r="F6" s="120">
        <v>45000000</v>
      </c>
      <c r="G6" s="59">
        <f t="shared" si="0"/>
        <v>0.82561228733333336</v>
      </c>
      <c r="H6" s="72">
        <v>5979287.7400000002</v>
      </c>
      <c r="I6" s="72">
        <f t="shared" si="1"/>
        <v>4265516.25</v>
      </c>
    </row>
    <row r="7" spans="1:17" x14ac:dyDescent="0.25">
      <c r="A7" s="54" t="s">
        <v>11</v>
      </c>
      <c r="B7" s="8">
        <v>1176470.5882352942</v>
      </c>
      <c r="C7" s="55">
        <v>420035.73</v>
      </c>
      <c r="D7" s="56">
        <v>5882352.9411764713</v>
      </c>
      <c r="E7" s="57">
        <v>2932051.76</v>
      </c>
      <c r="F7" s="120">
        <v>20000000</v>
      </c>
      <c r="G7" s="59">
        <f t="shared" si="0"/>
        <v>0.4984487991999999</v>
      </c>
      <c r="H7" s="72">
        <v>2112020.04</v>
      </c>
      <c r="I7" s="72">
        <f t="shared" si="1"/>
        <v>506236.11</v>
      </c>
      <c r="Q7" s="61"/>
    </row>
    <row r="8" spans="1:17" x14ac:dyDescent="0.25">
      <c r="A8" s="54" t="s">
        <v>13</v>
      </c>
      <c r="B8" s="8">
        <v>0</v>
      </c>
      <c r="C8" s="55">
        <v>0</v>
      </c>
      <c r="D8" s="56">
        <v>0</v>
      </c>
      <c r="E8" s="57">
        <v>0</v>
      </c>
      <c r="F8" s="120">
        <v>0</v>
      </c>
      <c r="G8" s="59">
        <f t="shared" si="0"/>
        <v>0</v>
      </c>
      <c r="H8" s="72">
        <v>0</v>
      </c>
      <c r="I8" s="72">
        <f t="shared" si="1"/>
        <v>0</v>
      </c>
      <c r="P8" s="61"/>
      <c r="Q8" s="62"/>
    </row>
    <row r="9" spans="1:17" x14ac:dyDescent="0.25">
      <c r="A9" s="54" t="s">
        <v>10</v>
      </c>
      <c r="B9" s="8">
        <v>2941176.4705882352</v>
      </c>
      <c r="C9" s="55">
        <v>567088</v>
      </c>
      <c r="D9" s="56">
        <v>14705882.352941176</v>
      </c>
      <c r="E9" s="57">
        <v>9386458.1400000006</v>
      </c>
      <c r="F9" s="120">
        <v>50000000</v>
      </c>
      <c r="G9" s="59">
        <f t="shared" si="0"/>
        <v>0.63827915352000009</v>
      </c>
      <c r="H9" s="72">
        <v>6515834.5199999996</v>
      </c>
      <c r="I9" s="72">
        <f t="shared" si="1"/>
        <v>3546004.9799999995</v>
      </c>
      <c r="P9" s="61"/>
      <c r="Q9" s="62"/>
    </row>
    <row r="10" spans="1:17" x14ac:dyDescent="0.25">
      <c r="A10" s="54" t="s">
        <v>14</v>
      </c>
      <c r="B10" s="8">
        <v>0</v>
      </c>
      <c r="C10" s="55">
        <v>0</v>
      </c>
      <c r="D10" s="56">
        <v>0</v>
      </c>
      <c r="E10" s="57">
        <v>0</v>
      </c>
      <c r="F10" s="120"/>
      <c r="G10" s="59">
        <f t="shared" si="0"/>
        <v>0</v>
      </c>
      <c r="H10" s="72">
        <v>0</v>
      </c>
      <c r="I10" s="72">
        <f t="shared" si="1"/>
        <v>0</v>
      </c>
      <c r="P10" s="61"/>
      <c r="Q10" s="62"/>
    </row>
    <row r="11" spans="1:17" x14ac:dyDescent="0.25">
      <c r="A11" s="54" t="s">
        <v>15</v>
      </c>
      <c r="B11" s="8">
        <v>0</v>
      </c>
      <c r="C11" s="55">
        <v>0</v>
      </c>
      <c r="D11" s="56">
        <v>0</v>
      </c>
      <c r="E11" s="57">
        <v>0</v>
      </c>
      <c r="F11" s="120"/>
      <c r="G11" s="59">
        <f t="shared" si="0"/>
        <v>0</v>
      </c>
      <c r="H11" s="72">
        <v>0</v>
      </c>
      <c r="I11" s="72">
        <f t="shared" si="1"/>
        <v>0</v>
      </c>
    </row>
    <row r="12" spans="1:17" x14ac:dyDescent="0.25">
      <c r="A12" s="54" t="s">
        <v>16</v>
      </c>
      <c r="B12" s="8">
        <v>0</v>
      </c>
      <c r="C12" s="55">
        <v>0</v>
      </c>
      <c r="D12" s="56">
        <v>0</v>
      </c>
      <c r="E12" s="57">
        <v>0</v>
      </c>
      <c r="F12" s="120"/>
      <c r="G12" s="59">
        <f t="shared" si="0"/>
        <v>0</v>
      </c>
      <c r="H12" s="72">
        <v>0</v>
      </c>
      <c r="I12" s="72">
        <f t="shared" si="1"/>
        <v>0</v>
      </c>
    </row>
    <row r="13" spans="1:17" x14ac:dyDescent="0.25">
      <c r="A13" s="54" t="s">
        <v>33</v>
      </c>
      <c r="B13" s="8">
        <v>0</v>
      </c>
      <c r="C13" s="55">
        <v>0</v>
      </c>
      <c r="D13" s="56">
        <v>0</v>
      </c>
      <c r="E13" s="57">
        <v>0</v>
      </c>
      <c r="F13" s="120"/>
      <c r="G13" s="59">
        <f t="shared" si="0"/>
        <v>0</v>
      </c>
      <c r="H13" s="72">
        <v>505555</v>
      </c>
      <c r="I13" s="72">
        <f t="shared" si="1"/>
        <v>0</v>
      </c>
    </row>
    <row r="14" spans="1:17" x14ac:dyDescent="0.25">
      <c r="A14" s="54" t="s">
        <v>17</v>
      </c>
      <c r="B14" s="8">
        <v>0</v>
      </c>
      <c r="C14" s="55">
        <v>0</v>
      </c>
      <c r="D14" s="56">
        <v>0</v>
      </c>
      <c r="E14" s="57">
        <v>0</v>
      </c>
      <c r="F14" s="120"/>
      <c r="G14" s="59">
        <f t="shared" si="0"/>
        <v>0</v>
      </c>
      <c r="H14" s="72">
        <v>0</v>
      </c>
      <c r="I14" s="72">
        <f t="shared" si="1"/>
        <v>342501</v>
      </c>
    </row>
    <row r="15" spans="1:17" x14ac:dyDescent="0.25">
      <c r="A15" s="54" t="s">
        <v>18</v>
      </c>
      <c r="B15" s="8">
        <v>0</v>
      </c>
      <c r="C15" s="55">
        <v>0</v>
      </c>
      <c r="D15" s="56">
        <v>0</v>
      </c>
      <c r="E15" s="57">
        <v>0</v>
      </c>
      <c r="F15" s="120"/>
      <c r="G15" s="59">
        <f t="shared" si="0"/>
        <v>0</v>
      </c>
      <c r="H15" s="72">
        <v>0</v>
      </c>
      <c r="I15" s="72">
        <f t="shared" si="1"/>
        <v>0</v>
      </c>
    </row>
    <row r="16" spans="1:17" x14ac:dyDescent="0.25">
      <c r="A16" s="54" t="s">
        <v>19</v>
      </c>
      <c r="B16" s="8">
        <v>0</v>
      </c>
      <c r="C16" s="55">
        <v>0</v>
      </c>
      <c r="D16" s="56">
        <v>0</v>
      </c>
      <c r="E16" s="57">
        <v>0</v>
      </c>
      <c r="F16" s="120"/>
      <c r="G16" s="59">
        <f t="shared" si="0"/>
        <v>0</v>
      </c>
      <c r="H16" s="72">
        <v>0</v>
      </c>
      <c r="I16" s="72">
        <f t="shared" si="1"/>
        <v>0</v>
      </c>
    </row>
    <row r="17" spans="1:15" x14ac:dyDescent="0.25">
      <c r="A17" s="54" t="s">
        <v>20</v>
      </c>
      <c r="B17" s="8">
        <v>0</v>
      </c>
      <c r="C17" s="55">
        <v>0</v>
      </c>
      <c r="D17" s="56">
        <v>0</v>
      </c>
      <c r="E17" s="57">
        <v>0</v>
      </c>
      <c r="F17" s="120"/>
      <c r="G17" s="59">
        <f t="shared" si="0"/>
        <v>0</v>
      </c>
      <c r="H17" s="72">
        <v>0</v>
      </c>
      <c r="I17" s="72">
        <f t="shared" si="1"/>
        <v>0</v>
      </c>
    </row>
    <row r="18" spans="1:15" x14ac:dyDescent="0.25">
      <c r="A18" s="54" t="s">
        <v>21</v>
      </c>
      <c r="B18" s="8">
        <v>0</v>
      </c>
      <c r="C18" s="55">
        <v>0</v>
      </c>
      <c r="D18" s="56">
        <v>0</v>
      </c>
      <c r="E18" s="57">
        <v>0</v>
      </c>
      <c r="F18" s="120"/>
      <c r="G18" s="59">
        <f t="shared" si="0"/>
        <v>0</v>
      </c>
      <c r="H18" s="72">
        <v>0</v>
      </c>
      <c r="I18" s="72">
        <f t="shared" si="1"/>
        <v>0</v>
      </c>
    </row>
    <row r="19" spans="1:15" x14ac:dyDescent="0.25">
      <c r="A19" s="54" t="s">
        <v>31</v>
      </c>
      <c r="B19" s="8">
        <v>0</v>
      </c>
      <c r="C19" s="55">
        <v>0</v>
      </c>
      <c r="D19" s="56">
        <v>0</v>
      </c>
      <c r="E19" s="57">
        <v>0</v>
      </c>
      <c r="F19" s="120"/>
      <c r="G19" s="59">
        <f t="shared" si="0"/>
        <v>0</v>
      </c>
      <c r="H19" s="72">
        <v>0</v>
      </c>
      <c r="I19" s="72">
        <f t="shared" si="1"/>
        <v>0</v>
      </c>
      <c r="M19" s="23"/>
      <c r="N19" s="23"/>
      <c r="O19" s="23"/>
    </row>
    <row r="20" spans="1:15" x14ac:dyDescent="0.25">
      <c r="A20" s="54" t="s">
        <v>24</v>
      </c>
      <c r="B20" s="8">
        <v>0</v>
      </c>
      <c r="C20" s="55">
        <v>0</v>
      </c>
      <c r="D20" s="56">
        <v>0</v>
      </c>
      <c r="E20" s="57">
        <v>0</v>
      </c>
      <c r="F20" s="120"/>
      <c r="G20" s="59">
        <f t="shared" si="0"/>
        <v>0</v>
      </c>
      <c r="H20" s="72">
        <v>0</v>
      </c>
      <c r="I20" s="72">
        <f t="shared" si="1"/>
        <v>0</v>
      </c>
    </row>
    <row r="21" spans="1:15" x14ac:dyDescent="0.25">
      <c r="A21" s="54" t="s">
        <v>34</v>
      </c>
      <c r="B21" s="8">
        <v>0</v>
      </c>
      <c r="C21" s="55">
        <v>0</v>
      </c>
      <c r="D21" s="56">
        <v>0</v>
      </c>
      <c r="E21" s="57">
        <v>0</v>
      </c>
      <c r="F21" s="120"/>
      <c r="G21" s="59">
        <f t="shared" si="0"/>
        <v>0</v>
      </c>
      <c r="H21" s="72">
        <v>0</v>
      </c>
      <c r="I21" s="72">
        <f t="shared" si="1"/>
        <v>0</v>
      </c>
    </row>
    <row r="22" spans="1:15" x14ac:dyDescent="0.25">
      <c r="A22" s="64" t="s">
        <v>58</v>
      </c>
      <c r="B22" s="65">
        <f>SUM(B5:B21)</f>
        <v>10588235.294117648</v>
      </c>
      <c r="C22" s="65">
        <f>SUM(C5:C21)</f>
        <v>6065100.1100000013</v>
      </c>
      <c r="D22" s="65">
        <f>SUM(D5:D21)</f>
        <v>52941176.470588237</v>
      </c>
      <c r="E22" s="65">
        <f>SUM(E5:E21)</f>
        <v>36164755.710000001</v>
      </c>
      <c r="F22" s="65">
        <f>SUM(F5:F21)</f>
        <v>180000000</v>
      </c>
      <c r="G22" s="68">
        <f>IFERROR((E22)/(D22),0)</f>
        <v>0.68311205229999994</v>
      </c>
      <c r="H22" s="69">
        <f>SUM(H5:H21)</f>
        <v>21630543.149999999</v>
      </c>
      <c r="I22" s="69">
        <f>SUM(I5:I21)</f>
        <v>14336702.68</v>
      </c>
    </row>
    <row r="23" spans="1:15" x14ac:dyDescent="0.25">
      <c r="A23" s="116" t="s">
        <v>37</v>
      </c>
      <c r="B23" s="117"/>
      <c r="C23" s="117"/>
      <c r="D23" s="117"/>
      <c r="E23" s="117"/>
      <c r="F23" s="118"/>
      <c r="G23" s="117"/>
      <c r="H23" s="117"/>
      <c r="I23" s="119"/>
    </row>
    <row r="24" spans="1:15" x14ac:dyDescent="0.25">
      <c r="A24" s="70" t="s">
        <v>38</v>
      </c>
      <c r="B24" s="57">
        <v>0</v>
      </c>
      <c r="C24" s="55">
        <v>0</v>
      </c>
      <c r="D24" s="56">
        <v>0</v>
      </c>
      <c r="E24" s="57">
        <v>216912</v>
      </c>
      <c r="F24" s="121">
        <v>0</v>
      </c>
      <c r="G24" s="71">
        <f t="shared" ref="G24:G36" si="2">IFERROR(E24/D24,0)</f>
        <v>0</v>
      </c>
      <c r="H24" s="72">
        <v>288016</v>
      </c>
      <c r="I24" s="72">
        <f t="shared" ref="I24:I34" si="3">_xlfn.XLOOKUP(A24,$A$62:$A$72,$B$62:$B$72)</f>
        <v>0</v>
      </c>
    </row>
    <row r="25" spans="1:15" x14ac:dyDescent="0.25">
      <c r="A25" s="54" t="s">
        <v>49</v>
      </c>
      <c r="B25" s="57">
        <v>0</v>
      </c>
      <c r="C25" s="55">
        <v>65000</v>
      </c>
      <c r="D25" s="56">
        <v>0</v>
      </c>
      <c r="E25" s="57">
        <v>389512</v>
      </c>
      <c r="F25" s="121">
        <v>0</v>
      </c>
      <c r="G25" s="71">
        <f t="shared" si="2"/>
        <v>0</v>
      </c>
      <c r="H25" s="72">
        <v>246507.85</v>
      </c>
      <c r="I25" s="72">
        <f t="shared" si="3"/>
        <v>388807.67999999999</v>
      </c>
    </row>
    <row r="26" spans="1:15" x14ac:dyDescent="0.25">
      <c r="A26" s="54" t="s">
        <v>45</v>
      </c>
      <c r="B26" s="57">
        <v>0</v>
      </c>
      <c r="C26" s="55">
        <v>1747417</v>
      </c>
      <c r="D26" s="56">
        <v>0</v>
      </c>
      <c r="E26" s="57">
        <v>3436611</v>
      </c>
      <c r="F26" s="121">
        <v>0</v>
      </c>
      <c r="G26" s="71">
        <f t="shared" si="2"/>
        <v>0</v>
      </c>
      <c r="H26" s="72">
        <v>2091049</v>
      </c>
      <c r="I26" s="72">
        <f t="shared" si="3"/>
        <v>661137</v>
      </c>
    </row>
    <row r="27" spans="1:15" x14ac:dyDescent="0.25">
      <c r="A27" s="70" t="s">
        <v>39</v>
      </c>
      <c r="B27" s="57">
        <v>0</v>
      </c>
      <c r="C27" s="55">
        <v>0</v>
      </c>
      <c r="D27" s="56">
        <v>0</v>
      </c>
      <c r="E27" s="57">
        <v>0</v>
      </c>
      <c r="F27" s="121">
        <v>0</v>
      </c>
      <c r="G27" s="71">
        <f t="shared" si="2"/>
        <v>0</v>
      </c>
      <c r="H27" s="72">
        <v>0</v>
      </c>
      <c r="I27" s="72">
        <f t="shared" si="3"/>
        <v>0</v>
      </c>
    </row>
    <row r="28" spans="1:15" x14ac:dyDescent="0.25">
      <c r="A28" s="70" t="s">
        <v>40</v>
      </c>
      <c r="B28" s="57">
        <v>0</v>
      </c>
      <c r="C28" s="55">
        <v>0</v>
      </c>
      <c r="D28" s="56">
        <v>0</v>
      </c>
      <c r="E28" s="57">
        <v>0</v>
      </c>
      <c r="F28" s="121">
        <v>0</v>
      </c>
      <c r="G28" s="71">
        <f t="shared" si="2"/>
        <v>0</v>
      </c>
      <c r="H28" s="72">
        <v>0</v>
      </c>
      <c r="I28" s="72">
        <f t="shared" si="3"/>
        <v>0</v>
      </c>
    </row>
    <row r="29" spans="1:15" x14ac:dyDescent="0.25">
      <c r="A29" s="70" t="s">
        <v>41</v>
      </c>
      <c r="B29" s="57">
        <v>0</v>
      </c>
      <c r="C29" s="55">
        <v>0</v>
      </c>
      <c r="D29" s="56">
        <v>0</v>
      </c>
      <c r="E29" s="57">
        <v>0</v>
      </c>
      <c r="F29" s="121">
        <v>0</v>
      </c>
      <c r="G29" s="71">
        <f t="shared" si="2"/>
        <v>0</v>
      </c>
      <c r="H29" s="72">
        <v>0</v>
      </c>
      <c r="I29" s="72">
        <f t="shared" si="3"/>
        <v>0</v>
      </c>
    </row>
    <row r="30" spans="1:15" x14ac:dyDescent="0.25">
      <c r="A30" s="54" t="s">
        <v>42</v>
      </c>
      <c r="B30" s="8">
        <v>0</v>
      </c>
      <c r="C30" s="55">
        <v>428000</v>
      </c>
      <c r="D30" s="56">
        <v>0</v>
      </c>
      <c r="E30" s="57">
        <v>428000</v>
      </c>
      <c r="F30" s="121">
        <v>0</v>
      </c>
      <c r="G30" s="59">
        <f t="shared" si="2"/>
        <v>0</v>
      </c>
      <c r="H30" s="72">
        <v>0</v>
      </c>
      <c r="I30" s="72">
        <f t="shared" si="3"/>
        <v>0</v>
      </c>
    </row>
    <row r="31" spans="1:15" x14ac:dyDescent="0.25">
      <c r="A31" s="54" t="s">
        <v>43</v>
      </c>
      <c r="B31" s="8">
        <v>0</v>
      </c>
      <c r="C31" s="55">
        <v>0</v>
      </c>
      <c r="D31" s="56">
        <v>0</v>
      </c>
      <c r="E31" s="57">
        <v>0</v>
      </c>
      <c r="F31" s="121">
        <v>0</v>
      </c>
      <c r="G31" s="59">
        <f t="shared" si="2"/>
        <v>0</v>
      </c>
      <c r="H31" s="72">
        <v>35775</v>
      </c>
      <c r="I31" s="72">
        <f t="shared" si="3"/>
        <v>138572</v>
      </c>
    </row>
    <row r="32" spans="1:15" x14ac:dyDescent="0.25">
      <c r="A32" s="54" t="s">
        <v>47</v>
      </c>
      <c r="B32" s="8">
        <v>0</v>
      </c>
      <c r="C32" s="55">
        <v>0</v>
      </c>
      <c r="D32" s="56">
        <v>0</v>
      </c>
      <c r="E32" s="57">
        <v>0</v>
      </c>
      <c r="F32" s="121">
        <v>0</v>
      </c>
      <c r="G32" s="59">
        <f t="shared" si="2"/>
        <v>0</v>
      </c>
      <c r="H32" s="72">
        <v>0</v>
      </c>
      <c r="I32" s="72">
        <f t="shared" si="3"/>
        <v>0</v>
      </c>
    </row>
    <row r="33" spans="1:9" x14ac:dyDescent="0.25">
      <c r="A33" s="54" t="s">
        <v>48</v>
      </c>
      <c r="B33" s="8">
        <v>0</v>
      </c>
      <c r="C33" s="55">
        <v>522609</v>
      </c>
      <c r="D33" s="56">
        <v>0</v>
      </c>
      <c r="E33" s="57">
        <v>1228490</v>
      </c>
      <c r="F33" s="121">
        <v>0</v>
      </c>
      <c r="G33" s="59">
        <f t="shared" si="2"/>
        <v>0</v>
      </c>
      <c r="H33" s="72">
        <v>749881</v>
      </c>
      <c r="I33" s="72">
        <f t="shared" si="3"/>
        <v>0</v>
      </c>
    </row>
    <row r="34" spans="1:9" x14ac:dyDescent="0.25">
      <c r="A34" s="54" t="s">
        <v>44</v>
      </c>
      <c r="B34" s="8">
        <v>0</v>
      </c>
      <c r="C34" s="55">
        <v>0</v>
      </c>
      <c r="D34" s="56">
        <v>0</v>
      </c>
      <c r="E34" s="57">
        <v>1781697</v>
      </c>
      <c r="F34" s="121">
        <v>0</v>
      </c>
      <c r="G34" s="59">
        <f t="shared" si="2"/>
        <v>0</v>
      </c>
      <c r="H34" s="72">
        <v>40000</v>
      </c>
      <c r="I34" s="72">
        <f t="shared" si="3"/>
        <v>674242</v>
      </c>
    </row>
    <row r="35" spans="1:9" x14ac:dyDescent="0.25">
      <c r="A35" s="64" t="s">
        <v>50</v>
      </c>
      <c r="B35" s="65">
        <f>SUM(B24:B34)</f>
        <v>0</v>
      </c>
      <c r="C35" s="65">
        <f>SUM(C24:C34)</f>
        <v>2763026</v>
      </c>
      <c r="D35" s="66">
        <f>SUM(D24:D34)</f>
        <v>0</v>
      </c>
      <c r="E35" s="65">
        <f>SUM(E24:E34)</f>
        <v>7481222</v>
      </c>
      <c r="F35" s="67">
        <f>SUM(F24:F34)</f>
        <v>0</v>
      </c>
      <c r="G35" s="68">
        <f t="shared" si="2"/>
        <v>0</v>
      </c>
      <c r="H35" s="69">
        <f>SUM(H24:H34)</f>
        <v>3451228.85</v>
      </c>
      <c r="I35" s="69">
        <f>SUM(I24:I34)</f>
        <v>1862758.68</v>
      </c>
    </row>
    <row r="36" spans="1:9" x14ac:dyDescent="0.25">
      <c r="A36" s="73" t="s">
        <v>6</v>
      </c>
      <c r="B36" s="74">
        <f>SUM(B22,B35)</f>
        <v>10588235.294117648</v>
      </c>
      <c r="C36" s="74">
        <f>SUM(C22,C35)</f>
        <v>8828126.1100000013</v>
      </c>
      <c r="D36" s="75">
        <f>SUM(D22,D35)</f>
        <v>52941176.470588237</v>
      </c>
      <c r="E36" s="75">
        <f>SUM(E22,E35)</f>
        <v>43645977.710000001</v>
      </c>
      <c r="F36" s="122">
        <f>SUM(F22,F35)</f>
        <v>180000000</v>
      </c>
      <c r="G36" s="77">
        <f t="shared" si="2"/>
        <v>0.8244240234111111</v>
      </c>
      <c r="H36" s="78">
        <f>SUM(H22,H35)</f>
        <v>25081772</v>
      </c>
      <c r="I36" s="78">
        <f>SUM(I22,I35)</f>
        <v>16199461.359999999</v>
      </c>
    </row>
    <row r="37" spans="1:9" x14ac:dyDescent="0.25">
      <c r="C37" s="123"/>
    </row>
    <row r="38" spans="1:9" ht="18.75" x14ac:dyDescent="0.25">
      <c r="A38" s="113" t="s">
        <v>74</v>
      </c>
      <c r="B38" s="124"/>
      <c r="C38" s="124"/>
      <c r="D38" s="124"/>
      <c r="E38" s="114"/>
    </row>
    <row r="39" spans="1:9" ht="25.5" x14ac:dyDescent="0.25">
      <c r="A39" s="81" t="s">
        <v>0</v>
      </c>
      <c r="B39" s="82" t="s">
        <v>59</v>
      </c>
      <c r="C39" s="82" t="s">
        <v>60</v>
      </c>
      <c r="D39" s="82" t="s">
        <v>61</v>
      </c>
      <c r="E39" s="82" t="s">
        <v>62</v>
      </c>
    </row>
    <row r="40" spans="1:9" x14ac:dyDescent="0.25">
      <c r="A40" s="6" t="s">
        <v>7</v>
      </c>
      <c r="B40" s="6"/>
      <c r="C40" s="6"/>
      <c r="D40" s="6"/>
      <c r="E40" s="6"/>
    </row>
    <row r="41" spans="1:9" x14ac:dyDescent="0.25">
      <c r="A41" s="54" t="s">
        <v>14</v>
      </c>
      <c r="B41" s="83">
        <f t="shared" ref="B41:B50" si="4">SUM(C41:E41)</f>
        <v>0</v>
      </c>
      <c r="C41" s="85">
        <v>0</v>
      </c>
      <c r="D41" s="85">
        <v>0</v>
      </c>
      <c r="E41" s="85">
        <v>0</v>
      </c>
    </row>
    <row r="42" spans="1:9" x14ac:dyDescent="0.25">
      <c r="A42" s="54" t="s">
        <v>15</v>
      </c>
      <c r="B42" s="83">
        <f t="shared" si="4"/>
        <v>0</v>
      </c>
      <c r="C42" s="85">
        <v>0</v>
      </c>
      <c r="D42" s="85">
        <v>0</v>
      </c>
      <c r="E42" s="85">
        <v>0</v>
      </c>
    </row>
    <row r="43" spans="1:9" x14ac:dyDescent="0.25">
      <c r="A43" s="54" t="s">
        <v>13</v>
      </c>
      <c r="B43" s="83">
        <f t="shared" si="4"/>
        <v>0</v>
      </c>
      <c r="C43" s="85">
        <v>0</v>
      </c>
      <c r="D43" s="85">
        <v>0</v>
      </c>
      <c r="E43" s="85">
        <v>0</v>
      </c>
    </row>
    <row r="44" spans="1:9" x14ac:dyDescent="0.25">
      <c r="A44" s="54" t="s">
        <v>17</v>
      </c>
      <c r="B44" s="83">
        <f t="shared" si="4"/>
        <v>342501</v>
      </c>
      <c r="C44" s="85">
        <v>156877</v>
      </c>
      <c r="D44" s="85">
        <v>0</v>
      </c>
      <c r="E44" s="85">
        <v>185624</v>
      </c>
    </row>
    <row r="45" spans="1:9" x14ac:dyDescent="0.25">
      <c r="A45" s="54" t="s">
        <v>16</v>
      </c>
      <c r="B45" s="83">
        <f t="shared" si="4"/>
        <v>0</v>
      </c>
      <c r="C45" s="85">
        <v>0</v>
      </c>
      <c r="D45" s="85">
        <v>0</v>
      </c>
      <c r="E45" s="85">
        <v>0</v>
      </c>
    </row>
    <row r="46" spans="1:9" x14ac:dyDescent="0.25">
      <c r="A46" s="54" t="s">
        <v>24</v>
      </c>
      <c r="B46" s="83">
        <f t="shared" si="4"/>
        <v>0</v>
      </c>
      <c r="C46" s="85">
        <v>0</v>
      </c>
      <c r="D46" s="85">
        <v>0</v>
      </c>
      <c r="E46" s="85">
        <v>0</v>
      </c>
    </row>
    <row r="47" spans="1:9" x14ac:dyDescent="0.25">
      <c r="A47" s="54" t="s">
        <v>33</v>
      </c>
      <c r="B47" s="83">
        <f t="shared" si="4"/>
        <v>0</v>
      </c>
      <c r="C47" s="85">
        <v>0</v>
      </c>
      <c r="D47" s="85">
        <v>0</v>
      </c>
      <c r="E47" s="85">
        <v>0</v>
      </c>
    </row>
    <row r="48" spans="1:9" x14ac:dyDescent="0.25">
      <c r="A48" s="54" t="s">
        <v>31</v>
      </c>
      <c r="B48" s="83">
        <f t="shared" si="4"/>
        <v>0</v>
      </c>
      <c r="C48" s="85">
        <v>0</v>
      </c>
      <c r="D48" s="85">
        <v>0</v>
      </c>
      <c r="E48" s="85">
        <v>0</v>
      </c>
    </row>
    <row r="49" spans="1:5" x14ac:dyDescent="0.25">
      <c r="A49" s="54" t="s">
        <v>75</v>
      </c>
      <c r="B49" s="83">
        <f t="shared" si="4"/>
        <v>0</v>
      </c>
      <c r="C49" s="85">
        <v>0</v>
      </c>
      <c r="D49" s="85">
        <v>0</v>
      </c>
      <c r="E49" s="85">
        <v>0</v>
      </c>
    </row>
    <row r="50" spans="1:5" x14ac:dyDescent="0.25">
      <c r="A50" s="54" t="s">
        <v>18</v>
      </c>
      <c r="B50" s="83">
        <f t="shared" si="4"/>
        <v>0</v>
      </c>
      <c r="C50" s="85">
        <v>0</v>
      </c>
      <c r="D50" s="85">
        <v>0</v>
      </c>
      <c r="E50" s="85">
        <v>0</v>
      </c>
    </row>
    <row r="51" spans="1:5" x14ac:dyDescent="0.25">
      <c r="A51" s="54" t="s">
        <v>34</v>
      </c>
      <c r="B51" s="83">
        <f>SUM(C51:E51)</f>
        <v>0</v>
      </c>
      <c r="C51" s="85">
        <v>0</v>
      </c>
      <c r="D51" s="85">
        <v>0</v>
      </c>
      <c r="E51" s="85">
        <v>0</v>
      </c>
    </row>
    <row r="52" spans="1:5" x14ac:dyDescent="0.25">
      <c r="A52" s="54" t="s">
        <v>19</v>
      </c>
      <c r="B52" s="83">
        <f t="shared" ref="B52:B59" si="5">SUM(C52:E52)</f>
        <v>0</v>
      </c>
      <c r="C52" s="85">
        <v>0</v>
      </c>
      <c r="D52" s="85">
        <v>0</v>
      </c>
      <c r="E52" s="85">
        <v>0</v>
      </c>
    </row>
    <row r="53" spans="1:5" x14ac:dyDescent="0.25">
      <c r="A53" s="54" t="s">
        <v>20</v>
      </c>
      <c r="B53" s="83">
        <f t="shared" si="5"/>
        <v>0</v>
      </c>
      <c r="C53" s="85">
        <v>0</v>
      </c>
      <c r="D53" s="85">
        <v>0</v>
      </c>
      <c r="E53" s="85">
        <v>0</v>
      </c>
    </row>
    <row r="54" spans="1:5" x14ac:dyDescent="0.25">
      <c r="A54" s="54" t="s">
        <v>21</v>
      </c>
      <c r="B54" s="83">
        <f t="shared" si="5"/>
        <v>0</v>
      </c>
      <c r="C54" s="85">
        <v>0</v>
      </c>
      <c r="D54" s="85">
        <v>0</v>
      </c>
      <c r="E54" s="85">
        <v>0</v>
      </c>
    </row>
    <row r="55" spans="1:5" x14ac:dyDescent="0.25">
      <c r="A55" s="54" t="s">
        <v>25</v>
      </c>
      <c r="B55" s="83">
        <f t="shared" si="5"/>
        <v>0</v>
      </c>
      <c r="C55" s="85">
        <v>0</v>
      </c>
      <c r="D55" s="85">
        <v>0</v>
      </c>
      <c r="E55" s="85">
        <v>0</v>
      </c>
    </row>
    <row r="56" spans="1:5" x14ac:dyDescent="0.25">
      <c r="A56" s="54" t="s">
        <v>10</v>
      </c>
      <c r="B56" s="83">
        <f t="shared" si="5"/>
        <v>3546004.9799999995</v>
      </c>
      <c r="C56" s="85">
        <v>953196.64999999991</v>
      </c>
      <c r="D56" s="85">
        <v>545970.63</v>
      </c>
      <c r="E56" s="85">
        <v>2046837.6999999997</v>
      </c>
    </row>
    <row r="57" spans="1:5" x14ac:dyDescent="0.25">
      <c r="A57" s="54" t="s">
        <v>8</v>
      </c>
      <c r="B57" s="83">
        <f t="shared" si="5"/>
        <v>5676444.3399999999</v>
      </c>
      <c r="C57" s="85">
        <v>1479113.96</v>
      </c>
      <c r="D57" s="85">
        <v>2199816.1799999997</v>
      </c>
      <c r="E57" s="85">
        <v>1997514.2000000002</v>
      </c>
    </row>
    <row r="58" spans="1:5" x14ac:dyDescent="0.25">
      <c r="A58" s="54" t="s">
        <v>9</v>
      </c>
      <c r="B58" s="83">
        <f t="shared" si="5"/>
        <v>4265516.25</v>
      </c>
      <c r="C58" s="85">
        <v>2545735.6</v>
      </c>
      <c r="D58" s="85">
        <v>416549</v>
      </c>
      <c r="E58" s="85">
        <v>1303231.6499999999</v>
      </c>
    </row>
    <row r="59" spans="1:5" x14ac:dyDescent="0.25">
      <c r="A59" s="54" t="s">
        <v>11</v>
      </c>
      <c r="B59" s="83">
        <f t="shared" si="5"/>
        <v>506236.11</v>
      </c>
      <c r="C59" s="85">
        <v>356236.11</v>
      </c>
      <c r="D59" s="85">
        <v>0</v>
      </c>
      <c r="E59" s="85">
        <v>150000</v>
      </c>
    </row>
    <row r="60" spans="1:5" x14ac:dyDescent="0.25">
      <c r="A60" s="64" t="s">
        <v>58</v>
      </c>
      <c r="B60" s="86">
        <f>SUM(B41:B59)</f>
        <v>14336702.68</v>
      </c>
      <c r="C60" s="125">
        <f>SUM(C41:C59)</f>
        <v>5491159.3200000003</v>
      </c>
      <c r="D60" s="125">
        <f>SUM(D41:D59)</f>
        <v>3162335.8099999996</v>
      </c>
      <c r="E60" s="125">
        <f>SUM(E41:E59)</f>
        <v>5683207.5500000007</v>
      </c>
    </row>
    <row r="61" spans="1:5" x14ac:dyDescent="0.25">
      <c r="A61" s="6" t="s">
        <v>37</v>
      </c>
      <c r="B61" s="6"/>
      <c r="C61" s="6"/>
      <c r="D61" s="6"/>
      <c r="E61" s="6"/>
    </row>
    <row r="62" spans="1:5" x14ac:dyDescent="0.25">
      <c r="A62" s="54" t="s">
        <v>40</v>
      </c>
      <c r="B62" s="83">
        <f t="shared" ref="B62:B72" si="6">SUM(C62:E62)</f>
        <v>0</v>
      </c>
      <c r="C62" s="85">
        <v>0</v>
      </c>
      <c r="D62" s="85">
        <v>0</v>
      </c>
      <c r="E62" s="85">
        <v>0</v>
      </c>
    </row>
    <row r="63" spans="1:5" x14ac:dyDescent="0.25">
      <c r="A63" s="54" t="s">
        <v>49</v>
      </c>
      <c r="B63" s="83">
        <f t="shared" si="6"/>
        <v>388807.67999999999</v>
      </c>
      <c r="C63" s="85">
        <v>0</v>
      </c>
      <c r="D63" s="85">
        <v>169807.68</v>
      </c>
      <c r="E63" s="85">
        <v>219000</v>
      </c>
    </row>
    <row r="64" spans="1:5" x14ac:dyDescent="0.25">
      <c r="A64" s="54" t="s">
        <v>45</v>
      </c>
      <c r="B64" s="83">
        <f t="shared" si="6"/>
        <v>661137</v>
      </c>
      <c r="C64" s="85">
        <v>189128</v>
      </c>
      <c r="D64" s="85">
        <v>278758</v>
      </c>
      <c r="E64" s="85">
        <v>193251</v>
      </c>
    </row>
    <row r="65" spans="1:13" x14ac:dyDescent="0.25">
      <c r="A65" s="54" t="s">
        <v>39</v>
      </c>
      <c r="B65" s="83">
        <f t="shared" si="6"/>
        <v>0</v>
      </c>
      <c r="C65" s="85">
        <v>0</v>
      </c>
      <c r="D65" s="85">
        <v>0</v>
      </c>
      <c r="E65" s="85">
        <v>0</v>
      </c>
    </row>
    <row r="66" spans="1:13" x14ac:dyDescent="0.25">
      <c r="A66" s="54" t="s">
        <v>38</v>
      </c>
      <c r="B66" s="83">
        <f t="shared" si="6"/>
        <v>0</v>
      </c>
      <c r="C66" s="85">
        <v>0</v>
      </c>
      <c r="D66" s="85">
        <v>0</v>
      </c>
      <c r="E66" s="85">
        <v>0</v>
      </c>
    </row>
    <row r="67" spans="1:13" x14ac:dyDescent="0.25">
      <c r="A67" s="54" t="s">
        <v>43</v>
      </c>
      <c r="B67" s="83">
        <f t="shared" si="6"/>
        <v>138572</v>
      </c>
      <c r="C67" s="85">
        <v>138572</v>
      </c>
      <c r="D67" s="85">
        <v>0</v>
      </c>
      <c r="E67" s="85">
        <v>0</v>
      </c>
    </row>
    <row r="68" spans="1:13" x14ac:dyDescent="0.25">
      <c r="A68" s="54" t="s">
        <v>41</v>
      </c>
      <c r="B68" s="83">
        <f t="shared" si="6"/>
        <v>0</v>
      </c>
      <c r="C68" s="85">
        <v>0</v>
      </c>
      <c r="D68" s="85">
        <v>0</v>
      </c>
      <c r="E68" s="85">
        <v>0</v>
      </c>
    </row>
    <row r="69" spans="1:13" x14ac:dyDescent="0.25">
      <c r="A69" s="54" t="s">
        <v>42</v>
      </c>
      <c r="B69" s="83">
        <f t="shared" si="6"/>
        <v>0</v>
      </c>
      <c r="C69" s="85">
        <v>0</v>
      </c>
      <c r="D69" s="85">
        <v>0</v>
      </c>
      <c r="E69" s="85">
        <v>0</v>
      </c>
    </row>
    <row r="70" spans="1:13" x14ac:dyDescent="0.25">
      <c r="A70" s="54" t="s">
        <v>47</v>
      </c>
      <c r="B70" s="83">
        <f t="shared" si="6"/>
        <v>0</v>
      </c>
      <c r="C70" s="85">
        <v>0</v>
      </c>
      <c r="D70" s="85">
        <v>0</v>
      </c>
      <c r="E70" s="85">
        <v>0</v>
      </c>
    </row>
    <row r="71" spans="1:13" x14ac:dyDescent="0.25">
      <c r="A71" s="54" t="s">
        <v>48</v>
      </c>
      <c r="B71" s="83">
        <f t="shared" si="6"/>
        <v>0</v>
      </c>
      <c r="C71" s="85">
        <v>0</v>
      </c>
      <c r="D71" s="85">
        <v>0</v>
      </c>
      <c r="E71" s="85">
        <v>0</v>
      </c>
    </row>
    <row r="72" spans="1:13" x14ac:dyDescent="0.25">
      <c r="A72" s="54" t="s">
        <v>44</v>
      </c>
      <c r="B72" s="83">
        <f t="shared" si="6"/>
        <v>674242</v>
      </c>
      <c r="C72" s="85">
        <v>115862</v>
      </c>
      <c r="D72" s="85">
        <v>558380</v>
      </c>
      <c r="E72" s="85">
        <v>0</v>
      </c>
    </row>
    <row r="73" spans="1:13" x14ac:dyDescent="0.25">
      <c r="A73" s="64" t="s">
        <v>50</v>
      </c>
      <c r="B73" s="87">
        <f>SUM(B62:B72)</f>
        <v>1862758.68</v>
      </c>
      <c r="C73" s="125">
        <f>SUM(C62:C72)</f>
        <v>443562</v>
      </c>
      <c r="D73" s="125">
        <f>SUM(D62:D72)</f>
        <v>1006945.6799999999</v>
      </c>
      <c r="E73" s="125">
        <f>SUM(E62:E72)</f>
        <v>412251</v>
      </c>
    </row>
    <row r="74" spans="1:13" x14ac:dyDescent="0.25">
      <c r="A74" s="73" t="s">
        <v>6</v>
      </c>
      <c r="B74" s="88">
        <f>SUM(B73,B60)</f>
        <v>16199461.359999999</v>
      </c>
      <c r="C74" s="88">
        <f>SUM(C73,C60)</f>
        <v>5934721.3200000003</v>
      </c>
      <c r="D74" s="88">
        <f>SUM(D73,D60)</f>
        <v>4169281.4899999993</v>
      </c>
      <c r="E74" s="88">
        <f>SUM(E73,E60)</f>
        <v>6095458.5500000007</v>
      </c>
    </row>
    <row r="75" spans="1:13" ht="15.75" thickBot="1" x14ac:dyDescent="0.3"/>
    <row r="76" spans="1:13" ht="18.75" x14ac:dyDescent="0.25">
      <c r="A76" s="126" t="s">
        <v>76</v>
      </c>
      <c r="B76" s="127"/>
      <c r="C76" s="91" t="s">
        <v>64</v>
      </c>
      <c r="D76" s="92"/>
      <c r="E76" s="92"/>
      <c r="F76" s="92"/>
      <c r="G76" s="92"/>
      <c r="H76" s="93"/>
      <c r="I76" s="94" t="s">
        <v>65</v>
      </c>
      <c r="J76" s="95"/>
      <c r="K76" s="95"/>
      <c r="L76" s="96"/>
      <c r="M76" s="97"/>
    </row>
    <row r="77" spans="1:13" ht="51.75" thickBot="1" x14ac:dyDescent="0.3">
      <c r="A77" s="47" t="s">
        <v>0</v>
      </c>
      <c r="B77" s="98" t="s">
        <v>56</v>
      </c>
      <c r="C77" s="99" t="s">
        <v>66</v>
      </c>
      <c r="D77" s="100" t="s">
        <v>67</v>
      </c>
      <c r="E77" s="100" t="s">
        <v>68</v>
      </c>
      <c r="F77" s="128" t="s">
        <v>69</v>
      </c>
      <c r="G77" s="102" t="s">
        <v>70</v>
      </c>
      <c r="H77" s="103" t="s">
        <v>71</v>
      </c>
      <c r="I77" s="99" t="s">
        <v>72</v>
      </c>
      <c r="J77" s="100" t="s">
        <v>66</v>
      </c>
      <c r="K77" s="100" t="s">
        <v>67</v>
      </c>
      <c r="L77" s="103" t="s">
        <v>71</v>
      </c>
      <c r="M77" s="104" t="s">
        <v>73</v>
      </c>
    </row>
    <row r="78" spans="1:13" x14ac:dyDescent="0.25">
      <c r="A78" s="6" t="s">
        <v>7</v>
      </c>
      <c r="B78" s="6"/>
      <c r="C78" s="129"/>
      <c r="D78" s="129"/>
      <c r="E78" s="129"/>
      <c r="F78" s="129"/>
      <c r="G78" s="129"/>
      <c r="H78" s="129"/>
      <c r="I78" s="129"/>
      <c r="J78" s="129"/>
      <c r="K78" s="129"/>
      <c r="L78" s="129"/>
      <c r="M78" s="6"/>
    </row>
    <row r="79" spans="1:13" x14ac:dyDescent="0.25">
      <c r="A79" s="54" t="s">
        <v>8</v>
      </c>
      <c r="B79" s="72">
        <v>6517845.8499999996</v>
      </c>
      <c r="C79" s="72">
        <v>0</v>
      </c>
      <c r="D79" s="72">
        <v>0</v>
      </c>
      <c r="E79" s="72">
        <v>0</v>
      </c>
      <c r="F79" s="72">
        <v>0</v>
      </c>
      <c r="G79" s="72">
        <v>0</v>
      </c>
      <c r="H79" s="72">
        <v>0</v>
      </c>
      <c r="I79" s="72">
        <v>0</v>
      </c>
      <c r="J79" s="72">
        <v>0</v>
      </c>
      <c r="K79" s="72">
        <v>6504500.8499999996</v>
      </c>
      <c r="L79" s="72">
        <v>13345</v>
      </c>
      <c r="M79" s="60">
        <f t="shared" ref="M79:M93" si="7">B79-SUM(C79:L79)</f>
        <v>0</v>
      </c>
    </row>
    <row r="80" spans="1:13" x14ac:dyDescent="0.25">
      <c r="A80" s="54" t="s">
        <v>11</v>
      </c>
      <c r="B80" s="72">
        <v>2112020.04</v>
      </c>
      <c r="C80" s="72">
        <v>0</v>
      </c>
      <c r="D80" s="72">
        <v>0</v>
      </c>
      <c r="E80" s="72">
        <v>0</v>
      </c>
      <c r="F80" s="72">
        <v>0</v>
      </c>
      <c r="G80" s="72">
        <v>0</v>
      </c>
      <c r="H80" s="72">
        <v>0</v>
      </c>
      <c r="I80" s="72">
        <v>0</v>
      </c>
      <c r="J80" s="72">
        <v>0</v>
      </c>
      <c r="K80" s="72">
        <v>2112020.04</v>
      </c>
      <c r="L80" s="72">
        <v>0</v>
      </c>
      <c r="M80" s="60">
        <f t="shared" si="7"/>
        <v>0</v>
      </c>
    </row>
    <row r="81" spans="1:18" x14ac:dyDescent="0.25">
      <c r="A81" s="54" t="s">
        <v>9</v>
      </c>
      <c r="B81" s="72">
        <v>5979287.7400000002</v>
      </c>
      <c r="C81" s="72">
        <v>0</v>
      </c>
      <c r="D81" s="72">
        <v>0</v>
      </c>
      <c r="E81" s="72">
        <v>0</v>
      </c>
      <c r="F81" s="72">
        <v>0</v>
      </c>
      <c r="G81" s="72">
        <v>0</v>
      </c>
      <c r="H81" s="72">
        <v>0</v>
      </c>
      <c r="I81" s="72">
        <v>0</v>
      </c>
      <c r="J81" s="72">
        <v>0</v>
      </c>
      <c r="K81" s="72">
        <v>5648767.7400000002</v>
      </c>
      <c r="L81" s="72">
        <v>0</v>
      </c>
      <c r="M81" s="60">
        <f t="shared" si="7"/>
        <v>330520</v>
      </c>
    </row>
    <row r="82" spans="1:18" x14ac:dyDescent="0.25">
      <c r="A82" s="54" t="s">
        <v>13</v>
      </c>
      <c r="B82" s="72">
        <v>0</v>
      </c>
      <c r="C82" s="72">
        <v>0</v>
      </c>
      <c r="D82" s="72">
        <v>0</v>
      </c>
      <c r="E82" s="72">
        <v>0</v>
      </c>
      <c r="F82" s="72">
        <v>0</v>
      </c>
      <c r="G82" s="72">
        <v>0</v>
      </c>
      <c r="H82" s="72">
        <v>0</v>
      </c>
      <c r="I82" s="72">
        <v>0</v>
      </c>
      <c r="J82" s="72">
        <v>0</v>
      </c>
      <c r="K82" s="72">
        <v>0</v>
      </c>
      <c r="L82" s="72">
        <v>0</v>
      </c>
      <c r="M82" s="60">
        <f t="shared" si="7"/>
        <v>0</v>
      </c>
      <c r="O82" s="23"/>
      <c r="Q82" s="23"/>
    </row>
    <row r="83" spans="1:18" x14ac:dyDescent="0.25">
      <c r="A83" s="54" t="s">
        <v>10</v>
      </c>
      <c r="B83" s="72">
        <v>6515834.5199999996</v>
      </c>
      <c r="C83" s="72">
        <v>0</v>
      </c>
      <c r="D83" s="72">
        <v>0</v>
      </c>
      <c r="E83" s="72">
        <v>0</v>
      </c>
      <c r="F83" s="72">
        <v>0</v>
      </c>
      <c r="G83" s="72">
        <v>0</v>
      </c>
      <c r="H83" s="72">
        <v>0</v>
      </c>
      <c r="I83" s="72">
        <v>10843</v>
      </c>
      <c r="J83" s="72">
        <v>0</v>
      </c>
      <c r="K83" s="72">
        <v>6504991.5199999996</v>
      </c>
      <c r="L83" s="72">
        <v>0</v>
      </c>
      <c r="M83" s="60">
        <f>MAX(B83-SUM(C83:L83),0)</f>
        <v>0</v>
      </c>
    </row>
    <row r="84" spans="1:18" x14ac:dyDescent="0.25">
      <c r="A84" s="54" t="s">
        <v>14</v>
      </c>
      <c r="B84" s="72">
        <v>0</v>
      </c>
      <c r="C84" s="72">
        <v>0</v>
      </c>
      <c r="D84" s="72">
        <v>0</v>
      </c>
      <c r="E84" s="72">
        <v>0</v>
      </c>
      <c r="F84" s="72">
        <v>0</v>
      </c>
      <c r="G84" s="72">
        <v>0</v>
      </c>
      <c r="H84" s="72">
        <v>0</v>
      </c>
      <c r="I84" s="72">
        <v>0</v>
      </c>
      <c r="J84" s="72">
        <v>0</v>
      </c>
      <c r="K84" s="72">
        <v>0</v>
      </c>
      <c r="L84" s="72">
        <v>0</v>
      </c>
      <c r="M84" s="60">
        <f t="shared" si="7"/>
        <v>0</v>
      </c>
    </row>
    <row r="85" spans="1:18" x14ac:dyDescent="0.25">
      <c r="A85" s="54" t="s">
        <v>15</v>
      </c>
      <c r="B85" s="72">
        <v>0</v>
      </c>
      <c r="C85" s="72">
        <v>0</v>
      </c>
      <c r="D85" s="72">
        <v>0</v>
      </c>
      <c r="E85" s="72">
        <v>0</v>
      </c>
      <c r="F85" s="72">
        <v>0</v>
      </c>
      <c r="G85" s="72">
        <v>0</v>
      </c>
      <c r="H85" s="72">
        <v>0</v>
      </c>
      <c r="I85" s="72">
        <v>0</v>
      </c>
      <c r="J85" s="72">
        <v>0</v>
      </c>
      <c r="K85" s="72">
        <v>0</v>
      </c>
      <c r="L85" s="72">
        <v>0</v>
      </c>
      <c r="M85" s="60">
        <f t="shared" si="7"/>
        <v>0</v>
      </c>
    </row>
    <row r="86" spans="1:18" x14ac:dyDescent="0.25">
      <c r="A86" s="54" t="s">
        <v>33</v>
      </c>
      <c r="B86" s="72">
        <v>505555</v>
      </c>
      <c r="C86" s="72">
        <v>0</v>
      </c>
      <c r="D86" s="72">
        <v>0</v>
      </c>
      <c r="E86" s="72">
        <v>0</v>
      </c>
      <c r="F86" s="72">
        <v>0</v>
      </c>
      <c r="G86" s="72">
        <v>0</v>
      </c>
      <c r="H86" s="72">
        <v>0</v>
      </c>
      <c r="I86" s="72">
        <v>0</v>
      </c>
      <c r="J86" s="72">
        <v>0</v>
      </c>
      <c r="K86" s="72">
        <v>505555</v>
      </c>
      <c r="L86" s="72">
        <v>0</v>
      </c>
      <c r="M86" s="60">
        <f t="shared" si="7"/>
        <v>0</v>
      </c>
    </row>
    <row r="87" spans="1:18" x14ac:dyDescent="0.25">
      <c r="A87" s="54" t="s">
        <v>17</v>
      </c>
      <c r="B87" s="72">
        <v>0</v>
      </c>
      <c r="C87" s="72">
        <v>0</v>
      </c>
      <c r="D87" s="72">
        <v>0</v>
      </c>
      <c r="E87" s="72">
        <v>0</v>
      </c>
      <c r="F87" s="72">
        <v>0</v>
      </c>
      <c r="G87" s="72">
        <v>0</v>
      </c>
      <c r="H87" s="72">
        <v>0</v>
      </c>
      <c r="I87" s="72">
        <v>0</v>
      </c>
      <c r="J87" s="72">
        <v>0</v>
      </c>
      <c r="K87" s="72">
        <v>0</v>
      </c>
      <c r="L87" s="72">
        <v>0</v>
      </c>
      <c r="M87" s="60">
        <f t="shared" si="7"/>
        <v>0</v>
      </c>
    </row>
    <row r="88" spans="1:18" x14ac:dyDescent="0.25">
      <c r="A88" s="54" t="s">
        <v>18</v>
      </c>
      <c r="B88" s="72">
        <v>0</v>
      </c>
      <c r="C88" s="72">
        <v>0</v>
      </c>
      <c r="D88" s="72">
        <v>0</v>
      </c>
      <c r="E88" s="72">
        <v>0</v>
      </c>
      <c r="F88" s="72">
        <v>0</v>
      </c>
      <c r="G88" s="72">
        <v>0</v>
      </c>
      <c r="H88" s="72">
        <v>0</v>
      </c>
      <c r="I88" s="72">
        <v>0</v>
      </c>
      <c r="J88" s="72">
        <v>0</v>
      </c>
      <c r="K88" s="72">
        <v>0</v>
      </c>
      <c r="L88" s="72">
        <v>0</v>
      </c>
      <c r="M88" s="60">
        <f t="shared" si="7"/>
        <v>0</v>
      </c>
    </row>
    <row r="89" spans="1:18" x14ac:dyDescent="0.25">
      <c r="A89" s="54" t="s">
        <v>16</v>
      </c>
      <c r="B89" s="72">
        <v>0</v>
      </c>
      <c r="C89" s="72">
        <v>0</v>
      </c>
      <c r="D89" s="72">
        <v>0</v>
      </c>
      <c r="E89" s="72">
        <v>0</v>
      </c>
      <c r="F89" s="72">
        <v>0</v>
      </c>
      <c r="G89" s="72">
        <v>0</v>
      </c>
      <c r="H89" s="72">
        <v>0</v>
      </c>
      <c r="I89" s="72">
        <v>0</v>
      </c>
      <c r="J89" s="72">
        <v>0</v>
      </c>
      <c r="K89" s="72">
        <v>0</v>
      </c>
      <c r="L89" s="72">
        <v>0</v>
      </c>
      <c r="M89" s="60">
        <f t="shared" si="7"/>
        <v>0</v>
      </c>
    </row>
    <row r="90" spans="1:18" x14ac:dyDescent="0.25">
      <c r="A90" s="54" t="s">
        <v>26</v>
      </c>
      <c r="B90" s="72">
        <v>0</v>
      </c>
      <c r="C90" s="72">
        <v>0</v>
      </c>
      <c r="D90" s="72">
        <v>0</v>
      </c>
      <c r="E90" s="72">
        <v>0</v>
      </c>
      <c r="F90" s="72">
        <v>0</v>
      </c>
      <c r="G90" s="72">
        <v>0</v>
      </c>
      <c r="H90" s="72">
        <v>0</v>
      </c>
      <c r="I90" s="72">
        <v>0</v>
      </c>
      <c r="J90" s="72">
        <v>0</v>
      </c>
      <c r="K90" s="72">
        <v>0</v>
      </c>
      <c r="L90" s="72">
        <v>0</v>
      </c>
      <c r="M90" s="60">
        <f t="shared" si="7"/>
        <v>0</v>
      </c>
    </row>
    <row r="91" spans="1:18" x14ac:dyDescent="0.25">
      <c r="A91" s="54" t="s">
        <v>31</v>
      </c>
      <c r="B91" s="72">
        <v>0</v>
      </c>
      <c r="C91" s="72">
        <v>0</v>
      </c>
      <c r="D91" s="72">
        <v>0</v>
      </c>
      <c r="E91" s="72">
        <v>0</v>
      </c>
      <c r="F91" s="72">
        <v>0</v>
      </c>
      <c r="G91" s="72">
        <v>0</v>
      </c>
      <c r="H91" s="72">
        <v>0</v>
      </c>
      <c r="I91" s="72">
        <v>0</v>
      </c>
      <c r="J91" s="72">
        <v>0</v>
      </c>
      <c r="K91" s="72">
        <v>0</v>
      </c>
      <c r="L91" s="72">
        <v>0</v>
      </c>
      <c r="M91" s="60">
        <f t="shared" si="7"/>
        <v>0</v>
      </c>
    </row>
    <row r="92" spans="1:18" x14ac:dyDescent="0.25">
      <c r="A92" s="54" t="s">
        <v>24</v>
      </c>
      <c r="B92" s="72">
        <v>0</v>
      </c>
      <c r="C92" s="72">
        <v>0</v>
      </c>
      <c r="D92" s="72">
        <v>0</v>
      </c>
      <c r="E92" s="72">
        <v>0</v>
      </c>
      <c r="F92" s="72">
        <v>0</v>
      </c>
      <c r="G92" s="72">
        <v>0</v>
      </c>
      <c r="H92" s="72">
        <v>0</v>
      </c>
      <c r="I92" s="72">
        <v>0</v>
      </c>
      <c r="J92" s="72">
        <v>0</v>
      </c>
      <c r="K92" s="72">
        <v>0</v>
      </c>
      <c r="L92" s="72">
        <v>0</v>
      </c>
      <c r="M92" s="60">
        <f t="shared" si="7"/>
        <v>0</v>
      </c>
    </row>
    <row r="93" spans="1:18" x14ac:dyDescent="0.25">
      <c r="A93" s="54" t="s">
        <v>34</v>
      </c>
      <c r="B93" s="72">
        <v>0</v>
      </c>
      <c r="C93" s="72">
        <v>0</v>
      </c>
      <c r="D93" s="72">
        <v>0</v>
      </c>
      <c r="E93" s="72">
        <v>0</v>
      </c>
      <c r="F93" s="72">
        <v>0</v>
      </c>
      <c r="G93" s="72">
        <v>0</v>
      </c>
      <c r="H93" s="72">
        <v>0</v>
      </c>
      <c r="I93" s="72">
        <v>0</v>
      </c>
      <c r="J93" s="72">
        <v>0</v>
      </c>
      <c r="K93" s="72">
        <v>0</v>
      </c>
      <c r="L93" s="72">
        <v>0</v>
      </c>
      <c r="M93" s="60">
        <f t="shared" si="7"/>
        <v>0</v>
      </c>
    </row>
    <row r="94" spans="1:18" x14ac:dyDescent="0.25">
      <c r="A94" s="64" t="s">
        <v>58</v>
      </c>
      <c r="B94" s="69">
        <f t="shared" ref="B94:M94" si="8">SUM(B79:B93)</f>
        <v>21630543.149999999</v>
      </c>
      <c r="C94" s="69">
        <f t="shared" si="8"/>
        <v>0</v>
      </c>
      <c r="D94" s="69">
        <f t="shared" si="8"/>
        <v>0</v>
      </c>
      <c r="E94" s="69">
        <f t="shared" si="8"/>
        <v>0</v>
      </c>
      <c r="F94" s="130">
        <f t="shared" si="8"/>
        <v>0</v>
      </c>
      <c r="G94" s="69">
        <f t="shared" si="8"/>
        <v>0</v>
      </c>
      <c r="H94" s="69">
        <f t="shared" si="8"/>
        <v>0</v>
      </c>
      <c r="I94" s="69">
        <f t="shared" si="8"/>
        <v>10843</v>
      </c>
      <c r="J94" s="69">
        <f t="shared" si="8"/>
        <v>0</v>
      </c>
      <c r="K94" s="69">
        <f t="shared" si="8"/>
        <v>21275835.149999999</v>
      </c>
      <c r="L94" s="69">
        <f t="shared" si="8"/>
        <v>13345</v>
      </c>
      <c r="M94" s="69">
        <f t="shared" si="8"/>
        <v>330520</v>
      </c>
      <c r="R94" s="23"/>
    </row>
    <row r="95" spans="1:18" x14ac:dyDescent="0.25">
      <c r="A95" s="20" t="s">
        <v>37</v>
      </c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R95" s="23"/>
    </row>
    <row r="96" spans="1:18" x14ac:dyDescent="0.25">
      <c r="A96" s="70" t="s">
        <v>38</v>
      </c>
      <c r="B96" s="72">
        <v>288016</v>
      </c>
      <c r="C96" s="72">
        <v>0</v>
      </c>
      <c r="D96" s="72">
        <v>0</v>
      </c>
      <c r="E96" s="72">
        <v>0</v>
      </c>
      <c r="F96" s="72">
        <v>0</v>
      </c>
      <c r="G96" s="72">
        <v>0</v>
      </c>
      <c r="H96" s="72">
        <v>0</v>
      </c>
      <c r="I96" s="72">
        <v>0</v>
      </c>
      <c r="J96" s="72">
        <v>0</v>
      </c>
      <c r="K96" s="72">
        <v>166912</v>
      </c>
      <c r="L96" s="72">
        <v>0</v>
      </c>
      <c r="M96" s="60">
        <f t="shared" ref="M96:M106" si="9">B96-SUM(C96:L96)</f>
        <v>121104</v>
      </c>
    </row>
    <row r="97" spans="1:13" x14ac:dyDescent="0.25">
      <c r="A97" s="54" t="s">
        <v>45</v>
      </c>
      <c r="B97" s="72">
        <v>2091049</v>
      </c>
      <c r="C97" s="72">
        <v>0</v>
      </c>
      <c r="D97" s="72">
        <v>0</v>
      </c>
      <c r="E97" s="72">
        <v>0</v>
      </c>
      <c r="F97" s="72">
        <v>0</v>
      </c>
      <c r="G97" s="72">
        <v>0</v>
      </c>
      <c r="H97" s="72">
        <v>0</v>
      </c>
      <c r="I97" s="72">
        <v>163758</v>
      </c>
      <c r="J97" s="72">
        <v>0</v>
      </c>
      <c r="K97" s="72">
        <v>1927291</v>
      </c>
      <c r="L97" s="72">
        <v>0</v>
      </c>
      <c r="M97" s="60">
        <f>B97-SUM(C97:L97)</f>
        <v>0</v>
      </c>
    </row>
    <row r="98" spans="1:13" x14ac:dyDescent="0.25">
      <c r="A98" s="70" t="s">
        <v>39</v>
      </c>
      <c r="B98" s="72">
        <v>0</v>
      </c>
      <c r="C98" s="72">
        <v>0</v>
      </c>
      <c r="D98" s="72">
        <v>0</v>
      </c>
      <c r="E98" s="72">
        <v>0</v>
      </c>
      <c r="F98" s="72">
        <v>0</v>
      </c>
      <c r="G98" s="72">
        <v>0</v>
      </c>
      <c r="H98" s="72">
        <v>0</v>
      </c>
      <c r="I98" s="72">
        <v>0</v>
      </c>
      <c r="J98" s="72">
        <v>0</v>
      </c>
      <c r="K98" s="72">
        <v>0</v>
      </c>
      <c r="L98" s="72">
        <v>0</v>
      </c>
      <c r="M98" s="60">
        <f t="shared" si="9"/>
        <v>0</v>
      </c>
    </row>
    <row r="99" spans="1:13" x14ac:dyDescent="0.25">
      <c r="A99" s="70" t="s">
        <v>40</v>
      </c>
      <c r="B99" s="72">
        <v>0</v>
      </c>
      <c r="C99" s="72">
        <v>0</v>
      </c>
      <c r="D99" s="72">
        <v>0</v>
      </c>
      <c r="E99" s="72">
        <v>0</v>
      </c>
      <c r="F99" s="72">
        <v>0</v>
      </c>
      <c r="G99" s="72">
        <v>0</v>
      </c>
      <c r="H99" s="72">
        <v>0</v>
      </c>
      <c r="I99" s="72">
        <v>0</v>
      </c>
      <c r="J99" s="72">
        <v>0</v>
      </c>
      <c r="K99" s="72">
        <v>0</v>
      </c>
      <c r="L99" s="72">
        <v>0</v>
      </c>
      <c r="M99" s="60">
        <f t="shared" si="9"/>
        <v>0</v>
      </c>
    </row>
    <row r="100" spans="1:13" x14ac:dyDescent="0.25">
      <c r="A100" s="54" t="s">
        <v>42</v>
      </c>
      <c r="B100" s="72">
        <v>0</v>
      </c>
      <c r="C100" s="72">
        <v>0</v>
      </c>
      <c r="D100" s="72">
        <v>0</v>
      </c>
      <c r="E100" s="72">
        <v>0</v>
      </c>
      <c r="F100" s="72">
        <v>0</v>
      </c>
      <c r="G100" s="72">
        <v>0</v>
      </c>
      <c r="H100" s="72">
        <v>0</v>
      </c>
      <c r="I100" s="72">
        <v>0</v>
      </c>
      <c r="J100" s="72">
        <v>0</v>
      </c>
      <c r="K100" s="72">
        <v>0</v>
      </c>
      <c r="L100" s="72">
        <v>0</v>
      </c>
      <c r="M100" s="60">
        <f t="shared" si="9"/>
        <v>0</v>
      </c>
    </row>
    <row r="101" spans="1:13" x14ac:dyDescent="0.25">
      <c r="A101" s="54" t="s">
        <v>43</v>
      </c>
      <c r="B101" s="72">
        <v>35775</v>
      </c>
      <c r="C101" s="72">
        <v>0</v>
      </c>
      <c r="D101" s="72">
        <v>0</v>
      </c>
      <c r="E101" s="72">
        <v>0</v>
      </c>
      <c r="F101" s="72">
        <v>0</v>
      </c>
      <c r="G101" s="72">
        <v>0</v>
      </c>
      <c r="H101" s="72">
        <v>0</v>
      </c>
      <c r="I101" s="72">
        <v>0</v>
      </c>
      <c r="J101" s="72">
        <v>0</v>
      </c>
      <c r="K101" s="72">
        <v>35775</v>
      </c>
      <c r="L101" s="72">
        <v>0</v>
      </c>
      <c r="M101" s="60">
        <f t="shared" si="9"/>
        <v>0</v>
      </c>
    </row>
    <row r="102" spans="1:13" x14ac:dyDescent="0.25">
      <c r="A102" s="54" t="s">
        <v>41</v>
      </c>
      <c r="B102" s="72">
        <v>0</v>
      </c>
      <c r="C102" s="72">
        <v>0</v>
      </c>
      <c r="D102" s="72">
        <v>0</v>
      </c>
      <c r="E102" s="72">
        <v>0</v>
      </c>
      <c r="F102" s="72">
        <v>0</v>
      </c>
      <c r="G102" s="72">
        <v>0</v>
      </c>
      <c r="H102" s="72">
        <v>0</v>
      </c>
      <c r="I102" s="72">
        <v>0</v>
      </c>
      <c r="J102" s="72">
        <v>0</v>
      </c>
      <c r="K102" s="72">
        <v>0</v>
      </c>
      <c r="L102" s="72">
        <v>0</v>
      </c>
      <c r="M102" s="60">
        <f t="shared" si="9"/>
        <v>0</v>
      </c>
    </row>
    <row r="103" spans="1:13" x14ac:dyDescent="0.25">
      <c r="A103" s="54" t="s">
        <v>49</v>
      </c>
      <c r="B103" s="72">
        <v>246507.85</v>
      </c>
      <c r="C103" s="72">
        <v>0</v>
      </c>
      <c r="D103" s="72">
        <v>0</v>
      </c>
      <c r="E103" s="72">
        <v>0</v>
      </c>
      <c r="F103" s="72">
        <v>0</v>
      </c>
      <c r="G103" s="72">
        <v>0</v>
      </c>
      <c r="H103" s="72">
        <v>0</v>
      </c>
      <c r="I103" s="72">
        <v>167907.85</v>
      </c>
      <c r="J103" s="72">
        <v>0</v>
      </c>
      <c r="K103" s="72">
        <v>78600</v>
      </c>
      <c r="L103" s="72">
        <v>0</v>
      </c>
      <c r="M103" s="60">
        <f>B103-SUM(C103:L103)</f>
        <v>0</v>
      </c>
    </row>
    <row r="104" spans="1:13" x14ac:dyDescent="0.25">
      <c r="A104" s="54" t="s">
        <v>47</v>
      </c>
      <c r="B104" s="72">
        <v>0</v>
      </c>
      <c r="C104" s="72">
        <v>0</v>
      </c>
      <c r="D104" s="72">
        <v>0</v>
      </c>
      <c r="E104" s="72">
        <v>0</v>
      </c>
      <c r="F104" s="72">
        <v>0</v>
      </c>
      <c r="G104" s="72">
        <v>0</v>
      </c>
      <c r="H104" s="72">
        <v>0</v>
      </c>
      <c r="I104" s="72">
        <v>0</v>
      </c>
      <c r="J104" s="72">
        <v>0</v>
      </c>
      <c r="K104" s="72">
        <v>0</v>
      </c>
      <c r="L104" s="72">
        <v>0</v>
      </c>
      <c r="M104" s="60">
        <f t="shared" si="9"/>
        <v>0</v>
      </c>
    </row>
    <row r="105" spans="1:13" x14ac:dyDescent="0.25">
      <c r="A105" s="54" t="s">
        <v>48</v>
      </c>
      <c r="B105" s="72">
        <v>749881</v>
      </c>
      <c r="C105" s="72">
        <v>0</v>
      </c>
      <c r="D105" s="72">
        <v>0</v>
      </c>
      <c r="E105" s="72">
        <v>0</v>
      </c>
      <c r="F105" s="72">
        <v>0</v>
      </c>
      <c r="G105" s="72">
        <v>0</v>
      </c>
      <c r="H105" s="72">
        <v>0</v>
      </c>
      <c r="I105" s="72">
        <v>705881</v>
      </c>
      <c r="J105" s="72">
        <v>0</v>
      </c>
      <c r="K105" s="72">
        <v>44000</v>
      </c>
      <c r="L105" s="72">
        <v>0</v>
      </c>
      <c r="M105" s="60">
        <f t="shared" si="9"/>
        <v>0</v>
      </c>
    </row>
    <row r="106" spans="1:13" x14ac:dyDescent="0.25">
      <c r="A106" s="54" t="s">
        <v>44</v>
      </c>
      <c r="B106" s="72">
        <v>40000</v>
      </c>
      <c r="C106" s="72">
        <v>0</v>
      </c>
      <c r="D106" s="72">
        <v>0</v>
      </c>
      <c r="E106" s="72">
        <v>0</v>
      </c>
      <c r="F106" s="72">
        <v>0</v>
      </c>
      <c r="G106" s="72">
        <v>0</v>
      </c>
      <c r="H106" s="72">
        <v>0</v>
      </c>
      <c r="I106" s="72">
        <v>0</v>
      </c>
      <c r="J106" s="72">
        <v>0</v>
      </c>
      <c r="K106" s="72">
        <v>40000</v>
      </c>
      <c r="L106" s="72">
        <v>0</v>
      </c>
      <c r="M106" s="60">
        <f t="shared" si="9"/>
        <v>0</v>
      </c>
    </row>
    <row r="107" spans="1:13" x14ac:dyDescent="0.25">
      <c r="A107" s="64" t="s">
        <v>50</v>
      </c>
      <c r="B107" s="69">
        <f t="shared" ref="B107:M107" si="10">SUM(B96:B106)</f>
        <v>3451228.85</v>
      </c>
      <c r="C107" s="69">
        <f t="shared" si="10"/>
        <v>0</v>
      </c>
      <c r="D107" s="69">
        <f t="shared" si="10"/>
        <v>0</v>
      </c>
      <c r="E107" s="69">
        <f t="shared" si="10"/>
        <v>0</v>
      </c>
      <c r="F107" s="130">
        <f t="shared" si="10"/>
        <v>0</v>
      </c>
      <c r="G107" s="69">
        <f t="shared" si="10"/>
        <v>0</v>
      </c>
      <c r="H107" s="69">
        <f t="shared" si="10"/>
        <v>0</v>
      </c>
      <c r="I107" s="69">
        <f t="shared" si="10"/>
        <v>1037546.85</v>
      </c>
      <c r="J107" s="69">
        <f t="shared" si="10"/>
        <v>0</v>
      </c>
      <c r="K107" s="69">
        <f t="shared" si="10"/>
        <v>2292578</v>
      </c>
      <c r="L107" s="69">
        <f t="shared" si="10"/>
        <v>0</v>
      </c>
      <c r="M107" s="69">
        <f t="shared" si="10"/>
        <v>121104</v>
      </c>
    </row>
    <row r="108" spans="1:13" x14ac:dyDescent="0.25">
      <c r="A108" s="73" t="s">
        <v>6</v>
      </c>
      <c r="B108" s="78">
        <f>SUM(B94,B107)</f>
        <v>25081772</v>
      </c>
      <c r="C108" s="78">
        <f t="shared" ref="C108:L108" si="11">SUM(C107,C94)</f>
        <v>0</v>
      </c>
      <c r="D108" s="78">
        <f t="shared" si="11"/>
        <v>0</v>
      </c>
      <c r="E108" s="78">
        <f t="shared" si="11"/>
        <v>0</v>
      </c>
      <c r="F108" s="131">
        <f t="shared" si="11"/>
        <v>0</v>
      </c>
      <c r="G108" s="78">
        <f t="shared" si="11"/>
        <v>0</v>
      </c>
      <c r="H108" s="78">
        <f t="shared" si="11"/>
        <v>0</v>
      </c>
      <c r="I108" s="78">
        <f t="shared" si="11"/>
        <v>1048389.85</v>
      </c>
      <c r="J108" s="78">
        <f t="shared" si="11"/>
        <v>0</v>
      </c>
      <c r="K108" s="78">
        <f t="shared" si="11"/>
        <v>23568413.149999999</v>
      </c>
      <c r="L108" s="78">
        <f t="shared" si="11"/>
        <v>13345</v>
      </c>
      <c r="M108" s="78">
        <f>SUM(M94,M107)</f>
        <v>451624</v>
      </c>
    </row>
  </sheetData>
  <mergeCells count="9">
    <mergeCell ref="A78:M78"/>
    <mergeCell ref="A95:M95"/>
    <mergeCell ref="H2:I2"/>
    <mergeCell ref="A38:E38"/>
    <mergeCell ref="A40:E40"/>
    <mergeCell ref="A61:E61"/>
    <mergeCell ref="A76:B76"/>
    <mergeCell ref="C76:H76"/>
    <mergeCell ref="I76:L76"/>
  </mergeCells>
  <conditionalFormatting sqref="A79:A92 A96:A103 A105:A106 A108">
    <cfRule type="cellIs" dxfId="6" priority="1" operator="lessThan">
      <formula>#REF!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21D06-B208-4C97-916D-0F7D1A8FAF0A}">
  <dimension ref="A2:R113"/>
  <sheetViews>
    <sheetView zoomScale="80" zoomScaleNormal="80" workbookViewId="0">
      <selection activeCell="G54" sqref="G54"/>
    </sheetView>
  </sheetViews>
  <sheetFormatPr defaultRowHeight="15" x14ac:dyDescent="0.25"/>
  <cols>
    <col min="1" max="1" width="15.28515625" bestFit="1" customWidth="1"/>
    <col min="2" max="2" width="16.7109375" bestFit="1" customWidth="1"/>
    <col min="3" max="3" width="15.140625" bestFit="1" customWidth="1"/>
    <col min="4" max="4" width="16.7109375" customWidth="1"/>
    <col min="5" max="5" width="15.28515625" customWidth="1"/>
    <col min="6" max="6" width="15.5703125" style="62" bestFit="1" customWidth="1"/>
    <col min="7" max="7" width="8.7109375" bestFit="1" customWidth="1"/>
    <col min="8" max="8" width="15" bestFit="1" customWidth="1"/>
    <col min="9" max="9" width="14" bestFit="1" customWidth="1"/>
    <col min="10" max="10" width="11.7109375" bestFit="1" customWidth="1"/>
    <col min="11" max="11" width="12.85546875" bestFit="1" customWidth="1"/>
    <col min="12" max="12" width="15" bestFit="1" customWidth="1"/>
    <col min="13" max="13" width="13.5703125" bestFit="1" customWidth="1"/>
    <col min="17" max="17" width="12.28515625" bestFit="1" customWidth="1"/>
    <col min="18" max="18" width="9.5703125" bestFit="1" customWidth="1"/>
  </cols>
  <sheetData>
    <row r="2" spans="1:9" ht="18.75" x14ac:dyDescent="0.25">
      <c r="A2" s="132" t="s">
        <v>77</v>
      </c>
      <c r="B2" s="133" t="s">
        <v>52</v>
      </c>
      <c r="C2" s="134"/>
      <c r="D2" s="134"/>
      <c r="E2" s="134"/>
      <c r="F2" s="135"/>
      <c r="G2" s="136"/>
      <c r="H2" s="137" t="s">
        <v>53</v>
      </c>
      <c r="I2" s="138"/>
    </row>
    <row r="3" spans="1:9" ht="38.25" x14ac:dyDescent="0.25">
      <c r="A3" s="47" t="s">
        <v>0</v>
      </c>
      <c r="B3" s="48" t="s">
        <v>5844</v>
      </c>
      <c r="C3" s="49" t="s">
        <v>5845</v>
      </c>
      <c r="D3" s="50" t="s">
        <v>5846</v>
      </c>
      <c r="E3" s="47" t="s">
        <v>5843</v>
      </c>
      <c r="F3" s="115" t="s">
        <v>54</v>
      </c>
      <c r="G3" s="52" t="s">
        <v>55</v>
      </c>
      <c r="H3" s="53" t="s">
        <v>56</v>
      </c>
      <c r="I3" s="52" t="s">
        <v>57</v>
      </c>
    </row>
    <row r="4" spans="1:9" x14ac:dyDescent="0.25">
      <c r="A4" s="116" t="s">
        <v>7</v>
      </c>
      <c r="B4" s="117"/>
      <c r="C4" s="117"/>
      <c r="D4" s="117"/>
      <c r="E4" s="117"/>
      <c r="F4" s="118"/>
      <c r="G4" s="117"/>
      <c r="H4" s="117"/>
      <c r="I4" s="119"/>
    </row>
    <row r="5" spans="1:9" x14ac:dyDescent="0.25">
      <c r="A5" s="54" t="s">
        <v>8</v>
      </c>
      <c r="B5" s="8">
        <v>0</v>
      </c>
      <c r="C5" s="55">
        <v>0</v>
      </c>
      <c r="D5" s="139">
        <v>0</v>
      </c>
      <c r="E5" s="57">
        <v>0</v>
      </c>
      <c r="F5" s="139">
        <v>0</v>
      </c>
      <c r="G5" s="59">
        <f t="shared" ref="G5:G22" si="0">IFERROR(E5/D5,0)</f>
        <v>0</v>
      </c>
      <c r="H5" s="72">
        <v>0</v>
      </c>
      <c r="I5" s="72">
        <f t="shared" ref="I5:I22" si="1">_xlfn.XLOOKUP(A5,$A$42:$A$59,$B$42:$B$59)</f>
        <v>0</v>
      </c>
    </row>
    <row r="6" spans="1:9" x14ac:dyDescent="0.25">
      <c r="A6" s="54" t="s">
        <v>9</v>
      </c>
      <c r="B6" s="8">
        <v>0</v>
      </c>
      <c r="C6" s="55">
        <v>0</v>
      </c>
      <c r="D6" s="139">
        <v>0</v>
      </c>
      <c r="E6" s="57">
        <v>0</v>
      </c>
      <c r="F6" s="139">
        <v>0</v>
      </c>
      <c r="G6" s="59">
        <f t="shared" si="0"/>
        <v>0</v>
      </c>
      <c r="H6" s="72">
        <v>0</v>
      </c>
      <c r="I6" s="72">
        <f t="shared" si="1"/>
        <v>0</v>
      </c>
    </row>
    <row r="7" spans="1:9" x14ac:dyDescent="0.25">
      <c r="A7" s="54" t="s">
        <v>11</v>
      </c>
      <c r="B7" s="8">
        <v>0</v>
      </c>
      <c r="C7" s="55">
        <v>0</v>
      </c>
      <c r="D7" s="139">
        <v>0</v>
      </c>
      <c r="E7" s="57">
        <v>0</v>
      </c>
      <c r="F7" s="139">
        <v>0</v>
      </c>
      <c r="G7" s="59">
        <f t="shared" si="0"/>
        <v>0</v>
      </c>
      <c r="H7" s="72">
        <v>0</v>
      </c>
      <c r="I7" s="72">
        <f t="shared" si="1"/>
        <v>0</v>
      </c>
    </row>
    <row r="8" spans="1:9" x14ac:dyDescent="0.25">
      <c r="A8" s="54" t="s">
        <v>13</v>
      </c>
      <c r="B8" s="8">
        <v>0</v>
      </c>
      <c r="C8" s="55">
        <v>0</v>
      </c>
      <c r="D8" s="139">
        <v>0</v>
      </c>
      <c r="E8" s="57">
        <v>0</v>
      </c>
      <c r="F8" s="139">
        <v>0</v>
      </c>
      <c r="G8" s="59">
        <f t="shared" si="0"/>
        <v>0</v>
      </c>
      <c r="H8" s="72">
        <v>0</v>
      </c>
      <c r="I8" s="72">
        <f t="shared" si="1"/>
        <v>0</v>
      </c>
    </row>
    <row r="9" spans="1:9" x14ac:dyDescent="0.25">
      <c r="A9" s="54" t="s">
        <v>10</v>
      </c>
      <c r="B9" s="8">
        <v>882352.9411764706</v>
      </c>
      <c r="C9" s="55">
        <v>1433318.75</v>
      </c>
      <c r="D9" s="139">
        <v>4411764.7058823528</v>
      </c>
      <c r="E9" s="57">
        <v>6904702.4100000001</v>
      </c>
      <c r="F9" s="139">
        <v>15000000</v>
      </c>
      <c r="G9" s="59">
        <f t="shared" si="0"/>
        <v>1.5650658796000001</v>
      </c>
      <c r="H9" s="72">
        <v>4017950.34</v>
      </c>
      <c r="I9" s="72">
        <f t="shared" si="1"/>
        <v>4568723.6499999994</v>
      </c>
    </row>
    <row r="10" spans="1:9" x14ac:dyDescent="0.25">
      <c r="A10" s="54" t="s">
        <v>14</v>
      </c>
      <c r="B10" s="8">
        <v>0</v>
      </c>
      <c r="C10" s="55">
        <v>0</v>
      </c>
      <c r="D10" s="139">
        <v>0</v>
      </c>
      <c r="E10" s="57">
        <v>0</v>
      </c>
      <c r="F10" s="139">
        <v>0</v>
      </c>
      <c r="G10" s="59">
        <f t="shared" si="0"/>
        <v>0</v>
      </c>
      <c r="H10" s="72">
        <v>0</v>
      </c>
      <c r="I10" s="72">
        <f t="shared" si="1"/>
        <v>0</v>
      </c>
    </row>
    <row r="11" spans="1:9" x14ac:dyDescent="0.25">
      <c r="A11" s="54" t="s">
        <v>15</v>
      </c>
      <c r="B11" s="8">
        <v>0</v>
      </c>
      <c r="C11" s="55">
        <v>0</v>
      </c>
      <c r="D11" s="139">
        <v>0</v>
      </c>
      <c r="E11" s="57">
        <v>0</v>
      </c>
      <c r="F11" s="139">
        <v>0</v>
      </c>
      <c r="G11" s="59">
        <f t="shared" si="0"/>
        <v>0</v>
      </c>
      <c r="H11" s="72">
        <v>0</v>
      </c>
      <c r="I11" s="72">
        <f t="shared" si="1"/>
        <v>0</v>
      </c>
    </row>
    <row r="12" spans="1:9" x14ac:dyDescent="0.25">
      <c r="A12" s="54" t="s">
        <v>16</v>
      </c>
      <c r="B12" s="8">
        <v>0</v>
      </c>
      <c r="C12" s="55">
        <v>0</v>
      </c>
      <c r="D12" s="139">
        <v>0</v>
      </c>
      <c r="E12" s="57">
        <v>0</v>
      </c>
      <c r="F12" s="139">
        <v>0</v>
      </c>
      <c r="G12" s="59">
        <f t="shared" si="0"/>
        <v>0</v>
      </c>
      <c r="H12" s="72">
        <v>0</v>
      </c>
      <c r="I12" s="72">
        <f t="shared" si="1"/>
        <v>0</v>
      </c>
    </row>
    <row r="13" spans="1:9" x14ac:dyDescent="0.25">
      <c r="A13" s="54" t="s">
        <v>27</v>
      </c>
      <c r="B13" s="8">
        <v>0</v>
      </c>
      <c r="C13" s="55">
        <v>0</v>
      </c>
      <c r="D13" s="139">
        <v>0</v>
      </c>
      <c r="E13" s="57">
        <v>0</v>
      </c>
      <c r="F13" s="139">
        <v>0</v>
      </c>
      <c r="G13" s="59">
        <f t="shared" si="0"/>
        <v>0</v>
      </c>
      <c r="H13" s="72">
        <v>0</v>
      </c>
      <c r="I13" s="72">
        <f t="shared" si="1"/>
        <v>0</v>
      </c>
    </row>
    <row r="14" spans="1:9" x14ac:dyDescent="0.25">
      <c r="A14" s="54" t="s">
        <v>33</v>
      </c>
      <c r="B14" s="8">
        <v>0</v>
      </c>
      <c r="C14" s="55">
        <v>0</v>
      </c>
      <c r="D14" s="139">
        <v>0</v>
      </c>
      <c r="E14" s="57">
        <v>0</v>
      </c>
      <c r="F14" s="139">
        <v>0</v>
      </c>
      <c r="G14" s="59">
        <f t="shared" si="0"/>
        <v>0</v>
      </c>
      <c r="H14" s="72">
        <v>0</v>
      </c>
      <c r="I14" s="72">
        <f t="shared" si="1"/>
        <v>0</v>
      </c>
    </row>
    <row r="15" spans="1:9" x14ac:dyDescent="0.25">
      <c r="A15" s="54" t="s">
        <v>17</v>
      </c>
      <c r="B15" s="8">
        <v>0</v>
      </c>
      <c r="C15" s="55">
        <v>0</v>
      </c>
      <c r="D15" s="139">
        <v>0</v>
      </c>
      <c r="E15" s="57">
        <v>0</v>
      </c>
      <c r="F15" s="139">
        <v>0</v>
      </c>
      <c r="G15" s="59">
        <f t="shared" si="0"/>
        <v>0</v>
      </c>
      <c r="H15" s="72">
        <v>0</v>
      </c>
      <c r="I15" s="72">
        <f t="shared" si="1"/>
        <v>0</v>
      </c>
    </row>
    <row r="16" spans="1:9" x14ac:dyDescent="0.25">
      <c r="A16" s="54" t="s">
        <v>18</v>
      </c>
      <c r="B16" s="8">
        <v>0</v>
      </c>
      <c r="C16" s="55">
        <v>0</v>
      </c>
      <c r="D16" s="139">
        <v>0</v>
      </c>
      <c r="E16" s="57">
        <v>0</v>
      </c>
      <c r="F16" s="139">
        <v>0</v>
      </c>
      <c r="G16" s="59">
        <f t="shared" si="0"/>
        <v>0</v>
      </c>
      <c r="H16" s="72">
        <v>0</v>
      </c>
      <c r="I16" s="72">
        <f t="shared" si="1"/>
        <v>0</v>
      </c>
    </row>
    <row r="17" spans="1:12" x14ac:dyDescent="0.25">
      <c r="A17" s="54" t="s">
        <v>19</v>
      </c>
      <c r="B17" s="8">
        <v>0</v>
      </c>
      <c r="C17" s="55">
        <v>0</v>
      </c>
      <c r="D17" s="139">
        <v>0</v>
      </c>
      <c r="E17" s="57">
        <v>0</v>
      </c>
      <c r="F17" s="139">
        <v>0</v>
      </c>
      <c r="G17" s="59">
        <f t="shared" si="0"/>
        <v>0</v>
      </c>
      <c r="H17" s="72">
        <v>0</v>
      </c>
      <c r="I17" s="72">
        <f t="shared" si="1"/>
        <v>0</v>
      </c>
    </row>
    <row r="18" spans="1:12" x14ac:dyDescent="0.25">
      <c r="A18" s="54" t="s">
        <v>20</v>
      </c>
      <c r="B18" s="8">
        <v>0</v>
      </c>
      <c r="C18" s="55">
        <v>0</v>
      </c>
      <c r="D18" s="139">
        <v>0</v>
      </c>
      <c r="E18" s="57">
        <v>0</v>
      </c>
      <c r="F18" s="139">
        <v>0</v>
      </c>
      <c r="G18" s="59">
        <f t="shared" si="0"/>
        <v>0</v>
      </c>
      <c r="H18" s="72">
        <v>0</v>
      </c>
      <c r="I18" s="72">
        <f t="shared" si="1"/>
        <v>0</v>
      </c>
    </row>
    <row r="19" spans="1:12" x14ac:dyDescent="0.25">
      <c r="A19" s="54" t="s">
        <v>21</v>
      </c>
      <c r="B19" s="8">
        <v>0</v>
      </c>
      <c r="C19" s="55">
        <v>0</v>
      </c>
      <c r="D19" s="139">
        <v>0</v>
      </c>
      <c r="E19" s="57">
        <v>0</v>
      </c>
      <c r="F19" s="139">
        <v>0</v>
      </c>
      <c r="G19" s="59">
        <f t="shared" si="0"/>
        <v>0</v>
      </c>
      <c r="H19" s="72">
        <v>0</v>
      </c>
      <c r="I19" s="72">
        <f t="shared" si="1"/>
        <v>0</v>
      </c>
    </row>
    <row r="20" spans="1:12" x14ac:dyDescent="0.25">
      <c r="A20" s="54" t="s">
        <v>31</v>
      </c>
      <c r="B20" s="8">
        <v>0</v>
      </c>
      <c r="C20" s="55">
        <v>0</v>
      </c>
      <c r="D20" s="139">
        <v>0</v>
      </c>
      <c r="E20" s="57">
        <v>0</v>
      </c>
      <c r="F20" s="139">
        <v>0</v>
      </c>
      <c r="G20" s="59">
        <f t="shared" si="0"/>
        <v>0</v>
      </c>
      <c r="H20" s="72">
        <v>0</v>
      </c>
      <c r="I20" s="72">
        <f t="shared" si="1"/>
        <v>0</v>
      </c>
    </row>
    <row r="21" spans="1:12" x14ac:dyDescent="0.25">
      <c r="A21" s="54" t="s">
        <v>24</v>
      </c>
      <c r="B21" s="8">
        <v>0</v>
      </c>
      <c r="C21" s="55">
        <v>0</v>
      </c>
      <c r="D21" s="139">
        <v>0</v>
      </c>
      <c r="E21" s="57">
        <v>0</v>
      </c>
      <c r="F21" s="139">
        <v>0</v>
      </c>
      <c r="G21" s="59">
        <f t="shared" si="0"/>
        <v>0</v>
      </c>
      <c r="H21" s="72">
        <v>0</v>
      </c>
      <c r="I21" s="72">
        <f t="shared" si="1"/>
        <v>0</v>
      </c>
    </row>
    <row r="22" spans="1:12" x14ac:dyDescent="0.25">
      <c r="A22" s="54" t="s">
        <v>34</v>
      </c>
      <c r="B22" s="8">
        <v>0</v>
      </c>
      <c r="C22" s="55">
        <v>0</v>
      </c>
      <c r="D22" s="139">
        <v>0</v>
      </c>
      <c r="E22" s="57">
        <v>0</v>
      </c>
      <c r="F22" s="139">
        <v>0</v>
      </c>
      <c r="G22" s="59">
        <f t="shared" si="0"/>
        <v>0</v>
      </c>
      <c r="H22" s="72">
        <v>0</v>
      </c>
      <c r="I22" s="72">
        <f t="shared" si="1"/>
        <v>0</v>
      </c>
    </row>
    <row r="23" spans="1:12" x14ac:dyDescent="0.25">
      <c r="A23" s="64" t="s">
        <v>58</v>
      </c>
      <c r="B23" s="65">
        <f>SUM(B5:B22)</f>
        <v>882352.9411764706</v>
      </c>
      <c r="C23" s="65">
        <f>SUM(C5:C22)</f>
        <v>1433318.75</v>
      </c>
      <c r="D23" s="66">
        <f>SUM(D5:D22)</f>
        <v>4411764.7058823528</v>
      </c>
      <c r="E23" s="65">
        <f>SUM(E5:E22)</f>
        <v>6904702.4100000001</v>
      </c>
      <c r="F23" s="67">
        <f>SUM(F5:F22)</f>
        <v>15000000</v>
      </c>
      <c r="G23" s="68">
        <f>IFERROR((E23)/(D23),0)</f>
        <v>1.5650658796000001</v>
      </c>
      <c r="H23" s="69">
        <f>SUM(H5:H22)</f>
        <v>4017950.34</v>
      </c>
      <c r="I23" s="69">
        <f>SUM(I5:I22)</f>
        <v>4568723.6499999994</v>
      </c>
    </row>
    <row r="24" spans="1:12" x14ac:dyDescent="0.25">
      <c r="A24" s="116" t="s">
        <v>37</v>
      </c>
      <c r="B24" s="117"/>
      <c r="C24" s="117"/>
      <c r="D24" s="117"/>
      <c r="E24" s="117"/>
      <c r="F24" s="118"/>
      <c r="G24" s="117"/>
      <c r="H24" s="117"/>
      <c r="I24" s="119"/>
    </row>
    <row r="25" spans="1:12" x14ac:dyDescent="0.25">
      <c r="A25" s="70" t="s">
        <v>38</v>
      </c>
      <c r="B25" s="57">
        <v>0</v>
      </c>
      <c r="C25" s="55">
        <v>0</v>
      </c>
      <c r="D25" s="56">
        <v>0</v>
      </c>
      <c r="E25" s="57">
        <v>0</v>
      </c>
      <c r="F25" s="121">
        <v>0</v>
      </c>
      <c r="G25" s="71">
        <f t="shared" ref="G25:G37" si="2">IFERROR(E25/D25,0)</f>
        <v>0</v>
      </c>
      <c r="H25" s="72">
        <v>0</v>
      </c>
      <c r="I25" s="72">
        <f t="shared" ref="I25:I35" si="3">_xlfn.XLOOKUP(A25,$A$62:$A$73,$B$62:$B$73)</f>
        <v>0</v>
      </c>
      <c r="L25" s="70"/>
    </row>
    <row r="26" spans="1:12" x14ac:dyDescent="0.25">
      <c r="A26" s="54" t="s">
        <v>45</v>
      </c>
      <c r="B26" s="57">
        <v>0</v>
      </c>
      <c r="C26" s="55">
        <v>0</v>
      </c>
      <c r="D26" s="56">
        <v>0</v>
      </c>
      <c r="E26" s="57">
        <v>0</v>
      </c>
      <c r="F26" s="121">
        <v>0</v>
      </c>
      <c r="G26" s="71">
        <f t="shared" si="2"/>
        <v>0</v>
      </c>
      <c r="H26" s="72">
        <v>0</v>
      </c>
      <c r="I26" s="72">
        <f t="shared" si="3"/>
        <v>0</v>
      </c>
      <c r="L26" s="70"/>
    </row>
    <row r="27" spans="1:12" x14ac:dyDescent="0.25">
      <c r="A27" s="70" t="s">
        <v>39</v>
      </c>
      <c r="B27" s="57">
        <v>0</v>
      </c>
      <c r="C27" s="55">
        <v>0</v>
      </c>
      <c r="D27" s="56">
        <v>0</v>
      </c>
      <c r="E27" s="57">
        <v>0</v>
      </c>
      <c r="F27" s="121">
        <v>0</v>
      </c>
      <c r="G27" s="71">
        <f t="shared" si="2"/>
        <v>0</v>
      </c>
      <c r="H27" s="72">
        <v>0</v>
      </c>
      <c r="I27" s="72">
        <f t="shared" si="3"/>
        <v>0</v>
      </c>
      <c r="L27" s="70"/>
    </row>
    <row r="28" spans="1:12" x14ac:dyDescent="0.25">
      <c r="A28" s="70" t="s">
        <v>40</v>
      </c>
      <c r="B28" s="57">
        <v>0</v>
      </c>
      <c r="C28" s="55">
        <v>0</v>
      </c>
      <c r="D28" s="56">
        <v>0</v>
      </c>
      <c r="E28" s="57">
        <v>0</v>
      </c>
      <c r="F28" s="121">
        <v>0</v>
      </c>
      <c r="G28" s="71">
        <f t="shared" si="2"/>
        <v>0</v>
      </c>
      <c r="H28" s="72">
        <v>0</v>
      </c>
      <c r="I28" s="72">
        <f t="shared" si="3"/>
        <v>0</v>
      </c>
      <c r="L28" s="70"/>
    </row>
    <row r="29" spans="1:12" x14ac:dyDescent="0.25">
      <c r="A29" s="70" t="s">
        <v>41</v>
      </c>
      <c r="B29" s="57">
        <v>0</v>
      </c>
      <c r="C29" s="55">
        <v>0</v>
      </c>
      <c r="D29" s="56">
        <v>0</v>
      </c>
      <c r="E29" s="57">
        <v>0</v>
      </c>
      <c r="F29" s="121">
        <v>0</v>
      </c>
      <c r="G29" s="71">
        <f t="shared" si="2"/>
        <v>0</v>
      </c>
      <c r="H29" s="72">
        <v>0</v>
      </c>
      <c r="I29" s="72">
        <f t="shared" si="3"/>
        <v>0</v>
      </c>
      <c r="L29" s="54"/>
    </row>
    <row r="30" spans="1:12" x14ac:dyDescent="0.25">
      <c r="A30" s="54" t="s">
        <v>42</v>
      </c>
      <c r="B30" s="8">
        <v>0</v>
      </c>
      <c r="C30" s="55">
        <v>300758</v>
      </c>
      <c r="D30" s="56">
        <v>0</v>
      </c>
      <c r="E30" s="57">
        <v>932004</v>
      </c>
      <c r="F30" s="121">
        <v>0</v>
      </c>
      <c r="G30" s="59">
        <f t="shared" si="2"/>
        <v>0</v>
      </c>
      <c r="H30" s="72">
        <v>604342</v>
      </c>
      <c r="I30" s="72">
        <f t="shared" si="3"/>
        <v>141386</v>
      </c>
      <c r="L30" s="54"/>
    </row>
    <row r="31" spans="1:12" x14ac:dyDescent="0.25">
      <c r="A31" s="54" t="s">
        <v>43</v>
      </c>
      <c r="B31" s="8">
        <v>0</v>
      </c>
      <c r="C31" s="55">
        <v>0</v>
      </c>
      <c r="D31" s="56">
        <v>0</v>
      </c>
      <c r="E31" s="57">
        <v>0</v>
      </c>
      <c r="F31" s="121">
        <v>0</v>
      </c>
      <c r="G31" s="59">
        <f t="shared" si="2"/>
        <v>0</v>
      </c>
      <c r="H31" s="72">
        <v>0</v>
      </c>
      <c r="I31" s="72">
        <f t="shared" si="3"/>
        <v>0</v>
      </c>
      <c r="L31" s="54"/>
    </row>
    <row r="32" spans="1:12" x14ac:dyDescent="0.25">
      <c r="A32" s="54" t="s">
        <v>49</v>
      </c>
      <c r="B32" s="8">
        <v>0</v>
      </c>
      <c r="C32" s="55">
        <v>0</v>
      </c>
      <c r="D32" s="56">
        <v>0</v>
      </c>
      <c r="E32" s="57">
        <v>0</v>
      </c>
      <c r="F32" s="121">
        <v>0</v>
      </c>
      <c r="G32" s="59">
        <f t="shared" si="2"/>
        <v>0</v>
      </c>
      <c r="H32" s="72">
        <v>0</v>
      </c>
      <c r="I32" s="72">
        <f t="shared" si="3"/>
        <v>0</v>
      </c>
      <c r="L32" s="70"/>
    </row>
    <row r="33" spans="1:12" x14ac:dyDescent="0.25">
      <c r="A33" s="54" t="s">
        <v>46</v>
      </c>
      <c r="B33" s="8">
        <v>0</v>
      </c>
      <c r="C33" s="55">
        <v>0</v>
      </c>
      <c r="D33" s="56">
        <v>0</v>
      </c>
      <c r="E33" s="57">
        <v>0</v>
      </c>
      <c r="F33" s="121">
        <v>0</v>
      </c>
      <c r="G33" s="59">
        <f t="shared" si="2"/>
        <v>0</v>
      </c>
      <c r="H33" s="72">
        <v>0</v>
      </c>
      <c r="I33" s="72">
        <f t="shared" si="3"/>
        <v>0</v>
      </c>
      <c r="L33" s="54"/>
    </row>
    <row r="34" spans="1:12" x14ac:dyDescent="0.25">
      <c r="A34" s="54" t="s">
        <v>48</v>
      </c>
      <c r="B34" s="8">
        <v>0</v>
      </c>
      <c r="C34" s="55">
        <v>0</v>
      </c>
      <c r="D34" s="56">
        <v>0</v>
      </c>
      <c r="E34" s="57">
        <v>0</v>
      </c>
      <c r="F34" s="121">
        <v>0</v>
      </c>
      <c r="G34" s="59">
        <f t="shared" si="2"/>
        <v>0</v>
      </c>
      <c r="H34" s="72">
        <v>0</v>
      </c>
      <c r="I34" s="72">
        <f t="shared" si="3"/>
        <v>0</v>
      </c>
      <c r="L34" s="54"/>
    </row>
    <row r="35" spans="1:12" x14ac:dyDescent="0.25">
      <c r="A35" s="54" t="s">
        <v>44</v>
      </c>
      <c r="B35" s="8">
        <v>0</v>
      </c>
      <c r="C35" s="55">
        <v>0</v>
      </c>
      <c r="D35" s="56">
        <v>0</v>
      </c>
      <c r="E35" s="57">
        <v>0</v>
      </c>
      <c r="F35" s="121">
        <v>0</v>
      </c>
      <c r="G35" s="59">
        <f t="shared" si="2"/>
        <v>0</v>
      </c>
      <c r="H35" s="72">
        <v>0</v>
      </c>
      <c r="I35" s="72">
        <f t="shared" si="3"/>
        <v>0</v>
      </c>
      <c r="L35" s="54"/>
    </row>
    <row r="36" spans="1:12" x14ac:dyDescent="0.25">
      <c r="A36" s="64" t="s">
        <v>50</v>
      </c>
      <c r="B36" s="65">
        <f>SUM(B25:B35)</f>
        <v>0</v>
      </c>
      <c r="C36" s="65">
        <f>SUM(C25:C35)</f>
        <v>300758</v>
      </c>
      <c r="D36" s="66">
        <f>SUM(D25:D35)</f>
        <v>0</v>
      </c>
      <c r="E36" s="65">
        <f>SUM(E25:E35)</f>
        <v>932004</v>
      </c>
      <c r="F36" s="67">
        <f>SUM(F25:F35)</f>
        <v>0</v>
      </c>
      <c r="G36" s="68">
        <f t="shared" si="2"/>
        <v>0</v>
      </c>
      <c r="H36" s="69">
        <f>SUM(H25:H35)</f>
        <v>604342</v>
      </c>
      <c r="I36" s="69">
        <f>SUM(I25:I35)</f>
        <v>141386</v>
      </c>
      <c r="L36" s="54"/>
    </row>
    <row r="37" spans="1:12" x14ac:dyDescent="0.25">
      <c r="A37" s="73" t="s">
        <v>6</v>
      </c>
      <c r="B37" s="74">
        <f>SUM(B23,B36)</f>
        <v>882352.9411764706</v>
      </c>
      <c r="C37" s="74">
        <f>SUM(C23,C36)</f>
        <v>1734076.75</v>
      </c>
      <c r="D37" s="75">
        <f>SUM(D23,D36)</f>
        <v>4411764.7058823528</v>
      </c>
      <c r="E37" s="75">
        <f>SUM(E23,E36)</f>
        <v>7836706.4100000001</v>
      </c>
      <c r="F37" s="122">
        <f>SUM(F23,F36)</f>
        <v>15000000</v>
      </c>
      <c r="G37" s="77">
        <f t="shared" si="2"/>
        <v>1.7763201196</v>
      </c>
      <c r="H37" s="78">
        <f>SUM(H23,H36)</f>
        <v>4622292.34</v>
      </c>
      <c r="I37" s="78">
        <f>SUM(I23,I36)</f>
        <v>4710109.6499999994</v>
      </c>
      <c r="L37" s="70"/>
    </row>
    <row r="39" spans="1:12" ht="18.75" x14ac:dyDescent="0.25">
      <c r="A39" s="137" t="s">
        <v>77</v>
      </c>
      <c r="B39" s="140"/>
      <c r="C39" s="140"/>
      <c r="D39" s="140"/>
      <c r="E39" s="138"/>
    </row>
    <row r="40" spans="1:12" ht="25.5" x14ac:dyDescent="0.25">
      <c r="A40" s="81" t="s">
        <v>0</v>
      </c>
      <c r="B40" s="82" t="s">
        <v>59</v>
      </c>
      <c r="C40" s="82" t="s">
        <v>60</v>
      </c>
      <c r="D40" s="82" t="s">
        <v>61</v>
      </c>
      <c r="E40" s="82" t="s">
        <v>62</v>
      </c>
    </row>
    <row r="41" spans="1:12" x14ac:dyDescent="0.25">
      <c r="A41" s="6" t="s">
        <v>7</v>
      </c>
      <c r="B41" s="6"/>
      <c r="C41" s="6"/>
      <c r="D41" s="6"/>
      <c r="E41" s="6"/>
    </row>
    <row r="42" spans="1:12" x14ac:dyDescent="0.25">
      <c r="A42" s="54" t="s">
        <v>14</v>
      </c>
      <c r="B42" s="83">
        <f t="shared" ref="B42:B59" si="4">SUM(C42:E42)</f>
        <v>0</v>
      </c>
      <c r="C42" s="85">
        <v>0</v>
      </c>
      <c r="D42" s="85">
        <v>0</v>
      </c>
      <c r="E42" s="85">
        <v>0</v>
      </c>
    </row>
    <row r="43" spans="1:12" x14ac:dyDescent="0.25">
      <c r="A43" s="54" t="s">
        <v>15</v>
      </c>
      <c r="B43" s="83">
        <f t="shared" si="4"/>
        <v>0</v>
      </c>
      <c r="C43" s="85">
        <v>0</v>
      </c>
      <c r="D43" s="85">
        <v>0</v>
      </c>
      <c r="E43" s="85">
        <v>0</v>
      </c>
    </row>
    <row r="44" spans="1:12" x14ac:dyDescent="0.25">
      <c r="A44" s="54" t="s">
        <v>13</v>
      </c>
      <c r="B44" s="83">
        <f t="shared" si="4"/>
        <v>0</v>
      </c>
      <c r="C44" s="85">
        <v>0</v>
      </c>
      <c r="D44" s="85">
        <v>0</v>
      </c>
      <c r="E44" s="85">
        <v>0</v>
      </c>
    </row>
    <row r="45" spans="1:12" x14ac:dyDescent="0.25">
      <c r="A45" s="54" t="s">
        <v>17</v>
      </c>
      <c r="B45" s="83">
        <f t="shared" si="4"/>
        <v>0</v>
      </c>
      <c r="C45" s="85">
        <v>0</v>
      </c>
      <c r="D45" s="85">
        <v>0</v>
      </c>
      <c r="E45" s="85">
        <v>0</v>
      </c>
    </row>
    <row r="46" spans="1:12" x14ac:dyDescent="0.25">
      <c r="A46" s="54" t="s">
        <v>16</v>
      </c>
      <c r="B46" s="83">
        <f t="shared" si="4"/>
        <v>0</v>
      </c>
      <c r="C46" s="85">
        <v>0</v>
      </c>
      <c r="D46" s="85">
        <v>0</v>
      </c>
      <c r="E46" s="85">
        <v>0</v>
      </c>
    </row>
    <row r="47" spans="1:12" x14ac:dyDescent="0.25">
      <c r="A47" s="54" t="s">
        <v>24</v>
      </c>
      <c r="B47" s="83">
        <f t="shared" si="4"/>
        <v>0</v>
      </c>
      <c r="C47" s="85">
        <v>0</v>
      </c>
      <c r="D47" s="85">
        <v>0</v>
      </c>
      <c r="E47" s="85">
        <v>0</v>
      </c>
    </row>
    <row r="48" spans="1:12" x14ac:dyDescent="0.25">
      <c r="A48" s="54" t="s">
        <v>33</v>
      </c>
      <c r="B48" s="83">
        <f t="shared" si="4"/>
        <v>0</v>
      </c>
      <c r="C48" s="85">
        <v>0</v>
      </c>
      <c r="D48" s="85">
        <v>0</v>
      </c>
      <c r="E48" s="85">
        <v>0</v>
      </c>
    </row>
    <row r="49" spans="1:5" x14ac:dyDescent="0.25">
      <c r="A49" s="54" t="s">
        <v>31</v>
      </c>
      <c r="B49" s="83">
        <f t="shared" si="4"/>
        <v>0</v>
      </c>
      <c r="C49" s="85">
        <v>0</v>
      </c>
      <c r="D49" s="85">
        <v>0</v>
      </c>
      <c r="E49" s="85">
        <v>0</v>
      </c>
    </row>
    <row r="50" spans="1:5" x14ac:dyDescent="0.25">
      <c r="A50" s="54" t="s">
        <v>27</v>
      </c>
      <c r="B50" s="83">
        <f t="shared" si="4"/>
        <v>0</v>
      </c>
      <c r="C50" s="85">
        <v>0</v>
      </c>
      <c r="D50" s="85">
        <v>0</v>
      </c>
      <c r="E50" s="85">
        <v>0</v>
      </c>
    </row>
    <row r="51" spans="1:5" x14ac:dyDescent="0.25">
      <c r="A51" s="54" t="s">
        <v>18</v>
      </c>
      <c r="B51" s="83">
        <f t="shared" si="4"/>
        <v>0</v>
      </c>
      <c r="C51" s="85">
        <v>0</v>
      </c>
      <c r="D51" s="85">
        <v>0</v>
      </c>
      <c r="E51" s="85">
        <v>0</v>
      </c>
    </row>
    <row r="52" spans="1:5" x14ac:dyDescent="0.25">
      <c r="A52" s="54" t="s">
        <v>34</v>
      </c>
      <c r="B52" s="83">
        <f t="shared" si="4"/>
        <v>0</v>
      </c>
      <c r="C52" s="85">
        <v>0</v>
      </c>
      <c r="D52" s="85">
        <v>0</v>
      </c>
      <c r="E52" s="85">
        <v>0</v>
      </c>
    </row>
    <row r="53" spans="1:5" x14ac:dyDescent="0.25">
      <c r="A53" s="54" t="s">
        <v>19</v>
      </c>
      <c r="B53" s="83">
        <f t="shared" si="4"/>
        <v>0</v>
      </c>
      <c r="C53" s="85">
        <v>0</v>
      </c>
      <c r="D53" s="85">
        <v>0</v>
      </c>
      <c r="E53" s="85">
        <v>0</v>
      </c>
    </row>
    <row r="54" spans="1:5" x14ac:dyDescent="0.25">
      <c r="A54" s="54" t="s">
        <v>20</v>
      </c>
      <c r="B54" s="83">
        <f t="shared" si="4"/>
        <v>0</v>
      </c>
      <c r="C54" s="85">
        <v>0</v>
      </c>
      <c r="D54" s="85">
        <v>0</v>
      </c>
      <c r="E54" s="85">
        <v>0</v>
      </c>
    </row>
    <row r="55" spans="1:5" x14ac:dyDescent="0.25">
      <c r="A55" s="54" t="s">
        <v>21</v>
      </c>
      <c r="B55" s="83">
        <f t="shared" si="4"/>
        <v>0</v>
      </c>
      <c r="C55" s="85">
        <v>0</v>
      </c>
      <c r="D55" s="85">
        <v>0</v>
      </c>
      <c r="E55" s="85">
        <v>0</v>
      </c>
    </row>
    <row r="56" spans="1:5" x14ac:dyDescent="0.25">
      <c r="A56" s="54" t="s">
        <v>10</v>
      </c>
      <c r="B56" s="83">
        <f t="shared" si="4"/>
        <v>4568723.6499999994</v>
      </c>
      <c r="C56" s="85">
        <v>804509.79999999993</v>
      </c>
      <c r="D56" s="85">
        <v>226112.66999999998</v>
      </c>
      <c r="E56" s="85">
        <v>3538101.1799999997</v>
      </c>
    </row>
    <row r="57" spans="1:5" x14ac:dyDescent="0.25">
      <c r="A57" s="54" t="s">
        <v>8</v>
      </c>
      <c r="B57" s="83">
        <f t="shared" si="4"/>
        <v>0</v>
      </c>
      <c r="C57" s="85">
        <v>0</v>
      </c>
      <c r="D57" s="85">
        <v>0</v>
      </c>
      <c r="E57" s="85">
        <v>0</v>
      </c>
    </row>
    <row r="58" spans="1:5" x14ac:dyDescent="0.25">
      <c r="A58" s="54" t="s">
        <v>9</v>
      </c>
      <c r="B58" s="83">
        <f t="shared" si="4"/>
        <v>0</v>
      </c>
      <c r="C58" s="85">
        <v>0</v>
      </c>
      <c r="D58" s="85">
        <v>0</v>
      </c>
      <c r="E58" s="85">
        <v>0</v>
      </c>
    </row>
    <row r="59" spans="1:5" x14ac:dyDescent="0.25">
      <c r="A59" s="54" t="s">
        <v>11</v>
      </c>
      <c r="B59" s="83">
        <f t="shared" si="4"/>
        <v>0</v>
      </c>
      <c r="C59" s="85">
        <v>0</v>
      </c>
      <c r="D59" s="85">
        <v>0</v>
      </c>
      <c r="E59" s="85">
        <v>0</v>
      </c>
    </row>
    <row r="60" spans="1:5" x14ac:dyDescent="0.25">
      <c r="A60" s="64" t="s">
        <v>58</v>
      </c>
      <c r="B60" s="86">
        <f>SUM(B42:B59)</f>
        <v>4568723.6499999994</v>
      </c>
      <c r="C60" s="125">
        <f>SUM(C42:C59)</f>
        <v>804509.79999999993</v>
      </c>
      <c r="D60" s="125">
        <f>SUM(D42:D59)</f>
        <v>226112.66999999998</v>
      </c>
      <c r="E60" s="125">
        <f>SUM(E42:E59)</f>
        <v>3538101.1799999997</v>
      </c>
    </row>
    <row r="61" spans="1:5" x14ac:dyDescent="0.25">
      <c r="A61" s="6" t="s">
        <v>37</v>
      </c>
      <c r="B61" s="6"/>
      <c r="C61" s="6"/>
      <c r="D61" s="6"/>
      <c r="E61" s="6"/>
    </row>
    <row r="62" spans="1:5" x14ac:dyDescent="0.25">
      <c r="A62" s="54" t="s">
        <v>40</v>
      </c>
      <c r="B62" s="83">
        <f t="shared" ref="B62:B73" si="5">SUM(C62:E62)</f>
        <v>0</v>
      </c>
      <c r="C62" s="85">
        <v>0</v>
      </c>
      <c r="D62" s="85">
        <v>0</v>
      </c>
      <c r="E62" s="85">
        <v>0</v>
      </c>
    </row>
    <row r="63" spans="1:5" x14ac:dyDescent="0.25">
      <c r="A63" s="54" t="s">
        <v>45</v>
      </c>
      <c r="B63" s="83">
        <f t="shared" si="5"/>
        <v>0</v>
      </c>
      <c r="C63" s="85">
        <v>0</v>
      </c>
      <c r="D63" s="85">
        <v>0</v>
      </c>
      <c r="E63" s="85">
        <v>0</v>
      </c>
    </row>
    <row r="64" spans="1:5" x14ac:dyDescent="0.25">
      <c r="A64" s="54" t="s">
        <v>39</v>
      </c>
      <c r="B64" s="83">
        <f t="shared" si="5"/>
        <v>0</v>
      </c>
      <c r="C64" s="85">
        <v>0</v>
      </c>
      <c r="D64" s="85">
        <v>0</v>
      </c>
      <c r="E64" s="85">
        <v>0</v>
      </c>
    </row>
    <row r="65" spans="1:13" x14ac:dyDescent="0.25">
      <c r="A65" s="54" t="s">
        <v>38</v>
      </c>
      <c r="B65" s="83">
        <f t="shared" si="5"/>
        <v>0</v>
      </c>
      <c r="C65" s="85">
        <v>0</v>
      </c>
      <c r="D65" s="85">
        <v>0</v>
      </c>
      <c r="E65" s="85">
        <v>0</v>
      </c>
    </row>
    <row r="66" spans="1:13" x14ac:dyDescent="0.25">
      <c r="A66" s="54" t="s">
        <v>43</v>
      </c>
      <c r="B66" s="83">
        <f t="shared" si="5"/>
        <v>0</v>
      </c>
      <c r="C66" s="85">
        <v>0</v>
      </c>
      <c r="D66" s="85">
        <v>0</v>
      </c>
      <c r="E66" s="85">
        <v>0</v>
      </c>
    </row>
    <row r="67" spans="1:13" x14ac:dyDescent="0.25">
      <c r="A67" s="54" t="s">
        <v>41</v>
      </c>
      <c r="B67" s="83">
        <f t="shared" si="5"/>
        <v>0</v>
      </c>
      <c r="C67" s="85">
        <v>0</v>
      </c>
      <c r="D67" s="85">
        <v>0</v>
      </c>
      <c r="E67" s="85">
        <v>0</v>
      </c>
    </row>
    <row r="68" spans="1:13" x14ac:dyDescent="0.25">
      <c r="A68" s="54" t="s">
        <v>42</v>
      </c>
      <c r="B68" s="83">
        <f t="shared" si="5"/>
        <v>141386</v>
      </c>
      <c r="C68" s="85">
        <v>0</v>
      </c>
      <c r="D68" s="85">
        <v>0</v>
      </c>
      <c r="E68" s="85">
        <v>141386</v>
      </c>
    </row>
    <row r="69" spans="1:13" x14ac:dyDescent="0.25">
      <c r="A69" s="54" t="s">
        <v>49</v>
      </c>
      <c r="B69" s="83">
        <f t="shared" si="5"/>
        <v>0</v>
      </c>
      <c r="C69" s="85">
        <v>0</v>
      </c>
      <c r="D69" s="85">
        <v>0</v>
      </c>
      <c r="E69" s="85">
        <v>0</v>
      </c>
    </row>
    <row r="70" spans="1:13" x14ac:dyDescent="0.25">
      <c r="A70" s="54" t="s">
        <v>46</v>
      </c>
      <c r="B70" s="83">
        <f t="shared" si="5"/>
        <v>0</v>
      </c>
      <c r="C70" s="85">
        <v>0</v>
      </c>
      <c r="D70" s="85">
        <v>0</v>
      </c>
      <c r="E70" s="85">
        <v>0</v>
      </c>
    </row>
    <row r="71" spans="1:13" x14ac:dyDescent="0.25">
      <c r="A71" s="54" t="s">
        <v>48</v>
      </c>
      <c r="B71" s="83">
        <f t="shared" si="5"/>
        <v>0</v>
      </c>
      <c r="C71" s="85">
        <v>0</v>
      </c>
      <c r="D71" s="85">
        <v>0</v>
      </c>
      <c r="E71" s="85">
        <v>0</v>
      </c>
    </row>
    <row r="72" spans="1:13" x14ac:dyDescent="0.25">
      <c r="A72" s="54" t="s">
        <v>44</v>
      </c>
      <c r="B72" s="83">
        <f t="shared" si="5"/>
        <v>0</v>
      </c>
      <c r="C72" s="85">
        <v>0</v>
      </c>
      <c r="D72" s="85">
        <v>0</v>
      </c>
      <c r="E72" s="85">
        <v>0</v>
      </c>
    </row>
    <row r="73" spans="1:13" hidden="1" x14ac:dyDescent="0.25">
      <c r="A73" s="54" t="s">
        <v>15</v>
      </c>
      <c r="B73" s="83">
        <f t="shared" si="5"/>
        <v>0</v>
      </c>
      <c r="C73" s="85">
        <v>0</v>
      </c>
      <c r="D73" s="85">
        <v>0</v>
      </c>
      <c r="E73" s="85">
        <v>0</v>
      </c>
    </row>
    <row r="74" spans="1:13" x14ac:dyDescent="0.25">
      <c r="A74" s="64" t="s">
        <v>50</v>
      </c>
      <c r="B74" s="87">
        <f>SUM(B62:B73)</f>
        <v>141386</v>
      </c>
      <c r="C74" s="125">
        <f>SUM(C62:C73)</f>
        <v>0</v>
      </c>
      <c r="D74" s="125">
        <f>SUM(D62:D73)</f>
        <v>0</v>
      </c>
      <c r="E74" s="125">
        <f>SUM(E62:E73)</f>
        <v>141386</v>
      </c>
    </row>
    <row r="75" spans="1:13" x14ac:dyDescent="0.25">
      <c r="A75" s="73" t="s">
        <v>6</v>
      </c>
      <c r="B75" s="88">
        <f>SUM(B74,B60)</f>
        <v>4710109.6499999994</v>
      </c>
      <c r="C75" s="88">
        <f>SUM(C74,C60)</f>
        <v>804509.79999999993</v>
      </c>
      <c r="D75" s="88">
        <f>SUM(D74,D60)</f>
        <v>226112.66999999998</v>
      </c>
      <c r="E75" s="88">
        <f>SUM(E74,E60)</f>
        <v>3679487.1799999997</v>
      </c>
    </row>
    <row r="76" spans="1:13" ht="15.75" thickBot="1" x14ac:dyDescent="0.3"/>
    <row r="77" spans="1:13" ht="18.75" x14ac:dyDescent="0.25">
      <c r="A77" s="141" t="s">
        <v>77</v>
      </c>
      <c r="B77" s="142"/>
      <c r="C77" s="91" t="s">
        <v>64</v>
      </c>
      <c r="D77" s="92"/>
      <c r="E77" s="92"/>
      <c r="F77" s="92"/>
      <c r="G77" s="92"/>
      <c r="H77" s="93"/>
      <c r="I77" s="94" t="s">
        <v>65</v>
      </c>
      <c r="J77" s="95"/>
      <c r="K77" s="95"/>
      <c r="L77" s="96"/>
      <c r="M77" s="143"/>
    </row>
    <row r="78" spans="1:13" ht="64.5" thickBot="1" x14ac:dyDescent="0.3">
      <c r="A78" s="47" t="s">
        <v>0</v>
      </c>
      <c r="B78" s="98" t="s">
        <v>56</v>
      </c>
      <c r="C78" s="99" t="s">
        <v>66</v>
      </c>
      <c r="D78" s="100" t="s">
        <v>67</v>
      </c>
      <c r="E78" s="100" t="s">
        <v>68</v>
      </c>
      <c r="F78" s="128" t="s">
        <v>69</v>
      </c>
      <c r="G78" s="102" t="s">
        <v>70</v>
      </c>
      <c r="H78" s="103" t="s">
        <v>71</v>
      </c>
      <c r="I78" s="99" t="s">
        <v>72</v>
      </c>
      <c r="J78" s="100" t="s">
        <v>66</v>
      </c>
      <c r="K78" s="100" t="s">
        <v>67</v>
      </c>
      <c r="L78" s="103" t="s">
        <v>71</v>
      </c>
      <c r="M78" s="144" t="s">
        <v>73</v>
      </c>
    </row>
    <row r="79" spans="1:13" x14ac:dyDescent="0.25">
      <c r="A79" s="20" t="s">
        <v>7</v>
      </c>
      <c r="B79" s="21"/>
      <c r="C79" s="105"/>
      <c r="D79" s="105"/>
      <c r="E79" s="105"/>
      <c r="F79" s="105"/>
      <c r="G79" s="105"/>
      <c r="H79" s="105"/>
      <c r="I79" s="105"/>
      <c r="J79" s="105"/>
      <c r="K79" s="105"/>
      <c r="L79" s="105"/>
      <c r="M79" s="21"/>
    </row>
    <row r="80" spans="1:13" x14ac:dyDescent="0.25">
      <c r="A80" s="54" t="s">
        <v>14</v>
      </c>
      <c r="B80" s="60">
        <v>0</v>
      </c>
      <c r="C80" s="72">
        <v>0</v>
      </c>
      <c r="D80" s="72">
        <v>0</v>
      </c>
      <c r="E80" s="72">
        <v>0</v>
      </c>
      <c r="F80" s="72">
        <v>0</v>
      </c>
      <c r="G80" s="72">
        <v>0</v>
      </c>
      <c r="H80" s="72">
        <v>0</v>
      </c>
      <c r="I80" s="72">
        <f>SUMIFS('PR Data'!$P:$P,'PR Data'!$Q:$Q,'PR Report - DOWNTOWN'!$A80,'PR Data'!$R:$R,"Approved",'PR Data'!$W:$W,I$78,'PR Data'!$U:$U,'PR Report - DOWNTOWN'!$A$77,'PR Data'!$B:$B,"&lt;&gt;" &amp; "Cheque")</f>
        <v>0</v>
      </c>
      <c r="J80" s="72">
        <f>SUMIFS('PR Data'!$P:$P,'PR Data'!$Q:$Q,'PR Report - DOWNTOWN'!$A80,'PR Data'!$R:$R,"Approved",'PR Data'!$W:$W,J$78,'PR Data'!$U:$U,'PR Report - DOWNTOWN'!$A$77,'PR Data'!$B:$B,"&lt;&gt;" &amp; "Cheque")</f>
        <v>0</v>
      </c>
      <c r="K80" s="72">
        <f>SUMIFS('PR Data'!$P:$P,'PR Data'!$Q:$Q,'PR Report - DOWNTOWN'!$A80,'PR Data'!$R:$R,"Approved",'PR Data'!$W:$W,K$78,'PR Data'!$U:$U,'PR Report - DOWNTOWN'!$A$77,'PR Data'!$B:$B,"&lt;&gt;" &amp; "Cheque")</f>
        <v>0</v>
      </c>
      <c r="L80" s="72">
        <f>SUMIFS('PR Data'!$P:$P,'PR Data'!$Q:$Q,'PR Report - DOWNTOWN'!$A80,'PR Data'!$R:$R,"Approved",'PR Data'!$W:$W,L$78,'PR Data'!$U:$U,'PR Report - DOWNTOWN'!$A$77,'PR Data'!$B:$B,"&lt;&gt;" &amp; "Cheque")</f>
        <v>0</v>
      </c>
      <c r="M80" s="60">
        <f t="shared" ref="M80:M98" si="6">B80-SUM(C80:L80)</f>
        <v>0</v>
      </c>
    </row>
    <row r="81" spans="1:13" x14ac:dyDescent="0.25">
      <c r="A81" s="54" t="s">
        <v>15</v>
      </c>
      <c r="B81" s="60">
        <v>0</v>
      </c>
      <c r="C81" s="72">
        <v>0</v>
      </c>
      <c r="D81" s="72">
        <v>0</v>
      </c>
      <c r="E81" s="72">
        <v>0</v>
      </c>
      <c r="F81" s="72">
        <v>0</v>
      </c>
      <c r="G81" s="72">
        <v>0</v>
      </c>
      <c r="H81" s="72">
        <v>0</v>
      </c>
      <c r="I81" s="72">
        <f>SUMIFS('PR Data'!$P:$P,'PR Data'!$Q:$Q,'PR Report - DOWNTOWN'!$A81,'PR Data'!$R:$R,"Approved",'PR Data'!$W:$W,I$78,'PR Data'!$U:$U,'PR Report - DOWNTOWN'!$A$77,'PR Data'!$B:$B,"&lt;&gt;" &amp; "Cheque")</f>
        <v>0</v>
      </c>
      <c r="J81" s="72">
        <f>SUMIFS('PR Data'!$P:$P,'PR Data'!$Q:$Q,'PR Report - DOWNTOWN'!$A81,'PR Data'!$R:$R,"Approved",'PR Data'!$W:$W,J$78,'PR Data'!$U:$U,'PR Report - DOWNTOWN'!$A$77,'PR Data'!$B:$B,"&lt;&gt;" &amp; "Cheque")</f>
        <v>0</v>
      </c>
      <c r="K81" s="72">
        <f>SUMIFS('PR Data'!$P:$P,'PR Data'!$Q:$Q,'PR Report - DOWNTOWN'!$A81,'PR Data'!$R:$R,"Approved",'PR Data'!$W:$W,K$78,'PR Data'!$U:$U,'PR Report - DOWNTOWN'!$A$77,'PR Data'!$B:$B,"&lt;&gt;" &amp; "Cheque")</f>
        <v>0</v>
      </c>
      <c r="L81" s="72">
        <f>SUMIFS('PR Data'!$P:$P,'PR Data'!$Q:$Q,'PR Report - DOWNTOWN'!$A81,'PR Data'!$R:$R,"Approved",'PR Data'!$W:$W,L$78,'PR Data'!$U:$U,'PR Report - DOWNTOWN'!$A$77,'PR Data'!$B:$B,"&lt;&gt;" &amp; "Cheque")</f>
        <v>0</v>
      </c>
      <c r="M81" s="60">
        <f t="shared" si="6"/>
        <v>0</v>
      </c>
    </row>
    <row r="82" spans="1:13" x14ac:dyDescent="0.25">
      <c r="A82" s="54" t="s">
        <v>13</v>
      </c>
      <c r="B82" s="60">
        <v>0</v>
      </c>
      <c r="C82" s="72">
        <v>0</v>
      </c>
      <c r="D82" s="72">
        <v>0</v>
      </c>
      <c r="E82" s="72">
        <v>0</v>
      </c>
      <c r="F82" s="72">
        <v>0</v>
      </c>
      <c r="G82" s="72">
        <v>0</v>
      </c>
      <c r="H82" s="72">
        <v>0</v>
      </c>
      <c r="I82" s="72">
        <f>SUMIFS('PR Data'!$P:$P,'PR Data'!$Q:$Q,'PR Report - DOWNTOWN'!$A82,'PR Data'!$R:$R,"Approved",'PR Data'!$W:$W,I$78,'PR Data'!$U:$U,'PR Report - DOWNTOWN'!$A$77,'PR Data'!$B:$B,"&lt;&gt;" &amp; "Cheque")</f>
        <v>0</v>
      </c>
      <c r="J82" s="72">
        <f>SUMIFS('PR Data'!$P:$P,'PR Data'!$Q:$Q,'PR Report - DOWNTOWN'!$A82,'PR Data'!$R:$R,"Approved",'PR Data'!$W:$W,J$78,'PR Data'!$U:$U,'PR Report - DOWNTOWN'!$A$77,'PR Data'!$B:$B,"&lt;&gt;" &amp; "Cheque")</f>
        <v>0</v>
      </c>
      <c r="K82" s="72">
        <f>SUMIFS('PR Data'!$P:$P,'PR Data'!$Q:$Q,'PR Report - DOWNTOWN'!$A82,'PR Data'!$R:$R,"Approved",'PR Data'!$W:$W,K$78,'PR Data'!$U:$U,'PR Report - DOWNTOWN'!$A$77,'PR Data'!$B:$B,"&lt;&gt;" &amp; "Cheque")</f>
        <v>0</v>
      </c>
      <c r="L82" s="72">
        <f>SUMIFS('PR Data'!$P:$P,'PR Data'!$Q:$Q,'PR Report - DOWNTOWN'!$A82,'PR Data'!$R:$R,"Approved",'PR Data'!$W:$W,L$78,'PR Data'!$U:$U,'PR Report - DOWNTOWN'!$A$77,'PR Data'!$B:$B,"&lt;&gt;" &amp; "Cheque")</f>
        <v>0</v>
      </c>
      <c r="M82" s="60">
        <f t="shared" si="6"/>
        <v>0</v>
      </c>
    </row>
    <row r="83" spans="1:13" x14ac:dyDescent="0.25">
      <c r="A83" s="54" t="s">
        <v>17</v>
      </c>
      <c r="B83" s="60">
        <v>0</v>
      </c>
      <c r="C83" s="72">
        <v>0</v>
      </c>
      <c r="D83" s="72">
        <v>0</v>
      </c>
      <c r="E83" s="72">
        <v>0</v>
      </c>
      <c r="F83" s="72">
        <v>0</v>
      </c>
      <c r="G83" s="72">
        <v>0</v>
      </c>
      <c r="H83" s="72">
        <v>0</v>
      </c>
      <c r="I83" s="72">
        <f>SUMIFS('PR Data'!$P:$P,'PR Data'!$Q:$Q,'PR Report - DOWNTOWN'!$A83,'PR Data'!$R:$R,"Approved",'PR Data'!$W:$W,I$78,'PR Data'!$U:$U,'PR Report - DOWNTOWN'!$A$77,'PR Data'!$B:$B,"&lt;&gt;" &amp; "Cheque")</f>
        <v>0</v>
      </c>
      <c r="J83" s="72">
        <f>SUMIFS('PR Data'!$P:$P,'PR Data'!$Q:$Q,'PR Report - DOWNTOWN'!$A83,'PR Data'!$R:$R,"Approved",'PR Data'!$W:$W,J$78,'PR Data'!$U:$U,'PR Report - DOWNTOWN'!$A$77,'PR Data'!$B:$B,"&lt;&gt;" &amp; "Cheque")</f>
        <v>0</v>
      </c>
      <c r="K83" s="72">
        <f>SUMIFS('PR Data'!$P:$P,'PR Data'!$Q:$Q,'PR Report - DOWNTOWN'!$A83,'PR Data'!$R:$R,"Approved",'PR Data'!$W:$W,K$78,'PR Data'!$U:$U,'PR Report - DOWNTOWN'!$A$77,'PR Data'!$B:$B,"&lt;&gt;" &amp; "Cheque")</f>
        <v>0</v>
      </c>
      <c r="L83" s="72">
        <f>SUMIFS('PR Data'!$P:$P,'PR Data'!$Q:$Q,'PR Report - DOWNTOWN'!$A83,'PR Data'!$R:$R,"Approved",'PR Data'!$W:$W,L$78,'PR Data'!$U:$U,'PR Report - DOWNTOWN'!$A$77,'PR Data'!$B:$B,"&lt;&gt;" &amp; "Cheque")</f>
        <v>0</v>
      </c>
      <c r="M83" s="60">
        <f t="shared" si="6"/>
        <v>0</v>
      </c>
    </row>
    <row r="84" spans="1:13" x14ac:dyDescent="0.25">
      <c r="A84" s="54" t="s">
        <v>24</v>
      </c>
      <c r="B84" s="60">
        <v>0</v>
      </c>
      <c r="C84" s="72">
        <v>0</v>
      </c>
      <c r="D84" s="72">
        <v>0</v>
      </c>
      <c r="E84" s="72">
        <v>0</v>
      </c>
      <c r="F84" s="72">
        <v>0</v>
      </c>
      <c r="G84" s="72">
        <v>0</v>
      </c>
      <c r="H84" s="72">
        <v>0</v>
      </c>
      <c r="I84" s="72">
        <f>SUMIFS('PR Data'!$P:$P,'PR Data'!$Q:$Q,'PR Report - DOWNTOWN'!$A84,'PR Data'!$R:$R,"Approved",'PR Data'!$W:$W,I$78,'PR Data'!$U:$U,'PR Report - DOWNTOWN'!$A$77,'PR Data'!$B:$B,"&lt;&gt;" &amp; "Cheque")</f>
        <v>0</v>
      </c>
      <c r="J84" s="72">
        <f>SUMIFS('PR Data'!$P:$P,'PR Data'!$Q:$Q,'PR Report - DOWNTOWN'!$A84,'PR Data'!$R:$R,"Approved",'PR Data'!$W:$W,J$78,'PR Data'!$U:$U,'PR Report - DOWNTOWN'!$A$77,'PR Data'!$B:$B,"&lt;&gt;" &amp; "Cheque")</f>
        <v>0</v>
      </c>
      <c r="K84" s="72">
        <f>SUMIFS('PR Data'!$P:$P,'PR Data'!$Q:$Q,'PR Report - DOWNTOWN'!$A84,'PR Data'!$R:$R,"Approved",'PR Data'!$W:$W,K$78,'PR Data'!$U:$U,'PR Report - DOWNTOWN'!$A$77,'PR Data'!$B:$B,"&lt;&gt;" &amp; "Cheque")</f>
        <v>0</v>
      </c>
      <c r="L84" s="72">
        <f>SUMIFS('PR Data'!$P:$P,'PR Data'!$Q:$Q,'PR Report - DOWNTOWN'!$A84,'PR Data'!$R:$R,"Approved",'PR Data'!$W:$W,L$78,'PR Data'!$U:$U,'PR Report - DOWNTOWN'!$A$77,'PR Data'!$B:$B,"&lt;&gt;" &amp; "Cheque")</f>
        <v>0</v>
      </c>
      <c r="M84" s="60">
        <f t="shared" si="6"/>
        <v>0</v>
      </c>
    </row>
    <row r="85" spans="1:13" x14ac:dyDescent="0.25">
      <c r="A85" s="54" t="s">
        <v>33</v>
      </c>
      <c r="B85" s="60">
        <v>0</v>
      </c>
      <c r="C85" s="72">
        <v>0</v>
      </c>
      <c r="D85" s="72">
        <v>0</v>
      </c>
      <c r="E85" s="72">
        <v>0</v>
      </c>
      <c r="F85" s="72">
        <v>0</v>
      </c>
      <c r="G85" s="72">
        <v>0</v>
      </c>
      <c r="H85" s="72">
        <v>0</v>
      </c>
      <c r="I85" s="72">
        <f>SUMIFS('PR Data'!$P:$P,'PR Data'!$Q:$Q,'PR Report - DOWNTOWN'!$A85,'PR Data'!$R:$R,"Approved",'PR Data'!$W:$W,I$78,'PR Data'!$U:$U,'PR Report - DOWNTOWN'!$A$77,'PR Data'!$B:$B,"&lt;&gt;" &amp; "Cheque")</f>
        <v>0</v>
      </c>
      <c r="J85" s="72">
        <f>SUMIFS('PR Data'!$P:$P,'PR Data'!$Q:$Q,'PR Report - DOWNTOWN'!$A85,'PR Data'!$R:$R,"Approved",'PR Data'!$W:$W,J$78,'PR Data'!$U:$U,'PR Report - DOWNTOWN'!$A$77,'PR Data'!$B:$B,"&lt;&gt;" &amp; "Cheque")</f>
        <v>0</v>
      </c>
      <c r="K85" s="72">
        <f>SUMIFS('PR Data'!$P:$P,'PR Data'!$Q:$Q,'PR Report - DOWNTOWN'!$A85,'PR Data'!$R:$R,"Approved",'PR Data'!$W:$W,K$78,'PR Data'!$U:$U,'PR Report - DOWNTOWN'!$A$77,'PR Data'!$B:$B,"&lt;&gt;" &amp; "Cheque")</f>
        <v>0</v>
      </c>
      <c r="L85" s="72">
        <f>SUMIFS('PR Data'!$P:$P,'PR Data'!$Q:$Q,'PR Report - DOWNTOWN'!$A85,'PR Data'!$R:$R,"Approved",'PR Data'!$W:$W,L$78,'PR Data'!$U:$U,'PR Report - DOWNTOWN'!$A$77,'PR Data'!$B:$B,"&lt;&gt;" &amp; "Cheque")</f>
        <v>0</v>
      </c>
      <c r="M85" s="60">
        <f t="shared" si="6"/>
        <v>0</v>
      </c>
    </row>
    <row r="86" spans="1:13" x14ac:dyDescent="0.25">
      <c r="A86" s="54" t="s">
        <v>31</v>
      </c>
      <c r="B86" s="60">
        <v>0</v>
      </c>
      <c r="C86" s="72">
        <v>0</v>
      </c>
      <c r="D86" s="72">
        <v>0</v>
      </c>
      <c r="E86" s="72">
        <v>0</v>
      </c>
      <c r="F86" s="72">
        <v>0</v>
      </c>
      <c r="G86" s="72">
        <v>0</v>
      </c>
      <c r="H86" s="72">
        <v>0</v>
      </c>
      <c r="I86" s="72">
        <f>SUMIFS('PR Data'!$P:$P,'PR Data'!$Q:$Q,'PR Report - DOWNTOWN'!$A86,'PR Data'!$R:$R,"Approved",'PR Data'!$W:$W,I$78,'PR Data'!$U:$U,'PR Report - DOWNTOWN'!$A$77,'PR Data'!$B:$B,"&lt;&gt;" &amp; "Cheque")</f>
        <v>0</v>
      </c>
      <c r="J86" s="72">
        <f>SUMIFS('PR Data'!$P:$P,'PR Data'!$Q:$Q,'PR Report - DOWNTOWN'!$A86,'PR Data'!$R:$R,"Approved",'PR Data'!$W:$W,J$78,'PR Data'!$U:$U,'PR Report - DOWNTOWN'!$A$77,'PR Data'!$B:$B,"&lt;&gt;" &amp; "Cheque")</f>
        <v>0</v>
      </c>
      <c r="K86" s="72">
        <f>SUMIFS('PR Data'!$P:$P,'PR Data'!$Q:$Q,'PR Report - DOWNTOWN'!$A86,'PR Data'!$R:$R,"Approved",'PR Data'!$W:$W,K$78,'PR Data'!$U:$U,'PR Report - DOWNTOWN'!$A$77,'PR Data'!$B:$B,"&lt;&gt;" &amp; "Cheque")</f>
        <v>0</v>
      </c>
      <c r="L86" s="72">
        <f>SUMIFS('PR Data'!$P:$P,'PR Data'!$Q:$Q,'PR Report - DOWNTOWN'!$A86,'PR Data'!$R:$R,"Approved",'PR Data'!$W:$W,L$78,'PR Data'!$U:$U,'PR Report - DOWNTOWN'!$A$77,'PR Data'!$B:$B,"&lt;&gt;" &amp; "Cheque")</f>
        <v>0</v>
      </c>
      <c r="M86" s="60">
        <f t="shared" si="6"/>
        <v>0</v>
      </c>
    </row>
    <row r="87" spans="1:13" x14ac:dyDescent="0.25">
      <c r="A87" s="54" t="s">
        <v>27</v>
      </c>
      <c r="B87" s="60">
        <v>0</v>
      </c>
      <c r="C87" s="72">
        <v>0</v>
      </c>
      <c r="D87" s="72">
        <v>0</v>
      </c>
      <c r="E87" s="72">
        <v>0</v>
      </c>
      <c r="F87" s="72">
        <v>0</v>
      </c>
      <c r="G87" s="72">
        <v>0</v>
      </c>
      <c r="H87" s="72">
        <v>0</v>
      </c>
      <c r="I87" s="72">
        <f>SUMIFS('PR Data'!$P:$P,'PR Data'!$Q:$Q,'PR Report - DOWNTOWN'!$A87,'PR Data'!$R:$R,"Approved",'PR Data'!$W:$W,I$78,'PR Data'!$U:$U,'PR Report - DOWNTOWN'!$A$77,'PR Data'!$B:$B,"&lt;&gt;" &amp; "Cheque")</f>
        <v>0</v>
      </c>
      <c r="J87" s="72">
        <f>SUMIFS('PR Data'!$P:$P,'PR Data'!$Q:$Q,'PR Report - DOWNTOWN'!$A87,'PR Data'!$R:$R,"Approved",'PR Data'!$W:$W,J$78,'PR Data'!$U:$U,'PR Report - DOWNTOWN'!$A$77,'PR Data'!$B:$B,"&lt;&gt;" &amp; "Cheque")</f>
        <v>0</v>
      </c>
      <c r="K87" s="72">
        <f>SUMIFS('PR Data'!$P:$P,'PR Data'!$Q:$Q,'PR Report - DOWNTOWN'!$A87,'PR Data'!$R:$R,"Approved",'PR Data'!$W:$W,K$78,'PR Data'!$U:$U,'PR Report - DOWNTOWN'!$A$77,'PR Data'!$B:$B,"&lt;&gt;" &amp; "Cheque")</f>
        <v>0</v>
      </c>
      <c r="L87" s="72">
        <f>SUMIFS('PR Data'!$P:$P,'PR Data'!$Q:$Q,'PR Report - DOWNTOWN'!$A87,'PR Data'!$R:$R,"Approved",'PR Data'!$W:$W,L$78,'PR Data'!$U:$U,'PR Report - DOWNTOWN'!$A$77,'PR Data'!$B:$B,"&lt;&gt;" &amp; "Cheque")</f>
        <v>0</v>
      </c>
      <c r="M87" s="60">
        <f t="shared" si="6"/>
        <v>0</v>
      </c>
    </row>
    <row r="88" spans="1:13" x14ac:dyDescent="0.25">
      <c r="A88" s="54" t="s">
        <v>18</v>
      </c>
      <c r="B88" s="60">
        <v>0</v>
      </c>
      <c r="C88" s="72">
        <v>0</v>
      </c>
      <c r="D88" s="72">
        <v>0</v>
      </c>
      <c r="E88" s="72">
        <v>0</v>
      </c>
      <c r="F88" s="72">
        <v>0</v>
      </c>
      <c r="G88" s="72">
        <v>0</v>
      </c>
      <c r="H88" s="72">
        <v>0</v>
      </c>
      <c r="I88" s="72">
        <f>SUMIFS('PR Data'!$P:$P,'PR Data'!$Q:$Q,'PR Report - DOWNTOWN'!$A88,'PR Data'!$R:$R,"Approved",'PR Data'!$W:$W,I$78,'PR Data'!$U:$U,'PR Report - DOWNTOWN'!$A$77,'PR Data'!$B:$B,"&lt;&gt;" &amp; "Cheque")</f>
        <v>0</v>
      </c>
      <c r="J88" s="72">
        <f>SUMIFS('PR Data'!$P:$P,'PR Data'!$Q:$Q,'PR Report - DOWNTOWN'!$A88,'PR Data'!$R:$R,"Approved",'PR Data'!$W:$W,J$78,'PR Data'!$U:$U,'PR Report - DOWNTOWN'!$A$77,'PR Data'!$B:$B,"&lt;&gt;" &amp; "Cheque")</f>
        <v>0</v>
      </c>
      <c r="K88" s="72">
        <f>SUMIFS('PR Data'!$P:$P,'PR Data'!$Q:$Q,'PR Report - DOWNTOWN'!$A88,'PR Data'!$R:$R,"Approved",'PR Data'!$W:$W,K$78,'PR Data'!$U:$U,'PR Report - DOWNTOWN'!$A$77,'PR Data'!$B:$B,"&lt;&gt;" &amp; "Cheque")</f>
        <v>0</v>
      </c>
      <c r="L88" s="72">
        <f>SUMIFS('PR Data'!$P:$P,'PR Data'!$Q:$Q,'PR Report - DOWNTOWN'!$A88,'PR Data'!$R:$R,"Approved",'PR Data'!$W:$W,L$78,'PR Data'!$U:$U,'PR Report - DOWNTOWN'!$A$77,'PR Data'!$B:$B,"&lt;&gt;" &amp; "Cheque")</f>
        <v>0</v>
      </c>
      <c r="M88" s="60">
        <f t="shared" si="6"/>
        <v>0</v>
      </c>
    </row>
    <row r="89" spans="1:13" x14ac:dyDescent="0.25">
      <c r="A89" s="54" t="s">
        <v>34</v>
      </c>
      <c r="B89" s="60">
        <v>0</v>
      </c>
      <c r="C89" s="72">
        <v>0</v>
      </c>
      <c r="D89" s="72">
        <v>0</v>
      </c>
      <c r="E89" s="72">
        <v>0</v>
      </c>
      <c r="F89" s="72">
        <v>0</v>
      </c>
      <c r="G89" s="72">
        <v>0</v>
      </c>
      <c r="H89" s="72">
        <v>0</v>
      </c>
      <c r="I89" s="72">
        <f>SUMIFS('PR Data'!$P:$P,'PR Data'!$Q:$Q,'PR Report - DOWNTOWN'!$A89,'PR Data'!$R:$R,"Approved",'PR Data'!$W:$W,I$78,'PR Data'!$U:$U,'PR Report - DOWNTOWN'!$A$77,'PR Data'!$B:$B,"&lt;&gt;" &amp; "Cheque")</f>
        <v>0</v>
      </c>
      <c r="J89" s="72">
        <f>SUMIFS('PR Data'!$P:$P,'PR Data'!$Q:$Q,'PR Report - DOWNTOWN'!$A89,'PR Data'!$R:$R,"Approved",'PR Data'!$W:$W,J$78,'PR Data'!$U:$U,'PR Report - DOWNTOWN'!$A$77,'PR Data'!$B:$B,"&lt;&gt;" &amp; "Cheque")</f>
        <v>0</v>
      </c>
      <c r="K89" s="72">
        <f>SUMIFS('PR Data'!$P:$P,'PR Data'!$Q:$Q,'PR Report - DOWNTOWN'!$A89,'PR Data'!$R:$R,"Approved",'PR Data'!$W:$W,K$78,'PR Data'!$U:$U,'PR Report - DOWNTOWN'!$A$77,'PR Data'!$B:$B,"&lt;&gt;" &amp; "Cheque")</f>
        <v>0</v>
      </c>
      <c r="L89" s="72">
        <f>SUMIFS('PR Data'!$P:$P,'PR Data'!$Q:$Q,'PR Report - DOWNTOWN'!$A89,'PR Data'!$R:$R,"Approved",'PR Data'!$W:$W,L$78,'PR Data'!$U:$U,'PR Report - DOWNTOWN'!$A$77,'PR Data'!$B:$B,"&lt;&gt;" &amp; "Cheque")</f>
        <v>0</v>
      </c>
      <c r="M89" s="60">
        <f t="shared" si="6"/>
        <v>0</v>
      </c>
    </row>
    <row r="90" spans="1:13" x14ac:dyDescent="0.25">
      <c r="A90" s="54" t="s">
        <v>16</v>
      </c>
      <c r="B90" s="60">
        <v>0</v>
      </c>
      <c r="C90" s="72">
        <v>0</v>
      </c>
      <c r="D90" s="72">
        <v>0</v>
      </c>
      <c r="E90" s="72">
        <v>0</v>
      </c>
      <c r="F90" s="72">
        <v>0</v>
      </c>
      <c r="G90" s="72">
        <v>0</v>
      </c>
      <c r="H90" s="72">
        <v>0</v>
      </c>
      <c r="I90" s="72">
        <f>SUMIFS('PR Data'!$P:$P,'PR Data'!$Q:$Q,'PR Report - DOWNTOWN'!$A90,'PR Data'!$R:$R,"Approved",'PR Data'!$W:$W,I$78,'PR Data'!$U:$U,'PR Report - DOWNTOWN'!$A$77,'PR Data'!$B:$B,"&lt;&gt;" &amp; "Cheque")</f>
        <v>0</v>
      </c>
      <c r="J90" s="72">
        <f>SUMIFS('PR Data'!$P:$P,'PR Data'!$Q:$Q,'PR Report - DOWNTOWN'!$A90,'PR Data'!$R:$R,"Approved",'PR Data'!$W:$W,J$78,'PR Data'!$U:$U,'PR Report - DOWNTOWN'!$A$77,'PR Data'!$B:$B,"&lt;&gt;" &amp; "Cheque")</f>
        <v>0</v>
      </c>
      <c r="K90" s="72">
        <f>SUMIFS('PR Data'!$P:$P,'PR Data'!$Q:$Q,'PR Report - DOWNTOWN'!$A90,'PR Data'!$R:$R,"Approved",'PR Data'!$W:$W,K$78,'PR Data'!$U:$U,'PR Report - DOWNTOWN'!$A$77,'PR Data'!$B:$B,"&lt;&gt;" &amp; "Cheque")</f>
        <v>0</v>
      </c>
      <c r="L90" s="72">
        <f>SUMIFS('PR Data'!$P:$P,'PR Data'!$Q:$Q,'PR Report - DOWNTOWN'!$A90,'PR Data'!$R:$R,"Approved",'PR Data'!$W:$W,L$78,'PR Data'!$U:$U,'PR Report - DOWNTOWN'!$A$77,'PR Data'!$B:$B,"&lt;&gt;" &amp; "Cheque")</f>
        <v>0</v>
      </c>
      <c r="M90" s="60">
        <f t="shared" si="6"/>
        <v>0</v>
      </c>
    </row>
    <row r="91" spans="1:13" x14ac:dyDescent="0.25">
      <c r="A91" s="54" t="s">
        <v>19</v>
      </c>
      <c r="B91" s="60">
        <v>0</v>
      </c>
      <c r="C91" s="72">
        <v>0</v>
      </c>
      <c r="D91" s="72">
        <v>0</v>
      </c>
      <c r="E91" s="72">
        <v>0</v>
      </c>
      <c r="F91" s="72">
        <v>0</v>
      </c>
      <c r="G91" s="72">
        <v>0</v>
      </c>
      <c r="H91" s="72">
        <v>0</v>
      </c>
      <c r="I91" s="72">
        <f>SUMIFS('PR Data'!$P:$P,'PR Data'!$Q:$Q,'PR Report - DOWNTOWN'!$A91,'PR Data'!$R:$R,"Approved",'PR Data'!$W:$W,I$78,'PR Data'!$U:$U,'PR Report - DOWNTOWN'!$A$77,'PR Data'!$B:$B,"&lt;&gt;" &amp; "Cheque")</f>
        <v>0</v>
      </c>
      <c r="J91" s="72">
        <f>SUMIFS('PR Data'!$P:$P,'PR Data'!$Q:$Q,'PR Report - DOWNTOWN'!$A91,'PR Data'!$R:$R,"Approved",'PR Data'!$W:$W,J$78,'PR Data'!$U:$U,'PR Report - DOWNTOWN'!$A$77,'PR Data'!$B:$B,"&lt;&gt;" &amp; "Cheque")</f>
        <v>0</v>
      </c>
      <c r="K91" s="72">
        <f>SUMIFS('PR Data'!$P:$P,'PR Data'!$Q:$Q,'PR Report - DOWNTOWN'!$A91,'PR Data'!$R:$R,"Approved",'PR Data'!$W:$W,K$78,'PR Data'!$U:$U,'PR Report - DOWNTOWN'!$A$77,'PR Data'!$B:$B,"&lt;&gt;" &amp; "Cheque")</f>
        <v>0</v>
      </c>
      <c r="L91" s="72">
        <f>SUMIFS('PR Data'!$P:$P,'PR Data'!$Q:$Q,'PR Report - DOWNTOWN'!$A91,'PR Data'!$R:$R,"Approved",'PR Data'!$W:$W,L$78,'PR Data'!$U:$U,'PR Report - DOWNTOWN'!$A$77,'PR Data'!$B:$B,"&lt;&gt;" &amp; "Cheque")</f>
        <v>0</v>
      </c>
      <c r="M91" s="60">
        <f t="shared" si="6"/>
        <v>0</v>
      </c>
    </row>
    <row r="92" spans="1:13" x14ac:dyDescent="0.25">
      <c r="A92" s="54" t="s">
        <v>20</v>
      </c>
      <c r="B92" s="60">
        <v>0</v>
      </c>
      <c r="C92" s="72">
        <v>0</v>
      </c>
      <c r="D92" s="72">
        <v>0</v>
      </c>
      <c r="E92" s="72">
        <v>0</v>
      </c>
      <c r="F92" s="72">
        <v>0</v>
      </c>
      <c r="G92" s="72">
        <v>0</v>
      </c>
      <c r="H92" s="72">
        <v>0</v>
      </c>
      <c r="I92" s="72">
        <f>SUMIFS('PR Data'!$P:$P,'PR Data'!$Q:$Q,'PR Report - DOWNTOWN'!$A92,'PR Data'!$R:$R,"Approved",'PR Data'!$W:$W,I$78,'PR Data'!$U:$U,'PR Report - DOWNTOWN'!$A$77,'PR Data'!$B:$B,"&lt;&gt;" &amp; "Cheque")</f>
        <v>0</v>
      </c>
      <c r="J92" s="72">
        <f>SUMIFS('PR Data'!$P:$P,'PR Data'!$Q:$Q,'PR Report - DOWNTOWN'!$A92,'PR Data'!$R:$R,"Approved",'PR Data'!$W:$W,J$78,'PR Data'!$U:$U,'PR Report - DOWNTOWN'!$A$77,'PR Data'!$B:$B,"&lt;&gt;" &amp; "Cheque")</f>
        <v>0</v>
      </c>
      <c r="K92" s="72">
        <f>SUMIFS('PR Data'!$P:$P,'PR Data'!$Q:$Q,'PR Report - DOWNTOWN'!$A92,'PR Data'!$R:$R,"Approved",'PR Data'!$W:$W,K$78,'PR Data'!$U:$U,'PR Report - DOWNTOWN'!$A$77,'PR Data'!$B:$B,"&lt;&gt;" &amp; "Cheque")</f>
        <v>0</v>
      </c>
      <c r="L92" s="72">
        <f>SUMIFS('PR Data'!$P:$P,'PR Data'!$Q:$Q,'PR Report - DOWNTOWN'!$A92,'PR Data'!$R:$R,"Approved",'PR Data'!$W:$W,L$78,'PR Data'!$U:$U,'PR Report - DOWNTOWN'!$A$77,'PR Data'!$B:$B,"&lt;&gt;" &amp; "Cheque")</f>
        <v>0</v>
      </c>
      <c r="M92" s="60">
        <f t="shared" si="6"/>
        <v>0</v>
      </c>
    </row>
    <row r="93" spans="1:13" x14ac:dyDescent="0.25">
      <c r="A93" s="54" t="s">
        <v>21</v>
      </c>
      <c r="B93" s="60">
        <v>0</v>
      </c>
      <c r="C93" s="72">
        <v>0</v>
      </c>
      <c r="D93" s="72">
        <v>0</v>
      </c>
      <c r="E93" s="72">
        <v>0</v>
      </c>
      <c r="F93" s="72">
        <v>0</v>
      </c>
      <c r="G93" s="72">
        <v>0</v>
      </c>
      <c r="H93" s="72">
        <v>0</v>
      </c>
      <c r="I93" s="72">
        <f>SUMIFS('PR Data'!$P:$P,'PR Data'!$Q:$Q,'PR Report - DOWNTOWN'!$A93,'PR Data'!$R:$R,"Approved",'PR Data'!$W:$W,I$78,'PR Data'!$U:$U,'PR Report - DOWNTOWN'!$A$77,'PR Data'!$B:$B,"&lt;&gt;" &amp; "Cheque")</f>
        <v>0</v>
      </c>
      <c r="J93" s="72">
        <f>SUMIFS('PR Data'!$P:$P,'PR Data'!$Q:$Q,'PR Report - DOWNTOWN'!$A93,'PR Data'!$R:$R,"Approved",'PR Data'!$W:$W,J$78,'PR Data'!$U:$U,'PR Report - DOWNTOWN'!$A$77,'PR Data'!$B:$B,"&lt;&gt;" &amp; "Cheque")</f>
        <v>0</v>
      </c>
      <c r="K93" s="72">
        <f>SUMIFS('PR Data'!$P:$P,'PR Data'!$Q:$Q,'PR Report - DOWNTOWN'!$A93,'PR Data'!$R:$R,"Approved",'PR Data'!$W:$W,K$78,'PR Data'!$U:$U,'PR Report - DOWNTOWN'!$A$77,'PR Data'!$B:$B,"&lt;&gt;" &amp; "Cheque")</f>
        <v>0</v>
      </c>
      <c r="L93" s="72">
        <f>SUMIFS('PR Data'!$P:$P,'PR Data'!$Q:$Q,'PR Report - DOWNTOWN'!$A93,'PR Data'!$R:$R,"Approved",'PR Data'!$W:$W,L$78,'PR Data'!$U:$U,'PR Report - DOWNTOWN'!$A$77,'PR Data'!$B:$B,"&lt;&gt;" &amp; "Cheque")</f>
        <v>0</v>
      </c>
      <c r="M93" s="60">
        <f t="shared" si="6"/>
        <v>0</v>
      </c>
    </row>
    <row r="94" spans="1:13" x14ac:dyDescent="0.25">
      <c r="A94" s="54" t="s">
        <v>26</v>
      </c>
      <c r="B94" s="60">
        <v>0</v>
      </c>
      <c r="C94" s="72">
        <v>0</v>
      </c>
      <c r="D94" s="72">
        <v>0</v>
      </c>
      <c r="E94" s="72">
        <v>0</v>
      </c>
      <c r="F94" s="72">
        <v>0</v>
      </c>
      <c r="G94" s="72">
        <v>0</v>
      </c>
      <c r="H94" s="72">
        <v>0</v>
      </c>
      <c r="I94" s="72">
        <f>SUMIFS('PR Data'!$P:$P,'PR Data'!$Q:$Q,'PR Report - DOWNTOWN'!$A94,'PR Data'!$R:$R,"Approved",'PR Data'!$W:$W,I$78,'PR Data'!$U:$U,'PR Report - DOWNTOWN'!$A$77,'PR Data'!$B:$B,"&lt;&gt;" &amp; "Cheque")</f>
        <v>0</v>
      </c>
      <c r="J94" s="72">
        <f>SUMIFS('PR Data'!$P:$P,'PR Data'!$Q:$Q,'PR Report - DOWNTOWN'!$A94,'PR Data'!$R:$R,"Approved",'PR Data'!$W:$W,J$78,'PR Data'!$U:$U,'PR Report - DOWNTOWN'!$A$77,'PR Data'!$B:$B,"&lt;&gt;" &amp; "Cheque")</f>
        <v>0</v>
      </c>
      <c r="K94" s="72">
        <f>SUMIFS('PR Data'!$P:$P,'PR Data'!$Q:$Q,'PR Report - DOWNTOWN'!$A94,'PR Data'!$R:$R,"Approved",'PR Data'!$W:$W,K$78,'PR Data'!$U:$U,'PR Report - DOWNTOWN'!$A$77,'PR Data'!$B:$B,"&lt;&gt;" &amp; "Cheque")</f>
        <v>0</v>
      </c>
      <c r="L94" s="72">
        <f>SUMIFS('PR Data'!$P:$P,'PR Data'!$Q:$Q,'PR Report - DOWNTOWN'!$A94,'PR Data'!$R:$R,"Approved",'PR Data'!$W:$W,L$78,'PR Data'!$U:$U,'PR Report - DOWNTOWN'!$A$77,'PR Data'!$B:$B,"&lt;&gt;" &amp; "Cheque")</f>
        <v>0</v>
      </c>
      <c r="M94" s="60">
        <f t="shared" si="6"/>
        <v>0</v>
      </c>
    </row>
    <row r="95" spans="1:13" x14ac:dyDescent="0.25">
      <c r="A95" s="54" t="s">
        <v>10</v>
      </c>
      <c r="B95" s="60">
        <v>4017950.34</v>
      </c>
      <c r="C95" s="72">
        <v>0</v>
      </c>
      <c r="D95" s="72">
        <v>0</v>
      </c>
      <c r="E95" s="72">
        <v>0</v>
      </c>
      <c r="F95" s="72">
        <v>0</v>
      </c>
      <c r="G95" s="72">
        <v>0</v>
      </c>
      <c r="H95" s="72">
        <v>0</v>
      </c>
      <c r="I95" s="72">
        <f>SUMIFS('PR Data'!$P:$P,'PR Data'!$Q:$Q,'PR Report - DOWNTOWN'!$A95,'PR Data'!$R:$R,"Approved",'PR Data'!$W:$W,I$78,'PR Data'!$U:$U,'PR Report - DOWNTOWN'!$A$77,'PR Data'!$B:$B,"&lt;&gt;" &amp; "Cheque")</f>
        <v>54215.9</v>
      </c>
      <c r="J95" s="72">
        <f>SUMIFS('PR Data'!$P:$P,'PR Data'!$Q:$Q,'PR Report - DOWNTOWN'!$A95,'PR Data'!$R:$R,"Approved",'PR Data'!$W:$W,J$78,'PR Data'!$U:$U,'PR Report - DOWNTOWN'!$A$77,'PR Data'!$B:$B,"&lt;&gt;" &amp; "Cheque")</f>
        <v>0</v>
      </c>
      <c r="K95" s="72">
        <f>SUMIFS('PR Data'!$P:$P,'PR Data'!$Q:$Q,'PR Report - DOWNTOWN'!$A95,'PR Data'!$R:$R,"Approved",'PR Data'!$W:$W,K$78,'PR Data'!$U:$U,'PR Report - DOWNTOWN'!$A$77,'PR Data'!$B:$B,"&lt;&gt;" &amp; "Cheque")</f>
        <v>3785284.44</v>
      </c>
      <c r="L95" s="72">
        <f>SUMIFS('PR Data'!$P:$P,'PR Data'!$Q:$Q,'PR Report - DOWNTOWN'!$A95,'PR Data'!$R:$R,"Approved",'PR Data'!$W:$W,L$78,'PR Data'!$U:$U,'PR Report - DOWNTOWN'!$A$77,'PR Data'!$B:$B,"&lt;&gt;" &amp; "Cheque")</f>
        <v>178450</v>
      </c>
      <c r="M95" s="60">
        <f t="shared" si="6"/>
        <v>0</v>
      </c>
    </row>
    <row r="96" spans="1:13" x14ac:dyDescent="0.25">
      <c r="A96" s="54" t="s">
        <v>8</v>
      </c>
      <c r="B96" s="60">
        <v>0</v>
      </c>
      <c r="C96" s="72">
        <v>0</v>
      </c>
      <c r="D96" s="72">
        <v>0</v>
      </c>
      <c r="E96" s="72">
        <v>0</v>
      </c>
      <c r="F96" s="72">
        <v>0</v>
      </c>
      <c r="G96" s="72">
        <v>0</v>
      </c>
      <c r="H96" s="72">
        <v>0</v>
      </c>
      <c r="I96" s="72">
        <f>SUMIFS('PR Data'!$P:$P,'PR Data'!$Q:$Q,'PR Report - DOWNTOWN'!$A96,'PR Data'!$R:$R,"Approved",'PR Data'!$W:$W,I$78,'PR Data'!$U:$U,'PR Report - DOWNTOWN'!$A$77,'PR Data'!$B:$B,"&lt;&gt;" &amp; "Cheque")</f>
        <v>0</v>
      </c>
      <c r="J96" s="72">
        <f>SUMIFS('PR Data'!$P:$P,'PR Data'!$Q:$Q,'PR Report - DOWNTOWN'!$A96,'PR Data'!$R:$R,"Approved",'PR Data'!$W:$W,J$78,'PR Data'!$U:$U,'PR Report - DOWNTOWN'!$A$77,'PR Data'!$B:$B,"&lt;&gt;" &amp; "Cheque")</f>
        <v>0</v>
      </c>
      <c r="K96" s="72">
        <f>SUMIFS('PR Data'!$P:$P,'PR Data'!$Q:$Q,'PR Report - DOWNTOWN'!$A96,'PR Data'!$R:$R,"Approved",'PR Data'!$W:$W,K$78,'PR Data'!$U:$U,'PR Report - DOWNTOWN'!$A$77,'PR Data'!$B:$B,"&lt;&gt;" &amp; "Cheque")</f>
        <v>0</v>
      </c>
      <c r="L96" s="72">
        <f>SUMIFS('PR Data'!$P:$P,'PR Data'!$Q:$Q,'PR Report - DOWNTOWN'!$A96,'PR Data'!$R:$R,"Approved",'PR Data'!$W:$W,L$78,'PR Data'!$U:$U,'PR Report - DOWNTOWN'!$A$77,'PR Data'!$B:$B,"&lt;&gt;" &amp; "Cheque")</f>
        <v>0</v>
      </c>
      <c r="M96" s="60">
        <f t="shared" si="6"/>
        <v>0</v>
      </c>
    </row>
    <row r="97" spans="1:18" x14ac:dyDescent="0.25">
      <c r="A97" s="54" t="s">
        <v>9</v>
      </c>
      <c r="B97" s="60">
        <v>0</v>
      </c>
      <c r="C97" s="72">
        <v>0</v>
      </c>
      <c r="D97" s="72">
        <v>0</v>
      </c>
      <c r="E97" s="72">
        <v>0</v>
      </c>
      <c r="F97" s="72">
        <v>0</v>
      </c>
      <c r="G97" s="72">
        <v>0</v>
      </c>
      <c r="H97" s="72">
        <v>0</v>
      </c>
      <c r="I97" s="72">
        <f>SUMIFS('PR Data'!$P:$P,'PR Data'!$Q:$Q,'PR Report - DOWNTOWN'!$A97,'PR Data'!$R:$R,"Approved",'PR Data'!$W:$W,I$78,'PR Data'!$U:$U,'PR Report - DOWNTOWN'!$A$77,'PR Data'!$B:$B,"&lt;&gt;" &amp; "Cheque")</f>
        <v>0</v>
      </c>
      <c r="J97" s="72">
        <f>SUMIFS('PR Data'!$P:$P,'PR Data'!$Q:$Q,'PR Report - DOWNTOWN'!$A97,'PR Data'!$R:$R,"Approved",'PR Data'!$W:$W,J$78,'PR Data'!$U:$U,'PR Report - DOWNTOWN'!$A$77,'PR Data'!$B:$B,"&lt;&gt;" &amp; "Cheque")</f>
        <v>0</v>
      </c>
      <c r="K97" s="72">
        <f>SUMIFS('PR Data'!$P:$P,'PR Data'!$Q:$Q,'PR Report - DOWNTOWN'!$A97,'PR Data'!$R:$R,"Approved",'PR Data'!$W:$W,K$78,'PR Data'!$U:$U,'PR Report - DOWNTOWN'!$A$77,'PR Data'!$B:$B,"&lt;&gt;" &amp; "Cheque")</f>
        <v>0</v>
      </c>
      <c r="L97" s="72">
        <f>SUMIFS('PR Data'!$P:$P,'PR Data'!$Q:$Q,'PR Report - DOWNTOWN'!$A97,'PR Data'!$R:$R,"Approved",'PR Data'!$W:$W,L$78,'PR Data'!$U:$U,'PR Report - DOWNTOWN'!$A$77,'PR Data'!$B:$B,"&lt;&gt;" &amp; "Cheque")</f>
        <v>0</v>
      </c>
      <c r="M97" s="60">
        <f t="shared" si="6"/>
        <v>0</v>
      </c>
    </row>
    <row r="98" spans="1:18" x14ac:dyDescent="0.25">
      <c r="A98" s="54" t="s">
        <v>11</v>
      </c>
      <c r="B98" s="60">
        <v>0</v>
      </c>
      <c r="C98" s="72">
        <v>0</v>
      </c>
      <c r="D98" s="72">
        <v>0</v>
      </c>
      <c r="E98" s="72">
        <v>0</v>
      </c>
      <c r="F98" s="72">
        <v>0</v>
      </c>
      <c r="G98" s="72">
        <v>0</v>
      </c>
      <c r="H98" s="72">
        <v>0</v>
      </c>
      <c r="I98" s="72">
        <f>SUMIFS('PR Data'!$P:$P,'PR Data'!$Q:$Q,'PR Report - DOWNTOWN'!$A98,'PR Data'!$R:$R,"Approved",'PR Data'!$W:$W,I$78,'PR Data'!$U:$U,'PR Report - DOWNTOWN'!$A$77,'PR Data'!$B:$B,"&lt;&gt;" &amp; "Cheque")</f>
        <v>0</v>
      </c>
      <c r="J98" s="72">
        <f>SUMIFS('PR Data'!$P:$P,'PR Data'!$Q:$Q,'PR Report - DOWNTOWN'!$A98,'PR Data'!$R:$R,"Approved",'PR Data'!$W:$W,J$78,'PR Data'!$U:$U,'PR Report - DOWNTOWN'!$A$77,'PR Data'!$B:$B,"&lt;&gt;" &amp; "Cheque")</f>
        <v>0</v>
      </c>
      <c r="K98" s="72">
        <f>SUMIFS('PR Data'!$P:$P,'PR Data'!$Q:$Q,'PR Report - DOWNTOWN'!$A98,'PR Data'!$R:$R,"Approved",'PR Data'!$W:$W,K$78,'PR Data'!$U:$U,'PR Report - DOWNTOWN'!$A$77,'PR Data'!$B:$B,"&lt;&gt;" &amp; "Cheque")</f>
        <v>0</v>
      </c>
      <c r="L98" s="72">
        <f>SUMIFS('PR Data'!$P:$P,'PR Data'!$Q:$Q,'PR Report - DOWNTOWN'!$A98,'PR Data'!$R:$R,"Approved",'PR Data'!$W:$W,L$78,'PR Data'!$U:$U,'PR Report - DOWNTOWN'!$A$77,'PR Data'!$B:$B,"&lt;&gt;" &amp; "Cheque")</f>
        <v>0</v>
      </c>
      <c r="M98" s="60">
        <f t="shared" si="6"/>
        <v>0</v>
      </c>
    </row>
    <row r="99" spans="1:18" x14ac:dyDescent="0.25">
      <c r="A99" s="64" t="s">
        <v>58</v>
      </c>
      <c r="B99" s="69">
        <f t="shared" ref="B99:M99" si="7">SUM(B80:B97)</f>
        <v>4017950.34</v>
      </c>
      <c r="C99" s="69">
        <f t="shared" si="7"/>
        <v>0</v>
      </c>
      <c r="D99" s="69">
        <f t="shared" si="7"/>
        <v>0</v>
      </c>
      <c r="E99" s="69">
        <f t="shared" si="7"/>
        <v>0</v>
      </c>
      <c r="F99" s="130">
        <f t="shared" si="7"/>
        <v>0</v>
      </c>
      <c r="G99" s="69">
        <f t="shared" si="7"/>
        <v>0</v>
      </c>
      <c r="H99" s="69">
        <f t="shared" si="7"/>
        <v>0</v>
      </c>
      <c r="I99" s="69">
        <f t="shared" si="7"/>
        <v>54215.9</v>
      </c>
      <c r="J99" s="69">
        <f t="shared" si="7"/>
        <v>0</v>
      </c>
      <c r="K99" s="69">
        <f t="shared" si="7"/>
        <v>3785284.44</v>
      </c>
      <c r="L99" s="69">
        <f t="shared" si="7"/>
        <v>178450</v>
      </c>
      <c r="M99" s="69">
        <f t="shared" si="7"/>
        <v>0</v>
      </c>
      <c r="Q99" s="23"/>
    </row>
    <row r="100" spans="1:18" x14ac:dyDescent="0.25">
      <c r="A100" s="20" t="s">
        <v>37</v>
      </c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R100" s="23"/>
    </row>
    <row r="101" spans="1:18" x14ac:dyDescent="0.25">
      <c r="A101" s="70" t="s">
        <v>40</v>
      </c>
      <c r="B101" s="60">
        <v>0</v>
      </c>
      <c r="C101" s="72">
        <v>0</v>
      </c>
      <c r="D101" s="72">
        <v>0</v>
      </c>
      <c r="E101" s="72">
        <v>0</v>
      </c>
      <c r="F101" s="72">
        <v>0</v>
      </c>
      <c r="G101" s="72">
        <v>0</v>
      </c>
      <c r="H101" s="72">
        <v>0</v>
      </c>
      <c r="I101" s="72">
        <f>SUMIFS('PR Data'!$P:$P,'PR Data'!$Q:$Q,'PR Report - DOWNTOWN'!$A101,'PR Data'!$R:$R,"Approved",'PR Data'!$W:$W,I$78,'PR Data'!$U:$U,'PR Report - DOWNTOWN'!$A$77,'PR Data'!$B:$B,"&lt;&gt;" &amp; "Cheque")</f>
        <v>0</v>
      </c>
      <c r="J101" s="72">
        <f>SUMIFS('PR Data'!$P:$P,'PR Data'!$Q:$Q,'PR Report - DOWNTOWN'!$A101,'PR Data'!$R:$R,"Approved",'PR Data'!$W:$W,J$78,'PR Data'!$U:$U,'PR Report - DOWNTOWN'!$A$77,'PR Data'!$B:$B,"&lt;&gt;" &amp; "Cheque")</f>
        <v>0</v>
      </c>
      <c r="K101" s="72">
        <f>SUMIFS('PR Data'!$P:$P,'PR Data'!$Q:$Q,'PR Report - DOWNTOWN'!$A101,'PR Data'!$R:$R,"Approved",'PR Data'!$W:$W,K$78,'PR Data'!$U:$U,'PR Report - DOWNTOWN'!$A$77,'PR Data'!$B:$B,"&lt;&gt;" &amp; "Cheque")</f>
        <v>0</v>
      </c>
      <c r="L101" s="72">
        <f>SUMIFS('PR Data'!$P:$P,'PR Data'!$Q:$Q,'PR Report - DOWNTOWN'!$A101,'PR Data'!$R:$R,"Approved",'PR Data'!$W:$W,L$78,'PR Data'!$U:$U,'PR Report - DOWNTOWN'!$A$77,'PR Data'!$B:$B,"&lt;&gt;" &amp; "Cheque")</f>
        <v>0</v>
      </c>
      <c r="M101" s="60">
        <f t="shared" ref="M101:M111" si="8">B101-SUM(C101:L101)</f>
        <v>0</v>
      </c>
    </row>
    <row r="102" spans="1:18" x14ac:dyDescent="0.25">
      <c r="A102" s="54" t="s">
        <v>45</v>
      </c>
      <c r="B102" s="60">
        <v>0</v>
      </c>
      <c r="C102" s="72">
        <v>0</v>
      </c>
      <c r="D102" s="72">
        <v>0</v>
      </c>
      <c r="E102" s="72">
        <v>0</v>
      </c>
      <c r="F102" s="72">
        <v>0</v>
      </c>
      <c r="G102" s="72">
        <v>0</v>
      </c>
      <c r="H102" s="72">
        <v>0</v>
      </c>
      <c r="I102" s="72">
        <f>SUMIFS('PR Data'!$P:$P,'PR Data'!$Q:$Q,'PR Report - DOWNTOWN'!$A102,'PR Data'!$R:$R,"Approved",'PR Data'!$W:$W,I$78,'PR Data'!$U:$U,'PR Report - DOWNTOWN'!$A$77,'PR Data'!$B:$B,"&lt;&gt;" &amp; "Cheque")</f>
        <v>0</v>
      </c>
      <c r="J102" s="72">
        <f>SUMIFS('PR Data'!$P:$P,'PR Data'!$Q:$Q,'PR Report - DOWNTOWN'!$A102,'PR Data'!$R:$R,"Approved",'PR Data'!$W:$W,J$78,'PR Data'!$U:$U,'PR Report - DOWNTOWN'!$A$77,'PR Data'!$B:$B,"&lt;&gt;" &amp; "Cheque")</f>
        <v>0</v>
      </c>
      <c r="K102" s="72">
        <f>SUMIFS('PR Data'!$P:$P,'PR Data'!$Q:$Q,'PR Report - DOWNTOWN'!$A102,'PR Data'!$R:$R,"Approved",'PR Data'!$W:$W,K$78,'PR Data'!$U:$U,'PR Report - DOWNTOWN'!$A$77,'PR Data'!$B:$B,"&lt;&gt;" &amp; "Cheque")</f>
        <v>0</v>
      </c>
      <c r="L102" s="72">
        <f>SUMIFS('PR Data'!$P:$P,'PR Data'!$Q:$Q,'PR Report - DOWNTOWN'!$A102,'PR Data'!$R:$R,"Approved",'PR Data'!$W:$W,L$78,'PR Data'!$U:$U,'PR Report - DOWNTOWN'!$A$77,'PR Data'!$B:$B,"&lt;&gt;" &amp; "Cheque")</f>
        <v>0</v>
      </c>
      <c r="M102" s="60">
        <f>B102-SUM(C102:L102)</f>
        <v>0</v>
      </c>
    </row>
    <row r="103" spans="1:18" x14ac:dyDescent="0.25">
      <c r="A103" s="70" t="s">
        <v>38</v>
      </c>
      <c r="B103" s="60">
        <v>0</v>
      </c>
      <c r="C103" s="72">
        <v>0</v>
      </c>
      <c r="D103" s="72">
        <v>0</v>
      </c>
      <c r="E103" s="72">
        <v>0</v>
      </c>
      <c r="F103" s="72">
        <v>0</v>
      </c>
      <c r="G103" s="72">
        <v>0</v>
      </c>
      <c r="H103" s="72">
        <v>0</v>
      </c>
      <c r="I103" s="72">
        <f>SUMIFS('PR Data'!$P:$P,'PR Data'!$Q:$Q,'PR Report - DOWNTOWN'!$A103,'PR Data'!$R:$R,"Approved",'PR Data'!$W:$W,I$78,'PR Data'!$U:$U,'PR Report - DOWNTOWN'!$A$77,'PR Data'!$B:$B,"&lt;&gt;" &amp; "Cheque")</f>
        <v>0</v>
      </c>
      <c r="J103" s="72">
        <f>SUMIFS('PR Data'!$P:$P,'PR Data'!$Q:$Q,'PR Report - DOWNTOWN'!$A103,'PR Data'!$R:$R,"Approved",'PR Data'!$W:$W,J$78,'PR Data'!$U:$U,'PR Report - DOWNTOWN'!$A$77,'PR Data'!$B:$B,"&lt;&gt;" &amp; "Cheque")</f>
        <v>0</v>
      </c>
      <c r="K103" s="72">
        <f>SUMIFS('PR Data'!$P:$P,'PR Data'!$Q:$Q,'PR Report - DOWNTOWN'!$A103,'PR Data'!$R:$R,"Approved",'PR Data'!$W:$W,K$78,'PR Data'!$U:$U,'PR Report - DOWNTOWN'!$A$77,'PR Data'!$B:$B,"&lt;&gt;" &amp; "Cheque")</f>
        <v>0</v>
      </c>
      <c r="L103" s="72">
        <f>SUMIFS('PR Data'!$P:$P,'PR Data'!$Q:$Q,'PR Report - DOWNTOWN'!$A103,'PR Data'!$R:$R,"Approved",'PR Data'!$W:$W,L$78,'PR Data'!$U:$U,'PR Report - DOWNTOWN'!$A$77,'PR Data'!$B:$B,"&lt;&gt;" &amp; "Cheque")</f>
        <v>0</v>
      </c>
      <c r="M103" s="60">
        <f t="shared" si="8"/>
        <v>0</v>
      </c>
    </row>
    <row r="104" spans="1:18" x14ac:dyDescent="0.25">
      <c r="A104" s="70" t="s">
        <v>39</v>
      </c>
      <c r="B104" s="60">
        <v>0</v>
      </c>
      <c r="C104" s="72">
        <v>0</v>
      </c>
      <c r="D104" s="72">
        <v>0</v>
      </c>
      <c r="E104" s="72">
        <v>0</v>
      </c>
      <c r="F104" s="72">
        <v>0</v>
      </c>
      <c r="G104" s="72">
        <v>0</v>
      </c>
      <c r="H104" s="72">
        <v>0</v>
      </c>
      <c r="I104" s="72">
        <f>SUMIFS('PR Data'!$P:$P,'PR Data'!$Q:$Q,'PR Report - DOWNTOWN'!$A104,'PR Data'!$R:$R,"Approved",'PR Data'!$W:$W,I$78,'PR Data'!$U:$U,'PR Report - DOWNTOWN'!$A$77,'PR Data'!$B:$B,"&lt;&gt;" &amp; "Cheque")</f>
        <v>0</v>
      </c>
      <c r="J104" s="72">
        <f>SUMIFS('PR Data'!$P:$P,'PR Data'!$Q:$Q,'PR Report - DOWNTOWN'!$A104,'PR Data'!$R:$R,"Approved",'PR Data'!$W:$W,J$78,'PR Data'!$U:$U,'PR Report - DOWNTOWN'!$A$77,'PR Data'!$B:$B,"&lt;&gt;" &amp; "Cheque")</f>
        <v>0</v>
      </c>
      <c r="K104" s="72">
        <f>SUMIFS('PR Data'!$P:$P,'PR Data'!$Q:$Q,'PR Report - DOWNTOWN'!$A104,'PR Data'!$R:$R,"Approved",'PR Data'!$W:$W,K$78,'PR Data'!$U:$U,'PR Report - DOWNTOWN'!$A$77,'PR Data'!$B:$B,"&lt;&gt;" &amp; "Cheque")</f>
        <v>0</v>
      </c>
      <c r="L104" s="72">
        <f>SUMIFS('PR Data'!$P:$P,'PR Data'!$Q:$Q,'PR Report - DOWNTOWN'!$A104,'PR Data'!$R:$R,"Approved",'PR Data'!$W:$W,L$78,'PR Data'!$U:$U,'PR Report - DOWNTOWN'!$A$77,'PR Data'!$B:$B,"&lt;&gt;" &amp; "Cheque")</f>
        <v>0</v>
      </c>
      <c r="M104" s="60">
        <f t="shared" si="8"/>
        <v>0</v>
      </c>
    </row>
    <row r="105" spans="1:18" x14ac:dyDescent="0.25">
      <c r="A105" s="54" t="s">
        <v>43</v>
      </c>
      <c r="B105" s="60">
        <v>0</v>
      </c>
      <c r="C105" s="72">
        <v>0</v>
      </c>
      <c r="D105" s="72">
        <v>0</v>
      </c>
      <c r="E105" s="72">
        <v>0</v>
      </c>
      <c r="F105" s="72">
        <v>0</v>
      </c>
      <c r="G105" s="72">
        <v>0</v>
      </c>
      <c r="H105" s="72">
        <v>0</v>
      </c>
      <c r="I105" s="72">
        <f>SUMIFS('PR Data'!$P:$P,'PR Data'!$Q:$Q,'PR Report - DOWNTOWN'!$A105,'PR Data'!$R:$R,"Approved",'PR Data'!$W:$W,I$78,'PR Data'!$U:$U,'PR Report - DOWNTOWN'!$A$77,'PR Data'!$B:$B,"&lt;&gt;" &amp; "Cheque")</f>
        <v>0</v>
      </c>
      <c r="J105" s="72">
        <f>SUMIFS('PR Data'!$P:$P,'PR Data'!$Q:$Q,'PR Report - DOWNTOWN'!$A105,'PR Data'!$R:$R,"Approved",'PR Data'!$W:$W,J$78,'PR Data'!$U:$U,'PR Report - DOWNTOWN'!$A$77,'PR Data'!$B:$B,"&lt;&gt;" &amp; "Cheque")</f>
        <v>0</v>
      </c>
      <c r="K105" s="72">
        <f>SUMIFS('PR Data'!$P:$P,'PR Data'!$Q:$Q,'PR Report - DOWNTOWN'!$A105,'PR Data'!$R:$R,"Approved",'PR Data'!$W:$W,K$78,'PR Data'!$U:$U,'PR Report - DOWNTOWN'!$A$77,'PR Data'!$B:$B,"&lt;&gt;" &amp; "Cheque")</f>
        <v>0</v>
      </c>
      <c r="L105" s="72">
        <f>SUMIFS('PR Data'!$P:$P,'PR Data'!$Q:$Q,'PR Report - DOWNTOWN'!$A105,'PR Data'!$R:$R,"Approved",'PR Data'!$W:$W,L$78,'PR Data'!$U:$U,'PR Report - DOWNTOWN'!$A$77,'PR Data'!$B:$B,"&lt;&gt;" &amp; "Cheque")</f>
        <v>0</v>
      </c>
      <c r="M105" s="60">
        <f t="shared" si="8"/>
        <v>0</v>
      </c>
    </row>
    <row r="106" spans="1:18" x14ac:dyDescent="0.25">
      <c r="A106" s="54" t="s">
        <v>42</v>
      </c>
      <c r="B106" s="60">
        <v>604342</v>
      </c>
      <c r="C106" s="72">
        <v>0</v>
      </c>
      <c r="D106" s="72">
        <v>0</v>
      </c>
      <c r="E106" s="72">
        <v>0</v>
      </c>
      <c r="F106" s="72">
        <v>0</v>
      </c>
      <c r="G106" s="72">
        <v>0</v>
      </c>
      <c r="H106" s="72">
        <v>0</v>
      </c>
      <c r="I106" s="72">
        <f>SUMIFS('PR Data'!$P:$P,'PR Data'!$Q:$Q,'PR Report - DOWNTOWN'!$A106,'PR Data'!$R:$R,"Approved",'PR Data'!$W:$W,I$78,'PR Data'!$U:$U,'PR Report - DOWNTOWN'!$A$77,'PR Data'!$B:$B,"&lt;&gt;" &amp; "Cheque")</f>
        <v>150000</v>
      </c>
      <c r="J106" s="72">
        <f>SUMIFS('PR Data'!$P:$P,'PR Data'!$Q:$Q,'PR Report - DOWNTOWN'!$A106,'PR Data'!$R:$R,"Approved",'PR Data'!$W:$W,J$78,'PR Data'!$U:$U,'PR Report - DOWNTOWN'!$A$77,'PR Data'!$B:$B,"&lt;&gt;" &amp; "Cheque")</f>
        <v>0</v>
      </c>
      <c r="K106" s="72">
        <f>SUMIFS('PR Data'!$P:$P,'PR Data'!$Q:$Q,'PR Report - DOWNTOWN'!$A106,'PR Data'!$R:$R,"Approved",'PR Data'!$W:$W,K$78,'PR Data'!$U:$U,'PR Report - DOWNTOWN'!$A$77,'PR Data'!$B:$B,"&lt;&gt;" &amp; "Cheque")</f>
        <v>454342</v>
      </c>
      <c r="L106" s="72">
        <f>SUMIFS('PR Data'!$P:$P,'PR Data'!$Q:$Q,'PR Report - DOWNTOWN'!$A106,'PR Data'!$R:$R,"Approved",'PR Data'!$W:$W,L$78,'PR Data'!$U:$U,'PR Report - DOWNTOWN'!$A$77,'PR Data'!$B:$B,"&lt;&gt;" &amp; "Cheque")</f>
        <v>0</v>
      </c>
      <c r="M106" s="60">
        <f t="shared" si="8"/>
        <v>0</v>
      </c>
    </row>
    <row r="107" spans="1:18" x14ac:dyDescent="0.25">
      <c r="A107" s="54" t="s">
        <v>41</v>
      </c>
      <c r="B107" s="60">
        <v>0</v>
      </c>
      <c r="C107" s="72">
        <v>0</v>
      </c>
      <c r="D107" s="72">
        <v>0</v>
      </c>
      <c r="E107" s="72">
        <v>0</v>
      </c>
      <c r="F107" s="72">
        <v>0</v>
      </c>
      <c r="G107" s="72">
        <v>0</v>
      </c>
      <c r="H107" s="72">
        <v>0</v>
      </c>
      <c r="I107" s="72">
        <f>SUMIFS('PR Data'!$P:$P,'PR Data'!$Q:$Q,'PR Report - DOWNTOWN'!$A107,'PR Data'!$R:$R,"Approved",'PR Data'!$W:$W,I$78,'PR Data'!$U:$U,'PR Report - DOWNTOWN'!$A$77,'PR Data'!$B:$B,"&lt;&gt;" &amp; "Cheque")</f>
        <v>0</v>
      </c>
      <c r="J107" s="72">
        <f>SUMIFS('PR Data'!$P:$P,'PR Data'!$Q:$Q,'PR Report - DOWNTOWN'!$A107,'PR Data'!$R:$R,"Approved",'PR Data'!$W:$W,J$78,'PR Data'!$U:$U,'PR Report - DOWNTOWN'!$A$77,'PR Data'!$B:$B,"&lt;&gt;" &amp; "Cheque")</f>
        <v>0</v>
      </c>
      <c r="K107" s="72">
        <f>SUMIFS('PR Data'!$P:$P,'PR Data'!$Q:$Q,'PR Report - DOWNTOWN'!$A107,'PR Data'!$R:$R,"Approved",'PR Data'!$W:$W,K$78,'PR Data'!$U:$U,'PR Report - DOWNTOWN'!$A$77,'PR Data'!$B:$B,"&lt;&gt;" &amp; "Cheque")</f>
        <v>0</v>
      </c>
      <c r="L107" s="72">
        <f>SUMIFS('PR Data'!$P:$P,'PR Data'!$Q:$Q,'PR Report - DOWNTOWN'!$A107,'PR Data'!$R:$R,"Approved",'PR Data'!$W:$W,L$78,'PR Data'!$U:$U,'PR Report - DOWNTOWN'!$A$77,'PR Data'!$B:$B,"&lt;&gt;" &amp; "Cheque")</f>
        <v>0</v>
      </c>
      <c r="M107" s="60">
        <f t="shared" si="8"/>
        <v>0</v>
      </c>
    </row>
    <row r="108" spans="1:18" x14ac:dyDescent="0.25">
      <c r="A108" s="54" t="s">
        <v>49</v>
      </c>
      <c r="B108" s="60">
        <v>0</v>
      </c>
      <c r="C108" s="72">
        <v>0</v>
      </c>
      <c r="D108" s="72">
        <v>0</v>
      </c>
      <c r="E108" s="72">
        <v>0</v>
      </c>
      <c r="F108" s="72">
        <v>0</v>
      </c>
      <c r="G108" s="72">
        <v>0</v>
      </c>
      <c r="H108" s="72">
        <v>0</v>
      </c>
      <c r="I108" s="72">
        <f>SUMIFS('PR Data'!$P:$P,'PR Data'!$Q:$Q,'PR Report - DOWNTOWN'!$A108,'PR Data'!$R:$R,"Approved",'PR Data'!$W:$W,I$78,'PR Data'!$U:$U,'PR Report - DOWNTOWN'!$A$77,'PR Data'!$B:$B,"&lt;&gt;" &amp; "Cheque")</f>
        <v>0</v>
      </c>
      <c r="J108" s="72">
        <f>SUMIFS('PR Data'!$P:$P,'PR Data'!$Q:$Q,'PR Report - DOWNTOWN'!$A108,'PR Data'!$R:$R,"Approved",'PR Data'!$W:$W,J$78,'PR Data'!$U:$U,'PR Report - DOWNTOWN'!$A$77,'PR Data'!$B:$B,"&lt;&gt;" &amp; "Cheque")</f>
        <v>0</v>
      </c>
      <c r="K108" s="72">
        <f>SUMIFS('PR Data'!$P:$P,'PR Data'!$Q:$Q,'PR Report - DOWNTOWN'!$A108,'PR Data'!$R:$R,"Approved",'PR Data'!$W:$W,K$78,'PR Data'!$U:$U,'PR Report - DOWNTOWN'!$A$77,'PR Data'!$B:$B,"&lt;&gt;" &amp; "Cheque")</f>
        <v>0</v>
      </c>
      <c r="L108" s="72">
        <f>SUMIFS('PR Data'!$P:$P,'PR Data'!$Q:$Q,'PR Report - DOWNTOWN'!$A108,'PR Data'!$R:$R,"Approved",'PR Data'!$W:$W,L$78,'PR Data'!$U:$U,'PR Report - DOWNTOWN'!$A$77,'PR Data'!$B:$B,"&lt;&gt;" &amp; "Cheque")</f>
        <v>0</v>
      </c>
      <c r="M108" s="60">
        <f t="shared" si="8"/>
        <v>0</v>
      </c>
    </row>
    <row r="109" spans="1:18" x14ac:dyDescent="0.25">
      <c r="A109" s="54" t="s">
        <v>46</v>
      </c>
      <c r="B109" s="60">
        <v>0</v>
      </c>
      <c r="C109" s="72">
        <v>0</v>
      </c>
      <c r="D109" s="72">
        <v>0</v>
      </c>
      <c r="E109" s="72">
        <v>0</v>
      </c>
      <c r="F109" s="72">
        <v>0</v>
      </c>
      <c r="G109" s="72">
        <v>0</v>
      </c>
      <c r="H109" s="72">
        <v>0</v>
      </c>
      <c r="I109" s="72">
        <f>SUMIFS('PR Data'!$P:$P,'PR Data'!$Q:$Q,'PR Report - DOWNTOWN'!$A109,'PR Data'!$R:$R,"Approved",'PR Data'!$W:$W,I$78,'PR Data'!$U:$U,'PR Report - DOWNTOWN'!$A$77,'PR Data'!$B:$B,"&lt;&gt;" &amp; "Cheque")</f>
        <v>0</v>
      </c>
      <c r="J109" s="72">
        <f>SUMIFS('PR Data'!$P:$P,'PR Data'!$Q:$Q,'PR Report - DOWNTOWN'!$A109,'PR Data'!$R:$R,"Approved",'PR Data'!$W:$W,J$78,'PR Data'!$U:$U,'PR Report - DOWNTOWN'!$A$77,'PR Data'!$B:$B,"&lt;&gt;" &amp; "Cheque")</f>
        <v>0</v>
      </c>
      <c r="K109" s="72">
        <f>SUMIFS('PR Data'!$P:$P,'PR Data'!$Q:$Q,'PR Report - DOWNTOWN'!$A109,'PR Data'!$R:$R,"Approved",'PR Data'!$W:$W,K$78,'PR Data'!$U:$U,'PR Report - DOWNTOWN'!$A$77,'PR Data'!$B:$B,"&lt;&gt;" &amp; "Cheque")</f>
        <v>0</v>
      </c>
      <c r="L109" s="72">
        <f>SUMIFS('PR Data'!$P:$P,'PR Data'!$Q:$Q,'PR Report - DOWNTOWN'!$A109,'PR Data'!$R:$R,"Approved",'PR Data'!$W:$W,L$78,'PR Data'!$U:$U,'PR Report - DOWNTOWN'!$A$77,'PR Data'!$B:$B,"&lt;&gt;" &amp; "Cheque")</f>
        <v>0</v>
      </c>
      <c r="M109" s="60"/>
    </row>
    <row r="110" spans="1:18" x14ac:dyDescent="0.25">
      <c r="A110" s="54" t="s">
        <v>48</v>
      </c>
      <c r="B110" s="60">
        <v>0</v>
      </c>
      <c r="C110" s="72">
        <v>0</v>
      </c>
      <c r="D110" s="72">
        <v>0</v>
      </c>
      <c r="E110" s="72">
        <v>0</v>
      </c>
      <c r="F110" s="72">
        <v>0</v>
      </c>
      <c r="G110" s="72">
        <v>0</v>
      </c>
      <c r="H110" s="72">
        <v>0</v>
      </c>
      <c r="I110" s="72">
        <f>SUMIFS('PR Data'!$P:$P,'PR Data'!$Q:$Q,'PR Report - DOWNTOWN'!$A110,'PR Data'!$R:$R,"Approved",'PR Data'!$W:$W,I$78,'PR Data'!$U:$U,'PR Report - DOWNTOWN'!$A$77,'PR Data'!$B:$B,"&lt;&gt;" &amp; "Cheque")</f>
        <v>0</v>
      </c>
      <c r="J110" s="72">
        <f>SUMIFS('PR Data'!$P:$P,'PR Data'!$Q:$Q,'PR Report - DOWNTOWN'!$A110,'PR Data'!$R:$R,"Approved",'PR Data'!$W:$W,J$78,'PR Data'!$U:$U,'PR Report - DOWNTOWN'!$A$77,'PR Data'!$B:$B,"&lt;&gt;" &amp; "Cheque")</f>
        <v>0</v>
      </c>
      <c r="K110" s="72">
        <f>SUMIFS('PR Data'!$P:$P,'PR Data'!$Q:$Q,'PR Report - DOWNTOWN'!$A110,'PR Data'!$R:$R,"Approved",'PR Data'!$W:$W,K$78,'PR Data'!$U:$U,'PR Report - DOWNTOWN'!$A$77,'PR Data'!$B:$B,"&lt;&gt;" &amp; "Cheque")</f>
        <v>0</v>
      </c>
      <c r="L110" s="72">
        <f>SUMIFS('PR Data'!$P:$P,'PR Data'!$Q:$Q,'PR Report - DOWNTOWN'!$A110,'PR Data'!$R:$R,"Approved",'PR Data'!$W:$W,L$78,'PR Data'!$U:$U,'PR Report - DOWNTOWN'!$A$77,'PR Data'!$B:$B,"&lt;&gt;" &amp; "Cheque")</f>
        <v>0</v>
      </c>
      <c r="M110" s="60">
        <f t="shared" ref="M110" si="9">B110-SUM(C110:L110)</f>
        <v>0</v>
      </c>
    </row>
    <row r="111" spans="1:18" x14ac:dyDescent="0.25">
      <c r="A111" s="54" t="s">
        <v>44</v>
      </c>
      <c r="B111" s="60">
        <v>0</v>
      </c>
      <c r="C111" s="72">
        <v>0</v>
      </c>
      <c r="D111" s="72">
        <v>0</v>
      </c>
      <c r="E111" s="72">
        <v>0</v>
      </c>
      <c r="F111" s="72">
        <v>0</v>
      </c>
      <c r="G111" s="72">
        <v>0</v>
      </c>
      <c r="H111" s="72">
        <v>0</v>
      </c>
      <c r="I111" s="72">
        <f>SUMIFS('PR Data'!$P:$P,'PR Data'!$Q:$Q,'PR Report - DOWNTOWN'!$A111,'PR Data'!$R:$R,"Approved",'PR Data'!$W:$W,I$78,'PR Data'!$U:$U,'PR Report - DOWNTOWN'!$A$77,'PR Data'!$B:$B,"&lt;&gt;" &amp; "Cheque")</f>
        <v>0</v>
      </c>
      <c r="J111" s="72">
        <f>SUMIFS('PR Data'!$P:$P,'PR Data'!$Q:$Q,'PR Report - DOWNTOWN'!$A111,'PR Data'!$R:$R,"Approved",'PR Data'!$W:$W,J$78,'PR Data'!$U:$U,'PR Report - DOWNTOWN'!$A$77,'PR Data'!$B:$B,"&lt;&gt;" &amp; "Cheque")</f>
        <v>0</v>
      </c>
      <c r="K111" s="72">
        <f>SUMIFS('PR Data'!$P:$P,'PR Data'!$Q:$Q,'PR Report - DOWNTOWN'!$A111,'PR Data'!$R:$R,"Approved",'PR Data'!$W:$W,K$78,'PR Data'!$U:$U,'PR Report - DOWNTOWN'!$A$77,'PR Data'!$B:$B,"&lt;&gt;" &amp; "Cheque")</f>
        <v>0</v>
      </c>
      <c r="L111" s="72">
        <f>SUMIFS('PR Data'!$P:$P,'PR Data'!$Q:$Q,'PR Report - DOWNTOWN'!$A111,'PR Data'!$R:$R,"Approved",'PR Data'!$W:$W,L$78,'PR Data'!$U:$U,'PR Report - DOWNTOWN'!$A$77,'PR Data'!$B:$B,"&lt;&gt;" &amp; "Cheque")</f>
        <v>0</v>
      </c>
      <c r="M111" s="60">
        <f t="shared" si="8"/>
        <v>0</v>
      </c>
    </row>
    <row r="112" spans="1:18" x14ac:dyDescent="0.25">
      <c r="A112" s="64" t="s">
        <v>50</v>
      </c>
      <c r="B112" s="69">
        <f t="shared" ref="B112:M112" si="10">SUM(B101:B111)</f>
        <v>604342</v>
      </c>
      <c r="C112" s="69">
        <f t="shared" si="10"/>
        <v>0</v>
      </c>
      <c r="D112" s="69">
        <f t="shared" si="10"/>
        <v>0</v>
      </c>
      <c r="E112" s="69">
        <f t="shared" si="10"/>
        <v>0</v>
      </c>
      <c r="F112" s="130">
        <f t="shared" si="10"/>
        <v>0</v>
      </c>
      <c r="G112" s="69">
        <f t="shared" si="10"/>
        <v>0</v>
      </c>
      <c r="H112" s="69">
        <f t="shared" si="10"/>
        <v>0</v>
      </c>
      <c r="I112" s="69">
        <f t="shared" si="10"/>
        <v>150000</v>
      </c>
      <c r="J112" s="69">
        <f t="shared" si="10"/>
        <v>0</v>
      </c>
      <c r="K112" s="69">
        <f t="shared" si="10"/>
        <v>454342</v>
      </c>
      <c r="L112" s="69">
        <f t="shared" si="10"/>
        <v>0</v>
      </c>
      <c r="M112" s="69">
        <f t="shared" si="10"/>
        <v>0</v>
      </c>
    </row>
    <row r="113" spans="1:13" x14ac:dyDescent="0.25">
      <c r="A113" s="73" t="s">
        <v>6</v>
      </c>
      <c r="B113" s="78">
        <f>SUM(B99,B112)</f>
        <v>4622292.34</v>
      </c>
      <c r="C113" s="78">
        <f t="shared" ref="C113:L113" si="11">SUM(C112,C99)</f>
        <v>0</v>
      </c>
      <c r="D113" s="78">
        <f t="shared" si="11"/>
        <v>0</v>
      </c>
      <c r="E113" s="78">
        <f t="shared" si="11"/>
        <v>0</v>
      </c>
      <c r="F113" s="131">
        <f t="shared" si="11"/>
        <v>0</v>
      </c>
      <c r="G113" s="78">
        <f t="shared" si="11"/>
        <v>0</v>
      </c>
      <c r="H113" s="78">
        <f t="shared" si="11"/>
        <v>0</v>
      </c>
      <c r="I113" s="78">
        <f t="shared" si="11"/>
        <v>204215.9</v>
      </c>
      <c r="J113" s="78">
        <f t="shared" si="11"/>
        <v>0</v>
      </c>
      <c r="K113" s="78">
        <f t="shared" si="11"/>
        <v>4239626.4399999995</v>
      </c>
      <c r="L113" s="78">
        <f t="shared" si="11"/>
        <v>178450</v>
      </c>
      <c r="M113" s="78">
        <f>SUM(M99,M112)</f>
        <v>0</v>
      </c>
    </row>
  </sheetData>
  <mergeCells count="9">
    <mergeCell ref="A79:M79"/>
    <mergeCell ref="A100:M100"/>
    <mergeCell ref="H2:I2"/>
    <mergeCell ref="A39:E39"/>
    <mergeCell ref="A41:E41"/>
    <mergeCell ref="A61:E61"/>
    <mergeCell ref="A77:B77"/>
    <mergeCell ref="C77:H77"/>
    <mergeCell ref="I77:L77"/>
  </mergeCells>
  <conditionalFormatting sqref="A80:A88 A90:A98 A101:A107 A110:A111">
    <cfRule type="cellIs" dxfId="5" priority="2" operator="lessThan">
      <formula>#REF!</formula>
    </cfRule>
  </conditionalFormatting>
  <conditionalFormatting sqref="A113">
    <cfRule type="cellIs" dxfId="4" priority="1" operator="lessThan">
      <formula>#REF!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1B52A-26B0-4EF3-887C-37EF10CC8901}">
  <dimension ref="A1:M113"/>
  <sheetViews>
    <sheetView workbookViewId="0">
      <selection activeCell="G54" sqref="G54"/>
    </sheetView>
  </sheetViews>
  <sheetFormatPr defaultRowHeight="15" x14ac:dyDescent="0.25"/>
  <cols>
    <col min="1" max="9" width="15.7109375" customWidth="1"/>
    <col min="11" max="11" width="11.85546875" bestFit="1" customWidth="1"/>
    <col min="13" max="13" width="10.140625" bestFit="1" customWidth="1"/>
  </cols>
  <sheetData>
    <row r="1" spans="1:9" ht="18.75" x14ac:dyDescent="0.25">
      <c r="A1" s="132" t="s">
        <v>78</v>
      </c>
      <c r="B1" s="133" t="s">
        <v>52</v>
      </c>
      <c r="C1" s="134"/>
      <c r="D1" s="134"/>
      <c r="E1" s="134"/>
      <c r="F1" s="135"/>
      <c r="G1" s="136"/>
      <c r="H1" s="137" t="s">
        <v>53</v>
      </c>
      <c r="I1" s="138"/>
    </row>
    <row r="2" spans="1:9" ht="38.25" x14ac:dyDescent="0.25">
      <c r="A2" s="47" t="s">
        <v>0</v>
      </c>
      <c r="B2" s="48" t="s">
        <v>5844</v>
      </c>
      <c r="C2" s="49" t="s">
        <v>5845</v>
      </c>
      <c r="D2" s="50" t="s">
        <v>5846</v>
      </c>
      <c r="E2" s="50" t="s">
        <v>5843</v>
      </c>
      <c r="F2" s="115" t="s">
        <v>54</v>
      </c>
      <c r="G2" s="52" t="s">
        <v>55</v>
      </c>
      <c r="H2" s="53" t="s">
        <v>56</v>
      </c>
      <c r="I2" s="52" t="s">
        <v>57</v>
      </c>
    </row>
    <row r="3" spans="1:9" x14ac:dyDescent="0.25">
      <c r="A3" s="116" t="s">
        <v>7</v>
      </c>
      <c r="B3" s="117"/>
      <c r="C3" s="117"/>
      <c r="D3" s="117"/>
      <c r="E3" s="117"/>
      <c r="F3" s="118"/>
      <c r="G3" s="117"/>
      <c r="H3" s="117"/>
      <c r="I3" s="119"/>
    </row>
    <row r="4" spans="1:9" x14ac:dyDescent="0.25">
      <c r="A4" s="54" t="s">
        <v>8</v>
      </c>
      <c r="B4" s="8">
        <v>0</v>
      </c>
      <c r="C4" s="55">
        <v>0</v>
      </c>
      <c r="D4" s="139">
        <v>0</v>
      </c>
      <c r="E4" s="57">
        <v>0</v>
      </c>
      <c r="F4" s="139">
        <v>0</v>
      </c>
      <c r="G4" s="59">
        <f t="shared" ref="G4:G21" si="0">IFERROR(E4/D4,0)</f>
        <v>0</v>
      </c>
      <c r="H4" s="72">
        <v>0</v>
      </c>
      <c r="I4" s="72">
        <f>_xlfn.XLOOKUP(A4,$A$41:$A$58,$B$41:$B$58)</f>
        <v>0</v>
      </c>
    </row>
    <row r="5" spans="1:9" x14ac:dyDescent="0.25">
      <c r="A5" s="54" t="s">
        <v>9</v>
      </c>
      <c r="B5" s="8">
        <v>0</v>
      </c>
      <c r="C5" s="55">
        <v>0</v>
      </c>
      <c r="D5" s="139">
        <v>0</v>
      </c>
      <c r="E5" s="57">
        <v>0</v>
      </c>
      <c r="F5" s="139">
        <v>0</v>
      </c>
      <c r="G5" s="59">
        <f t="shared" si="0"/>
        <v>0</v>
      </c>
      <c r="H5" s="72">
        <v>0</v>
      </c>
      <c r="I5" s="72">
        <f t="shared" ref="I5:I21" si="1">_xlfn.XLOOKUP(A5,$A$41:$A$58,$B$41:$B$58)</f>
        <v>0</v>
      </c>
    </row>
    <row r="6" spans="1:9" x14ac:dyDescent="0.25">
      <c r="A6" s="54" t="s">
        <v>11</v>
      </c>
      <c r="B6" s="8">
        <v>0</v>
      </c>
      <c r="C6" s="55">
        <v>0</v>
      </c>
      <c r="D6" s="139">
        <v>0</v>
      </c>
      <c r="E6" s="57">
        <v>0</v>
      </c>
      <c r="F6" s="139">
        <v>0</v>
      </c>
      <c r="G6" s="59">
        <f t="shared" si="0"/>
        <v>0</v>
      </c>
      <c r="H6" s="72">
        <v>0</v>
      </c>
      <c r="I6" s="72">
        <f t="shared" si="1"/>
        <v>0</v>
      </c>
    </row>
    <row r="7" spans="1:9" x14ac:dyDescent="0.25">
      <c r="A7" s="54" t="s">
        <v>13</v>
      </c>
      <c r="B7" s="8">
        <v>0</v>
      </c>
      <c r="C7" s="55">
        <v>0</v>
      </c>
      <c r="D7" s="139">
        <v>0</v>
      </c>
      <c r="E7" s="57">
        <v>0</v>
      </c>
      <c r="F7" s="139">
        <v>0</v>
      </c>
      <c r="G7" s="59">
        <f t="shared" si="0"/>
        <v>0</v>
      </c>
      <c r="H7" s="72">
        <v>559683</v>
      </c>
      <c r="I7" s="72">
        <f t="shared" si="1"/>
        <v>0</v>
      </c>
    </row>
    <row r="8" spans="1:9" x14ac:dyDescent="0.25">
      <c r="A8" s="54" t="s">
        <v>10</v>
      </c>
      <c r="B8" s="8">
        <v>0</v>
      </c>
      <c r="C8" s="55">
        <v>0</v>
      </c>
      <c r="D8" s="139">
        <v>0</v>
      </c>
      <c r="E8" s="57">
        <v>0</v>
      </c>
      <c r="F8" s="139">
        <v>0</v>
      </c>
      <c r="G8" s="59">
        <f t="shared" si="0"/>
        <v>0</v>
      </c>
      <c r="H8" s="72">
        <v>0</v>
      </c>
      <c r="I8" s="72">
        <f t="shared" si="1"/>
        <v>0</v>
      </c>
    </row>
    <row r="9" spans="1:9" x14ac:dyDescent="0.25">
      <c r="A9" s="54" t="s">
        <v>14</v>
      </c>
      <c r="B9" s="8">
        <v>0</v>
      </c>
      <c r="C9" s="55">
        <v>0</v>
      </c>
      <c r="D9" s="139">
        <v>0</v>
      </c>
      <c r="E9" s="57">
        <v>0</v>
      </c>
      <c r="F9" s="139">
        <v>0</v>
      </c>
      <c r="G9" s="59">
        <f t="shared" si="0"/>
        <v>0</v>
      </c>
      <c r="H9" s="72">
        <v>0</v>
      </c>
      <c r="I9" s="72">
        <f t="shared" si="1"/>
        <v>0</v>
      </c>
    </row>
    <row r="10" spans="1:9" x14ac:dyDescent="0.25">
      <c r="A10" s="54" t="s">
        <v>15</v>
      </c>
      <c r="B10" s="8">
        <v>0</v>
      </c>
      <c r="C10" s="55">
        <v>0</v>
      </c>
      <c r="D10" s="139">
        <v>0</v>
      </c>
      <c r="E10" s="57">
        <v>0</v>
      </c>
      <c r="F10" s="139">
        <v>0</v>
      </c>
      <c r="G10" s="59">
        <f t="shared" si="0"/>
        <v>0</v>
      </c>
      <c r="H10" s="72">
        <v>0</v>
      </c>
      <c r="I10" s="72">
        <f t="shared" si="1"/>
        <v>0</v>
      </c>
    </row>
    <row r="11" spans="1:9" x14ac:dyDescent="0.25">
      <c r="A11" s="54" t="s">
        <v>16</v>
      </c>
      <c r="B11" s="8">
        <v>0</v>
      </c>
      <c r="C11" s="55">
        <v>0</v>
      </c>
      <c r="D11" s="139">
        <v>0</v>
      </c>
      <c r="E11" s="57">
        <v>0</v>
      </c>
      <c r="F11" s="139">
        <v>0</v>
      </c>
      <c r="G11" s="59">
        <f t="shared" si="0"/>
        <v>0</v>
      </c>
      <c r="H11" s="72">
        <v>0</v>
      </c>
      <c r="I11" s="72">
        <f t="shared" si="1"/>
        <v>0</v>
      </c>
    </row>
    <row r="12" spans="1:9" x14ac:dyDescent="0.25">
      <c r="A12" s="54" t="s">
        <v>27</v>
      </c>
      <c r="B12" s="8">
        <v>0</v>
      </c>
      <c r="C12" s="55">
        <v>0</v>
      </c>
      <c r="D12" s="139">
        <v>0</v>
      </c>
      <c r="E12" s="57">
        <v>0</v>
      </c>
      <c r="F12" s="139">
        <v>0</v>
      </c>
      <c r="G12" s="59">
        <f t="shared" si="0"/>
        <v>0</v>
      </c>
      <c r="H12" s="72">
        <v>0</v>
      </c>
      <c r="I12" s="72">
        <f t="shared" si="1"/>
        <v>0</v>
      </c>
    </row>
    <row r="13" spans="1:9" x14ac:dyDescent="0.25">
      <c r="A13" s="54" t="s">
        <v>33</v>
      </c>
      <c r="B13" s="8">
        <v>0</v>
      </c>
      <c r="C13" s="55">
        <v>0</v>
      </c>
      <c r="D13" s="139">
        <v>0</v>
      </c>
      <c r="E13" s="57">
        <v>0</v>
      </c>
      <c r="F13" s="139">
        <v>0</v>
      </c>
      <c r="G13" s="59">
        <f t="shared" si="0"/>
        <v>0</v>
      </c>
      <c r="H13" s="72">
        <v>0</v>
      </c>
      <c r="I13" s="72">
        <f t="shared" si="1"/>
        <v>0</v>
      </c>
    </row>
    <row r="14" spans="1:9" x14ac:dyDescent="0.25">
      <c r="A14" s="54" t="s">
        <v>17</v>
      </c>
      <c r="B14" s="8">
        <v>0</v>
      </c>
      <c r="C14" s="55">
        <v>0</v>
      </c>
      <c r="D14" s="139">
        <v>0</v>
      </c>
      <c r="E14" s="57">
        <v>0</v>
      </c>
      <c r="F14" s="139">
        <v>0</v>
      </c>
      <c r="G14" s="59">
        <f t="shared" si="0"/>
        <v>0</v>
      </c>
      <c r="H14" s="72">
        <v>0</v>
      </c>
      <c r="I14" s="72">
        <f t="shared" si="1"/>
        <v>0</v>
      </c>
    </row>
    <row r="15" spans="1:9" x14ac:dyDescent="0.25">
      <c r="A15" s="54" t="s">
        <v>18</v>
      </c>
      <c r="B15" s="8">
        <v>0</v>
      </c>
      <c r="C15" s="55">
        <v>0</v>
      </c>
      <c r="D15" s="139">
        <v>0</v>
      </c>
      <c r="E15" s="57">
        <v>0</v>
      </c>
      <c r="F15" s="139">
        <v>0</v>
      </c>
      <c r="G15" s="59">
        <f t="shared" si="0"/>
        <v>0</v>
      </c>
      <c r="H15" s="72">
        <v>0</v>
      </c>
      <c r="I15" s="72">
        <f t="shared" si="1"/>
        <v>0</v>
      </c>
    </row>
    <row r="16" spans="1:9" x14ac:dyDescent="0.25">
      <c r="A16" s="54" t="s">
        <v>19</v>
      </c>
      <c r="B16" s="8">
        <v>0</v>
      </c>
      <c r="C16" s="55">
        <v>0</v>
      </c>
      <c r="D16" s="139">
        <v>0</v>
      </c>
      <c r="E16" s="57">
        <v>0</v>
      </c>
      <c r="F16" s="139">
        <v>0</v>
      </c>
      <c r="G16" s="59">
        <f t="shared" si="0"/>
        <v>0</v>
      </c>
      <c r="H16" s="72">
        <v>0</v>
      </c>
      <c r="I16" s="72">
        <f t="shared" si="1"/>
        <v>0</v>
      </c>
    </row>
    <row r="17" spans="1:12" x14ac:dyDescent="0.25">
      <c r="A17" s="54" t="s">
        <v>20</v>
      </c>
      <c r="B17" s="8">
        <v>0</v>
      </c>
      <c r="C17" s="55">
        <v>0</v>
      </c>
      <c r="D17" s="139">
        <v>0</v>
      </c>
      <c r="E17" s="57">
        <v>0</v>
      </c>
      <c r="F17" s="139">
        <v>0</v>
      </c>
      <c r="G17" s="59">
        <f t="shared" si="0"/>
        <v>0</v>
      </c>
      <c r="H17" s="72">
        <v>0</v>
      </c>
      <c r="I17" s="72">
        <f t="shared" si="1"/>
        <v>0</v>
      </c>
    </row>
    <row r="18" spans="1:12" x14ac:dyDescent="0.25">
      <c r="A18" s="54" t="s">
        <v>21</v>
      </c>
      <c r="B18" s="8">
        <v>0</v>
      </c>
      <c r="C18" s="55">
        <v>0</v>
      </c>
      <c r="D18" s="139">
        <v>0</v>
      </c>
      <c r="E18" s="57">
        <v>0</v>
      </c>
      <c r="F18" s="139">
        <v>0</v>
      </c>
      <c r="G18" s="59">
        <f t="shared" si="0"/>
        <v>0</v>
      </c>
      <c r="H18" s="72">
        <v>0</v>
      </c>
      <c r="I18" s="72">
        <f t="shared" si="1"/>
        <v>0</v>
      </c>
    </row>
    <row r="19" spans="1:12" x14ac:dyDescent="0.25">
      <c r="A19" s="54" t="s">
        <v>31</v>
      </c>
      <c r="B19" s="8">
        <v>0</v>
      </c>
      <c r="C19" s="55">
        <v>0</v>
      </c>
      <c r="D19" s="139">
        <v>0</v>
      </c>
      <c r="E19" s="57">
        <v>0</v>
      </c>
      <c r="F19" s="139">
        <v>0</v>
      </c>
      <c r="G19" s="59">
        <f t="shared" si="0"/>
        <v>0</v>
      </c>
      <c r="H19" s="72">
        <v>0</v>
      </c>
      <c r="I19" s="72">
        <f t="shared" si="1"/>
        <v>0</v>
      </c>
    </row>
    <row r="20" spans="1:12" x14ac:dyDescent="0.25">
      <c r="A20" s="54" t="s">
        <v>24</v>
      </c>
      <c r="B20" s="8">
        <v>0</v>
      </c>
      <c r="C20" s="55">
        <v>0</v>
      </c>
      <c r="D20" s="139">
        <v>0</v>
      </c>
      <c r="E20" s="57">
        <v>0</v>
      </c>
      <c r="F20" s="139">
        <v>0</v>
      </c>
      <c r="G20" s="59">
        <f t="shared" si="0"/>
        <v>0</v>
      </c>
      <c r="H20" s="72">
        <v>0</v>
      </c>
      <c r="I20" s="72">
        <f t="shared" si="1"/>
        <v>0</v>
      </c>
    </row>
    <row r="21" spans="1:12" x14ac:dyDescent="0.25">
      <c r="A21" s="54" t="s">
        <v>34</v>
      </c>
      <c r="B21" s="8">
        <v>0</v>
      </c>
      <c r="C21" s="55">
        <v>0</v>
      </c>
      <c r="D21" s="139">
        <v>0</v>
      </c>
      <c r="E21" s="57">
        <v>0</v>
      </c>
      <c r="F21" s="139">
        <v>0</v>
      </c>
      <c r="G21" s="59">
        <f t="shared" si="0"/>
        <v>0</v>
      </c>
      <c r="H21" s="72">
        <v>0</v>
      </c>
      <c r="I21" s="72">
        <f t="shared" si="1"/>
        <v>0</v>
      </c>
    </row>
    <row r="22" spans="1:12" x14ac:dyDescent="0.25">
      <c r="A22" s="64" t="s">
        <v>58</v>
      </c>
      <c r="B22" s="65">
        <f>SUM(B4:B21)</f>
        <v>0</v>
      </c>
      <c r="C22" s="65">
        <f>SUM(C4:C21)</f>
        <v>0</v>
      </c>
      <c r="D22" s="66">
        <f>SUM(D4:D21)</f>
        <v>0</v>
      </c>
      <c r="E22" s="65">
        <f>SUM(E4:E21)</f>
        <v>0</v>
      </c>
      <c r="F22" s="67">
        <f>SUM(F4:F21)</f>
        <v>0</v>
      </c>
      <c r="G22" s="68">
        <f>IFERROR((E22)/(D22),0)</f>
        <v>0</v>
      </c>
      <c r="H22" s="69">
        <f>SUM(H4:H21)</f>
        <v>559683</v>
      </c>
      <c r="I22" s="69">
        <f>SUM(I4:I21)</f>
        <v>0</v>
      </c>
    </row>
    <row r="23" spans="1:12" x14ac:dyDescent="0.25">
      <c r="A23" s="116" t="s">
        <v>37</v>
      </c>
      <c r="B23" s="117"/>
      <c r="C23" s="117"/>
      <c r="D23" s="117"/>
      <c r="E23" s="117"/>
      <c r="F23" s="118"/>
      <c r="G23" s="117"/>
      <c r="H23" s="117"/>
      <c r="I23" s="119"/>
    </row>
    <row r="24" spans="1:12" x14ac:dyDescent="0.25">
      <c r="A24" s="70" t="s">
        <v>38</v>
      </c>
      <c r="B24" s="57">
        <v>0</v>
      </c>
      <c r="C24" s="55">
        <v>0</v>
      </c>
      <c r="D24" s="56">
        <v>0</v>
      </c>
      <c r="E24" s="57">
        <v>0</v>
      </c>
      <c r="F24" s="121">
        <v>0</v>
      </c>
      <c r="G24" s="71">
        <f t="shared" ref="G24:G36" si="2">IFERROR(E24/D24,0)</f>
        <v>0</v>
      </c>
      <c r="H24" s="72">
        <v>0</v>
      </c>
      <c r="I24" s="72">
        <f>_xlfn.XLOOKUP(A24,$A$61:$A$72,$B$61:$B$72)</f>
        <v>0</v>
      </c>
      <c r="L24" s="107"/>
    </row>
    <row r="25" spans="1:12" x14ac:dyDescent="0.25">
      <c r="A25" s="54" t="s">
        <v>45</v>
      </c>
      <c r="B25" s="57">
        <v>0</v>
      </c>
      <c r="C25" s="55">
        <v>0</v>
      </c>
      <c r="D25" s="56">
        <v>0</v>
      </c>
      <c r="E25" s="57">
        <v>0</v>
      </c>
      <c r="F25" s="121">
        <v>0</v>
      </c>
      <c r="G25" s="71">
        <f t="shared" si="2"/>
        <v>0</v>
      </c>
      <c r="H25" s="72">
        <v>0</v>
      </c>
      <c r="I25" s="72">
        <f t="shared" ref="I25:I34" si="3">_xlfn.XLOOKUP(A25,$A$61:$A$72,$B$61:$B$72)</f>
        <v>0</v>
      </c>
      <c r="L25" s="107"/>
    </row>
    <row r="26" spans="1:12" x14ac:dyDescent="0.25">
      <c r="A26" s="70" t="s">
        <v>39</v>
      </c>
      <c r="B26" s="57">
        <v>0</v>
      </c>
      <c r="C26" s="55">
        <v>0</v>
      </c>
      <c r="D26" s="56">
        <v>0</v>
      </c>
      <c r="E26" s="57">
        <v>0</v>
      </c>
      <c r="F26" s="121">
        <v>0</v>
      </c>
      <c r="G26" s="71">
        <f t="shared" si="2"/>
        <v>0</v>
      </c>
      <c r="H26" s="72">
        <v>0</v>
      </c>
      <c r="I26" s="72">
        <f t="shared" si="3"/>
        <v>0</v>
      </c>
      <c r="L26" s="107"/>
    </row>
    <row r="27" spans="1:12" x14ac:dyDescent="0.25">
      <c r="A27" s="70" t="s">
        <v>40</v>
      </c>
      <c r="B27" s="57">
        <v>0</v>
      </c>
      <c r="C27" s="55">
        <v>0</v>
      </c>
      <c r="D27" s="56">
        <v>0</v>
      </c>
      <c r="E27" s="57">
        <v>0</v>
      </c>
      <c r="F27" s="121">
        <v>0</v>
      </c>
      <c r="G27" s="71">
        <f t="shared" si="2"/>
        <v>0</v>
      </c>
      <c r="H27" s="72">
        <v>0</v>
      </c>
      <c r="I27" s="72">
        <f t="shared" si="3"/>
        <v>0</v>
      </c>
      <c r="L27" s="107"/>
    </row>
    <row r="28" spans="1:12" x14ac:dyDescent="0.25">
      <c r="A28" s="70" t="s">
        <v>41</v>
      </c>
      <c r="B28" s="57">
        <v>0</v>
      </c>
      <c r="C28" s="55">
        <v>0</v>
      </c>
      <c r="D28" s="56">
        <v>0</v>
      </c>
      <c r="E28" s="57">
        <v>0</v>
      </c>
      <c r="F28" s="121">
        <v>0</v>
      </c>
      <c r="G28" s="71">
        <f t="shared" si="2"/>
        <v>0</v>
      </c>
      <c r="H28" s="72">
        <v>0</v>
      </c>
      <c r="I28" s="72">
        <f t="shared" si="3"/>
        <v>0</v>
      </c>
      <c r="L28" s="107"/>
    </row>
    <row r="29" spans="1:12" x14ac:dyDescent="0.25">
      <c r="A29" s="54" t="s">
        <v>42</v>
      </c>
      <c r="B29" s="8">
        <v>0</v>
      </c>
      <c r="C29" s="55">
        <v>30000</v>
      </c>
      <c r="D29" s="56">
        <v>0</v>
      </c>
      <c r="E29" s="57">
        <v>1253891</v>
      </c>
      <c r="F29" s="121">
        <v>0</v>
      </c>
      <c r="G29" s="59">
        <f t="shared" si="2"/>
        <v>0</v>
      </c>
      <c r="H29" s="72">
        <v>782197.82000000007</v>
      </c>
      <c r="I29" s="72">
        <f t="shared" si="3"/>
        <v>55000</v>
      </c>
      <c r="L29" s="107"/>
    </row>
    <row r="30" spans="1:12" x14ac:dyDescent="0.25">
      <c r="A30" s="54" t="s">
        <v>43</v>
      </c>
      <c r="B30" s="8">
        <v>0</v>
      </c>
      <c r="C30" s="55">
        <v>0</v>
      </c>
      <c r="D30" s="56">
        <v>0</v>
      </c>
      <c r="E30" s="57">
        <v>0</v>
      </c>
      <c r="F30" s="121">
        <v>0</v>
      </c>
      <c r="G30" s="59">
        <f t="shared" si="2"/>
        <v>0</v>
      </c>
      <c r="H30" s="72">
        <v>0</v>
      </c>
      <c r="I30" s="72">
        <f t="shared" si="3"/>
        <v>0</v>
      </c>
      <c r="L30" s="107"/>
    </row>
    <row r="31" spans="1:12" x14ac:dyDescent="0.25">
      <c r="A31" s="54" t="s">
        <v>49</v>
      </c>
      <c r="B31" s="8">
        <v>0</v>
      </c>
      <c r="C31" s="55">
        <v>0</v>
      </c>
      <c r="D31" s="56">
        <v>0</v>
      </c>
      <c r="E31" s="57">
        <v>0</v>
      </c>
      <c r="F31" s="121">
        <v>0</v>
      </c>
      <c r="G31" s="59">
        <f t="shared" si="2"/>
        <v>0</v>
      </c>
      <c r="H31" s="72">
        <v>0</v>
      </c>
      <c r="I31" s="72">
        <f t="shared" si="3"/>
        <v>0</v>
      </c>
      <c r="L31" s="107"/>
    </row>
    <row r="32" spans="1:12" x14ac:dyDescent="0.25">
      <c r="A32" s="54" t="s">
        <v>46</v>
      </c>
      <c r="B32" s="8">
        <v>0</v>
      </c>
      <c r="C32" s="55">
        <v>0</v>
      </c>
      <c r="D32" s="56">
        <v>0</v>
      </c>
      <c r="E32" s="57">
        <v>0</v>
      </c>
      <c r="F32" s="121">
        <v>0</v>
      </c>
      <c r="G32" s="59">
        <f t="shared" si="2"/>
        <v>0</v>
      </c>
      <c r="H32" s="72">
        <v>0</v>
      </c>
      <c r="I32" s="72">
        <f t="shared" si="3"/>
        <v>0</v>
      </c>
      <c r="L32" s="107"/>
    </row>
    <row r="33" spans="1:12" x14ac:dyDescent="0.25">
      <c r="A33" s="54" t="s">
        <v>48</v>
      </c>
      <c r="B33" s="8">
        <v>0</v>
      </c>
      <c r="C33" s="55">
        <v>0</v>
      </c>
      <c r="D33" s="56">
        <v>0</v>
      </c>
      <c r="E33" s="57">
        <v>0</v>
      </c>
      <c r="F33" s="121">
        <v>0</v>
      </c>
      <c r="G33" s="59">
        <f t="shared" si="2"/>
        <v>0</v>
      </c>
      <c r="H33" s="72">
        <v>0</v>
      </c>
      <c r="I33" s="72">
        <f t="shared" si="3"/>
        <v>0</v>
      </c>
      <c r="L33" s="107"/>
    </row>
    <row r="34" spans="1:12" x14ac:dyDescent="0.25">
      <c r="A34" s="54" t="s">
        <v>44</v>
      </c>
      <c r="B34" s="8">
        <v>0</v>
      </c>
      <c r="C34" s="55">
        <v>0</v>
      </c>
      <c r="D34" s="56">
        <v>0</v>
      </c>
      <c r="E34" s="57">
        <v>0</v>
      </c>
      <c r="F34" s="121">
        <v>0</v>
      </c>
      <c r="G34" s="59">
        <f t="shared" si="2"/>
        <v>0</v>
      </c>
      <c r="H34" s="72">
        <v>0</v>
      </c>
      <c r="I34" s="72">
        <f t="shared" si="3"/>
        <v>0</v>
      </c>
      <c r="L34" s="107"/>
    </row>
    <row r="35" spans="1:12" x14ac:dyDescent="0.25">
      <c r="A35" s="64" t="s">
        <v>50</v>
      </c>
      <c r="B35" s="65">
        <f>SUM(B24:B34)</f>
        <v>0</v>
      </c>
      <c r="C35" s="65">
        <f>SUM(C24:C34)</f>
        <v>30000</v>
      </c>
      <c r="D35" s="66">
        <f>SUM(D24:D34)</f>
        <v>0</v>
      </c>
      <c r="E35" s="65">
        <f>SUM(E24:E34)</f>
        <v>1253891</v>
      </c>
      <c r="F35" s="67">
        <f>SUM(F24:F34)</f>
        <v>0</v>
      </c>
      <c r="G35" s="68">
        <f t="shared" si="2"/>
        <v>0</v>
      </c>
      <c r="H35" s="69">
        <f>SUM(H24:H34)</f>
        <v>782197.82000000007</v>
      </c>
      <c r="I35" s="69">
        <f>SUM(I24:I34)</f>
        <v>55000</v>
      </c>
      <c r="L35" s="107"/>
    </row>
    <row r="36" spans="1:12" x14ac:dyDescent="0.25">
      <c r="A36" s="73" t="s">
        <v>6</v>
      </c>
      <c r="B36" s="74">
        <f>SUM(B22,B35)</f>
        <v>0</v>
      </c>
      <c r="C36" s="74">
        <f>SUM(C22,C35)</f>
        <v>30000</v>
      </c>
      <c r="D36" s="75">
        <f>SUM(D22,D35)</f>
        <v>0</v>
      </c>
      <c r="E36" s="75">
        <f>SUM(E22,E35)</f>
        <v>1253891</v>
      </c>
      <c r="F36" s="122">
        <f>SUM(F22,F35)</f>
        <v>0</v>
      </c>
      <c r="G36" s="77">
        <f t="shared" si="2"/>
        <v>0</v>
      </c>
      <c r="H36" s="78">
        <f>SUM(H22,H35)</f>
        <v>1341880.82</v>
      </c>
      <c r="I36" s="78">
        <f>SUM(I22,I35)</f>
        <v>55000</v>
      </c>
      <c r="L36" s="107"/>
    </row>
    <row r="37" spans="1:12" x14ac:dyDescent="0.25">
      <c r="F37" s="62"/>
    </row>
    <row r="38" spans="1:12" ht="18.75" x14ac:dyDescent="0.25">
      <c r="A38" s="137" t="s">
        <v>78</v>
      </c>
      <c r="B38" s="140"/>
      <c r="C38" s="140"/>
      <c r="D38" s="140"/>
      <c r="E38" s="138"/>
      <c r="F38" s="62"/>
    </row>
    <row r="39" spans="1:12" ht="25.5" x14ac:dyDescent="0.25">
      <c r="A39" s="81" t="s">
        <v>0</v>
      </c>
      <c r="B39" s="82" t="s">
        <v>59</v>
      </c>
      <c r="C39" s="82" t="s">
        <v>60</v>
      </c>
      <c r="D39" s="82" t="s">
        <v>61</v>
      </c>
      <c r="E39" s="82" t="s">
        <v>62</v>
      </c>
      <c r="F39" s="62"/>
    </row>
    <row r="40" spans="1:12" x14ac:dyDescent="0.25">
      <c r="A40" s="6" t="s">
        <v>7</v>
      </c>
      <c r="B40" s="6"/>
      <c r="C40" s="6"/>
      <c r="D40" s="6"/>
      <c r="E40" s="6"/>
      <c r="F40" s="62"/>
    </row>
    <row r="41" spans="1:12" x14ac:dyDescent="0.25">
      <c r="A41" s="54" t="s">
        <v>14</v>
      </c>
      <c r="B41" s="83">
        <f t="shared" ref="B41:B58" si="4">SUM(C41:E41)</f>
        <v>0</v>
      </c>
      <c r="C41" s="85">
        <v>0</v>
      </c>
      <c r="D41" s="85">
        <v>0</v>
      </c>
      <c r="E41" s="85">
        <v>0</v>
      </c>
      <c r="F41" s="62"/>
    </row>
    <row r="42" spans="1:12" x14ac:dyDescent="0.25">
      <c r="A42" s="54" t="s">
        <v>15</v>
      </c>
      <c r="B42" s="83">
        <f t="shared" si="4"/>
        <v>0</v>
      </c>
      <c r="C42" s="85">
        <v>0</v>
      </c>
      <c r="D42" s="85">
        <v>0</v>
      </c>
      <c r="E42" s="85">
        <v>0</v>
      </c>
      <c r="F42" s="62"/>
    </row>
    <row r="43" spans="1:12" x14ac:dyDescent="0.25">
      <c r="A43" s="54" t="s">
        <v>13</v>
      </c>
      <c r="B43" s="83">
        <f t="shared" si="4"/>
        <v>0</v>
      </c>
      <c r="C43" s="85">
        <v>0</v>
      </c>
      <c r="D43" s="85">
        <v>0</v>
      </c>
      <c r="E43" s="85">
        <v>0</v>
      </c>
      <c r="F43" s="62"/>
    </row>
    <row r="44" spans="1:12" x14ac:dyDescent="0.25">
      <c r="A44" s="54" t="s">
        <v>17</v>
      </c>
      <c r="B44" s="83">
        <f t="shared" si="4"/>
        <v>0</v>
      </c>
      <c r="C44" s="85">
        <v>0</v>
      </c>
      <c r="D44" s="85">
        <v>0</v>
      </c>
      <c r="E44" s="85">
        <v>0</v>
      </c>
      <c r="F44" s="62"/>
    </row>
    <row r="45" spans="1:12" x14ac:dyDescent="0.25">
      <c r="A45" s="54" t="s">
        <v>16</v>
      </c>
      <c r="B45" s="83">
        <f t="shared" si="4"/>
        <v>0</v>
      </c>
      <c r="C45" s="85">
        <v>0</v>
      </c>
      <c r="D45" s="85">
        <v>0</v>
      </c>
      <c r="E45" s="85">
        <v>0</v>
      </c>
      <c r="F45" s="62"/>
    </row>
    <row r="46" spans="1:12" x14ac:dyDescent="0.25">
      <c r="A46" s="54" t="s">
        <v>24</v>
      </c>
      <c r="B46" s="83">
        <f t="shared" si="4"/>
        <v>0</v>
      </c>
      <c r="C46" s="85">
        <v>0</v>
      </c>
      <c r="D46" s="85">
        <v>0</v>
      </c>
      <c r="E46" s="85">
        <v>0</v>
      </c>
      <c r="F46" s="62"/>
    </row>
    <row r="47" spans="1:12" x14ac:dyDescent="0.25">
      <c r="A47" s="54" t="s">
        <v>33</v>
      </c>
      <c r="B47" s="83">
        <f t="shared" si="4"/>
        <v>0</v>
      </c>
      <c r="C47" s="85">
        <v>0</v>
      </c>
      <c r="D47" s="85">
        <v>0</v>
      </c>
      <c r="E47" s="85">
        <v>0</v>
      </c>
      <c r="F47" s="62"/>
    </row>
    <row r="48" spans="1:12" x14ac:dyDescent="0.25">
      <c r="A48" s="54" t="s">
        <v>31</v>
      </c>
      <c r="B48" s="83">
        <f t="shared" si="4"/>
        <v>0</v>
      </c>
      <c r="C48" s="85">
        <v>0</v>
      </c>
      <c r="D48" s="85">
        <v>0</v>
      </c>
      <c r="E48" s="85">
        <v>0</v>
      </c>
      <c r="F48" s="62"/>
    </row>
    <row r="49" spans="1:6" x14ac:dyDescent="0.25">
      <c r="A49" s="54" t="s">
        <v>27</v>
      </c>
      <c r="B49" s="83">
        <f t="shared" si="4"/>
        <v>0</v>
      </c>
      <c r="C49" s="85">
        <v>0</v>
      </c>
      <c r="D49" s="85">
        <v>0</v>
      </c>
      <c r="E49" s="85">
        <v>0</v>
      </c>
      <c r="F49" s="62"/>
    </row>
    <row r="50" spans="1:6" x14ac:dyDescent="0.25">
      <c r="A50" s="54" t="s">
        <v>18</v>
      </c>
      <c r="B50" s="83">
        <f t="shared" si="4"/>
        <v>0</v>
      </c>
      <c r="C50" s="85">
        <v>0</v>
      </c>
      <c r="D50" s="85">
        <v>0</v>
      </c>
      <c r="E50" s="85">
        <v>0</v>
      </c>
      <c r="F50" s="62"/>
    </row>
    <row r="51" spans="1:6" x14ac:dyDescent="0.25">
      <c r="A51" s="54" t="s">
        <v>34</v>
      </c>
      <c r="B51" s="83">
        <f t="shared" si="4"/>
        <v>0</v>
      </c>
      <c r="C51" s="85">
        <v>0</v>
      </c>
      <c r="D51" s="85">
        <v>0</v>
      </c>
      <c r="E51" s="85">
        <v>0</v>
      </c>
      <c r="F51" s="62"/>
    </row>
    <row r="52" spans="1:6" x14ac:dyDescent="0.25">
      <c r="A52" s="54" t="s">
        <v>19</v>
      </c>
      <c r="B52" s="83">
        <f t="shared" si="4"/>
        <v>0</v>
      </c>
      <c r="C52" s="85">
        <v>0</v>
      </c>
      <c r="D52" s="85">
        <v>0</v>
      </c>
      <c r="E52" s="85">
        <v>0</v>
      </c>
      <c r="F52" s="62"/>
    </row>
    <row r="53" spans="1:6" x14ac:dyDescent="0.25">
      <c r="A53" s="54" t="s">
        <v>20</v>
      </c>
      <c r="B53" s="83">
        <f t="shared" si="4"/>
        <v>0</v>
      </c>
      <c r="C53" s="85">
        <v>0</v>
      </c>
      <c r="D53" s="85">
        <v>0</v>
      </c>
      <c r="E53" s="85">
        <v>0</v>
      </c>
      <c r="F53" s="62"/>
    </row>
    <row r="54" spans="1:6" x14ac:dyDescent="0.25">
      <c r="A54" s="54" t="s">
        <v>21</v>
      </c>
      <c r="B54" s="83">
        <f t="shared" si="4"/>
        <v>0</v>
      </c>
      <c r="C54" s="85">
        <v>0</v>
      </c>
      <c r="D54" s="85">
        <v>0</v>
      </c>
      <c r="E54" s="85">
        <v>0</v>
      </c>
      <c r="F54" s="62"/>
    </row>
    <row r="55" spans="1:6" x14ac:dyDescent="0.25">
      <c r="A55" s="54" t="s">
        <v>10</v>
      </c>
      <c r="B55" s="83">
        <f t="shared" si="4"/>
        <v>0</v>
      </c>
      <c r="C55" s="85">
        <v>0</v>
      </c>
      <c r="D55" s="85">
        <v>0</v>
      </c>
      <c r="E55" s="85">
        <v>0</v>
      </c>
      <c r="F55" s="62"/>
    </row>
    <row r="56" spans="1:6" x14ac:dyDescent="0.25">
      <c r="A56" s="54" t="s">
        <v>8</v>
      </c>
      <c r="B56" s="83">
        <f t="shared" si="4"/>
        <v>0</v>
      </c>
      <c r="C56" s="85">
        <v>0</v>
      </c>
      <c r="D56" s="85">
        <v>0</v>
      </c>
      <c r="E56" s="85">
        <v>0</v>
      </c>
      <c r="F56" s="62"/>
    </row>
    <row r="57" spans="1:6" x14ac:dyDescent="0.25">
      <c r="A57" s="54" t="s">
        <v>9</v>
      </c>
      <c r="B57" s="83">
        <f t="shared" si="4"/>
        <v>0</v>
      </c>
      <c r="C57" s="85">
        <v>0</v>
      </c>
      <c r="D57" s="85">
        <v>0</v>
      </c>
      <c r="E57" s="85">
        <v>0</v>
      </c>
      <c r="F57" s="62"/>
    </row>
    <row r="58" spans="1:6" x14ac:dyDescent="0.25">
      <c r="A58" s="54" t="s">
        <v>11</v>
      </c>
      <c r="B58" s="83">
        <f t="shared" si="4"/>
        <v>0</v>
      </c>
      <c r="C58" s="85">
        <v>0</v>
      </c>
      <c r="D58" s="85">
        <v>0</v>
      </c>
      <c r="E58" s="85">
        <v>0</v>
      </c>
      <c r="F58" s="62"/>
    </row>
    <row r="59" spans="1:6" x14ac:dyDescent="0.25">
      <c r="A59" s="64" t="s">
        <v>58</v>
      </c>
      <c r="B59" s="86">
        <f>SUM(B41:B58)</f>
        <v>0</v>
      </c>
      <c r="C59" s="125">
        <f>SUM(C41:C58)</f>
        <v>0</v>
      </c>
      <c r="D59" s="125">
        <f>SUM(D41:D58)</f>
        <v>0</v>
      </c>
      <c r="E59" s="125">
        <f>SUM(E41:E58)</f>
        <v>0</v>
      </c>
      <c r="F59" s="62"/>
    </row>
    <row r="60" spans="1:6" x14ac:dyDescent="0.25">
      <c r="A60" s="6" t="s">
        <v>37</v>
      </c>
      <c r="B60" s="6"/>
      <c r="C60" s="6"/>
      <c r="D60" s="6"/>
      <c r="E60" s="6"/>
      <c r="F60" s="62"/>
    </row>
    <row r="61" spans="1:6" x14ac:dyDescent="0.25">
      <c r="A61" s="54" t="s">
        <v>40</v>
      </c>
      <c r="B61" s="83">
        <f t="shared" ref="B61:B72" si="5">SUM(C61:E61)</f>
        <v>0</v>
      </c>
      <c r="C61" s="85">
        <v>0</v>
      </c>
      <c r="D61" s="85">
        <v>0</v>
      </c>
      <c r="E61" s="85">
        <v>0</v>
      </c>
      <c r="F61" s="62"/>
    </row>
    <row r="62" spans="1:6" x14ac:dyDescent="0.25">
      <c r="A62" s="54" t="s">
        <v>45</v>
      </c>
      <c r="B62" s="83">
        <f t="shared" si="5"/>
        <v>0</v>
      </c>
      <c r="C62" s="85">
        <v>0</v>
      </c>
      <c r="D62" s="85">
        <v>0</v>
      </c>
      <c r="E62" s="85">
        <v>0</v>
      </c>
      <c r="F62" s="62"/>
    </row>
    <row r="63" spans="1:6" x14ac:dyDescent="0.25">
      <c r="A63" s="54" t="s">
        <v>39</v>
      </c>
      <c r="B63" s="83">
        <f t="shared" si="5"/>
        <v>0</v>
      </c>
      <c r="C63" s="85">
        <v>0</v>
      </c>
      <c r="D63" s="85">
        <v>0</v>
      </c>
      <c r="E63" s="85">
        <v>0</v>
      </c>
      <c r="F63" s="62"/>
    </row>
    <row r="64" spans="1:6" x14ac:dyDescent="0.25">
      <c r="A64" s="54" t="s">
        <v>38</v>
      </c>
      <c r="B64" s="83">
        <f t="shared" si="5"/>
        <v>0</v>
      </c>
      <c r="C64" s="85">
        <v>0</v>
      </c>
      <c r="D64" s="85">
        <v>0</v>
      </c>
      <c r="E64" s="85">
        <v>0</v>
      </c>
      <c r="F64" s="62"/>
    </row>
    <row r="65" spans="1:13" x14ac:dyDescent="0.25">
      <c r="A65" s="54" t="s">
        <v>43</v>
      </c>
      <c r="B65" s="83">
        <f t="shared" si="5"/>
        <v>0</v>
      </c>
      <c r="C65" s="85">
        <v>0</v>
      </c>
      <c r="D65" s="85">
        <v>0</v>
      </c>
      <c r="E65" s="85">
        <v>0</v>
      </c>
      <c r="F65" s="62"/>
    </row>
    <row r="66" spans="1:13" x14ac:dyDescent="0.25">
      <c r="A66" s="54" t="s">
        <v>41</v>
      </c>
      <c r="B66" s="83">
        <f t="shared" si="5"/>
        <v>0</v>
      </c>
      <c r="C66" s="85">
        <v>0</v>
      </c>
      <c r="D66" s="85">
        <v>0</v>
      </c>
      <c r="E66" s="85">
        <v>0</v>
      </c>
      <c r="F66" s="62"/>
    </row>
    <row r="67" spans="1:13" x14ac:dyDescent="0.25">
      <c r="A67" s="54" t="s">
        <v>42</v>
      </c>
      <c r="B67" s="83">
        <f t="shared" si="5"/>
        <v>55000</v>
      </c>
      <c r="C67" s="85">
        <v>0</v>
      </c>
      <c r="D67" s="85">
        <v>0</v>
      </c>
      <c r="E67" s="85">
        <v>55000</v>
      </c>
      <c r="F67" s="62"/>
    </row>
    <row r="68" spans="1:13" x14ac:dyDescent="0.25">
      <c r="A68" s="54" t="s">
        <v>49</v>
      </c>
      <c r="B68" s="83">
        <f t="shared" si="5"/>
        <v>0</v>
      </c>
      <c r="C68" s="85">
        <v>0</v>
      </c>
      <c r="D68" s="85">
        <v>0</v>
      </c>
      <c r="E68" s="85">
        <v>0</v>
      </c>
      <c r="F68" s="62"/>
    </row>
    <row r="69" spans="1:13" x14ac:dyDescent="0.25">
      <c r="A69" s="54" t="s">
        <v>46</v>
      </c>
      <c r="B69" s="83">
        <f t="shared" si="5"/>
        <v>0</v>
      </c>
      <c r="C69" s="85">
        <v>0</v>
      </c>
      <c r="D69" s="85">
        <v>0</v>
      </c>
      <c r="E69" s="85">
        <v>0</v>
      </c>
      <c r="F69" s="62"/>
    </row>
    <row r="70" spans="1:13" x14ac:dyDescent="0.25">
      <c r="A70" s="54" t="s">
        <v>48</v>
      </c>
      <c r="B70" s="83">
        <f t="shared" si="5"/>
        <v>0</v>
      </c>
      <c r="C70" s="85">
        <v>0</v>
      </c>
      <c r="D70" s="85">
        <v>0</v>
      </c>
      <c r="E70" s="85">
        <v>0</v>
      </c>
      <c r="F70" s="62"/>
    </row>
    <row r="71" spans="1:13" x14ac:dyDescent="0.25">
      <c r="A71" s="54" t="s">
        <v>44</v>
      </c>
      <c r="B71" s="83">
        <f t="shared" si="5"/>
        <v>0</v>
      </c>
      <c r="C71" s="85">
        <v>0</v>
      </c>
      <c r="D71" s="85">
        <v>0</v>
      </c>
      <c r="E71" s="85">
        <v>0</v>
      </c>
      <c r="F71" s="62"/>
    </row>
    <row r="72" spans="1:13" x14ac:dyDescent="0.25">
      <c r="A72" s="54" t="s">
        <v>15</v>
      </c>
      <c r="B72" s="83">
        <f t="shared" si="5"/>
        <v>0</v>
      </c>
      <c r="C72" s="85">
        <v>0</v>
      </c>
      <c r="D72" s="85">
        <v>0</v>
      </c>
      <c r="E72" s="85">
        <v>0</v>
      </c>
      <c r="F72" s="62"/>
    </row>
    <row r="73" spans="1:13" x14ac:dyDescent="0.25">
      <c r="A73" s="64" t="s">
        <v>50</v>
      </c>
      <c r="B73" s="87">
        <f>SUM(B61:B72)</f>
        <v>55000</v>
      </c>
      <c r="C73" s="125">
        <f>SUM(C61:C72)</f>
        <v>0</v>
      </c>
      <c r="D73" s="125">
        <f>SUM(D61:D72)</f>
        <v>0</v>
      </c>
      <c r="E73" s="125">
        <f>SUM(E61:E72)</f>
        <v>55000</v>
      </c>
      <c r="F73" s="62"/>
    </row>
    <row r="74" spans="1:13" x14ac:dyDescent="0.25">
      <c r="A74" s="73" t="s">
        <v>6</v>
      </c>
      <c r="B74" s="88">
        <f>SUM(B73,B59)</f>
        <v>55000</v>
      </c>
      <c r="C74" s="88">
        <f>SUM(C73,C59)</f>
        <v>0</v>
      </c>
      <c r="D74" s="88">
        <f>SUM(D73,D59)</f>
        <v>0</v>
      </c>
      <c r="E74" s="88">
        <f>SUM(E73,E59)</f>
        <v>55000</v>
      </c>
      <c r="F74" s="62"/>
    </row>
    <row r="75" spans="1:13" x14ac:dyDescent="0.25">
      <c r="F75" s="62"/>
    </row>
    <row r="76" spans="1:13" ht="15.75" thickBot="1" x14ac:dyDescent="0.3"/>
    <row r="77" spans="1:13" ht="18.75" x14ac:dyDescent="0.25">
      <c r="A77" s="141" t="s">
        <v>78</v>
      </c>
      <c r="B77" s="142"/>
      <c r="C77" s="91" t="s">
        <v>64</v>
      </c>
      <c r="D77" s="92"/>
      <c r="E77" s="92"/>
      <c r="F77" s="92"/>
      <c r="G77" s="92"/>
      <c r="H77" s="93"/>
      <c r="I77" s="94" t="s">
        <v>65</v>
      </c>
      <c r="J77" s="95"/>
      <c r="K77" s="95"/>
      <c r="L77" s="96"/>
      <c r="M77" s="143"/>
    </row>
    <row r="78" spans="1:13" ht="90" thickBot="1" x14ac:dyDescent="0.3">
      <c r="A78" s="47" t="s">
        <v>0</v>
      </c>
      <c r="B78" s="98" t="s">
        <v>56</v>
      </c>
      <c r="C78" s="99" t="s">
        <v>66</v>
      </c>
      <c r="D78" s="100" t="s">
        <v>67</v>
      </c>
      <c r="E78" s="100" t="s">
        <v>68</v>
      </c>
      <c r="F78" s="128" t="s">
        <v>69</v>
      </c>
      <c r="G78" s="102" t="s">
        <v>70</v>
      </c>
      <c r="H78" s="103" t="s">
        <v>71</v>
      </c>
      <c r="I78" s="99" t="s">
        <v>72</v>
      </c>
      <c r="J78" s="100" t="s">
        <v>66</v>
      </c>
      <c r="K78" s="100" t="s">
        <v>67</v>
      </c>
      <c r="L78" s="103" t="s">
        <v>71</v>
      </c>
      <c r="M78" s="144" t="s">
        <v>73</v>
      </c>
    </row>
    <row r="79" spans="1:13" x14ac:dyDescent="0.25">
      <c r="A79" s="20" t="s">
        <v>7</v>
      </c>
      <c r="B79" s="21"/>
      <c r="C79" s="105"/>
      <c r="D79" s="105"/>
      <c r="E79" s="105"/>
      <c r="F79" s="105"/>
      <c r="G79" s="105"/>
      <c r="H79" s="105"/>
      <c r="I79" s="105"/>
      <c r="J79" s="105"/>
      <c r="K79" s="105"/>
      <c r="L79" s="105"/>
      <c r="M79" s="21"/>
    </row>
    <row r="80" spans="1:13" x14ac:dyDescent="0.25">
      <c r="A80" s="54" t="s">
        <v>14</v>
      </c>
      <c r="B80" s="60">
        <v>0</v>
      </c>
      <c r="C80" s="72">
        <v>0</v>
      </c>
      <c r="D80" s="72">
        <v>0</v>
      </c>
      <c r="E80" s="72">
        <v>0</v>
      </c>
      <c r="F80" s="72">
        <v>0</v>
      </c>
      <c r="G80" s="72">
        <v>0</v>
      </c>
      <c r="H80" s="72">
        <v>0</v>
      </c>
      <c r="I80" s="72">
        <f>SUMIFS('PR Data'!$P:$P,'PR Data'!$Q:$Q,'PR Report - SOBHA AUH'!$A80,'PR Data'!$R:$R,"Approved",'PR Data'!$W:$W,I$78,'PR Data'!$U:$U,'PR Report - SOBHA AUH'!$A$77,'PR Data'!$B:$B,"&lt;&gt;" &amp; "Cheque")</f>
        <v>0</v>
      </c>
      <c r="J80" s="72">
        <f>SUMIFS('PR Data'!$P:$P,'PR Data'!$Q:$Q,'PR Report - SOBHA AUH'!$A80,'PR Data'!$R:$R,"Approved",'PR Data'!$W:$W,J$78,'PR Data'!$U:$U,'PR Report - SOBHA AUH'!$A$77,'PR Data'!$B:$B,"&lt;&gt;" &amp; "Cheque")</f>
        <v>0</v>
      </c>
      <c r="K80" s="72">
        <f>SUMIFS('PR Data'!$P:$P,'PR Data'!$Q:$Q,'PR Report - SOBHA AUH'!$A80,'PR Data'!$R:$R,"Approved",'PR Data'!$W:$W,K$78,'PR Data'!$U:$U,'PR Report - SOBHA AUH'!$A$77,'PR Data'!$B:$B,"&lt;&gt;" &amp; "Cheque")</f>
        <v>0</v>
      </c>
      <c r="L80" s="72">
        <f>SUMIFS('PR Data'!$P:$P,'PR Data'!$Q:$Q,'PR Report - SOBHA AUH'!$A80,'PR Data'!$R:$R,"Approved",'PR Data'!$W:$W,L$78,'PR Data'!$U:$U,'PR Report - SOBHA AUH'!$A$77,'PR Data'!$B:$B,"&lt;&gt;" &amp; "Cheque")</f>
        <v>0</v>
      </c>
      <c r="M80" s="60">
        <f t="shared" ref="M80:M98" si="6">B80-SUM(C80:L80)</f>
        <v>0</v>
      </c>
    </row>
    <row r="81" spans="1:13" x14ac:dyDescent="0.25">
      <c r="A81" s="54" t="s">
        <v>15</v>
      </c>
      <c r="B81" s="60">
        <v>0</v>
      </c>
      <c r="C81" s="72">
        <v>0</v>
      </c>
      <c r="D81" s="72">
        <v>0</v>
      </c>
      <c r="E81" s="72">
        <v>0</v>
      </c>
      <c r="F81" s="72">
        <v>0</v>
      </c>
      <c r="G81" s="72">
        <v>0</v>
      </c>
      <c r="H81" s="72">
        <v>0</v>
      </c>
      <c r="I81" s="72">
        <f>SUMIFS('PR Data'!$P:$P,'PR Data'!$Q:$Q,'PR Report - SOBHA AUH'!$A81,'PR Data'!$R:$R,"Approved",'PR Data'!$W:$W,I$78,'PR Data'!$U:$U,'PR Report - SOBHA AUH'!$A$77,'PR Data'!$B:$B,"&lt;&gt;" &amp; "Cheque")</f>
        <v>0</v>
      </c>
      <c r="J81" s="72">
        <f>SUMIFS('PR Data'!$P:$P,'PR Data'!$Q:$Q,'PR Report - SOBHA AUH'!$A81,'PR Data'!$R:$R,"Approved",'PR Data'!$W:$W,J$78,'PR Data'!$U:$U,'PR Report - SOBHA AUH'!$A$77,'PR Data'!$B:$B,"&lt;&gt;" &amp; "Cheque")</f>
        <v>0</v>
      </c>
      <c r="K81" s="72">
        <f>SUMIFS('PR Data'!$P:$P,'PR Data'!$Q:$Q,'PR Report - SOBHA AUH'!$A81,'PR Data'!$R:$R,"Approved",'PR Data'!$W:$W,K$78,'PR Data'!$U:$U,'PR Report - SOBHA AUH'!$A$77,'PR Data'!$B:$B,"&lt;&gt;" &amp; "Cheque")</f>
        <v>0</v>
      </c>
      <c r="L81" s="72">
        <f>SUMIFS('PR Data'!$P:$P,'PR Data'!$Q:$Q,'PR Report - SOBHA AUH'!$A81,'PR Data'!$R:$R,"Approved",'PR Data'!$W:$W,L$78,'PR Data'!$U:$U,'PR Report - SOBHA AUH'!$A$77,'PR Data'!$B:$B,"&lt;&gt;" &amp; "Cheque")</f>
        <v>0</v>
      </c>
      <c r="M81" s="60">
        <f t="shared" si="6"/>
        <v>0</v>
      </c>
    </row>
    <row r="82" spans="1:13" x14ac:dyDescent="0.25">
      <c r="A82" s="54" t="s">
        <v>13</v>
      </c>
      <c r="B82" s="60">
        <v>559683</v>
      </c>
      <c r="C82" s="72">
        <v>0</v>
      </c>
      <c r="D82" s="72">
        <v>0</v>
      </c>
      <c r="E82" s="72">
        <v>0</v>
      </c>
      <c r="F82" s="72">
        <v>0</v>
      </c>
      <c r="G82" s="72">
        <v>0</v>
      </c>
      <c r="H82" s="72">
        <v>0</v>
      </c>
      <c r="I82" s="72">
        <f>SUMIFS('PR Data'!$P:$P,'PR Data'!$Q:$Q,'PR Report - SOBHA AUH'!$A82,'PR Data'!$R:$R,"Approved",'PR Data'!$W:$W,I$78,'PR Data'!$U:$U,'PR Report - SOBHA AUH'!$A$77,'PR Data'!$B:$B,"&lt;&gt;" &amp; "Cheque")</f>
        <v>0</v>
      </c>
      <c r="J82" s="72">
        <f>SUMIFS('PR Data'!$P:$P,'PR Data'!$Q:$Q,'PR Report - SOBHA AUH'!$A82,'PR Data'!$R:$R,"Approved",'PR Data'!$W:$W,J$78,'PR Data'!$U:$U,'PR Report - SOBHA AUH'!$A$77,'PR Data'!$B:$B,"&lt;&gt;" &amp; "Cheque")</f>
        <v>0</v>
      </c>
      <c r="K82" s="72">
        <f>SUMIFS('PR Data'!$P:$P,'PR Data'!$Q:$Q,'PR Report - SOBHA AUH'!$A82,'PR Data'!$R:$R,"Approved",'PR Data'!$W:$W,K$78,'PR Data'!$U:$U,'PR Report - SOBHA AUH'!$A$77,'PR Data'!$B:$B,"&lt;&gt;" &amp; "Cheque")</f>
        <v>0</v>
      </c>
      <c r="L82" s="72">
        <f>SUMIFS('PR Data'!$P:$P,'PR Data'!$Q:$Q,'PR Report - SOBHA AUH'!$A82,'PR Data'!$R:$R,"Approved",'PR Data'!$W:$W,L$78,'PR Data'!$U:$U,'PR Report - SOBHA AUH'!$A$77,'PR Data'!$B:$B,"&lt;&gt;" &amp; "Cheque")</f>
        <v>0</v>
      </c>
      <c r="M82" s="60">
        <f t="shared" si="6"/>
        <v>559683</v>
      </c>
    </row>
    <row r="83" spans="1:13" x14ac:dyDescent="0.25">
      <c r="A83" s="54" t="s">
        <v>17</v>
      </c>
      <c r="B83" s="60">
        <v>0</v>
      </c>
      <c r="C83" s="72">
        <v>0</v>
      </c>
      <c r="D83" s="72">
        <v>0</v>
      </c>
      <c r="E83" s="72">
        <v>0</v>
      </c>
      <c r="F83" s="72">
        <v>0</v>
      </c>
      <c r="G83" s="72">
        <v>0</v>
      </c>
      <c r="H83" s="72">
        <v>0</v>
      </c>
      <c r="I83" s="72">
        <f>SUMIFS('PR Data'!$P:$P,'PR Data'!$Q:$Q,'PR Report - SOBHA AUH'!$A83,'PR Data'!$R:$R,"Approved",'PR Data'!$W:$W,I$78,'PR Data'!$U:$U,'PR Report - SOBHA AUH'!$A$77,'PR Data'!$B:$B,"&lt;&gt;" &amp; "Cheque")</f>
        <v>0</v>
      </c>
      <c r="J83" s="72">
        <f>SUMIFS('PR Data'!$P:$P,'PR Data'!$Q:$Q,'PR Report - SOBHA AUH'!$A83,'PR Data'!$R:$R,"Approved",'PR Data'!$W:$W,J$78,'PR Data'!$U:$U,'PR Report - SOBHA AUH'!$A$77,'PR Data'!$B:$B,"&lt;&gt;" &amp; "Cheque")</f>
        <v>0</v>
      </c>
      <c r="K83" s="72">
        <f>SUMIFS('PR Data'!$P:$P,'PR Data'!$Q:$Q,'PR Report - SOBHA AUH'!$A83,'PR Data'!$R:$R,"Approved",'PR Data'!$W:$W,K$78,'PR Data'!$U:$U,'PR Report - SOBHA AUH'!$A$77,'PR Data'!$B:$B,"&lt;&gt;" &amp; "Cheque")</f>
        <v>0</v>
      </c>
      <c r="L83" s="72">
        <f>SUMIFS('PR Data'!$P:$P,'PR Data'!$Q:$Q,'PR Report - SOBHA AUH'!$A83,'PR Data'!$R:$R,"Approved",'PR Data'!$W:$W,L$78,'PR Data'!$U:$U,'PR Report - SOBHA AUH'!$A$77,'PR Data'!$B:$B,"&lt;&gt;" &amp; "Cheque")</f>
        <v>0</v>
      </c>
      <c r="M83" s="60">
        <f t="shared" si="6"/>
        <v>0</v>
      </c>
    </row>
    <row r="84" spans="1:13" x14ac:dyDescent="0.25">
      <c r="A84" s="54" t="s">
        <v>24</v>
      </c>
      <c r="B84" s="60">
        <v>0</v>
      </c>
      <c r="C84" s="72">
        <v>0</v>
      </c>
      <c r="D84" s="72">
        <v>0</v>
      </c>
      <c r="E84" s="72">
        <v>0</v>
      </c>
      <c r="F84" s="72">
        <v>0</v>
      </c>
      <c r="G84" s="72">
        <v>0</v>
      </c>
      <c r="H84" s="72">
        <v>0</v>
      </c>
      <c r="I84" s="72">
        <f>SUMIFS('PR Data'!$P:$P,'PR Data'!$Q:$Q,'PR Report - SOBHA AUH'!$A84,'PR Data'!$R:$R,"Approved",'PR Data'!$W:$W,I$78,'PR Data'!$U:$U,'PR Report - SOBHA AUH'!$A$77,'PR Data'!$B:$B,"&lt;&gt;" &amp; "Cheque")</f>
        <v>0</v>
      </c>
      <c r="J84" s="72">
        <f>SUMIFS('PR Data'!$P:$P,'PR Data'!$Q:$Q,'PR Report - SOBHA AUH'!$A84,'PR Data'!$R:$R,"Approved",'PR Data'!$W:$W,J$78,'PR Data'!$U:$U,'PR Report - SOBHA AUH'!$A$77,'PR Data'!$B:$B,"&lt;&gt;" &amp; "Cheque")</f>
        <v>0</v>
      </c>
      <c r="K84" s="72">
        <f>SUMIFS('PR Data'!$P:$P,'PR Data'!$Q:$Q,'PR Report - SOBHA AUH'!$A84,'PR Data'!$R:$R,"Approved",'PR Data'!$W:$W,K$78,'PR Data'!$U:$U,'PR Report - SOBHA AUH'!$A$77,'PR Data'!$B:$B,"&lt;&gt;" &amp; "Cheque")</f>
        <v>0</v>
      </c>
      <c r="L84" s="72">
        <f>SUMIFS('PR Data'!$P:$P,'PR Data'!$Q:$Q,'PR Report - SOBHA AUH'!$A84,'PR Data'!$R:$R,"Approved",'PR Data'!$W:$W,L$78,'PR Data'!$U:$U,'PR Report - SOBHA AUH'!$A$77,'PR Data'!$B:$B,"&lt;&gt;" &amp; "Cheque")</f>
        <v>0</v>
      </c>
      <c r="M84" s="60">
        <f t="shared" si="6"/>
        <v>0</v>
      </c>
    </row>
    <row r="85" spans="1:13" x14ac:dyDescent="0.25">
      <c r="A85" s="54" t="s">
        <v>33</v>
      </c>
      <c r="B85" s="60">
        <v>0</v>
      </c>
      <c r="C85" s="72">
        <v>0</v>
      </c>
      <c r="D85" s="72">
        <v>0</v>
      </c>
      <c r="E85" s="72">
        <v>0</v>
      </c>
      <c r="F85" s="72">
        <v>0</v>
      </c>
      <c r="G85" s="72">
        <v>0</v>
      </c>
      <c r="H85" s="72">
        <v>0</v>
      </c>
      <c r="I85" s="72">
        <f>SUMIFS('PR Data'!$P:$P,'PR Data'!$Q:$Q,'PR Report - SOBHA AUH'!$A85,'PR Data'!$R:$R,"Approved",'PR Data'!$W:$W,I$78,'PR Data'!$U:$U,'PR Report - SOBHA AUH'!$A$77,'PR Data'!$B:$B,"&lt;&gt;" &amp; "Cheque")</f>
        <v>0</v>
      </c>
      <c r="J85" s="72">
        <f>SUMIFS('PR Data'!$P:$P,'PR Data'!$Q:$Q,'PR Report - SOBHA AUH'!$A85,'PR Data'!$R:$R,"Approved",'PR Data'!$W:$W,J$78,'PR Data'!$U:$U,'PR Report - SOBHA AUH'!$A$77,'PR Data'!$B:$B,"&lt;&gt;" &amp; "Cheque")</f>
        <v>0</v>
      </c>
      <c r="K85" s="72">
        <f>SUMIFS('PR Data'!$P:$P,'PR Data'!$Q:$Q,'PR Report - SOBHA AUH'!$A85,'PR Data'!$R:$R,"Approved",'PR Data'!$W:$W,K$78,'PR Data'!$U:$U,'PR Report - SOBHA AUH'!$A$77,'PR Data'!$B:$B,"&lt;&gt;" &amp; "Cheque")</f>
        <v>0</v>
      </c>
      <c r="L85" s="72">
        <f>SUMIFS('PR Data'!$P:$P,'PR Data'!$Q:$Q,'PR Report - SOBHA AUH'!$A85,'PR Data'!$R:$R,"Approved",'PR Data'!$W:$W,L$78,'PR Data'!$U:$U,'PR Report - SOBHA AUH'!$A$77,'PR Data'!$B:$B,"&lt;&gt;" &amp; "Cheque")</f>
        <v>0</v>
      </c>
      <c r="M85" s="60">
        <f t="shared" si="6"/>
        <v>0</v>
      </c>
    </row>
    <row r="86" spans="1:13" x14ac:dyDescent="0.25">
      <c r="A86" s="54" t="s">
        <v>31</v>
      </c>
      <c r="B86" s="60">
        <v>0</v>
      </c>
      <c r="C86" s="72">
        <v>0</v>
      </c>
      <c r="D86" s="72">
        <v>0</v>
      </c>
      <c r="E86" s="72">
        <v>0</v>
      </c>
      <c r="F86" s="72">
        <v>0</v>
      </c>
      <c r="G86" s="72">
        <v>0</v>
      </c>
      <c r="H86" s="72">
        <v>0</v>
      </c>
      <c r="I86" s="72">
        <f>SUMIFS('PR Data'!$P:$P,'PR Data'!$Q:$Q,'PR Report - SOBHA AUH'!$A86,'PR Data'!$R:$R,"Approved",'PR Data'!$W:$W,I$78,'PR Data'!$U:$U,'PR Report - SOBHA AUH'!$A$77,'PR Data'!$B:$B,"&lt;&gt;" &amp; "Cheque")</f>
        <v>0</v>
      </c>
      <c r="J86" s="72">
        <f>SUMIFS('PR Data'!$P:$P,'PR Data'!$Q:$Q,'PR Report - SOBHA AUH'!$A86,'PR Data'!$R:$R,"Approved",'PR Data'!$W:$W,J$78,'PR Data'!$U:$U,'PR Report - SOBHA AUH'!$A$77,'PR Data'!$B:$B,"&lt;&gt;" &amp; "Cheque")</f>
        <v>0</v>
      </c>
      <c r="K86" s="72">
        <f>SUMIFS('PR Data'!$P:$P,'PR Data'!$Q:$Q,'PR Report - SOBHA AUH'!$A86,'PR Data'!$R:$R,"Approved",'PR Data'!$W:$W,K$78,'PR Data'!$U:$U,'PR Report - SOBHA AUH'!$A$77,'PR Data'!$B:$B,"&lt;&gt;" &amp; "Cheque")</f>
        <v>0</v>
      </c>
      <c r="L86" s="72">
        <f>SUMIFS('PR Data'!$P:$P,'PR Data'!$Q:$Q,'PR Report - SOBHA AUH'!$A86,'PR Data'!$R:$R,"Approved",'PR Data'!$W:$W,L$78,'PR Data'!$U:$U,'PR Report - SOBHA AUH'!$A$77,'PR Data'!$B:$B,"&lt;&gt;" &amp; "Cheque")</f>
        <v>0</v>
      </c>
      <c r="M86" s="60">
        <f t="shared" si="6"/>
        <v>0</v>
      </c>
    </row>
    <row r="87" spans="1:13" x14ac:dyDescent="0.25">
      <c r="A87" s="54" t="s">
        <v>27</v>
      </c>
      <c r="B87" s="60">
        <v>0</v>
      </c>
      <c r="C87" s="72">
        <v>0</v>
      </c>
      <c r="D87" s="72">
        <v>0</v>
      </c>
      <c r="E87" s="72">
        <v>0</v>
      </c>
      <c r="F87" s="72">
        <v>0</v>
      </c>
      <c r="G87" s="72">
        <v>0</v>
      </c>
      <c r="H87" s="72">
        <v>0</v>
      </c>
      <c r="I87" s="72">
        <f>SUMIFS('PR Data'!$P:$P,'PR Data'!$Q:$Q,'PR Report - SOBHA AUH'!$A87,'PR Data'!$R:$R,"Approved",'PR Data'!$W:$W,I$78,'PR Data'!$U:$U,'PR Report - SOBHA AUH'!$A$77,'PR Data'!$B:$B,"&lt;&gt;" &amp; "Cheque")</f>
        <v>0</v>
      </c>
      <c r="J87" s="72">
        <f>SUMIFS('PR Data'!$P:$P,'PR Data'!$Q:$Q,'PR Report - SOBHA AUH'!$A87,'PR Data'!$R:$R,"Approved",'PR Data'!$W:$W,J$78,'PR Data'!$U:$U,'PR Report - SOBHA AUH'!$A$77,'PR Data'!$B:$B,"&lt;&gt;" &amp; "Cheque")</f>
        <v>0</v>
      </c>
      <c r="K87" s="72">
        <f>SUMIFS('PR Data'!$P:$P,'PR Data'!$Q:$Q,'PR Report - SOBHA AUH'!$A87,'PR Data'!$R:$R,"Approved",'PR Data'!$W:$W,K$78,'PR Data'!$U:$U,'PR Report - SOBHA AUH'!$A$77,'PR Data'!$B:$B,"&lt;&gt;" &amp; "Cheque")</f>
        <v>0</v>
      </c>
      <c r="L87" s="72">
        <f>SUMIFS('PR Data'!$P:$P,'PR Data'!$Q:$Q,'PR Report - SOBHA AUH'!$A87,'PR Data'!$R:$R,"Approved",'PR Data'!$W:$W,L$78,'PR Data'!$U:$U,'PR Report - SOBHA AUH'!$A$77,'PR Data'!$B:$B,"&lt;&gt;" &amp; "Cheque")</f>
        <v>0</v>
      </c>
      <c r="M87" s="60">
        <f t="shared" si="6"/>
        <v>0</v>
      </c>
    </row>
    <row r="88" spans="1:13" x14ac:dyDescent="0.25">
      <c r="A88" s="54" t="s">
        <v>18</v>
      </c>
      <c r="B88" s="60">
        <v>0</v>
      </c>
      <c r="C88" s="72">
        <v>0</v>
      </c>
      <c r="D88" s="72">
        <v>0</v>
      </c>
      <c r="E88" s="72">
        <v>0</v>
      </c>
      <c r="F88" s="72">
        <v>0</v>
      </c>
      <c r="G88" s="72">
        <v>0</v>
      </c>
      <c r="H88" s="72">
        <v>0</v>
      </c>
      <c r="I88" s="72">
        <f>SUMIFS('PR Data'!$P:$P,'PR Data'!$Q:$Q,'PR Report - SOBHA AUH'!$A88,'PR Data'!$R:$R,"Approved",'PR Data'!$W:$W,I$78,'PR Data'!$U:$U,'PR Report - SOBHA AUH'!$A$77,'PR Data'!$B:$B,"&lt;&gt;" &amp; "Cheque")</f>
        <v>0</v>
      </c>
      <c r="J88" s="72">
        <f>SUMIFS('PR Data'!$P:$P,'PR Data'!$Q:$Q,'PR Report - SOBHA AUH'!$A88,'PR Data'!$R:$R,"Approved",'PR Data'!$W:$W,J$78,'PR Data'!$U:$U,'PR Report - SOBHA AUH'!$A$77,'PR Data'!$B:$B,"&lt;&gt;" &amp; "Cheque")</f>
        <v>0</v>
      </c>
      <c r="K88" s="72">
        <f>SUMIFS('PR Data'!$P:$P,'PR Data'!$Q:$Q,'PR Report - SOBHA AUH'!$A88,'PR Data'!$R:$R,"Approved",'PR Data'!$W:$W,K$78,'PR Data'!$U:$U,'PR Report - SOBHA AUH'!$A$77,'PR Data'!$B:$B,"&lt;&gt;" &amp; "Cheque")</f>
        <v>0</v>
      </c>
      <c r="L88" s="72">
        <f>SUMIFS('PR Data'!$P:$P,'PR Data'!$Q:$Q,'PR Report - SOBHA AUH'!$A88,'PR Data'!$R:$R,"Approved",'PR Data'!$W:$W,L$78,'PR Data'!$U:$U,'PR Report - SOBHA AUH'!$A$77,'PR Data'!$B:$B,"&lt;&gt;" &amp; "Cheque")</f>
        <v>0</v>
      </c>
      <c r="M88" s="60">
        <f t="shared" si="6"/>
        <v>0</v>
      </c>
    </row>
    <row r="89" spans="1:13" x14ac:dyDescent="0.25">
      <c r="A89" s="54" t="s">
        <v>34</v>
      </c>
      <c r="B89" s="60">
        <v>0</v>
      </c>
      <c r="C89" s="72">
        <v>0</v>
      </c>
      <c r="D89" s="72">
        <v>0</v>
      </c>
      <c r="E89" s="72">
        <v>0</v>
      </c>
      <c r="F89" s="72">
        <v>0</v>
      </c>
      <c r="G89" s="72">
        <v>0</v>
      </c>
      <c r="H89" s="72">
        <v>0</v>
      </c>
      <c r="I89" s="72">
        <f>SUMIFS('PR Data'!$P:$P,'PR Data'!$Q:$Q,'PR Report - SOBHA AUH'!$A89,'PR Data'!$R:$R,"Approved",'PR Data'!$W:$W,I$78,'PR Data'!$U:$U,'PR Report - SOBHA AUH'!$A$77,'PR Data'!$B:$B,"&lt;&gt;" &amp; "Cheque")</f>
        <v>0</v>
      </c>
      <c r="J89" s="72">
        <f>SUMIFS('PR Data'!$P:$P,'PR Data'!$Q:$Q,'PR Report - SOBHA AUH'!$A89,'PR Data'!$R:$R,"Approved",'PR Data'!$W:$W,J$78,'PR Data'!$U:$U,'PR Report - SOBHA AUH'!$A$77,'PR Data'!$B:$B,"&lt;&gt;" &amp; "Cheque")</f>
        <v>0</v>
      </c>
      <c r="K89" s="72">
        <f>SUMIFS('PR Data'!$P:$P,'PR Data'!$Q:$Q,'PR Report - SOBHA AUH'!$A89,'PR Data'!$R:$R,"Approved",'PR Data'!$W:$W,K$78,'PR Data'!$U:$U,'PR Report - SOBHA AUH'!$A$77,'PR Data'!$B:$B,"&lt;&gt;" &amp; "Cheque")</f>
        <v>0</v>
      </c>
      <c r="L89" s="72">
        <f>SUMIFS('PR Data'!$P:$P,'PR Data'!$Q:$Q,'PR Report - SOBHA AUH'!$A89,'PR Data'!$R:$R,"Approved",'PR Data'!$W:$W,L$78,'PR Data'!$U:$U,'PR Report - SOBHA AUH'!$A$77,'PR Data'!$B:$B,"&lt;&gt;" &amp; "Cheque")</f>
        <v>0</v>
      </c>
      <c r="M89" s="60">
        <f t="shared" si="6"/>
        <v>0</v>
      </c>
    </row>
    <row r="90" spans="1:13" x14ac:dyDescent="0.25">
      <c r="A90" s="54" t="s">
        <v>16</v>
      </c>
      <c r="B90" s="60">
        <v>0</v>
      </c>
      <c r="C90" s="72">
        <v>0</v>
      </c>
      <c r="D90" s="72">
        <v>0</v>
      </c>
      <c r="E90" s="72">
        <v>0</v>
      </c>
      <c r="F90" s="72">
        <v>0</v>
      </c>
      <c r="G90" s="72">
        <v>0</v>
      </c>
      <c r="H90" s="72">
        <v>0</v>
      </c>
      <c r="I90" s="72">
        <f>SUMIFS('PR Data'!$P:$P,'PR Data'!$Q:$Q,'PR Report - SOBHA AUH'!$A90,'PR Data'!$R:$R,"Approved",'PR Data'!$W:$W,I$78,'PR Data'!$U:$U,'PR Report - SOBHA AUH'!$A$77,'PR Data'!$B:$B,"&lt;&gt;" &amp; "Cheque")</f>
        <v>0</v>
      </c>
      <c r="J90" s="72">
        <f>SUMIFS('PR Data'!$P:$P,'PR Data'!$Q:$Q,'PR Report - SOBHA AUH'!$A90,'PR Data'!$R:$R,"Approved",'PR Data'!$W:$W,J$78,'PR Data'!$U:$U,'PR Report - SOBHA AUH'!$A$77,'PR Data'!$B:$B,"&lt;&gt;" &amp; "Cheque")</f>
        <v>0</v>
      </c>
      <c r="K90" s="72">
        <f>SUMIFS('PR Data'!$P:$P,'PR Data'!$Q:$Q,'PR Report - SOBHA AUH'!$A90,'PR Data'!$R:$R,"Approved",'PR Data'!$W:$W,K$78,'PR Data'!$U:$U,'PR Report - SOBHA AUH'!$A$77,'PR Data'!$B:$B,"&lt;&gt;" &amp; "Cheque")</f>
        <v>0</v>
      </c>
      <c r="L90" s="72">
        <f>SUMIFS('PR Data'!$P:$P,'PR Data'!$Q:$Q,'PR Report - SOBHA AUH'!$A90,'PR Data'!$R:$R,"Approved",'PR Data'!$W:$W,L$78,'PR Data'!$U:$U,'PR Report - SOBHA AUH'!$A$77,'PR Data'!$B:$B,"&lt;&gt;" &amp; "Cheque")</f>
        <v>0</v>
      </c>
      <c r="M90" s="60">
        <f t="shared" si="6"/>
        <v>0</v>
      </c>
    </row>
    <row r="91" spans="1:13" x14ac:dyDescent="0.25">
      <c r="A91" s="54" t="s">
        <v>19</v>
      </c>
      <c r="B91" s="60">
        <v>0</v>
      </c>
      <c r="C91" s="72">
        <v>0</v>
      </c>
      <c r="D91" s="72">
        <v>0</v>
      </c>
      <c r="E91" s="72">
        <v>0</v>
      </c>
      <c r="F91" s="72">
        <v>0</v>
      </c>
      <c r="G91" s="72">
        <v>0</v>
      </c>
      <c r="H91" s="72">
        <v>0</v>
      </c>
      <c r="I91" s="72">
        <f>SUMIFS('PR Data'!$P:$P,'PR Data'!$Q:$Q,'PR Report - SOBHA AUH'!$A91,'PR Data'!$R:$R,"Approved",'PR Data'!$W:$W,I$78,'PR Data'!$U:$U,'PR Report - SOBHA AUH'!$A$77,'PR Data'!$B:$B,"&lt;&gt;" &amp; "Cheque")</f>
        <v>0</v>
      </c>
      <c r="J91" s="72">
        <f>SUMIFS('PR Data'!$P:$P,'PR Data'!$Q:$Q,'PR Report - SOBHA AUH'!$A91,'PR Data'!$R:$R,"Approved",'PR Data'!$W:$W,J$78,'PR Data'!$U:$U,'PR Report - SOBHA AUH'!$A$77,'PR Data'!$B:$B,"&lt;&gt;" &amp; "Cheque")</f>
        <v>0</v>
      </c>
      <c r="K91" s="72">
        <f>SUMIFS('PR Data'!$P:$P,'PR Data'!$Q:$Q,'PR Report - SOBHA AUH'!$A91,'PR Data'!$R:$R,"Approved",'PR Data'!$W:$W,K$78,'PR Data'!$U:$U,'PR Report - SOBHA AUH'!$A$77,'PR Data'!$B:$B,"&lt;&gt;" &amp; "Cheque")</f>
        <v>0</v>
      </c>
      <c r="L91" s="72">
        <f>SUMIFS('PR Data'!$P:$P,'PR Data'!$Q:$Q,'PR Report - SOBHA AUH'!$A91,'PR Data'!$R:$R,"Approved",'PR Data'!$W:$W,L$78,'PR Data'!$U:$U,'PR Report - SOBHA AUH'!$A$77,'PR Data'!$B:$B,"&lt;&gt;" &amp; "Cheque")</f>
        <v>0</v>
      </c>
      <c r="M91" s="60">
        <f t="shared" si="6"/>
        <v>0</v>
      </c>
    </row>
    <row r="92" spans="1:13" x14ac:dyDescent="0.25">
      <c r="A92" s="54" t="s">
        <v>20</v>
      </c>
      <c r="B92" s="60">
        <v>0</v>
      </c>
      <c r="C92" s="72">
        <v>0</v>
      </c>
      <c r="D92" s="72">
        <v>0</v>
      </c>
      <c r="E92" s="72">
        <v>0</v>
      </c>
      <c r="F92" s="72">
        <v>0</v>
      </c>
      <c r="G92" s="72">
        <v>0</v>
      </c>
      <c r="H92" s="72">
        <v>0</v>
      </c>
      <c r="I92" s="72">
        <f>SUMIFS('PR Data'!$P:$P,'PR Data'!$Q:$Q,'PR Report - SOBHA AUH'!$A92,'PR Data'!$R:$R,"Approved",'PR Data'!$W:$W,I$78,'PR Data'!$U:$U,'PR Report - SOBHA AUH'!$A$77,'PR Data'!$B:$B,"&lt;&gt;" &amp; "Cheque")</f>
        <v>0</v>
      </c>
      <c r="J92" s="72">
        <f>SUMIFS('PR Data'!$P:$P,'PR Data'!$Q:$Q,'PR Report - SOBHA AUH'!$A92,'PR Data'!$R:$R,"Approved",'PR Data'!$W:$W,J$78,'PR Data'!$U:$U,'PR Report - SOBHA AUH'!$A$77,'PR Data'!$B:$B,"&lt;&gt;" &amp; "Cheque")</f>
        <v>0</v>
      </c>
      <c r="K92" s="72">
        <f>SUMIFS('PR Data'!$P:$P,'PR Data'!$Q:$Q,'PR Report - SOBHA AUH'!$A92,'PR Data'!$R:$R,"Approved",'PR Data'!$W:$W,K$78,'PR Data'!$U:$U,'PR Report - SOBHA AUH'!$A$77,'PR Data'!$B:$B,"&lt;&gt;" &amp; "Cheque")</f>
        <v>0</v>
      </c>
      <c r="L92" s="72">
        <f>SUMIFS('PR Data'!$P:$P,'PR Data'!$Q:$Q,'PR Report - SOBHA AUH'!$A92,'PR Data'!$R:$R,"Approved",'PR Data'!$W:$W,L$78,'PR Data'!$U:$U,'PR Report - SOBHA AUH'!$A$77,'PR Data'!$B:$B,"&lt;&gt;" &amp; "Cheque")</f>
        <v>0</v>
      </c>
      <c r="M92" s="60">
        <f t="shared" si="6"/>
        <v>0</v>
      </c>
    </row>
    <row r="93" spans="1:13" x14ac:dyDescent="0.25">
      <c r="A93" s="54" t="s">
        <v>21</v>
      </c>
      <c r="B93" s="60">
        <v>0</v>
      </c>
      <c r="C93" s="72">
        <v>0</v>
      </c>
      <c r="D93" s="72">
        <v>0</v>
      </c>
      <c r="E93" s="72">
        <v>0</v>
      </c>
      <c r="F93" s="72">
        <v>0</v>
      </c>
      <c r="G93" s="72">
        <v>0</v>
      </c>
      <c r="H93" s="72">
        <v>0</v>
      </c>
      <c r="I93" s="72">
        <f>SUMIFS('PR Data'!$P:$P,'PR Data'!$Q:$Q,'PR Report - SOBHA AUH'!$A93,'PR Data'!$R:$R,"Approved",'PR Data'!$W:$W,I$78,'PR Data'!$U:$U,'PR Report - SOBHA AUH'!$A$77,'PR Data'!$B:$B,"&lt;&gt;" &amp; "Cheque")</f>
        <v>0</v>
      </c>
      <c r="J93" s="72">
        <f>SUMIFS('PR Data'!$P:$P,'PR Data'!$Q:$Q,'PR Report - SOBHA AUH'!$A93,'PR Data'!$R:$R,"Approved",'PR Data'!$W:$W,J$78,'PR Data'!$U:$U,'PR Report - SOBHA AUH'!$A$77,'PR Data'!$B:$B,"&lt;&gt;" &amp; "Cheque")</f>
        <v>0</v>
      </c>
      <c r="K93" s="72">
        <f>SUMIFS('PR Data'!$P:$P,'PR Data'!$Q:$Q,'PR Report - SOBHA AUH'!$A93,'PR Data'!$R:$R,"Approved",'PR Data'!$W:$W,K$78,'PR Data'!$U:$U,'PR Report - SOBHA AUH'!$A$77,'PR Data'!$B:$B,"&lt;&gt;" &amp; "Cheque")</f>
        <v>0</v>
      </c>
      <c r="L93" s="72">
        <f>SUMIFS('PR Data'!$P:$P,'PR Data'!$Q:$Q,'PR Report - SOBHA AUH'!$A93,'PR Data'!$R:$R,"Approved",'PR Data'!$W:$W,L$78,'PR Data'!$U:$U,'PR Report - SOBHA AUH'!$A$77,'PR Data'!$B:$B,"&lt;&gt;" &amp; "Cheque")</f>
        <v>0</v>
      </c>
      <c r="M93" s="60">
        <f t="shared" si="6"/>
        <v>0</v>
      </c>
    </row>
    <row r="94" spans="1:13" x14ac:dyDescent="0.25">
      <c r="A94" s="54" t="s">
        <v>26</v>
      </c>
      <c r="B94" s="60">
        <v>0</v>
      </c>
      <c r="C94" s="72">
        <v>0</v>
      </c>
      <c r="D94" s="72">
        <v>0</v>
      </c>
      <c r="E94" s="72">
        <v>0</v>
      </c>
      <c r="F94" s="72">
        <v>0</v>
      </c>
      <c r="G94" s="72">
        <v>0</v>
      </c>
      <c r="H94" s="72">
        <v>0</v>
      </c>
      <c r="I94" s="72">
        <f>SUMIFS('PR Data'!$P:$P,'PR Data'!$Q:$Q,'PR Report - SOBHA AUH'!$A94,'PR Data'!$R:$R,"Approved",'PR Data'!$W:$W,I$78,'PR Data'!$U:$U,'PR Report - SOBHA AUH'!$A$77,'PR Data'!$B:$B,"&lt;&gt;" &amp; "Cheque")</f>
        <v>0</v>
      </c>
      <c r="J94" s="72">
        <f>SUMIFS('PR Data'!$P:$P,'PR Data'!$Q:$Q,'PR Report - SOBHA AUH'!$A94,'PR Data'!$R:$R,"Approved",'PR Data'!$W:$W,J$78,'PR Data'!$U:$U,'PR Report - SOBHA AUH'!$A$77,'PR Data'!$B:$B,"&lt;&gt;" &amp; "Cheque")</f>
        <v>0</v>
      </c>
      <c r="K94" s="72">
        <f>SUMIFS('PR Data'!$P:$P,'PR Data'!$Q:$Q,'PR Report - SOBHA AUH'!$A94,'PR Data'!$R:$R,"Approved",'PR Data'!$W:$W,K$78,'PR Data'!$U:$U,'PR Report - SOBHA AUH'!$A$77,'PR Data'!$B:$B,"&lt;&gt;" &amp; "Cheque")</f>
        <v>0</v>
      </c>
      <c r="L94" s="72">
        <f>SUMIFS('PR Data'!$P:$P,'PR Data'!$Q:$Q,'PR Report - SOBHA AUH'!$A94,'PR Data'!$R:$R,"Approved",'PR Data'!$W:$W,L$78,'PR Data'!$U:$U,'PR Report - SOBHA AUH'!$A$77,'PR Data'!$B:$B,"&lt;&gt;" &amp; "Cheque")</f>
        <v>0</v>
      </c>
      <c r="M94" s="60">
        <f t="shared" si="6"/>
        <v>0</v>
      </c>
    </row>
    <row r="95" spans="1:13" x14ac:dyDescent="0.25">
      <c r="A95" s="54" t="s">
        <v>10</v>
      </c>
      <c r="B95" s="60">
        <v>0</v>
      </c>
      <c r="C95" s="72">
        <v>0</v>
      </c>
      <c r="D95" s="72">
        <v>0</v>
      </c>
      <c r="E95" s="72">
        <v>0</v>
      </c>
      <c r="F95" s="72">
        <v>0</v>
      </c>
      <c r="G95" s="72">
        <v>0</v>
      </c>
      <c r="H95" s="72">
        <v>0</v>
      </c>
      <c r="I95" s="72">
        <f>SUMIFS('PR Data'!$P:$P,'PR Data'!$Q:$Q,'PR Report - SOBHA AUH'!$A95,'PR Data'!$R:$R,"Approved",'PR Data'!$W:$W,I$78,'PR Data'!$U:$U,'PR Report - SOBHA AUH'!$A$77,'PR Data'!$B:$B,"&lt;&gt;" &amp; "Cheque")</f>
        <v>0</v>
      </c>
      <c r="J95" s="72">
        <f>SUMIFS('PR Data'!$P:$P,'PR Data'!$Q:$Q,'PR Report - SOBHA AUH'!$A95,'PR Data'!$R:$R,"Approved",'PR Data'!$W:$W,J$78,'PR Data'!$U:$U,'PR Report - SOBHA AUH'!$A$77,'PR Data'!$B:$B,"&lt;&gt;" &amp; "Cheque")</f>
        <v>0</v>
      </c>
      <c r="K95" s="72">
        <f>SUMIFS('PR Data'!$P:$P,'PR Data'!$Q:$Q,'PR Report - SOBHA AUH'!$A95,'PR Data'!$R:$R,"Approved",'PR Data'!$W:$W,K$78,'PR Data'!$U:$U,'PR Report - SOBHA AUH'!$A$77,'PR Data'!$B:$B,"&lt;&gt;" &amp; "Cheque")</f>
        <v>0</v>
      </c>
      <c r="L95" s="72">
        <f>SUMIFS('PR Data'!$P:$P,'PR Data'!$Q:$Q,'PR Report - SOBHA AUH'!$A95,'PR Data'!$R:$R,"Approved",'PR Data'!$W:$W,L$78,'PR Data'!$U:$U,'PR Report - SOBHA AUH'!$A$77,'PR Data'!$B:$B,"&lt;&gt;" &amp; "Cheque")</f>
        <v>0</v>
      </c>
      <c r="M95" s="60">
        <f t="shared" si="6"/>
        <v>0</v>
      </c>
    </row>
    <row r="96" spans="1:13" x14ac:dyDescent="0.25">
      <c r="A96" s="54" t="s">
        <v>8</v>
      </c>
      <c r="B96" s="60">
        <v>0</v>
      </c>
      <c r="C96" s="72">
        <v>0</v>
      </c>
      <c r="D96" s="72">
        <v>0</v>
      </c>
      <c r="E96" s="72">
        <v>0</v>
      </c>
      <c r="F96" s="72">
        <v>0</v>
      </c>
      <c r="G96" s="72">
        <v>0</v>
      </c>
      <c r="H96" s="72">
        <v>0</v>
      </c>
      <c r="I96" s="72">
        <f>SUMIFS('PR Data'!$P:$P,'PR Data'!$Q:$Q,'PR Report - SOBHA AUH'!$A96,'PR Data'!$R:$R,"Approved",'PR Data'!$W:$W,I$78,'PR Data'!$U:$U,'PR Report - SOBHA AUH'!$A$77,'PR Data'!$B:$B,"&lt;&gt;" &amp; "Cheque")</f>
        <v>0</v>
      </c>
      <c r="J96" s="72">
        <f>SUMIFS('PR Data'!$P:$P,'PR Data'!$Q:$Q,'PR Report - SOBHA AUH'!$A96,'PR Data'!$R:$R,"Approved",'PR Data'!$W:$W,J$78,'PR Data'!$U:$U,'PR Report - SOBHA AUH'!$A$77,'PR Data'!$B:$B,"&lt;&gt;" &amp; "Cheque")</f>
        <v>0</v>
      </c>
      <c r="K96" s="72">
        <f>SUMIFS('PR Data'!$P:$P,'PR Data'!$Q:$Q,'PR Report - SOBHA AUH'!$A96,'PR Data'!$R:$R,"Approved",'PR Data'!$W:$W,K$78,'PR Data'!$U:$U,'PR Report - SOBHA AUH'!$A$77,'PR Data'!$B:$B,"&lt;&gt;" &amp; "Cheque")</f>
        <v>0</v>
      </c>
      <c r="L96" s="72">
        <f>SUMIFS('PR Data'!$P:$P,'PR Data'!$Q:$Q,'PR Report - SOBHA AUH'!$A96,'PR Data'!$R:$R,"Approved",'PR Data'!$W:$W,L$78,'PR Data'!$U:$U,'PR Report - SOBHA AUH'!$A$77,'PR Data'!$B:$B,"&lt;&gt;" &amp; "Cheque")</f>
        <v>0</v>
      </c>
      <c r="M96" s="60">
        <f t="shared" si="6"/>
        <v>0</v>
      </c>
    </row>
    <row r="97" spans="1:13" x14ac:dyDescent="0.25">
      <c r="A97" s="54" t="s">
        <v>9</v>
      </c>
      <c r="B97" s="60">
        <v>0</v>
      </c>
      <c r="C97" s="72">
        <v>0</v>
      </c>
      <c r="D97" s="72">
        <v>0</v>
      </c>
      <c r="E97" s="72">
        <v>0</v>
      </c>
      <c r="F97" s="72">
        <v>0</v>
      </c>
      <c r="G97" s="72">
        <v>0</v>
      </c>
      <c r="H97" s="72">
        <v>0</v>
      </c>
      <c r="I97" s="72">
        <f>SUMIFS('PR Data'!$P:$P,'PR Data'!$Q:$Q,'PR Report - SOBHA AUH'!$A97,'PR Data'!$R:$R,"Approved",'PR Data'!$W:$W,I$78,'PR Data'!$U:$U,'PR Report - SOBHA AUH'!$A$77,'PR Data'!$B:$B,"&lt;&gt;" &amp; "Cheque")</f>
        <v>0</v>
      </c>
      <c r="J97" s="72">
        <f>SUMIFS('PR Data'!$P:$P,'PR Data'!$Q:$Q,'PR Report - SOBHA AUH'!$A97,'PR Data'!$R:$R,"Approved",'PR Data'!$W:$W,J$78,'PR Data'!$U:$U,'PR Report - SOBHA AUH'!$A$77,'PR Data'!$B:$B,"&lt;&gt;" &amp; "Cheque")</f>
        <v>0</v>
      </c>
      <c r="K97" s="72">
        <f>SUMIFS('PR Data'!$P:$P,'PR Data'!$Q:$Q,'PR Report - SOBHA AUH'!$A97,'PR Data'!$R:$R,"Approved",'PR Data'!$W:$W,K$78,'PR Data'!$U:$U,'PR Report - SOBHA AUH'!$A$77,'PR Data'!$B:$B,"&lt;&gt;" &amp; "Cheque")</f>
        <v>0</v>
      </c>
      <c r="L97" s="72">
        <f>SUMIFS('PR Data'!$P:$P,'PR Data'!$Q:$Q,'PR Report - SOBHA AUH'!$A97,'PR Data'!$R:$R,"Approved",'PR Data'!$W:$W,L$78,'PR Data'!$U:$U,'PR Report - SOBHA AUH'!$A$77,'PR Data'!$B:$B,"&lt;&gt;" &amp; "Cheque")</f>
        <v>0</v>
      </c>
      <c r="M97" s="60">
        <f t="shared" si="6"/>
        <v>0</v>
      </c>
    </row>
    <row r="98" spans="1:13" x14ac:dyDescent="0.25">
      <c r="A98" s="54" t="s">
        <v>11</v>
      </c>
      <c r="B98" s="60">
        <v>0</v>
      </c>
      <c r="C98" s="72">
        <v>0</v>
      </c>
      <c r="D98" s="72">
        <v>0</v>
      </c>
      <c r="E98" s="72">
        <v>0</v>
      </c>
      <c r="F98" s="72">
        <v>0</v>
      </c>
      <c r="G98" s="72">
        <v>0</v>
      </c>
      <c r="H98" s="72">
        <v>0</v>
      </c>
      <c r="I98" s="72">
        <f>SUMIFS('PR Data'!$P:$P,'PR Data'!$Q:$Q,'PR Report - SOBHA AUH'!$A98,'PR Data'!$R:$R,"Approved",'PR Data'!$W:$W,I$78,'PR Data'!$U:$U,'PR Report - SOBHA AUH'!$A$77,'PR Data'!$B:$B,"&lt;&gt;" &amp; "Cheque")</f>
        <v>0</v>
      </c>
      <c r="J98" s="72">
        <f>SUMIFS('PR Data'!$P:$P,'PR Data'!$Q:$Q,'PR Report - SOBHA AUH'!$A98,'PR Data'!$R:$R,"Approved",'PR Data'!$W:$W,J$78,'PR Data'!$U:$U,'PR Report - SOBHA AUH'!$A$77,'PR Data'!$B:$B,"&lt;&gt;" &amp; "Cheque")</f>
        <v>0</v>
      </c>
      <c r="K98" s="72">
        <f>SUMIFS('PR Data'!$P:$P,'PR Data'!$Q:$Q,'PR Report - SOBHA AUH'!$A98,'PR Data'!$R:$R,"Approved",'PR Data'!$W:$W,K$78,'PR Data'!$U:$U,'PR Report - SOBHA AUH'!$A$77,'PR Data'!$B:$B,"&lt;&gt;" &amp; "Cheque")</f>
        <v>0</v>
      </c>
      <c r="L98" s="72">
        <f>SUMIFS('PR Data'!$P:$P,'PR Data'!$Q:$Q,'PR Report - SOBHA AUH'!$A98,'PR Data'!$R:$R,"Approved",'PR Data'!$W:$W,L$78,'PR Data'!$U:$U,'PR Report - SOBHA AUH'!$A$77,'PR Data'!$B:$B,"&lt;&gt;" &amp; "Cheque")</f>
        <v>0</v>
      </c>
      <c r="M98" s="60">
        <f t="shared" si="6"/>
        <v>0</v>
      </c>
    </row>
    <row r="99" spans="1:13" x14ac:dyDescent="0.25">
      <c r="A99" s="64" t="s">
        <v>58</v>
      </c>
      <c r="B99" s="69">
        <f t="shared" ref="B99:M99" si="7">SUM(B80:B97)</f>
        <v>559683</v>
      </c>
      <c r="C99" s="69">
        <f t="shared" si="7"/>
        <v>0</v>
      </c>
      <c r="D99" s="69">
        <f t="shared" si="7"/>
        <v>0</v>
      </c>
      <c r="E99" s="69">
        <f t="shared" si="7"/>
        <v>0</v>
      </c>
      <c r="F99" s="130">
        <f t="shared" si="7"/>
        <v>0</v>
      </c>
      <c r="G99" s="69">
        <f t="shared" si="7"/>
        <v>0</v>
      </c>
      <c r="H99" s="69">
        <f t="shared" si="7"/>
        <v>0</v>
      </c>
      <c r="I99" s="69">
        <f t="shared" si="7"/>
        <v>0</v>
      </c>
      <c r="J99" s="69">
        <f t="shared" si="7"/>
        <v>0</v>
      </c>
      <c r="K99" s="69">
        <f t="shared" si="7"/>
        <v>0</v>
      </c>
      <c r="L99" s="69">
        <f t="shared" si="7"/>
        <v>0</v>
      </c>
      <c r="M99" s="69">
        <f t="shared" si="7"/>
        <v>559683</v>
      </c>
    </row>
    <row r="100" spans="1:13" x14ac:dyDescent="0.25">
      <c r="A100" s="20" t="s">
        <v>37</v>
      </c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</row>
    <row r="101" spans="1:13" x14ac:dyDescent="0.25">
      <c r="A101" s="70" t="s">
        <v>40</v>
      </c>
      <c r="B101" s="60">
        <v>0</v>
      </c>
      <c r="C101" s="72">
        <v>0</v>
      </c>
      <c r="D101" s="72">
        <v>0</v>
      </c>
      <c r="E101" s="72">
        <v>0</v>
      </c>
      <c r="F101" s="72">
        <v>0</v>
      </c>
      <c r="G101" s="72">
        <v>0</v>
      </c>
      <c r="H101" s="72">
        <v>0</v>
      </c>
      <c r="I101" s="72">
        <f>SUMIFS('PR Data'!$P:$P,'PR Data'!$Q:$Q,'PR Report - SOBHA AUH'!$A101,'PR Data'!$R:$R,"Approved",'PR Data'!$W:$W,I$78,'PR Data'!$U:$U,'PR Report - SOBHA AUH'!$A$77,'PR Data'!$B:$B,"&lt;&gt;" &amp; "Cheque")</f>
        <v>0</v>
      </c>
      <c r="J101" s="72">
        <f>SUMIFS('PR Data'!$P:$P,'PR Data'!$Q:$Q,'PR Report - SOBHA AUH'!$A101,'PR Data'!$R:$R,"Approved",'PR Data'!$W:$W,J$78,'PR Data'!$U:$U,'PR Report - SOBHA AUH'!$A$77,'PR Data'!$B:$B,"&lt;&gt;" &amp; "Cheque")</f>
        <v>0</v>
      </c>
      <c r="K101" s="72">
        <f>SUMIFS('PR Data'!$P:$P,'PR Data'!$Q:$Q,'PR Report - SOBHA AUH'!$A101,'PR Data'!$R:$R,"Approved",'PR Data'!$W:$W,K$78,'PR Data'!$U:$U,'PR Report - SOBHA AUH'!$A$77,'PR Data'!$B:$B,"&lt;&gt;" &amp; "Cheque")</f>
        <v>0</v>
      </c>
      <c r="L101" s="72">
        <f>SUMIFS('PR Data'!$P:$P,'PR Data'!$Q:$Q,'PR Report - SOBHA AUH'!$A101,'PR Data'!$R:$R,"Approved",'PR Data'!$W:$W,L$78,'PR Data'!$U:$U,'PR Report - SOBHA AUH'!$A$77,'PR Data'!$B:$B,"&lt;&gt;" &amp; "Cheque")</f>
        <v>0</v>
      </c>
      <c r="M101" s="60">
        <f t="shared" ref="M101:M111" si="8">B101-SUM(C101:L101)</f>
        <v>0</v>
      </c>
    </row>
    <row r="102" spans="1:13" x14ac:dyDescent="0.25">
      <c r="A102" s="54" t="s">
        <v>45</v>
      </c>
      <c r="B102" s="60">
        <v>0</v>
      </c>
      <c r="C102" s="72">
        <v>0</v>
      </c>
      <c r="D102" s="72">
        <v>0</v>
      </c>
      <c r="E102" s="72">
        <v>0</v>
      </c>
      <c r="F102" s="72">
        <v>0</v>
      </c>
      <c r="G102" s="72">
        <v>0</v>
      </c>
      <c r="H102" s="72">
        <v>0</v>
      </c>
      <c r="I102" s="72">
        <f>SUMIFS('PR Data'!$P:$P,'PR Data'!$Q:$Q,'PR Report - SOBHA AUH'!$A102,'PR Data'!$R:$R,"Approved",'PR Data'!$W:$W,I$78,'PR Data'!$U:$U,'PR Report - SOBHA AUH'!$A$77,'PR Data'!$B:$B,"&lt;&gt;" &amp; "Cheque")</f>
        <v>0</v>
      </c>
      <c r="J102" s="72">
        <f>SUMIFS('PR Data'!$P:$P,'PR Data'!$Q:$Q,'PR Report - SOBHA AUH'!$A102,'PR Data'!$R:$R,"Approved",'PR Data'!$W:$W,J$78,'PR Data'!$U:$U,'PR Report - SOBHA AUH'!$A$77,'PR Data'!$B:$B,"&lt;&gt;" &amp; "Cheque")</f>
        <v>0</v>
      </c>
      <c r="K102" s="72">
        <f>SUMIFS('PR Data'!$P:$P,'PR Data'!$Q:$Q,'PR Report - SOBHA AUH'!$A102,'PR Data'!$R:$R,"Approved",'PR Data'!$W:$W,K$78,'PR Data'!$U:$U,'PR Report - SOBHA AUH'!$A$77,'PR Data'!$B:$B,"&lt;&gt;" &amp; "Cheque")</f>
        <v>0</v>
      </c>
      <c r="L102" s="72">
        <f>SUMIFS('PR Data'!$P:$P,'PR Data'!$Q:$Q,'PR Report - SOBHA AUH'!$A102,'PR Data'!$R:$R,"Approved",'PR Data'!$W:$W,L$78,'PR Data'!$U:$U,'PR Report - SOBHA AUH'!$A$77,'PR Data'!$B:$B,"&lt;&gt;" &amp; "Cheque")</f>
        <v>0</v>
      </c>
      <c r="M102" s="60">
        <f t="shared" si="8"/>
        <v>0</v>
      </c>
    </row>
    <row r="103" spans="1:13" x14ac:dyDescent="0.25">
      <c r="A103" s="70" t="s">
        <v>38</v>
      </c>
      <c r="B103" s="60">
        <v>0</v>
      </c>
      <c r="C103" s="72">
        <v>0</v>
      </c>
      <c r="D103" s="72">
        <v>0</v>
      </c>
      <c r="E103" s="72">
        <v>0</v>
      </c>
      <c r="F103" s="72">
        <v>0</v>
      </c>
      <c r="G103" s="72">
        <v>0</v>
      </c>
      <c r="H103" s="72">
        <v>0</v>
      </c>
      <c r="I103" s="72">
        <f>SUMIFS('PR Data'!$P:$P,'PR Data'!$Q:$Q,'PR Report - SOBHA AUH'!$A103,'PR Data'!$R:$R,"Approved",'PR Data'!$W:$W,I$78,'PR Data'!$U:$U,'PR Report - SOBHA AUH'!$A$77,'PR Data'!$B:$B,"&lt;&gt;" &amp; "Cheque")</f>
        <v>0</v>
      </c>
      <c r="J103" s="72">
        <f>SUMIFS('PR Data'!$P:$P,'PR Data'!$Q:$Q,'PR Report - SOBHA AUH'!$A103,'PR Data'!$R:$R,"Approved",'PR Data'!$W:$W,J$78,'PR Data'!$U:$U,'PR Report - SOBHA AUH'!$A$77,'PR Data'!$B:$B,"&lt;&gt;" &amp; "Cheque")</f>
        <v>0</v>
      </c>
      <c r="K103" s="72">
        <f>SUMIFS('PR Data'!$P:$P,'PR Data'!$Q:$Q,'PR Report - SOBHA AUH'!$A103,'PR Data'!$R:$R,"Approved",'PR Data'!$W:$W,K$78,'PR Data'!$U:$U,'PR Report - SOBHA AUH'!$A$77,'PR Data'!$B:$B,"&lt;&gt;" &amp; "Cheque")</f>
        <v>0</v>
      </c>
      <c r="L103" s="72">
        <f>SUMIFS('PR Data'!$P:$P,'PR Data'!$Q:$Q,'PR Report - SOBHA AUH'!$A103,'PR Data'!$R:$R,"Approved",'PR Data'!$W:$W,L$78,'PR Data'!$U:$U,'PR Report - SOBHA AUH'!$A$77,'PR Data'!$B:$B,"&lt;&gt;" &amp; "Cheque")</f>
        <v>0</v>
      </c>
      <c r="M103" s="60">
        <f t="shared" si="8"/>
        <v>0</v>
      </c>
    </row>
    <row r="104" spans="1:13" x14ac:dyDescent="0.25">
      <c r="A104" s="70" t="s">
        <v>39</v>
      </c>
      <c r="B104" s="60">
        <v>0</v>
      </c>
      <c r="C104" s="72">
        <v>0</v>
      </c>
      <c r="D104" s="72">
        <v>0</v>
      </c>
      <c r="E104" s="72">
        <v>0</v>
      </c>
      <c r="F104" s="72">
        <v>0</v>
      </c>
      <c r="G104" s="72">
        <v>0</v>
      </c>
      <c r="H104" s="72">
        <v>0</v>
      </c>
      <c r="I104" s="72">
        <f>SUMIFS('PR Data'!$P:$P,'PR Data'!$Q:$Q,'PR Report - SOBHA AUH'!$A104,'PR Data'!$R:$R,"Approved",'PR Data'!$W:$W,I$78,'PR Data'!$U:$U,'PR Report - SOBHA AUH'!$A$77,'PR Data'!$B:$B,"&lt;&gt;" &amp; "Cheque")</f>
        <v>0</v>
      </c>
      <c r="J104" s="72">
        <f>SUMIFS('PR Data'!$P:$P,'PR Data'!$Q:$Q,'PR Report - SOBHA AUH'!$A104,'PR Data'!$R:$R,"Approved",'PR Data'!$W:$W,J$78,'PR Data'!$U:$U,'PR Report - SOBHA AUH'!$A$77,'PR Data'!$B:$B,"&lt;&gt;" &amp; "Cheque")</f>
        <v>0</v>
      </c>
      <c r="K104" s="72">
        <f>SUMIFS('PR Data'!$P:$P,'PR Data'!$Q:$Q,'PR Report - SOBHA AUH'!$A104,'PR Data'!$R:$R,"Approved",'PR Data'!$W:$W,K$78,'PR Data'!$U:$U,'PR Report - SOBHA AUH'!$A$77,'PR Data'!$B:$B,"&lt;&gt;" &amp; "Cheque")</f>
        <v>0</v>
      </c>
      <c r="L104" s="72">
        <f>SUMIFS('PR Data'!$P:$P,'PR Data'!$Q:$Q,'PR Report - SOBHA AUH'!$A104,'PR Data'!$R:$R,"Approved",'PR Data'!$W:$W,L$78,'PR Data'!$U:$U,'PR Report - SOBHA AUH'!$A$77,'PR Data'!$B:$B,"&lt;&gt;" &amp; "Cheque")</f>
        <v>0</v>
      </c>
      <c r="M104" s="60">
        <f t="shared" si="8"/>
        <v>0</v>
      </c>
    </row>
    <row r="105" spans="1:13" x14ac:dyDescent="0.25">
      <c r="A105" s="54" t="s">
        <v>43</v>
      </c>
      <c r="B105" s="60">
        <v>0</v>
      </c>
      <c r="C105" s="72">
        <v>0</v>
      </c>
      <c r="D105" s="72">
        <v>0</v>
      </c>
      <c r="E105" s="72">
        <v>0</v>
      </c>
      <c r="F105" s="72">
        <v>0</v>
      </c>
      <c r="G105" s="72">
        <v>0</v>
      </c>
      <c r="H105" s="72">
        <v>0</v>
      </c>
      <c r="I105" s="72">
        <f>SUMIFS('PR Data'!$P:$P,'PR Data'!$Q:$Q,'PR Report - SOBHA AUH'!$A105,'PR Data'!$R:$R,"Approved",'PR Data'!$W:$W,I$78,'PR Data'!$U:$U,'PR Report - SOBHA AUH'!$A$77,'PR Data'!$B:$B,"&lt;&gt;" &amp; "Cheque")</f>
        <v>0</v>
      </c>
      <c r="J105" s="72">
        <f>SUMIFS('PR Data'!$P:$P,'PR Data'!$Q:$Q,'PR Report - SOBHA AUH'!$A105,'PR Data'!$R:$R,"Approved",'PR Data'!$W:$W,J$78,'PR Data'!$U:$U,'PR Report - SOBHA AUH'!$A$77,'PR Data'!$B:$B,"&lt;&gt;" &amp; "Cheque")</f>
        <v>0</v>
      </c>
      <c r="K105" s="72">
        <f>SUMIFS('PR Data'!$P:$P,'PR Data'!$Q:$Q,'PR Report - SOBHA AUH'!$A105,'PR Data'!$R:$R,"Approved",'PR Data'!$W:$W,K$78,'PR Data'!$U:$U,'PR Report - SOBHA AUH'!$A$77,'PR Data'!$B:$B,"&lt;&gt;" &amp; "Cheque")</f>
        <v>0</v>
      </c>
      <c r="L105" s="72">
        <f>SUMIFS('PR Data'!$P:$P,'PR Data'!$Q:$Q,'PR Report - SOBHA AUH'!$A105,'PR Data'!$R:$R,"Approved",'PR Data'!$W:$W,L$78,'PR Data'!$U:$U,'PR Report - SOBHA AUH'!$A$77,'PR Data'!$B:$B,"&lt;&gt;" &amp; "Cheque")</f>
        <v>0</v>
      </c>
      <c r="M105" s="60">
        <f t="shared" si="8"/>
        <v>0</v>
      </c>
    </row>
    <row r="106" spans="1:13" x14ac:dyDescent="0.25">
      <c r="A106" s="54" t="s">
        <v>42</v>
      </c>
      <c r="B106" s="60">
        <v>782197.82000000007</v>
      </c>
      <c r="C106" s="72">
        <v>0</v>
      </c>
      <c r="D106" s="72">
        <v>226839.82</v>
      </c>
      <c r="E106" s="72">
        <v>0</v>
      </c>
      <c r="F106" s="72">
        <v>0</v>
      </c>
      <c r="G106" s="72">
        <v>0</v>
      </c>
      <c r="H106" s="72">
        <v>0</v>
      </c>
      <c r="I106" s="72">
        <f>SUMIFS('PR Data'!$P:$P,'PR Data'!$Q:$Q,'PR Report - SOBHA AUH'!$A106,'PR Data'!$R:$R,"Approved",'PR Data'!$W:$W,I$78,'PR Data'!$U:$U,'PR Report - SOBHA AUH'!$A$77,'PR Data'!$B:$B,"&lt;&gt;" &amp; "Cheque")</f>
        <v>0</v>
      </c>
      <c r="J106" s="72">
        <f>SUMIFS('PR Data'!$P:$P,'PR Data'!$Q:$Q,'PR Report - SOBHA AUH'!$A106,'PR Data'!$R:$R,"Approved",'PR Data'!$W:$W,J$78,'PR Data'!$U:$U,'PR Report - SOBHA AUH'!$A$77,'PR Data'!$B:$B,"&lt;&gt;" &amp; "Cheque")</f>
        <v>0</v>
      </c>
      <c r="K106" s="72">
        <f>SUMIFS('PR Data'!$P:$P,'PR Data'!$Q:$Q,'PR Report - SOBHA AUH'!$A106,'PR Data'!$R:$R,"Approved",'PR Data'!$W:$W,K$78,'PR Data'!$U:$U,'PR Report - SOBHA AUH'!$A$77,'PR Data'!$B:$B,"&lt;&gt;" &amp; "Cheque")</f>
        <v>555358</v>
      </c>
      <c r="L106" s="72">
        <f>SUMIFS('PR Data'!$P:$P,'PR Data'!$Q:$Q,'PR Report - SOBHA AUH'!$A106,'PR Data'!$R:$R,"Approved",'PR Data'!$W:$W,L$78,'PR Data'!$U:$U,'PR Report - SOBHA AUH'!$A$77,'PR Data'!$B:$B,"&lt;&gt;" &amp; "Cheque")</f>
        <v>0</v>
      </c>
      <c r="M106" s="60">
        <f t="shared" si="8"/>
        <v>0</v>
      </c>
    </row>
    <row r="107" spans="1:13" x14ac:dyDescent="0.25">
      <c r="A107" s="54" t="s">
        <v>41</v>
      </c>
      <c r="B107" s="60">
        <v>0</v>
      </c>
      <c r="C107" s="72">
        <v>0</v>
      </c>
      <c r="D107" s="72">
        <v>0</v>
      </c>
      <c r="E107" s="72">
        <v>0</v>
      </c>
      <c r="F107" s="72">
        <v>0</v>
      </c>
      <c r="G107" s="72">
        <v>0</v>
      </c>
      <c r="H107" s="72">
        <v>0</v>
      </c>
      <c r="I107" s="72">
        <f>SUMIFS('PR Data'!$P:$P,'PR Data'!$Q:$Q,'PR Report - SOBHA AUH'!$A107,'PR Data'!$R:$R,"Approved",'PR Data'!$W:$W,I$78,'PR Data'!$U:$U,'PR Report - SOBHA AUH'!$A$77,'PR Data'!$B:$B,"&lt;&gt;" &amp; "Cheque")</f>
        <v>0</v>
      </c>
      <c r="J107" s="72">
        <f>SUMIFS('PR Data'!$P:$P,'PR Data'!$Q:$Q,'PR Report - SOBHA AUH'!$A107,'PR Data'!$R:$R,"Approved",'PR Data'!$W:$W,J$78,'PR Data'!$U:$U,'PR Report - SOBHA AUH'!$A$77,'PR Data'!$B:$B,"&lt;&gt;" &amp; "Cheque")</f>
        <v>0</v>
      </c>
      <c r="K107" s="72">
        <f>SUMIFS('PR Data'!$P:$P,'PR Data'!$Q:$Q,'PR Report - SOBHA AUH'!$A107,'PR Data'!$R:$R,"Approved",'PR Data'!$W:$W,K$78,'PR Data'!$U:$U,'PR Report - SOBHA AUH'!$A$77,'PR Data'!$B:$B,"&lt;&gt;" &amp; "Cheque")</f>
        <v>0</v>
      </c>
      <c r="L107" s="72">
        <f>SUMIFS('PR Data'!$P:$P,'PR Data'!$Q:$Q,'PR Report - SOBHA AUH'!$A107,'PR Data'!$R:$R,"Approved",'PR Data'!$W:$W,L$78,'PR Data'!$U:$U,'PR Report - SOBHA AUH'!$A$77,'PR Data'!$B:$B,"&lt;&gt;" &amp; "Cheque")</f>
        <v>0</v>
      </c>
      <c r="M107" s="60">
        <f t="shared" si="8"/>
        <v>0</v>
      </c>
    </row>
    <row r="108" spans="1:13" x14ac:dyDescent="0.25">
      <c r="A108" s="54" t="s">
        <v>49</v>
      </c>
      <c r="B108" s="60">
        <v>0</v>
      </c>
      <c r="C108" s="72">
        <v>0</v>
      </c>
      <c r="D108" s="72">
        <v>0</v>
      </c>
      <c r="E108" s="72">
        <v>0</v>
      </c>
      <c r="F108" s="72">
        <v>0</v>
      </c>
      <c r="G108" s="72">
        <v>0</v>
      </c>
      <c r="H108" s="72">
        <v>0</v>
      </c>
      <c r="I108" s="72">
        <f>SUMIFS('PR Data'!$P:$P,'PR Data'!$Q:$Q,'PR Report - SOBHA AUH'!$A108,'PR Data'!$R:$R,"Approved",'PR Data'!$W:$W,I$78,'PR Data'!$U:$U,'PR Report - SOBHA AUH'!$A$77,'PR Data'!$B:$B,"&lt;&gt;" &amp; "Cheque")</f>
        <v>0</v>
      </c>
      <c r="J108" s="72">
        <f>SUMIFS('PR Data'!$P:$P,'PR Data'!$Q:$Q,'PR Report - SOBHA AUH'!$A108,'PR Data'!$R:$R,"Approved",'PR Data'!$W:$W,J$78,'PR Data'!$U:$U,'PR Report - SOBHA AUH'!$A$77,'PR Data'!$B:$B,"&lt;&gt;" &amp; "Cheque")</f>
        <v>0</v>
      </c>
      <c r="K108" s="72">
        <f>SUMIFS('PR Data'!$P:$P,'PR Data'!$Q:$Q,'PR Report - SOBHA AUH'!$A108,'PR Data'!$R:$R,"Approved",'PR Data'!$W:$W,K$78,'PR Data'!$U:$U,'PR Report - SOBHA AUH'!$A$77,'PR Data'!$B:$B,"&lt;&gt;" &amp; "Cheque")</f>
        <v>0</v>
      </c>
      <c r="L108" s="72">
        <f>SUMIFS('PR Data'!$P:$P,'PR Data'!$Q:$Q,'PR Report - SOBHA AUH'!$A108,'PR Data'!$R:$R,"Approved",'PR Data'!$W:$W,L$78,'PR Data'!$U:$U,'PR Report - SOBHA AUH'!$A$77,'PR Data'!$B:$B,"&lt;&gt;" &amp; "Cheque")</f>
        <v>0</v>
      </c>
      <c r="M108" s="60">
        <f t="shared" si="8"/>
        <v>0</v>
      </c>
    </row>
    <row r="109" spans="1:13" x14ac:dyDescent="0.25">
      <c r="A109" s="54" t="s">
        <v>46</v>
      </c>
      <c r="B109" s="60">
        <v>0</v>
      </c>
      <c r="C109" s="72">
        <v>0</v>
      </c>
      <c r="D109" s="72">
        <v>0</v>
      </c>
      <c r="E109" s="72">
        <v>0</v>
      </c>
      <c r="F109" s="72">
        <v>0</v>
      </c>
      <c r="G109" s="72">
        <v>0</v>
      </c>
      <c r="H109" s="72">
        <v>0</v>
      </c>
      <c r="I109" s="72">
        <f>SUMIFS('PR Data'!$P:$P,'PR Data'!$Q:$Q,'PR Report - SOBHA AUH'!$A109,'PR Data'!$R:$R,"Approved",'PR Data'!$W:$W,I$78,'PR Data'!$U:$U,'PR Report - SOBHA AUH'!$A$77,'PR Data'!$B:$B,"&lt;&gt;" &amp; "Cheque")</f>
        <v>0</v>
      </c>
      <c r="J109" s="72">
        <f>SUMIFS('PR Data'!$P:$P,'PR Data'!$Q:$Q,'PR Report - SOBHA AUH'!$A109,'PR Data'!$R:$R,"Approved",'PR Data'!$W:$W,J$78,'PR Data'!$U:$U,'PR Report - SOBHA AUH'!$A$77,'PR Data'!$B:$B,"&lt;&gt;" &amp; "Cheque")</f>
        <v>0</v>
      </c>
      <c r="K109" s="72">
        <f>SUMIFS('PR Data'!$P:$P,'PR Data'!$Q:$Q,'PR Report - SOBHA AUH'!$A109,'PR Data'!$R:$R,"Approved",'PR Data'!$W:$W,K$78,'PR Data'!$U:$U,'PR Report - SOBHA AUH'!$A$77,'PR Data'!$B:$B,"&lt;&gt;" &amp; "Cheque")</f>
        <v>0</v>
      </c>
      <c r="L109" s="72">
        <f>SUMIFS('PR Data'!$P:$P,'PR Data'!$Q:$Q,'PR Report - SOBHA AUH'!$A109,'PR Data'!$R:$R,"Approved",'PR Data'!$W:$W,L$78,'PR Data'!$U:$U,'PR Report - SOBHA AUH'!$A$77,'PR Data'!$B:$B,"&lt;&gt;" &amp; "Cheque")</f>
        <v>0</v>
      </c>
      <c r="M109" s="60">
        <f t="shared" si="8"/>
        <v>0</v>
      </c>
    </row>
    <row r="110" spans="1:13" x14ac:dyDescent="0.25">
      <c r="A110" s="54" t="s">
        <v>48</v>
      </c>
      <c r="B110" s="60">
        <v>0</v>
      </c>
      <c r="C110" s="72">
        <v>0</v>
      </c>
      <c r="D110" s="72">
        <v>0</v>
      </c>
      <c r="E110" s="72">
        <v>0</v>
      </c>
      <c r="F110" s="72">
        <v>0</v>
      </c>
      <c r="G110" s="72">
        <v>0</v>
      </c>
      <c r="H110" s="72">
        <v>0</v>
      </c>
      <c r="I110" s="72">
        <f>SUMIFS('PR Data'!$P:$P,'PR Data'!$Q:$Q,'PR Report - SOBHA AUH'!$A110,'PR Data'!$R:$R,"Approved",'PR Data'!$W:$W,I$78,'PR Data'!$U:$U,'PR Report - SOBHA AUH'!$A$77,'PR Data'!$B:$B,"&lt;&gt;" &amp; "Cheque")</f>
        <v>0</v>
      </c>
      <c r="J110" s="72">
        <f>SUMIFS('PR Data'!$P:$P,'PR Data'!$Q:$Q,'PR Report - SOBHA AUH'!$A110,'PR Data'!$R:$R,"Approved",'PR Data'!$W:$W,J$78,'PR Data'!$U:$U,'PR Report - SOBHA AUH'!$A$77,'PR Data'!$B:$B,"&lt;&gt;" &amp; "Cheque")</f>
        <v>0</v>
      </c>
      <c r="K110" s="72">
        <f>SUMIFS('PR Data'!$P:$P,'PR Data'!$Q:$Q,'PR Report - SOBHA AUH'!$A110,'PR Data'!$R:$R,"Approved",'PR Data'!$W:$W,K$78,'PR Data'!$U:$U,'PR Report - SOBHA AUH'!$A$77,'PR Data'!$B:$B,"&lt;&gt;" &amp; "Cheque")</f>
        <v>0</v>
      </c>
      <c r="L110" s="72">
        <f>SUMIFS('PR Data'!$P:$P,'PR Data'!$Q:$Q,'PR Report - SOBHA AUH'!$A110,'PR Data'!$R:$R,"Approved",'PR Data'!$W:$W,L$78,'PR Data'!$U:$U,'PR Report - SOBHA AUH'!$A$77,'PR Data'!$B:$B,"&lt;&gt;" &amp; "Cheque")</f>
        <v>0</v>
      </c>
      <c r="M110" s="60">
        <f t="shared" si="8"/>
        <v>0</v>
      </c>
    </row>
    <row r="111" spans="1:13" x14ac:dyDescent="0.25">
      <c r="A111" s="54" t="s">
        <v>44</v>
      </c>
      <c r="B111" s="60">
        <v>0</v>
      </c>
      <c r="C111" s="72">
        <v>0</v>
      </c>
      <c r="D111" s="72">
        <v>0</v>
      </c>
      <c r="E111" s="72">
        <v>0</v>
      </c>
      <c r="F111" s="72">
        <v>0</v>
      </c>
      <c r="G111" s="72">
        <v>0</v>
      </c>
      <c r="H111" s="72">
        <v>0</v>
      </c>
      <c r="I111" s="72">
        <f>SUMIFS('PR Data'!$P:$P,'PR Data'!$Q:$Q,'PR Report - SOBHA AUH'!$A111,'PR Data'!$R:$R,"Approved",'PR Data'!$W:$W,I$78,'PR Data'!$U:$U,'PR Report - SOBHA AUH'!$A$77,'PR Data'!$B:$B,"&lt;&gt;" &amp; "Cheque")</f>
        <v>0</v>
      </c>
      <c r="J111" s="72">
        <f>SUMIFS('PR Data'!$P:$P,'PR Data'!$Q:$Q,'PR Report - SOBHA AUH'!$A111,'PR Data'!$R:$R,"Approved",'PR Data'!$W:$W,J$78,'PR Data'!$U:$U,'PR Report - SOBHA AUH'!$A$77,'PR Data'!$B:$B,"&lt;&gt;" &amp; "Cheque")</f>
        <v>0</v>
      </c>
      <c r="K111" s="72">
        <f>SUMIFS('PR Data'!$P:$P,'PR Data'!$Q:$Q,'PR Report - SOBHA AUH'!$A111,'PR Data'!$R:$R,"Approved",'PR Data'!$W:$W,K$78,'PR Data'!$U:$U,'PR Report - SOBHA AUH'!$A$77,'PR Data'!$B:$B,"&lt;&gt;" &amp; "Cheque")</f>
        <v>0</v>
      </c>
      <c r="L111" s="72">
        <f>SUMIFS('PR Data'!$P:$P,'PR Data'!$Q:$Q,'PR Report - SOBHA AUH'!$A111,'PR Data'!$R:$R,"Approved",'PR Data'!$W:$W,L$78,'PR Data'!$U:$U,'PR Report - SOBHA AUH'!$A$77,'PR Data'!$B:$B,"&lt;&gt;" &amp; "Cheque")</f>
        <v>0</v>
      </c>
      <c r="M111" s="60">
        <f t="shared" si="8"/>
        <v>0</v>
      </c>
    </row>
    <row r="112" spans="1:13" x14ac:dyDescent="0.25">
      <c r="A112" s="64" t="s">
        <v>50</v>
      </c>
      <c r="B112" s="69">
        <f t="shared" ref="B112:M112" si="9">SUM(B101:B111)</f>
        <v>782197.82000000007</v>
      </c>
      <c r="C112" s="69">
        <f t="shared" si="9"/>
        <v>0</v>
      </c>
      <c r="D112" s="69">
        <f t="shared" si="9"/>
        <v>226839.82</v>
      </c>
      <c r="E112" s="69">
        <f t="shared" si="9"/>
        <v>0</v>
      </c>
      <c r="F112" s="130">
        <f t="shared" si="9"/>
        <v>0</v>
      </c>
      <c r="G112" s="69">
        <f t="shared" si="9"/>
        <v>0</v>
      </c>
      <c r="H112" s="69">
        <f t="shared" si="9"/>
        <v>0</v>
      </c>
      <c r="I112" s="69">
        <f t="shared" si="9"/>
        <v>0</v>
      </c>
      <c r="J112" s="69">
        <f t="shared" si="9"/>
        <v>0</v>
      </c>
      <c r="K112" s="69">
        <f t="shared" si="9"/>
        <v>555358</v>
      </c>
      <c r="L112" s="69">
        <f t="shared" si="9"/>
        <v>0</v>
      </c>
      <c r="M112" s="69">
        <f t="shared" si="9"/>
        <v>0</v>
      </c>
    </row>
    <row r="113" spans="1:13" x14ac:dyDescent="0.25">
      <c r="A113" s="73" t="s">
        <v>6</v>
      </c>
      <c r="B113" s="78">
        <f>SUM(B99,B112)</f>
        <v>1341880.82</v>
      </c>
      <c r="C113" s="78">
        <f t="shared" ref="C113:L113" si="10">SUM(C112,C99)</f>
        <v>0</v>
      </c>
      <c r="D113" s="78">
        <f t="shared" si="10"/>
        <v>226839.82</v>
      </c>
      <c r="E113" s="78">
        <f t="shared" si="10"/>
        <v>0</v>
      </c>
      <c r="F113" s="131">
        <f t="shared" si="10"/>
        <v>0</v>
      </c>
      <c r="G113" s="78">
        <f t="shared" si="10"/>
        <v>0</v>
      </c>
      <c r="H113" s="78">
        <f t="shared" si="10"/>
        <v>0</v>
      </c>
      <c r="I113" s="78">
        <f t="shared" si="10"/>
        <v>0</v>
      </c>
      <c r="J113" s="78">
        <f t="shared" si="10"/>
        <v>0</v>
      </c>
      <c r="K113" s="78">
        <f t="shared" si="10"/>
        <v>555358</v>
      </c>
      <c r="L113" s="78">
        <f t="shared" si="10"/>
        <v>0</v>
      </c>
      <c r="M113" s="78">
        <f>SUM(M99,M112)</f>
        <v>559683</v>
      </c>
    </row>
  </sheetData>
  <mergeCells count="9">
    <mergeCell ref="A79:M79"/>
    <mergeCell ref="A100:M100"/>
    <mergeCell ref="H1:I1"/>
    <mergeCell ref="A38:E38"/>
    <mergeCell ref="A40:E40"/>
    <mergeCell ref="A60:E60"/>
    <mergeCell ref="A77:B77"/>
    <mergeCell ref="C77:H77"/>
    <mergeCell ref="I77:L77"/>
  </mergeCells>
  <conditionalFormatting sqref="A80:A88 A90:A98 A101:A107 A110:A111">
    <cfRule type="cellIs" dxfId="3" priority="2" operator="lessThan">
      <formula>#REF!</formula>
    </cfRule>
  </conditionalFormatting>
  <conditionalFormatting sqref="A113">
    <cfRule type="cellIs" dxfId="2" priority="1" operator="lessThan">
      <formula>#REF!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80994-459F-41DC-A12A-7FF3EA8C77B9}">
  <sheetPr>
    <pageSetUpPr fitToPage="1"/>
  </sheetPr>
  <dimension ref="A2:M252"/>
  <sheetViews>
    <sheetView view="pageBreakPreview" topLeftCell="A27" zoomScale="73" zoomScaleNormal="80" zoomScaleSheetLayoutView="73" workbookViewId="0">
      <selection activeCell="G54" sqref="G54"/>
    </sheetView>
  </sheetViews>
  <sheetFormatPr defaultRowHeight="15" x14ac:dyDescent="0.25"/>
  <cols>
    <col min="1" max="1" width="18" bestFit="1" customWidth="1"/>
    <col min="2" max="2" width="22" bestFit="1" customWidth="1"/>
    <col min="3" max="3" width="20.28515625" bestFit="1" customWidth="1"/>
    <col min="4" max="4" width="22.42578125" bestFit="1" customWidth="1"/>
    <col min="5" max="5" width="21.5703125" bestFit="1" customWidth="1"/>
    <col min="6" max="6" width="19.85546875" bestFit="1" customWidth="1"/>
    <col min="7" max="7" width="17.42578125" bestFit="1" customWidth="1"/>
    <col min="8" max="8" width="20" bestFit="1" customWidth="1"/>
    <col min="9" max="9" width="19.7109375" bestFit="1" customWidth="1"/>
    <col min="10" max="10" width="16.140625" bestFit="1" customWidth="1"/>
    <col min="11" max="11" width="22.42578125" bestFit="1" customWidth="1"/>
    <col min="12" max="12" width="17.42578125" bestFit="1" customWidth="1"/>
    <col min="13" max="13" width="20.7109375" bestFit="1" customWidth="1"/>
  </cols>
  <sheetData>
    <row r="2" spans="1:11" ht="18.75" x14ac:dyDescent="0.25">
      <c r="A2" s="145" t="s">
        <v>79</v>
      </c>
      <c r="B2" s="146" t="s">
        <v>52</v>
      </c>
      <c r="C2" s="147"/>
      <c r="D2" s="147"/>
      <c r="E2" s="147"/>
      <c r="F2" s="147"/>
      <c r="G2" s="148"/>
      <c r="H2" s="149" t="s">
        <v>53</v>
      </c>
      <c r="I2" s="150"/>
    </row>
    <row r="3" spans="1:11" ht="25.5" x14ac:dyDescent="0.25">
      <c r="A3" s="47" t="s">
        <v>0</v>
      </c>
      <c r="B3" s="48" t="s">
        <v>5844</v>
      </c>
      <c r="C3" s="49" t="s">
        <v>5845</v>
      </c>
      <c r="D3" s="50" t="str">
        <f>'PR Report - SOBHA '!D3</f>
        <v>Target  (01/05 -  07/05)</v>
      </c>
      <c r="E3" s="31" t="str">
        <f>'PR Report - SOBHA '!E3</f>
        <v>Achieved  (01/05 -  07/05)</v>
      </c>
      <c r="F3" s="48" t="s">
        <v>54</v>
      </c>
      <c r="G3" s="52" t="s">
        <v>55</v>
      </c>
      <c r="H3" s="53" t="s">
        <v>56</v>
      </c>
      <c r="I3" s="52" t="s">
        <v>57</v>
      </c>
    </row>
    <row r="4" spans="1:11" x14ac:dyDescent="0.25">
      <c r="A4" s="20" t="s">
        <v>7</v>
      </c>
      <c r="B4" s="21"/>
      <c r="C4" s="21"/>
      <c r="D4" s="21"/>
      <c r="E4" s="21"/>
      <c r="F4" s="21"/>
      <c r="G4" s="21"/>
      <c r="H4" s="21"/>
      <c r="I4" s="22"/>
    </row>
    <row r="5" spans="1:11" x14ac:dyDescent="0.25">
      <c r="A5" s="54" t="s">
        <v>8</v>
      </c>
      <c r="B5" s="8">
        <f>SUMIFS('PR Report - SINIYA'!$B$5:$B$21,'PR Report - SINIYA'!$A$5:$A$21,A5)+SUMIFS('PR Report - DOWNTOWN'!$B$5:$B$22,'PR Report - DOWNTOWN'!$A$5:$A$22,A5)</f>
        <v>3823529.411764706</v>
      </c>
      <c r="C5" s="8">
        <f>SUMIFS('PR Report - SINIYA'!$C$5:$C$21,'PR Report - SINIYA'!$A$5:$A$21,$A5)+SUMIFS('PR Report - DOWNTOWN'!$C$5:$C$22,'PR Report - DOWNTOWN'!$A$5:$A$22,A5)</f>
        <v>2460211.9000000004</v>
      </c>
      <c r="D5" s="8">
        <f>SUMIFS('PR Report - SINIYA'!$D$5:$D$21,'PR Report - SINIYA'!$A$5:$A$21,$A5)+SUMIFS('PR Report - DOWNTOWN'!$D$5:$D$22,'PR Report - DOWNTOWN'!$A$5:$A$22,$A5)</f>
        <v>19117647.05882353</v>
      </c>
      <c r="E5" s="8">
        <f>SUMIFS('PR Report - SINIYA'!$E$5:$E$21,'PR Report - SINIYA'!$A$5:$A$21,$A5)+SUMIFS('PR Report - SOBHA '!$E$5:$E$26,'PR Report - SOBHA '!$A$5:$A$26,$A5)+SUMIFS('PR Report - DOWNTOWN'!$E$5:$E$22,'PR Report - DOWNTOWN'!$A$5:$A$22,A5)</f>
        <v>12919024.360000001</v>
      </c>
      <c r="F5" s="8">
        <f>SUMIFS('PR Report - SINIYA'!$F$5:$F$21,'PR Report - SINIYA'!$A$5:$A$21,$A5)+SUMIFS('PR Report - SOBHA '!$F$5:$F$26,'PR Report - SOBHA '!$A$5:$A$26,$A5)+SUMIFS('PR Report - DOWNTOWN'!$F$5:$F$22,'PR Report - DOWNTOWN'!$A$5:$A$22,A5)</f>
        <v>65000000</v>
      </c>
      <c r="G5" s="151">
        <f t="shared" ref="G5:G35" si="0">IFERROR(E5/D5,0)</f>
        <v>0.67576435113846156</v>
      </c>
      <c r="H5" s="8">
        <f>SUMIFS('PR Report - SINIYA'!$H$5:$H$21,'PR Report - SINIYA'!$A$5:$A$21,$A5)+SUMIFS('PR Report - SOBHA '!$H$5:$H$26,'PR Report - SOBHA '!$A$5:$A$26,$A5)+SUMIFS('PR Report - DOWNTOWN'!$H$5:$H$22,'PR Report - DOWNTOWN'!$A$5:$A$22,A5)</f>
        <v>6517845.8499999996</v>
      </c>
      <c r="I5" s="8">
        <f>SUMIFS('PR Report - SINIYA'!$I$5:$I$21,'PR Report - SINIYA'!$A$5:$A$21,$A5)+SUMIFS('PR Report - SOBHA '!$I$5:$I$26,'PR Report - SOBHA '!$A$5:$A$26,$A5)+SUMIFS('PR Report - DOWNTOWN'!$I$5:$I$22,'PR Report - DOWNTOWN'!$A$5:$A$22,A5)</f>
        <v>5676444.3399999999</v>
      </c>
      <c r="J5" s="152"/>
      <c r="K5" s="23"/>
    </row>
    <row r="6" spans="1:11" x14ac:dyDescent="0.25">
      <c r="A6" s="54" t="s">
        <v>10</v>
      </c>
      <c r="B6" s="8">
        <f>SUMIFS('PR Report - SINIYA'!$B$5:$B$21,'PR Report - SINIYA'!$A$5:$A$21,A6)+SUMIFS('PR Report - DOWNTOWN'!$B$5:$B$22,'PR Report - DOWNTOWN'!$A$5:$A$22,A6)</f>
        <v>3823529.4117647056</v>
      </c>
      <c r="C6" s="8">
        <f>SUMIFS('PR Report - SINIYA'!$C$5:$C$21,'PR Report - SINIYA'!$A$5:$A$21,$A6)+SUMIFS('PR Report - DOWNTOWN'!$C$5:$C$22,'PR Report - DOWNTOWN'!$A$5:$A$22,A6)</f>
        <v>2000406.75</v>
      </c>
      <c r="D6" s="8">
        <f>SUMIFS('PR Report - SINIYA'!$D$5:$D$21,'PR Report - SINIYA'!$A$5:$A$21,$A6)+SUMIFS('PR Report - DOWNTOWN'!$D$5:$D$22,'PR Report - DOWNTOWN'!$A$5:$A$22,$A6)</f>
        <v>19117647.05882353</v>
      </c>
      <c r="E6" s="8">
        <f>SUMIFS('PR Report - SINIYA'!$E$5:$E$21,'PR Report - SINIYA'!$A$5:$A$21,$A6)+SUMIFS('PR Report - DOWNTOWN'!$E$5:$E$22,'PR Report - DOWNTOWN'!$A$5:$A$22,A6)</f>
        <v>16291160.550000001</v>
      </c>
      <c r="F6" s="8">
        <f>SUMIFS('PR Report - SINIYA'!$F$5:$F$21,'PR Report - SINIYA'!$A$5:$A$21,$A6)+SUMIFS('PR Report - DOWNTOWN'!$F$5:$F$22,'PR Report - DOWNTOWN'!$A$5:$A$22,A6)</f>
        <v>65000000</v>
      </c>
      <c r="G6" s="151">
        <f t="shared" si="0"/>
        <v>0.85215301338461547</v>
      </c>
      <c r="H6" s="8">
        <f>SUMIFS('PR Report - SINIYA'!$H$5:$H$21,'PR Report - SINIYA'!$A$5:$A$21,$A6)+SUMIFS('PR Report - DOWNTOWN'!$H$5:$H$22,'PR Report - DOWNTOWN'!$A$5:$A$22,A6)</f>
        <v>10533784.859999999</v>
      </c>
      <c r="I6" s="8">
        <f>SUMIFS('PR Report - SINIYA'!$I$5:$I$21,'PR Report - SINIYA'!$A$5:$A$21,$A6)+SUMIFS('PR Report - DOWNTOWN'!$I$5:$I$22,'PR Report - DOWNTOWN'!$A$5:$A$22,A6)</f>
        <v>8114728.629999999</v>
      </c>
      <c r="J6" s="152"/>
      <c r="K6" s="23"/>
    </row>
    <row r="7" spans="1:11" x14ac:dyDescent="0.25">
      <c r="A7" s="54" t="s">
        <v>9</v>
      </c>
      <c r="B7" s="8">
        <f>SUMIFS('PR Report - SINIYA'!$B$5:$B$21,'PR Report - SINIYA'!$A$5:$A$21,A7)+SUMIFS('PR Report - DOWNTOWN'!$B$5:$B$22,'PR Report - DOWNTOWN'!$A$5:$A$22,A7)</f>
        <v>2647058.8235294116</v>
      </c>
      <c r="C7" s="8">
        <f>SUMIFS('PR Report - SINIYA'!$C$5:$C$21,'PR Report - SINIYA'!$A$5:$A$21,$A7)+SUMIFS('PR Report - DOWNTOWN'!$C$5:$C$22,'PR Report - DOWNTOWN'!$A$5:$A$22,A7)</f>
        <v>2617764.48</v>
      </c>
      <c r="D7" s="8">
        <f>SUMIFS('PR Report - SINIYA'!$D$5:$D$21,'PR Report - SINIYA'!$A$5:$A$21,$A7)+SUMIFS('PR Report - DOWNTOWN'!$D$5:$D$22,'PR Report - DOWNTOWN'!$A$5:$A$22,$A7)</f>
        <v>13235294.117647057</v>
      </c>
      <c r="E7" s="8">
        <f>SUMIFS('PR Report - SINIYA'!$E$5:$E$21,'PR Report - SINIYA'!$A$5:$A$21,$A7)+SUMIFS('PR Report - SOBHA '!$E$5:$E$26,'PR Report - SOBHA '!$A$5:$A$26,$A7)+SUMIFS('PR Report - DOWNTOWN'!$E$5:$E$22,'PR Report - DOWNTOWN'!$A$5:$A$22,A7)</f>
        <v>10927221.449999999</v>
      </c>
      <c r="F7" s="8">
        <f>SUMIFS('PR Report - SINIYA'!$F$5:$F$21,'PR Report - SINIYA'!$A$5:$A$21,$A7)+SUMIFS('PR Report - SOBHA '!$F$5:$F$26,'PR Report - SOBHA '!$A$5:$A$26,$A7)+SUMIFS('PR Report - DOWNTOWN'!$F$5:$F$22,'PR Report - DOWNTOWN'!$A$5:$A$22,A7)</f>
        <v>45000000</v>
      </c>
      <c r="G7" s="151">
        <f t="shared" si="0"/>
        <v>0.82561228733333336</v>
      </c>
      <c r="H7" s="8">
        <f>SUMIFS('PR Report - SINIYA'!$H$5:$H$21,'PR Report - SINIYA'!$A$5:$A$21,$A7)+SUMIFS('PR Report - SOBHA '!$H$5:$H$26,'PR Report - SOBHA '!$A$5:$A$26,$A7)+SUMIFS('PR Report - DOWNTOWN'!$H$5:$H$22,'PR Report - DOWNTOWN'!$A$5:$A$22,A7)</f>
        <v>5979287.7400000002</v>
      </c>
      <c r="I7" s="8">
        <f>SUMIFS('PR Report - SINIYA'!$I$5:$I$21,'PR Report - SINIYA'!$A$5:$A$21,$A7)+SUMIFS('PR Report - SOBHA '!$I$5:$I$26,'PR Report - SOBHA '!$A$5:$A$26,$A7)+SUMIFS('PR Report - DOWNTOWN'!$I$5:$I$22,'PR Report - DOWNTOWN'!$A$5:$A$22,A7)</f>
        <v>4265516.25</v>
      </c>
      <c r="J7" s="152"/>
      <c r="K7" s="23"/>
    </row>
    <row r="8" spans="1:11" x14ac:dyDescent="0.25">
      <c r="A8" s="54" t="s">
        <v>11</v>
      </c>
      <c r="B8" s="8">
        <f>SUMIFS('PR Report - SINIYA'!$B$5:$B$21,'PR Report - SINIYA'!$A$5:$A$21,A8)+SUMIFS('PR Report - DOWNTOWN'!$B$5:$B$22,'PR Report - DOWNTOWN'!$A$5:$A$22,A8)</f>
        <v>1176470.5882352942</v>
      </c>
      <c r="C8" s="8">
        <f>SUMIFS('PR Report - SINIYA'!$C$5:$C$21,'PR Report - SINIYA'!$A$5:$A$21,$A8)+SUMIFS('PR Report - DOWNTOWN'!$C$5:$C$22,'PR Report - DOWNTOWN'!$A$5:$A$22,A8)</f>
        <v>420035.73</v>
      </c>
      <c r="D8" s="8">
        <f>SUMIFS('PR Report - SINIYA'!$D$5:$D$21,'PR Report - SINIYA'!$A$5:$A$21,$A8)+SUMIFS('PR Report - DOWNTOWN'!$D$5:$D$22,'PR Report - DOWNTOWN'!$A$5:$A$22,$A8)</f>
        <v>5882352.9411764713</v>
      </c>
      <c r="E8" s="8">
        <f>SUMIFS('PR Report - SINIYA'!$E$5:$E$21,'PR Report - SINIYA'!$A$5:$A$21,$A8)+SUMIFS('PR Report - SOBHA '!$E$5:$E$26,'PR Report - SOBHA '!$A$5:$A$26,$A8)+SUMIFS('PR Report - DOWNTOWN'!$E$5:$E$22,'PR Report - DOWNTOWN'!$A$5:$A$22,A8)</f>
        <v>2932051.76</v>
      </c>
      <c r="F8" s="8">
        <f>SUMIFS('PR Report - SINIYA'!$F$5:$F$21,'PR Report - SINIYA'!$A$5:$A$21,$A8)+SUMIFS('PR Report - SOBHA '!$F$5:$F$26,'PR Report - SOBHA '!$A$5:$A$26,$A8)+SUMIFS('PR Report - DOWNTOWN'!$F$5:$F$22,'PR Report - DOWNTOWN'!$A$5:$A$22,A8)</f>
        <v>20000000</v>
      </c>
      <c r="G8" s="151">
        <f t="shared" si="0"/>
        <v>0.4984487991999999</v>
      </c>
      <c r="H8" s="8">
        <f>SUMIFS('PR Report - SINIYA'!$H$5:$H$21,'PR Report - SINIYA'!$A$5:$A$21,$A8)+SUMIFS('PR Report - SOBHA '!$H$5:$H$26,'PR Report - SOBHA '!$A$5:$A$26,$A8)+SUMIFS('PR Report - DOWNTOWN'!$H$5:$H$22,'PR Report - DOWNTOWN'!$A$5:$A$22,A8)</f>
        <v>2112020.04</v>
      </c>
      <c r="I8" s="8">
        <f>SUMIFS('PR Report - SINIYA'!$I$5:$I$21,'PR Report - SINIYA'!$A$5:$A$21,$A8)+SUMIFS('PR Report - SOBHA '!$I$5:$I$26,'PR Report - SOBHA '!$A$5:$A$26,$A8)+SUMIFS('PR Report - DOWNTOWN'!$I$5:$I$22,'PR Report - DOWNTOWN'!$A$5:$A$22,A8)</f>
        <v>506236.11</v>
      </c>
      <c r="J8" s="152"/>
      <c r="K8" s="23"/>
    </row>
    <row r="9" spans="1:11" x14ac:dyDescent="0.25">
      <c r="A9" s="64" t="s">
        <v>12</v>
      </c>
      <c r="B9" s="65">
        <f>SUM(B5:B8)</f>
        <v>11470588.235294117</v>
      </c>
      <c r="C9" s="65">
        <f>SUM(C5:C8)</f>
        <v>7498418.8600000013</v>
      </c>
      <c r="D9" s="65">
        <f>SUM(D5:D8)</f>
        <v>57352941.176470593</v>
      </c>
      <c r="E9" s="65">
        <f>SUM(E5:E8)</f>
        <v>43069458.119999997</v>
      </c>
      <c r="F9" s="65">
        <f>SUM(F5:F8)</f>
        <v>195000000</v>
      </c>
      <c r="G9" s="68">
        <f t="shared" si="0"/>
        <v>0.75095465439999987</v>
      </c>
      <c r="H9" s="65">
        <f>SUM(H5:H8)</f>
        <v>25142938.490000002</v>
      </c>
      <c r="I9" s="65">
        <f>SUM(I5:I8)</f>
        <v>18562925.329999998</v>
      </c>
      <c r="J9" s="152"/>
      <c r="K9" s="23"/>
    </row>
    <row r="10" spans="1:11" x14ac:dyDescent="0.25">
      <c r="A10" s="54" t="s">
        <v>13</v>
      </c>
      <c r="B10" s="8">
        <f>SUMIFS('PR Report - SOBHA '!$B$5:$B$26,'PR Report - SOBHA '!$A$5:$A$26,A10)</f>
        <v>2774274.2352941176</v>
      </c>
      <c r="C10" s="8">
        <f>SUMIFS('PR Report - SOBHA '!$C$5:$C$26,'PR Report - SOBHA '!$A$5:$A$26,$A10)</f>
        <v>524510</v>
      </c>
      <c r="D10" s="8">
        <f>SUMIFS('PR Report - SOBHA '!$D$5:$D$26,'PR Report - SOBHA '!$A$5:$A$26,$A10)</f>
        <v>13871371.176470589</v>
      </c>
      <c r="E10" s="8">
        <f>SUMIFS('PR Report - SOBHA '!$E$5:$E$26,'PR Report - SOBHA '!$A$5:$A$26,$A10)</f>
        <v>1833821</v>
      </c>
      <c r="F10" s="8">
        <f>SUMIFS('PR Report - SOBHA '!$F$5:$F$26,'PR Report - SOBHA '!$A$5:$A$26,$A10)</f>
        <v>47162662</v>
      </c>
      <c r="G10" s="151">
        <f t="shared" si="0"/>
        <v>0.13220185493346409</v>
      </c>
      <c r="H10" s="8">
        <f>SUMIFS('PR Report - SOBHA '!$H$5:$H$26,'PR Report - SOBHA '!$A$5:$A$26,$A10)</f>
        <v>5649097.7199999997</v>
      </c>
      <c r="I10" s="8">
        <f>SUMIFS('PR Report - SOBHA '!$I$5:$I$26,'PR Report - SOBHA '!$A$5:$A$26,$A10)</f>
        <v>4238208.5</v>
      </c>
      <c r="J10" s="152"/>
      <c r="K10" s="153"/>
    </row>
    <row r="11" spans="1:11" x14ac:dyDescent="0.25">
      <c r="A11" s="54" t="s">
        <v>14</v>
      </c>
      <c r="B11" s="8">
        <f>SUMIFS('PR Report - SOBHA '!$B$5:$B$26,'PR Report - SOBHA '!$A$5:$A$26,A11)</f>
        <v>2176503.6470588236</v>
      </c>
      <c r="C11" s="8">
        <f>SUMIFS('PR Report - SOBHA '!$C$5:$C$26,'PR Report - SOBHA '!$A$5:$A$26,$A11)</f>
        <v>782720</v>
      </c>
      <c r="D11" s="8">
        <f>SUMIFS('PR Report - SOBHA '!$D$5:$D$26,'PR Report - SOBHA '!$A$5:$A$26,$A11)</f>
        <v>10882518.235294119</v>
      </c>
      <c r="E11" s="8">
        <f>SUMIFS('PR Report - SOBHA '!$E$5:$E$26,'PR Report - SOBHA '!$A$5:$A$26,$A11)</f>
        <v>6917700</v>
      </c>
      <c r="F11" s="8">
        <f>SUMIFS('PR Report - SOBHA '!$F$5:$F$26,'PR Report - SOBHA '!$A$5:$A$26,$A11)</f>
        <v>37000562</v>
      </c>
      <c r="G11" s="151">
        <f t="shared" si="0"/>
        <v>0.63567088521520287</v>
      </c>
      <c r="H11" s="8">
        <f>SUMIFS('PR Report - SOBHA '!$H$5:$H$26,'PR Report - SOBHA '!$A$5:$A$26,$A11)</f>
        <v>6097448.3999999994</v>
      </c>
      <c r="I11" s="8">
        <f>SUMIFS('PR Report - SOBHA '!$I$5:$I$26,'PR Report - SOBHA '!$A$5:$A$26,$A11)</f>
        <v>5003503.5999999996</v>
      </c>
      <c r="J11" s="152"/>
      <c r="K11" s="153"/>
    </row>
    <row r="12" spans="1:11" x14ac:dyDescent="0.25">
      <c r="A12" s="54" t="s">
        <v>15</v>
      </c>
      <c r="B12" s="8">
        <f>SUMIFS('PR Report - SOBHA '!$B$5:$B$26,'PR Report - SOBHA '!$A$5:$A$26,A12)</f>
        <v>2840497.8235294116</v>
      </c>
      <c r="C12" s="8">
        <f>SUMIFS('PR Report - SOBHA '!$C$5:$C$26,'PR Report - SOBHA '!$A$5:$A$26,$A12)</f>
        <v>1817369.12</v>
      </c>
      <c r="D12" s="8">
        <f>SUMIFS('PR Report - SOBHA '!$D$5:$D$26,'PR Report - SOBHA '!$A$5:$A$26,$A12)</f>
        <v>14202489.117647057</v>
      </c>
      <c r="E12" s="8">
        <f>SUMIFS('PR Report - SOBHA '!$E$5:$E$26,'PR Report - SOBHA '!$A$5:$A$26,$A12)</f>
        <v>9826728.709999999</v>
      </c>
      <c r="F12" s="8">
        <f>SUMIFS('PR Report - SOBHA '!$F$5:$F$26,'PR Report - SOBHA '!$A$5:$A$26,$A12)</f>
        <v>48288463</v>
      </c>
      <c r="G12" s="151">
        <f t="shared" si="0"/>
        <v>0.69190186513080776</v>
      </c>
      <c r="H12" s="8">
        <f>SUMIFS('PR Report - SOBHA '!$H$5:$H$26,'PR Report - SOBHA '!$A$5:$A$26,$A12)</f>
        <v>12626119.09</v>
      </c>
      <c r="I12" s="8">
        <f>SUMIFS('PR Report - SOBHA '!$I$5:$I$26,'PR Report - SOBHA '!$A$5:$A$26,$A12)</f>
        <v>4572456.96</v>
      </c>
      <c r="J12" s="152"/>
      <c r="K12" s="153"/>
    </row>
    <row r="13" spans="1:11" x14ac:dyDescent="0.25">
      <c r="A13" s="54" t="s">
        <v>16</v>
      </c>
      <c r="B13" s="8">
        <f>SUMIFS('PR Report - SOBHA '!$B$5:$B$26,'PR Report - SOBHA '!$A$5:$A$26,A13)</f>
        <v>3450528.411764706</v>
      </c>
      <c r="C13" s="8">
        <f>SUMIFS('PR Report - SOBHA '!$C$5:$C$26,'PR Report - SOBHA '!$A$5:$A$26,$A13)</f>
        <v>1978777</v>
      </c>
      <c r="D13" s="8">
        <f>SUMIFS('PR Report - SOBHA '!$D$5:$D$26,'PR Report - SOBHA '!$A$5:$A$26,$A13)</f>
        <v>17252642.05882353</v>
      </c>
      <c r="E13" s="8">
        <f>SUMIFS('PR Report - SOBHA '!$E$5:$E$26,'PR Report - SOBHA '!$A$5:$A$26,$A13)</f>
        <v>11759965.120000001</v>
      </c>
      <c r="F13" s="8">
        <f>SUMIFS('PR Report - SOBHA '!$F$5:$F$26,'PR Report - SOBHA '!$A$5:$A$26,$A13)</f>
        <v>58658983</v>
      </c>
      <c r="G13" s="151">
        <f t="shared" si="0"/>
        <v>0.68163270761104067</v>
      </c>
      <c r="H13" s="8">
        <f>SUMIFS('PR Report - SOBHA '!$H$5:$H$26,'PR Report - SOBHA '!$A$5:$A$26,$A13)</f>
        <v>5336207.01</v>
      </c>
      <c r="I13" s="8">
        <f>SUMIFS('PR Report - SOBHA '!$I$5:$I$26,'PR Report - SOBHA '!$A$5:$A$26,$A13)</f>
        <v>4216231.34</v>
      </c>
      <c r="J13" s="152"/>
      <c r="K13" s="153"/>
    </row>
    <row r="14" spans="1:11" x14ac:dyDescent="0.25">
      <c r="A14" s="54" t="s">
        <v>17</v>
      </c>
      <c r="B14" s="8">
        <f>SUMIFS('PR Report - SOBHA '!$B$5:$B$26,'PR Report - SOBHA '!$A$5:$A$26,A14)</f>
        <v>2554015.1176470588</v>
      </c>
      <c r="C14" s="8">
        <f>SUMIFS('PR Report - SOBHA '!$C$5:$C$26,'PR Report - SOBHA '!$A$5:$A$26,$A14)</f>
        <v>1311551</v>
      </c>
      <c r="D14" s="8">
        <f>SUMIFS('PR Report - SOBHA '!$D$5:$D$26,'PR Report - SOBHA '!$A$5:$A$26,$A14)</f>
        <v>12770075.588235294</v>
      </c>
      <c r="E14" s="8">
        <f>SUMIFS('PR Report - SOBHA '!$E$5:$E$26,'PR Report - SOBHA '!$A$5:$A$26,$A14)</f>
        <v>6990927</v>
      </c>
      <c r="F14" s="8">
        <f>SUMIFS('PR Report - SOBHA '!$F$5:$F$26,'PR Report - SOBHA '!$A$5:$A$26,$A14)</f>
        <v>43418257</v>
      </c>
      <c r="G14" s="151">
        <f t="shared" si="0"/>
        <v>0.54744601562425688</v>
      </c>
      <c r="H14" s="8">
        <f>SUMIFS('PR Report - SOBHA '!$H$5:$H$26,'PR Report - SOBHA '!$A$5:$A$26,$A14)</f>
        <v>1317193.7</v>
      </c>
      <c r="I14" s="8">
        <f>SUMIFS('PR Report - SOBHA '!$I$5:$I$26,'PR Report - SOBHA '!$A$5:$A$26,$A14)</f>
        <v>2640605.4299999997</v>
      </c>
      <c r="J14" s="152"/>
      <c r="K14" s="153"/>
    </row>
    <row r="15" spans="1:11" x14ac:dyDescent="0.25">
      <c r="A15" s="54" t="s">
        <v>18</v>
      </c>
      <c r="B15" s="8">
        <f>SUMIFS('PR Report - SOBHA '!$B$5:$B$26,'PR Report - SOBHA '!$A$5:$A$26,A15)</f>
        <v>2238461.0588235296</v>
      </c>
      <c r="C15" s="8">
        <f>SUMIFS('PR Report - SOBHA '!$C$5:$C$26,'PR Report - SOBHA '!$A$5:$A$26,$A15)</f>
        <v>2279577</v>
      </c>
      <c r="D15" s="8">
        <f>SUMIFS('PR Report - SOBHA '!$D$5:$D$26,'PR Report - SOBHA '!$A$5:$A$26,$A15)</f>
        <v>11192305.294117648</v>
      </c>
      <c r="E15" s="8">
        <f>SUMIFS('PR Report - SOBHA '!$E$5:$E$26,'PR Report - SOBHA '!$A$5:$A$26,$A15)</f>
        <v>11501814</v>
      </c>
      <c r="F15" s="8">
        <f>SUMIFS('PR Report - SOBHA '!$F$5:$F$26,'PR Report - SOBHA '!$A$5:$A$26,$A15)</f>
        <v>38053838</v>
      </c>
      <c r="G15" s="151">
        <f t="shared" si="0"/>
        <v>1.0276537047327525</v>
      </c>
      <c r="H15" s="8">
        <f>SUMIFS('PR Report - SOBHA '!$H$5:$H$26,'PR Report - SOBHA '!$A$5:$A$26,$A15)</f>
        <v>5271884.8</v>
      </c>
      <c r="I15" s="8">
        <f>SUMIFS('PR Report - SOBHA '!$I$5:$I$26,'PR Report - SOBHA '!$A$5:$A$26,$A15)</f>
        <v>7215187.21</v>
      </c>
      <c r="J15" s="152"/>
      <c r="K15" s="153"/>
    </row>
    <row r="16" spans="1:11" x14ac:dyDescent="0.25">
      <c r="A16" s="54" t="s">
        <v>19</v>
      </c>
      <c r="B16" s="8">
        <f>SUMIFS('PR Report - SOBHA '!$B$5:$B$26,'PR Report - SOBHA '!$A$5:$A$26,A16)</f>
        <v>3230160.0588235296</v>
      </c>
      <c r="C16" s="8">
        <f>SUMIFS('PR Report - SOBHA '!$C$5:$C$26,'PR Report - SOBHA '!$A$5:$A$26,$A16)</f>
        <v>200000</v>
      </c>
      <c r="D16" s="8">
        <f>SUMIFS('PR Report - SOBHA '!$D$5:$D$26,'PR Report - SOBHA '!$A$5:$A$26,$A16)</f>
        <v>16150800.294117648</v>
      </c>
      <c r="E16" s="8">
        <f>SUMIFS('PR Report - SOBHA '!$E$5:$E$26,'PR Report - SOBHA '!$A$5:$A$26,$A16)</f>
        <v>2056939.41</v>
      </c>
      <c r="F16" s="8">
        <f>SUMIFS('PR Report - SOBHA '!$F$5:$F$26,'PR Report - SOBHA '!$A$5:$A$26,$A16)</f>
        <v>54912721</v>
      </c>
      <c r="G16" s="151">
        <f t="shared" si="0"/>
        <v>0.12735835825727884</v>
      </c>
      <c r="H16" s="8">
        <f>SUMIFS('PR Report - SOBHA '!$H$5:$H$26,'PR Report - SOBHA '!$A$5:$A$26,$A16)</f>
        <v>3957231.39</v>
      </c>
      <c r="I16" s="8">
        <f>SUMIFS('PR Report - SOBHA '!$I$5:$I$26,'PR Report - SOBHA '!$A$5:$A$26,$A16)</f>
        <v>4142840.85</v>
      </c>
      <c r="J16" s="152"/>
      <c r="K16" s="153"/>
    </row>
    <row r="17" spans="1:11" x14ac:dyDescent="0.25">
      <c r="A17" s="54" t="s">
        <v>20</v>
      </c>
      <c r="B17" s="8">
        <f>SUMIFS('PR Report - SOBHA '!$B$5:$B$26,'PR Report - SOBHA '!$A$5:$A$26,A17)</f>
        <v>3286315.2941176472</v>
      </c>
      <c r="C17" s="8">
        <f>SUMIFS('PR Report - SOBHA '!$C$5:$C$26,'PR Report - SOBHA '!$A$5:$A$26,$A17)</f>
        <v>2498098</v>
      </c>
      <c r="D17" s="8">
        <f>SUMIFS('PR Report - SOBHA '!$D$5:$D$26,'PR Report - SOBHA '!$A$5:$A$26,$A17)</f>
        <v>16431576.470588237</v>
      </c>
      <c r="E17" s="8">
        <f>SUMIFS('PR Report - SOBHA '!$E$5:$E$26,'PR Report - SOBHA '!$A$5:$A$26,$A17)</f>
        <v>14591524.41</v>
      </c>
      <c r="F17" s="8">
        <f>SUMIFS('PR Report - SOBHA '!$F$5:$F$26,'PR Report - SOBHA '!$A$5:$A$26,$A17)</f>
        <v>55867360</v>
      </c>
      <c r="G17" s="151">
        <f t="shared" si="0"/>
        <v>0.8880173144748561</v>
      </c>
      <c r="H17" s="8">
        <f>SUMIFS('PR Report - SOBHA '!$H$5:$H$26,'PR Report - SOBHA '!$A$5:$A$26,$A17)</f>
        <v>6509956.9900000002</v>
      </c>
      <c r="I17" s="8">
        <f>SUMIFS('PR Report - SOBHA '!$I$5:$I$26,'PR Report - SOBHA '!$A$5:$A$26,$A17)</f>
        <v>8001301.29</v>
      </c>
      <c r="J17" s="152"/>
      <c r="K17" s="153"/>
    </row>
    <row r="18" spans="1:11" x14ac:dyDescent="0.25">
      <c r="A18" s="54" t="s">
        <v>21</v>
      </c>
      <c r="B18" s="8">
        <f>SUMIFS('PR Report - SOBHA '!$B$5:$B$26,'PR Report - SOBHA '!$A$5:$A$26,A18)</f>
        <v>2363747</v>
      </c>
      <c r="C18" s="8">
        <f>SUMIFS('PR Report - SOBHA '!$C$5:$C$26,'PR Report - SOBHA '!$A$5:$A$26,$A18)</f>
        <v>1158239</v>
      </c>
      <c r="D18" s="8">
        <f>SUMIFS('PR Report - SOBHA '!$D$5:$D$26,'PR Report - SOBHA '!$A$5:$A$26,$A18)</f>
        <v>11818735</v>
      </c>
      <c r="E18" s="8">
        <f>SUMIFS('PR Report - SOBHA '!$E$5:$E$26,'PR Report - SOBHA '!$A$5:$A$26,$A18)</f>
        <v>10504253.24</v>
      </c>
      <c r="F18" s="8">
        <f>SUMIFS('PR Report - SOBHA '!$F$5:$F$26,'PR Report - SOBHA '!$A$5:$A$26,$A18)</f>
        <v>40183699</v>
      </c>
      <c r="G18" s="151">
        <f t="shared" si="0"/>
        <v>0.88877982626736285</v>
      </c>
      <c r="H18" s="8">
        <f>SUMIFS('PR Report - SOBHA '!$H$5:$H$26,'PR Report - SOBHA '!$A$5:$A$26,$A18)</f>
        <v>5863137.3799999999</v>
      </c>
      <c r="I18" s="8">
        <f>SUMIFS('PR Report - SOBHA '!$I$5:$I$26,'PR Report - SOBHA '!$A$5:$A$26,$A18)</f>
        <v>6262318.2599999998</v>
      </c>
      <c r="J18" s="152"/>
      <c r="K18" s="153"/>
    </row>
    <row r="19" spans="1:11" x14ac:dyDescent="0.25">
      <c r="A19" s="54" t="s">
        <v>22</v>
      </c>
      <c r="B19" s="8">
        <f>SUMIFS('PR Report - SOBHA '!$B$5:$B$26,'PR Report - SOBHA '!$A$5:$A$26,A19)</f>
        <v>2106539.8235294116</v>
      </c>
      <c r="C19" s="8">
        <f>SUMIFS('PR Report - SOBHA '!$C$5:$C$26,'PR Report - SOBHA '!$A$5:$A$26,$A19)</f>
        <v>2059510</v>
      </c>
      <c r="D19" s="8">
        <f>SUMIFS('PR Report - SOBHA '!$D$5:$D$26,'PR Report - SOBHA '!$A$5:$A$26,$A19)</f>
        <v>10532699.117647057</v>
      </c>
      <c r="E19" s="8">
        <f>SUMIFS('PR Report - SOBHA '!$E$5:$E$26,'PR Report - SOBHA '!$A$5:$A$26,$A19)</f>
        <v>10391011</v>
      </c>
      <c r="F19" s="8">
        <f>SUMIFS('PR Report - SOBHA '!$F$5:$F$26,'PR Report - SOBHA '!$A$5:$A$26,$A19)</f>
        <v>35811177</v>
      </c>
      <c r="G19" s="151">
        <f t="shared" si="0"/>
        <v>0.98654778646342745</v>
      </c>
      <c r="H19" s="8">
        <f>SUMIFS('PR Report - SOBHA '!$H$5:$H$26,'PR Report - SOBHA '!$A$5:$A$26,$A19)</f>
        <v>5228871.51</v>
      </c>
      <c r="I19" s="8">
        <f>SUMIFS('PR Report - SOBHA '!$I$5:$I$26,'PR Report - SOBHA '!$A$5:$A$26,$A19)</f>
        <v>5422934.5499999998</v>
      </c>
      <c r="J19" s="152"/>
      <c r="K19" s="153"/>
    </row>
    <row r="20" spans="1:11" x14ac:dyDescent="0.25">
      <c r="A20" s="54" t="s">
        <v>23</v>
      </c>
      <c r="B20" s="8">
        <f>SUMIFS('PR Report - SOBHA '!$B$5:$B$26,'PR Report - SOBHA '!$A$5:$A$26,A20)</f>
        <v>2458129.8823529412</v>
      </c>
      <c r="C20" s="8">
        <f>SUMIFS('PR Report - SOBHA '!$C$5:$C$26,'PR Report - SOBHA '!$A$5:$A$26,$A20)</f>
        <v>2171492.75</v>
      </c>
      <c r="D20" s="8">
        <f>SUMIFS('PR Report - SOBHA '!$D$5:$D$26,'PR Report - SOBHA '!$A$5:$A$26,$A20)</f>
        <v>12290649.411764706</v>
      </c>
      <c r="E20" s="8">
        <f>SUMIFS('PR Report - SOBHA '!$E$5:$E$26,'PR Report - SOBHA '!$A$5:$A$26,$A20)</f>
        <v>9750271.5300000012</v>
      </c>
      <c r="F20" s="8">
        <f>SUMIFS('PR Report - SOBHA '!$F$5:$F$26,'PR Report - SOBHA '!$A$5:$A$26,$A20)</f>
        <v>41788208</v>
      </c>
      <c r="G20" s="151">
        <f t="shared" si="0"/>
        <v>0.79330808351485194</v>
      </c>
      <c r="H20" s="8">
        <f>SUMIFS('PR Report - SOBHA '!$H$5:$H$26,'PR Report - SOBHA '!$A$5:$A$26,$A20)</f>
        <v>20466704.549999997</v>
      </c>
      <c r="I20" s="8">
        <f>SUMIFS('PR Report - SOBHA '!$I$5:$I$26,'PR Report - SOBHA '!$A$5:$A$26,$A20)</f>
        <v>4744590.04</v>
      </c>
      <c r="J20" s="152"/>
      <c r="K20" s="153"/>
    </row>
    <row r="21" spans="1:11" x14ac:dyDescent="0.25">
      <c r="A21" s="54" t="s">
        <v>31</v>
      </c>
      <c r="B21" s="8">
        <f>SUMIFS('PR Report - SOBHA '!$B$5:$B$26,'PR Report - SOBHA '!$A$5:$A$26,A21)</f>
        <v>1740757.5294117648</v>
      </c>
      <c r="C21" s="8">
        <f>SUMIFS('PR Report - SOBHA '!$C$5:$C$26,'PR Report - SOBHA '!$A$5:$A$26,$A21)</f>
        <v>999311</v>
      </c>
      <c r="D21" s="8">
        <f>SUMIFS('PR Report - SOBHA '!$D$5:$D$26,'PR Report - SOBHA '!$A$5:$A$26,$A21)</f>
        <v>8703787.6470588241</v>
      </c>
      <c r="E21" s="8">
        <f>SUMIFS('PR Report - SOBHA '!$E$5:$E$26,'PR Report - SOBHA '!$A$5:$A$26,$A21)</f>
        <v>5039866</v>
      </c>
      <c r="F21" s="8">
        <f>SUMIFS('PR Report - SOBHA '!$F$5:$F$26,'PR Report - SOBHA '!$A$5:$A$26,$A21)</f>
        <v>29592878</v>
      </c>
      <c r="G21" s="151">
        <f t="shared" si="0"/>
        <v>0.57904284943154227</v>
      </c>
      <c r="H21" s="8">
        <f>SUMIFS('PR Report - SOBHA '!$H$5:$H$26,'PR Report - SOBHA '!$A$5:$A$26,$A21)</f>
        <v>3510870.31</v>
      </c>
      <c r="I21" s="8">
        <f>SUMIFS('PR Report - SOBHA '!$I$5:$I$26,'PR Report - SOBHA '!$A$5:$A$26,$A21)</f>
        <v>3034882.09</v>
      </c>
      <c r="J21" s="152"/>
      <c r="K21" s="153"/>
    </row>
    <row r="22" spans="1:11" x14ac:dyDescent="0.25">
      <c r="A22" s="54" t="s">
        <v>25</v>
      </c>
      <c r="B22" s="8">
        <f>SUMIFS('PR Report - SOBHA '!$B$5:$B$26,'PR Report - SOBHA '!$A$5:$A$26,A22)</f>
        <v>2182823.3529411764</v>
      </c>
      <c r="C22" s="8">
        <f>SUMIFS('PR Report - SOBHA '!$C$5:$C$26,'PR Report - SOBHA '!$A$5:$A$26,$A22)</f>
        <v>1911654</v>
      </c>
      <c r="D22" s="8">
        <f>SUMIFS('PR Report - SOBHA '!$D$5:$D$26,'PR Report - SOBHA '!$A$5:$A$26,$A22)</f>
        <v>10914116.764705881</v>
      </c>
      <c r="E22" s="8">
        <f>SUMIFS('PR Report - SOBHA '!$E$5:$E$26,'PR Report - SOBHA '!$A$5:$A$26,$A22)</f>
        <v>10244714</v>
      </c>
      <c r="F22" s="8">
        <f>SUMIFS('PR Report - SOBHA '!$F$5:$F$26,'PR Report - SOBHA '!$A$5:$A$26,$A22)</f>
        <v>37107997</v>
      </c>
      <c r="G22" s="151">
        <f t="shared" si="0"/>
        <v>0.93866633653117959</v>
      </c>
      <c r="H22" s="8">
        <f>SUMIFS('PR Report - SOBHA '!$H$5:$H$26,'PR Report - SOBHA '!$A$5:$A$26,$A22)</f>
        <v>6961773.8399999989</v>
      </c>
      <c r="I22" s="8">
        <f>SUMIFS('PR Report - SOBHA '!$I$5:$I$26,'PR Report - SOBHA '!$A$5:$A$26,$A22)</f>
        <v>7925559.1200000001</v>
      </c>
      <c r="J22" s="152"/>
      <c r="K22" s="153"/>
    </row>
    <row r="23" spans="1:11" x14ac:dyDescent="0.25">
      <c r="A23" s="54" t="s">
        <v>26</v>
      </c>
      <c r="B23" s="8">
        <f>SUMIFS('PR Report - SOBHA '!$B$5:$B$26,'PR Report - SOBHA '!$A$5:$A$26,A23)</f>
        <v>1870006.0588235294</v>
      </c>
      <c r="C23" s="8">
        <f>SUMIFS('PR Report - SOBHA '!$C$5:$C$26,'PR Report - SOBHA '!$A$5:$A$26,$A23)</f>
        <v>3273247</v>
      </c>
      <c r="D23" s="8">
        <f>SUMIFS('PR Report - SOBHA '!$D$5:$D$26,'PR Report - SOBHA '!$A$5:$A$26,$A23)</f>
        <v>9350030.2941176463</v>
      </c>
      <c r="E23" s="8">
        <f>SUMIFS('PR Report - SOBHA '!$E$5:$E$26,'PR Report - SOBHA '!$A$5:$A$26,$A23)</f>
        <v>5500299</v>
      </c>
      <c r="F23" s="8">
        <f>SUMIFS('PR Report - SOBHA '!$F$5:$F$26,'PR Report - SOBHA '!$A$5:$A$26,$A23)</f>
        <v>31790103</v>
      </c>
      <c r="G23" s="151">
        <f t="shared" si="0"/>
        <v>0.58826536674008267</v>
      </c>
      <c r="H23" s="8">
        <f>SUMIFS('PR Report - SOBHA '!$H$5:$H$26,'PR Report - SOBHA '!$A$5:$A$26,$A23)</f>
        <v>859898.74</v>
      </c>
      <c r="I23" s="8">
        <f>SUMIFS('PR Report - SOBHA '!$I$5:$I$26,'PR Report - SOBHA '!$A$5:$A$26,$A23)</f>
        <v>8319487.1600000001</v>
      </c>
      <c r="J23" s="152"/>
      <c r="K23" s="153"/>
    </row>
    <row r="24" spans="1:11" x14ac:dyDescent="0.25">
      <c r="A24" s="54" t="s">
        <v>34</v>
      </c>
      <c r="B24" s="8">
        <f>SUMIFS('PR Report - SOBHA '!$B$5:$B$26,'PR Report - SOBHA '!$A$5:$A$26,A24)</f>
        <v>2058136.9411764706</v>
      </c>
      <c r="C24" s="8">
        <f>SUMIFS('PR Report - SOBHA '!$C$5:$C$26,'PR Report - SOBHA '!$A$5:$A$26,$A24)</f>
        <v>1560409.38</v>
      </c>
      <c r="D24" s="8">
        <f>SUMIFS('PR Report - SOBHA '!$D$5:$D$26,'PR Report - SOBHA '!$A$5:$A$26,$A24)</f>
        <v>10290684.705882354</v>
      </c>
      <c r="E24" s="8">
        <f>SUMIFS('PR Report - SOBHA '!$E$5:$E$26,'PR Report - SOBHA '!$A$5:$A$26,$A24)</f>
        <v>9640141.3900000006</v>
      </c>
      <c r="F24" s="8">
        <f>SUMIFS('PR Report - SOBHA '!$F$5:$F$26,'PR Report - SOBHA '!$A$5:$A$26,$A24)</f>
        <v>34988328</v>
      </c>
      <c r="G24" s="151">
        <f t="shared" si="0"/>
        <v>0.9367832817275521</v>
      </c>
      <c r="H24" s="8">
        <f>SUMIFS('PR Report - SOBHA '!$H$5:$H$26,'PR Report - SOBHA '!$A$5:$A$26,$A24)</f>
        <v>7772319.2700000005</v>
      </c>
      <c r="I24" s="8">
        <f>SUMIFS('PR Report - SOBHA '!$I$5:$I$26,'PR Report - SOBHA '!$A$5:$A$26,$A24)</f>
        <v>3159710.7199999997</v>
      </c>
      <c r="J24" s="152"/>
      <c r="K24" s="153"/>
    </row>
    <row r="25" spans="1:11" x14ac:dyDescent="0.25">
      <c r="A25" s="54" t="s">
        <v>27</v>
      </c>
      <c r="B25" s="8">
        <f>SUMIFS('PR Report - SOBHA '!$B$5:$B$26,'PR Report - SOBHA '!$A$5:$A$26,A25)</f>
        <v>1878569.9411764706</v>
      </c>
      <c r="C25" s="8">
        <f>SUMIFS('PR Report - SOBHA '!$C$5:$C$26,'PR Report - SOBHA '!$A$5:$A$26,$A25)</f>
        <v>1513133</v>
      </c>
      <c r="D25" s="8">
        <f>SUMIFS('PR Report - SOBHA '!$D$5:$D$26,'PR Report - SOBHA '!$A$5:$A$26,$A25)</f>
        <v>9392849.7058823537</v>
      </c>
      <c r="E25" s="8">
        <f>SUMIFS('PR Report - SOBHA '!$E$5:$E$26,'PR Report - SOBHA '!$A$5:$A$26,$A25)</f>
        <v>9617286</v>
      </c>
      <c r="F25" s="8">
        <f>SUMIFS('PR Report - SOBHA '!$F$5:$F$26,'PR Report - SOBHA '!$A$5:$A$26,$A25)</f>
        <v>31935689</v>
      </c>
      <c r="G25" s="151">
        <f t="shared" si="0"/>
        <v>1.0238943772279345</v>
      </c>
      <c r="H25" s="8">
        <f>SUMIFS('PR Report - SOBHA '!$H$5:$H$26,'PR Report - SOBHA '!$A$5:$A$26,$A25)</f>
        <v>12317751.159999998</v>
      </c>
      <c r="I25" s="8">
        <f>SUMIFS('PR Report - SOBHA '!$I$5:$I$26,'PR Report - SOBHA '!$A$5:$A$26,$A25)</f>
        <v>1980461.19</v>
      </c>
      <c r="J25" s="152"/>
      <c r="K25" s="153"/>
    </row>
    <row r="26" spans="1:11" x14ac:dyDescent="0.25">
      <c r="A26" s="54" t="s">
        <v>32</v>
      </c>
      <c r="B26" s="8">
        <f>SUMIFS('PR Report - SOBHA '!$B$5:$B$26,'PR Report - SOBHA '!$A$5:$A$26,A26)</f>
        <v>1973792.1764705882</v>
      </c>
      <c r="C26" s="8">
        <f>SUMIFS('PR Report - SOBHA '!$C$5:$C$26,'PR Report - SOBHA '!$A$5:$A$26,$A26)</f>
        <v>1039361.58</v>
      </c>
      <c r="D26" s="8">
        <f>SUMIFS('PR Report - SOBHA '!$D$5:$D$26,'PR Report - SOBHA '!$A$5:$A$26,$A26)</f>
        <v>9868960.8823529407</v>
      </c>
      <c r="E26" s="8">
        <f>SUMIFS('PR Report - SOBHA '!$E$5:$E$26,'PR Report - SOBHA '!$A$5:$A$26,$A26)</f>
        <v>5120214.22</v>
      </c>
      <c r="F26" s="8">
        <f>SUMIFS('PR Report - SOBHA '!$F$5:$F$26,'PR Report - SOBHA '!$A$5:$A$26,$A26)</f>
        <v>33554467</v>
      </c>
      <c r="G26" s="151">
        <f t="shared" si="0"/>
        <v>0.51881999341548179</v>
      </c>
      <c r="H26" s="8">
        <f>SUMIFS('PR Report - SOBHA '!$H$5:$H$26,'PR Report - SOBHA '!$A$5:$A$26,$A26)</f>
        <v>3513272.6</v>
      </c>
      <c r="I26" s="8">
        <f>SUMIFS('PR Report - SOBHA '!$I$5:$I$26,'PR Report - SOBHA '!$A$5:$A$26,$A26)</f>
        <v>4632513.5</v>
      </c>
      <c r="J26" s="152"/>
      <c r="K26" s="153"/>
    </row>
    <row r="27" spans="1:11" x14ac:dyDescent="0.25">
      <c r="A27" s="54" t="s">
        <v>30</v>
      </c>
      <c r="B27" s="8">
        <f>SUMIFS('PR Report - SOBHA '!$B$5:$B$26,'PR Report - SOBHA '!$A$5:$A$26,A27)</f>
        <v>1875513.3529411764</v>
      </c>
      <c r="C27" s="8">
        <f>SUMIFS('PR Report - SOBHA '!$C$5:$C$26,'PR Report - SOBHA '!$A$5:$A$26,$A27)</f>
        <v>1601502.97</v>
      </c>
      <c r="D27" s="8">
        <f>SUMIFS('PR Report - SOBHA '!$D$5:$D$26,'PR Report - SOBHA '!$A$5:$A$26,$A27)</f>
        <v>9377566.7647058815</v>
      </c>
      <c r="E27" s="8">
        <f>SUMIFS('PR Report - SOBHA '!$E$5:$E$26,'PR Report - SOBHA '!$A$5:$A$26,$A27)</f>
        <v>4440963.08</v>
      </c>
      <c r="F27" s="8">
        <f>SUMIFS('PR Report - SOBHA '!$F$5:$F$26,'PR Report - SOBHA '!$A$5:$A$26,$A27)</f>
        <v>31883727</v>
      </c>
      <c r="G27" s="151">
        <f t="shared" si="0"/>
        <v>0.47357306979827052</v>
      </c>
      <c r="H27" s="8">
        <f>SUMIFS('PR Report - SOBHA '!$H$5:$H$26,'PR Report - SOBHA '!$A$5:$A$26,$A27)</f>
        <v>2219219.7999999998</v>
      </c>
      <c r="I27" s="8">
        <f>SUMIFS('PR Report - SOBHA '!$I$5:$I$26,'PR Report - SOBHA '!$A$5:$A$26,$A27)</f>
        <v>2499807.9300000002</v>
      </c>
      <c r="J27" s="152"/>
      <c r="K27" s="153"/>
    </row>
    <row r="28" spans="1:11" x14ac:dyDescent="0.25">
      <c r="A28" s="54" t="s">
        <v>28</v>
      </c>
      <c r="B28" s="8">
        <f>SUMIFS('PR Report - SOBHA '!$B$5:$B$26,'PR Report - SOBHA '!$A$5:$A$26,A28)</f>
        <v>2248108.411764706</v>
      </c>
      <c r="C28" s="8">
        <f>SUMIFS('PR Report - SOBHA '!$C$5:$C$26,'PR Report - SOBHA '!$A$5:$A$26,$A28)</f>
        <v>1486579</v>
      </c>
      <c r="D28" s="8">
        <f>SUMIFS('PR Report - SOBHA '!$D$5:$D$26,'PR Report - SOBHA '!$A$5:$A$26,$A28)</f>
        <v>11240542.05882353</v>
      </c>
      <c r="E28" s="8">
        <f>SUMIFS('PR Report - SOBHA '!$E$5:$E$26,'PR Report - SOBHA '!$A$5:$A$26,$A28)</f>
        <v>7340394.79</v>
      </c>
      <c r="F28" s="8">
        <f>SUMIFS('PR Report - SOBHA '!$F$5:$F$26,'PR Report - SOBHA '!$A$5:$A$26,$A28)</f>
        <v>38217843</v>
      </c>
      <c r="G28" s="151">
        <f t="shared" si="0"/>
        <v>0.65302854182534587</v>
      </c>
      <c r="H28" s="8">
        <f>SUMIFS('PR Report - SOBHA '!$H$5:$H$26,'PR Report - SOBHA '!$A$5:$A$26,$A28)</f>
        <v>4090159.1900000004</v>
      </c>
      <c r="I28" s="8">
        <f>SUMIFS('PR Report - SOBHA '!$I$5:$I$26,'PR Report - SOBHA '!$A$5:$A$26,$A28)</f>
        <v>8197132.9100000011</v>
      </c>
      <c r="J28" s="152"/>
      <c r="K28" s="153"/>
    </row>
    <row r="29" spans="1:11" x14ac:dyDescent="0.25">
      <c r="A29" s="54" t="s">
        <v>33</v>
      </c>
      <c r="B29" s="8">
        <f>SUMIFS('PR Report - SOBHA '!$B$5:$B$26,'PR Report - SOBHA '!$A$5:$A$26,A29)</f>
        <v>1595716.0588235294</v>
      </c>
      <c r="C29" s="8">
        <f>SUMIFS('PR Report - SOBHA '!$C$5:$C$26,'PR Report - SOBHA '!$A$5:$A$26,$A29)</f>
        <v>1742930</v>
      </c>
      <c r="D29" s="8">
        <f>SUMIFS('PR Report - SOBHA '!$D$5:$D$26,'PR Report - SOBHA '!$A$5:$A$26,$A29)</f>
        <v>7978580.2941176472</v>
      </c>
      <c r="E29" s="8">
        <f>SUMIFS('PR Report - SOBHA '!$E$5:$E$26,'PR Report - SOBHA '!$A$5:$A$26,$A29)</f>
        <v>6539052</v>
      </c>
      <c r="F29" s="8">
        <f>SUMIFS('PR Report - SOBHA '!$F$5:$F$26,'PR Report - SOBHA '!$A$5:$A$26,$A29)</f>
        <v>27127173</v>
      </c>
      <c r="G29" s="151">
        <f t="shared" si="0"/>
        <v>0.81957588429874351</v>
      </c>
      <c r="H29" s="8">
        <f>SUMIFS('PR Report - SOBHA '!$H$5:$H$26,'PR Report - SOBHA '!$A$5:$A$26,$A29)</f>
        <v>2699046</v>
      </c>
      <c r="I29" s="8">
        <f>SUMIFS('PR Report - SOBHA '!$I$5:$I$26,'PR Report - SOBHA '!$A$5:$A$26,$A29)</f>
        <v>3657233.3</v>
      </c>
      <c r="J29" s="152"/>
      <c r="K29" s="153"/>
    </row>
    <row r="30" spans="1:11" x14ac:dyDescent="0.25">
      <c r="A30" s="54" t="s">
        <v>24</v>
      </c>
      <c r="B30" s="8">
        <f>SUMIFS('PR Report - SOBHA '!$B$5:$B$26,'PR Report - SOBHA '!$A$5:$A$26,A30)</f>
        <v>1680050.9411764706</v>
      </c>
      <c r="C30" s="8">
        <f>SUMIFS('PR Report - SOBHA '!$C$5:$C$26,'PR Report - SOBHA '!$A$5:$A$26,$A30)</f>
        <v>1426924.4</v>
      </c>
      <c r="D30" s="8">
        <f>SUMIFS('PR Report - SOBHA '!$D$5:$D$26,'PR Report - SOBHA '!$A$5:$A$26,$A30)</f>
        <v>8400254.7058823537</v>
      </c>
      <c r="E30" s="8">
        <f>SUMIFS('PR Report - SOBHA '!$E$5:$E$26,'PR Report - SOBHA '!$A$5:$A$26,$A30)</f>
        <v>8784597.4000000004</v>
      </c>
      <c r="F30" s="8">
        <f>SUMIFS('PR Report - SOBHA '!$F$5:$F$26,'PR Report - SOBHA '!$A$5:$A$26,$A30)</f>
        <v>28560866</v>
      </c>
      <c r="G30" s="151">
        <f>IFERROR(E30/D30,0)</f>
        <v>1.0457536952836093</v>
      </c>
      <c r="H30" s="8">
        <f>SUMIFS('PR Report - SOBHA '!$H$5:$H$26,'PR Report - SOBHA '!$A$5:$A$26,$A30)</f>
        <v>3889347.37</v>
      </c>
      <c r="I30" s="8">
        <f>SUMIFS('PR Report - SOBHA '!$I$5:$I$26,'PR Report - SOBHA '!$A$5:$A$26,$A30)</f>
        <v>2767323.9699999997</v>
      </c>
      <c r="J30" s="152"/>
      <c r="K30" s="153"/>
    </row>
    <row r="31" spans="1:11" x14ac:dyDescent="0.25">
      <c r="A31" s="54" t="s">
        <v>29</v>
      </c>
      <c r="B31" s="8">
        <f>SUMIFS('PR Report - SOBHA '!$B$5:$B$26,'PR Report - SOBHA '!$A$5:$A$26,A31)</f>
        <v>1670123.705882353</v>
      </c>
      <c r="C31" s="8">
        <f>SUMIFS('PR Report - SOBHA '!$C$5:$C$26,'PR Report - SOBHA '!$A$5:$A$26,$A31)</f>
        <v>1101602</v>
      </c>
      <c r="D31" s="8">
        <f>SUMIFS('PR Report - SOBHA '!$D$5:$D$26,'PR Report - SOBHA '!$A$5:$A$26,$A31)</f>
        <v>8350618.5294117648</v>
      </c>
      <c r="E31" s="8">
        <f>SUMIFS('PR Report - SOBHA '!$E$5:$E$26,'PR Report - SOBHA '!$A$5:$A$26,$A31)</f>
        <v>5871851.96</v>
      </c>
      <c r="F31" s="8">
        <f>SUMIFS('PR Report - SOBHA '!$F$5:$F$26,'PR Report - SOBHA '!$A$5:$A$26,$A31)</f>
        <v>28392103</v>
      </c>
      <c r="G31" s="151">
        <f t="shared" si="0"/>
        <v>0.70316371647426046</v>
      </c>
      <c r="H31" s="8">
        <f>SUMIFS('PR Report - SOBHA '!$H$5:$H$26,'PR Report - SOBHA '!$A$5:$A$26,$A31)</f>
        <v>3612983.68</v>
      </c>
      <c r="I31" s="8">
        <f>SUMIFS('PR Report - SOBHA '!$I$5:$I$26,'PR Report - SOBHA '!$A$5:$A$26,$A31)</f>
        <v>4581377.5999999996</v>
      </c>
      <c r="J31" s="152"/>
      <c r="K31" s="153"/>
    </row>
    <row r="32" spans="1:11" x14ac:dyDescent="0.25">
      <c r="A32" s="64" t="s">
        <v>35</v>
      </c>
      <c r="B32" s="65">
        <f>SUM(B10:B31)</f>
        <v>50252770.823529415</v>
      </c>
      <c r="C32" s="65">
        <f>SUM(C10:C31)</f>
        <v>34438498.199999996</v>
      </c>
      <c r="D32" s="65">
        <f>SUM(D10:D31)</f>
        <v>251263854.11764702</v>
      </c>
      <c r="E32" s="65">
        <f>SUM(E10:E31)</f>
        <v>174264335.26000002</v>
      </c>
      <c r="F32" s="65">
        <f>SUM(F10:F31)</f>
        <v>854297104</v>
      </c>
      <c r="G32" s="68">
        <f>IFERROR(E32/D32,0)</f>
        <v>0.69355115112739529</v>
      </c>
      <c r="H32" s="65">
        <f>SUM(H10:H31)</f>
        <v>129770494.49999999</v>
      </c>
      <c r="I32" s="65">
        <f>SUM(I10:I31)</f>
        <v>107215667.51999998</v>
      </c>
      <c r="J32" s="152"/>
      <c r="K32" s="23"/>
    </row>
    <row r="33" spans="1:13" x14ac:dyDescent="0.25">
      <c r="A33" s="154" t="s">
        <v>23</v>
      </c>
      <c r="B33" s="8">
        <f>SUMIFS('PR Report - SOBHA AUH'!B$4:B$21,'PR Report - SOBHA AUH'!$A$4:$A$21,$A33)</f>
        <v>0</v>
      </c>
      <c r="C33" s="8">
        <f>SUMIFS('PR Report - SOBHA AUH'!C$4:C$21,'PR Report - SOBHA AUH'!$A$4:$A$21,$A$33)</f>
        <v>0</v>
      </c>
      <c r="D33" s="8">
        <f>SUMIFS('PR Report - SOBHA AUH'!D$4:D$21,'PR Report - SOBHA AUH'!$A$4:$A$21,$A$33)</f>
        <v>0</v>
      </c>
      <c r="E33" s="8">
        <f>SUMIFS('PR Report - SOBHA AUH'!E$4:E$21,'PR Report - SOBHA AUH'!$A$4:$A$21,$A$33)</f>
        <v>0</v>
      </c>
      <c r="F33" s="8">
        <f>SUMIFS('PR Report - SOBHA AUH'!F$4:F$21,'PR Report - SOBHA AUH'!$A$4:$A$21,$A$33)</f>
        <v>0</v>
      </c>
      <c r="G33" s="151">
        <f t="shared" si="0"/>
        <v>0</v>
      </c>
      <c r="H33" s="8">
        <f>SUMIFS('PR Report - SOBHA AUH'!H$4:H$21,'PR Report - SOBHA AUH'!$A$4:$A$21,$A$33)</f>
        <v>0</v>
      </c>
      <c r="I33" s="8">
        <f>SUMIFS('PR Report - SOBHA AUH'!I$4:I$21,'PR Report - SOBHA AUH'!$A$4:$A$21,$A$33)</f>
        <v>0</v>
      </c>
      <c r="J33" s="152"/>
      <c r="K33" s="23"/>
    </row>
    <row r="34" spans="1:13" x14ac:dyDescent="0.25">
      <c r="A34" s="154" t="s">
        <v>13</v>
      </c>
      <c r="B34" s="8">
        <f>SUMIFS('PR Report - SOBHA AUH'!B$4:B$21,'PR Report - SOBHA AUH'!$A$4:$A$21,$A34)</f>
        <v>0</v>
      </c>
      <c r="C34" s="8">
        <f>SUMIFS('PR Report - SOBHA AUH'!C$4:C$21,'PR Report - SOBHA AUH'!$A$4:$A$21,$A34)</f>
        <v>0</v>
      </c>
      <c r="D34" s="8">
        <f>SUMIFS('PR Report - SOBHA AUH'!D$4:D$21,'PR Report - SOBHA AUH'!$A$4:$A$21,$A34)</f>
        <v>0</v>
      </c>
      <c r="E34" s="8">
        <f>SUMIFS('PR Report - SOBHA AUH'!E$4:E$21,'PR Report - SOBHA AUH'!$A$4:$A$21,$A34)</f>
        <v>0</v>
      </c>
      <c r="F34" s="8">
        <f>SUMIFS('PR Report - SOBHA AUH'!F$4:F$21,'PR Report - SOBHA AUH'!$A$4:$A$21,$A34)</f>
        <v>0</v>
      </c>
      <c r="G34" s="155">
        <f t="shared" si="0"/>
        <v>0</v>
      </c>
      <c r="H34" s="8">
        <f>SUMIFS('PR Report - SOBHA AUH'!H$4:H$21,'PR Report - SOBHA AUH'!$A$4:$A$21,$A34)</f>
        <v>559683</v>
      </c>
      <c r="I34" s="8">
        <f>SUMIFS('PR Report - SOBHA AUH'!I$4:I$21,'PR Report - SOBHA AUH'!$A$4:$A$21,$A34)</f>
        <v>0</v>
      </c>
      <c r="J34" s="152"/>
      <c r="K34" s="23"/>
    </row>
    <row r="35" spans="1:13" x14ac:dyDescent="0.25">
      <c r="A35" s="154" t="s">
        <v>19</v>
      </c>
      <c r="B35" s="8">
        <f>SUMIFS('PR Report - SOBHA AUH'!B$4:B$21,'PR Report - SOBHA AUH'!$A$4:$A$21,$A35)</f>
        <v>0</v>
      </c>
      <c r="C35" s="8">
        <f>SUMIFS('PR Report - SOBHA AUH'!C$4:C$21,'PR Report - SOBHA AUH'!$A$4:$A$21,$A35)</f>
        <v>0</v>
      </c>
      <c r="D35" s="8">
        <f>SUMIFS('PR Report - SOBHA AUH'!D$4:D$21,'PR Report - SOBHA AUH'!$A$4:$A$21,$A35)</f>
        <v>0</v>
      </c>
      <c r="E35" s="8">
        <f>SUMIFS('PR Report - SOBHA AUH'!E$4:E$21,'PR Report - SOBHA AUH'!$A$4:$A$21,$A35)</f>
        <v>0</v>
      </c>
      <c r="F35" s="8">
        <f>SUMIFS('PR Report - SOBHA AUH'!F$4:F$21,'PR Report - SOBHA AUH'!$A$4:$A$21,$A35)</f>
        <v>0</v>
      </c>
      <c r="G35" s="155">
        <f t="shared" si="0"/>
        <v>0</v>
      </c>
      <c r="H35" s="8">
        <f>SUMIFS('PR Report - SOBHA AUH'!H$4:H$21,'PR Report - SOBHA AUH'!$A$4:$A$21,$A35)</f>
        <v>0</v>
      </c>
      <c r="I35" s="8">
        <f>SUMIFS('PR Report - SOBHA AUH'!I$4:I$21,'PR Report - SOBHA AUH'!$A$4:$A$21,$A35)</f>
        <v>0</v>
      </c>
      <c r="J35" s="152"/>
      <c r="K35" s="23"/>
    </row>
    <row r="36" spans="1:13" x14ac:dyDescent="0.25">
      <c r="A36" s="64" t="s">
        <v>80</v>
      </c>
      <c r="B36" s="65">
        <f>SUM(B33:B35)</f>
        <v>0</v>
      </c>
      <c r="C36" s="65">
        <f t="shared" ref="C36:I36" si="1">SUM(C33:C35)</f>
        <v>0</v>
      </c>
      <c r="D36" s="65">
        <f t="shared" si="1"/>
        <v>0</v>
      </c>
      <c r="E36" s="65">
        <f t="shared" si="1"/>
        <v>0</v>
      </c>
      <c r="F36" s="65">
        <f t="shared" si="1"/>
        <v>0</v>
      </c>
      <c r="G36" s="65">
        <f t="shared" si="1"/>
        <v>0</v>
      </c>
      <c r="H36" s="65">
        <f t="shared" si="1"/>
        <v>559683</v>
      </c>
      <c r="I36" s="65">
        <f t="shared" si="1"/>
        <v>0</v>
      </c>
      <c r="J36" s="152"/>
      <c r="K36" s="23"/>
    </row>
    <row r="37" spans="1:13" x14ac:dyDescent="0.25">
      <c r="A37" s="156" t="s">
        <v>58</v>
      </c>
      <c r="B37" s="157">
        <f>SUM(B32,B9,B36)</f>
        <v>61723359.058823533</v>
      </c>
      <c r="C37" s="157">
        <f t="shared" ref="C37:I37" si="2">SUM(C32,C9,C36)</f>
        <v>41936917.059999995</v>
      </c>
      <c r="D37" s="157">
        <f t="shared" si="2"/>
        <v>308616795.29411763</v>
      </c>
      <c r="E37" s="157">
        <f t="shared" si="2"/>
        <v>217333793.38000003</v>
      </c>
      <c r="F37" s="157">
        <f t="shared" si="2"/>
        <v>1049297104</v>
      </c>
      <c r="G37" s="158">
        <f>IFERROR((E37)/(D37),0)</f>
        <v>0.70421894301921195</v>
      </c>
      <c r="H37" s="157">
        <f>SUM(H32,H9,H36)</f>
        <v>155473115.98999998</v>
      </c>
      <c r="I37" s="157">
        <f t="shared" si="2"/>
        <v>125778592.84999998</v>
      </c>
      <c r="J37" s="152"/>
      <c r="K37" s="23"/>
    </row>
    <row r="38" spans="1:13" x14ac:dyDescent="0.25">
      <c r="A38" s="6" t="s">
        <v>37</v>
      </c>
      <c r="B38" s="6"/>
      <c r="C38" s="6"/>
      <c r="D38" s="6"/>
      <c r="E38" s="6"/>
      <c r="F38" s="6"/>
      <c r="G38" s="6"/>
      <c r="H38" s="6"/>
      <c r="I38" s="6"/>
      <c r="J38" s="152"/>
      <c r="K38" s="23"/>
    </row>
    <row r="39" spans="1:13" x14ac:dyDescent="0.25">
      <c r="A39" s="70" t="s">
        <v>38</v>
      </c>
      <c r="B39" s="8">
        <f>SUMIFS('PR Report - DOWNTOWN'!B$25:B$35,'PR Report - DOWNTOWN'!$A$25:$A$35,$A39)+SUMIFS('PR Report - SINIYA'!B$24:B$34,'PR Report - SINIYA'!$A$24:$A$34,$A39)</f>
        <v>0</v>
      </c>
      <c r="C39" s="8">
        <f>SUMIFS('PR Report - DOWNTOWN'!C$25:C$35,'PR Report - DOWNTOWN'!$A$25:$A$35,$A39)+SUMIFS('PR Report - SINIYA'!C$24:C$34,'PR Report - SINIYA'!$A$24:$A$34,$A39)</f>
        <v>0</v>
      </c>
      <c r="D39" s="8">
        <f>SUMIFS('PR Report - DOWNTOWN'!D$25:D$35,'PR Report - DOWNTOWN'!$A$25:$A$35,$A39)+SUMIFS('PR Report - SINIYA'!D$24:D$34,'PR Report - SINIYA'!$A$24:$A$34,$A39)</f>
        <v>0</v>
      </c>
      <c r="E39" s="8">
        <f>SUMIFS('PR Report - DOWNTOWN'!E$25:E$35,'PR Report - DOWNTOWN'!$A$25:$A$35,$A39)+SUMIFS('PR Report - SINIYA'!E$24:E$34,'PR Report - SINIYA'!$A$24:$A$34,$A39)</f>
        <v>216912</v>
      </c>
      <c r="F39" s="8">
        <f>SUMIFS('PR Report - DOWNTOWN'!F$25:F$35,'PR Report - DOWNTOWN'!$A$25:$A$35,$A39)+SUMIFS('PR Report - SINIYA'!F$24:F$34,'PR Report - SINIYA'!$A$24:$A$34,$A39)</f>
        <v>0</v>
      </c>
      <c r="G39" s="151">
        <f t="shared" ref="G39:G69" si="3">IFERROR(E39/D39,0)</f>
        <v>0</v>
      </c>
      <c r="H39" s="8">
        <f>SUMIFS('PR Report - DOWNTOWN'!H$25:H$35,'PR Report - DOWNTOWN'!$A$25:$A$35,$A39)+SUMIFS('PR Report - SINIYA'!H$24:H$34,'PR Report - SINIYA'!$A$24:$A$34,$A39)</f>
        <v>288016</v>
      </c>
      <c r="I39" s="8">
        <f>SUMIFS('PR Report - DOWNTOWN'!I$25:I$35,'PR Report - DOWNTOWN'!$A$25:$A$35,$A39)+SUMIFS('PR Report - SINIYA'!I$24:I$34,'PR Report - SINIYA'!$A$24:$A$34,$A39)</f>
        <v>0</v>
      </c>
      <c r="J39" s="152"/>
      <c r="K39" s="23"/>
    </row>
    <row r="40" spans="1:13" x14ac:dyDescent="0.25">
      <c r="A40" s="70" t="s">
        <v>39</v>
      </c>
      <c r="B40" s="8">
        <f>SUMIFS('PR Report - DOWNTOWN'!B$25:B$35,'PR Report - DOWNTOWN'!$A$25:$A$35,$A40)+SUMIFS('PR Report - SINIYA'!B$24:B$34,'PR Report - SINIYA'!$A$24:$A$34,$A40)</f>
        <v>0</v>
      </c>
      <c r="C40" s="8">
        <f>SUMIFS('PR Report - DOWNTOWN'!C$25:C$35,'PR Report - DOWNTOWN'!$A$25:$A$35,$A40)+SUMIFS('PR Report - SINIYA'!C$24:C$34,'PR Report - SINIYA'!$A$24:$A$34,$A40)</f>
        <v>0</v>
      </c>
      <c r="D40" s="8">
        <f>SUMIFS('PR Report - DOWNTOWN'!D$25:D$35,'PR Report - DOWNTOWN'!$A$25:$A$35,$A40)+SUMIFS('PR Report - SINIYA'!D$24:D$34,'PR Report - SINIYA'!$A$24:$A$34,$A40)</f>
        <v>0</v>
      </c>
      <c r="E40" s="8">
        <f>SUMIFS('PR Report - DOWNTOWN'!E$25:E$35,'PR Report - DOWNTOWN'!$A$25:$A$35,$A40)+SUMIFS('PR Report - SINIYA'!E$24:E$34,'PR Report - SINIYA'!$A$24:$A$34,$A40)</f>
        <v>0</v>
      </c>
      <c r="F40" s="8">
        <f>SUMIFS('PR Report - DOWNTOWN'!F$25:F$35,'PR Report - DOWNTOWN'!$A$25:$A$35,$A40)+SUMIFS('PR Report - SINIYA'!F$24:F$34,'PR Report - SINIYA'!$A$24:$A$34,$A40)</f>
        <v>0</v>
      </c>
      <c r="G40" s="151">
        <f t="shared" si="3"/>
        <v>0</v>
      </c>
      <c r="H40" s="8">
        <f>SUMIFS('PR Report - DOWNTOWN'!H$25:H$35,'PR Report - DOWNTOWN'!$A$25:$A$35,$A40)+SUMIFS('PR Report - SINIYA'!H$24:H$34,'PR Report - SINIYA'!$A$24:$A$34,$A40)</f>
        <v>0</v>
      </c>
      <c r="I40" s="8">
        <f>SUMIFS('PR Report - DOWNTOWN'!I$25:I$35,'PR Report - DOWNTOWN'!$A$25:$A$35,$A40)+SUMIFS('PR Report - SINIYA'!I$24:I$34,'PR Report - SINIYA'!$A$24:$A$34,$A40)</f>
        <v>0</v>
      </c>
      <c r="J40" s="152"/>
      <c r="K40" s="23"/>
    </row>
    <row r="41" spans="1:13" x14ac:dyDescent="0.25">
      <c r="A41" s="70" t="s">
        <v>40</v>
      </c>
      <c r="B41" s="8">
        <f>SUMIFS('PR Report - DOWNTOWN'!B$25:B$35,'PR Report - DOWNTOWN'!$A$25:$A$35,$A41)+SUMIFS('PR Report - SINIYA'!B$24:B$34,'PR Report - SINIYA'!$A$24:$A$34,$A41)</f>
        <v>0</v>
      </c>
      <c r="C41" s="8">
        <f>SUMIFS('PR Report - DOWNTOWN'!C$25:C$35,'PR Report - DOWNTOWN'!$A$25:$A$35,$A41)+SUMIFS('PR Report - SINIYA'!C$24:C$34,'PR Report - SINIYA'!$A$24:$A$34,$A41)</f>
        <v>0</v>
      </c>
      <c r="D41" s="8">
        <f>SUMIFS('PR Report - DOWNTOWN'!D$25:D$35,'PR Report - DOWNTOWN'!$A$25:$A$35,$A41)+SUMIFS('PR Report - SINIYA'!D$24:D$34,'PR Report - SINIYA'!$A$24:$A$34,$A41)</f>
        <v>0</v>
      </c>
      <c r="E41" s="8">
        <f>SUMIFS('PR Report - DOWNTOWN'!E$25:E$35,'PR Report - DOWNTOWN'!$A$25:$A$35,$A41)+SUMIFS('PR Report - SINIYA'!E$24:E$34,'PR Report - SINIYA'!$A$24:$A$34,$A41)</f>
        <v>0</v>
      </c>
      <c r="F41" s="8">
        <f>SUMIFS('PR Report - DOWNTOWN'!F$25:F$35,'PR Report - DOWNTOWN'!$A$25:$A$35,$A41)+SUMIFS('PR Report - SINIYA'!F$24:F$34,'PR Report - SINIYA'!$A$24:$A$34,$A41)</f>
        <v>0</v>
      </c>
      <c r="G41" s="151">
        <f t="shared" si="3"/>
        <v>0</v>
      </c>
      <c r="H41" s="8">
        <f>SUMIFS('PR Report - DOWNTOWN'!H$25:H$35,'PR Report - DOWNTOWN'!$A$25:$A$35,$A41)+SUMIFS('PR Report - SINIYA'!H$24:H$34,'PR Report - SINIYA'!$A$24:$A$34,$A41)</f>
        <v>0</v>
      </c>
      <c r="I41" s="8">
        <f>SUMIFS('PR Report - DOWNTOWN'!I$25:I$35,'PR Report - DOWNTOWN'!$A$25:$A$35,$A41)+SUMIFS('PR Report - SINIYA'!I$24:I$34,'PR Report - SINIYA'!$A$24:$A$34,$A41)</f>
        <v>0</v>
      </c>
      <c r="J41" s="152"/>
      <c r="K41" s="23"/>
    </row>
    <row r="42" spans="1:13" x14ac:dyDescent="0.25">
      <c r="A42" s="70" t="s">
        <v>41</v>
      </c>
      <c r="B42" s="8">
        <f>SUMIFS('PR Report - DOWNTOWN'!B$25:B$35,'PR Report - DOWNTOWN'!$A$25:$A$35,$A42)+SUMIFS('PR Report - SINIYA'!B$24:B$34,'PR Report - SINIYA'!$A$24:$A$34,$A42)</f>
        <v>0</v>
      </c>
      <c r="C42" s="8">
        <f>SUMIFS('PR Report - DOWNTOWN'!C$25:C$35,'PR Report - DOWNTOWN'!$A$25:$A$35,$A42)+SUMIFS('PR Report - SINIYA'!C$24:C$34,'PR Report - SINIYA'!$A$24:$A$34,$A42)</f>
        <v>0</v>
      </c>
      <c r="D42" s="8">
        <f>SUMIFS('PR Report - DOWNTOWN'!D$25:D$35,'PR Report - DOWNTOWN'!$A$25:$A$35,$A42)+SUMIFS('PR Report - SINIYA'!D$24:D$34,'PR Report - SINIYA'!$A$24:$A$34,$A42)</f>
        <v>0</v>
      </c>
      <c r="E42" s="8">
        <f>SUMIFS('PR Report - DOWNTOWN'!E$25:E$35,'PR Report - DOWNTOWN'!$A$25:$A$35,$A42)+SUMIFS('PR Report - SINIYA'!E$24:E$34,'PR Report - SINIYA'!$A$24:$A$34,$A42)</f>
        <v>0</v>
      </c>
      <c r="F42" s="8">
        <f>SUMIFS('PR Report - DOWNTOWN'!F$25:F$35,'PR Report - DOWNTOWN'!$A$25:$A$35,$A42)+SUMIFS('PR Report - SINIYA'!F$24:F$34,'PR Report - SINIYA'!$A$24:$A$34,$A42)</f>
        <v>0</v>
      </c>
      <c r="G42" s="151">
        <f t="shared" si="3"/>
        <v>0</v>
      </c>
      <c r="H42" s="8">
        <f>SUMIFS('PR Report - DOWNTOWN'!H$25:H$35,'PR Report - DOWNTOWN'!$A$25:$A$35,$A42)+SUMIFS('PR Report - SINIYA'!H$24:H$34,'PR Report - SINIYA'!$A$24:$A$34,$A42)</f>
        <v>0</v>
      </c>
      <c r="I42" s="8">
        <f>SUMIFS('PR Report - DOWNTOWN'!I$25:I$35,'PR Report - DOWNTOWN'!$A$25:$A$35,$A42)+SUMIFS('PR Report - SINIYA'!I$24:I$34,'PR Report - SINIYA'!$A$24:$A$34,$A42)</f>
        <v>0</v>
      </c>
      <c r="J42" s="152"/>
      <c r="K42" s="23"/>
    </row>
    <row r="43" spans="1:13" x14ac:dyDescent="0.25">
      <c r="A43" s="54" t="s">
        <v>49</v>
      </c>
      <c r="B43" s="8">
        <f>SUMIFS('PR Report - DOWNTOWN'!B$25:B$35,'PR Report - DOWNTOWN'!$A$25:$A$35,$A43)+SUMIFS('PR Report - SINIYA'!B$24:B$34,'PR Report - SINIYA'!$A$24:$A$34,$A43)</f>
        <v>0</v>
      </c>
      <c r="C43" s="8">
        <f>SUMIFS('PR Report - DOWNTOWN'!C$25:C$35,'PR Report - DOWNTOWN'!$A$25:$A$35,$A43)+SUMIFS('PR Report - SINIYA'!C$24:C$34,'PR Report - SINIYA'!$A$24:$A$34,$A43)</f>
        <v>65000</v>
      </c>
      <c r="D43" s="8">
        <f>SUMIFS('PR Report - DOWNTOWN'!D$25:D$35,'PR Report - DOWNTOWN'!$A$25:$A$35,$A43)+SUMIFS('PR Report - SINIYA'!D$24:D$34,'PR Report - SINIYA'!$A$24:$A$34,$A43)</f>
        <v>0</v>
      </c>
      <c r="E43" s="8">
        <f>SUMIFS('PR Report - DOWNTOWN'!E$25:E$35,'PR Report - DOWNTOWN'!$A$25:$A$35,$A43)+SUMIFS('PR Report - SINIYA'!E$24:E$34,'PR Report - SINIYA'!$A$24:$A$34,$A43)</f>
        <v>389512</v>
      </c>
      <c r="F43" s="8">
        <f>SUMIFS('PR Report - DOWNTOWN'!F$25:F$35,'PR Report - DOWNTOWN'!$A$25:$A$35,$A43)+SUMIFS('PR Report - SINIYA'!F$24:F$34,'PR Report - SINIYA'!$A$24:$A$34,$A43)</f>
        <v>0</v>
      </c>
      <c r="G43" s="151">
        <f t="shared" si="3"/>
        <v>0</v>
      </c>
      <c r="H43" s="8">
        <f>SUMIFS('PR Report - DOWNTOWN'!H$25:H$35,'PR Report - DOWNTOWN'!$A$25:$A$35,$A43)+SUMIFS('PR Report - SINIYA'!H$24:H$34,'PR Report - SINIYA'!$A$24:$A$34,$A43)</f>
        <v>246507.85</v>
      </c>
      <c r="I43" s="8">
        <f>SUMIFS('PR Report - DOWNTOWN'!I$25:I$35,'PR Report - DOWNTOWN'!$A$25:$A$35,$A43)+SUMIFS('PR Report - SINIYA'!I$24:I$34,'PR Report - SINIYA'!$A$24:$A$34,$A43)</f>
        <v>388807.67999999999</v>
      </c>
      <c r="J43" s="152"/>
      <c r="K43" s="159"/>
      <c r="L43" s="160"/>
      <c r="M43" s="160"/>
    </row>
    <row r="44" spans="1:13" x14ac:dyDescent="0.25">
      <c r="A44" s="54" t="s">
        <v>42</v>
      </c>
      <c r="B44" s="8">
        <f>SUMIFS('PR Report - DOWNTOWN'!B$25:B$35,'PR Report - DOWNTOWN'!$A$25:$A$35,$A44)+SUMIFS('PR Report - SINIYA'!B$24:B$34,'PR Report - SINIYA'!$A$24:$A$34,$A44)</f>
        <v>0</v>
      </c>
      <c r="C44" s="8">
        <f>SUMIFS('PR Report - DOWNTOWN'!C$25:C$35,'PR Report - DOWNTOWN'!$A$25:$A$35,$A44)+SUMIFS('PR Report - SINIYA'!C$24:C$34,'PR Report - SINIYA'!$A$24:$A$34,$A44)</f>
        <v>728758</v>
      </c>
      <c r="D44" s="8">
        <f>SUMIFS('PR Report - DOWNTOWN'!D$25:D$35,'PR Report - DOWNTOWN'!$A$25:$A$35,$A44)+SUMIFS('PR Report - SINIYA'!D$24:D$34,'PR Report - SINIYA'!$A$24:$A$34,$A44)</f>
        <v>0</v>
      </c>
      <c r="E44" s="8">
        <f>SUMIFS('PR Report - DOWNTOWN'!E$25:E$35,'PR Report - DOWNTOWN'!$A$25:$A$35,$A44)+SUMIFS('PR Report - SINIYA'!E$24:E$34,'PR Report - SINIYA'!$A$24:$A$34,$A44)</f>
        <v>1360004</v>
      </c>
      <c r="F44" s="8">
        <f>SUMIFS('PR Report - DOWNTOWN'!F$25:F$35,'PR Report - DOWNTOWN'!$A$25:$A$35,$A44)+SUMIFS('PR Report - SINIYA'!F$24:F$34,'PR Report - SINIYA'!$A$24:$A$34,$A44)</f>
        <v>0</v>
      </c>
      <c r="G44" s="151">
        <f t="shared" si="3"/>
        <v>0</v>
      </c>
      <c r="H44" s="8">
        <f>SUMIFS('PR Report - DOWNTOWN'!H$25:H$35,'PR Report - DOWNTOWN'!$A$25:$A$35,$A44)+SUMIFS('PR Report - SINIYA'!H$24:H$34,'PR Report - SINIYA'!$A$24:$A$34,$A44)</f>
        <v>604342</v>
      </c>
      <c r="I44" s="8">
        <f>SUMIFS('PR Report - DOWNTOWN'!I$25:I$35,'PR Report - DOWNTOWN'!$A$25:$A$35,$A44)+SUMIFS('PR Report - SINIYA'!I$24:I$34,'PR Report - SINIYA'!$A$24:$A$34,$A44)</f>
        <v>141386</v>
      </c>
      <c r="J44" s="152"/>
      <c r="K44" s="159"/>
      <c r="L44" s="160"/>
      <c r="M44" s="160"/>
    </row>
    <row r="45" spans="1:13" x14ac:dyDescent="0.25">
      <c r="A45" s="54" t="s">
        <v>43</v>
      </c>
      <c r="B45" s="8">
        <f>SUMIFS('PR Report - DOWNTOWN'!B$25:B$35,'PR Report - DOWNTOWN'!$A$25:$A$35,$A45)+SUMIFS('PR Report - SINIYA'!B$24:B$34,'PR Report - SINIYA'!$A$24:$A$34,$A45)</f>
        <v>0</v>
      </c>
      <c r="C45" s="8">
        <f>SUMIFS('PR Report - DOWNTOWN'!C$25:C$35,'PR Report - DOWNTOWN'!$A$25:$A$35,$A45)+SUMIFS('PR Report - SINIYA'!C$24:C$34,'PR Report - SINIYA'!$A$24:$A$34,$A45)</f>
        <v>0</v>
      </c>
      <c r="D45" s="8">
        <f>SUMIFS('PR Report - DOWNTOWN'!D$25:D$35,'PR Report - DOWNTOWN'!$A$25:$A$35,$A45)+SUMIFS('PR Report - SINIYA'!D$24:D$34,'PR Report - SINIYA'!$A$24:$A$34,$A45)</f>
        <v>0</v>
      </c>
      <c r="E45" s="8">
        <f>SUMIFS('PR Report - DOWNTOWN'!E$25:E$35,'PR Report - DOWNTOWN'!$A$25:$A$35,$A45)+SUMIFS('PR Report - SINIYA'!E$24:E$34,'PR Report - SINIYA'!$A$24:$A$34,$A45)</f>
        <v>0</v>
      </c>
      <c r="F45" s="8">
        <f>SUMIFS('PR Report - DOWNTOWN'!F$25:F$35,'PR Report - DOWNTOWN'!$A$25:$A$35,$A45)+SUMIFS('PR Report - SINIYA'!F$24:F$34,'PR Report - SINIYA'!$A$24:$A$34,$A45)</f>
        <v>0</v>
      </c>
      <c r="G45" s="151">
        <f t="shared" si="3"/>
        <v>0</v>
      </c>
      <c r="H45" s="8">
        <f>SUMIFS('PR Report - DOWNTOWN'!H$25:H$35,'PR Report - DOWNTOWN'!$A$25:$A$35,$A45)+SUMIFS('PR Report - SINIYA'!H$24:H$34,'PR Report - SINIYA'!$A$24:$A$34,$A45)</f>
        <v>35775</v>
      </c>
      <c r="I45" s="8">
        <f>SUMIFS('PR Report - DOWNTOWN'!I$25:I$35,'PR Report - DOWNTOWN'!$A$25:$A$35,$A45)+SUMIFS('PR Report - SINIYA'!I$24:I$34,'PR Report - SINIYA'!$A$24:$A$34,$A45)</f>
        <v>138572</v>
      </c>
      <c r="J45" s="152"/>
      <c r="K45" s="159"/>
      <c r="L45" s="160"/>
      <c r="M45" s="160"/>
    </row>
    <row r="46" spans="1:13" x14ac:dyDescent="0.25">
      <c r="A46" s="70" t="s">
        <v>45</v>
      </c>
      <c r="B46" s="8">
        <f>SUMIFS('PR Report - DOWNTOWN'!B$25:B$35,'PR Report - DOWNTOWN'!$A$25:$A$35,$A46)+SUMIFS('PR Report - SINIYA'!B$24:B$34,'PR Report - SINIYA'!$A$24:$A$34,$A46)</f>
        <v>0</v>
      </c>
      <c r="C46" s="8">
        <f>SUMIFS('PR Report - DOWNTOWN'!C$25:C$35,'PR Report - DOWNTOWN'!$A$25:$A$35,$A46)+SUMIFS('PR Report - SINIYA'!C$24:C$34,'PR Report - SINIYA'!$A$24:$A$34,$A46)</f>
        <v>1747417</v>
      </c>
      <c r="D46" s="8">
        <f>SUMIFS('PR Report - DOWNTOWN'!D$25:D$35,'PR Report - DOWNTOWN'!$A$25:$A$35,$A46)+SUMIFS('PR Report - SINIYA'!D$24:D$34,'PR Report - SINIYA'!$A$24:$A$34,$A46)</f>
        <v>0</v>
      </c>
      <c r="E46" s="8">
        <f>SUMIFS('PR Report - DOWNTOWN'!E$25:E$35,'PR Report - DOWNTOWN'!$A$25:$A$35,$A46)+SUMIFS('PR Report - SINIYA'!E$24:E$34,'PR Report - SINIYA'!$A$24:$A$34,$A46)</f>
        <v>3436611</v>
      </c>
      <c r="F46" s="8">
        <f>SUMIFS('PR Report - DOWNTOWN'!F$25:F$35,'PR Report - DOWNTOWN'!$A$25:$A$35,$A46)+SUMIFS('PR Report - SINIYA'!F$24:F$34,'PR Report - SINIYA'!$A$24:$A$34,$A46)</f>
        <v>0</v>
      </c>
      <c r="G46" s="151">
        <f t="shared" si="3"/>
        <v>0</v>
      </c>
      <c r="H46" s="8">
        <f>SUMIFS('PR Report - DOWNTOWN'!H$25:H$35,'PR Report - DOWNTOWN'!$A$25:$A$35,$A46)+SUMIFS('PR Report - SINIYA'!H$24:H$34,'PR Report - SINIYA'!$A$24:$A$34,$A46)</f>
        <v>2091049</v>
      </c>
      <c r="I46" s="8">
        <f>SUMIFS('PR Report - DOWNTOWN'!I$25:I$35,'PR Report - DOWNTOWN'!$A$25:$A$35,$A46)+SUMIFS('PR Report - SINIYA'!I$24:I$34,'PR Report - SINIYA'!$A$24:$A$34,$A46)</f>
        <v>661137</v>
      </c>
      <c r="J46" s="152"/>
      <c r="K46" s="159"/>
      <c r="L46" s="160"/>
      <c r="M46" s="160"/>
    </row>
    <row r="47" spans="1:13" x14ac:dyDescent="0.25">
      <c r="A47" s="54" t="s">
        <v>46</v>
      </c>
      <c r="B47" s="8">
        <f>SUMIFS('PR Report - DOWNTOWN'!B$25:B$35,'PR Report - DOWNTOWN'!$A$25:$A$35,$A47)+SUMIFS('PR Report - SINIYA'!B$24:B$34,'PR Report - SINIYA'!$A$24:$A$34,$A47)</f>
        <v>0</v>
      </c>
      <c r="C47" s="8">
        <f>SUMIFS('PR Report - DOWNTOWN'!C$25:C$35,'PR Report - DOWNTOWN'!$A$25:$A$35,$A47)+SUMIFS('PR Report - SINIYA'!C$24:C$34,'PR Report - SINIYA'!$A$24:$A$34,$A47)</f>
        <v>0</v>
      </c>
      <c r="D47" s="8">
        <f>SUMIFS('PR Report - DOWNTOWN'!D$25:D$35,'PR Report - DOWNTOWN'!$A$25:$A$35,$A47)+SUMIFS('PR Report - SINIYA'!D$24:D$34,'PR Report - SINIYA'!$A$24:$A$34,$A47)</f>
        <v>0</v>
      </c>
      <c r="E47" s="8">
        <f>SUMIFS('PR Report - DOWNTOWN'!E$25:E$35,'PR Report - DOWNTOWN'!$A$25:$A$35,$A47)+SUMIFS('PR Report - SINIYA'!E$24:E$34,'PR Report - SINIYA'!$A$24:$A$34,$A47)</f>
        <v>0</v>
      </c>
      <c r="F47" s="8">
        <f>SUMIFS('PR Report - DOWNTOWN'!F$25:F$35,'PR Report - DOWNTOWN'!$A$25:$A$35,$A47)+SUMIFS('PR Report - SINIYA'!F$24:F$34,'PR Report - SINIYA'!$A$24:$A$34,$A47)</f>
        <v>0</v>
      </c>
      <c r="G47" s="151">
        <f t="shared" si="3"/>
        <v>0</v>
      </c>
      <c r="H47" s="8">
        <f>SUMIFS('PR Report - DOWNTOWN'!H$25:H$35,'PR Report - DOWNTOWN'!$A$25:$A$35,$A47)+SUMIFS('PR Report - SINIYA'!H$24:H$34,'PR Report - SINIYA'!$A$24:$A$34,$A47)</f>
        <v>0</v>
      </c>
      <c r="I47" s="8">
        <f>SUMIFS('PR Report - DOWNTOWN'!I$25:I$35,'PR Report - DOWNTOWN'!$A$25:$A$35,$A47)+SUMIFS('PR Report - SINIYA'!I$24:I$34,'PR Report - SINIYA'!$A$24:$A$34,$A47)</f>
        <v>0</v>
      </c>
      <c r="J47" s="152"/>
      <c r="K47" s="159"/>
      <c r="L47" s="160"/>
      <c r="M47" s="160"/>
    </row>
    <row r="48" spans="1:13" x14ac:dyDescent="0.25">
      <c r="A48" s="54" t="s">
        <v>48</v>
      </c>
      <c r="B48" s="8">
        <f>SUMIFS('PR Report - DOWNTOWN'!B$25:B$35,'PR Report - DOWNTOWN'!$A$25:$A$35,$A48)+SUMIFS('PR Report - SINIYA'!B$24:B$34,'PR Report - SINIYA'!$A$24:$A$34,$A48)</f>
        <v>0</v>
      </c>
      <c r="C48" s="8">
        <f>SUMIFS('PR Report - DOWNTOWN'!C$25:C$35,'PR Report - DOWNTOWN'!$A$25:$A$35,$A48)+SUMIFS('PR Report - SINIYA'!C$24:C$34,'PR Report - SINIYA'!$A$24:$A$34,$A48)</f>
        <v>522609</v>
      </c>
      <c r="D48" s="8">
        <f>SUMIFS('PR Report - DOWNTOWN'!D$25:D$35,'PR Report - DOWNTOWN'!$A$25:$A$35,$A48)+SUMIFS('PR Report - SINIYA'!D$24:D$34,'PR Report - SINIYA'!$A$24:$A$34,$A48)</f>
        <v>0</v>
      </c>
      <c r="E48" s="8">
        <f>SUMIFS('PR Report - DOWNTOWN'!E$25:E$35,'PR Report - DOWNTOWN'!$A$25:$A$35,$A48)+SUMIFS('PR Report - SINIYA'!E$24:E$34,'PR Report - SINIYA'!$A$24:$A$34,$A48)</f>
        <v>1228490</v>
      </c>
      <c r="F48" s="8">
        <f>SUMIFS('PR Report - DOWNTOWN'!F$25:F$35,'PR Report - DOWNTOWN'!$A$25:$A$35,$A48)+SUMIFS('PR Report - SINIYA'!F$24:F$34,'PR Report - SINIYA'!$A$24:$A$34,$A48)</f>
        <v>0</v>
      </c>
      <c r="G48" s="151">
        <f t="shared" si="3"/>
        <v>0</v>
      </c>
      <c r="H48" s="8">
        <f>SUMIFS('PR Report - DOWNTOWN'!H$25:H$35,'PR Report - DOWNTOWN'!$A$25:$A$35,$A48)+SUMIFS('PR Report - SINIYA'!H$24:H$34,'PR Report - SINIYA'!$A$24:$A$34,$A48)</f>
        <v>749881</v>
      </c>
      <c r="I48" s="8">
        <f>SUMIFS('PR Report - DOWNTOWN'!I$25:I$35,'PR Report - DOWNTOWN'!$A$25:$A$35,$A48)+SUMIFS('PR Report - SINIYA'!I$24:I$34,'PR Report - SINIYA'!$A$24:$A$34,$A48)</f>
        <v>0</v>
      </c>
      <c r="J48" s="152"/>
      <c r="K48" s="159"/>
      <c r="L48" s="160"/>
      <c r="M48" s="160"/>
    </row>
    <row r="49" spans="1:13" x14ac:dyDescent="0.25">
      <c r="A49" s="54" t="s">
        <v>47</v>
      </c>
      <c r="B49" s="8">
        <f>SUMIFS('PR Report - DOWNTOWN'!B$25:B$35,'PR Report - DOWNTOWN'!$A$25:$A$35,$A49)+SUMIFS('PR Report - SINIYA'!B$24:B$34,'PR Report - SINIYA'!$A$24:$A$34,$A49)</f>
        <v>0</v>
      </c>
      <c r="C49" s="8">
        <f>SUMIFS('PR Report - DOWNTOWN'!C$25:C$35,'PR Report - DOWNTOWN'!$A$25:$A$35,$A49)+SUMIFS('PR Report - SINIYA'!C$24:C$34,'PR Report - SINIYA'!$A$24:$A$34,$A49)</f>
        <v>0</v>
      </c>
      <c r="D49" s="8">
        <f>SUMIFS('PR Report - DOWNTOWN'!D$25:D$35,'PR Report - DOWNTOWN'!$A$25:$A$35,$A49)+SUMIFS('PR Report - SINIYA'!D$24:D$34,'PR Report - SINIYA'!$A$24:$A$34,$A49)</f>
        <v>0</v>
      </c>
      <c r="E49" s="8">
        <f>SUMIFS('PR Report - DOWNTOWN'!E$25:E$35,'PR Report - DOWNTOWN'!$A$25:$A$35,$A49)+SUMIFS('PR Report - SINIYA'!E$24:E$34,'PR Report - SINIYA'!$A$24:$A$34,$A49)</f>
        <v>0</v>
      </c>
      <c r="F49" s="8">
        <f>SUMIFS('PR Report - DOWNTOWN'!F$25:F$35,'PR Report - DOWNTOWN'!$A$25:$A$35,$A49)+SUMIFS('PR Report - SINIYA'!F$24:F$34,'PR Report - SINIYA'!$A$24:$A$34,$A49)</f>
        <v>0</v>
      </c>
      <c r="G49" s="151">
        <f t="shared" si="3"/>
        <v>0</v>
      </c>
      <c r="H49" s="8">
        <f>SUMIFS('PR Report - DOWNTOWN'!H$25:H$35,'PR Report - DOWNTOWN'!$A$25:$A$35,$A49)+SUMIFS('PR Report - SINIYA'!H$24:H$34,'PR Report - SINIYA'!$A$24:$A$34,$A49)</f>
        <v>0</v>
      </c>
      <c r="I49" s="8">
        <f>SUMIFS('PR Report - DOWNTOWN'!I$25:I$35,'PR Report - DOWNTOWN'!$A$25:$A$35,$A49)+SUMIFS('PR Report - SINIYA'!I$24:I$34,'PR Report - SINIYA'!$A$24:$A$34,$A49)</f>
        <v>0</v>
      </c>
      <c r="J49" s="152"/>
      <c r="K49" s="159"/>
      <c r="L49" s="160"/>
      <c r="M49" s="160"/>
    </row>
    <row r="50" spans="1:13" x14ac:dyDescent="0.25">
      <c r="A50" s="70" t="s">
        <v>44</v>
      </c>
      <c r="B50" s="8">
        <f>SUMIFS('PR Report - DOWNTOWN'!B$25:B$35,'PR Report - DOWNTOWN'!$A$25:$A$35,$A50)+SUMIFS('PR Report - SINIYA'!B$24:B$34,'PR Report - SINIYA'!$A$24:$A$34,$A50)</f>
        <v>0</v>
      </c>
      <c r="C50" s="8">
        <f>SUMIFS('PR Report - DOWNTOWN'!C$25:C$35,'PR Report - DOWNTOWN'!$A$25:$A$35,$A50)+SUMIFS('PR Report - SINIYA'!C$24:C$34,'PR Report - SINIYA'!$A$24:$A$34,$A50)</f>
        <v>0</v>
      </c>
      <c r="D50" s="8">
        <f>SUMIFS('PR Report - DOWNTOWN'!D$25:D$35,'PR Report - DOWNTOWN'!$A$25:$A$35,$A50)+SUMIFS('PR Report - SINIYA'!D$24:D$34,'PR Report - SINIYA'!$A$24:$A$34,$A50)</f>
        <v>0</v>
      </c>
      <c r="E50" s="8">
        <f>SUMIFS('PR Report - DOWNTOWN'!E$25:E$35,'PR Report - DOWNTOWN'!$A$25:$A$35,$A50)+SUMIFS('PR Report - SINIYA'!E$24:E$34,'PR Report - SINIYA'!$A$24:$A$34,$A50)</f>
        <v>1781697</v>
      </c>
      <c r="F50" s="8">
        <f>SUMIFS('PR Report - DOWNTOWN'!F$25:F$35,'PR Report - DOWNTOWN'!$A$25:$A$35,$A50)+SUMIFS('PR Report - SINIYA'!F$24:F$34,'PR Report - SINIYA'!$A$24:$A$34,$A50)</f>
        <v>0</v>
      </c>
      <c r="G50" s="151">
        <f t="shared" si="3"/>
        <v>0</v>
      </c>
      <c r="H50" s="8">
        <f>SUMIFS('PR Report - DOWNTOWN'!H$25:H$35,'PR Report - DOWNTOWN'!$A$25:$A$35,$A50)+SUMIFS('PR Report - SINIYA'!H$24:H$34,'PR Report - SINIYA'!$A$24:$A$34,$A50)</f>
        <v>40000</v>
      </c>
      <c r="I50" s="8">
        <f>SUMIFS('PR Report - DOWNTOWN'!I$25:I$35,'PR Report - DOWNTOWN'!$A$25:$A$35,$A50)+SUMIFS('PR Report - SINIYA'!I$24:I$34,'PR Report - SINIYA'!$A$24:$A$34,$A50)</f>
        <v>674242</v>
      </c>
      <c r="J50" s="152"/>
      <c r="K50" s="159"/>
      <c r="L50" s="160"/>
      <c r="M50" s="160"/>
    </row>
    <row r="51" spans="1:13" x14ac:dyDescent="0.25">
      <c r="A51" s="161" t="s">
        <v>12</v>
      </c>
      <c r="B51" s="65">
        <f>SUM(B39:B50)</f>
        <v>0</v>
      </c>
      <c r="C51" s="65">
        <f>SUM(C39:C50)</f>
        <v>3063784</v>
      </c>
      <c r="D51" s="65">
        <f>SUM(D39:D50)</f>
        <v>0</v>
      </c>
      <c r="E51" s="65">
        <f>SUM(E39:E50)</f>
        <v>8413226</v>
      </c>
      <c r="F51" s="65">
        <f>SUM(F39:F50)</f>
        <v>0</v>
      </c>
      <c r="G51" s="68">
        <f t="shared" si="3"/>
        <v>0</v>
      </c>
      <c r="H51" s="65">
        <f>SUM(H39:H50)</f>
        <v>4055570.85</v>
      </c>
      <c r="I51" s="65">
        <f>SUM(I39:I50)</f>
        <v>2004144.68</v>
      </c>
      <c r="J51" s="152"/>
      <c r="K51" s="159"/>
      <c r="L51" s="160"/>
      <c r="M51" s="160"/>
    </row>
    <row r="52" spans="1:13" x14ac:dyDescent="0.25">
      <c r="A52" s="70" t="s">
        <v>38</v>
      </c>
      <c r="B52" s="8">
        <f>SUMIFS('PR Report - SOBHA '!B$29:B$40,'PR Report - SOBHA '!$A$29:$A$40,$A52)</f>
        <v>0</v>
      </c>
      <c r="C52" s="8">
        <f>SUMIFS('PR Report - SOBHA '!C$29:C$40,'PR Report - SOBHA '!$A$29:$A$40,$A52)</f>
        <v>1000000</v>
      </c>
      <c r="D52" s="8">
        <f>SUMIFS('PR Report - SOBHA '!D$29:D$40,'PR Report - SOBHA '!$A$29:$A$40,$A52)</f>
        <v>0</v>
      </c>
      <c r="E52" s="8">
        <f>SUMIFS('PR Report - SOBHA '!E$29:E$40,'PR Report - SOBHA '!$A$29:$A$40,$A52)</f>
        <v>4310770</v>
      </c>
      <c r="F52" s="8">
        <f>SUMIFS('PR Report - SOBHA '!F$29:F$40,'PR Report - SOBHA '!$A$29:$A$40,$A52)</f>
        <v>0</v>
      </c>
      <c r="G52" s="151">
        <f t="shared" si="3"/>
        <v>0</v>
      </c>
      <c r="H52" s="8">
        <f>SUMIFS('PR Report - SOBHA '!$H$29:$H$40,'PR Report - SOBHA '!$A$29:$A$40,$A52)</f>
        <v>3073221</v>
      </c>
      <c r="I52" s="8">
        <f>SUMIFS('PR Report - SOBHA '!$I$29:$I$40,'PR Report - SOBHA '!$A$29:$A$40,$A52)</f>
        <v>1563457</v>
      </c>
      <c r="J52" s="152"/>
      <c r="K52" s="159"/>
      <c r="L52" s="160"/>
      <c r="M52" s="160"/>
    </row>
    <row r="53" spans="1:13" x14ac:dyDescent="0.25">
      <c r="A53" s="70" t="s">
        <v>39</v>
      </c>
      <c r="B53" s="8">
        <f>SUMIFS('PR Report - SOBHA '!B$29:B$40,'PR Report - SOBHA '!$A$29:$A$40,$A53)</f>
        <v>0</v>
      </c>
      <c r="C53" s="8">
        <f>SUMIFS('PR Report - SOBHA '!C$29:C$40,'PR Report - SOBHA '!$A$29:$A$40,$A53)</f>
        <v>2511878</v>
      </c>
      <c r="D53" s="8">
        <f>SUMIFS('PR Report - SOBHA '!D$29:D$40,'PR Report - SOBHA '!$A$29:$A$40,$A53)</f>
        <v>0</v>
      </c>
      <c r="E53" s="8">
        <f>SUMIFS('PR Report - SOBHA '!E$29:E$40,'PR Report - SOBHA '!$A$29:$A$40,$A53)</f>
        <v>11913055</v>
      </c>
      <c r="F53" s="8">
        <f>SUMIFS('PR Report - SOBHA '!F$29:F$40,'PR Report - SOBHA '!$A$29:$A$40,$A53)</f>
        <v>0</v>
      </c>
      <c r="G53" s="151">
        <f t="shared" si="3"/>
        <v>0</v>
      </c>
      <c r="H53" s="8">
        <f>SUMIFS('PR Report - SOBHA '!$H$29:$H$40,'PR Report - SOBHA '!$A$29:$A$40,$A53)</f>
        <v>9493591</v>
      </c>
      <c r="I53" s="8">
        <f>SUMIFS('PR Report - SOBHA '!$I$29:$I$40,'PR Report - SOBHA '!$A$29:$A$40,$A53)</f>
        <v>3599020</v>
      </c>
      <c r="J53" s="152"/>
      <c r="K53" s="159"/>
      <c r="L53" s="160"/>
      <c r="M53" s="160"/>
    </row>
    <row r="54" spans="1:13" x14ac:dyDescent="0.25">
      <c r="A54" s="70" t="s">
        <v>40</v>
      </c>
      <c r="B54" s="8">
        <f>SUMIFS('PR Report - SOBHA '!B$29:B$40,'PR Report - SOBHA '!$A$29:$A$40,$A54)</f>
        <v>0</v>
      </c>
      <c r="C54" s="8">
        <f>SUMIFS('PR Report - SOBHA '!C$29:C$40,'PR Report - SOBHA '!$A$29:$A$40,$A54)</f>
        <v>1000000</v>
      </c>
      <c r="D54" s="8">
        <f>SUMIFS('PR Report - SOBHA '!D$29:D$40,'PR Report - SOBHA '!$A$29:$A$40,$A54)</f>
        <v>0</v>
      </c>
      <c r="E54" s="8">
        <f>SUMIFS('PR Report - SOBHA '!E$29:E$40,'PR Report - SOBHA '!$A$29:$A$40,$A54)</f>
        <v>6358613</v>
      </c>
      <c r="F54" s="8">
        <f>SUMIFS('PR Report - SOBHA '!F$29:F$40,'PR Report - SOBHA '!$A$29:$A$40,$A54)</f>
        <v>0</v>
      </c>
      <c r="G54" s="151">
        <f t="shared" si="3"/>
        <v>0</v>
      </c>
      <c r="H54" s="8">
        <f>SUMIFS('PR Report - SOBHA '!$H$29:$H$40,'PR Report - SOBHA '!$A$29:$A$40,$A54)</f>
        <v>5456392.8599999994</v>
      </c>
      <c r="I54" s="8">
        <f>SUMIFS('PR Report - SOBHA '!$I$29:$I$40,'PR Report - SOBHA '!$A$29:$A$40,$A54)</f>
        <v>973340</v>
      </c>
      <c r="J54" s="152"/>
      <c r="K54" s="159"/>
      <c r="L54" s="160"/>
    </row>
    <row r="55" spans="1:13" x14ac:dyDescent="0.25">
      <c r="A55" s="70" t="s">
        <v>41</v>
      </c>
      <c r="B55" s="8">
        <f>SUMIFS('PR Report - SOBHA '!B$29:B$40,'PR Report - SOBHA '!$A$29:$A$40,$A55)</f>
        <v>0</v>
      </c>
      <c r="C55" s="8">
        <f>SUMIFS('PR Report - SOBHA '!C$29:C$40,'PR Report - SOBHA '!$A$29:$A$40,$A55)</f>
        <v>0</v>
      </c>
      <c r="D55" s="8">
        <f>SUMIFS('PR Report - SOBHA '!D$29:D$40,'PR Report - SOBHA '!$A$29:$A$40,$A55)</f>
        <v>0</v>
      </c>
      <c r="E55" s="8">
        <f>SUMIFS('PR Report - SOBHA '!E$29:E$40,'PR Report - SOBHA '!$A$29:$A$40,$A55)</f>
        <v>0</v>
      </c>
      <c r="F55" s="8">
        <f>SUMIFS('PR Report - SOBHA '!F$29:F$40,'PR Report - SOBHA '!$A$29:$A$40,$A55)</f>
        <v>0</v>
      </c>
      <c r="G55" s="151">
        <f t="shared" si="3"/>
        <v>0</v>
      </c>
      <c r="H55" s="8">
        <f>SUMIFS('PR Report - SOBHA '!$H$29:$H$40,'PR Report - SOBHA '!$A$29:$A$40,$A55)</f>
        <v>0</v>
      </c>
      <c r="I55" s="8">
        <f>SUMIFS('PR Report - SOBHA '!$I$29:$I$40,'PR Report - SOBHA '!$A$29:$A$40,$A55)</f>
        <v>0</v>
      </c>
      <c r="J55" s="152"/>
      <c r="K55" s="159"/>
      <c r="L55" s="160"/>
    </row>
    <row r="56" spans="1:13" x14ac:dyDescent="0.25">
      <c r="A56" s="54" t="s">
        <v>42</v>
      </c>
      <c r="B56" s="8">
        <f>SUMIFS('PR Report - SOBHA '!B$29:B$40,'PR Report - SOBHA '!$A$29:$A$40,$A56)</f>
        <v>0</v>
      </c>
      <c r="C56" s="8">
        <f>SUMIFS('PR Report - SOBHA '!C$29:C$40,'PR Report - SOBHA '!$A$29:$A$40,$A56)</f>
        <v>637266</v>
      </c>
      <c r="D56" s="8">
        <f>SUMIFS('PR Report - SOBHA '!D$29:D$40,'PR Report - SOBHA '!$A$29:$A$40,$A56)</f>
        <v>0</v>
      </c>
      <c r="E56" s="8">
        <f>SUMIFS('PR Report - SOBHA '!E$29:E$40,'PR Report - SOBHA '!$A$29:$A$40,$A56)</f>
        <v>2560947</v>
      </c>
      <c r="F56" s="8">
        <f>SUMIFS('PR Report - SOBHA '!F$29:F$40,'PR Report - SOBHA '!$A$29:$A$40,$A56)</f>
        <v>0</v>
      </c>
      <c r="G56" s="151">
        <f t="shared" si="3"/>
        <v>0</v>
      </c>
      <c r="H56" s="8">
        <f>SUMIFS('PR Report - SOBHA '!$H$29:$H$40,'PR Report - SOBHA '!$A$29:$A$40,$A56)</f>
        <v>4680292.4399999995</v>
      </c>
      <c r="I56" s="8">
        <f>SUMIFS('PR Report - SOBHA '!$I$29:$I$40,'PR Report - SOBHA '!$A$29:$A$40,$A56)</f>
        <v>840912</v>
      </c>
      <c r="J56" s="152"/>
      <c r="K56" s="159"/>
      <c r="L56" s="160"/>
      <c r="M56" s="41"/>
    </row>
    <row r="57" spans="1:13" x14ac:dyDescent="0.25">
      <c r="A57" s="54" t="s">
        <v>46</v>
      </c>
      <c r="B57" s="8">
        <f>SUMIFS('PR Report - SOBHA '!B$29:B$40,'PR Report - SOBHA '!$A$29:$A$40,$A57)</f>
        <v>0</v>
      </c>
      <c r="C57" s="8">
        <f>SUMIFS('PR Report - SOBHA '!C$29:C$40,'PR Report - SOBHA '!$A$29:$A$40,$A57)</f>
        <v>1000129</v>
      </c>
      <c r="D57" s="8">
        <f>SUMIFS('PR Report - SOBHA '!D$29:D$40,'PR Report - SOBHA '!$A$29:$A$40,$A57)</f>
        <v>0</v>
      </c>
      <c r="E57" s="8">
        <f>SUMIFS('PR Report - SOBHA '!E$29:E$40,'PR Report - SOBHA '!$A$29:$A$40,$A57)</f>
        <v>4302140</v>
      </c>
      <c r="F57" s="8">
        <f>SUMIFS('PR Report - SOBHA '!F$29:F$40,'PR Report - SOBHA '!$A$29:$A$40,$A57)</f>
        <v>0</v>
      </c>
      <c r="G57" s="151">
        <f t="shared" si="3"/>
        <v>0</v>
      </c>
      <c r="H57" s="8">
        <f>SUMIFS('PR Report - SOBHA '!$H$29:$H$40,'PR Report - SOBHA '!$A$29:$A$40,$A57)</f>
        <v>1589332</v>
      </c>
      <c r="I57" s="8">
        <f>SUMIFS('PR Report - SOBHA '!$I$29:$I$40,'PR Report - SOBHA '!$A$29:$A$40,$A57)</f>
        <v>900324</v>
      </c>
      <c r="J57" s="152"/>
      <c r="K57" s="159"/>
      <c r="L57" s="160"/>
      <c r="M57" s="41"/>
    </row>
    <row r="58" spans="1:13" x14ac:dyDescent="0.25">
      <c r="A58" s="54" t="s">
        <v>43</v>
      </c>
      <c r="B58" s="8">
        <f>SUMIFS('PR Report - SOBHA '!B$29:B$40,'PR Report - SOBHA '!$A$29:$A$40,$A58)</f>
        <v>0</v>
      </c>
      <c r="C58" s="8">
        <f>SUMIFS('PR Report - SOBHA '!C$29:C$40,'PR Report - SOBHA '!$A$29:$A$40,$A58)</f>
        <v>1000136.41</v>
      </c>
      <c r="D58" s="8">
        <f>SUMIFS('PR Report - SOBHA '!D$29:D$40,'PR Report - SOBHA '!$A$29:$A$40,$A58)</f>
        <v>0</v>
      </c>
      <c r="E58" s="8">
        <f>SUMIFS('PR Report - SOBHA '!E$29:E$40,'PR Report - SOBHA '!$A$29:$A$40,$A58)</f>
        <v>6750185.9700000007</v>
      </c>
      <c r="F58" s="8">
        <f>SUMIFS('PR Report - SOBHA '!F$29:F$40,'PR Report - SOBHA '!$A$29:$A$40,$A58)</f>
        <v>0</v>
      </c>
      <c r="G58" s="151">
        <f t="shared" si="3"/>
        <v>0</v>
      </c>
      <c r="H58" s="8">
        <f>SUMIFS('PR Report - SOBHA '!$H$29:$H$40,'PR Report - SOBHA '!$A$29:$A$40,$A58)</f>
        <v>3920238</v>
      </c>
      <c r="I58" s="8">
        <f>SUMIFS('PR Report - SOBHA '!$I$29:$I$40,'PR Report - SOBHA '!$A$29:$A$40,$A58)</f>
        <v>2292038.6</v>
      </c>
      <c r="J58" s="152"/>
      <c r="K58" s="159"/>
      <c r="L58" s="160"/>
    </row>
    <row r="59" spans="1:13" x14ac:dyDescent="0.25">
      <c r="A59" s="54" t="s">
        <v>44</v>
      </c>
      <c r="B59" s="8">
        <f>SUMIFS('PR Report - SOBHA '!B$29:B$40,'PR Report - SOBHA '!$A$29:$A$40,$A59)</f>
        <v>0</v>
      </c>
      <c r="C59" s="8">
        <f>SUMIFS('PR Report - SOBHA '!C$29:C$40,'PR Report - SOBHA '!$A$29:$A$40,$A59)</f>
        <v>683324</v>
      </c>
      <c r="D59" s="8">
        <f>SUMIFS('PR Report - SOBHA '!D$29:D$40,'PR Report - SOBHA '!$A$29:$A$40,$A59)</f>
        <v>0</v>
      </c>
      <c r="E59" s="8">
        <f>SUMIFS('PR Report - SOBHA '!E$29:E$40,'PR Report - SOBHA '!$A$29:$A$40,$A59)</f>
        <v>1369006</v>
      </c>
      <c r="F59" s="8">
        <f>SUMIFS('PR Report - SOBHA '!F$29:F$40,'PR Report - SOBHA '!$A$29:$A$40,$A59)</f>
        <v>0</v>
      </c>
      <c r="G59" s="151">
        <f t="shared" si="3"/>
        <v>0</v>
      </c>
      <c r="H59" s="8">
        <f>SUMIFS('PR Report - SOBHA '!$H$29:$H$40,'PR Report - SOBHA '!$A$29:$A$40,$A59)</f>
        <v>1237047.04</v>
      </c>
      <c r="I59" s="8">
        <f>SUMIFS('PR Report - SOBHA '!$I$29:$I$40,'PR Report - SOBHA '!$A$29:$A$40,$A59)</f>
        <v>0</v>
      </c>
      <c r="J59" s="152"/>
      <c r="K59" s="159"/>
      <c r="L59" s="160"/>
    </row>
    <row r="60" spans="1:13" x14ac:dyDescent="0.25">
      <c r="A60" s="54" t="s">
        <v>49</v>
      </c>
      <c r="B60" s="8">
        <f>SUMIFS('PR Report - SOBHA '!B$29:B$40,'PR Report - SOBHA '!$A$29:$A$40,$A60)</f>
        <v>0</v>
      </c>
      <c r="C60" s="8">
        <f>SUMIFS('PR Report - SOBHA '!C$29:C$40,'PR Report - SOBHA '!$A$29:$A$40,$A60)</f>
        <v>586308</v>
      </c>
      <c r="D60" s="8">
        <f>SUMIFS('PR Report - SOBHA '!D$29:D$40,'PR Report - SOBHA '!$A$29:$A$40,$A60)</f>
        <v>0</v>
      </c>
      <c r="E60" s="8">
        <f>SUMIFS('PR Report - SOBHA '!E$29:E$40,'PR Report - SOBHA '!$A$29:$A$40,$A60)</f>
        <v>4823726.6100000003</v>
      </c>
      <c r="F60" s="8">
        <f>SUMIFS('PR Report - SOBHA '!F$29:F$40,'PR Report - SOBHA '!$A$29:$A$40,$A60)</f>
        <v>0</v>
      </c>
      <c r="G60" s="151">
        <f t="shared" si="3"/>
        <v>0</v>
      </c>
      <c r="H60" s="8">
        <f>SUMIFS('PR Report - SOBHA '!$H$29:$H$40,'PR Report - SOBHA '!$A$29:$A$40,$A60)</f>
        <v>2924662.74</v>
      </c>
      <c r="I60" s="8">
        <f>SUMIFS('PR Report - SOBHA '!$I$29:$I$40,'PR Report - SOBHA '!$A$29:$A$40,$A60)</f>
        <v>1032657.87</v>
      </c>
      <c r="J60" s="152"/>
      <c r="K60" s="159"/>
      <c r="L60" s="160"/>
    </row>
    <row r="61" spans="1:13" x14ac:dyDescent="0.25">
      <c r="A61" s="54" t="s">
        <v>47</v>
      </c>
      <c r="B61" s="8">
        <f>SUMIFS('PR Report - SOBHA '!B$29:B$40,'PR Report - SOBHA '!$A$29:$A$40,$A61)</f>
        <v>0</v>
      </c>
      <c r="C61" s="8">
        <f>SUMIFS('PR Report - SOBHA '!C$29:C$40,'PR Report - SOBHA '!$A$29:$A$40,$A61)</f>
        <v>1844238</v>
      </c>
      <c r="D61" s="8">
        <f>SUMIFS('PR Report - SOBHA '!D$29:D$40,'PR Report - SOBHA '!$A$29:$A$40,$A61)</f>
        <v>0</v>
      </c>
      <c r="E61" s="8">
        <f>SUMIFS('PR Report - SOBHA '!E$29:E$40,'PR Report - SOBHA '!$A$29:$A$40,$A61)</f>
        <v>5408647.5</v>
      </c>
      <c r="F61" s="8">
        <f>SUMIFS('PR Report - SOBHA '!F$29:F$40,'PR Report - SOBHA '!$A$29:$A$40,$A61)</f>
        <v>0</v>
      </c>
      <c r="G61" s="151">
        <f t="shared" si="3"/>
        <v>0</v>
      </c>
      <c r="H61" s="8">
        <f>SUMIFS('PR Report - SOBHA '!$H$29:$H$40,'PR Report - SOBHA '!$A$29:$A$40,$A61)</f>
        <v>3730663.6599999997</v>
      </c>
      <c r="I61" s="8">
        <f>SUMIFS('PR Report - SOBHA '!$I$29:$I$40,'PR Report - SOBHA '!$A$29:$A$40,$A61)</f>
        <v>1672212</v>
      </c>
      <c r="J61" s="152"/>
      <c r="K61" s="159"/>
      <c r="L61" s="160"/>
    </row>
    <row r="62" spans="1:13" x14ac:dyDescent="0.25">
      <c r="A62" s="54" t="s">
        <v>48</v>
      </c>
      <c r="B62" s="8">
        <f>SUMIFS('PR Report - SOBHA '!B$29:B$40,'PR Report - SOBHA '!$A$29:$A$40,$A62)</f>
        <v>0</v>
      </c>
      <c r="C62" s="8">
        <f>SUMIFS('PR Report - SOBHA '!C$29:C$40,'PR Report - SOBHA '!$A$29:$A$40,$A62)</f>
        <v>1477391</v>
      </c>
      <c r="D62" s="8">
        <f>SUMIFS('PR Report - SOBHA '!D$29:D$40,'PR Report - SOBHA '!$A$29:$A$40,$A62)</f>
        <v>0</v>
      </c>
      <c r="E62" s="8">
        <f>SUMIFS('PR Report - SOBHA '!E$29:E$40,'PR Report - SOBHA '!$A$29:$A$40,$A62)</f>
        <v>9515613</v>
      </c>
      <c r="F62" s="8">
        <f>SUMIFS('PR Report - SOBHA '!F$29:F$40,'PR Report - SOBHA '!$A$29:$A$40,$A62)</f>
        <v>0</v>
      </c>
      <c r="G62" s="151">
        <f t="shared" si="3"/>
        <v>0</v>
      </c>
      <c r="H62" s="8">
        <f>SUMIFS('PR Report - SOBHA '!$H$29:$H$40,'PR Report - SOBHA '!$A$29:$A$40,$A62)</f>
        <v>7291361</v>
      </c>
      <c r="I62" s="8">
        <f>SUMIFS('PR Report - SOBHA '!$I$29:$I$40,'PR Report - SOBHA '!$A$29:$A$40,$A62)</f>
        <v>7149935.5299999993</v>
      </c>
      <c r="J62" s="152"/>
      <c r="K62" s="159"/>
      <c r="L62" s="160"/>
    </row>
    <row r="63" spans="1:13" x14ac:dyDescent="0.25">
      <c r="A63" s="54" t="s">
        <v>45</v>
      </c>
      <c r="B63" s="8">
        <f>SUMIFS('PR Report - SOBHA '!B$29:B$40,'PR Report - SOBHA '!$A$29:$A$40,$A63)</f>
        <v>0</v>
      </c>
      <c r="C63" s="8">
        <f>SUMIFS('PR Report - SOBHA '!C$29:C$40,'PR Report - SOBHA '!$A$29:$A$40,$A63)</f>
        <v>0</v>
      </c>
      <c r="D63" s="8">
        <f>SUMIFS('PR Report - SOBHA '!D$29:D$40,'PR Report - SOBHA '!$A$29:$A$40,$A63)</f>
        <v>0</v>
      </c>
      <c r="E63" s="8">
        <f>SUMIFS('PR Report - SOBHA '!E$29:E$40,'PR Report - SOBHA '!$A$29:$A$40,$A63)</f>
        <v>1143453.56</v>
      </c>
      <c r="F63" s="8">
        <f>SUMIFS('PR Report - SOBHA '!F$29:F$40,'PR Report - SOBHA '!$A$29:$A$40,$A63)</f>
        <v>0</v>
      </c>
      <c r="G63" s="151">
        <f t="shared" si="3"/>
        <v>0</v>
      </c>
      <c r="H63" s="8">
        <f>SUMIFS('PR Report - SOBHA '!$H$29:$H$40,'PR Report - SOBHA '!$A$29:$A$40,$A63)</f>
        <v>561470</v>
      </c>
      <c r="I63" s="8">
        <f>SUMIFS('PR Report - SOBHA '!$I$29:$I$40,'PR Report - SOBHA '!$A$29:$A$40,$A63)</f>
        <v>860483.56</v>
      </c>
      <c r="J63" s="152"/>
      <c r="K63" s="159"/>
      <c r="L63" s="160"/>
    </row>
    <row r="64" spans="1:13" x14ac:dyDescent="0.25">
      <c r="A64" s="64" t="s">
        <v>35</v>
      </c>
      <c r="B64" s="65">
        <f>SUM(B52:B63)</f>
        <v>0</v>
      </c>
      <c r="C64" s="65">
        <f>SUM(C52:C63)</f>
        <v>11740670.41</v>
      </c>
      <c r="D64" s="65">
        <f>SUM(D52:D63)</f>
        <v>0</v>
      </c>
      <c r="E64" s="65">
        <f>SUM(E52:E63)</f>
        <v>58456157.640000001</v>
      </c>
      <c r="F64" s="65">
        <f>SUM(F52:F63)</f>
        <v>0</v>
      </c>
      <c r="G64" s="68">
        <f t="shared" si="3"/>
        <v>0</v>
      </c>
      <c r="H64" s="65">
        <f>SUM(H52:H63)</f>
        <v>43958271.739999995</v>
      </c>
      <c r="I64" s="65">
        <f>SUM(I52:I63)</f>
        <v>20884380.559999999</v>
      </c>
    </row>
    <row r="65" spans="1:9" x14ac:dyDescent="0.25">
      <c r="A65" s="154" t="s">
        <v>42</v>
      </c>
      <c r="B65" s="8">
        <f>SUMIFS('PR Report - SOBHA AUH'!$B$24:$B$34,'PR Report - SOBHA AUH'!$A$24:$A$34,$A65)</f>
        <v>0</v>
      </c>
      <c r="C65" s="8">
        <f>SUMIFS('PR Report - SOBHA AUH'!$C$24:$C$34,'PR Report - SOBHA AUH'!$A$24:$A$34,$A65)</f>
        <v>30000</v>
      </c>
      <c r="D65" s="8">
        <f>SUMIFS('PR Report - SOBHA AUH'!$D$24:$D$34,'PR Report - SOBHA AUH'!$A$24:$A$34,$A65)</f>
        <v>0</v>
      </c>
      <c r="E65" s="8">
        <f>SUMIFS('PR Report - SOBHA AUH'!$E$24:$E$34,'PR Report - SOBHA AUH'!$A$24:$A$34,$A65)</f>
        <v>1253891</v>
      </c>
      <c r="F65" s="8">
        <f>SUMIFS('PR Report - SOBHA AUH'!$F$24:$F$34,'PR Report - SOBHA AUH'!$A$24:$A$34,$A65)</f>
        <v>0</v>
      </c>
      <c r="G65" s="151">
        <f t="shared" si="3"/>
        <v>0</v>
      </c>
      <c r="H65" s="8">
        <f>SUMIFS('PR Report - SOBHA AUH'!$H$24:$H$34,'PR Report - SOBHA AUH'!$A$24:$A$34,$A65)</f>
        <v>782197.82000000007</v>
      </c>
      <c r="I65" s="8">
        <f>SUMIFS('PR Report - SOBHA AUH'!$I$24:$I$34,'PR Report - SOBHA AUH'!$A$24:$A$34,$A65)</f>
        <v>55000</v>
      </c>
    </row>
    <row r="66" spans="1:9" x14ac:dyDescent="0.25">
      <c r="A66" s="154" t="s">
        <v>49</v>
      </c>
      <c r="B66" s="8">
        <f>SUMIFS('PR Report - SOBHA AUH'!$B$24:$B$34,'PR Report - SOBHA AUH'!$A$24:$A$34,$A66)</f>
        <v>0</v>
      </c>
      <c r="C66" s="162">
        <f>SUMIFS('PR Report - SOBHA AUH'!$C$24:$C$34,'PR Report - SOBHA AUH'!$A$24:$A$34,$A66)</f>
        <v>0</v>
      </c>
      <c r="D66" s="162">
        <f>SUMIFS('PR Report - SOBHA AUH'!$D$24:$D$34,'PR Report - SOBHA AUH'!$A$24:$A$34,$A66)</f>
        <v>0</v>
      </c>
      <c r="E66" s="162">
        <f>SUMIFS('PR Report - SOBHA AUH'!$E$24:$E$34,'PR Report - SOBHA AUH'!$A$24:$A$34,$A66)</f>
        <v>0</v>
      </c>
      <c r="F66" s="162">
        <f>SUMIFS('PR Report - SOBHA AUH'!$F$24:$F$34,'PR Report - SOBHA AUH'!$A$24:$A$34,$A66)</f>
        <v>0</v>
      </c>
      <c r="G66" s="155">
        <f t="shared" si="3"/>
        <v>0</v>
      </c>
      <c r="H66" s="162">
        <f>SUMIFS('PR Report - SOBHA AUH'!$H$24:$H$34,'PR Report - SOBHA AUH'!$A$24:$A$34,$A66)</f>
        <v>0</v>
      </c>
      <c r="I66" s="162">
        <f>SUMIFS('PR Report - SOBHA AUH'!$I$24:$I$34,'PR Report - SOBHA AUH'!$A$24:$A$34,$A66)</f>
        <v>0</v>
      </c>
    </row>
    <row r="67" spans="1:9" x14ac:dyDescent="0.25">
      <c r="A67" s="64" t="s">
        <v>80</v>
      </c>
      <c r="B67" s="65">
        <f>SUM(B65:B66)</f>
        <v>0</v>
      </c>
      <c r="C67" s="65">
        <f t="shared" ref="C67:I67" si="4">SUM(C65:C66)</f>
        <v>30000</v>
      </c>
      <c r="D67" s="65">
        <f t="shared" si="4"/>
        <v>0</v>
      </c>
      <c r="E67" s="65">
        <f t="shared" si="4"/>
        <v>1253891</v>
      </c>
      <c r="F67" s="65">
        <f t="shared" si="4"/>
        <v>0</v>
      </c>
      <c r="G67" s="65">
        <f t="shared" si="4"/>
        <v>0</v>
      </c>
      <c r="H67" s="65">
        <f t="shared" si="4"/>
        <v>782197.82000000007</v>
      </c>
      <c r="I67" s="65">
        <f t="shared" si="4"/>
        <v>55000</v>
      </c>
    </row>
    <row r="68" spans="1:9" x14ac:dyDescent="0.25">
      <c r="A68" s="156" t="s">
        <v>50</v>
      </c>
      <c r="B68" s="157">
        <f>SUM(B64,B51,B67)</f>
        <v>0</v>
      </c>
      <c r="C68" s="157">
        <f t="shared" ref="C68:I68" si="5">SUM(C64,C51,C67)</f>
        <v>14834454.41</v>
      </c>
      <c r="D68" s="157">
        <f t="shared" si="5"/>
        <v>0</v>
      </c>
      <c r="E68" s="157">
        <f t="shared" si="5"/>
        <v>68123274.640000001</v>
      </c>
      <c r="F68" s="157">
        <f t="shared" si="5"/>
        <v>0</v>
      </c>
      <c r="G68" s="157">
        <f t="shared" si="5"/>
        <v>0</v>
      </c>
      <c r="H68" s="157">
        <f t="shared" si="5"/>
        <v>48796040.409999996</v>
      </c>
      <c r="I68" s="157">
        <f t="shared" si="5"/>
        <v>22943525.239999998</v>
      </c>
    </row>
    <row r="69" spans="1:9" x14ac:dyDescent="0.25">
      <c r="A69" s="24" t="s">
        <v>6</v>
      </c>
      <c r="B69" s="28">
        <f>SUM(B37,B68)</f>
        <v>61723359.058823533</v>
      </c>
      <c r="C69" s="28">
        <f>SUM(C37,C68)</f>
        <v>56771371.469999999</v>
      </c>
      <c r="D69" s="25">
        <f>SUM(D37,D68)</f>
        <v>308616795.29411763</v>
      </c>
      <c r="E69" s="25">
        <f>SUM(E37,E68)</f>
        <v>285457068.02000004</v>
      </c>
      <c r="F69" s="28">
        <f>SUM(F37,F68)</f>
        <v>1049297104</v>
      </c>
      <c r="G69" s="163">
        <f t="shared" si="3"/>
        <v>0.92495636132814507</v>
      </c>
      <c r="H69" s="164">
        <f>SUM(H37,H68)</f>
        <v>204269156.39999998</v>
      </c>
      <c r="I69" s="164">
        <f>SUM(I37,I68)</f>
        <v>148722118.08999997</v>
      </c>
    </row>
    <row r="71" spans="1:9" ht="18.75" x14ac:dyDescent="0.25">
      <c r="A71" s="149" t="s">
        <v>81</v>
      </c>
      <c r="B71" s="165"/>
      <c r="C71" s="165"/>
      <c r="D71" s="165"/>
      <c r="E71" s="150"/>
    </row>
    <row r="72" spans="1:9" ht="25.5" x14ac:dyDescent="0.25">
      <c r="A72" s="81" t="s">
        <v>0</v>
      </c>
      <c r="B72" s="82" t="s">
        <v>59</v>
      </c>
      <c r="C72" s="82" t="s">
        <v>60</v>
      </c>
      <c r="D72" s="82" t="s">
        <v>61</v>
      </c>
      <c r="E72" s="82" t="s">
        <v>62</v>
      </c>
    </row>
    <row r="73" spans="1:9" x14ac:dyDescent="0.25">
      <c r="A73" s="6" t="s">
        <v>7</v>
      </c>
      <c r="B73" s="6"/>
      <c r="C73" s="6"/>
      <c r="D73" s="6"/>
      <c r="E73" s="6"/>
    </row>
    <row r="74" spans="1:9" x14ac:dyDescent="0.25">
      <c r="A74" s="54" t="s">
        <v>14</v>
      </c>
      <c r="B74" s="8">
        <f>SUMIFS('PR Report - SOBHA '!$B$48:$B$70,'PR Report - SOBHA '!$A$48:$A$70,A74)</f>
        <v>5003503.5999999996</v>
      </c>
      <c r="C74" s="8">
        <f>SUMIFS('PR Report - SOBHA '!$C$48:$C$70,'PR Report - SOBHA '!$A$48:$A$70,$A74)</f>
        <v>1911450.75</v>
      </c>
      <c r="D74" s="8">
        <f>SUMIFS('PR Report - SOBHA '!$D$48:$D$70,'PR Report - SOBHA '!$A$48:$A$70,$A74)</f>
        <v>1035336</v>
      </c>
      <c r="E74" s="8">
        <f>SUMIFS('PR Report - SOBHA '!$E$48:$E$70,'PR Report - SOBHA '!$A$48:$A$70,$A74)</f>
        <v>2056716.85</v>
      </c>
    </row>
    <row r="75" spans="1:9" x14ac:dyDescent="0.25">
      <c r="A75" s="54" t="s">
        <v>15</v>
      </c>
      <c r="B75" s="8">
        <f>SUMIFS('PR Report - SOBHA '!$B$48:$B$70,'PR Report - SOBHA '!$A$48:$A$70,A75)</f>
        <v>4572456.96</v>
      </c>
      <c r="C75" s="8">
        <f>SUMIFS('PR Report - SOBHA '!$C$48:$C$70,'PR Report - SOBHA '!$A$48:$A$70,$A75)</f>
        <v>1415573</v>
      </c>
      <c r="D75" s="8">
        <f>SUMIFS('PR Report - SOBHA '!$D$48:$D$70,'PR Report - SOBHA '!$A$48:$A$70,$A75)</f>
        <v>388254</v>
      </c>
      <c r="E75" s="8">
        <f>SUMIFS('PR Report - SOBHA '!$E$48:$E$70,'PR Report - SOBHA '!$A$48:$A$70,$A75)</f>
        <v>2768629.96</v>
      </c>
    </row>
    <row r="76" spans="1:9" x14ac:dyDescent="0.25">
      <c r="A76" s="54" t="s">
        <v>13</v>
      </c>
      <c r="B76" s="8">
        <f>SUMIFS('PR Report - SOBHA '!$B$48:$B$70,'PR Report - SOBHA '!$A$48:$A$70,A76)</f>
        <v>4238208.5</v>
      </c>
      <c r="C76" s="8">
        <f>SUMIFS('PR Report - SOBHA '!$C$48:$C$70,'PR Report - SOBHA '!$A$48:$A$70,$A76)</f>
        <v>1282474.3999999999</v>
      </c>
      <c r="D76" s="8">
        <f>SUMIFS('PR Report - SOBHA '!$D$48:$D$70,'PR Report - SOBHA '!$A$48:$A$70,$A76)</f>
        <v>2552809.0999999996</v>
      </c>
      <c r="E76" s="8">
        <f>SUMIFS('PR Report - SOBHA '!$E$48:$E$70,'PR Report - SOBHA '!$A$48:$A$70,$A76)</f>
        <v>402925</v>
      </c>
    </row>
    <row r="77" spans="1:9" x14ac:dyDescent="0.25">
      <c r="A77" s="54" t="s">
        <v>17</v>
      </c>
      <c r="B77" s="8">
        <f>SUMIFS('PR Report - SOBHA '!$B$48:$B$70,'PR Report - SOBHA '!$A$48:$A$70,A77)</f>
        <v>2640605.4299999997</v>
      </c>
      <c r="C77" s="8">
        <f>SUMIFS('PR Report - SOBHA '!$C$48:$C$70,'PR Report - SOBHA '!$A$48:$A$70,$A77)</f>
        <v>819291.02999999991</v>
      </c>
      <c r="D77" s="8">
        <f>SUMIFS('PR Report - SOBHA '!$D$48:$D$70,'PR Report - SOBHA '!$A$48:$A$70,$A77)</f>
        <v>331587</v>
      </c>
      <c r="E77" s="8">
        <f>SUMIFS('PR Report - SOBHA '!$E$48:$E$70,'PR Report - SOBHA '!$A$48:$A$70,$A77)</f>
        <v>1489727.4</v>
      </c>
    </row>
    <row r="78" spans="1:9" x14ac:dyDescent="0.25">
      <c r="A78" s="54" t="s">
        <v>16</v>
      </c>
      <c r="B78" s="8">
        <f>SUMIFS('PR Report - SOBHA '!$B$48:$B$70,'PR Report - SOBHA '!$A$48:$A$70,A78)</f>
        <v>4216231.34</v>
      </c>
      <c r="C78" s="8">
        <f>SUMIFS('PR Report - SOBHA '!$C$48:$C$70,'PR Report - SOBHA '!$A$48:$A$70,$A78)</f>
        <v>527326</v>
      </c>
      <c r="D78" s="8">
        <f>SUMIFS('PR Report - SOBHA '!$D$48:$D$70,'PR Report - SOBHA '!$A$48:$A$70,$A78)</f>
        <v>481716</v>
      </c>
      <c r="E78" s="8">
        <f>SUMIFS('PR Report - SOBHA '!$E$48:$E$70,'PR Report - SOBHA '!$A$48:$A$70,$A78)</f>
        <v>3207189.3400000003</v>
      </c>
    </row>
    <row r="79" spans="1:9" x14ac:dyDescent="0.25">
      <c r="A79" s="54" t="s">
        <v>31</v>
      </c>
      <c r="B79" s="8">
        <f>SUMIFS('PR Report - SOBHA '!$B$48:$B$70,'PR Report - SOBHA '!$A$48:$A$70,A79)</f>
        <v>3034882.09</v>
      </c>
      <c r="C79" s="8">
        <f>SUMIFS('PR Report - SOBHA '!$C$48:$C$70,'PR Report - SOBHA '!$A$48:$A$70,$A79)</f>
        <v>630995</v>
      </c>
      <c r="D79" s="8">
        <f>SUMIFS('PR Report - SOBHA '!$D$48:$D$70,'PR Report - SOBHA '!$A$48:$A$70,$A79)</f>
        <v>919602.54</v>
      </c>
      <c r="E79" s="8">
        <f>SUMIFS('PR Report - SOBHA '!$E$48:$E$70,'PR Report - SOBHA '!$A$48:$A$70,$A79)</f>
        <v>1484284.55</v>
      </c>
    </row>
    <row r="80" spans="1:9" x14ac:dyDescent="0.25">
      <c r="A80" s="54" t="s">
        <v>27</v>
      </c>
      <c r="B80" s="8">
        <f>SUMIFS('PR Report - SOBHA '!$B$48:$B$70,'PR Report - SOBHA '!$A$48:$A$70,A80)</f>
        <v>1980461.19</v>
      </c>
      <c r="C80" s="8">
        <f>SUMIFS('PR Report - SOBHA '!$C$48:$C$70,'PR Report - SOBHA '!$A$48:$A$70,$A80)</f>
        <v>251525</v>
      </c>
      <c r="D80" s="8">
        <f>SUMIFS('PR Report - SOBHA '!$D$48:$D$70,'PR Report - SOBHA '!$A$48:$A$70,$A80)</f>
        <v>621644</v>
      </c>
      <c r="E80" s="8">
        <f>SUMIFS('PR Report - SOBHA '!$E$48:$E$70,'PR Report - SOBHA '!$A$48:$A$70,$A80)</f>
        <v>1107292.19</v>
      </c>
    </row>
    <row r="81" spans="1:5" x14ac:dyDescent="0.25">
      <c r="A81" s="54" t="s">
        <v>18</v>
      </c>
      <c r="B81" s="8">
        <f>SUMIFS('PR Report - SOBHA '!$B$48:$B$70,'PR Report - SOBHA '!$A$48:$A$70,A81)</f>
        <v>7215187.21</v>
      </c>
      <c r="C81" s="8">
        <f>SUMIFS('PR Report - SOBHA '!$C$48:$C$70,'PR Report - SOBHA '!$A$48:$A$70,$A81)</f>
        <v>6003574</v>
      </c>
      <c r="D81" s="8">
        <f>SUMIFS('PR Report - SOBHA '!$D$48:$D$70,'PR Report - SOBHA '!$A$48:$A$70,$A81)</f>
        <v>682599</v>
      </c>
      <c r="E81" s="8">
        <f>SUMIFS('PR Report - SOBHA '!$E$48:$E$70,'PR Report - SOBHA '!$A$48:$A$70,$A81)</f>
        <v>529014.21</v>
      </c>
    </row>
    <row r="82" spans="1:5" x14ac:dyDescent="0.25">
      <c r="A82" s="54" t="s">
        <v>34</v>
      </c>
      <c r="B82" s="8">
        <f>SUMIFS('PR Report - SOBHA '!$B$48:$B$70,'PR Report - SOBHA '!$A$48:$A$70,A82)</f>
        <v>3159710.7199999997</v>
      </c>
      <c r="C82" s="8">
        <f>SUMIFS('PR Report - SOBHA '!$C$48:$C$70,'PR Report - SOBHA '!$A$48:$A$70,$A82)</f>
        <v>724329.96</v>
      </c>
      <c r="D82" s="8">
        <f>SUMIFS('PR Report - SOBHA '!$D$48:$D$70,'PR Report - SOBHA '!$A$48:$A$70,$A82)</f>
        <v>968272.38000000012</v>
      </c>
      <c r="E82" s="8">
        <f>SUMIFS('PR Report - SOBHA '!$E$48:$E$70,'PR Report - SOBHA '!$A$48:$A$70,$A82)</f>
        <v>1467108.38</v>
      </c>
    </row>
    <row r="83" spans="1:5" x14ac:dyDescent="0.25">
      <c r="A83" s="54" t="s">
        <v>23</v>
      </c>
      <c r="B83" s="8">
        <f>SUMIFS('PR Report - SOBHA '!$B$48:$B$70,'PR Report - SOBHA '!$A$48:$A$70,A83)</f>
        <v>4744590.04</v>
      </c>
      <c r="C83" s="8">
        <f>SUMIFS('PR Report - SOBHA '!$C$48:$C$70,'PR Report - SOBHA '!$A$48:$A$70,$A83)</f>
        <v>2706753.32</v>
      </c>
      <c r="D83" s="8">
        <f>SUMIFS('PR Report - SOBHA '!$D$48:$D$70,'PR Report - SOBHA '!$A$48:$A$70,$A83)</f>
        <v>1035244</v>
      </c>
      <c r="E83" s="8">
        <f>SUMIFS('PR Report - SOBHA '!$E$48:$E$70,'PR Report - SOBHA '!$A$48:$A$70,$A83)</f>
        <v>1002592.72</v>
      </c>
    </row>
    <row r="84" spans="1:5" x14ac:dyDescent="0.25">
      <c r="A84" s="54" t="s">
        <v>22</v>
      </c>
      <c r="B84" s="8">
        <f>SUMIFS('PR Report - SOBHA '!$B$48:$B$70,'PR Report - SOBHA '!$A$48:$A$70,A84)</f>
        <v>5422934.5499999998</v>
      </c>
      <c r="C84" s="8">
        <f>SUMIFS('PR Report - SOBHA '!$C$48:$C$70,'PR Report - SOBHA '!$A$48:$A$70,$A84)</f>
        <v>1362943</v>
      </c>
      <c r="D84" s="8">
        <f>SUMIFS('PR Report - SOBHA '!$D$48:$D$70,'PR Report - SOBHA '!$A$48:$A$70,$A84)</f>
        <v>1145514</v>
      </c>
      <c r="E84" s="8">
        <f>SUMIFS('PR Report - SOBHA '!$E$48:$E$70,'PR Report - SOBHA '!$A$48:$A$70,$A84)</f>
        <v>2914477.55</v>
      </c>
    </row>
    <row r="85" spans="1:5" x14ac:dyDescent="0.25">
      <c r="A85" s="54" t="s">
        <v>25</v>
      </c>
      <c r="B85" s="8">
        <f>SUMIFS('PR Report - SOBHA '!$B$48:$B$70,'PR Report - SOBHA '!$A$48:$A$70,A85)</f>
        <v>7925559.1200000001</v>
      </c>
      <c r="C85" s="8">
        <f>SUMIFS('PR Report - SOBHA '!$C$48:$C$70,'PR Report - SOBHA '!$A$48:$A$70,$A85)</f>
        <v>2713378</v>
      </c>
      <c r="D85" s="8">
        <f>SUMIFS('PR Report - SOBHA '!$D$48:$D$70,'PR Report - SOBHA '!$A$48:$A$70,$A85)</f>
        <v>670556</v>
      </c>
      <c r="E85" s="8">
        <f>SUMIFS('PR Report - SOBHA '!$E$48:$E$70,'PR Report - SOBHA '!$A$48:$A$70,$A85)</f>
        <v>4541625.12</v>
      </c>
    </row>
    <row r="86" spans="1:5" x14ac:dyDescent="0.25">
      <c r="A86" s="54" t="s">
        <v>19</v>
      </c>
      <c r="B86" s="8">
        <f>SUMIFS('PR Report - SOBHA '!$B$48:$B$70,'PR Report - SOBHA '!$A$48:$A$70,A86)</f>
        <v>4142840.85</v>
      </c>
      <c r="C86" s="8">
        <f>SUMIFS('PR Report - SOBHA '!$C$48:$C$70,'PR Report - SOBHA '!$A$48:$A$70,$A86)</f>
        <v>344922.59</v>
      </c>
      <c r="D86" s="8">
        <f>SUMIFS('PR Report - SOBHA '!$D$48:$D$70,'PR Report - SOBHA '!$A$48:$A$70,$A86)</f>
        <v>3029965.7600000002</v>
      </c>
      <c r="E86" s="8">
        <f>SUMIFS('PR Report - SOBHA '!$E$48:$E$70,'PR Report - SOBHA '!$A$48:$A$70,$A86)</f>
        <v>767952.5</v>
      </c>
    </row>
    <row r="87" spans="1:5" x14ac:dyDescent="0.25">
      <c r="A87" s="54" t="s">
        <v>20</v>
      </c>
      <c r="B87" s="8">
        <f>SUMIFS('PR Report - SOBHA '!$B$48:$B$70,'PR Report - SOBHA '!$A$48:$A$70,A87)</f>
        <v>8001301.29</v>
      </c>
      <c r="C87" s="8">
        <f>SUMIFS('PR Report - SOBHA '!$C$48:$C$70,'PR Report - SOBHA '!$A$48:$A$70,$A87)</f>
        <v>2209843.5499999998</v>
      </c>
      <c r="D87" s="8">
        <f>SUMIFS('PR Report - SOBHA '!$D$48:$D$70,'PR Report - SOBHA '!$A$48:$A$70,$A87)</f>
        <v>318010.34000000003</v>
      </c>
      <c r="E87" s="8">
        <f>SUMIFS('PR Report - SOBHA '!$E$48:$E$70,'PR Report - SOBHA '!$A$48:$A$70,$A87)</f>
        <v>5473447.4000000004</v>
      </c>
    </row>
    <row r="88" spans="1:5" x14ac:dyDescent="0.25">
      <c r="A88" s="54" t="s">
        <v>21</v>
      </c>
      <c r="B88" s="8">
        <f>SUMIFS('PR Report - SOBHA '!$B$48:$B$70,'PR Report - SOBHA '!$A$48:$A$70,A88)</f>
        <v>6262318.2599999998</v>
      </c>
      <c r="C88" s="8">
        <f>SUMIFS('PR Report - SOBHA '!$C$48:$C$70,'PR Report - SOBHA '!$A$48:$A$70,$A88)</f>
        <v>3627897</v>
      </c>
      <c r="D88" s="8">
        <f>SUMIFS('PR Report - SOBHA '!$D$48:$D$70,'PR Report - SOBHA '!$A$48:$A$70,$A88)</f>
        <v>1720843.1600000001</v>
      </c>
      <c r="E88" s="8">
        <f>SUMIFS('PR Report - SOBHA '!$E$48:$E$70,'PR Report - SOBHA '!$A$48:$A$70,$A88)</f>
        <v>913578.1</v>
      </c>
    </row>
    <row r="89" spans="1:5" x14ac:dyDescent="0.25">
      <c r="A89" s="54" t="s">
        <v>32</v>
      </c>
      <c r="B89" s="8">
        <f>SUMIFS('PR Report - SOBHA '!$B$48:$B$70,'PR Report - SOBHA '!$A$48:$A$70,A89)</f>
        <v>4632513.5</v>
      </c>
      <c r="C89" s="8">
        <f>SUMIFS('PR Report - SOBHA '!$C$48:$C$70,'PR Report - SOBHA '!$A$48:$A$70,$A89)</f>
        <v>1807230</v>
      </c>
      <c r="D89" s="8">
        <f>SUMIFS('PR Report - SOBHA '!$D$48:$D$70,'PR Report - SOBHA '!$A$48:$A$70,$A89)</f>
        <v>680925.5</v>
      </c>
      <c r="E89" s="8">
        <f>SUMIFS('PR Report - SOBHA '!$E$48:$E$70,'PR Report - SOBHA '!$A$48:$A$70,$A89)</f>
        <v>2144358</v>
      </c>
    </row>
    <row r="90" spans="1:5" x14ac:dyDescent="0.25">
      <c r="A90" s="54" t="s">
        <v>28</v>
      </c>
      <c r="B90" s="8">
        <f>SUMIFS('PR Report - SOBHA '!$B$48:$B$70,'PR Report - SOBHA '!$A$48:$A$70,A90)</f>
        <v>8197132.9100000011</v>
      </c>
      <c r="C90" s="8">
        <f>SUMIFS('PR Report - SOBHA '!$C$48:$C$70,'PR Report - SOBHA '!$A$48:$A$70,$A90)</f>
        <v>1966885</v>
      </c>
      <c r="D90" s="8">
        <f>SUMIFS('PR Report - SOBHA '!$D$48:$D$70,'PR Report - SOBHA '!$A$48:$A$70,$A90)</f>
        <v>775854.62</v>
      </c>
      <c r="E90" s="8">
        <f>SUMIFS('PR Report - SOBHA '!$E$48:$E$70,'PR Report - SOBHA '!$A$48:$A$70,$A90)</f>
        <v>5454393.290000001</v>
      </c>
    </row>
    <row r="91" spans="1:5" x14ac:dyDescent="0.25">
      <c r="A91" s="54" t="s">
        <v>24</v>
      </c>
      <c r="B91" s="8">
        <f>SUMIFS('PR Report - SOBHA '!$B$48:$B$70,'PR Report - SOBHA '!$A$48:$A$70,A91)</f>
        <v>2767323.9699999997</v>
      </c>
      <c r="C91" s="8">
        <f>SUMIFS('PR Report - SOBHA '!$C$48:$C$70,'PR Report - SOBHA '!$A$48:$A$70,$A91)</f>
        <v>140000</v>
      </c>
      <c r="D91" s="8">
        <f>SUMIFS('PR Report - SOBHA '!$D$48:$D$70,'PR Report - SOBHA '!$A$48:$A$70,$A91)</f>
        <v>1535800</v>
      </c>
      <c r="E91" s="8">
        <f>SUMIFS('PR Report - SOBHA '!$E$48:$E$70,'PR Report - SOBHA '!$A$48:$A$70,$A91)</f>
        <v>1091523.97</v>
      </c>
    </row>
    <row r="92" spans="1:5" x14ac:dyDescent="0.25">
      <c r="A92" s="54" t="s">
        <v>33</v>
      </c>
      <c r="B92" s="8">
        <f>_xlfn.XLOOKUP(A92,'PR Report - SOBHA '!$A$48:$A$70,'PR Report - SOBHA '!$B$48:$B$70)</f>
        <v>3657233.3</v>
      </c>
      <c r="C92" s="8">
        <f>SUMIFS('PR Report - SOBHA '!$C$48:$C$70,'PR Report - SOBHA '!$A$48:$A$70,$A92)</f>
        <v>5574242</v>
      </c>
      <c r="D92" s="8">
        <f>SUMIFS('PR Report - SOBHA '!$D$48:$D$70,'PR Report - SOBHA '!$A$48:$A$70,$A92)</f>
        <v>1090624</v>
      </c>
      <c r="E92" s="8">
        <f>SUMIFS('PR Report - SOBHA '!$E$48:$E$70,'PR Report - SOBHA '!$A$48:$A$70,$A92)</f>
        <v>649600.60000000009</v>
      </c>
    </row>
    <row r="93" spans="1:5" x14ac:dyDescent="0.25">
      <c r="A93" s="54" t="s">
        <v>29</v>
      </c>
      <c r="B93" s="8">
        <f>SUMIFS('PR Report - SOBHA '!$B$48:$B$70,'PR Report - SOBHA '!$A$48:$A$70,A93)</f>
        <v>4581377.5999999996</v>
      </c>
      <c r="C93" s="8">
        <f>SUMIFS('PR Report - SOBHA '!$C$48:$C$70,'PR Report - SOBHA '!$A$48:$A$70,$A93)</f>
        <v>426604</v>
      </c>
      <c r="D93" s="8">
        <f>SUMIFS('PR Report - SOBHA '!$D$48:$D$70,'PR Report - SOBHA '!$A$48:$A$70,$A93)</f>
        <v>1473080.8</v>
      </c>
      <c r="E93" s="8">
        <f>SUMIFS('PR Report - SOBHA '!$E$48:$E$70,'PR Report - SOBHA '!$A$48:$A$70,$A93)</f>
        <v>2681692.7999999998</v>
      </c>
    </row>
    <row r="94" spans="1:5" x14ac:dyDescent="0.25">
      <c r="A94" s="54" t="s">
        <v>30</v>
      </c>
      <c r="B94" s="8">
        <f>SUMIFS('PR Report - SOBHA '!$B$48:$B$70,'PR Report - SOBHA '!$A$48:$A$70,A94)</f>
        <v>2499807.9300000002</v>
      </c>
      <c r="C94" s="8">
        <f>SUMIFS('PR Report - SOBHA '!$C$48:$C$70,'PR Report - SOBHA '!$A$48:$A$70,$A94)</f>
        <v>405851.42000000004</v>
      </c>
      <c r="D94" s="8">
        <f>SUMIFS('PR Report - SOBHA '!$D$48:$D$70,'PR Report - SOBHA '!$A$48:$A$70,$A94)</f>
        <v>37486.79</v>
      </c>
      <c r="E94" s="8">
        <f>SUMIFS('PR Report - SOBHA '!$E$48:$E$70,'PR Report - SOBHA '!$A$48:$A$70,$A94)</f>
        <v>2056469.72</v>
      </c>
    </row>
    <row r="95" spans="1:5" x14ac:dyDescent="0.25">
      <c r="A95" s="54" t="s">
        <v>26</v>
      </c>
      <c r="B95" s="8">
        <f>SUMIFS('PR Report - SOBHA '!$B$48:$B$70,'PR Report - SOBHA '!$A$48:$A$70,A95)</f>
        <v>8319487.1600000001</v>
      </c>
      <c r="C95" s="8">
        <f>SUMIFS('PR Report - SOBHA '!$C$48:$C$70,'PR Report - SOBHA '!$A$48:$A$70,$A95)</f>
        <v>7143565.9699999997</v>
      </c>
      <c r="D95" s="8">
        <f>SUMIFS('PR Report - SOBHA '!$D$48:$D$70,'PR Report - SOBHA '!$A$48:$A$70,$A95)</f>
        <v>177795</v>
      </c>
      <c r="E95" s="8">
        <f>SUMIFS('PR Report - SOBHA '!$E$48:$E$70,'PR Report - SOBHA '!$A$48:$A$70,$A95)</f>
        <v>998126.19000000006</v>
      </c>
    </row>
    <row r="96" spans="1:5" x14ac:dyDescent="0.25">
      <c r="A96" s="64" t="s">
        <v>35</v>
      </c>
      <c r="B96" s="65">
        <f>SUM(B74:B95)</f>
        <v>107215667.51999998</v>
      </c>
      <c r="C96" s="65">
        <f>SUM(C74:C95)</f>
        <v>43996654.990000002</v>
      </c>
      <c r="D96" s="65">
        <f>SUM(D74:D95)</f>
        <v>21673519.989999998</v>
      </c>
      <c r="E96" s="65">
        <f>SUM(E74:E95)</f>
        <v>45202725.839999996</v>
      </c>
    </row>
    <row r="97" spans="1:5" x14ac:dyDescent="0.25">
      <c r="A97" s="54" t="s">
        <v>11</v>
      </c>
      <c r="B97" s="8">
        <f>SUMIFS('PR Report - SINIYA'!$B$41:$B$59,'PR Report - SINIYA'!$A$41:$A$59,A97)+SUMIFS('PR Report - DOWNTOWN'!$B$42:$B$59,'PR Report - DOWNTOWN'!$A$42:$A$59,A97)</f>
        <v>506236.11</v>
      </c>
      <c r="C97" s="8">
        <f>SUMIFS('PR Report - SINIYA'!$C$41:$C$59,'PR Report - SINIYA'!$A$41:$A$59,$A97)+SUMIFS('PR Report - DOWNTOWN'!$C$42:$C$59,'PR Report - DOWNTOWN'!$A$42:$A$59,$A97)</f>
        <v>356236.11</v>
      </c>
      <c r="D97" s="8">
        <f>SUMIFS('PR Report - SINIYA'!$D$41:$D$59,'PR Report - SINIYA'!$A$41:$A$59,$A97)+SUMIFS('PR Report - DOWNTOWN'!$D$42:$D$59,'PR Report - DOWNTOWN'!$A$42:$A$59,$A97)</f>
        <v>0</v>
      </c>
      <c r="E97" s="8">
        <f>SUMIFS('PR Report - SINIYA'!$E$41:$E$59,'PR Report - SINIYA'!$A$41:$A$59,$A97)+SUMIFS('PR Report - DOWNTOWN'!$E$42:$E$59,'PR Report - DOWNTOWN'!$A$42:$A$59,$A97)</f>
        <v>150000</v>
      </c>
    </row>
    <row r="98" spans="1:5" x14ac:dyDescent="0.25">
      <c r="A98" s="54" t="s">
        <v>8</v>
      </c>
      <c r="B98" s="8">
        <f>SUMIFS('PR Report - SINIYA'!$B$41:$B$59,'PR Report - SINIYA'!$A$41:$A$59,A98)+SUMIFS('PR Report - DOWNTOWN'!$B$42:$B$59,'PR Report - DOWNTOWN'!$A$42:$A$59,A98)</f>
        <v>5676444.3399999999</v>
      </c>
      <c r="C98" s="8">
        <f>SUMIFS('PR Report - SINIYA'!$C$41:$C$59,'PR Report - SINIYA'!$A$41:$A$59,$A98)+SUMIFS('PR Report - DOWNTOWN'!$C$42:$C$59,'PR Report - DOWNTOWN'!$A$42:$A$59,$A98)</f>
        <v>1479113.96</v>
      </c>
      <c r="D98" s="8">
        <f>SUMIFS('PR Report - SINIYA'!$D$41:$D$59,'PR Report - SINIYA'!$A$41:$A$59,$A98)+SUMIFS('PR Report - DOWNTOWN'!$D$42:$D$59,'PR Report - DOWNTOWN'!$A$42:$A$59,$A98)</f>
        <v>2199816.1799999997</v>
      </c>
      <c r="E98" s="8">
        <f>SUMIFS('PR Report - SINIYA'!$E$41:$E$59,'PR Report - SINIYA'!$A$41:$A$59,$A98)+SUMIFS('PR Report - DOWNTOWN'!$E$42:$E$59,'PR Report - DOWNTOWN'!$A$42:$A$59,$A98)</f>
        <v>1997514.2000000002</v>
      </c>
    </row>
    <row r="99" spans="1:5" x14ac:dyDescent="0.25">
      <c r="A99" s="54" t="s">
        <v>10</v>
      </c>
      <c r="B99" s="8">
        <f>SUMIFS('PR Report - SINIYA'!$B$41:$B$59,'PR Report - SINIYA'!$A$41:$A$59,A99)+SUMIFS('PR Report - DOWNTOWN'!$B$42:$B$59,'PR Report - DOWNTOWN'!$A$42:$A$59,A99)</f>
        <v>8114728.629999999</v>
      </c>
      <c r="C99" s="8">
        <f>SUMIFS('PR Report - SINIYA'!$C$41:$C$59,'PR Report - SINIYA'!$A$41:$A$59,$A99)+SUMIFS('PR Report - DOWNTOWN'!$C$42:$C$59,'PR Report - DOWNTOWN'!$A$42:$A$59,$A99)</f>
        <v>1757706.4499999997</v>
      </c>
      <c r="D99" s="8">
        <f>SUMIFS('PR Report - SINIYA'!$D$41:$D$59,'PR Report - SINIYA'!$A$41:$A$59,$A99)+SUMIFS('PR Report - DOWNTOWN'!$D$42:$D$59,'PR Report - DOWNTOWN'!$A$42:$A$59,$A99)</f>
        <v>772083.3</v>
      </c>
      <c r="E99" s="8">
        <f>SUMIFS('PR Report - SINIYA'!$E$41:$E$59,'PR Report - SINIYA'!$A$41:$A$59,$A99)+SUMIFS('PR Report - DOWNTOWN'!$E$42:$E$59,'PR Report - DOWNTOWN'!$A$42:$A$59,$A99)</f>
        <v>5584938.879999999</v>
      </c>
    </row>
    <row r="100" spans="1:5" x14ac:dyDescent="0.25">
      <c r="A100" s="54" t="s">
        <v>9</v>
      </c>
      <c r="B100" s="8">
        <f>SUMIFS('PR Report - SINIYA'!$B$41:$B$59,'PR Report - SINIYA'!$A$41:$A$59,A100)+SUMIFS('PR Report - DOWNTOWN'!$B$42:$B$59,'PR Report - DOWNTOWN'!$A$42:$A$59,A100)</f>
        <v>4265516.25</v>
      </c>
      <c r="C100" s="8">
        <f>SUMIFS('PR Report - SINIYA'!$C$41:$C$59,'PR Report - SINIYA'!$A$41:$A$59,$A100)+SUMIFS('PR Report - DOWNTOWN'!$C$42:$C$59,'PR Report - DOWNTOWN'!$A$42:$A$59,$A100)</f>
        <v>2545735.6</v>
      </c>
      <c r="D100" s="8">
        <f>SUMIFS('PR Report - SINIYA'!$D$41:$D$59,'PR Report - SINIYA'!$A$41:$A$59,$A100)+SUMIFS('PR Report - DOWNTOWN'!$D$42:$D$59,'PR Report - DOWNTOWN'!$A$42:$A$59,$A100)</f>
        <v>416549</v>
      </c>
      <c r="E100" s="8">
        <f>SUMIFS('PR Report - SINIYA'!$E$41:$E$59,'PR Report - SINIYA'!$A$41:$A$59,$A100)+SUMIFS('PR Report - DOWNTOWN'!$E$42:$E$59,'PR Report - DOWNTOWN'!$A$42:$A$59,$A100)</f>
        <v>1303231.6499999999</v>
      </c>
    </row>
    <row r="101" spans="1:5" x14ac:dyDescent="0.25">
      <c r="A101" s="64" t="s">
        <v>12</v>
      </c>
      <c r="B101" s="65">
        <f>SUM(B97:B100)</f>
        <v>18562925.329999998</v>
      </c>
      <c r="C101" s="65">
        <f>SUM(C97:C100)</f>
        <v>6138792.1199999992</v>
      </c>
      <c r="D101" s="65">
        <f>SUM(D97:D100)</f>
        <v>3388448.4799999995</v>
      </c>
      <c r="E101" s="65">
        <f>SUM(E97:E100)</f>
        <v>9035684.7299999986</v>
      </c>
    </row>
    <row r="102" spans="1:5" x14ac:dyDescent="0.25">
      <c r="A102" s="154" t="s">
        <v>23</v>
      </c>
      <c r="B102" s="162">
        <f>SUMIFS('PR Report - SOBHA AUH'!B$41:B$58,'PR Report - SOBHA AUH'!$A$41:$A$58,$A102)</f>
        <v>0</v>
      </c>
      <c r="C102" s="162">
        <f>SUMIFS('PR Report - SOBHA AUH'!C$41:C$58,'PR Report - SOBHA AUH'!$A$41:$A$58,$A$102)</f>
        <v>0</v>
      </c>
      <c r="D102" s="162">
        <f>SUMIFS('PR Report - SOBHA AUH'!D$41:D$58,'PR Report - SOBHA AUH'!$A$41:$A$58,$A$102)</f>
        <v>0</v>
      </c>
      <c r="E102" s="162">
        <f>SUMIFS('PR Report - SOBHA AUH'!E$41:E$58,'PR Report - SOBHA AUH'!$A$41:$A$58,$A$102)</f>
        <v>0</v>
      </c>
    </row>
    <row r="103" spans="1:5" x14ac:dyDescent="0.25">
      <c r="A103" s="154" t="s">
        <v>13</v>
      </c>
      <c r="B103" s="162">
        <f>SUMIFS('PR Report - SOBHA AUH'!B$41:B$58,'PR Report - SOBHA AUH'!$A$41:$A$58,$A103)</f>
        <v>0</v>
      </c>
      <c r="C103" s="162">
        <f>SUMIFS('PR Report - SOBHA AUH'!C$41:C$58,'PR Report - SOBHA AUH'!$A$41:$A$58,$A103)</f>
        <v>0</v>
      </c>
      <c r="D103" s="162">
        <f>SUMIFS('PR Report - SOBHA AUH'!D$41:D$58,'PR Report - SOBHA AUH'!$A$41:$A$58,$A103)</f>
        <v>0</v>
      </c>
      <c r="E103" s="162">
        <f>SUMIFS('PR Report - SOBHA AUH'!E$41:E$58,'PR Report - SOBHA AUH'!$A$41:$A$58,$A103)</f>
        <v>0</v>
      </c>
    </row>
    <row r="104" spans="1:5" x14ac:dyDescent="0.25">
      <c r="A104" s="154" t="s">
        <v>19</v>
      </c>
      <c r="B104" s="162">
        <f>SUMIFS('PR Report - SOBHA AUH'!B$41:B$58,'PR Report - SOBHA AUH'!$A$41:$A$58,$A104)</f>
        <v>0</v>
      </c>
      <c r="C104" s="162">
        <f>SUMIFS('PR Report - SOBHA AUH'!C$41:C$58,'PR Report - SOBHA AUH'!$A$41:$A$58,$A104)</f>
        <v>0</v>
      </c>
      <c r="D104" s="162">
        <f>SUMIFS('PR Report - SOBHA AUH'!D$41:D$58,'PR Report - SOBHA AUH'!$A$41:$A$58,$A104)</f>
        <v>0</v>
      </c>
      <c r="E104" s="162">
        <f>SUMIFS('PR Report - SOBHA AUH'!E$41:E$58,'PR Report - SOBHA AUH'!$A$41:$A$58,$A104)</f>
        <v>0</v>
      </c>
    </row>
    <row r="105" spans="1:5" x14ac:dyDescent="0.25">
      <c r="A105" s="64" t="s">
        <v>80</v>
      </c>
      <c r="B105" s="65">
        <f>SUM(B102:B104)</f>
        <v>0</v>
      </c>
      <c r="C105" s="65">
        <f t="shared" ref="C105:E105" si="6">SUM(C102:C104)</f>
        <v>0</v>
      </c>
      <c r="D105" s="65">
        <f t="shared" si="6"/>
        <v>0</v>
      </c>
      <c r="E105" s="65">
        <f t="shared" si="6"/>
        <v>0</v>
      </c>
    </row>
    <row r="106" spans="1:5" x14ac:dyDescent="0.25">
      <c r="A106" s="156" t="s">
        <v>58</v>
      </c>
      <c r="B106" s="166">
        <f>SUM(B101,B96,B105)</f>
        <v>125778592.84999998</v>
      </c>
      <c r="C106" s="166">
        <f t="shared" ref="C106:E106" si="7">SUM(C101,C96,C105)</f>
        <v>50135447.109999999</v>
      </c>
      <c r="D106" s="166">
        <f t="shared" si="7"/>
        <v>25061968.469999999</v>
      </c>
      <c r="E106" s="166">
        <f t="shared" si="7"/>
        <v>54238410.569999993</v>
      </c>
    </row>
    <row r="107" spans="1:5" x14ac:dyDescent="0.25">
      <c r="A107" s="6" t="s">
        <v>37</v>
      </c>
      <c r="B107" s="6"/>
      <c r="C107" s="6"/>
      <c r="D107" s="6"/>
      <c r="E107" s="6"/>
    </row>
    <row r="108" spans="1:5" x14ac:dyDescent="0.25">
      <c r="A108" s="54" t="s">
        <v>40</v>
      </c>
      <c r="B108" s="8">
        <f>SUMIFS('PR Report - SOBHA '!B$73:B$84,'PR Report - SOBHA '!$A$73:$A$84,$A108)</f>
        <v>973340</v>
      </c>
      <c r="C108" s="8">
        <f>SUMIFS('PR Report - SOBHA '!C$74:C$84,'PR Report - SOBHA '!$A$74:$A$84,$A108)</f>
        <v>0</v>
      </c>
      <c r="D108" s="8">
        <f>SUMIFS('PR Report - SOBHA '!D$74:D$84,'PR Report - SOBHA '!$A$74:$A$84,$A108)</f>
        <v>0</v>
      </c>
      <c r="E108" s="8">
        <f>SUMIFS('PR Report - SOBHA '!E$74:E$84,'PR Report - SOBHA '!$A$74:$A$84,$A108)</f>
        <v>0</v>
      </c>
    </row>
    <row r="109" spans="1:5" x14ac:dyDescent="0.25">
      <c r="A109" s="54" t="s">
        <v>39</v>
      </c>
      <c r="B109" s="8">
        <f>SUMIFS('PR Report - SOBHA '!B$73:B$84,'PR Report - SOBHA '!$A$73:$A$84,$A109)</f>
        <v>3599020</v>
      </c>
      <c r="C109" s="8">
        <f>SUMIFS('PR Report - SOBHA '!C$74:C$84,'PR Report - SOBHA '!$A$74:$A$84,$A109)</f>
        <v>1652682</v>
      </c>
      <c r="D109" s="8">
        <f>SUMIFS('PR Report - SOBHA '!D$74:D$84,'PR Report - SOBHA '!$A$74:$A$84,$A109)</f>
        <v>0</v>
      </c>
      <c r="E109" s="8">
        <f>SUMIFS('PR Report - SOBHA '!E$74:E$84,'PR Report - SOBHA '!$A$74:$A$84,$A109)</f>
        <v>1946338</v>
      </c>
    </row>
    <row r="110" spans="1:5" x14ac:dyDescent="0.25">
      <c r="A110" s="54" t="s">
        <v>38</v>
      </c>
      <c r="B110" s="8">
        <f>SUMIFS('PR Report - SOBHA '!B$73:B$84,'PR Report - SOBHA '!$A$73:$A$84,$A110)</f>
        <v>1563457</v>
      </c>
      <c r="C110" s="8">
        <f>SUMIFS('PR Report - SOBHA '!C$74:C$84,'PR Report - SOBHA '!$A$74:$A$84,$A110)</f>
        <v>1563457</v>
      </c>
      <c r="D110" s="8">
        <f>SUMIFS('PR Report - SOBHA '!D$74:D$84,'PR Report - SOBHA '!$A$74:$A$84,$A110)</f>
        <v>0</v>
      </c>
      <c r="E110" s="8">
        <f>SUMIFS('PR Report - SOBHA '!E$74:E$84,'PR Report - SOBHA '!$A$74:$A$84,$A110)</f>
        <v>0</v>
      </c>
    </row>
    <row r="111" spans="1:5" ht="15.75" customHeight="1" x14ac:dyDescent="0.25">
      <c r="A111" s="54" t="s">
        <v>43</v>
      </c>
      <c r="B111" s="8">
        <f>SUMIFS('PR Report - SOBHA '!B$73:B$84,'PR Report - SOBHA '!$A$73:$A$84,$A111)</f>
        <v>2292038.6</v>
      </c>
      <c r="C111" s="8">
        <f>SUMIFS('PR Report - SOBHA '!C$74:C$84,'PR Report - SOBHA '!$A$74:$A$84,$A111)</f>
        <v>718079.82000000007</v>
      </c>
      <c r="D111" s="8">
        <f>SUMIFS('PR Report - SOBHA '!D$74:D$84,'PR Report - SOBHA '!$A$74:$A$84,$A111)</f>
        <v>490451.78</v>
      </c>
      <c r="E111" s="8">
        <f>SUMIFS('PR Report - SOBHA '!E$74:E$84,'PR Report - SOBHA '!$A$74:$A$84,$A111)</f>
        <v>1083507</v>
      </c>
    </row>
    <row r="112" spans="1:5" x14ac:dyDescent="0.25">
      <c r="A112" s="54" t="s">
        <v>41</v>
      </c>
      <c r="B112" s="8">
        <f>SUMIFS('PR Report - SOBHA '!B$73:B$84,'PR Report - SOBHA '!$A$73:$A$84,$A112)</f>
        <v>0</v>
      </c>
      <c r="C112" s="8">
        <f>SUMIFS('PR Report - SOBHA '!C$74:C$84,'PR Report - SOBHA '!$A$74:$A$84,$A112)</f>
        <v>0</v>
      </c>
      <c r="D112" s="8">
        <f>SUMIFS('PR Report - SOBHA '!D$74:D$84,'PR Report - SOBHA '!$A$74:$A$84,$A112)</f>
        <v>0</v>
      </c>
      <c r="E112" s="8">
        <f>SUMIFS('PR Report - SOBHA '!E$74:E$84,'PR Report - SOBHA '!$A$74:$A$84,$A112)</f>
        <v>0</v>
      </c>
    </row>
    <row r="113" spans="1:5" x14ac:dyDescent="0.25">
      <c r="A113" s="54" t="s">
        <v>42</v>
      </c>
      <c r="B113" s="8">
        <f>SUMIFS('PR Report - SOBHA '!B$73:B$84,'PR Report - SOBHA '!$A$73:$A$84,$A113)</f>
        <v>840912</v>
      </c>
      <c r="C113" s="8">
        <f>SUMIFS('PR Report - SOBHA '!C$74:C$84,'PR Report - SOBHA '!$A$74:$A$84,$A113)</f>
        <v>840912</v>
      </c>
      <c r="D113" s="8">
        <f>SUMIFS('PR Report - SOBHA '!D$74:D$84,'PR Report - SOBHA '!$A$74:$A$84,$A113)</f>
        <v>0</v>
      </c>
      <c r="E113" s="8">
        <f>SUMIFS('PR Report - SOBHA '!E$74:E$84,'PR Report - SOBHA '!$A$74:$A$84,$A113)</f>
        <v>0</v>
      </c>
    </row>
    <row r="114" spans="1:5" x14ac:dyDescent="0.25">
      <c r="A114" s="54" t="s">
        <v>49</v>
      </c>
      <c r="B114" s="8">
        <f>SUMIFS('PR Report - SOBHA '!B$73:B$84,'PR Report - SOBHA '!$A$73:$A$84,$A114)</f>
        <v>1032657.87</v>
      </c>
      <c r="C114" s="8">
        <f>SUMIFS('PR Report - SOBHA '!C$74:C$84,'PR Report - SOBHA '!$A$74:$A$84,$A114)</f>
        <v>150073.87</v>
      </c>
      <c r="D114" s="8">
        <f>SUMIFS('PR Report - SOBHA '!D$74:D$84,'PR Report - SOBHA '!$A$74:$A$84,$A114)</f>
        <v>0</v>
      </c>
      <c r="E114" s="8">
        <f>SUMIFS('PR Report - SOBHA '!E$74:E$84,'PR Report - SOBHA '!$A$74:$A$84,$A114)</f>
        <v>882584</v>
      </c>
    </row>
    <row r="115" spans="1:5" x14ac:dyDescent="0.25">
      <c r="A115" s="54" t="s">
        <v>45</v>
      </c>
      <c r="B115" s="8">
        <f>SUMIFS('PR Report - SOBHA '!B$73:B$84,'PR Report - SOBHA '!$A$73:$A$84,$A115)</f>
        <v>860483.56</v>
      </c>
      <c r="C115" s="8">
        <f>SUMIFS('PR Report - SOBHA '!C$74:C$84,'PR Report - SOBHA '!$A$74:$A$84,$A115)</f>
        <v>133983.56</v>
      </c>
      <c r="D115" s="8">
        <f>SUMIFS('PR Report - SOBHA '!D$74:D$84,'PR Report - SOBHA '!$A$74:$A$84,$A115)</f>
        <v>726500</v>
      </c>
      <c r="E115" s="8">
        <f>SUMIFS('PR Report - SOBHA '!E$74:E$84,'PR Report - SOBHA '!$A$74:$A$84,$A115)</f>
        <v>0</v>
      </c>
    </row>
    <row r="116" spans="1:5" x14ac:dyDescent="0.25">
      <c r="A116" s="54" t="s">
        <v>82</v>
      </c>
      <c r="B116" s="8">
        <f>SUMIFS('PR Report - SOBHA '!B$73:B$84,'PR Report - SOBHA '!$A$73:$A$84,$A116)</f>
        <v>0</v>
      </c>
      <c r="C116" s="8">
        <f>SUMIFS('PR Report - SOBHA '!C$74:C$84,'PR Report - SOBHA '!$A$74:$A$84,$A116)</f>
        <v>0</v>
      </c>
      <c r="D116" s="8">
        <f>SUMIFS('PR Report - SOBHA '!D$74:D$84,'PR Report - SOBHA '!$A$74:$A$84,$A116)</f>
        <v>0</v>
      </c>
      <c r="E116" s="8">
        <f>SUMIFS('PR Report - SOBHA '!E$74:E$84,'PR Report - SOBHA '!$A$74:$A$84,$A116)</f>
        <v>0</v>
      </c>
    </row>
    <row r="117" spans="1:5" x14ac:dyDescent="0.25">
      <c r="A117" s="54" t="s">
        <v>46</v>
      </c>
      <c r="B117" s="8">
        <f>SUMIFS('PR Report - SOBHA '!B$73:B$84,'PR Report - SOBHA '!$A$73:$A$84,$A117)</f>
        <v>900324</v>
      </c>
      <c r="C117" s="8">
        <f>SUMIFS('PR Report - SOBHA '!C$74:C$84,'PR Report - SOBHA '!$A$74:$A$84,$A117)</f>
        <v>720324</v>
      </c>
      <c r="D117" s="8">
        <f>SUMIFS('PR Report - SOBHA '!D$74:D$84,'PR Report - SOBHA '!$A$74:$A$84,$A117)</f>
        <v>0</v>
      </c>
      <c r="E117" s="8">
        <f>SUMIFS('PR Report - SOBHA '!E$74:E$84,'PR Report - SOBHA '!$A$74:$A$84,$A117)</f>
        <v>180000</v>
      </c>
    </row>
    <row r="118" spans="1:5" x14ac:dyDescent="0.25">
      <c r="A118" s="54" t="s">
        <v>47</v>
      </c>
      <c r="B118" s="8">
        <f>SUMIFS('PR Report - SOBHA '!B$73:B$84,'PR Report - SOBHA '!$A$73:$A$84,$A118)</f>
        <v>1672212</v>
      </c>
      <c r="C118" s="8">
        <f>SUMIFS('PR Report - SOBHA '!C$74:C$84,'PR Report - SOBHA '!$A$74:$A$84,$A118)</f>
        <v>642426</v>
      </c>
      <c r="D118" s="8">
        <f>SUMIFS('PR Report - SOBHA '!D$74:D$84,'PR Report - SOBHA '!$A$74:$A$84,$A118)</f>
        <v>0</v>
      </c>
      <c r="E118" s="8">
        <f>SUMIFS('PR Report - SOBHA '!E$74:E$84,'PR Report - SOBHA '!$A$74:$A$84,$A118)</f>
        <v>1029786</v>
      </c>
    </row>
    <row r="119" spans="1:5" x14ac:dyDescent="0.25">
      <c r="A119" s="54" t="s">
        <v>48</v>
      </c>
      <c r="B119" s="8">
        <f>SUMIFS('PR Report - SOBHA '!B$73:B$84,'PR Report - SOBHA '!$A$73:$A$84,$A119)</f>
        <v>7149935.5299999993</v>
      </c>
      <c r="C119" s="8">
        <f>SUMIFS('PR Report - SOBHA '!C$74:C$84,'PR Report - SOBHA '!$A$74:$A$84,$A119)</f>
        <v>1731115.73</v>
      </c>
      <c r="D119" s="8">
        <f>SUMIFS('PR Report - SOBHA '!D$74:D$84,'PR Report - SOBHA '!$A$74:$A$84,$A119)</f>
        <v>0</v>
      </c>
      <c r="E119" s="8">
        <f>SUMIFS('PR Report - SOBHA '!E$74:E$84,'PR Report - SOBHA '!$A$74:$A$84,$A119)</f>
        <v>5418819.7999999998</v>
      </c>
    </row>
    <row r="120" spans="1:5" x14ac:dyDescent="0.25">
      <c r="A120" s="54" t="s">
        <v>44</v>
      </c>
      <c r="B120" s="8">
        <f>SUMIFS('PR Report - SOBHA '!B$73:B$84,'PR Report - SOBHA '!$A$73:$A$84,$A120)</f>
        <v>0</v>
      </c>
      <c r="C120" s="8">
        <f>SUMIFS('PR Report - SOBHA '!C$74:C$84,'PR Report - SOBHA '!$A$74:$A$84,$A120)</f>
        <v>0</v>
      </c>
      <c r="D120" s="8">
        <f>SUMIFS('PR Report - SOBHA '!D$74:D$84,'PR Report - SOBHA '!$A$74:$A$84,$A120)</f>
        <v>0</v>
      </c>
      <c r="E120" s="8">
        <f>SUMIFS('PR Report - SOBHA '!E$74:E$84,'PR Report - SOBHA '!$A$74:$A$84,$A120)</f>
        <v>0</v>
      </c>
    </row>
    <row r="121" spans="1:5" x14ac:dyDescent="0.25">
      <c r="A121" s="64" t="s">
        <v>35</v>
      </c>
      <c r="B121" s="65">
        <f>SUM(B108:B120)</f>
        <v>20884380.559999999</v>
      </c>
      <c r="C121" s="65">
        <f>SUM(C108:C120)</f>
        <v>8153053.9800000004</v>
      </c>
      <c r="D121" s="65">
        <f>SUM(D108:D120)</f>
        <v>1216951.78</v>
      </c>
      <c r="E121" s="65">
        <f>SUM(E108:E120)</f>
        <v>10541034.800000001</v>
      </c>
    </row>
    <row r="122" spans="1:5" x14ac:dyDescent="0.25">
      <c r="A122" s="54" t="s">
        <v>40</v>
      </c>
      <c r="B122" s="8">
        <f>SUMIFS('PR Report - SINIYA'!B$62:B$72,'PR Report - SINIYA'!$A$62:$A$72,$A122)+SUMIFS('PR Report - DOWNTOWN'!B$62:B$73,'PR Report - DOWNTOWN'!$A$62:$A$73,$A122)</f>
        <v>0</v>
      </c>
      <c r="C122" s="8">
        <f>SUMIFS('PR Report - SINIYA'!C$62:C$72,'PR Report - SINIYA'!$A$62:$A$72,$A122)+SUMIFS('PR Report - DOWNTOWN'!C$62:C$73,'PR Report - DOWNTOWN'!$A$62:$A$73,$A122)</f>
        <v>0</v>
      </c>
      <c r="D122" s="8">
        <f>SUMIFS('PR Report - SINIYA'!D$62:D$72,'PR Report - SINIYA'!$A$62:$A$72,$A122)+SUMIFS('PR Report - DOWNTOWN'!D$62:D$73,'PR Report - DOWNTOWN'!$A$62:$A$73,$A122)</f>
        <v>0</v>
      </c>
      <c r="E122" s="8">
        <f>SUMIFS('PR Report - SINIYA'!E$62:E$72,'PR Report - SINIYA'!$A$62:$A$72,$A122)+SUMIFS('PR Report - DOWNTOWN'!E$62:E$73,'PR Report - DOWNTOWN'!$A$62:$A$73,$A122)</f>
        <v>0</v>
      </c>
    </row>
    <row r="123" spans="1:5" x14ac:dyDescent="0.25">
      <c r="A123" s="54" t="s">
        <v>45</v>
      </c>
      <c r="B123" s="8">
        <f>SUMIFS('PR Report - SINIYA'!B$62:B$72,'PR Report - SINIYA'!$A$62:$A$72,$A123)+SUMIFS('PR Report - DOWNTOWN'!B$62:B$73,'PR Report - DOWNTOWN'!$A$62:$A$73,$A123)</f>
        <v>661137</v>
      </c>
      <c r="C123" s="8">
        <f>SUMIFS('PR Report - SINIYA'!C$62:C$72,'PR Report - SINIYA'!$A$62:$A$72,$A123)+SUMIFS('PR Report - DOWNTOWN'!C$62:C$73,'PR Report - DOWNTOWN'!$A$62:$A$73,$A123)</f>
        <v>189128</v>
      </c>
      <c r="D123" s="8">
        <f>SUMIFS('PR Report - SINIYA'!D$62:D$72,'PR Report - SINIYA'!$A$62:$A$72,$A123)+SUMIFS('PR Report - DOWNTOWN'!D$62:D$73,'PR Report - DOWNTOWN'!$A$62:$A$73,$A123)</f>
        <v>278758</v>
      </c>
      <c r="E123" s="8">
        <f>SUMIFS('PR Report - SINIYA'!E$62:E$72,'PR Report - SINIYA'!$A$62:$A$72,$A123)+SUMIFS('PR Report - DOWNTOWN'!E$62:E$73,'PR Report - DOWNTOWN'!$A$62:$A$73,$A123)</f>
        <v>193251</v>
      </c>
    </row>
    <row r="124" spans="1:5" x14ac:dyDescent="0.25">
      <c r="A124" s="54" t="s">
        <v>39</v>
      </c>
      <c r="B124" s="8">
        <f>SUMIFS('PR Report - SINIYA'!B$62:B$72,'PR Report - SINIYA'!$A$62:$A$72,$A124)+SUMIFS('PR Report - DOWNTOWN'!B$62:B$73,'PR Report - DOWNTOWN'!$A$62:$A$73,$A124)</f>
        <v>0</v>
      </c>
      <c r="C124" s="8">
        <f>SUMIFS('PR Report - SINIYA'!C$62:C$72,'PR Report - SINIYA'!$A$62:$A$72,$A124)+SUMIFS('PR Report - DOWNTOWN'!C$62:C$73,'PR Report - DOWNTOWN'!$A$62:$A$73,$A124)</f>
        <v>0</v>
      </c>
      <c r="D124" s="8">
        <f>SUMIFS('PR Report - SINIYA'!D$62:D$72,'PR Report - SINIYA'!$A$62:$A$72,$A124)+SUMIFS('PR Report - DOWNTOWN'!D$62:D$73,'PR Report - DOWNTOWN'!$A$62:$A$73,$A124)</f>
        <v>0</v>
      </c>
      <c r="E124" s="8">
        <f>SUMIFS('PR Report - SINIYA'!E$62:E$72,'PR Report - SINIYA'!$A$62:$A$72,$A124)+SUMIFS('PR Report - DOWNTOWN'!E$62:E$73,'PR Report - DOWNTOWN'!$A$62:$A$73,$A124)</f>
        <v>0</v>
      </c>
    </row>
    <row r="125" spans="1:5" x14ac:dyDescent="0.25">
      <c r="A125" s="54" t="s">
        <v>38</v>
      </c>
      <c r="B125" s="8">
        <f>SUMIFS('PR Report - SINIYA'!B$62:B$72,'PR Report - SINIYA'!$A$62:$A$72,$A125)+SUMIFS('PR Report - DOWNTOWN'!B$62:B$73,'PR Report - DOWNTOWN'!$A$62:$A$73,$A125)</f>
        <v>0</v>
      </c>
      <c r="C125" s="8">
        <f>SUMIFS('PR Report - SINIYA'!C$62:C$72,'PR Report - SINIYA'!$A$62:$A$72,$A125)+SUMIFS('PR Report - DOWNTOWN'!C$62:C$73,'PR Report - DOWNTOWN'!$A$62:$A$73,$A125)</f>
        <v>0</v>
      </c>
      <c r="D125" s="8">
        <f>SUMIFS('PR Report - SINIYA'!D$62:D$72,'PR Report - SINIYA'!$A$62:$A$72,$A125)+SUMIFS('PR Report - DOWNTOWN'!D$62:D$73,'PR Report - DOWNTOWN'!$A$62:$A$73,$A125)</f>
        <v>0</v>
      </c>
      <c r="E125" s="8">
        <f>SUMIFS('PR Report - SINIYA'!E$62:E$72,'PR Report - SINIYA'!$A$62:$A$72,$A125)+SUMIFS('PR Report - DOWNTOWN'!E$62:E$73,'PR Report - DOWNTOWN'!$A$62:$A$73,$A125)</f>
        <v>0</v>
      </c>
    </row>
    <row r="126" spans="1:5" x14ac:dyDescent="0.25">
      <c r="A126" s="54" t="s">
        <v>46</v>
      </c>
      <c r="B126" s="8">
        <f>SUMIFS('PR Report - SINIYA'!B$62:B$72,'PR Report - SINIYA'!$A$62:$A$72,$A126)+SUMIFS('PR Report - DOWNTOWN'!B$62:B$73,'PR Report - DOWNTOWN'!$A$62:$A$73,$A126)</f>
        <v>0</v>
      </c>
      <c r="C126" s="8">
        <f>SUMIFS('PR Report - SINIYA'!C$62:C$72,'PR Report - SINIYA'!$A$62:$A$72,$A126)+SUMIFS('PR Report - DOWNTOWN'!C$62:C$73,'PR Report - DOWNTOWN'!$A$62:$A$73,$A126)</f>
        <v>0</v>
      </c>
      <c r="D126" s="8">
        <f>SUMIFS('PR Report - SINIYA'!D$62:D$72,'PR Report - SINIYA'!$A$62:$A$72,$A126)+SUMIFS('PR Report - DOWNTOWN'!D$62:D$73,'PR Report - DOWNTOWN'!$A$62:$A$73,$A126)</f>
        <v>0</v>
      </c>
      <c r="E126" s="8">
        <f>SUMIFS('PR Report - SINIYA'!E$62:E$72,'PR Report - SINIYA'!$A$62:$A$72,$A126)+SUMIFS('PR Report - DOWNTOWN'!E$62:E$73,'PR Report - DOWNTOWN'!$A$62:$A$73,$A126)</f>
        <v>0</v>
      </c>
    </row>
    <row r="127" spans="1:5" x14ac:dyDescent="0.25">
      <c r="A127" s="54" t="s">
        <v>43</v>
      </c>
      <c r="B127" s="8">
        <f>SUMIFS('PR Report - SINIYA'!B$62:B$72,'PR Report - SINIYA'!$A$62:$A$72,$A127)+SUMIFS('PR Report - DOWNTOWN'!B$62:B$73,'PR Report - DOWNTOWN'!$A$62:$A$73,$A127)</f>
        <v>138572</v>
      </c>
      <c r="C127" s="8">
        <f>SUMIFS('PR Report - SINIYA'!C$62:C$72,'PR Report - SINIYA'!$A$62:$A$72,$A127)+SUMIFS('PR Report - DOWNTOWN'!C$62:C$73,'PR Report - DOWNTOWN'!$A$62:$A$73,$A127)</f>
        <v>138572</v>
      </c>
      <c r="D127" s="8">
        <f>SUMIFS('PR Report - SINIYA'!D$62:D$72,'PR Report - SINIYA'!$A$62:$A$72,$A127)+SUMIFS('PR Report - DOWNTOWN'!D$62:D$73,'PR Report - DOWNTOWN'!$A$62:$A$73,$A127)</f>
        <v>0</v>
      </c>
      <c r="E127" s="8">
        <f>SUMIFS('PR Report - SINIYA'!E$62:E$72,'PR Report - SINIYA'!$A$62:$A$72,$A127)+SUMIFS('PR Report - DOWNTOWN'!E$62:E$73,'PR Report - DOWNTOWN'!$A$62:$A$73,$A127)</f>
        <v>0</v>
      </c>
    </row>
    <row r="128" spans="1:5" x14ac:dyDescent="0.25">
      <c r="A128" s="54" t="s">
        <v>41</v>
      </c>
      <c r="B128" s="8">
        <f>SUMIFS('PR Report - SINIYA'!B$62:B$72,'PR Report - SINIYA'!$A$62:$A$72,$A128)+SUMIFS('PR Report - DOWNTOWN'!B$62:B$73,'PR Report - DOWNTOWN'!$A$62:$A$73,$A128)</f>
        <v>0</v>
      </c>
      <c r="C128" s="8">
        <f>SUMIFS('PR Report - SINIYA'!C$62:C$72,'PR Report - SINIYA'!$A$62:$A$72,$A128)+SUMIFS('PR Report - DOWNTOWN'!C$62:C$73,'PR Report - DOWNTOWN'!$A$62:$A$73,$A128)</f>
        <v>0</v>
      </c>
      <c r="D128" s="8">
        <f>SUMIFS('PR Report - SINIYA'!D$62:D$72,'PR Report - SINIYA'!$A$62:$A$72,$A128)+SUMIFS('PR Report - DOWNTOWN'!D$62:D$73,'PR Report - DOWNTOWN'!$A$62:$A$73,$A128)</f>
        <v>0</v>
      </c>
      <c r="E128" s="8">
        <f>SUMIFS('PR Report - SINIYA'!E$62:E$72,'PR Report - SINIYA'!$A$62:$A$72,$A128)+SUMIFS('PR Report - DOWNTOWN'!E$62:E$73,'PR Report - DOWNTOWN'!$A$62:$A$73,$A128)</f>
        <v>0</v>
      </c>
    </row>
    <row r="129" spans="1:13" x14ac:dyDescent="0.25">
      <c r="A129" s="54" t="s">
        <v>49</v>
      </c>
      <c r="B129" s="8">
        <f>SUMIFS('PR Report - SINIYA'!B$62:B$72,'PR Report - SINIYA'!$A$62:$A$72,$A129)+SUMIFS('PR Report - DOWNTOWN'!B$62:B$73,'PR Report - DOWNTOWN'!$A$62:$A$73,$A129)</f>
        <v>388807.67999999999</v>
      </c>
      <c r="C129" s="8">
        <f>SUMIFS('PR Report - SINIYA'!C$62:C$72,'PR Report - SINIYA'!$A$62:$A$72,$A129)+SUMIFS('PR Report - DOWNTOWN'!C$62:C$73,'PR Report - DOWNTOWN'!$A$62:$A$73,$A129)</f>
        <v>0</v>
      </c>
      <c r="D129" s="8">
        <f>SUMIFS('PR Report - SINIYA'!D$62:D$72,'PR Report - SINIYA'!$A$62:$A$72,$A129)+SUMIFS('PR Report - DOWNTOWN'!D$62:D$73,'PR Report - DOWNTOWN'!$A$62:$A$73,$A129)</f>
        <v>169807.68</v>
      </c>
      <c r="E129" s="8">
        <f>SUMIFS('PR Report - SINIYA'!E$62:E$72,'PR Report - SINIYA'!$A$62:$A$72,$A129)+SUMIFS('PR Report - DOWNTOWN'!E$62:E$73,'PR Report - DOWNTOWN'!$A$62:$A$73,$A129)</f>
        <v>219000</v>
      </c>
    </row>
    <row r="130" spans="1:13" x14ac:dyDescent="0.25">
      <c r="A130" s="54" t="s">
        <v>42</v>
      </c>
      <c r="B130" s="8">
        <f>SUMIFS('PR Report - SINIYA'!B$62:B$72,'PR Report - SINIYA'!$A$62:$A$72,$A130)+SUMIFS('PR Report - DOWNTOWN'!B$62:B$73,'PR Report - DOWNTOWN'!$A$62:$A$73,$A130)</f>
        <v>141386</v>
      </c>
      <c r="C130" s="8">
        <f>SUMIFS('PR Report - SINIYA'!C$62:C$72,'PR Report - SINIYA'!$A$62:$A$72,$A130)+SUMIFS('PR Report - DOWNTOWN'!C$62:C$73,'PR Report - DOWNTOWN'!$A$62:$A$73,$A130)</f>
        <v>0</v>
      </c>
      <c r="D130" s="8">
        <f>SUMIFS('PR Report - SINIYA'!D$62:D$72,'PR Report - SINIYA'!$A$62:$A$72,$A130)+SUMIFS('PR Report - DOWNTOWN'!D$62:D$73,'PR Report - DOWNTOWN'!$A$62:$A$73,$A130)</f>
        <v>0</v>
      </c>
      <c r="E130" s="8">
        <f>SUMIFS('PR Report - SINIYA'!E$62:E$72,'PR Report - SINIYA'!$A$62:$A$72,$A130)+SUMIFS('PR Report - DOWNTOWN'!E$62:E$73,'PR Report - DOWNTOWN'!$A$62:$A$73,$A130)</f>
        <v>141386</v>
      </c>
    </row>
    <row r="131" spans="1:13" x14ac:dyDescent="0.25">
      <c r="A131" s="54" t="s">
        <v>47</v>
      </c>
      <c r="B131" s="8">
        <f>SUMIFS('PR Report - SINIYA'!B$62:B$72,'PR Report - SINIYA'!$A$62:$A$72,$A131)+SUMIFS('PR Report - DOWNTOWN'!B$62:B$73,'PR Report - DOWNTOWN'!$A$62:$A$73,$A131)</f>
        <v>0</v>
      </c>
      <c r="C131" s="8">
        <f>SUMIFS('PR Report - SINIYA'!C$62:C$72,'PR Report - SINIYA'!$A$62:$A$72,$A131)+SUMIFS('PR Report - DOWNTOWN'!C$62:C$73,'PR Report - DOWNTOWN'!$A$62:$A$73,$A131)</f>
        <v>0</v>
      </c>
      <c r="D131" s="8">
        <f>SUMIFS('PR Report - SINIYA'!D$62:D$72,'PR Report - SINIYA'!$A$62:$A$72,$A131)+SUMIFS('PR Report - DOWNTOWN'!D$62:D$73,'PR Report - DOWNTOWN'!$A$62:$A$73,$A131)</f>
        <v>0</v>
      </c>
      <c r="E131" s="8">
        <f>SUMIFS('PR Report - SINIYA'!E$62:E$72,'PR Report - SINIYA'!$A$62:$A$72,$A131)+SUMIFS('PR Report - DOWNTOWN'!E$62:E$73,'PR Report - DOWNTOWN'!$A$62:$A$73,$A131)</f>
        <v>0</v>
      </c>
    </row>
    <row r="132" spans="1:13" x14ac:dyDescent="0.25">
      <c r="A132" s="54" t="s">
        <v>48</v>
      </c>
      <c r="B132" s="8">
        <f>SUMIFS('PR Report - SINIYA'!B$62:B$72,'PR Report - SINIYA'!$A$62:$A$72,$A132)+SUMIFS('PR Report - DOWNTOWN'!B$62:B$73,'PR Report - DOWNTOWN'!$A$62:$A$73,$A132)</f>
        <v>0</v>
      </c>
      <c r="C132" s="8">
        <f>SUMIFS('PR Report - SINIYA'!C$62:C$72,'PR Report - SINIYA'!$A$62:$A$72,$A132)+SUMIFS('PR Report - DOWNTOWN'!C$62:C$73,'PR Report - DOWNTOWN'!$A$62:$A$73,$A132)</f>
        <v>0</v>
      </c>
      <c r="D132" s="8">
        <f>SUMIFS('PR Report - SINIYA'!D$62:D$72,'PR Report - SINIYA'!$A$62:$A$72,$A132)+SUMIFS('PR Report - DOWNTOWN'!D$62:D$73,'PR Report - DOWNTOWN'!$A$62:$A$73,$A132)</f>
        <v>0</v>
      </c>
      <c r="E132" s="8">
        <f>SUMIFS('PR Report - SINIYA'!E$62:E$72,'PR Report - SINIYA'!$A$62:$A$72,$A132)+SUMIFS('PR Report - DOWNTOWN'!E$62:E$73,'PR Report - DOWNTOWN'!$A$62:$A$73,$A132)</f>
        <v>0</v>
      </c>
    </row>
    <row r="133" spans="1:13" x14ac:dyDescent="0.25">
      <c r="A133" s="54" t="s">
        <v>44</v>
      </c>
      <c r="B133" s="8">
        <f>SUMIFS('PR Report - SINIYA'!B$62:B$72,'PR Report - SINIYA'!$A$62:$A$72,$A133)+SUMIFS('PR Report - DOWNTOWN'!B$62:B$73,'PR Report - DOWNTOWN'!$A$62:$A$73,$A133)</f>
        <v>674242</v>
      </c>
      <c r="C133" s="8">
        <f>SUMIFS('PR Report - SINIYA'!C$62:C$72,'PR Report - SINIYA'!$A$62:$A$72,$A133)+SUMIFS('PR Report - DOWNTOWN'!C$62:C$73,'PR Report - DOWNTOWN'!$A$62:$A$73,$A133)</f>
        <v>115862</v>
      </c>
      <c r="D133" s="8">
        <f>SUMIFS('PR Report - SINIYA'!D$62:D$72,'PR Report - SINIYA'!$A$62:$A$72,$A133)+SUMIFS('PR Report - DOWNTOWN'!D$62:D$73,'PR Report - DOWNTOWN'!$A$62:$A$73,$A133)</f>
        <v>558380</v>
      </c>
      <c r="E133" s="8">
        <f>SUMIFS('PR Report - SINIYA'!E$62:E$72,'PR Report - SINIYA'!$A$62:$A$72,$A133)+SUMIFS('PR Report - DOWNTOWN'!E$62:E$73,'PR Report - DOWNTOWN'!$A$62:$A$73,$A133)</f>
        <v>0</v>
      </c>
    </row>
    <row r="134" spans="1:13" x14ac:dyDescent="0.25">
      <c r="A134" s="64" t="s">
        <v>12</v>
      </c>
      <c r="B134" s="65">
        <f>SUM(B122:B133)</f>
        <v>2004144.68</v>
      </c>
      <c r="C134" s="65">
        <f>SUM(C122:C133)</f>
        <v>443562</v>
      </c>
      <c r="D134" s="65">
        <f>SUM(D122:D133)</f>
        <v>1006945.6799999999</v>
      </c>
      <c r="E134" s="65">
        <f>SUM(E122:E133)</f>
        <v>553637</v>
      </c>
    </row>
    <row r="135" spans="1:13" x14ac:dyDescent="0.25">
      <c r="A135" s="154" t="s">
        <v>42</v>
      </c>
      <c r="B135" s="162">
        <f>SUMIFS('PR Report - SOBHA AUH'!B$61:B$73,'PR Report - SOBHA AUH'!$A$61:$A$73,$A135)</f>
        <v>55000</v>
      </c>
      <c r="C135" s="162">
        <f>SUMIFS('PR Report - SOBHA AUH'!C$61:C$73,'PR Report - SOBHA AUH'!$A$61:$A$73,$A135)</f>
        <v>0</v>
      </c>
      <c r="D135" s="162">
        <f>SUMIFS('PR Report - SOBHA AUH'!D$61:D$73,'PR Report - SOBHA AUH'!$A$61:$A$73,$A135)</f>
        <v>0</v>
      </c>
      <c r="E135" s="162">
        <f>SUMIFS('PR Report - SOBHA AUH'!E$61:E$73,'PR Report - SOBHA AUH'!$A$61:$A$73,$A135)</f>
        <v>55000</v>
      </c>
    </row>
    <row r="136" spans="1:13" x14ac:dyDescent="0.25">
      <c r="A136" s="154" t="s">
        <v>49</v>
      </c>
      <c r="B136" s="162">
        <f>SUMIFS('PR Report - SOBHA AUH'!B$61:B$73,'PR Report - SOBHA AUH'!$A$61:$A$73,$A136)</f>
        <v>0</v>
      </c>
      <c r="C136" s="162">
        <f>SUMIFS('PR Report - SOBHA AUH'!C$61:C$73,'PR Report - SOBHA AUH'!$A$61:$A$73,$A136)</f>
        <v>0</v>
      </c>
      <c r="D136" s="162">
        <f>SUMIFS('PR Report - SOBHA AUH'!D$61:D$73,'PR Report - SOBHA AUH'!$A$61:$A$73,$A136)</f>
        <v>0</v>
      </c>
      <c r="E136" s="162">
        <f>SUMIFS('PR Report - SOBHA AUH'!E$61:E$73,'PR Report - SOBHA AUH'!$A$61:$A$73,$A136)</f>
        <v>0</v>
      </c>
    </row>
    <row r="137" spans="1:13" x14ac:dyDescent="0.25">
      <c r="A137" s="64" t="s">
        <v>80</v>
      </c>
      <c r="B137" s="65">
        <f>SUM(B135:B136)</f>
        <v>55000</v>
      </c>
      <c r="C137" s="65">
        <f t="shared" ref="C137:E137" si="8">SUM(C135:C136)</f>
        <v>0</v>
      </c>
      <c r="D137" s="65">
        <f t="shared" si="8"/>
        <v>0</v>
      </c>
      <c r="E137" s="65">
        <f t="shared" si="8"/>
        <v>55000</v>
      </c>
    </row>
    <row r="138" spans="1:13" x14ac:dyDescent="0.25">
      <c r="A138" s="156" t="s">
        <v>50</v>
      </c>
      <c r="B138" s="167">
        <f>SUM(B134,B121,B137)</f>
        <v>22943525.239999998</v>
      </c>
      <c r="C138" s="167">
        <f t="shared" ref="C138:E138" si="9">SUM(C134,C121,C137)</f>
        <v>8596615.9800000004</v>
      </c>
      <c r="D138" s="167">
        <f t="shared" si="9"/>
        <v>2223897.46</v>
      </c>
      <c r="E138" s="167">
        <f t="shared" si="9"/>
        <v>11149671.800000001</v>
      </c>
    </row>
    <row r="139" spans="1:13" x14ac:dyDescent="0.25">
      <c r="A139" s="24" t="s">
        <v>6</v>
      </c>
      <c r="B139" s="168">
        <f>SUM(B138,B106)</f>
        <v>148722118.08999997</v>
      </c>
      <c r="C139" s="168">
        <f>SUM(C138,C106)</f>
        <v>58732063.090000004</v>
      </c>
      <c r="D139" s="168">
        <f>SUM(D138,D106)</f>
        <v>27285865.93</v>
      </c>
      <c r="E139" s="168">
        <f>SUM(E138,E106)</f>
        <v>65388082.36999999</v>
      </c>
    </row>
    <row r="141" spans="1:13" ht="18.75" x14ac:dyDescent="0.25">
      <c r="A141" s="169" t="s">
        <v>79</v>
      </c>
      <c r="B141" s="169"/>
      <c r="C141" s="170" t="s">
        <v>64</v>
      </c>
      <c r="D141" s="170"/>
      <c r="E141" s="170"/>
      <c r="F141" s="170"/>
      <c r="G141" s="170"/>
      <c r="H141" s="170"/>
      <c r="I141" s="171" t="s">
        <v>65</v>
      </c>
      <c r="J141" s="171"/>
      <c r="K141" s="171"/>
      <c r="L141" s="171"/>
      <c r="M141" s="171"/>
    </row>
    <row r="142" spans="1:13" ht="38.25" x14ac:dyDescent="0.25">
      <c r="A142" s="47" t="s">
        <v>0</v>
      </c>
      <c r="B142" s="98" t="s">
        <v>56</v>
      </c>
      <c r="C142" s="172" t="s">
        <v>66</v>
      </c>
      <c r="D142" s="53" t="s">
        <v>67</v>
      </c>
      <c r="E142" s="53" t="s">
        <v>68</v>
      </c>
      <c r="F142" s="173" t="s">
        <v>69</v>
      </c>
      <c r="G142" s="173" t="s">
        <v>70</v>
      </c>
      <c r="H142" s="174" t="s">
        <v>71</v>
      </c>
      <c r="I142" s="172" t="s">
        <v>72</v>
      </c>
      <c r="J142" s="53" t="s">
        <v>66</v>
      </c>
      <c r="K142" s="53" t="s">
        <v>67</v>
      </c>
      <c r="L142" s="174" t="s">
        <v>71</v>
      </c>
      <c r="M142" s="144" t="s">
        <v>73</v>
      </c>
    </row>
    <row r="143" spans="1:13" x14ac:dyDescent="0.25">
      <c r="A143" s="175" t="s">
        <v>7</v>
      </c>
      <c r="B143" s="175"/>
      <c r="C143" s="175"/>
      <c r="D143" s="175"/>
      <c r="E143" s="175"/>
      <c r="F143" s="175"/>
      <c r="G143" s="175"/>
      <c r="H143" s="175"/>
      <c r="I143" s="175"/>
      <c r="J143" s="175"/>
      <c r="K143" s="175"/>
      <c r="L143" s="175"/>
      <c r="M143" s="175"/>
    </row>
    <row r="144" spans="1:13" x14ac:dyDescent="0.25">
      <c r="A144" s="54" t="s">
        <v>14</v>
      </c>
      <c r="B144" s="85">
        <f>SUMIFS('PR Report - SOBHA '!B$92:B$114,'PR Report - SOBHA '!$A$92:$A$114,$A144)</f>
        <v>6097448.3999999994</v>
      </c>
      <c r="C144" s="85">
        <f>SUMIFS('PR Report - SOBHA '!C$92:C$114,'PR Report - SOBHA '!$A$92:$A$114,$A144)</f>
        <v>0</v>
      </c>
      <c r="D144" s="85">
        <f>SUMIFS('PR Report - SOBHA '!D$92:D$114,'PR Report - SOBHA '!$A$92:$A$114,$A144)</f>
        <v>229359</v>
      </c>
      <c r="E144" s="85">
        <f>SUMIFS('PR Report - SOBHA '!E$92:E$114,'PR Report - SOBHA '!$A$92:$A$114,$A144)</f>
        <v>0</v>
      </c>
      <c r="F144" s="85">
        <f>SUMIFS('PR Report - SOBHA '!F$92:F$114,'PR Report - SOBHA '!$A$92:$A$114,$A144)</f>
        <v>0</v>
      </c>
      <c r="G144" s="85">
        <f>SUMIFS('PR Report - SOBHA '!G$92:G$114,'PR Report - SOBHA '!$A$92:$A$114,$A144)</f>
        <v>0</v>
      </c>
      <c r="H144" s="85">
        <f>SUMIFS('PR Report - SOBHA '!H$92:H$114,'PR Report - SOBHA '!$A$92:$A$114,$A144)</f>
        <v>1618007</v>
      </c>
      <c r="I144" s="85">
        <f>SUMIFS('PR Report - SOBHA '!I$92:I$114,'PR Report - SOBHA '!$A$92:$A$114,$A144)</f>
        <v>0</v>
      </c>
      <c r="J144" s="85">
        <f>SUMIFS('PR Report - SOBHA '!J$92:J$114,'PR Report - SOBHA '!$A$92:$A$114,$A144)</f>
        <v>0</v>
      </c>
      <c r="K144" s="85">
        <f>SUMIFS('PR Report - SOBHA '!K$92:K$114,'PR Report - SOBHA '!$A$92:$A$114,$A144)</f>
        <v>4250082.4000000004</v>
      </c>
      <c r="L144" s="85">
        <f>SUMIFS('PR Report - SOBHA '!L$92:L$114,'PR Report - SOBHA '!$A$92:$A$114,$A144)</f>
        <v>0</v>
      </c>
      <c r="M144" s="85">
        <f>SUMIFS('PR Report - SOBHA '!M$92:M$114,'PR Report - SOBHA '!$A$92:$A$114,$A144)</f>
        <v>0</v>
      </c>
    </row>
    <row r="145" spans="1:13" x14ac:dyDescent="0.25">
      <c r="A145" s="54" t="s">
        <v>15</v>
      </c>
      <c r="B145" s="85">
        <f>SUMIFS('PR Report - SOBHA '!B$92:B$114,'PR Report - SOBHA '!$A$92:$A$114,$A145)</f>
        <v>12626119.09</v>
      </c>
      <c r="C145" s="85">
        <f>SUMIFS('PR Report - SOBHA '!C$92:C$114,'PR Report - SOBHA '!$A$92:$A$114,$A145)</f>
        <v>0</v>
      </c>
      <c r="D145" s="85">
        <f>SUMIFS('PR Report - SOBHA '!D$92:D$114,'PR Report - SOBHA '!$A$92:$A$114,$A145)</f>
        <v>1913650</v>
      </c>
      <c r="E145" s="85">
        <f>SUMIFS('PR Report - SOBHA '!E$92:E$114,'PR Report - SOBHA '!$A$92:$A$114,$A145)</f>
        <v>3786094</v>
      </c>
      <c r="F145" s="85">
        <f>SUMIFS('PR Report - SOBHA '!F$92:F$114,'PR Report - SOBHA '!$A$92:$A$114,$A145)</f>
        <v>0</v>
      </c>
      <c r="G145" s="85">
        <f>SUMIFS('PR Report - SOBHA '!G$92:G$114,'PR Report - SOBHA '!$A$92:$A$114,$A145)</f>
        <v>0</v>
      </c>
      <c r="H145" s="85">
        <f>SUMIFS('PR Report - SOBHA '!H$92:H$114,'PR Report - SOBHA '!$A$92:$A$114,$A145)</f>
        <v>500000</v>
      </c>
      <c r="I145" s="85">
        <f>SUMIFS('PR Report - SOBHA '!I$92:I$114,'PR Report - SOBHA '!$A$92:$A$114,$A145)</f>
        <v>0</v>
      </c>
      <c r="J145" s="85">
        <f>SUMIFS('PR Report - SOBHA '!J$92:J$114,'PR Report - SOBHA '!$A$92:$A$114,$A145)</f>
        <v>0</v>
      </c>
      <c r="K145" s="85">
        <f>SUMIFS('PR Report - SOBHA '!K$92:K$114,'PR Report - SOBHA '!$A$92:$A$114,$A145)</f>
        <v>6426375.0899999999</v>
      </c>
      <c r="L145" s="85">
        <f>SUMIFS('PR Report - SOBHA '!L$92:L$114,'PR Report - SOBHA '!$A$92:$A$114,$A145)</f>
        <v>0</v>
      </c>
      <c r="M145" s="85">
        <f>SUMIFS('PR Report - SOBHA '!M$92:M$114,'PR Report - SOBHA '!$A$92:$A$114,$A145)</f>
        <v>0</v>
      </c>
    </row>
    <row r="146" spans="1:13" x14ac:dyDescent="0.25">
      <c r="A146" s="54" t="s">
        <v>13</v>
      </c>
      <c r="B146" s="85">
        <f>SUMIFS('PR Report - SOBHA '!B$92:B$114,'PR Report - SOBHA '!$A$92:$A$114,$A146)</f>
        <v>5649097.7199999997</v>
      </c>
      <c r="C146" s="85">
        <f>SUMIFS('PR Report - SOBHA '!C$92:C$114,'PR Report - SOBHA '!$A$92:$A$114,$A146)</f>
        <v>0</v>
      </c>
      <c r="D146" s="85">
        <f>SUMIFS('PR Report - SOBHA '!D$92:D$114,'PR Report - SOBHA '!$A$92:$A$114,$A146)</f>
        <v>0</v>
      </c>
      <c r="E146" s="85">
        <f>SUMIFS('PR Report - SOBHA '!E$92:E$114,'PR Report - SOBHA '!$A$92:$A$114,$A146)</f>
        <v>0</v>
      </c>
      <c r="F146" s="85">
        <f>SUMIFS('PR Report - SOBHA '!F$92:F$114,'PR Report - SOBHA '!$A$92:$A$114,$A146)</f>
        <v>0</v>
      </c>
      <c r="G146" s="85">
        <f>SUMIFS('PR Report - SOBHA '!G$92:G$114,'PR Report - SOBHA '!$A$92:$A$114,$A146)</f>
        <v>0</v>
      </c>
      <c r="H146" s="85">
        <f>SUMIFS('PR Report - SOBHA '!H$92:H$114,'PR Report - SOBHA '!$A$92:$A$114,$A146)</f>
        <v>0</v>
      </c>
      <c r="I146" s="85">
        <f>SUMIFS('PR Report - SOBHA '!I$92:I$114,'PR Report - SOBHA '!$A$92:$A$114,$A146)</f>
        <v>1108547.07</v>
      </c>
      <c r="J146" s="85">
        <f>SUMIFS('PR Report - SOBHA '!J$92:J$114,'PR Report - SOBHA '!$A$92:$A$114,$A146)</f>
        <v>0</v>
      </c>
      <c r="K146" s="85">
        <f>SUMIFS('PR Report - SOBHA '!K$92:K$114,'PR Report - SOBHA '!$A$92:$A$114,$A146)</f>
        <v>4540550.6500000004</v>
      </c>
      <c r="L146" s="85">
        <f>SUMIFS('PR Report - SOBHA '!L$92:L$114,'PR Report - SOBHA '!$A$92:$A$114,$A146)</f>
        <v>0</v>
      </c>
      <c r="M146" s="85">
        <f>SUMIFS('PR Report - SOBHA '!M$92:M$114,'PR Report - SOBHA '!$A$92:$A$114,$A146)</f>
        <v>0</v>
      </c>
    </row>
    <row r="147" spans="1:13" x14ac:dyDescent="0.25">
      <c r="A147" s="54" t="s">
        <v>17</v>
      </c>
      <c r="B147" s="85">
        <f>SUMIFS('PR Report - SOBHA '!B$92:B$114,'PR Report - SOBHA '!$A$92:$A$114,$A147)</f>
        <v>1317193.7</v>
      </c>
      <c r="C147" s="85">
        <f>SUMIFS('PR Report - SOBHA '!C$92:C$114,'PR Report - SOBHA '!$A$92:$A$114,$A147)</f>
        <v>0</v>
      </c>
      <c r="D147" s="85">
        <f>SUMIFS('PR Report - SOBHA '!D$92:D$114,'PR Report - SOBHA '!$A$92:$A$114,$A147)</f>
        <v>0</v>
      </c>
      <c r="E147" s="85">
        <f>SUMIFS('PR Report - SOBHA '!E$92:E$114,'PR Report - SOBHA '!$A$92:$A$114,$A147)</f>
        <v>0</v>
      </c>
      <c r="F147" s="85">
        <f>SUMIFS('PR Report - SOBHA '!F$92:F$114,'PR Report - SOBHA '!$A$92:$A$114,$A147)</f>
        <v>0</v>
      </c>
      <c r="G147" s="85">
        <f>SUMIFS('PR Report - SOBHA '!G$92:G$114,'PR Report - SOBHA '!$A$92:$A$114,$A147)</f>
        <v>0</v>
      </c>
      <c r="H147" s="85">
        <f>SUMIFS('PR Report - SOBHA '!H$92:H$114,'PR Report - SOBHA '!$A$92:$A$114,$A147)</f>
        <v>0</v>
      </c>
      <c r="I147" s="85">
        <f>SUMIFS('PR Report - SOBHA '!I$92:I$114,'PR Report - SOBHA '!$A$92:$A$114,$A147)</f>
        <v>0</v>
      </c>
      <c r="J147" s="85">
        <f>SUMIFS('PR Report - SOBHA '!J$92:J$114,'PR Report - SOBHA '!$A$92:$A$114,$A147)</f>
        <v>0</v>
      </c>
      <c r="K147" s="85">
        <f>SUMIFS('PR Report - SOBHA '!K$92:K$114,'PR Report - SOBHA '!$A$92:$A$114,$A147)</f>
        <v>1317193.7</v>
      </c>
      <c r="L147" s="85">
        <f>SUMIFS('PR Report - SOBHA '!L$92:L$114,'PR Report - SOBHA '!$A$92:$A$114,$A147)</f>
        <v>0</v>
      </c>
      <c r="M147" s="85">
        <f>SUMIFS('PR Report - SOBHA '!M$92:M$114,'PR Report - SOBHA '!$A$92:$A$114,$A147)</f>
        <v>0</v>
      </c>
    </row>
    <row r="148" spans="1:13" x14ac:dyDescent="0.25">
      <c r="A148" s="54" t="s">
        <v>31</v>
      </c>
      <c r="B148" s="85">
        <f>SUMIFS('PR Report - SOBHA '!B$92:B$114,'PR Report - SOBHA '!$A$92:$A$114,$A148)</f>
        <v>3510870.31</v>
      </c>
      <c r="C148" s="85">
        <f>SUMIFS('PR Report - SOBHA '!C$92:C$114,'PR Report - SOBHA '!$A$92:$A$114,$A148)</f>
        <v>0</v>
      </c>
      <c r="D148" s="85">
        <f>SUMIFS('PR Report - SOBHA '!D$92:D$114,'PR Report - SOBHA '!$A$92:$A$114,$A148)</f>
        <v>0</v>
      </c>
      <c r="E148" s="85">
        <f>SUMIFS('PR Report - SOBHA '!E$92:E$114,'PR Report - SOBHA '!$A$92:$A$114,$A148)</f>
        <v>0</v>
      </c>
      <c r="F148" s="85">
        <f>SUMIFS('PR Report - SOBHA '!F$92:F$114,'PR Report - SOBHA '!$A$92:$A$114,$A148)</f>
        <v>0</v>
      </c>
      <c r="G148" s="85">
        <f>SUMIFS('PR Report - SOBHA '!G$92:G$114,'PR Report - SOBHA '!$A$92:$A$114,$A148)</f>
        <v>0</v>
      </c>
      <c r="H148" s="85">
        <f>SUMIFS('PR Report - SOBHA '!H$92:H$114,'PR Report - SOBHA '!$A$92:$A$114,$A148)</f>
        <v>150000</v>
      </c>
      <c r="I148" s="85">
        <f>SUMIFS('PR Report - SOBHA '!I$92:I$114,'PR Report - SOBHA '!$A$92:$A$114,$A148)</f>
        <v>165207.41</v>
      </c>
      <c r="J148" s="85">
        <f>SUMIFS('PR Report - SOBHA '!J$92:J$114,'PR Report - SOBHA '!$A$92:$A$114,$A148)</f>
        <v>0</v>
      </c>
      <c r="K148" s="85">
        <f>SUMIFS('PR Report - SOBHA '!K$92:K$114,'PR Report - SOBHA '!$A$92:$A$114,$A148)</f>
        <v>3195662.9</v>
      </c>
      <c r="L148" s="85">
        <f>SUMIFS('PR Report - SOBHA '!L$92:L$114,'PR Report - SOBHA '!$A$92:$A$114,$A148)</f>
        <v>0</v>
      </c>
      <c r="M148" s="85">
        <f>SUMIFS('PR Report - SOBHA '!M$92:M$114,'PR Report - SOBHA '!$A$92:$A$114,$A148)</f>
        <v>0</v>
      </c>
    </row>
    <row r="149" spans="1:13" x14ac:dyDescent="0.25">
      <c r="A149" s="54" t="s">
        <v>27</v>
      </c>
      <c r="B149" s="85">
        <f>SUMIFS('PR Report - SOBHA '!B$92:B$114,'PR Report - SOBHA '!$A$92:$A$114,$A149)</f>
        <v>12317751.159999998</v>
      </c>
      <c r="C149" s="85">
        <f>SUMIFS('PR Report - SOBHA '!C$92:C$114,'PR Report - SOBHA '!$A$92:$A$114,$A149)</f>
        <v>0</v>
      </c>
      <c r="D149" s="85">
        <f>SUMIFS('PR Report - SOBHA '!D$92:D$114,'PR Report - SOBHA '!$A$92:$A$114,$A149)</f>
        <v>7800000</v>
      </c>
      <c r="E149" s="85">
        <f>SUMIFS('PR Report - SOBHA '!E$92:E$114,'PR Report - SOBHA '!$A$92:$A$114,$A149)</f>
        <v>0</v>
      </c>
      <c r="F149" s="85">
        <f>SUMIFS('PR Report - SOBHA '!F$92:F$114,'PR Report - SOBHA '!$A$92:$A$114,$A149)</f>
        <v>0</v>
      </c>
      <c r="G149" s="85">
        <f>SUMIFS('PR Report - SOBHA '!G$92:G$114,'PR Report - SOBHA '!$A$92:$A$114,$A149)</f>
        <v>0</v>
      </c>
      <c r="H149" s="85">
        <f>SUMIFS('PR Report - SOBHA '!H$92:H$114,'PR Report - SOBHA '!$A$92:$A$114,$A149)</f>
        <v>0</v>
      </c>
      <c r="I149" s="85">
        <f>SUMIFS('PR Report - SOBHA '!I$92:I$114,'PR Report - SOBHA '!$A$92:$A$114,$A149)</f>
        <v>205520.94</v>
      </c>
      <c r="J149" s="85">
        <f>SUMIFS('PR Report - SOBHA '!J$92:J$114,'PR Report - SOBHA '!$A$92:$A$114,$A149)</f>
        <v>0</v>
      </c>
      <c r="K149" s="85">
        <f>SUMIFS('PR Report - SOBHA '!K$92:K$114,'PR Report - SOBHA '!$A$92:$A$114,$A149)</f>
        <v>3660471.2199999993</v>
      </c>
      <c r="L149" s="85">
        <f>SUMIFS('PR Report - SOBHA '!L$92:L$114,'PR Report - SOBHA '!$A$92:$A$114,$A149)</f>
        <v>0</v>
      </c>
      <c r="M149" s="85">
        <f>SUMIFS('PR Report - SOBHA '!M$92:M$114,'PR Report - SOBHA '!$A$92:$A$114,$A149)</f>
        <v>651758.99999999814</v>
      </c>
    </row>
    <row r="150" spans="1:13" x14ac:dyDescent="0.25">
      <c r="A150" s="54" t="s">
        <v>18</v>
      </c>
      <c r="B150" s="85">
        <f>SUMIFS('PR Report - SOBHA '!B$92:B$114,'PR Report - SOBHA '!$A$92:$A$114,$A150)</f>
        <v>5271884.8</v>
      </c>
      <c r="C150" s="85">
        <f>SUMIFS('PR Report - SOBHA '!C$92:C$114,'PR Report - SOBHA '!$A$92:$A$114,$A150)</f>
        <v>0</v>
      </c>
      <c r="D150" s="85">
        <f>SUMIFS('PR Report - SOBHA '!D$92:D$114,'PR Report - SOBHA '!$A$92:$A$114,$A150)</f>
        <v>0</v>
      </c>
      <c r="E150" s="85">
        <f>SUMIFS('PR Report - SOBHA '!E$92:E$114,'PR Report - SOBHA '!$A$92:$A$114,$A150)</f>
        <v>0</v>
      </c>
      <c r="F150" s="85">
        <f>SUMIFS('PR Report - SOBHA '!F$92:F$114,'PR Report - SOBHA '!$A$92:$A$114,$A150)</f>
        <v>0</v>
      </c>
      <c r="G150" s="85">
        <f>SUMIFS('PR Report - SOBHA '!G$92:G$114,'PR Report - SOBHA '!$A$92:$A$114,$A150)</f>
        <v>0</v>
      </c>
      <c r="H150" s="85">
        <f>SUMIFS('PR Report - SOBHA '!H$92:H$114,'PR Report - SOBHA '!$A$92:$A$114,$A150)</f>
        <v>1212616</v>
      </c>
      <c r="I150" s="85">
        <f>SUMIFS('PR Report - SOBHA '!I$92:I$114,'PR Report - SOBHA '!$A$92:$A$114,$A150)</f>
        <v>0</v>
      </c>
      <c r="J150" s="85">
        <f>SUMIFS('PR Report - SOBHA '!J$92:J$114,'PR Report - SOBHA '!$A$92:$A$114,$A150)</f>
        <v>0</v>
      </c>
      <c r="K150" s="85">
        <f>SUMIFS('PR Report - SOBHA '!K$92:K$114,'PR Report - SOBHA '!$A$92:$A$114,$A150)</f>
        <v>4059268.8000000003</v>
      </c>
      <c r="L150" s="85">
        <f>SUMIFS('PR Report - SOBHA '!L$92:L$114,'PR Report - SOBHA '!$A$92:$A$114,$A150)</f>
        <v>0</v>
      </c>
      <c r="M150" s="85">
        <f>SUMIFS('PR Report - SOBHA '!M$92:M$114,'PR Report - SOBHA '!$A$92:$A$114,$A150)</f>
        <v>0</v>
      </c>
    </row>
    <row r="151" spans="1:13" x14ac:dyDescent="0.25">
      <c r="A151" s="54" t="s">
        <v>34</v>
      </c>
      <c r="B151" s="85">
        <f>SUMIFS('PR Report - SOBHA '!B$92:B$114,'PR Report - SOBHA '!$A$92:$A$114,$A151)</f>
        <v>7772319.2700000005</v>
      </c>
      <c r="C151" s="85">
        <f>SUMIFS('PR Report - SOBHA '!C$92:C$114,'PR Report - SOBHA '!$A$92:$A$114,$A151)</f>
        <v>0</v>
      </c>
      <c r="D151" s="85">
        <f>SUMIFS('PR Report - SOBHA '!D$92:D$114,'PR Report - SOBHA '!$A$92:$A$114,$A151)</f>
        <v>0</v>
      </c>
      <c r="E151" s="85">
        <f>SUMIFS('PR Report - SOBHA '!E$92:E$114,'PR Report - SOBHA '!$A$92:$A$114,$A151)</f>
        <v>0</v>
      </c>
      <c r="F151" s="85">
        <f>SUMIFS('PR Report - SOBHA '!F$92:F$114,'PR Report - SOBHA '!$A$92:$A$114,$A151)</f>
        <v>0</v>
      </c>
      <c r="G151" s="85">
        <f>SUMIFS('PR Report - SOBHA '!G$92:G$114,'PR Report - SOBHA '!$A$92:$A$114,$A151)</f>
        <v>0</v>
      </c>
      <c r="H151" s="85">
        <f>SUMIFS('PR Report - SOBHA '!H$92:H$114,'PR Report - SOBHA '!$A$92:$A$114,$A151)</f>
        <v>684798.4</v>
      </c>
      <c r="I151" s="85">
        <f>SUMIFS('PR Report - SOBHA '!I$92:I$114,'PR Report - SOBHA '!$A$92:$A$114,$A151)</f>
        <v>0</v>
      </c>
      <c r="J151" s="85">
        <f>SUMIFS('PR Report - SOBHA '!J$92:J$114,'PR Report - SOBHA '!$A$92:$A$114,$A151)</f>
        <v>0</v>
      </c>
      <c r="K151" s="85">
        <f>SUMIFS('PR Report - SOBHA '!K$92:K$114,'PR Report - SOBHA '!$A$92:$A$114,$A151)</f>
        <v>7087520.8700000001</v>
      </c>
      <c r="L151" s="85">
        <f>SUMIFS('PR Report - SOBHA '!L$92:L$114,'PR Report - SOBHA '!$A$92:$A$114,$A151)</f>
        <v>0</v>
      </c>
      <c r="M151" s="85">
        <f>SUMIFS('PR Report - SOBHA '!M$92:M$114,'PR Report - SOBHA '!$A$92:$A$114,$A151)</f>
        <v>0</v>
      </c>
    </row>
    <row r="152" spans="1:13" x14ac:dyDescent="0.25">
      <c r="A152" s="54" t="s">
        <v>25</v>
      </c>
      <c r="B152" s="85">
        <f>SUMIFS('PR Report - SOBHA '!B$92:B$114,'PR Report - SOBHA '!$A$92:$A$114,$A152)</f>
        <v>6961773.8399999989</v>
      </c>
      <c r="C152" s="85">
        <f>SUMIFS('PR Report - SOBHA '!C$92:C$114,'PR Report - SOBHA '!$A$92:$A$114,$A152)</f>
        <v>0</v>
      </c>
      <c r="D152" s="85">
        <f>SUMIFS('PR Report - SOBHA '!D$92:D$114,'PR Report - SOBHA '!$A$92:$A$114,$A152)</f>
        <v>518096</v>
      </c>
      <c r="E152" s="85">
        <f>SUMIFS('PR Report - SOBHA '!E$92:E$114,'PR Report - SOBHA '!$A$92:$A$114,$A152)</f>
        <v>0</v>
      </c>
      <c r="F152" s="85">
        <f>SUMIFS('PR Report - SOBHA '!F$92:F$114,'PR Report - SOBHA '!$A$92:$A$114,$A152)</f>
        <v>0</v>
      </c>
      <c r="G152" s="85">
        <f>SUMIFS('PR Report - SOBHA '!G$92:G$114,'PR Report - SOBHA '!$A$92:$A$114,$A152)</f>
        <v>0</v>
      </c>
      <c r="H152" s="85">
        <f>SUMIFS('PR Report - SOBHA '!H$92:H$114,'PR Report - SOBHA '!$A$92:$A$114,$A152)</f>
        <v>198220</v>
      </c>
      <c r="I152" s="85">
        <f>SUMIFS('PR Report - SOBHA '!I$92:I$114,'PR Report - SOBHA '!$A$92:$A$114,$A152)</f>
        <v>0</v>
      </c>
      <c r="J152" s="85">
        <f>SUMIFS('PR Report - SOBHA '!J$92:J$114,'PR Report - SOBHA '!$A$92:$A$114,$A152)</f>
        <v>0</v>
      </c>
      <c r="K152" s="85">
        <f>SUMIFS('PR Report - SOBHA '!K$92:K$114,'PR Report - SOBHA '!$A$92:$A$114,$A152)</f>
        <v>5879667.8399999989</v>
      </c>
      <c r="L152" s="85">
        <f>SUMIFS('PR Report - SOBHA '!L$92:L$114,'PR Report - SOBHA '!$A$92:$A$114,$A152)</f>
        <v>0</v>
      </c>
      <c r="M152" s="85">
        <f>SUMIFS('PR Report - SOBHA '!M$92:M$114,'PR Report - SOBHA '!$A$92:$A$114,$A152)</f>
        <v>365790</v>
      </c>
    </row>
    <row r="153" spans="1:13" x14ac:dyDescent="0.25">
      <c r="A153" s="54" t="s">
        <v>16</v>
      </c>
      <c r="B153" s="85">
        <f>SUMIFS('PR Report - SOBHA '!B$92:B$114,'PR Report - SOBHA '!$A$92:$A$114,$A153)</f>
        <v>5336207.01</v>
      </c>
      <c r="C153" s="85">
        <f>SUMIFS('PR Report - SOBHA '!C$92:C$114,'PR Report - SOBHA '!$A$92:$A$114,$A153)</f>
        <v>0</v>
      </c>
      <c r="D153" s="85">
        <f>SUMIFS('PR Report - SOBHA '!D$92:D$114,'PR Report - SOBHA '!$A$92:$A$114,$A153)</f>
        <v>0</v>
      </c>
      <c r="E153" s="85">
        <f>SUMIFS('PR Report - SOBHA '!E$92:E$114,'PR Report - SOBHA '!$A$92:$A$114,$A153)</f>
        <v>0</v>
      </c>
      <c r="F153" s="85">
        <f>SUMIFS('PR Report - SOBHA '!F$92:F$114,'PR Report - SOBHA '!$A$92:$A$114,$A153)</f>
        <v>0</v>
      </c>
      <c r="G153" s="85">
        <f>SUMIFS('PR Report - SOBHA '!G$92:G$114,'PR Report - SOBHA '!$A$92:$A$114,$A153)</f>
        <v>0</v>
      </c>
      <c r="H153" s="85">
        <f>SUMIFS('PR Report - SOBHA '!H$92:H$114,'PR Report - SOBHA '!$A$92:$A$114,$A153)</f>
        <v>0</v>
      </c>
      <c r="I153" s="85">
        <f>SUMIFS('PR Report - SOBHA '!I$92:I$114,'PR Report - SOBHA '!$A$92:$A$114,$A153)</f>
        <v>0</v>
      </c>
      <c r="J153" s="85">
        <f>SUMIFS('PR Report - SOBHA '!J$92:J$114,'PR Report - SOBHA '!$A$92:$A$114,$A153)</f>
        <v>0</v>
      </c>
      <c r="K153" s="85">
        <f>SUMIFS('PR Report - SOBHA '!K$92:K$114,'PR Report - SOBHA '!$A$92:$A$114,$A153)</f>
        <v>5336207.01</v>
      </c>
      <c r="L153" s="85">
        <f>SUMIFS('PR Report - SOBHA '!L$92:L$114,'PR Report - SOBHA '!$A$92:$A$114,$A153)</f>
        <v>0</v>
      </c>
      <c r="M153" s="85">
        <f>SUMIFS('PR Report - SOBHA '!M$92:M$114,'PR Report - SOBHA '!$A$92:$A$114,$A153)</f>
        <v>0</v>
      </c>
    </row>
    <row r="154" spans="1:13" x14ac:dyDescent="0.25">
      <c r="A154" s="54" t="s">
        <v>19</v>
      </c>
      <c r="B154" s="85">
        <f>SUMIFS('PR Report - SOBHA '!B$92:B$114,'PR Report - SOBHA '!$A$92:$A$114,$A154)</f>
        <v>3957231.39</v>
      </c>
      <c r="C154" s="85">
        <f>SUMIFS('PR Report - SOBHA '!C$92:C$114,'PR Report - SOBHA '!$A$92:$A$114,$A154)</f>
        <v>0</v>
      </c>
      <c r="D154" s="85">
        <f>SUMIFS('PR Report - SOBHA '!D$92:D$114,'PR Report - SOBHA '!$A$92:$A$114,$A154)</f>
        <v>502000</v>
      </c>
      <c r="E154" s="85">
        <f>SUMIFS('PR Report - SOBHA '!E$92:E$114,'PR Report - SOBHA '!$A$92:$A$114,$A154)</f>
        <v>0</v>
      </c>
      <c r="F154" s="85">
        <f>SUMIFS('PR Report - SOBHA '!F$92:F$114,'PR Report - SOBHA '!$A$92:$A$114,$A154)</f>
        <v>0</v>
      </c>
      <c r="G154" s="85">
        <f>SUMIFS('PR Report - SOBHA '!G$92:G$114,'PR Report - SOBHA '!$A$92:$A$114,$A154)</f>
        <v>0</v>
      </c>
      <c r="H154" s="85">
        <f>SUMIFS('PR Report - SOBHA '!H$92:H$114,'PR Report - SOBHA '!$A$92:$A$114,$A154)</f>
        <v>679221.7</v>
      </c>
      <c r="I154" s="85">
        <f>SUMIFS('PR Report - SOBHA '!I$92:I$114,'PR Report - SOBHA '!$A$92:$A$114,$A154)</f>
        <v>0</v>
      </c>
      <c r="J154" s="85">
        <f>SUMIFS('PR Report - SOBHA '!J$92:J$114,'PR Report - SOBHA '!$A$92:$A$114,$A154)</f>
        <v>0</v>
      </c>
      <c r="K154" s="85">
        <f>SUMIFS('PR Report - SOBHA '!K$92:K$114,'PR Report - SOBHA '!$A$92:$A$114,$A154)</f>
        <v>2776009.69</v>
      </c>
      <c r="L154" s="85">
        <f>SUMIFS('PR Report - SOBHA '!L$92:L$114,'PR Report - SOBHA '!$A$92:$A$114,$A154)</f>
        <v>0</v>
      </c>
      <c r="M154" s="85">
        <f>SUMIFS('PR Report - SOBHA '!M$92:M$114,'PR Report - SOBHA '!$A$92:$A$114,$A154)</f>
        <v>0</v>
      </c>
    </row>
    <row r="155" spans="1:13" x14ac:dyDescent="0.25">
      <c r="A155" s="54" t="s">
        <v>28</v>
      </c>
      <c r="B155" s="85">
        <f>SUMIFS('PR Report - SOBHA '!B$92:B$114,'PR Report - SOBHA '!$A$92:$A$114,$A155)</f>
        <v>4090159.1900000004</v>
      </c>
      <c r="C155" s="85">
        <f>SUMIFS('PR Report - SOBHA '!C$92:C$114,'PR Report - SOBHA '!$A$92:$A$114,$A155)</f>
        <v>0</v>
      </c>
      <c r="D155" s="85">
        <f>SUMIFS('PR Report - SOBHA '!D$92:D$114,'PR Report - SOBHA '!$A$92:$A$114,$A155)</f>
        <v>0</v>
      </c>
      <c r="E155" s="85">
        <f>SUMIFS('PR Report - SOBHA '!E$92:E$114,'PR Report - SOBHA '!$A$92:$A$114,$A155)</f>
        <v>0</v>
      </c>
      <c r="F155" s="85">
        <f>SUMIFS('PR Report - SOBHA '!F$92:F$114,'PR Report - SOBHA '!$A$92:$A$114,$A155)</f>
        <v>0</v>
      </c>
      <c r="G155" s="85">
        <f>SUMIFS('PR Report - SOBHA '!G$92:G$114,'PR Report - SOBHA '!$A$92:$A$114,$A155)</f>
        <v>0</v>
      </c>
      <c r="H155" s="85">
        <f>SUMIFS('PR Report - SOBHA '!H$92:H$114,'PR Report - SOBHA '!$A$92:$A$114,$A155)</f>
        <v>0</v>
      </c>
      <c r="I155" s="85">
        <f>SUMIFS('PR Report - SOBHA '!I$92:I$114,'PR Report - SOBHA '!$A$92:$A$114,$A155)</f>
        <v>0</v>
      </c>
      <c r="J155" s="85">
        <f>SUMIFS('PR Report - SOBHA '!J$92:J$114,'PR Report - SOBHA '!$A$92:$A$114,$A155)</f>
        <v>0</v>
      </c>
      <c r="K155" s="85">
        <f>SUMIFS('PR Report - SOBHA '!K$92:K$114,'PR Report - SOBHA '!$A$92:$A$114,$A155)</f>
        <v>4090159.1900000004</v>
      </c>
      <c r="L155" s="85">
        <f>SUMIFS('PR Report - SOBHA '!L$92:L$114,'PR Report - SOBHA '!$A$92:$A$114,$A155)</f>
        <v>0</v>
      </c>
      <c r="M155" s="85">
        <f>SUMIFS('PR Report - SOBHA '!M$92:M$114,'PR Report - SOBHA '!$A$92:$A$114,$A155)</f>
        <v>0</v>
      </c>
    </row>
    <row r="156" spans="1:13" x14ac:dyDescent="0.25">
      <c r="A156" s="54" t="s">
        <v>24</v>
      </c>
      <c r="B156" s="85">
        <f>SUMIFS('PR Report - SOBHA '!B$92:B$114,'PR Report - SOBHA '!$A$92:$A$114,$A156)</f>
        <v>3889347.37</v>
      </c>
      <c r="C156" s="85">
        <f>SUMIFS('PR Report - SOBHA '!C$92:C$114,'PR Report - SOBHA '!$A$92:$A$114,$A156)</f>
        <v>0</v>
      </c>
      <c r="D156" s="85">
        <f>SUMIFS('PR Report - SOBHA '!D$92:D$114,'PR Report - SOBHA '!$A$92:$A$114,$A156)</f>
        <v>1401478</v>
      </c>
      <c r="E156" s="85">
        <f>SUMIFS('PR Report - SOBHA '!E$92:E$114,'PR Report - SOBHA '!$A$92:$A$114,$A156)</f>
        <v>0</v>
      </c>
      <c r="F156" s="85">
        <f>SUMIFS('PR Report - SOBHA '!F$92:F$114,'PR Report - SOBHA '!$A$92:$A$114,$A156)</f>
        <v>0</v>
      </c>
      <c r="G156" s="85">
        <f>SUMIFS('PR Report - SOBHA '!G$92:G$114,'PR Report - SOBHA '!$A$92:$A$114,$A156)</f>
        <v>0</v>
      </c>
      <c r="H156" s="85">
        <f>SUMIFS('PR Report - SOBHA '!H$92:H$114,'PR Report - SOBHA '!$A$92:$A$114,$A156)</f>
        <v>0</v>
      </c>
      <c r="I156" s="85">
        <f>SUMIFS('PR Report - SOBHA '!I$92:I$114,'PR Report - SOBHA '!$A$92:$A$114,$A156)</f>
        <v>0</v>
      </c>
      <c r="J156" s="85">
        <f>SUMIFS('PR Report - SOBHA '!J$92:J$114,'PR Report - SOBHA '!$A$92:$A$114,$A156)</f>
        <v>0</v>
      </c>
      <c r="K156" s="85">
        <f>SUMIFS('PR Report - SOBHA '!K$92:K$114,'PR Report - SOBHA '!$A$92:$A$114,$A156)</f>
        <v>2417869.37</v>
      </c>
      <c r="L156" s="85">
        <f>SUMIFS('PR Report - SOBHA '!L$92:L$114,'PR Report - SOBHA '!$A$92:$A$114,$A156)</f>
        <v>0</v>
      </c>
      <c r="M156" s="85">
        <f>SUMIFS('PR Report - SOBHA '!M$92:M$114,'PR Report - SOBHA '!$A$92:$A$114,$A156)</f>
        <v>70000</v>
      </c>
    </row>
    <row r="157" spans="1:13" x14ac:dyDescent="0.25">
      <c r="A157" s="54" t="s">
        <v>20</v>
      </c>
      <c r="B157" s="85">
        <f>SUMIFS('PR Report - SOBHA '!B$92:B$114,'PR Report - SOBHA '!$A$92:$A$114,$A157)</f>
        <v>6509956.9900000002</v>
      </c>
      <c r="C157" s="85">
        <f>SUMIFS('PR Report - SOBHA '!C$92:C$114,'PR Report - SOBHA '!$A$92:$A$114,$A157)</f>
        <v>0</v>
      </c>
      <c r="D157" s="85">
        <f>SUMIFS('PR Report - SOBHA '!D$92:D$114,'PR Report - SOBHA '!$A$92:$A$114,$A157)</f>
        <v>81518</v>
      </c>
      <c r="E157" s="85">
        <f>SUMIFS('PR Report - SOBHA '!E$92:E$114,'PR Report - SOBHA '!$A$92:$A$114,$A157)</f>
        <v>0</v>
      </c>
      <c r="F157" s="85">
        <f>SUMIFS('PR Report - SOBHA '!F$92:F$114,'PR Report - SOBHA '!$A$92:$A$114,$A157)</f>
        <v>0</v>
      </c>
      <c r="G157" s="85">
        <f>SUMIFS('PR Report - SOBHA '!G$92:G$114,'PR Report - SOBHA '!$A$92:$A$114,$A157)</f>
        <v>0</v>
      </c>
      <c r="H157" s="85">
        <f>SUMIFS('PR Report - SOBHA '!H$92:H$114,'PR Report - SOBHA '!$A$92:$A$114,$A157)</f>
        <v>0</v>
      </c>
      <c r="I157" s="85">
        <f>SUMIFS('PR Report - SOBHA '!I$92:I$114,'PR Report - SOBHA '!$A$92:$A$114,$A157)</f>
        <v>402966.8</v>
      </c>
      <c r="J157" s="85">
        <f>SUMIFS('PR Report - SOBHA '!J$92:J$114,'PR Report - SOBHA '!$A$92:$A$114,$A157)</f>
        <v>0</v>
      </c>
      <c r="K157" s="85">
        <f>SUMIFS('PR Report - SOBHA '!K$92:K$114,'PR Report - SOBHA '!$A$92:$A$114,$A157)</f>
        <v>6025472.1900000004</v>
      </c>
      <c r="L157" s="85">
        <f>SUMIFS('PR Report - SOBHA '!L$92:L$114,'PR Report - SOBHA '!$A$92:$A$114,$A157)</f>
        <v>0</v>
      </c>
      <c r="M157" s="85">
        <f>SUMIFS('PR Report - SOBHA '!M$92:M$114,'PR Report - SOBHA '!$A$92:$A$114,$A157)</f>
        <v>0</v>
      </c>
    </row>
    <row r="158" spans="1:13" x14ac:dyDescent="0.25">
      <c r="A158" s="54" t="s">
        <v>21</v>
      </c>
      <c r="B158" s="85">
        <f>SUMIFS('PR Report - SOBHA '!B$92:B$114,'PR Report - SOBHA '!$A$92:$A$114,$A158)</f>
        <v>5863137.3799999999</v>
      </c>
      <c r="C158" s="85">
        <f>SUMIFS('PR Report - SOBHA '!C$92:C$114,'PR Report - SOBHA '!$A$92:$A$114,$A158)</f>
        <v>0</v>
      </c>
      <c r="D158" s="85">
        <f>SUMIFS('PR Report - SOBHA '!D$92:D$114,'PR Report - SOBHA '!$A$92:$A$114,$A158)</f>
        <v>0</v>
      </c>
      <c r="E158" s="85">
        <f>SUMIFS('PR Report - SOBHA '!E$92:E$114,'PR Report - SOBHA '!$A$92:$A$114,$A158)</f>
        <v>0</v>
      </c>
      <c r="F158" s="85">
        <f>SUMIFS('PR Report - SOBHA '!F$92:F$114,'PR Report - SOBHA '!$A$92:$A$114,$A158)</f>
        <v>0</v>
      </c>
      <c r="G158" s="85">
        <f>SUMIFS('PR Report - SOBHA '!G$92:G$114,'PR Report - SOBHA '!$A$92:$A$114,$A158)</f>
        <v>0</v>
      </c>
      <c r="H158" s="85">
        <f>SUMIFS('PR Report - SOBHA '!H$92:H$114,'PR Report - SOBHA '!$A$92:$A$114,$A158)</f>
        <v>944144</v>
      </c>
      <c r="I158" s="85">
        <f>SUMIFS('PR Report - SOBHA '!I$92:I$114,'PR Report - SOBHA '!$A$92:$A$114,$A158)</f>
        <v>0</v>
      </c>
      <c r="J158" s="85">
        <f>SUMIFS('PR Report - SOBHA '!J$92:J$114,'PR Report - SOBHA '!$A$92:$A$114,$A158)</f>
        <v>0</v>
      </c>
      <c r="K158" s="85">
        <f>SUMIFS('PR Report - SOBHA '!K$92:K$114,'PR Report - SOBHA '!$A$92:$A$114,$A158)</f>
        <v>4918993.38</v>
      </c>
      <c r="L158" s="85">
        <f>SUMIFS('PR Report - SOBHA '!L$92:L$114,'PR Report - SOBHA '!$A$92:$A$114,$A158)</f>
        <v>0</v>
      </c>
      <c r="M158" s="85">
        <f>SUMIFS('PR Report - SOBHA '!M$92:M$114,'PR Report - SOBHA '!$A$92:$A$114,$A158)</f>
        <v>0</v>
      </c>
    </row>
    <row r="159" spans="1:13" x14ac:dyDescent="0.25">
      <c r="A159" s="54" t="s">
        <v>23</v>
      </c>
      <c r="B159" s="85">
        <f>SUMIFS('PR Report - SOBHA '!B$92:B$114,'PR Report - SOBHA '!$A$92:$A$114,$A159)</f>
        <v>20466704.549999997</v>
      </c>
      <c r="C159" s="85">
        <f>SUMIFS('PR Report - SOBHA '!C$92:C$114,'PR Report - SOBHA '!$A$92:$A$114,$A159)</f>
        <v>0</v>
      </c>
      <c r="D159" s="85">
        <f>SUMIFS('PR Report - SOBHA '!D$92:D$114,'PR Report - SOBHA '!$A$92:$A$114,$A159)</f>
        <v>223670</v>
      </c>
      <c r="E159" s="85">
        <f>SUMIFS('PR Report - SOBHA '!E$92:E$114,'PR Report - SOBHA '!$A$92:$A$114,$A159)</f>
        <v>0</v>
      </c>
      <c r="F159" s="85">
        <f>SUMIFS('PR Report - SOBHA '!F$92:F$114,'PR Report - SOBHA '!$A$92:$A$114,$A159)</f>
        <v>0</v>
      </c>
      <c r="G159" s="85">
        <f>SUMIFS('PR Report - SOBHA '!G$92:G$114,'PR Report - SOBHA '!$A$92:$A$114,$A159)</f>
        <v>0</v>
      </c>
      <c r="H159" s="85">
        <f>SUMIFS('PR Report - SOBHA '!H$92:H$114,'PR Report - SOBHA '!$A$92:$A$114,$A159)</f>
        <v>301974.59999999998</v>
      </c>
      <c r="I159" s="85">
        <f>SUMIFS('PR Report - SOBHA '!I$92:I$114,'PR Report - SOBHA '!$A$92:$A$114,$A159)</f>
        <v>0</v>
      </c>
      <c r="J159" s="85">
        <f>SUMIFS('PR Report - SOBHA '!J$92:J$114,'PR Report - SOBHA '!$A$92:$A$114,$A159)</f>
        <v>0</v>
      </c>
      <c r="K159" s="85">
        <f>SUMIFS('PR Report - SOBHA '!K$92:K$114,'PR Report - SOBHA '!$A$92:$A$114,$A159)</f>
        <v>6010429.9900000002</v>
      </c>
      <c r="L159" s="85">
        <f>SUMIFS('PR Report - SOBHA '!L$92:L$114,'PR Report - SOBHA '!$A$92:$A$114,$A159)</f>
        <v>0</v>
      </c>
      <c r="M159" s="85">
        <f>SUMIFS('PR Report - SOBHA '!M$92:M$114,'PR Report - SOBHA '!$A$92:$A$114,$A159)</f>
        <v>13930629.959999997</v>
      </c>
    </row>
    <row r="160" spans="1:13" x14ac:dyDescent="0.25">
      <c r="A160" s="54" t="s">
        <v>22</v>
      </c>
      <c r="B160" s="85">
        <f>SUMIFS('PR Report - SOBHA '!B$92:B$114,'PR Report - SOBHA '!$A$92:$A$114,$A160)</f>
        <v>5228871.51</v>
      </c>
      <c r="C160" s="85">
        <f>SUMIFS('PR Report - SOBHA '!C$92:C$114,'PR Report - SOBHA '!$A$92:$A$114,$A160)</f>
        <v>0</v>
      </c>
      <c r="D160" s="85">
        <f>SUMIFS('PR Report - SOBHA '!D$92:D$114,'PR Report - SOBHA '!$A$92:$A$114,$A160)</f>
        <v>180407</v>
      </c>
      <c r="E160" s="85">
        <f>SUMIFS('PR Report - SOBHA '!E$92:E$114,'PR Report - SOBHA '!$A$92:$A$114,$A160)</f>
        <v>0</v>
      </c>
      <c r="F160" s="85">
        <f>SUMIFS('PR Report - SOBHA '!F$92:F$114,'PR Report - SOBHA '!$A$92:$A$114,$A160)</f>
        <v>0</v>
      </c>
      <c r="G160" s="85">
        <f>SUMIFS('PR Report - SOBHA '!G$92:G$114,'PR Report - SOBHA '!$A$92:$A$114,$A160)</f>
        <v>0</v>
      </c>
      <c r="H160" s="85">
        <f>SUMIFS('PR Report - SOBHA '!H$92:H$114,'PR Report - SOBHA '!$A$92:$A$114,$A160)</f>
        <v>0</v>
      </c>
      <c r="I160" s="85">
        <f>SUMIFS('PR Report - SOBHA '!I$92:I$114,'PR Report - SOBHA '!$A$92:$A$114,$A160)</f>
        <v>0</v>
      </c>
      <c r="J160" s="85">
        <f>SUMIFS('PR Report - SOBHA '!J$92:J$114,'PR Report - SOBHA '!$A$92:$A$114,$A160)</f>
        <v>0</v>
      </c>
      <c r="K160" s="85">
        <f>SUMIFS('PR Report - SOBHA '!K$92:K$114,'PR Report - SOBHA '!$A$92:$A$114,$A160)</f>
        <v>5038464.51</v>
      </c>
      <c r="L160" s="85">
        <f>SUMIFS('PR Report - SOBHA '!L$92:L$114,'PR Report - SOBHA '!$A$92:$A$114,$A160)</f>
        <v>10000</v>
      </c>
      <c r="M160" s="85">
        <f>SUMIFS('PR Report - SOBHA '!M$92:M$114,'PR Report - SOBHA '!$A$92:$A$114,$A160)</f>
        <v>0</v>
      </c>
    </row>
    <row r="161" spans="1:13" x14ac:dyDescent="0.25">
      <c r="A161" s="54" t="s">
        <v>33</v>
      </c>
      <c r="B161" s="85">
        <f>_xlfn.XLOOKUP(A161,'PR Report - SOBHA '!$A$92:$A$114,'PR Report - SOBHA '!$B$92:$B$114,0,0)</f>
        <v>2699046</v>
      </c>
      <c r="C161" s="85">
        <f>SUMIFS('PR Report - SOBHA '!C$92:C$114,'PR Report - SOBHA '!$A$92:$A$114,$A161)</f>
        <v>0</v>
      </c>
      <c r="D161" s="85">
        <f>SUMIFS('PR Report - SOBHA '!D$92:D$114,'PR Report - SOBHA '!$A$92:$A$114,$A161)</f>
        <v>358400</v>
      </c>
      <c r="E161" s="85">
        <f>SUMIFS('PR Report - SOBHA '!E$92:E$114,'PR Report - SOBHA '!$A$92:$A$114,$A161)</f>
        <v>1861492</v>
      </c>
      <c r="F161" s="85">
        <f>SUMIFS('PR Report - SOBHA '!F$92:F$114,'PR Report - SOBHA '!$A$92:$A$114,$A161)</f>
        <v>0</v>
      </c>
      <c r="G161" s="85">
        <f>SUMIFS('PR Report - SOBHA '!G$92:G$114,'PR Report - SOBHA '!$A$92:$A$114,$A161)</f>
        <v>0</v>
      </c>
      <c r="H161" s="85">
        <f>SUMIFS('PR Report - SOBHA '!H$92:H$114,'PR Report - SOBHA '!$A$92:$A$114,$A161)</f>
        <v>1559456</v>
      </c>
      <c r="I161" s="85">
        <f>SUMIFS('PR Report - SOBHA '!I$92:I$114,'PR Report - SOBHA '!$A$92:$A$114,$A161)</f>
        <v>343010</v>
      </c>
      <c r="J161" s="85">
        <f>SUMIFS('PR Report - SOBHA '!J$92:J$114,'PR Report - SOBHA '!$A$92:$A$114,$A161)</f>
        <v>0</v>
      </c>
      <c r="K161" s="85">
        <f>SUMIFS('PR Report - SOBHA '!K$92:K$114,'PR Report - SOBHA '!$A$92:$A$114,$A161)</f>
        <v>1275734</v>
      </c>
      <c r="L161" s="85">
        <f>SUMIFS('PR Report - SOBHA '!L$92:L$114,'PR Report - SOBHA '!$A$92:$A$114,$A161)</f>
        <v>0</v>
      </c>
      <c r="M161" s="85">
        <f>SUMIFS('PR Report - SOBHA '!M$92:M$114,'PR Report - SOBHA '!$A$92:$A$114,$A161)</f>
        <v>0</v>
      </c>
    </row>
    <row r="162" spans="1:13" x14ac:dyDescent="0.25">
      <c r="A162" s="54" t="s">
        <v>26</v>
      </c>
      <c r="B162" s="85">
        <f>SUMIFS('PR Report - SOBHA '!B$92:B$114,'PR Report - SOBHA '!$A$92:$A$114,$A162)</f>
        <v>859898.74</v>
      </c>
      <c r="C162" s="85">
        <f>SUMIFS('PR Report - SOBHA '!C$92:C$114,'PR Report - SOBHA '!$A$92:$A$114,$A162)</f>
        <v>0</v>
      </c>
      <c r="D162" s="85">
        <f>SUMIFS('PR Report - SOBHA '!D$92:D$114,'PR Report - SOBHA '!$A$92:$A$114,$A162)</f>
        <v>100529</v>
      </c>
      <c r="E162" s="85">
        <f>SUMIFS('PR Report - SOBHA '!E$92:E$114,'PR Report - SOBHA '!$A$92:$A$114,$A162)</f>
        <v>0</v>
      </c>
      <c r="F162" s="85">
        <f>SUMIFS('PR Report - SOBHA '!F$92:F$114,'PR Report - SOBHA '!$A$92:$A$114,$A162)</f>
        <v>0</v>
      </c>
      <c r="G162" s="85">
        <f>SUMIFS('PR Report - SOBHA '!G$92:G$114,'PR Report - SOBHA '!$A$92:$A$114,$A162)</f>
        <v>0</v>
      </c>
      <c r="H162" s="85">
        <f>SUMIFS('PR Report - SOBHA '!H$92:H$114,'PR Report - SOBHA '!$A$92:$A$114,$A162)</f>
        <v>0</v>
      </c>
      <c r="I162" s="85">
        <f>SUMIFS('PR Report - SOBHA '!I$92:I$114,'PR Report - SOBHA '!$A$92:$A$114,$A162)</f>
        <v>0</v>
      </c>
      <c r="J162" s="85">
        <f>SUMIFS('PR Report - SOBHA '!J$92:J$114,'PR Report - SOBHA '!$A$92:$A$114,$A162)</f>
        <v>0</v>
      </c>
      <c r="K162" s="85">
        <f>SUMIFS('PR Report - SOBHA '!K$92:K$114,'PR Report - SOBHA '!$A$92:$A$114,$A162)</f>
        <v>759369.74</v>
      </c>
      <c r="L162" s="85">
        <f>SUMIFS('PR Report - SOBHA '!L$92:L$114,'PR Report - SOBHA '!$A$92:$A$114,$A162)</f>
        <v>0</v>
      </c>
      <c r="M162" s="85">
        <f>SUMIFS('PR Report - SOBHA '!M$92:M$114,'PR Report - SOBHA '!$A$92:$A$114,$A162)</f>
        <v>0</v>
      </c>
    </row>
    <row r="163" spans="1:13" x14ac:dyDescent="0.25">
      <c r="A163" s="54" t="s">
        <v>32</v>
      </c>
      <c r="B163" s="85">
        <f>SUMIFS('PR Report - SOBHA '!B$92:B$114,'PR Report - SOBHA '!$A$92:$A$114,$A163)</f>
        <v>3513272.6</v>
      </c>
      <c r="C163" s="85">
        <f>SUMIFS('PR Report - SOBHA '!C$92:C$114,'PR Report - SOBHA '!$A$92:$A$114,$A163)</f>
        <v>0</v>
      </c>
      <c r="D163" s="85">
        <f>SUMIFS('PR Report - SOBHA '!D$92:D$114,'PR Report - SOBHA '!$A$92:$A$114,$A163)</f>
        <v>514598</v>
      </c>
      <c r="E163" s="85">
        <f>SUMIFS('PR Report - SOBHA '!E$92:E$114,'PR Report - SOBHA '!$A$92:$A$114,$A163)</f>
        <v>0</v>
      </c>
      <c r="F163" s="85">
        <f>SUMIFS('PR Report - SOBHA '!F$92:F$114,'PR Report - SOBHA '!$A$92:$A$114,$A163)</f>
        <v>0</v>
      </c>
      <c r="G163" s="85">
        <f>SUMIFS('PR Report - SOBHA '!G$92:G$114,'PR Report - SOBHA '!$A$92:$A$114,$A163)</f>
        <v>0</v>
      </c>
      <c r="H163" s="85">
        <f>SUMIFS('PR Report - SOBHA '!H$92:H$114,'PR Report - SOBHA '!$A$92:$A$114,$A163)</f>
        <v>0</v>
      </c>
      <c r="I163" s="85">
        <f>SUMIFS('PR Report - SOBHA '!I$92:I$114,'PR Report - SOBHA '!$A$92:$A$114,$A163)</f>
        <v>756836.9</v>
      </c>
      <c r="J163" s="85">
        <f>SUMIFS('PR Report - SOBHA '!J$92:J$114,'PR Report - SOBHA '!$A$92:$A$114,$A163)</f>
        <v>0</v>
      </c>
      <c r="K163" s="85">
        <f>SUMIFS('PR Report - SOBHA '!K$92:K$114,'PR Report - SOBHA '!$A$92:$A$114,$A163)</f>
        <v>2241837.7000000002</v>
      </c>
      <c r="L163" s="85">
        <f>SUMIFS('PR Report - SOBHA '!L$92:L$114,'PR Report - SOBHA '!$A$92:$A$114,$A163)</f>
        <v>0</v>
      </c>
      <c r="M163" s="85">
        <f>SUMIFS('PR Report - SOBHA '!M$92:M$114,'PR Report - SOBHA '!$A$92:$A$114,$A163)</f>
        <v>0</v>
      </c>
    </row>
    <row r="164" spans="1:13" x14ac:dyDescent="0.25">
      <c r="A164" s="54" t="s">
        <v>30</v>
      </c>
      <c r="B164" s="85">
        <f>SUMIFS('PR Report - SOBHA '!B$92:B$114,'PR Report - SOBHA '!$A$92:$A$114,$A164)</f>
        <v>2219219.7999999998</v>
      </c>
      <c r="C164" s="85">
        <f>SUMIFS('PR Report - SOBHA '!C$92:C$114,'PR Report - SOBHA '!$A$92:$A$114,$A164)</f>
        <v>0</v>
      </c>
      <c r="D164" s="85">
        <f>SUMIFS('PR Report - SOBHA '!D$92:D$114,'PR Report - SOBHA '!$A$92:$A$114,$A164)</f>
        <v>186787</v>
      </c>
      <c r="E164" s="85">
        <f>SUMIFS('PR Report - SOBHA '!E$92:E$114,'PR Report - SOBHA '!$A$92:$A$114,$A164)</f>
        <v>0</v>
      </c>
      <c r="F164" s="85">
        <f>SUMIFS('PR Report - SOBHA '!F$92:F$114,'PR Report - SOBHA '!$A$92:$A$114,$A164)</f>
        <v>0</v>
      </c>
      <c r="G164" s="85">
        <f>SUMIFS('PR Report - SOBHA '!G$92:G$114,'PR Report - SOBHA '!$A$92:$A$114,$A164)</f>
        <v>0</v>
      </c>
      <c r="H164" s="85">
        <f>SUMIFS('PR Report - SOBHA '!H$92:H$114,'PR Report - SOBHA '!$A$92:$A$114,$A164)</f>
        <v>0</v>
      </c>
      <c r="I164" s="85">
        <f>SUMIFS('PR Report - SOBHA '!I$92:I$114,'PR Report - SOBHA '!$A$92:$A$114,$A164)</f>
        <v>129582</v>
      </c>
      <c r="J164" s="85">
        <f>SUMIFS('PR Report - SOBHA '!J$92:J$114,'PR Report - SOBHA '!$A$92:$A$114,$A164)</f>
        <v>0</v>
      </c>
      <c r="K164" s="85">
        <f>SUMIFS('PR Report - SOBHA '!K$92:K$114,'PR Report - SOBHA '!$A$92:$A$114,$A164)</f>
        <v>1902850.8</v>
      </c>
      <c r="L164" s="85">
        <f>SUMIFS('PR Report - SOBHA '!L$92:L$114,'PR Report - SOBHA '!$A$92:$A$114,$A164)</f>
        <v>0</v>
      </c>
      <c r="M164" s="85">
        <f>SUMIFS('PR Report - SOBHA '!M$92:M$114,'PR Report - SOBHA '!$A$92:$A$114,$A164)</f>
        <v>0</v>
      </c>
    </row>
    <row r="165" spans="1:13" x14ac:dyDescent="0.25">
      <c r="A165" s="54" t="s">
        <v>29</v>
      </c>
      <c r="B165" s="85">
        <f>SUMIFS('PR Report - SOBHA '!B$92:B$114,'PR Report - SOBHA '!$A$92:$A$114,$A165)</f>
        <v>3612983.68</v>
      </c>
      <c r="C165" s="85">
        <f>SUMIFS('PR Report - SOBHA '!C$92:C$114,'PR Report - SOBHA '!$A$92:$A$114,$A165)</f>
        <v>0</v>
      </c>
      <c r="D165" s="85">
        <f>SUMIFS('PR Report - SOBHA '!D$92:D$114,'PR Report - SOBHA '!$A$92:$A$114,$A165)</f>
        <v>236429</v>
      </c>
      <c r="E165" s="85">
        <f>SUMIFS('PR Report - SOBHA '!E$92:E$114,'PR Report - SOBHA '!$A$92:$A$114,$A165)</f>
        <v>0</v>
      </c>
      <c r="F165" s="85">
        <f>SUMIFS('PR Report - SOBHA '!F$92:F$114,'PR Report - SOBHA '!$A$92:$A$114,$A165)</f>
        <v>0</v>
      </c>
      <c r="G165" s="85">
        <f>SUMIFS('PR Report - SOBHA '!G$92:G$114,'PR Report - SOBHA '!$A$92:$A$114,$A165)</f>
        <v>0</v>
      </c>
      <c r="H165" s="85">
        <f>SUMIFS('PR Report - SOBHA '!H$92:H$114,'PR Report - SOBHA '!$A$92:$A$114,$A165)</f>
        <v>129707</v>
      </c>
      <c r="I165" s="85">
        <f>SUMIFS('PR Report - SOBHA '!I$92:I$114,'PR Report - SOBHA '!$A$92:$A$114,$A165)</f>
        <v>0</v>
      </c>
      <c r="J165" s="85">
        <f>SUMIFS('PR Report - SOBHA '!J$92:J$114,'PR Report - SOBHA '!$A$92:$A$114,$A165)</f>
        <v>0</v>
      </c>
      <c r="K165" s="85">
        <f>SUMIFS('PR Report - SOBHA '!K$92:K$114,'PR Report - SOBHA '!$A$92:$A$114,$A165)</f>
        <v>3246847.68</v>
      </c>
      <c r="L165" s="85">
        <f>SUMIFS('PR Report - SOBHA '!L$92:L$114,'PR Report - SOBHA '!$A$92:$A$114,$A165)</f>
        <v>0</v>
      </c>
      <c r="M165" s="85">
        <f>SUMIFS('PR Report - SOBHA '!M$92:M$114,'PR Report - SOBHA '!$A$92:$A$114,$A165)</f>
        <v>0</v>
      </c>
    </row>
    <row r="166" spans="1:13" x14ac:dyDescent="0.25">
      <c r="A166" s="64" t="s">
        <v>35</v>
      </c>
      <c r="B166" s="125">
        <f t="shared" ref="B166:M166" si="10">SUM(B144:B165)</f>
        <v>129770494.49999997</v>
      </c>
      <c r="C166" s="125">
        <f t="shared" si="10"/>
        <v>0</v>
      </c>
      <c r="D166" s="125">
        <f t="shared" si="10"/>
        <v>14246921</v>
      </c>
      <c r="E166" s="125">
        <f t="shared" si="10"/>
        <v>5647586</v>
      </c>
      <c r="F166" s="125">
        <f t="shared" si="10"/>
        <v>0</v>
      </c>
      <c r="G166" s="125">
        <f t="shared" si="10"/>
        <v>0</v>
      </c>
      <c r="H166" s="125">
        <f t="shared" si="10"/>
        <v>7978144.7000000002</v>
      </c>
      <c r="I166" s="125">
        <f t="shared" si="10"/>
        <v>3111671.1199999996</v>
      </c>
      <c r="J166" s="125">
        <f t="shared" si="10"/>
        <v>0</v>
      </c>
      <c r="K166" s="125">
        <f t="shared" si="10"/>
        <v>86457038.719999984</v>
      </c>
      <c r="L166" s="125">
        <f t="shared" si="10"/>
        <v>10000</v>
      </c>
      <c r="M166" s="125">
        <f t="shared" si="10"/>
        <v>15018178.959999995</v>
      </c>
    </row>
    <row r="167" spans="1:13" x14ac:dyDescent="0.25">
      <c r="A167" s="54" t="s">
        <v>11</v>
      </c>
      <c r="B167" s="85">
        <f>SUMIFS('PR Report - SINIYA'!B$79:B$93,'PR Report - SINIYA'!$A$79:$A$93,$A167)+SUMIFS('PR Report - DOWNTOWN'!B$80:B$98,'PR Report - DOWNTOWN'!$A$80:$A$98,$A167)</f>
        <v>2112020.04</v>
      </c>
      <c r="C167" s="85">
        <f>SUMIFS('PR Report - SINIYA'!C$79:C$93,'PR Report - SINIYA'!$A$79:$A$93,$A167)+SUMIFS('PR Report - DOWNTOWN'!C$80:C$98,'PR Report - DOWNTOWN'!$A$80:$A$98,$A167)</f>
        <v>0</v>
      </c>
      <c r="D167" s="85">
        <f>SUMIFS('PR Report - SINIYA'!D$79:D$93,'PR Report - SINIYA'!$A$79:$A$93,$A167)+SUMIFS('PR Report - DOWNTOWN'!D$80:D$98,'PR Report - DOWNTOWN'!$A$80:$A$98,$A167)</f>
        <v>0</v>
      </c>
      <c r="E167" s="85">
        <f>SUMIFS('PR Report - SINIYA'!E$79:E$93,'PR Report - SINIYA'!$A$79:$A$93,$A167)+SUMIFS('PR Report - DOWNTOWN'!E$80:E$98,'PR Report - DOWNTOWN'!$A$80:$A$98,$A167)</f>
        <v>0</v>
      </c>
      <c r="F167" s="85">
        <f>SUMIFS('PR Report - SINIYA'!F$79:F$93,'PR Report - SINIYA'!$A$79:$A$93,$A167)+SUMIFS('PR Report - DOWNTOWN'!F$80:F$98,'PR Report - DOWNTOWN'!$A$80:$A$98,$A167)</f>
        <v>0</v>
      </c>
      <c r="G167" s="85">
        <f>SUMIFS('PR Report - SINIYA'!G$79:G$93,'PR Report - SINIYA'!$A$79:$A$93,$A167)+SUMIFS('PR Report - DOWNTOWN'!G$80:G$98,'PR Report - DOWNTOWN'!$A$80:$A$98,$A167)</f>
        <v>0</v>
      </c>
      <c r="H167" s="85">
        <f>SUMIFS('PR Report - SINIYA'!H$79:H$93,'PR Report - SINIYA'!$A$79:$A$93,$A167)+SUMIFS('PR Report - DOWNTOWN'!H$80:H$98,'PR Report - DOWNTOWN'!$A$80:$A$98,$A167)</f>
        <v>0</v>
      </c>
      <c r="I167" s="85">
        <f>SUMIFS('PR Report - SINIYA'!I$79:I$93,'PR Report - SINIYA'!$A$79:$A$93,$A167)+SUMIFS('PR Report - DOWNTOWN'!I$80:I$98,'PR Report - DOWNTOWN'!$A$80:$A$98,$A167)</f>
        <v>0</v>
      </c>
      <c r="J167" s="85">
        <f>SUMIFS('PR Report - SINIYA'!J$79:J$93,'PR Report - SINIYA'!$A$79:$A$93,$A167)+SUMIFS('PR Report - DOWNTOWN'!J$80:J$98,'PR Report - DOWNTOWN'!$A$80:$A$98,$A167)</f>
        <v>0</v>
      </c>
      <c r="K167" s="85">
        <f>SUMIFS('PR Report - SINIYA'!K$79:K$93,'PR Report - SINIYA'!$A$79:$A$93,$A167)+SUMIFS('PR Report - DOWNTOWN'!K$80:K$98,'PR Report - DOWNTOWN'!$A$80:$A$98,$A167)</f>
        <v>2112020.04</v>
      </c>
      <c r="L167" s="85">
        <f>SUMIFS('PR Report - SINIYA'!L$79:L$93,'PR Report - SINIYA'!$A$79:$A$93,$A167)+SUMIFS('PR Report - DOWNTOWN'!L$80:L$98,'PR Report - DOWNTOWN'!$A$80:$A$98,$A167)</f>
        <v>0</v>
      </c>
      <c r="M167" s="85">
        <f>SUMIFS('PR Report - SINIYA'!M$79:M$93,'PR Report - SINIYA'!$A$79:$A$93,$A167)+SUMIFS('PR Report - DOWNTOWN'!M$80:M$98,'PR Report - DOWNTOWN'!$A$80:$A$98,$A167)</f>
        <v>0</v>
      </c>
    </row>
    <row r="168" spans="1:13" x14ac:dyDescent="0.25">
      <c r="A168" s="54" t="s">
        <v>8</v>
      </c>
      <c r="B168" s="85">
        <f>SUMIFS('PR Report - SINIYA'!B$79:B$93,'PR Report - SINIYA'!$A$79:$A$93,$A168)+SUMIFS('PR Report - DOWNTOWN'!B$80:B$98,'PR Report - DOWNTOWN'!$A$80:$A$98,$A168)</f>
        <v>6517845.8499999996</v>
      </c>
      <c r="C168" s="85">
        <f>SUMIFS('PR Report - SINIYA'!C$79:C$93,'PR Report - SINIYA'!$A$79:$A$93,$A168)+SUMIFS('PR Report - DOWNTOWN'!C$80:C$98,'PR Report - DOWNTOWN'!$A$80:$A$98,$A168)</f>
        <v>0</v>
      </c>
      <c r="D168" s="85">
        <f>SUMIFS('PR Report - SINIYA'!D$79:D$93,'PR Report - SINIYA'!$A$79:$A$93,$A168)+SUMIFS('PR Report - DOWNTOWN'!D$80:D$98,'PR Report - DOWNTOWN'!$A$80:$A$98,$A168)</f>
        <v>0</v>
      </c>
      <c r="E168" s="85">
        <f>SUMIFS('PR Report - SINIYA'!E$79:E$93,'PR Report - SINIYA'!$A$79:$A$93,$A168)+SUMIFS('PR Report - DOWNTOWN'!E$80:E$98,'PR Report - DOWNTOWN'!$A$80:$A$98,$A168)</f>
        <v>0</v>
      </c>
      <c r="F168" s="85">
        <f>SUMIFS('PR Report - SINIYA'!F$79:F$93,'PR Report - SINIYA'!$A$79:$A$93,$A168)+SUMIFS('PR Report - DOWNTOWN'!F$80:F$98,'PR Report - DOWNTOWN'!$A$80:$A$98,$A168)</f>
        <v>0</v>
      </c>
      <c r="G168" s="85">
        <f>SUMIFS('PR Report - SINIYA'!G$79:G$93,'PR Report - SINIYA'!$A$79:$A$93,$A168)+SUMIFS('PR Report - DOWNTOWN'!G$80:G$98,'PR Report - DOWNTOWN'!$A$80:$A$98,$A168)</f>
        <v>0</v>
      </c>
      <c r="H168" s="85">
        <f>SUMIFS('PR Report - SINIYA'!H$79:H$93,'PR Report - SINIYA'!$A$79:$A$93,$A168)+SUMIFS('PR Report - DOWNTOWN'!H$80:H$98,'PR Report - DOWNTOWN'!$A$80:$A$98,$A168)</f>
        <v>0</v>
      </c>
      <c r="I168" s="85">
        <f>SUMIFS('PR Report - SINIYA'!I$79:I$93,'PR Report - SINIYA'!$A$79:$A$93,$A168)+SUMIFS('PR Report - DOWNTOWN'!I$80:I$98,'PR Report - DOWNTOWN'!$A$80:$A$98,$A168)</f>
        <v>0</v>
      </c>
      <c r="J168" s="85">
        <f>SUMIFS('PR Report - SINIYA'!J$79:J$93,'PR Report - SINIYA'!$A$79:$A$93,$A168)+SUMIFS('PR Report - DOWNTOWN'!J$80:J$98,'PR Report - DOWNTOWN'!$A$80:$A$98,$A168)</f>
        <v>0</v>
      </c>
      <c r="K168" s="85">
        <f>SUMIFS('PR Report - SINIYA'!K$79:K$93,'PR Report - SINIYA'!$A$79:$A$93,$A168)+SUMIFS('PR Report - DOWNTOWN'!K$80:K$98,'PR Report - DOWNTOWN'!$A$80:$A$98,$A168)</f>
        <v>6504500.8499999996</v>
      </c>
      <c r="L168" s="85">
        <f>SUMIFS('PR Report - SINIYA'!L$79:L$93,'PR Report - SINIYA'!$A$79:$A$93,$A168)+SUMIFS('PR Report - DOWNTOWN'!L$80:L$98,'PR Report - DOWNTOWN'!$A$80:$A$98,$A168)</f>
        <v>13345</v>
      </c>
      <c r="M168" s="85">
        <f>SUMIFS('PR Report - SINIYA'!M$79:M$93,'PR Report - SINIYA'!$A$79:$A$93,$A168)+SUMIFS('PR Report - DOWNTOWN'!M$80:M$98,'PR Report - DOWNTOWN'!$A$80:$A$98,$A168)</f>
        <v>0</v>
      </c>
    </row>
    <row r="169" spans="1:13" x14ac:dyDescent="0.25">
      <c r="A169" s="54" t="s">
        <v>9</v>
      </c>
      <c r="B169" s="85">
        <f>SUMIFS('PR Report - SINIYA'!B$79:B$93,'PR Report - SINIYA'!$A$79:$A$93,$A169)+SUMIFS('PR Report - DOWNTOWN'!B$80:B$98,'PR Report - DOWNTOWN'!$A$80:$A$98,$A169)</f>
        <v>5979287.7400000002</v>
      </c>
      <c r="C169" s="85">
        <f>SUMIFS('PR Report - SINIYA'!C$79:C$93,'PR Report - SINIYA'!$A$79:$A$93,$A169)+SUMIFS('PR Report - DOWNTOWN'!C$80:C$98,'PR Report - DOWNTOWN'!$A$80:$A$98,$A169)</f>
        <v>0</v>
      </c>
      <c r="D169" s="85">
        <f>SUMIFS('PR Report - SINIYA'!D$79:D$93,'PR Report - SINIYA'!$A$79:$A$93,$A169)+SUMIFS('PR Report - DOWNTOWN'!D$80:D$98,'PR Report - DOWNTOWN'!$A$80:$A$98,$A169)</f>
        <v>0</v>
      </c>
      <c r="E169" s="85">
        <f>SUMIFS('PR Report - SINIYA'!E$79:E$93,'PR Report - SINIYA'!$A$79:$A$93,$A169)+SUMIFS('PR Report - DOWNTOWN'!E$80:E$98,'PR Report - DOWNTOWN'!$A$80:$A$98,$A169)</f>
        <v>0</v>
      </c>
      <c r="F169" s="85">
        <f>SUMIFS('PR Report - SINIYA'!F$79:F$93,'PR Report - SINIYA'!$A$79:$A$93,$A169)+SUMIFS('PR Report - DOWNTOWN'!F$80:F$98,'PR Report - DOWNTOWN'!$A$80:$A$98,$A169)</f>
        <v>0</v>
      </c>
      <c r="G169" s="85">
        <f>SUMIFS('PR Report - SINIYA'!G$79:G$93,'PR Report - SINIYA'!$A$79:$A$93,$A169)+SUMIFS('PR Report - DOWNTOWN'!G$80:G$98,'PR Report - DOWNTOWN'!$A$80:$A$98,$A169)</f>
        <v>0</v>
      </c>
      <c r="H169" s="85">
        <f>SUMIFS('PR Report - SINIYA'!H$79:H$93,'PR Report - SINIYA'!$A$79:$A$93,$A169)+SUMIFS('PR Report - DOWNTOWN'!H$80:H$98,'PR Report - DOWNTOWN'!$A$80:$A$98,$A169)</f>
        <v>0</v>
      </c>
      <c r="I169" s="85">
        <f>SUMIFS('PR Report - SINIYA'!I$79:I$93,'PR Report - SINIYA'!$A$79:$A$93,$A169)+SUMIFS('PR Report - DOWNTOWN'!I$80:I$98,'PR Report - DOWNTOWN'!$A$80:$A$98,$A169)</f>
        <v>0</v>
      </c>
      <c r="J169" s="85">
        <f>SUMIFS('PR Report - SINIYA'!J$79:J$93,'PR Report - SINIYA'!$A$79:$A$93,$A169)+SUMIFS('PR Report - DOWNTOWN'!J$80:J$98,'PR Report - DOWNTOWN'!$A$80:$A$98,$A169)</f>
        <v>0</v>
      </c>
      <c r="K169" s="85">
        <f>SUMIFS('PR Report - SINIYA'!K$79:K$93,'PR Report - SINIYA'!$A$79:$A$93,$A169)+SUMIFS('PR Report - DOWNTOWN'!K$80:K$98,'PR Report - DOWNTOWN'!$A$80:$A$98,$A169)</f>
        <v>5648767.7400000002</v>
      </c>
      <c r="L169" s="85">
        <f>SUMIFS('PR Report - SINIYA'!L$79:L$93,'PR Report - SINIYA'!$A$79:$A$93,$A169)+SUMIFS('PR Report - DOWNTOWN'!L$80:L$98,'PR Report - DOWNTOWN'!$A$80:$A$98,$A169)</f>
        <v>0</v>
      </c>
      <c r="M169" s="85">
        <f>SUMIFS('PR Report - SINIYA'!M$79:M$93,'PR Report - SINIYA'!$A$79:$A$93,$A169)+SUMIFS('PR Report - DOWNTOWN'!M$80:M$98,'PR Report - DOWNTOWN'!$A$80:$A$98,$A169)</f>
        <v>330520</v>
      </c>
    </row>
    <row r="170" spans="1:13" x14ac:dyDescent="0.25">
      <c r="A170" s="54" t="s">
        <v>10</v>
      </c>
      <c r="B170" s="85">
        <f>SUMIFS('PR Report - SINIYA'!B$79:B$93,'PR Report - SINIYA'!$A$79:$A$93,$A170)+SUMIFS('PR Report - DOWNTOWN'!B$80:B$98,'PR Report - DOWNTOWN'!$A$80:$A$98,$A170)</f>
        <v>10533784.859999999</v>
      </c>
      <c r="C170" s="85">
        <f>SUMIFS('PR Report - SINIYA'!C$79:C$93,'PR Report - SINIYA'!$A$79:$A$93,$A170)+SUMIFS('PR Report - DOWNTOWN'!C$80:C$98,'PR Report - DOWNTOWN'!$A$80:$A$98,$A170)</f>
        <v>0</v>
      </c>
      <c r="D170" s="85">
        <f>SUMIFS('PR Report - SINIYA'!D$79:D$93,'PR Report - SINIYA'!$A$79:$A$93,$A170)+SUMIFS('PR Report - DOWNTOWN'!D$80:D$98,'PR Report - DOWNTOWN'!$A$80:$A$98,$A170)</f>
        <v>0</v>
      </c>
      <c r="E170" s="85">
        <f>SUMIFS('PR Report - SINIYA'!E$79:E$93,'PR Report - SINIYA'!$A$79:$A$93,$A170)+SUMIFS('PR Report - DOWNTOWN'!E$80:E$98,'PR Report - DOWNTOWN'!$A$80:$A$98,$A170)</f>
        <v>0</v>
      </c>
      <c r="F170" s="85">
        <f>SUMIFS('PR Report - SINIYA'!F$79:F$93,'PR Report - SINIYA'!$A$79:$A$93,$A170)+SUMIFS('PR Report - DOWNTOWN'!F$80:F$98,'PR Report - DOWNTOWN'!$A$80:$A$98,$A170)</f>
        <v>0</v>
      </c>
      <c r="G170" s="85">
        <f>SUMIFS('PR Report - SINIYA'!G$79:G$93,'PR Report - SINIYA'!$A$79:$A$93,$A170)+SUMIFS('PR Report - DOWNTOWN'!G$80:G$98,'PR Report - DOWNTOWN'!$A$80:$A$98,$A170)</f>
        <v>0</v>
      </c>
      <c r="H170" s="85">
        <f>SUMIFS('PR Report - SINIYA'!H$79:H$93,'PR Report - SINIYA'!$A$79:$A$93,$A170)+SUMIFS('PR Report - DOWNTOWN'!H$80:H$98,'PR Report - DOWNTOWN'!$A$80:$A$98,$A170)</f>
        <v>0</v>
      </c>
      <c r="I170" s="85">
        <f>SUMIFS('PR Report - SINIYA'!I$79:I$93,'PR Report - SINIYA'!$A$79:$A$93,$A170)+SUMIFS('PR Report - DOWNTOWN'!I$80:I$98,'PR Report - DOWNTOWN'!$A$80:$A$98,$A170)</f>
        <v>65058.9</v>
      </c>
      <c r="J170" s="85">
        <f>SUMIFS('PR Report - SINIYA'!J$79:J$93,'PR Report - SINIYA'!$A$79:$A$93,$A170)+SUMIFS('PR Report - DOWNTOWN'!J$80:J$98,'PR Report - DOWNTOWN'!$A$80:$A$98,$A170)</f>
        <v>0</v>
      </c>
      <c r="K170" s="85">
        <f>SUMIFS('PR Report - SINIYA'!K$79:K$93,'PR Report - SINIYA'!$A$79:$A$93,$A170)+SUMIFS('PR Report - DOWNTOWN'!K$80:K$98,'PR Report - DOWNTOWN'!$A$80:$A$98,$A170)</f>
        <v>10290275.959999999</v>
      </c>
      <c r="L170" s="85">
        <f>SUMIFS('PR Report - SINIYA'!L$79:L$93,'PR Report - SINIYA'!$A$79:$A$93,$A170)+SUMIFS('PR Report - DOWNTOWN'!L$80:L$98,'PR Report - DOWNTOWN'!$A$80:$A$98,$A170)</f>
        <v>178450</v>
      </c>
      <c r="M170" s="85">
        <f>SUMIFS('PR Report - SINIYA'!M$79:M$93,'PR Report - SINIYA'!$A$79:$A$93,$A170)+SUMIFS('PR Report - DOWNTOWN'!M$80:M$98,'PR Report - DOWNTOWN'!$A$80:$A$98,$A170)</f>
        <v>0</v>
      </c>
    </row>
    <row r="171" spans="1:13" x14ac:dyDescent="0.25">
      <c r="A171" s="64" t="s">
        <v>12</v>
      </c>
      <c r="B171" s="125">
        <f t="shared" ref="B171:M171" si="11">SUM(B167:B170)</f>
        <v>25142938.490000002</v>
      </c>
      <c r="C171" s="125">
        <f t="shared" si="11"/>
        <v>0</v>
      </c>
      <c r="D171" s="125">
        <f t="shared" si="11"/>
        <v>0</v>
      </c>
      <c r="E171" s="125">
        <f t="shared" si="11"/>
        <v>0</v>
      </c>
      <c r="F171" s="125">
        <f t="shared" si="11"/>
        <v>0</v>
      </c>
      <c r="G171" s="125">
        <f t="shared" si="11"/>
        <v>0</v>
      </c>
      <c r="H171" s="125">
        <f t="shared" si="11"/>
        <v>0</v>
      </c>
      <c r="I171" s="125">
        <f t="shared" si="11"/>
        <v>65058.9</v>
      </c>
      <c r="J171" s="125">
        <f t="shared" si="11"/>
        <v>0</v>
      </c>
      <c r="K171" s="125">
        <f t="shared" si="11"/>
        <v>24555564.59</v>
      </c>
      <c r="L171" s="125">
        <f t="shared" si="11"/>
        <v>191795</v>
      </c>
      <c r="M171" s="125">
        <f t="shared" si="11"/>
        <v>330520</v>
      </c>
    </row>
    <row r="172" spans="1:13" x14ac:dyDescent="0.25">
      <c r="A172" s="154" t="s">
        <v>23</v>
      </c>
      <c r="B172" s="85">
        <f>SUMIFS('PR Report - SOBHA AUH'!B$80:B$98,'PR Report - SOBHA AUH'!$A$80:$A$98,$A$172)</f>
        <v>0</v>
      </c>
      <c r="C172" s="85">
        <f>SUMIFS('PR Report - SOBHA AUH'!C$80:C$98,'PR Report - SOBHA AUH'!$A$80:$A$98,$A$172)</f>
        <v>0</v>
      </c>
      <c r="D172" s="85">
        <f>SUMIFS('PR Report - SOBHA AUH'!D$80:D$98,'PR Report - SOBHA AUH'!$A$80:$A$98,$A$172)</f>
        <v>0</v>
      </c>
      <c r="E172" s="85">
        <f>SUMIFS('PR Report - SOBHA AUH'!E$80:E$98,'PR Report - SOBHA AUH'!$A$80:$A$98,$A$172)</f>
        <v>0</v>
      </c>
      <c r="F172" s="85">
        <f>SUMIFS('PR Report - SOBHA AUH'!F$80:F$98,'PR Report - SOBHA AUH'!$A$80:$A$98,$A$172)</f>
        <v>0</v>
      </c>
      <c r="G172" s="85">
        <f>SUMIFS('PR Report - SOBHA AUH'!G$80:G$98,'PR Report - SOBHA AUH'!$A$80:$A$98,$A$172)</f>
        <v>0</v>
      </c>
      <c r="H172" s="85">
        <f>SUMIFS('PR Report - SOBHA AUH'!H$80:H$98,'PR Report - SOBHA AUH'!$A$80:$A$98,$A$172)</f>
        <v>0</v>
      </c>
      <c r="I172" s="85">
        <f>SUMIFS('PR Report - SOBHA AUH'!I$80:I$98,'PR Report - SOBHA AUH'!$A$80:$A$98,$A$172)</f>
        <v>0</v>
      </c>
      <c r="J172" s="85">
        <f>SUMIFS('PR Report - SOBHA AUH'!J$80:J$98,'PR Report - SOBHA AUH'!$A$80:$A$98,$A$172)</f>
        <v>0</v>
      </c>
      <c r="K172" s="85">
        <f>SUMIFS('PR Report - SOBHA AUH'!K$80:K$98,'PR Report - SOBHA AUH'!$A$80:$A$98,$A$172)</f>
        <v>0</v>
      </c>
      <c r="L172" s="85">
        <f>SUMIFS('PR Report - SOBHA AUH'!L$80:L$98,'PR Report - SOBHA AUH'!$A$80:$A$98,$A$172)</f>
        <v>0</v>
      </c>
      <c r="M172" s="85">
        <f>SUMIFS('PR Report - SOBHA AUH'!M$80:M$98,'PR Report - SOBHA AUH'!$A$80:$A$98,$A$172)</f>
        <v>0</v>
      </c>
    </row>
    <row r="173" spans="1:13" x14ac:dyDescent="0.25">
      <c r="A173" s="154" t="s">
        <v>13</v>
      </c>
      <c r="B173" s="176">
        <f>SUMIFS('PR Report - SOBHA AUH'!B$80:B$98,'PR Report - SOBHA AUH'!$A$80:$A$98,$A$173)</f>
        <v>559683</v>
      </c>
      <c r="C173" s="176">
        <f>SUMIFS('PR Report - SOBHA AUH'!C$80:C$98,'PR Report - SOBHA AUH'!$A$80:$A$98,$A$173)</f>
        <v>0</v>
      </c>
      <c r="D173" s="176">
        <f>SUMIFS('PR Report - SOBHA AUH'!D$80:D$98,'PR Report - SOBHA AUH'!$A$80:$A$98,$A$173)</f>
        <v>0</v>
      </c>
      <c r="E173" s="176">
        <f>SUMIFS('PR Report - SOBHA AUH'!E$80:E$98,'PR Report - SOBHA AUH'!$A$80:$A$98,$A$173)</f>
        <v>0</v>
      </c>
      <c r="F173" s="176">
        <f>SUMIFS('PR Report - SOBHA AUH'!F$80:F$98,'PR Report - SOBHA AUH'!$A$80:$A$98,$A$173)</f>
        <v>0</v>
      </c>
      <c r="G173" s="176">
        <f>SUMIFS('PR Report - SOBHA AUH'!G$80:G$98,'PR Report - SOBHA AUH'!$A$80:$A$98,$A$173)</f>
        <v>0</v>
      </c>
      <c r="H173" s="176">
        <f>SUMIFS('PR Report - SOBHA AUH'!H$80:H$98,'PR Report - SOBHA AUH'!$A$80:$A$98,$A$173)</f>
        <v>0</v>
      </c>
      <c r="I173" s="176">
        <f>SUMIFS('PR Report - SOBHA AUH'!I$80:I$98,'PR Report - SOBHA AUH'!$A$80:$A$98,$A$173)</f>
        <v>0</v>
      </c>
      <c r="J173" s="176">
        <f>SUMIFS('PR Report - SOBHA AUH'!J$80:J$98,'PR Report - SOBHA AUH'!$A$80:$A$98,$A$173)</f>
        <v>0</v>
      </c>
      <c r="K173" s="176">
        <f>SUMIFS('PR Report - SOBHA AUH'!K$80:K$98,'PR Report - SOBHA AUH'!$A$80:$A$98,$A$173)</f>
        <v>0</v>
      </c>
      <c r="L173" s="176">
        <f>SUMIFS('PR Report - SOBHA AUH'!L$80:L$98,'PR Report - SOBHA AUH'!$A$80:$A$98,$A$173)</f>
        <v>0</v>
      </c>
      <c r="M173" s="176">
        <f>SUMIFS('PR Report - SOBHA AUH'!M$80:M$98,'PR Report - SOBHA AUH'!$A$80:$A$98,$A$173)</f>
        <v>559683</v>
      </c>
    </row>
    <row r="174" spans="1:13" x14ac:dyDescent="0.25">
      <c r="A174" s="154" t="s">
        <v>19</v>
      </c>
      <c r="B174" s="176">
        <f>SUMIFS('PR Report - SOBHA AUH'!$B$80:$B$98,'PR Report - SOBHA AUH'!$A$80:$A$98,$A$174)</f>
        <v>0</v>
      </c>
      <c r="C174" s="176">
        <f>SUMIFS('PR Report - SOBHA AUH'!$B$80:$B$98,'PR Report - SOBHA AUH'!$A$80:$A$98,$A$174)</f>
        <v>0</v>
      </c>
      <c r="D174" s="176">
        <f>SUMIFS('PR Report - SOBHA AUH'!$B$80:$B$98,'PR Report - SOBHA AUH'!$A$80:$A$98,$A$174)</f>
        <v>0</v>
      </c>
      <c r="E174" s="176">
        <f>SUMIFS('PR Report - SOBHA AUH'!$B$80:$B$98,'PR Report - SOBHA AUH'!$A$80:$A$98,$A$174)</f>
        <v>0</v>
      </c>
      <c r="F174" s="176">
        <f>SUMIFS('PR Report - SOBHA AUH'!$B$80:$B$98,'PR Report - SOBHA AUH'!$A$80:$A$98,$A$174)</f>
        <v>0</v>
      </c>
      <c r="G174" s="176">
        <f>SUMIFS('PR Report - SOBHA AUH'!$B$80:$B$98,'PR Report - SOBHA AUH'!$A$80:$A$98,$A$174)</f>
        <v>0</v>
      </c>
      <c r="H174" s="176">
        <f>SUMIFS('PR Report - SOBHA AUH'!$B$80:$B$98,'PR Report - SOBHA AUH'!$A$80:$A$98,$A$174)</f>
        <v>0</v>
      </c>
      <c r="I174" s="176">
        <f>SUMIFS('PR Report - SOBHA AUH'!$B$80:$B$98,'PR Report - SOBHA AUH'!$A$80:$A$98,$A$174)</f>
        <v>0</v>
      </c>
      <c r="J174" s="176">
        <f>SUMIFS('PR Report - SOBHA AUH'!$B$80:$B$98,'PR Report - SOBHA AUH'!$A$80:$A$98,$A$174)</f>
        <v>0</v>
      </c>
      <c r="K174" s="176">
        <f>SUMIFS('PR Report - SOBHA AUH'!$B$80:$B$98,'PR Report - SOBHA AUH'!$A$80:$A$98,$A$174)</f>
        <v>0</v>
      </c>
      <c r="L174" s="176">
        <f>SUMIFS('PR Report - SOBHA AUH'!$B$80:$B$98,'PR Report - SOBHA AUH'!$A$80:$A$98,$A$174)</f>
        <v>0</v>
      </c>
      <c r="M174" s="176">
        <f>SUMIFS('PR Report - SOBHA AUH'!$B$80:$B$98,'PR Report - SOBHA AUH'!$A$80:$A$98,$A$174)</f>
        <v>0</v>
      </c>
    </row>
    <row r="175" spans="1:13" x14ac:dyDescent="0.25">
      <c r="A175" s="64" t="s">
        <v>80</v>
      </c>
      <c r="B175" s="125">
        <f>SUM(B172:B174)</f>
        <v>559683</v>
      </c>
      <c r="C175" s="125">
        <f t="shared" ref="C175:M175" si="12">SUM(C172:C174)</f>
        <v>0</v>
      </c>
      <c r="D175" s="125">
        <f t="shared" si="12"/>
        <v>0</v>
      </c>
      <c r="E175" s="125">
        <f t="shared" si="12"/>
        <v>0</v>
      </c>
      <c r="F175" s="125">
        <f t="shared" si="12"/>
        <v>0</v>
      </c>
      <c r="G175" s="125">
        <f t="shared" si="12"/>
        <v>0</v>
      </c>
      <c r="H175" s="125">
        <f t="shared" si="12"/>
        <v>0</v>
      </c>
      <c r="I175" s="125">
        <f t="shared" si="12"/>
        <v>0</v>
      </c>
      <c r="J175" s="125">
        <f t="shared" si="12"/>
        <v>0</v>
      </c>
      <c r="K175" s="125">
        <f t="shared" si="12"/>
        <v>0</v>
      </c>
      <c r="L175" s="125">
        <f t="shared" si="12"/>
        <v>0</v>
      </c>
      <c r="M175" s="125">
        <f t="shared" si="12"/>
        <v>559683</v>
      </c>
    </row>
    <row r="176" spans="1:13" x14ac:dyDescent="0.25">
      <c r="A176" s="156" t="s">
        <v>58</v>
      </c>
      <c r="B176" s="177">
        <f>SUM(B171,B166,B175)</f>
        <v>155473115.98999998</v>
      </c>
      <c r="C176" s="177">
        <f t="shared" ref="C176:M176" si="13">SUM(C171,C166,C175)</f>
        <v>0</v>
      </c>
      <c r="D176" s="177">
        <f t="shared" si="13"/>
        <v>14246921</v>
      </c>
      <c r="E176" s="177">
        <f t="shared" si="13"/>
        <v>5647586</v>
      </c>
      <c r="F176" s="177">
        <f t="shared" si="13"/>
        <v>0</v>
      </c>
      <c r="G176" s="177">
        <f t="shared" si="13"/>
        <v>0</v>
      </c>
      <c r="H176" s="177">
        <f t="shared" si="13"/>
        <v>7978144.7000000002</v>
      </c>
      <c r="I176" s="177">
        <f t="shared" si="13"/>
        <v>3176730.0199999996</v>
      </c>
      <c r="J176" s="177">
        <f t="shared" si="13"/>
        <v>0</v>
      </c>
      <c r="K176" s="177">
        <f t="shared" si="13"/>
        <v>111012603.30999999</v>
      </c>
      <c r="L176" s="177">
        <f t="shared" si="13"/>
        <v>201795</v>
      </c>
      <c r="M176" s="177">
        <f t="shared" si="13"/>
        <v>15908381.959999995</v>
      </c>
    </row>
    <row r="177" spans="1:13" x14ac:dyDescent="0.25">
      <c r="A177" s="175" t="s">
        <v>83</v>
      </c>
      <c r="B177" s="175"/>
      <c r="C177" s="175"/>
      <c r="D177" s="175"/>
      <c r="E177" s="175"/>
      <c r="F177" s="175"/>
      <c r="G177" s="175"/>
      <c r="H177" s="175"/>
      <c r="I177" s="175"/>
      <c r="J177" s="175"/>
      <c r="K177" s="175"/>
      <c r="L177" s="175"/>
      <c r="M177" s="175"/>
    </row>
    <row r="178" spans="1:13" x14ac:dyDescent="0.25">
      <c r="A178" s="54" t="s">
        <v>38</v>
      </c>
      <c r="B178" s="85">
        <f>SUMIFS('PR Report - SOBHA '!$B$117:$B$128,'PR Report - SOBHA '!$A$117:$A$128,$A178)</f>
        <v>3073221</v>
      </c>
      <c r="C178" s="85">
        <f>SUMIFS('PR Report - SOBHA '!$C$117:$C$128,'PR Report - SOBHA '!$A$117:$A$128,$A178)</f>
        <v>0</v>
      </c>
      <c r="D178" s="85">
        <f>SUMIFS('PR Report - SOBHA '!$D$117:$D$128,'PR Report - SOBHA '!$A$117:$A$128,$A178)</f>
        <v>0</v>
      </c>
      <c r="E178" s="85">
        <f>SUMIFS('PR Report - SOBHA '!$E$117:$E$128,'PR Report - SOBHA '!$A$117:$A$128,$A178)</f>
        <v>0</v>
      </c>
      <c r="F178" s="85">
        <f>SUMIFS('PR Report - SOBHA '!$F$117:$F$128,'PR Report - SOBHA '!$A$117:$A$128,$A178)</f>
        <v>0</v>
      </c>
      <c r="G178" s="85">
        <f>SUMIFS('PR Report - SOBHA '!$F$117:$F$128,'PR Report - SOBHA '!$A$117:$A$128,$A178)</f>
        <v>0</v>
      </c>
      <c r="H178" s="178">
        <f>SUMIFS('PR Report - SOBHA '!$H$117:$H$128,'PR Report - SOBHA '!$A$117:$A$128,$A178)</f>
        <v>0</v>
      </c>
      <c r="I178" s="85">
        <f>SUMIFS('PR Report - SOBHA '!$I$117:$I$128,'PR Report - SOBHA '!$A$117:$A$128,$A178)</f>
        <v>0</v>
      </c>
      <c r="J178" s="85">
        <f>SUMIFS('PR Report - SOBHA '!$J$117:$J$128,'PR Report - SOBHA '!$A$117:$A$128,$A178)</f>
        <v>0</v>
      </c>
      <c r="K178" s="85">
        <f>SUMIFS('PR Report - SOBHA '!$K$117:$K$128,'PR Report - SOBHA '!$A$117:$A$128,$A178)</f>
        <v>3073221</v>
      </c>
      <c r="L178" s="85">
        <f>SUMIFS('PR Report - SOBHA '!$L$117:$L$128,'PR Report - SOBHA '!$A$117:$A$128,$A178)</f>
        <v>0</v>
      </c>
      <c r="M178" s="85">
        <f>SUMIFS('PR Report - SOBHA '!$M$117:$M$128,'PR Report - SOBHA '!$A$117:$A$128,$A178)</f>
        <v>0</v>
      </c>
    </row>
    <row r="179" spans="1:13" x14ac:dyDescent="0.25">
      <c r="A179" s="54" t="s">
        <v>39</v>
      </c>
      <c r="B179" s="85">
        <f>SUMIFS('PR Report - SOBHA '!$B$117:$B$128,'PR Report - SOBHA '!$A$117:$A$128,$A179)</f>
        <v>9493591</v>
      </c>
      <c r="C179" s="85">
        <f>SUMIFS('PR Report - SOBHA '!$C$117:$C$128,'PR Report - SOBHA '!$A$117:$A$128,$A179)</f>
        <v>0</v>
      </c>
      <c r="D179" s="85">
        <f>SUMIFS('PR Report - SOBHA '!$D$117:$D$128,'PR Report - SOBHA '!$A$117:$A$128,$A179)</f>
        <v>936899</v>
      </c>
      <c r="E179" s="85">
        <f>SUMIFS('PR Report - SOBHA '!$E$117:$E$128,'PR Report - SOBHA '!$A$117:$A$128,$A179)</f>
        <v>0</v>
      </c>
      <c r="F179" s="85">
        <f>SUMIFS('PR Report - SOBHA '!$F$117:$F$128,'PR Report - SOBHA '!$A$117:$A$128,$A179)</f>
        <v>0</v>
      </c>
      <c r="G179" s="85">
        <f>SUMIFS('PR Report - SOBHA '!$F$117:$F$128,'PR Report - SOBHA '!$A$117:$A$128,$A179)</f>
        <v>0</v>
      </c>
      <c r="H179" s="178">
        <f>SUMIFS('PR Report - SOBHA '!$H$117:$H$128,'PR Report - SOBHA '!$A$117:$A$128,$A179)</f>
        <v>0</v>
      </c>
      <c r="I179" s="85">
        <f>SUMIFS('PR Report - SOBHA '!$I$117:$I$128,'PR Report - SOBHA '!$A$117:$A$128,$A179)</f>
        <v>0</v>
      </c>
      <c r="J179" s="85">
        <f>SUMIFS('PR Report - SOBHA '!$J$117:$J$128,'PR Report - SOBHA '!$A$117:$A$128,$A179)</f>
        <v>0</v>
      </c>
      <c r="K179" s="85">
        <f>SUMIFS('PR Report - SOBHA '!$K$117:$K$128,'PR Report - SOBHA '!$A$117:$A$128,$A179)</f>
        <v>8556692</v>
      </c>
      <c r="L179" s="85">
        <f>SUMIFS('PR Report - SOBHA '!$L$117:$L$128,'PR Report - SOBHA '!$A$117:$A$128,$A179)</f>
        <v>0</v>
      </c>
      <c r="M179" s="85">
        <f>SUMIFS('PR Report - SOBHA '!$M$117:$M$128,'PR Report - SOBHA '!$A$117:$A$128,$A179)</f>
        <v>0</v>
      </c>
    </row>
    <row r="180" spans="1:13" x14ac:dyDescent="0.25">
      <c r="A180" s="54" t="s">
        <v>40</v>
      </c>
      <c r="B180" s="85">
        <f>SUMIFS('PR Report - SOBHA '!$B$117:$B$128,'PR Report - SOBHA '!$A$117:$A$128,$A180)</f>
        <v>5456392.8599999994</v>
      </c>
      <c r="C180" s="85">
        <f>SUMIFS('PR Report - SOBHA '!$C$117:$C$128,'PR Report - SOBHA '!$A$117:$A$128,$A180)</f>
        <v>0</v>
      </c>
      <c r="D180" s="85">
        <f>SUMIFS('PR Report - SOBHA '!$D$117:$D$128,'PR Report - SOBHA '!$A$117:$A$128,$A180)</f>
        <v>223348.86</v>
      </c>
      <c r="E180" s="85">
        <f>SUMIFS('PR Report - SOBHA '!$E$117:$E$128,'PR Report - SOBHA '!$A$117:$A$128,$A180)</f>
        <v>0</v>
      </c>
      <c r="F180" s="85">
        <f>SUMIFS('PR Report - SOBHA '!$F$117:$F$128,'PR Report - SOBHA '!$A$117:$A$128,$A180)</f>
        <v>0</v>
      </c>
      <c r="G180" s="85">
        <f>SUMIFS('PR Report - SOBHA '!$F$117:$F$128,'PR Report - SOBHA '!$A$117:$A$128,$A180)</f>
        <v>0</v>
      </c>
      <c r="H180" s="178">
        <f>SUMIFS('PR Report - SOBHA '!$H$117:$H$128,'PR Report - SOBHA '!$A$117:$A$128,$A180)</f>
        <v>1935731</v>
      </c>
      <c r="I180" s="85">
        <f>SUMIFS('PR Report - SOBHA '!$I$117:$I$128,'PR Report - SOBHA '!$A$117:$A$128,$A180)</f>
        <v>0</v>
      </c>
      <c r="J180" s="85">
        <f>SUMIFS('PR Report - SOBHA '!$J$117:$J$128,'PR Report - SOBHA '!$A$117:$A$128,$A180)</f>
        <v>0</v>
      </c>
      <c r="K180" s="85">
        <f>SUMIFS('PR Report - SOBHA '!$K$117:$K$128,'PR Report - SOBHA '!$A$117:$A$128,$A180)</f>
        <v>3297313</v>
      </c>
      <c r="L180" s="85">
        <f>SUMIFS('PR Report - SOBHA '!$L$117:$L$128,'PR Report - SOBHA '!$A$117:$A$128,$A180)</f>
        <v>0</v>
      </c>
      <c r="M180" s="85">
        <f>SUMIFS('PR Report - SOBHA '!$M$117:$M$128,'PR Report - SOBHA '!$A$117:$A$128,$A180)</f>
        <v>0</v>
      </c>
    </row>
    <row r="181" spans="1:13" x14ac:dyDescent="0.25">
      <c r="A181" s="54" t="s">
        <v>42</v>
      </c>
      <c r="B181" s="85">
        <f>SUMIFS('PR Report - SOBHA '!$B$117:$B$128,'PR Report - SOBHA '!$A$117:$A$128,$A181)</f>
        <v>4680292.4399999995</v>
      </c>
      <c r="C181" s="85">
        <f>SUMIFS('PR Report - SOBHA '!$C$117:$C$128,'PR Report - SOBHA '!$A$117:$A$128,$A181)</f>
        <v>0</v>
      </c>
      <c r="D181" s="85">
        <f>SUMIFS('PR Report - SOBHA '!$D$117:$D$128,'PR Report - SOBHA '!$A$117:$A$128,$A181)</f>
        <v>0</v>
      </c>
      <c r="E181" s="85">
        <f>SUMIFS('PR Report - SOBHA '!$E$117:$E$128,'PR Report - SOBHA '!$A$117:$A$128,$A181)</f>
        <v>0</v>
      </c>
      <c r="F181" s="85">
        <f>SUMIFS('PR Report - SOBHA '!$F$117:$F$128,'PR Report - SOBHA '!$A$117:$A$128,$A181)</f>
        <v>0</v>
      </c>
      <c r="G181" s="85">
        <f>SUMIFS('PR Report - SOBHA '!$F$117:$F$128,'PR Report - SOBHA '!$A$117:$A$128,$A181)</f>
        <v>0</v>
      </c>
      <c r="H181" s="178">
        <f>SUMIFS('PR Report - SOBHA '!$H$117:$H$128,'PR Report - SOBHA '!$A$117:$A$128,$A181)</f>
        <v>0</v>
      </c>
      <c r="I181" s="85">
        <f>SUMIFS('PR Report - SOBHA '!$I$117:$I$128,'PR Report - SOBHA '!$A$117:$A$128,$A181)</f>
        <v>0</v>
      </c>
      <c r="J181" s="85">
        <f>SUMIFS('PR Report - SOBHA '!$J$117:$J$128,'PR Report - SOBHA '!$A$117:$A$128,$A181)</f>
        <v>0</v>
      </c>
      <c r="K181" s="85">
        <f>SUMIFS('PR Report - SOBHA '!$K$117:$K$128,'PR Report - SOBHA '!$A$117:$A$128,$A181)</f>
        <v>4680292.4399999995</v>
      </c>
      <c r="L181" s="85">
        <f>SUMIFS('PR Report - SOBHA '!$L$117:$L$128,'PR Report - SOBHA '!$A$117:$A$128,$A181)</f>
        <v>0</v>
      </c>
      <c r="M181" s="85">
        <f>SUMIFS('PR Report - SOBHA '!$M$117:$M$128,'PR Report - SOBHA '!$A$117:$A$128,$A181)</f>
        <v>0</v>
      </c>
    </row>
    <row r="182" spans="1:13" x14ac:dyDescent="0.25">
      <c r="A182" s="54" t="s">
        <v>46</v>
      </c>
      <c r="B182" s="85">
        <f>SUMIFS('PR Report - SOBHA '!$B$117:$B$128,'PR Report - SOBHA '!$A$117:$A$128,$A182)</f>
        <v>1589332</v>
      </c>
      <c r="C182" s="85">
        <f>SUMIFS('PR Report - SOBHA '!$C$117:$C$128,'PR Report - SOBHA '!$A$117:$A$128,$A182)</f>
        <v>0</v>
      </c>
      <c r="D182" s="85">
        <f>SUMIFS('PR Report - SOBHA '!$D$117:$D$128,'PR Report - SOBHA '!$A$117:$A$128,$A182)</f>
        <v>0</v>
      </c>
      <c r="E182" s="85">
        <f>SUMIFS('PR Report - SOBHA '!$E$117:$E$128,'PR Report - SOBHA '!$A$117:$A$128,$A182)</f>
        <v>0</v>
      </c>
      <c r="F182" s="85">
        <f>SUMIFS('PR Report - SOBHA '!$F$117:$F$128,'PR Report - SOBHA '!$A$117:$A$128,$A182)</f>
        <v>0</v>
      </c>
      <c r="G182" s="85">
        <f>SUMIFS('PR Report - SOBHA '!$F$117:$F$128,'PR Report - SOBHA '!$A$117:$A$128,$A182)</f>
        <v>0</v>
      </c>
      <c r="H182" s="178">
        <f>SUMIFS('PR Report - SOBHA '!$H$117:$H$128,'PR Report - SOBHA '!$A$117:$A$128,$A182)</f>
        <v>0</v>
      </c>
      <c r="I182" s="85">
        <f>SUMIFS('PR Report - SOBHA '!$I$117:$I$128,'PR Report - SOBHA '!$A$117:$A$128,$A182)</f>
        <v>0</v>
      </c>
      <c r="J182" s="85">
        <f>SUMIFS('PR Report - SOBHA '!$J$117:$J$128,'PR Report - SOBHA '!$A$117:$A$128,$A182)</f>
        <v>0</v>
      </c>
      <c r="K182" s="85">
        <f>SUMIFS('PR Report - SOBHA '!$K$117:$K$128,'PR Report - SOBHA '!$A$117:$A$128,$A182)</f>
        <v>1589332</v>
      </c>
      <c r="L182" s="85">
        <f>SUMIFS('PR Report - SOBHA '!$L$117:$L$128,'PR Report - SOBHA '!$A$117:$A$128,$A182)</f>
        <v>0</v>
      </c>
      <c r="M182" s="85">
        <f>SUMIFS('PR Report - SOBHA '!$M$117:$M$128,'PR Report - SOBHA '!$A$117:$A$128,$A182)</f>
        <v>0</v>
      </c>
    </row>
    <row r="183" spans="1:13" x14ac:dyDescent="0.25">
      <c r="A183" s="54" t="s">
        <v>43</v>
      </c>
      <c r="B183" s="85">
        <f>SUMIFS('PR Report - SOBHA '!$B$117:$B$128,'PR Report - SOBHA '!$A$117:$A$128,$A183)</f>
        <v>3920238</v>
      </c>
      <c r="C183" s="85">
        <f>SUMIFS('PR Report - SOBHA '!$C$117:$C$128,'PR Report - SOBHA '!$A$117:$A$128,$A183)</f>
        <v>0</v>
      </c>
      <c r="D183" s="85">
        <f>SUMIFS('PR Report - SOBHA '!$D$117:$D$128,'PR Report - SOBHA '!$A$117:$A$128,$A183)</f>
        <v>0</v>
      </c>
      <c r="E183" s="85">
        <f>SUMIFS('PR Report - SOBHA '!$E$117:$E$128,'PR Report - SOBHA '!$A$117:$A$128,$A183)</f>
        <v>0</v>
      </c>
      <c r="F183" s="85">
        <f>SUMIFS('PR Report - SOBHA '!$F$117:$F$128,'PR Report - SOBHA '!$A$117:$A$128,$A183)</f>
        <v>0</v>
      </c>
      <c r="G183" s="85">
        <f>SUMIFS('PR Report - SOBHA '!$F$117:$F$128,'PR Report - SOBHA '!$A$117:$A$128,$A183)</f>
        <v>0</v>
      </c>
      <c r="H183" s="178">
        <f>SUMIFS('PR Report - SOBHA '!$H$117:$H$128,'PR Report - SOBHA '!$A$117:$A$128,$A183)</f>
        <v>347417</v>
      </c>
      <c r="I183" s="85">
        <f>SUMIFS('PR Report - SOBHA '!$I$117:$I$128,'PR Report - SOBHA '!$A$117:$A$128,$A183)</f>
        <v>0</v>
      </c>
      <c r="J183" s="85">
        <f>SUMIFS('PR Report - SOBHA '!$J$117:$J$128,'PR Report - SOBHA '!$A$117:$A$128,$A183)</f>
        <v>0</v>
      </c>
      <c r="K183" s="85">
        <f>SUMIFS('PR Report - SOBHA '!$K$117:$K$128,'PR Report - SOBHA '!$A$117:$A$128,$A183)</f>
        <v>3572821</v>
      </c>
      <c r="L183" s="85">
        <f>SUMIFS('PR Report - SOBHA '!$L$117:$L$128,'PR Report - SOBHA '!$A$117:$A$128,$A183)</f>
        <v>0</v>
      </c>
      <c r="M183" s="85">
        <f>SUMIFS('PR Report - SOBHA '!$M$117:$M$128,'PR Report - SOBHA '!$A$117:$A$128,$A183)</f>
        <v>0</v>
      </c>
    </row>
    <row r="184" spans="1:13" x14ac:dyDescent="0.25">
      <c r="A184" s="54" t="s">
        <v>41</v>
      </c>
      <c r="B184" s="85">
        <f>SUMIFS('PR Report - SOBHA '!$B$117:$B$128,'PR Report - SOBHA '!$A$117:$A$128,$A184)</f>
        <v>0</v>
      </c>
      <c r="C184" s="85">
        <f>SUMIFS('PR Report - SOBHA '!$C$117:$C$128,'PR Report - SOBHA '!$A$117:$A$128,$A184)</f>
        <v>0</v>
      </c>
      <c r="D184" s="85">
        <f>SUMIFS('PR Report - SOBHA '!$D$117:$D$128,'PR Report - SOBHA '!$A$117:$A$128,$A184)</f>
        <v>0</v>
      </c>
      <c r="E184" s="85">
        <f>SUMIFS('PR Report - SOBHA '!$E$117:$E$128,'PR Report - SOBHA '!$A$117:$A$128,$A184)</f>
        <v>0</v>
      </c>
      <c r="F184" s="85">
        <f>SUMIFS('PR Report - SOBHA '!$F$117:$F$128,'PR Report - SOBHA '!$A$117:$A$128,$A184)</f>
        <v>0</v>
      </c>
      <c r="G184" s="85">
        <f>SUMIFS('PR Report - SOBHA '!$F$117:$F$128,'PR Report - SOBHA '!$A$117:$A$128,$A184)</f>
        <v>0</v>
      </c>
      <c r="H184" s="178">
        <f>SUMIFS('PR Report - SOBHA '!$H$117:$H$128,'PR Report - SOBHA '!$A$117:$A$128,$A184)</f>
        <v>0</v>
      </c>
      <c r="I184" s="85">
        <f>SUMIFS('PR Report - SOBHA '!$I$117:$I$128,'PR Report - SOBHA '!$A$117:$A$128,$A184)</f>
        <v>0</v>
      </c>
      <c r="J184" s="85">
        <f>SUMIFS('PR Report - SOBHA '!$J$117:$J$128,'PR Report - SOBHA '!$A$117:$A$128,$A184)</f>
        <v>0</v>
      </c>
      <c r="K184" s="85">
        <f>SUMIFS('PR Report - SOBHA '!$K$117:$K$128,'PR Report - SOBHA '!$A$117:$A$128,$A184)</f>
        <v>0</v>
      </c>
      <c r="L184" s="85">
        <f>SUMIFS('PR Report - SOBHA '!$L$117:$L$128,'PR Report - SOBHA '!$A$117:$A$128,$A184)</f>
        <v>0</v>
      </c>
      <c r="M184" s="85">
        <f>SUMIFS('PR Report - SOBHA '!$M$117:$M$128,'PR Report - SOBHA '!$A$117:$A$128,$A184)</f>
        <v>0</v>
      </c>
    </row>
    <row r="185" spans="1:13" x14ac:dyDescent="0.25">
      <c r="A185" s="54" t="s">
        <v>45</v>
      </c>
      <c r="B185" s="85">
        <f>SUMIFS('PR Report - SOBHA '!$B$117:$B$128,'PR Report - SOBHA '!$A$117:$A$128,$A185)</f>
        <v>561470</v>
      </c>
      <c r="C185" s="85">
        <f>SUMIFS('PR Report - SOBHA '!$C$117:$C$128,'PR Report - SOBHA '!$A$117:$A$128,$A185)</f>
        <v>0</v>
      </c>
      <c r="D185" s="85">
        <f>SUMIFS('PR Report - SOBHA '!$D$117:$D$128,'PR Report - SOBHA '!$A$117:$A$128,$A185)</f>
        <v>0</v>
      </c>
      <c r="E185" s="85">
        <f>SUMIFS('PR Report - SOBHA '!$E$117:$E$128,'PR Report - SOBHA '!$A$117:$A$128,$A185)</f>
        <v>0</v>
      </c>
      <c r="F185" s="85">
        <f>SUMIFS('PR Report - SOBHA '!$F$117:$F$128,'PR Report - SOBHA '!$A$117:$A$128,$A185)</f>
        <v>0</v>
      </c>
      <c r="G185" s="85">
        <f>SUMIFS('PR Report - SOBHA '!$F$117:$F$128,'PR Report - SOBHA '!$A$117:$A$128,$A185)</f>
        <v>0</v>
      </c>
      <c r="H185" s="178">
        <f>SUMIFS('PR Report - SOBHA '!$H$117:$H$128,'PR Report - SOBHA '!$A$117:$A$128,$A185)</f>
        <v>0</v>
      </c>
      <c r="I185" s="85">
        <f>SUMIFS('PR Report - SOBHA '!$I$117:$I$128,'PR Report - SOBHA '!$A$117:$A$128,$A185)</f>
        <v>0</v>
      </c>
      <c r="J185" s="85">
        <f>SUMIFS('PR Report - SOBHA '!$J$117:$J$128,'PR Report - SOBHA '!$A$117:$A$128,$A185)</f>
        <v>0</v>
      </c>
      <c r="K185" s="85">
        <f>SUMIFS('PR Report - SOBHA '!$K$117:$K$128,'PR Report - SOBHA '!$A$117:$A$128,$A185)</f>
        <v>561470</v>
      </c>
      <c r="L185" s="85">
        <f>SUMIFS('PR Report - SOBHA '!$L$117:$L$128,'PR Report - SOBHA '!$A$117:$A$128,$A185)</f>
        <v>0</v>
      </c>
      <c r="M185" s="85">
        <f>SUMIFS('PR Report - SOBHA '!$M$117:$M$128,'PR Report - SOBHA '!$A$117:$A$128,$A185)</f>
        <v>0</v>
      </c>
    </row>
    <row r="186" spans="1:13" x14ac:dyDescent="0.25">
      <c r="A186" s="54" t="s">
        <v>49</v>
      </c>
      <c r="B186" s="85">
        <f>SUMIFS('PR Report - SOBHA '!$B$117:$B$128,'PR Report - SOBHA '!$A$117:$A$128,$A186)</f>
        <v>2924662.74</v>
      </c>
      <c r="C186" s="85">
        <f>SUMIFS('PR Report - SOBHA '!$C$117:$C$128,'PR Report - SOBHA '!$A$117:$A$128,$A186)</f>
        <v>0</v>
      </c>
      <c r="D186" s="85">
        <f>SUMIFS('PR Report - SOBHA '!$D$117:$D$128,'PR Report - SOBHA '!$A$117:$A$128,$A186)</f>
        <v>2221036</v>
      </c>
      <c r="E186" s="85">
        <f>SUMIFS('PR Report - SOBHA '!$E$117:$E$128,'PR Report - SOBHA '!$A$117:$A$128,$A186)</f>
        <v>0</v>
      </c>
      <c r="F186" s="85">
        <f>SUMIFS('PR Report - SOBHA '!$F$117:$F$128,'PR Report - SOBHA '!$A$117:$A$128,$A186)</f>
        <v>0</v>
      </c>
      <c r="G186" s="85">
        <f>SUMIFS('PR Report - SOBHA '!$F$117:$F$128,'PR Report - SOBHA '!$A$117:$A$128,$A186)</f>
        <v>0</v>
      </c>
      <c r="H186" s="178">
        <f>SUMIFS('PR Report - SOBHA '!$H$117:$H$128,'PR Report - SOBHA '!$A$117:$A$128,$A186)</f>
        <v>0</v>
      </c>
      <c r="I186" s="85">
        <f>SUMIFS('PR Report - SOBHA '!$I$117:$I$128,'PR Report - SOBHA '!$A$117:$A$128,$A186)</f>
        <v>0</v>
      </c>
      <c r="J186" s="85">
        <f>SUMIFS('PR Report - SOBHA '!$J$117:$J$128,'PR Report - SOBHA '!$A$117:$A$128,$A186)</f>
        <v>0</v>
      </c>
      <c r="K186" s="85">
        <f>SUMIFS('PR Report - SOBHA '!$K$117:$K$128,'PR Report - SOBHA '!$A$117:$A$128,$A186)</f>
        <v>703626.74</v>
      </c>
      <c r="L186" s="85">
        <f>SUMIFS('PR Report - SOBHA '!$L$117:$L$128,'PR Report - SOBHA '!$A$117:$A$128,$A186)</f>
        <v>0</v>
      </c>
      <c r="M186" s="85">
        <f>SUMIFS('PR Report - SOBHA '!$M$117:$M$128,'PR Report - SOBHA '!$A$117:$A$128,$A186)</f>
        <v>0</v>
      </c>
    </row>
    <row r="187" spans="1:13" x14ac:dyDescent="0.25">
      <c r="A187" s="54" t="s">
        <v>47</v>
      </c>
      <c r="B187" s="85">
        <f>SUMIFS('PR Report - SOBHA '!$B$117:$B$128,'PR Report - SOBHA '!$A$117:$A$128,$A187)</f>
        <v>3730663.6599999997</v>
      </c>
      <c r="C187" s="85">
        <f>SUMIFS('PR Report - SOBHA '!$C$117:$C$128,'PR Report - SOBHA '!$A$117:$A$128,$A187)</f>
        <v>0</v>
      </c>
      <c r="D187" s="85">
        <f>SUMIFS('PR Report - SOBHA '!$D$117:$D$128,'PR Report - SOBHA '!$A$117:$A$128,$A187)</f>
        <v>519804</v>
      </c>
      <c r="E187" s="85">
        <f>SUMIFS('PR Report - SOBHA '!$E$117:$E$128,'PR Report - SOBHA '!$A$117:$A$128,$A187)</f>
        <v>0</v>
      </c>
      <c r="F187" s="85">
        <f>SUMIFS('PR Report - SOBHA '!$F$117:$F$128,'PR Report - SOBHA '!$A$117:$A$128,$A187)</f>
        <v>0</v>
      </c>
      <c r="G187" s="85">
        <f>SUMIFS('PR Report - SOBHA '!$F$117:$F$128,'PR Report - SOBHA '!$A$117:$A$128,$A187)</f>
        <v>0</v>
      </c>
      <c r="H187" s="178">
        <f>SUMIFS('PR Report - SOBHA '!$H$117:$H$128,'PR Report - SOBHA '!$A$117:$A$128,$A187)</f>
        <v>0</v>
      </c>
      <c r="I187" s="85">
        <f>SUMIFS('PR Report - SOBHA '!$I$117:$I$128,'PR Report - SOBHA '!$A$117:$A$128,$A187)</f>
        <v>417070.97</v>
      </c>
      <c r="J187" s="85">
        <f>SUMIFS('PR Report - SOBHA '!$J$117:$J$128,'PR Report - SOBHA '!$A$117:$A$128,$A187)</f>
        <v>0</v>
      </c>
      <c r="K187" s="85">
        <f>SUMIFS('PR Report - SOBHA '!$K$117:$K$128,'PR Report - SOBHA '!$A$117:$A$128,$A187)</f>
        <v>2793788.69</v>
      </c>
      <c r="L187" s="85">
        <f>SUMIFS('PR Report - SOBHA '!$L$117:$L$128,'PR Report - SOBHA '!$A$117:$A$128,$A187)</f>
        <v>0</v>
      </c>
      <c r="M187" s="85">
        <f>SUMIFS('PR Report - SOBHA '!$M$117:$M$128,'PR Report - SOBHA '!$A$117:$A$128,$A187)</f>
        <v>0</v>
      </c>
    </row>
    <row r="188" spans="1:13" x14ac:dyDescent="0.25">
      <c r="A188" s="54" t="s">
        <v>48</v>
      </c>
      <c r="B188" s="85">
        <f>SUMIFS('PR Report - SOBHA '!$B$117:$B$128,'PR Report - SOBHA '!$A$117:$A$128,$A188)</f>
        <v>7291361</v>
      </c>
      <c r="C188" s="85">
        <f>SUMIFS('PR Report - SOBHA '!$C$117:$C$128,'PR Report - SOBHA '!$A$117:$A$128,$A188)</f>
        <v>0</v>
      </c>
      <c r="D188" s="85">
        <f>SUMIFS('PR Report - SOBHA '!$D$117:$D$128,'PR Report - SOBHA '!$A$117:$A$128,$A188)</f>
        <v>0</v>
      </c>
      <c r="E188" s="85">
        <f>SUMIFS('PR Report - SOBHA '!$E$117:$E$128,'PR Report - SOBHA '!$A$117:$A$128,$A188)</f>
        <v>0</v>
      </c>
      <c r="F188" s="85">
        <f>SUMIFS('PR Report - SOBHA '!$F$117:$F$128,'PR Report - SOBHA '!$A$117:$A$128,$A188)</f>
        <v>0</v>
      </c>
      <c r="G188" s="85">
        <f>SUMIFS('PR Report - SOBHA '!$F$117:$F$128,'PR Report - SOBHA '!$A$117:$A$128,$A188)</f>
        <v>0</v>
      </c>
      <c r="H188" s="178">
        <f>SUMIFS('PR Report - SOBHA '!$H$117:$H$128,'PR Report - SOBHA '!$A$117:$A$128,$A188)</f>
        <v>0</v>
      </c>
      <c r="I188" s="85">
        <f>SUMIFS('PR Report - SOBHA '!$I$117:$I$128,'PR Report - SOBHA '!$A$117:$A$128,$A188)</f>
        <v>0</v>
      </c>
      <c r="J188" s="85">
        <f>SUMIFS('PR Report - SOBHA '!$J$117:$J$128,'PR Report - SOBHA '!$A$117:$A$128,$A188)</f>
        <v>0</v>
      </c>
      <c r="K188" s="85">
        <f>SUMIFS('PR Report - SOBHA '!$K$117:$K$128,'PR Report - SOBHA '!$A$117:$A$128,$A188)</f>
        <v>7291361</v>
      </c>
      <c r="L188" s="85">
        <f>SUMIFS('PR Report - SOBHA '!$L$117:$L$128,'PR Report - SOBHA '!$A$117:$A$128,$A188)</f>
        <v>0</v>
      </c>
      <c r="M188" s="85">
        <f>SUMIFS('PR Report - SOBHA '!$M$117:$M$128,'PR Report - SOBHA '!$A$117:$A$128,$A188)</f>
        <v>0</v>
      </c>
    </row>
    <row r="189" spans="1:13" x14ac:dyDescent="0.25">
      <c r="A189" s="54" t="s">
        <v>44</v>
      </c>
      <c r="B189" s="85">
        <f>SUMIFS('PR Report - SOBHA '!$B$117:$B$128,'PR Report - SOBHA '!$A$117:$A$128,$A189)</f>
        <v>1237047.04</v>
      </c>
      <c r="C189" s="85">
        <f>SUMIFS('PR Report - SOBHA '!$C$117:$C$128,'PR Report - SOBHA '!$A$117:$A$128,$A189)</f>
        <v>0</v>
      </c>
      <c r="D189" s="85">
        <f>SUMIFS('PR Report - SOBHA '!$D$117:$D$128,'PR Report - SOBHA '!$A$117:$A$128,$A189)</f>
        <v>0</v>
      </c>
      <c r="E189" s="85">
        <f>SUMIFS('PR Report - SOBHA '!$E$117:$E$128,'PR Report - SOBHA '!$A$117:$A$128,$A189)</f>
        <v>0</v>
      </c>
      <c r="F189" s="85">
        <f>SUMIFS('PR Report - SOBHA '!$F$117:$F$128,'PR Report - SOBHA '!$A$117:$A$128,$A189)</f>
        <v>0</v>
      </c>
      <c r="G189" s="85">
        <f>SUMIFS('PR Report - SOBHA '!$F$117:$F$128,'PR Report - SOBHA '!$A$117:$A$128,$A189)</f>
        <v>0</v>
      </c>
      <c r="H189" s="178">
        <f>SUMIFS('PR Report - SOBHA '!$H$117:$H$128,'PR Report - SOBHA '!$A$117:$A$128,$A189)</f>
        <v>0</v>
      </c>
      <c r="I189" s="85">
        <f>SUMIFS('PR Report - SOBHA '!$I$117:$I$128,'PR Report - SOBHA '!$A$117:$A$128,$A189)</f>
        <v>0</v>
      </c>
      <c r="J189" s="85">
        <f>SUMIFS('PR Report - SOBHA '!$J$117:$J$128,'PR Report - SOBHA '!$A$117:$A$128,$A189)</f>
        <v>0</v>
      </c>
      <c r="K189" s="85">
        <f>SUMIFS('PR Report - SOBHA '!$K$117:$K$128,'PR Report - SOBHA '!$A$117:$A$128,$A189)</f>
        <v>1128479.04</v>
      </c>
      <c r="L189" s="85">
        <f>SUMIFS('PR Report - SOBHA '!$L$117:$L$128,'PR Report - SOBHA '!$A$117:$A$128,$A189)</f>
        <v>108568</v>
      </c>
      <c r="M189" s="85">
        <f>SUMIFS('PR Report - SOBHA '!$M$117:$M$128,'PR Report - SOBHA '!$A$117:$A$128,$A189)</f>
        <v>0</v>
      </c>
    </row>
    <row r="190" spans="1:13" x14ac:dyDescent="0.25">
      <c r="A190" s="64" t="s">
        <v>35</v>
      </c>
      <c r="B190" s="125">
        <f t="shared" ref="B190:M190" si="14">SUM(B178:B189)</f>
        <v>43958271.739999995</v>
      </c>
      <c r="C190" s="125">
        <f t="shared" si="14"/>
        <v>0</v>
      </c>
      <c r="D190" s="125">
        <f t="shared" si="14"/>
        <v>3901087.86</v>
      </c>
      <c r="E190" s="125">
        <f t="shared" si="14"/>
        <v>0</v>
      </c>
      <c r="F190" s="125">
        <f t="shared" si="14"/>
        <v>0</v>
      </c>
      <c r="G190" s="125">
        <f t="shared" si="14"/>
        <v>0</v>
      </c>
      <c r="H190" s="179">
        <f t="shared" si="14"/>
        <v>2283148</v>
      </c>
      <c r="I190" s="125">
        <f t="shared" si="14"/>
        <v>417070.97</v>
      </c>
      <c r="J190" s="125">
        <f t="shared" si="14"/>
        <v>0</v>
      </c>
      <c r="K190" s="125">
        <f t="shared" si="14"/>
        <v>37248396.909999996</v>
      </c>
      <c r="L190" s="125">
        <f t="shared" si="14"/>
        <v>108568</v>
      </c>
      <c r="M190" s="125">
        <f t="shared" si="14"/>
        <v>0</v>
      </c>
    </row>
    <row r="191" spans="1:13" x14ac:dyDescent="0.25">
      <c r="A191" s="54" t="s">
        <v>38</v>
      </c>
      <c r="B191" s="85">
        <f>SUMIFS('PR Report - SINIYA'!$B$96:$B$106,'PR Report - SINIYA'!$A$96:$A$106,$A191)+SUMIFS('PR Report - DOWNTOWN'!$B$101:$B$111,'PR Report - DOWNTOWN'!$A$101:$A$111,A191)</f>
        <v>288016</v>
      </c>
      <c r="C191" s="85">
        <f>SUMIFS('PR Report - SINIYA'!$C$96:$C$106,'PR Report - SINIYA'!$A$96:$A$106,$A191)+SUMIFS('PR Report - DOWNTOWN'!$C$101:$C$111,'PR Report - DOWNTOWN'!$A$101:$A$111,A191)</f>
        <v>0</v>
      </c>
      <c r="D191" s="85">
        <f>SUMIFS('PR Report - SINIYA'!$D$96:$D$106,'PR Report - SINIYA'!$A$96:$A$106,$A191)+SUMIFS('PR Report - DOWNTOWN'!$D$101:$D$111,'PR Report - DOWNTOWN'!$A$101:$A$111,A191)</f>
        <v>0</v>
      </c>
      <c r="E191" s="85">
        <f>SUMIFS('PR Report - SINIYA'!$E$96:$E$106,'PR Report - SINIYA'!$A$96:$A$106,$A191)+SUMIFS('PR Report - DOWNTOWN'!$E$101:$E$111,'PR Report - DOWNTOWN'!$A$101:$A$111,A191)</f>
        <v>0</v>
      </c>
      <c r="F191" s="85">
        <f>SUMIFS('PR Report - SINIYA'!$F$96:$F$106,'PR Report - SINIYA'!$A$96:$A$106,$A191)+SUMIFS('PR Report - DOWNTOWN'!$F$101:$F$111,'PR Report - DOWNTOWN'!$A$101:$A$111,A191)</f>
        <v>0</v>
      </c>
      <c r="G191" s="85">
        <f>SUMIFS('PR Report - SINIYA'!$F$96:$F$106,'PR Report - SINIYA'!$A$96:$A$106,$A191)+SUMIFS('PR Report - DOWNTOWN'!$F$101:$F$111,'PR Report - DOWNTOWN'!$A$101:$A$111,B191)</f>
        <v>0</v>
      </c>
      <c r="H191" s="178">
        <f>SUMIFS('PR Report - SINIYA'!$H$96:$H$106,'PR Report - SINIYA'!$A$96:$A$106,$A191)+SUMIFS('PR Report - DOWNTOWN'!$H$101:$H$111,'PR Report - DOWNTOWN'!$A$101:$A$111,A191)</f>
        <v>0</v>
      </c>
      <c r="I191" s="85">
        <f>SUMIFS('PR Report - SINIYA'!$I$96:$I$106,'PR Report - SINIYA'!$A$96:$A$106,$A191)+SUMIFS('PR Report - DOWNTOWN'!$I$101:$I$111,'PR Report - DOWNTOWN'!$A$101:$A$111,A191)</f>
        <v>0</v>
      </c>
      <c r="J191" s="85">
        <f>SUMIFS('PR Report - SINIYA'!$J$96:$J$106,'PR Report - SINIYA'!$A$96:$A$106,$A191)+SUMIFS('PR Report - DOWNTOWN'!$J$101:$J$111,'PR Report - DOWNTOWN'!$A$101:$A$111,A191)</f>
        <v>0</v>
      </c>
      <c r="K191" s="85">
        <f>SUMIFS('PR Report - SINIYA'!$K$96:$K$106,'PR Report - SINIYA'!$A$96:$A$106,$A191)+SUMIFS('PR Report - DOWNTOWN'!$K$101:$K$111,'PR Report - DOWNTOWN'!$A$101:$A$111,A191)</f>
        <v>166912</v>
      </c>
      <c r="L191" s="85">
        <f>SUMIFS('PR Report - SINIYA'!$L$96:$L$106,'PR Report - SINIYA'!$A$96:$A$106,$A191)+SUMIFS('PR Report - DOWNTOWN'!$L$101:$L$111,'PR Report - DOWNTOWN'!$A$101:$A$111,A191)</f>
        <v>0</v>
      </c>
      <c r="M191" s="85">
        <f>SUMIFS('PR Report - SINIYA'!$M$96:$M$106,'PR Report - SINIYA'!$A$96:$A$106,$A191)+SUMIFS('PR Report - DOWNTOWN'!$M$101:$M$111,'PR Report - DOWNTOWN'!$A$101:$A$111,A191)</f>
        <v>121104</v>
      </c>
    </row>
    <row r="192" spans="1:13" x14ac:dyDescent="0.25">
      <c r="A192" s="54" t="s">
        <v>39</v>
      </c>
      <c r="B192" s="85">
        <f>SUMIFS('PR Report - SINIYA'!$B$96:$B$106,'PR Report - SINIYA'!$A$96:$A$106,$A192)+SUMIFS('PR Report - DOWNTOWN'!$B$101:$B$111,'PR Report - DOWNTOWN'!$A$101:$A$111,A192)</f>
        <v>0</v>
      </c>
      <c r="C192" s="85">
        <f>SUMIFS('PR Report - SINIYA'!$C$96:$C$106,'PR Report - SINIYA'!$A$96:$A$106,$A192)+SUMIFS('PR Report - DOWNTOWN'!$C$101:$C$111,'PR Report - DOWNTOWN'!$A$101:$A$111,A192)</f>
        <v>0</v>
      </c>
      <c r="D192" s="85">
        <f>SUMIFS('PR Report - SINIYA'!$D$96:$D$106,'PR Report - SINIYA'!$A$96:$A$106,$A192)+SUMIFS('PR Report - DOWNTOWN'!$D$101:$D$111,'PR Report - DOWNTOWN'!$A$101:$A$111,A192)</f>
        <v>0</v>
      </c>
      <c r="E192" s="85">
        <f>SUMIFS('PR Report - SINIYA'!$E$96:$E$106,'PR Report - SINIYA'!$A$96:$A$106,$A192)+SUMIFS('PR Report - DOWNTOWN'!$E$101:$E$111,'PR Report - DOWNTOWN'!$A$101:$A$111,A192)</f>
        <v>0</v>
      </c>
      <c r="F192" s="85">
        <f>SUMIFS('PR Report - SINIYA'!$F$96:$F$106,'PR Report - SINIYA'!$A$96:$A$106,$A192)+SUMIFS('PR Report - DOWNTOWN'!$F$101:$F$111,'PR Report - DOWNTOWN'!$A$101:$A$111,A192)</f>
        <v>0</v>
      </c>
      <c r="G192" s="85">
        <f>SUMIFS('PR Report - SINIYA'!$F$96:$F$106,'PR Report - SINIYA'!$A$96:$A$106,$A192)+SUMIFS('PR Report - DOWNTOWN'!$F$101:$F$111,'PR Report - DOWNTOWN'!$A$101:$A$111,B192)</f>
        <v>0</v>
      </c>
      <c r="H192" s="178">
        <f>SUMIFS('PR Report - SINIYA'!$H$96:$H$106,'PR Report - SINIYA'!$A$96:$A$106,$A192)+SUMIFS('PR Report - DOWNTOWN'!$H$101:$H$111,'PR Report - DOWNTOWN'!$A$101:$A$111,A192)</f>
        <v>0</v>
      </c>
      <c r="I192" s="85">
        <f>SUMIFS('PR Report - SINIYA'!$I$96:$I$106,'PR Report - SINIYA'!$A$96:$A$106,$A192)+SUMIFS('PR Report - DOWNTOWN'!$I$101:$I$111,'PR Report - DOWNTOWN'!$A$101:$A$111,A192)</f>
        <v>0</v>
      </c>
      <c r="J192" s="85">
        <f>SUMIFS('PR Report - SINIYA'!$J$96:$J$106,'PR Report - SINIYA'!$A$96:$A$106,$A192)+SUMIFS('PR Report - DOWNTOWN'!$J$101:$J$111,'PR Report - DOWNTOWN'!$A$101:$A$111,A192)</f>
        <v>0</v>
      </c>
      <c r="K192" s="85">
        <f>SUMIFS('PR Report - SINIYA'!$K$96:$K$106,'PR Report - SINIYA'!$A$96:$A$106,$A192)+SUMIFS('PR Report - DOWNTOWN'!$K$101:$K$111,'PR Report - DOWNTOWN'!$A$101:$A$111,A192)</f>
        <v>0</v>
      </c>
      <c r="L192" s="85">
        <f>SUMIFS('PR Report - SINIYA'!$L$96:$L$106,'PR Report - SINIYA'!$A$96:$A$106,$A192)+SUMIFS('PR Report - DOWNTOWN'!$L$101:$L$111,'PR Report - DOWNTOWN'!$A$101:$A$111,A192)</f>
        <v>0</v>
      </c>
      <c r="M192" s="85">
        <f>SUMIFS('PR Report - SINIYA'!$M$96:$M$106,'PR Report - SINIYA'!$A$96:$A$106,$A192)+SUMIFS('PR Report - DOWNTOWN'!$M$101:$M$111,'PR Report - DOWNTOWN'!$A$101:$A$111,A192)</f>
        <v>0</v>
      </c>
    </row>
    <row r="193" spans="1:13" x14ac:dyDescent="0.25">
      <c r="A193" s="54" t="s">
        <v>40</v>
      </c>
      <c r="B193" s="85">
        <f>SUMIFS('PR Report - SINIYA'!$B$96:$B$106,'PR Report - SINIYA'!$A$96:$A$106,$A193)+SUMIFS('PR Report - DOWNTOWN'!$B$101:$B$111,'PR Report - DOWNTOWN'!$A$101:$A$111,A193)</f>
        <v>0</v>
      </c>
      <c r="C193" s="85">
        <f>SUMIFS('PR Report - SINIYA'!$C$96:$C$106,'PR Report - SINIYA'!$A$96:$A$106,$A193)+SUMIFS('PR Report - DOWNTOWN'!$C$101:$C$111,'PR Report - DOWNTOWN'!$A$101:$A$111,A193)</f>
        <v>0</v>
      </c>
      <c r="D193" s="85">
        <f>SUMIFS('PR Report - SINIYA'!$D$96:$D$106,'PR Report - SINIYA'!$A$96:$A$106,$A193)+SUMIFS('PR Report - DOWNTOWN'!$D$101:$D$111,'PR Report - DOWNTOWN'!$A$101:$A$111,A193)</f>
        <v>0</v>
      </c>
      <c r="E193" s="85">
        <f>SUMIFS('PR Report - SINIYA'!$E$96:$E$106,'PR Report - SINIYA'!$A$96:$A$106,$A193)+SUMIFS('PR Report - DOWNTOWN'!$E$101:$E$111,'PR Report - DOWNTOWN'!$A$101:$A$111,A193)</f>
        <v>0</v>
      </c>
      <c r="F193" s="85">
        <f>SUMIFS('PR Report - SINIYA'!$F$96:$F$106,'PR Report - SINIYA'!$A$96:$A$106,$A193)+SUMIFS('PR Report - DOWNTOWN'!$F$101:$F$111,'PR Report - DOWNTOWN'!$A$101:$A$111,A193)</f>
        <v>0</v>
      </c>
      <c r="G193" s="85">
        <f>SUMIFS('PR Report - SINIYA'!$F$96:$F$106,'PR Report - SINIYA'!$A$96:$A$106,$A193)+SUMIFS('PR Report - DOWNTOWN'!$F$101:$F$111,'PR Report - DOWNTOWN'!$A$101:$A$111,B193)</f>
        <v>0</v>
      </c>
      <c r="H193" s="178">
        <f>SUMIFS('PR Report - SINIYA'!$H$96:$H$106,'PR Report - SINIYA'!$A$96:$A$106,$A193)+SUMIFS('PR Report - DOWNTOWN'!$H$101:$H$111,'PR Report - DOWNTOWN'!$A$101:$A$111,A193)</f>
        <v>0</v>
      </c>
      <c r="I193" s="85">
        <f>SUMIFS('PR Report - SINIYA'!$I$96:$I$106,'PR Report - SINIYA'!$A$96:$A$106,$A193)+SUMIFS('PR Report - DOWNTOWN'!$I$101:$I$111,'PR Report - DOWNTOWN'!$A$101:$A$111,A193)</f>
        <v>0</v>
      </c>
      <c r="J193" s="85">
        <f>SUMIFS('PR Report - SINIYA'!$J$96:$J$106,'PR Report - SINIYA'!$A$96:$A$106,$A193)+SUMIFS('PR Report - DOWNTOWN'!$J$101:$J$111,'PR Report - DOWNTOWN'!$A$101:$A$111,A193)</f>
        <v>0</v>
      </c>
      <c r="K193" s="85">
        <f>SUMIFS('PR Report - SINIYA'!$K$96:$K$106,'PR Report - SINIYA'!$A$96:$A$106,$A193)+SUMIFS('PR Report - DOWNTOWN'!$K$101:$K$111,'PR Report - DOWNTOWN'!$A$101:$A$111,A193)</f>
        <v>0</v>
      </c>
      <c r="L193" s="85">
        <f>SUMIFS('PR Report - SINIYA'!$L$96:$L$106,'PR Report - SINIYA'!$A$96:$A$106,$A193)+SUMIFS('PR Report - DOWNTOWN'!$L$101:$L$111,'PR Report - DOWNTOWN'!$A$101:$A$111,A193)</f>
        <v>0</v>
      </c>
      <c r="M193" s="85">
        <f>SUMIFS('PR Report - SINIYA'!$M$96:$M$106,'PR Report - SINIYA'!$A$96:$A$106,$A193)+SUMIFS('PR Report - DOWNTOWN'!$M$101:$M$111,'PR Report - DOWNTOWN'!$A$101:$A$111,A193)</f>
        <v>0</v>
      </c>
    </row>
    <row r="194" spans="1:13" x14ac:dyDescent="0.25">
      <c r="A194" s="54" t="s">
        <v>42</v>
      </c>
      <c r="B194" s="85">
        <f>SUMIFS('PR Report - SINIYA'!$B$96:$B$106,'PR Report - SINIYA'!$A$96:$A$106,$A194)+SUMIFS('PR Report - DOWNTOWN'!$B$101:$B$111,'PR Report - DOWNTOWN'!$A$101:$A$111,A194)</f>
        <v>604342</v>
      </c>
      <c r="C194" s="85">
        <f>SUMIFS('PR Report - SINIYA'!$C$96:$C$106,'PR Report - SINIYA'!$A$96:$A$106,$A194)+SUMIFS('PR Report - DOWNTOWN'!$C$101:$C$111,'PR Report - DOWNTOWN'!$A$101:$A$111,A194)</f>
        <v>0</v>
      </c>
      <c r="D194" s="85">
        <f>SUMIFS('PR Report - SINIYA'!$D$96:$D$106,'PR Report - SINIYA'!$A$96:$A$106,$A194)+SUMIFS('PR Report - DOWNTOWN'!$D$101:$D$111,'PR Report - DOWNTOWN'!$A$101:$A$111,A194)</f>
        <v>0</v>
      </c>
      <c r="E194" s="85">
        <f>SUMIFS('PR Report - SINIYA'!$E$96:$E$106,'PR Report - SINIYA'!$A$96:$A$106,$A194)+SUMIFS('PR Report - DOWNTOWN'!$E$101:$E$111,'PR Report - DOWNTOWN'!$A$101:$A$111,A194)</f>
        <v>0</v>
      </c>
      <c r="F194" s="85">
        <f>SUMIFS('PR Report - SINIYA'!$F$96:$F$106,'PR Report - SINIYA'!$A$96:$A$106,$A194)+SUMIFS('PR Report - DOWNTOWN'!$F$101:$F$111,'PR Report - DOWNTOWN'!$A$101:$A$111,A194)</f>
        <v>0</v>
      </c>
      <c r="G194" s="85">
        <f>SUMIFS('PR Report - SINIYA'!$F$96:$F$106,'PR Report - SINIYA'!$A$96:$A$106,$A194)+SUMIFS('PR Report - DOWNTOWN'!$F$101:$F$111,'PR Report - DOWNTOWN'!$A$101:$A$111,B194)</f>
        <v>0</v>
      </c>
      <c r="H194" s="178">
        <f>SUMIFS('PR Report - SINIYA'!$H$96:$H$106,'PR Report - SINIYA'!$A$96:$A$106,$A194)+SUMIFS('PR Report - DOWNTOWN'!$H$101:$H$111,'PR Report - DOWNTOWN'!$A$101:$A$111,A194)</f>
        <v>0</v>
      </c>
      <c r="I194" s="85">
        <f>SUMIFS('PR Report - SINIYA'!$I$96:$I$106,'PR Report - SINIYA'!$A$96:$A$106,$A194)+SUMIFS('PR Report - DOWNTOWN'!$I$101:$I$111,'PR Report - DOWNTOWN'!$A$101:$A$111,A194)</f>
        <v>150000</v>
      </c>
      <c r="J194" s="85">
        <f>SUMIFS('PR Report - SINIYA'!$J$96:$J$106,'PR Report - SINIYA'!$A$96:$A$106,$A194)+SUMIFS('PR Report - DOWNTOWN'!$J$101:$J$111,'PR Report - DOWNTOWN'!$A$101:$A$111,A194)</f>
        <v>0</v>
      </c>
      <c r="K194" s="85">
        <f>SUMIFS('PR Report - SINIYA'!$K$96:$K$106,'PR Report - SINIYA'!$A$96:$A$106,$A194)+SUMIFS('PR Report - DOWNTOWN'!$K$101:$K$111,'PR Report - DOWNTOWN'!$A$101:$A$111,A194)</f>
        <v>454342</v>
      </c>
      <c r="L194" s="85">
        <f>SUMIFS('PR Report - SINIYA'!$L$96:$L$106,'PR Report - SINIYA'!$A$96:$A$106,$A194)+SUMIFS('PR Report - DOWNTOWN'!$L$101:$L$111,'PR Report - DOWNTOWN'!$A$101:$A$111,A194)</f>
        <v>0</v>
      </c>
      <c r="M194" s="85">
        <f>SUMIFS('PR Report - SINIYA'!$M$96:$M$106,'PR Report - SINIYA'!$A$96:$A$106,$A194)+SUMIFS('PR Report - DOWNTOWN'!$M$101:$M$111,'PR Report - DOWNTOWN'!$A$101:$A$111,A194)</f>
        <v>0</v>
      </c>
    </row>
    <row r="195" spans="1:13" x14ac:dyDescent="0.25">
      <c r="A195" s="54" t="s">
        <v>43</v>
      </c>
      <c r="B195" s="85">
        <f>SUMIFS('PR Report - SINIYA'!$B$96:$B$106,'PR Report - SINIYA'!$A$96:$A$106,$A195)+SUMIFS('PR Report - DOWNTOWN'!$B$101:$B$111,'PR Report - DOWNTOWN'!$A$101:$A$111,A195)</f>
        <v>35775</v>
      </c>
      <c r="C195" s="85">
        <f>SUMIFS('PR Report - SINIYA'!$C$96:$C$106,'PR Report - SINIYA'!$A$96:$A$106,$A195)+SUMIFS('PR Report - DOWNTOWN'!$C$101:$C$111,'PR Report - DOWNTOWN'!$A$101:$A$111,A195)</f>
        <v>0</v>
      </c>
      <c r="D195" s="85">
        <f>SUMIFS('PR Report - SINIYA'!$D$96:$D$106,'PR Report - SINIYA'!$A$96:$A$106,$A195)+SUMIFS('PR Report - DOWNTOWN'!$D$101:$D$111,'PR Report - DOWNTOWN'!$A$101:$A$111,A195)</f>
        <v>0</v>
      </c>
      <c r="E195" s="85">
        <f>SUMIFS('PR Report - SINIYA'!$E$96:$E$106,'PR Report - SINIYA'!$A$96:$A$106,$A195)+SUMIFS('PR Report - DOWNTOWN'!$E$101:$E$111,'PR Report - DOWNTOWN'!$A$101:$A$111,A195)</f>
        <v>0</v>
      </c>
      <c r="F195" s="85">
        <f>SUMIFS('PR Report - SINIYA'!$F$96:$F$106,'PR Report - SINIYA'!$A$96:$A$106,$A195)+SUMIFS('PR Report - DOWNTOWN'!$F$101:$F$111,'PR Report - DOWNTOWN'!$A$101:$A$111,A195)</f>
        <v>0</v>
      </c>
      <c r="G195" s="85">
        <f>SUMIFS('PR Report - SINIYA'!$F$96:$F$106,'PR Report - SINIYA'!$A$96:$A$106,$A195)+SUMIFS('PR Report - DOWNTOWN'!$F$101:$F$111,'PR Report - DOWNTOWN'!$A$101:$A$111,B195)</f>
        <v>0</v>
      </c>
      <c r="H195" s="178">
        <f>SUMIFS('PR Report - SINIYA'!$H$96:$H$106,'PR Report - SINIYA'!$A$96:$A$106,$A195)+SUMIFS('PR Report - DOWNTOWN'!$H$101:$H$111,'PR Report - DOWNTOWN'!$A$101:$A$111,A195)</f>
        <v>0</v>
      </c>
      <c r="I195" s="85">
        <f>SUMIFS('PR Report - SINIYA'!$I$96:$I$106,'PR Report - SINIYA'!$A$96:$A$106,$A195)+SUMIFS('PR Report - DOWNTOWN'!$I$101:$I$111,'PR Report - DOWNTOWN'!$A$101:$A$111,A195)</f>
        <v>0</v>
      </c>
      <c r="J195" s="85">
        <f>SUMIFS('PR Report - SINIYA'!$J$96:$J$106,'PR Report - SINIYA'!$A$96:$A$106,$A195)+SUMIFS('PR Report - DOWNTOWN'!$J$101:$J$111,'PR Report - DOWNTOWN'!$A$101:$A$111,A195)</f>
        <v>0</v>
      </c>
      <c r="K195" s="85">
        <f>SUMIFS('PR Report - SINIYA'!$K$96:$K$106,'PR Report - SINIYA'!$A$96:$A$106,$A195)+SUMIFS('PR Report - DOWNTOWN'!$K$101:$K$111,'PR Report - DOWNTOWN'!$A$101:$A$111,A195)</f>
        <v>35775</v>
      </c>
      <c r="L195" s="85">
        <f>SUMIFS('PR Report - SINIYA'!$L$96:$L$106,'PR Report - SINIYA'!$A$96:$A$106,$A195)+SUMIFS('PR Report - DOWNTOWN'!$L$101:$L$111,'PR Report - DOWNTOWN'!$A$101:$A$111,A195)</f>
        <v>0</v>
      </c>
      <c r="M195" s="85">
        <f>SUMIFS('PR Report - SINIYA'!$M$96:$M$106,'PR Report - SINIYA'!$A$96:$A$106,$A195)+SUMIFS('PR Report - DOWNTOWN'!$M$101:$M$111,'PR Report - DOWNTOWN'!$A$101:$A$111,A195)</f>
        <v>0</v>
      </c>
    </row>
    <row r="196" spans="1:13" x14ac:dyDescent="0.25">
      <c r="A196" s="54" t="s">
        <v>41</v>
      </c>
      <c r="B196" s="85">
        <f>SUMIFS('PR Report - SINIYA'!$B$96:$B$106,'PR Report - SINIYA'!$A$96:$A$106,$A196)+SUMIFS('PR Report - DOWNTOWN'!$B$101:$B$111,'PR Report - DOWNTOWN'!$A$101:$A$111,A196)</f>
        <v>0</v>
      </c>
      <c r="C196" s="85">
        <f>SUMIFS('PR Report - SINIYA'!$C$96:$C$106,'PR Report - SINIYA'!$A$96:$A$106,$A196)+SUMIFS('PR Report - DOWNTOWN'!$C$101:$C$111,'PR Report - DOWNTOWN'!$A$101:$A$111,A196)</f>
        <v>0</v>
      </c>
      <c r="D196" s="85">
        <f>SUMIFS('PR Report - SINIYA'!$D$96:$D$106,'PR Report - SINIYA'!$A$96:$A$106,$A196)+SUMIFS('PR Report - DOWNTOWN'!$D$101:$D$111,'PR Report - DOWNTOWN'!$A$101:$A$111,A196)</f>
        <v>0</v>
      </c>
      <c r="E196" s="85">
        <f>SUMIFS('PR Report - SINIYA'!$E$96:$E$106,'PR Report - SINIYA'!$A$96:$A$106,$A196)+SUMIFS('PR Report - DOWNTOWN'!$E$101:$E$111,'PR Report - DOWNTOWN'!$A$101:$A$111,A196)</f>
        <v>0</v>
      </c>
      <c r="F196" s="85">
        <f>SUMIFS('PR Report - SINIYA'!$F$96:$F$106,'PR Report - SINIYA'!$A$96:$A$106,$A196)+SUMIFS('PR Report - DOWNTOWN'!$F$101:$F$111,'PR Report - DOWNTOWN'!$A$101:$A$111,A196)</f>
        <v>0</v>
      </c>
      <c r="G196" s="85">
        <f>SUMIFS('PR Report - SINIYA'!$F$96:$F$106,'PR Report - SINIYA'!$A$96:$A$106,$A196)+SUMIFS('PR Report - DOWNTOWN'!$F$101:$F$111,'PR Report - DOWNTOWN'!$A$101:$A$111,B196)</f>
        <v>0</v>
      </c>
      <c r="H196" s="178">
        <f>SUMIFS('PR Report - SINIYA'!$H$96:$H$106,'PR Report - SINIYA'!$A$96:$A$106,$A196)+SUMIFS('PR Report - DOWNTOWN'!$H$101:$H$111,'PR Report - DOWNTOWN'!$A$101:$A$111,A196)</f>
        <v>0</v>
      </c>
      <c r="I196" s="85">
        <f>SUMIFS('PR Report - SINIYA'!$I$96:$I$106,'PR Report - SINIYA'!$A$96:$A$106,$A196)+SUMIFS('PR Report - DOWNTOWN'!$I$101:$I$111,'PR Report - DOWNTOWN'!$A$101:$A$111,A196)</f>
        <v>0</v>
      </c>
      <c r="J196" s="85">
        <f>SUMIFS('PR Report - SINIYA'!$J$96:$J$106,'PR Report - SINIYA'!$A$96:$A$106,$A196)+SUMIFS('PR Report - DOWNTOWN'!$J$101:$J$111,'PR Report - DOWNTOWN'!$A$101:$A$111,A196)</f>
        <v>0</v>
      </c>
      <c r="K196" s="85">
        <f>SUMIFS('PR Report - SINIYA'!$K$96:$K$106,'PR Report - SINIYA'!$A$96:$A$106,$A196)+SUMIFS('PR Report - DOWNTOWN'!$K$101:$K$111,'PR Report - DOWNTOWN'!$A$101:$A$111,A196)</f>
        <v>0</v>
      </c>
      <c r="L196" s="85">
        <f>SUMIFS('PR Report - SINIYA'!$L$96:$L$106,'PR Report - SINIYA'!$A$96:$A$106,$A196)+SUMIFS('PR Report - DOWNTOWN'!$L$101:$L$111,'PR Report - DOWNTOWN'!$A$101:$A$111,A196)</f>
        <v>0</v>
      </c>
      <c r="M196" s="85">
        <f>SUMIFS('PR Report - SINIYA'!$M$96:$M$106,'PR Report - SINIYA'!$A$96:$A$106,$A196)+SUMIFS('PR Report - DOWNTOWN'!$M$101:$M$111,'PR Report - DOWNTOWN'!$A$101:$A$111,A196)</f>
        <v>0</v>
      </c>
    </row>
    <row r="197" spans="1:13" x14ac:dyDescent="0.25">
      <c r="A197" s="54" t="s">
        <v>49</v>
      </c>
      <c r="B197" s="85">
        <f>SUMIFS('PR Report - SINIYA'!$B$96:$B$106,'PR Report - SINIYA'!$A$96:$A$106,$A197)+SUMIFS('PR Report - DOWNTOWN'!$B$101:$B$111,'PR Report - DOWNTOWN'!$A$101:$A$111,A197)</f>
        <v>246507.85</v>
      </c>
      <c r="C197" s="85">
        <f>SUMIFS('PR Report - SINIYA'!$C$96:$C$106,'PR Report - SINIYA'!$A$96:$A$106,$A197)+SUMIFS('PR Report - DOWNTOWN'!$C$101:$C$111,'PR Report - DOWNTOWN'!$A$101:$A$111,A197)</f>
        <v>0</v>
      </c>
      <c r="D197" s="85">
        <f>SUMIFS('PR Report - SINIYA'!$D$96:$D$106,'PR Report - SINIYA'!$A$96:$A$106,$A197)+SUMIFS('PR Report - DOWNTOWN'!$D$101:$D$111,'PR Report - DOWNTOWN'!$A$101:$A$111,A197)</f>
        <v>0</v>
      </c>
      <c r="E197" s="85">
        <f>SUMIFS('PR Report - SINIYA'!$E$96:$E$106,'PR Report - SINIYA'!$A$96:$A$106,$A197)+SUMIFS('PR Report - DOWNTOWN'!$E$101:$E$111,'PR Report - DOWNTOWN'!$A$101:$A$111,A197)</f>
        <v>0</v>
      </c>
      <c r="F197" s="85">
        <f>SUMIFS('PR Report - SINIYA'!$F$96:$F$106,'PR Report - SINIYA'!$A$96:$A$106,$A197)+SUMIFS('PR Report - DOWNTOWN'!$F$101:$F$111,'PR Report - DOWNTOWN'!$A$101:$A$111,A197)</f>
        <v>0</v>
      </c>
      <c r="G197" s="85">
        <f>SUMIFS('PR Report - SINIYA'!$F$96:$F$106,'PR Report - SINIYA'!$A$96:$A$106,$A197)+SUMIFS('PR Report - DOWNTOWN'!$F$101:$F$111,'PR Report - DOWNTOWN'!$A$101:$A$111,B197)</f>
        <v>0</v>
      </c>
      <c r="H197" s="178">
        <f>SUMIFS('PR Report - SINIYA'!$H$96:$H$106,'PR Report - SINIYA'!$A$96:$A$106,$A197)+SUMIFS('PR Report - DOWNTOWN'!$H$101:$H$111,'PR Report - DOWNTOWN'!$A$101:$A$111,A197)</f>
        <v>0</v>
      </c>
      <c r="I197" s="85">
        <f>SUMIFS('PR Report - SINIYA'!$I$96:$I$106,'PR Report - SINIYA'!$A$96:$A$106,$A197)+SUMIFS('PR Report - DOWNTOWN'!$I$101:$I$111,'PR Report - DOWNTOWN'!$A$101:$A$111,A197)</f>
        <v>167907.85</v>
      </c>
      <c r="J197" s="85">
        <f>SUMIFS('PR Report - SINIYA'!$J$96:$J$106,'PR Report - SINIYA'!$A$96:$A$106,$A197)+SUMIFS('PR Report - DOWNTOWN'!$J$101:$J$111,'PR Report - DOWNTOWN'!$A$101:$A$111,A197)</f>
        <v>0</v>
      </c>
      <c r="K197" s="85">
        <f>SUMIFS('PR Report - SINIYA'!$K$96:$K$106,'PR Report - SINIYA'!$A$96:$A$106,$A197)+SUMIFS('PR Report - DOWNTOWN'!$K$101:$K$111,'PR Report - DOWNTOWN'!$A$101:$A$111,A197)</f>
        <v>78600</v>
      </c>
      <c r="L197" s="85">
        <f>SUMIFS('PR Report - SINIYA'!$L$96:$L$106,'PR Report - SINIYA'!$A$96:$A$106,$A197)+SUMIFS('PR Report - DOWNTOWN'!$L$101:$L$111,'PR Report - DOWNTOWN'!$A$101:$A$111,A197)</f>
        <v>0</v>
      </c>
      <c r="M197" s="85">
        <f>SUMIFS('PR Report - SINIYA'!$M$96:$M$106,'PR Report - SINIYA'!$A$96:$A$106,$A197)+SUMIFS('PR Report - DOWNTOWN'!$M$101:$M$111,'PR Report - DOWNTOWN'!$A$101:$A$111,A197)</f>
        <v>0</v>
      </c>
    </row>
    <row r="198" spans="1:13" x14ac:dyDescent="0.25">
      <c r="A198" s="54" t="s">
        <v>45</v>
      </c>
      <c r="B198" s="85">
        <f>SUMIFS('PR Report - SINIYA'!$B$96:$B$106,'PR Report - SINIYA'!$A$96:$A$106,$A198)+SUMIFS('PR Report - DOWNTOWN'!$B$101:$B$111,'PR Report - DOWNTOWN'!$A$101:$A$111,A198)</f>
        <v>2091049</v>
      </c>
      <c r="C198" s="85">
        <f>SUMIFS('PR Report - SINIYA'!$C$96:$C$106,'PR Report - SINIYA'!$A$96:$A$106,$A198)+SUMIFS('PR Report - DOWNTOWN'!$C$101:$C$111,'PR Report - DOWNTOWN'!$A$101:$A$111,A198)</f>
        <v>0</v>
      </c>
      <c r="D198" s="85">
        <f>SUMIFS('PR Report - SINIYA'!$D$96:$D$106,'PR Report - SINIYA'!$A$96:$A$106,$A198)+SUMIFS('PR Report - DOWNTOWN'!$D$101:$D$111,'PR Report - DOWNTOWN'!$A$101:$A$111,A198)</f>
        <v>0</v>
      </c>
      <c r="E198" s="85">
        <f>SUMIFS('PR Report - SINIYA'!$E$96:$E$106,'PR Report - SINIYA'!$A$96:$A$106,$A198)+SUMIFS('PR Report - DOWNTOWN'!$E$101:$E$111,'PR Report - DOWNTOWN'!$A$101:$A$111,A198)</f>
        <v>0</v>
      </c>
      <c r="F198" s="85">
        <f>SUMIFS('PR Report - SINIYA'!$F$96:$F$106,'PR Report - SINIYA'!$A$96:$A$106,$A198)+SUMIFS('PR Report - DOWNTOWN'!$F$101:$F$111,'PR Report - DOWNTOWN'!$A$101:$A$111,A198)</f>
        <v>0</v>
      </c>
      <c r="G198" s="85">
        <f>SUMIFS('PR Report - SINIYA'!$F$96:$F$106,'PR Report - SINIYA'!$A$96:$A$106,$A198)+SUMIFS('PR Report - DOWNTOWN'!$F$101:$F$111,'PR Report - DOWNTOWN'!$A$101:$A$111,B198)</f>
        <v>0</v>
      </c>
      <c r="H198" s="178">
        <f>SUMIFS('PR Report - SINIYA'!$H$96:$H$106,'PR Report - SINIYA'!$A$96:$A$106,$A198)+SUMIFS('PR Report - DOWNTOWN'!$H$101:$H$111,'PR Report - DOWNTOWN'!$A$101:$A$111,A198)</f>
        <v>0</v>
      </c>
      <c r="I198" s="85">
        <f>SUMIFS('PR Report - SINIYA'!$I$96:$I$106,'PR Report - SINIYA'!$A$96:$A$106,$A198)+SUMIFS('PR Report - DOWNTOWN'!$I$101:$I$111,'PR Report - DOWNTOWN'!$A$101:$A$111,A198)</f>
        <v>163758</v>
      </c>
      <c r="J198" s="85">
        <f>SUMIFS('PR Report - SINIYA'!$J$96:$J$106,'PR Report - SINIYA'!$A$96:$A$106,$A198)+SUMIFS('PR Report - DOWNTOWN'!$J$101:$J$111,'PR Report - DOWNTOWN'!$A$101:$A$111,A198)</f>
        <v>0</v>
      </c>
      <c r="K198" s="85">
        <f>SUMIFS('PR Report - SINIYA'!$K$96:$K$106,'PR Report - SINIYA'!$A$96:$A$106,$A198)+SUMIFS('PR Report - DOWNTOWN'!$K$101:$K$111,'PR Report - DOWNTOWN'!$A$101:$A$111,A198)</f>
        <v>1927291</v>
      </c>
      <c r="L198" s="85">
        <f>SUMIFS('PR Report - SINIYA'!$L$96:$L$106,'PR Report - SINIYA'!$A$96:$A$106,$A198)+SUMIFS('PR Report - DOWNTOWN'!$L$101:$L$111,'PR Report - DOWNTOWN'!$A$101:$A$111,A198)</f>
        <v>0</v>
      </c>
      <c r="M198" s="85">
        <f>SUMIFS('PR Report - SINIYA'!$M$96:$M$106,'PR Report - SINIYA'!$A$96:$A$106,$A198)+SUMIFS('PR Report - DOWNTOWN'!$M$101:$M$111,'PR Report - DOWNTOWN'!$A$101:$A$111,A198)</f>
        <v>0</v>
      </c>
    </row>
    <row r="199" spans="1:13" x14ac:dyDescent="0.25">
      <c r="A199" s="54" t="s">
        <v>46</v>
      </c>
      <c r="B199" s="85">
        <f>SUMIFS('PR Report - SINIYA'!$B$96:$B$106,'PR Report - SINIYA'!$A$96:$A$106,$A199)+SUMIFS('PR Report - DOWNTOWN'!$B$101:$B$111,'PR Report - DOWNTOWN'!$A$101:$A$111,A199)</f>
        <v>0</v>
      </c>
      <c r="C199" s="85">
        <f>SUMIFS('PR Report - SINIYA'!$C$96:$C$106,'PR Report - SINIYA'!$A$96:$A$106,$A199)+SUMIFS('PR Report - DOWNTOWN'!$C$101:$C$111,'PR Report - DOWNTOWN'!$A$101:$A$111,A199)</f>
        <v>0</v>
      </c>
      <c r="D199" s="85">
        <f>SUMIFS('PR Report - SINIYA'!$D$96:$D$106,'PR Report - SINIYA'!$A$96:$A$106,$A199)+SUMIFS('PR Report - DOWNTOWN'!$D$101:$D$111,'PR Report - DOWNTOWN'!$A$101:$A$111,A199)</f>
        <v>0</v>
      </c>
      <c r="E199" s="85">
        <f>SUMIFS('PR Report - SINIYA'!$E$96:$E$106,'PR Report - SINIYA'!$A$96:$A$106,$A199)+SUMIFS('PR Report - DOWNTOWN'!$E$101:$E$111,'PR Report - DOWNTOWN'!$A$101:$A$111,A199)</f>
        <v>0</v>
      </c>
      <c r="F199" s="85">
        <f>SUMIFS('PR Report - SINIYA'!$F$96:$F$106,'PR Report - SINIYA'!$A$96:$A$106,$A199)+SUMIFS('PR Report - DOWNTOWN'!$F$101:$F$111,'PR Report - DOWNTOWN'!$A$101:$A$111,A199)</f>
        <v>0</v>
      </c>
      <c r="G199" s="85">
        <f>SUMIFS('PR Report - SINIYA'!$F$96:$F$106,'PR Report - SINIYA'!$A$96:$A$106,$A199)+SUMIFS('PR Report - DOWNTOWN'!$F$101:$F$111,'PR Report - DOWNTOWN'!$A$101:$A$111,B199)</f>
        <v>0</v>
      </c>
      <c r="H199" s="178">
        <f>SUMIFS('PR Report - SINIYA'!$H$96:$H$106,'PR Report - SINIYA'!$A$96:$A$106,$A199)+SUMIFS('PR Report - DOWNTOWN'!$H$101:$H$111,'PR Report - DOWNTOWN'!$A$101:$A$111,A199)</f>
        <v>0</v>
      </c>
      <c r="I199" s="85">
        <f>SUMIFS('PR Report - SINIYA'!$I$96:$I$106,'PR Report - SINIYA'!$A$96:$A$106,$A199)+SUMIFS('PR Report - DOWNTOWN'!$I$101:$I$111,'PR Report - DOWNTOWN'!$A$101:$A$111,A199)</f>
        <v>0</v>
      </c>
      <c r="J199" s="85">
        <f>SUMIFS('PR Report - SINIYA'!$J$96:$J$106,'PR Report - SINIYA'!$A$96:$A$106,$A199)+SUMIFS('PR Report - DOWNTOWN'!$J$101:$J$111,'PR Report - DOWNTOWN'!$A$101:$A$111,A199)</f>
        <v>0</v>
      </c>
      <c r="K199" s="85">
        <f>SUMIFS('PR Report - SINIYA'!$K$96:$K$106,'PR Report - SINIYA'!$A$96:$A$106,$A199)+SUMIFS('PR Report - DOWNTOWN'!$K$101:$K$111,'PR Report - DOWNTOWN'!$A$101:$A$111,A199)</f>
        <v>0</v>
      </c>
      <c r="L199" s="85">
        <f>SUMIFS('PR Report - SINIYA'!$L$96:$L$106,'PR Report - SINIYA'!$A$96:$A$106,$A199)+SUMIFS('PR Report - DOWNTOWN'!$L$101:$L$111,'PR Report - DOWNTOWN'!$A$101:$A$111,A199)</f>
        <v>0</v>
      </c>
      <c r="M199" s="85">
        <f>SUMIFS('PR Report - SINIYA'!$M$96:$M$106,'PR Report - SINIYA'!$A$96:$A$106,$A199)+SUMIFS('PR Report - DOWNTOWN'!$M$101:$M$111,'PR Report - DOWNTOWN'!$A$101:$A$111,A199)</f>
        <v>0</v>
      </c>
    </row>
    <row r="200" spans="1:13" x14ac:dyDescent="0.25">
      <c r="A200" s="54" t="s">
        <v>47</v>
      </c>
      <c r="B200" s="85">
        <f>SUMIFS('PR Report - SINIYA'!$B$96:$B$106,'PR Report - SINIYA'!$A$96:$A$106,$A200)+SUMIFS('PR Report - DOWNTOWN'!$B$101:$B$111,'PR Report - DOWNTOWN'!$A$101:$A$111,A200)</f>
        <v>0</v>
      </c>
      <c r="C200" s="85">
        <f>SUMIFS('PR Report - SINIYA'!$C$96:$C$106,'PR Report - SINIYA'!$A$96:$A$106,$A200)+SUMIFS('PR Report - DOWNTOWN'!$C$101:$C$111,'PR Report - DOWNTOWN'!$A$101:$A$111,A200)</f>
        <v>0</v>
      </c>
      <c r="D200" s="85">
        <f>SUMIFS('PR Report - SINIYA'!$D$96:$D$106,'PR Report - SINIYA'!$A$96:$A$106,$A200)+SUMIFS('PR Report - DOWNTOWN'!$D$101:$D$111,'PR Report - DOWNTOWN'!$A$101:$A$111,A200)</f>
        <v>0</v>
      </c>
      <c r="E200" s="85">
        <f>SUMIFS('PR Report - SINIYA'!$E$96:$E$106,'PR Report - SINIYA'!$A$96:$A$106,$A200)+SUMIFS('PR Report - DOWNTOWN'!$E$101:$E$111,'PR Report - DOWNTOWN'!$A$101:$A$111,A200)</f>
        <v>0</v>
      </c>
      <c r="F200" s="85">
        <f>SUMIFS('PR Report - SINIYA'!$F$96:$F$106,'PR Report - SINIYA'!$A$96:$A$106,$A200)+SUMIFS('PR Report - DOWNTOWN'!$F$101:$F$111,'PR Report - DOWNTOWN'!$A$101:$A$111,A200)</f>
        <v>0</v>
      </c>
      <c r="G200" s="85">
        <f>SUMIFS('PR Report - SINIYA'!$F$96:$F$106,'PR Report - SINIYA'!$A$96:$A$106,$A200)+SUMIFS('PR Report - DOWNTOWN'!$F$101:$F$111,'PR Report - DOWNTOWN'!$A$101:$A$111,B200)</f>
        <v>0</v>
      </c>
      <c r="H200" s="178">
        <f>SUMIFS('PR Report - SINIYA'!$H$96:$H$106,'PR Report - SINIYA'!$A$96:$A$106,$A200)+SUMIFS('PR Report - DOWNTOWN'!$H$101:$H$111,'PR Report - DOWNTOWN'!$A$101:$A$111,A200)</f>
        <v>0</v>
      </c>
      <c r="I200" s="85">
        <f>SUMIFS('PR Report - SINIYA'!$I$96:$I$106,'PR Report - SINIYA'!$A$96:$A$106,$A200)+SUMIFS('PR Report - DOWNTOWN'!$I$101:$I$111,'PR Report - DOWNTOWN'!$A$101:$A$111,A200)</f>
        <v>0</v>
      </c>
      <c r="J200" s="85">
        <f>SUMIFS('PR Report - SINIYA'!$J$96:$J$106,'PR Report - SINIYA'!$A$96:$A$106,$A200)+SUMIFS('PR Report - DOWNTOWN'!$J$101:$J$111,'PR Report - DOWNTOWN'!$A$101:$A$111,A200)</f>
        <v>0</v>
      </c>
      <c r="K200" s="85">
        <f>SUMIFS('PR Report - SINIYA'!$K$96:$K$106,'PR Report - SINIYA'!$A$96:$A$106,$A200)+SUMIFS('PR Report - DOWNTOWN'!$K$101:$K$111,'PR Report - DOWNTOWN'!$A$101:$A$111,A200)</f>
        <v>0</v>
      </c>
      <c r="L200" s="85">
        <f>SUMIFS('PR Report - SINIYA'!$L$96:$L$106,'PR Report - SINIYA'!$A$96:$A$106,$A200)+SUMIFS('PR Report - DOWNTOWN'!$L$101:$L$111,'PR Report - DOWNTOWN'!$A$101:$A$111,A200)</f>
        <v>0</v>
      </c>
      <c r="M200" s="85">
        <f>SUMIFS('PR Report - SINIYA'!$M$96:$M$106,'PR Report - SINIYA'!$A$96:$A$106,$A200)+SUMIFS('PR Report - DOWNTOWN'!$M$101:$M$111,'PR Report - DOWNTOWN'!$A$101:$A$111,A200)</f>
        <v>0</v>
      </c>
    </row>
    <row r="201" spans="1:13" x14ac:dyDescent="0.25">
      <c r="A201" s="54" t="s">
        <v>48</v>
      </c>
      <c r="B201" s="85">
        <f>SUMIFS('PR Report - SINIYA'!$B$96:$B$106,'PR Report - SINIYA'!$A$96:$A$106,$A201)+SUMIFS('PR Report - DOWNTOWN'!$B$101:$B$111,'PR Report - DOWNTOWN'!$A$101:$A$111,A201)</f>
        <v>749881</v>
      </c>
      <c r="C201" s="85">
        <f>SUMIFS('PR Report - SINIYA'!$C$96:$C$106,'PR Report - SINIYA'!$A$96:$A$106,$A201)+SUMIFS('PR Report - DOWNTOWN'!$C$101:$C$111,'PR Report - DOWNTOWN'!$A$101:$A$111,A201)</f>
        <v>0</v>
      </c>
      <c r="D201" s="85">
        <f>SUMIFS('PR Report - SINIYA'!$D$96:$D$106,'PR Report - SINIYA'!$A$96:$A$106,$A201)+SUMIFS('PR Report - DOWNTOWN'!$D$101:$D$111,'PR Report - DOWNTOWN'!$A$101:$A$111,A201)</f>
        <v>0</v>
      </c>
      <c r="E201" s="85">
        <f>SUMIFS('PR Report - SINIYA'!$E$96:$E$106,'PR Report - SINIYA'!$A$96:$A$106,$A201)+SUMIFS('PR Report - DOWNTOWN'!$E$101:$E$111,'PR Report - DOWNTOWN'!$A$101:$A$111,A201)</f>
        <v>0</v>
      </c>
      <c r="F201" s="85">
        <f>SUMIFS('PR Report - SINIYA'!$F$96:$F$106,'PR Report - SINIYA'!$A$96:$A$106,$A201)+SUMIFS('PR Report - DOWNTOWN'!$F$101:$F$111,'PR Report - DOWNTOWN'!$A$101:$A$111,A201)</f>
        <v>0</v>
      </c>
      <c r="G201" s="85">
        <f>SUMIFS('PR Report - SINIYA'!$F$96:$F$106,'PR Report - SINIYA'!$A$96:$A$106,$A201)+SUMIFS('PR Report - DOWNTOWN'!$F$101:$F$111,'PR Report - DOWNTOWN'!$A$101:$A$111,B201)</f>
        <v>0</v>
      </c>
      <c r="H201" s="178">
        <f>SUMIFS('PR Report - SINIYA'!$H$96:$H$106,'PR Report - SINIYA'!$A$96:$A$106,$A201)+SUMIFS('PR Report - DOWNTOWN'!$H$101:$H$111,'PR Report - DOWNTOWN'!$A$101:$A$111,A201)</f>
        <v>0</v>
      </c>
      <c r="I201" s="85">
        <f>SUMIFS('PR Report - SINIYA'!$I$96:$I$106,'PR Report - SINIYA'!$A$96:$A$106,$A201)+SUMIFS('PR Report - DOWNTOWN'!$I$101:$I$111,'PR Report - DOWNTOWN'!$A$101:$A$111,A201)</f>
        <v>705881</v>
      </c>
      <c r="J201" s="85">
        <f>SUMIFS('PR Report - SINIYA'!$J$96:$J$106,'PR Report - SINIYA'!$A$96:$A$106,$A201)+SUMIFS('PR Report - DOWNTOWN'!$J$101:$J$111,'PR Report - DOWNTOWN'!$A$101:$A$111,A201)</f>
        <v>0</v>
      </c>
      <c r="K201" s="85">
        <f>SUMIFS('PR Report - SINIYA'!$K$96:$K$106,'PR Report - SINIYA'!$A$96:$A$106,$A201)+SUMIFS('PR Report - DOWNTOWN'!$K$101:$K$111,'PR Report - DOWNTOWN'!$A$101:$A$111,A201)</f>
        <v>44000</v>
      </c>
      <c r="L201" s="85">
        <f>SUMIFS('PR Report - SINIYA'!$L$96:$L$106,'PR Report - SINIYA'!$A$96:$A$106,$A201)+SUMIFS('PR Report - DOWNTOWN'!$L$101:$L$111,'PR Report - DOWNTOWN'!$A$101:$A$111,A201)</f>
        <v>0</v>
      </c>
      <c r="M201" s="85">
        <f>SUMIFS('PR Report - SINIYA'!$M$96:$M$106,'PR Report - SINIYA'!$A$96:$A$106,$A201)+SUMIFS('PR Report - DOWNTOWN'!$M$101:$M$111,'PR Report - DOWNTOWN'!$A$101:$A$111,A201)</f>
        <v>0</v>
      </c>
    </row>
    <row r="202" spans="1:13" x14ac:dyDescent="0.25">
      <c r="A202" s="54" t="s">
        <v>44</v>
      </c>
      <c r="B202" s="85">
        <f>SUMIFS('PR Report - SINIYA'!$B$96:$B$106,'PR Report - SINIYA'!$A$96:$A$106,$A202)+SUMIFS('PR Report - DOWNTOWN'!$B$101:$B$111,'PR Report - DOWNTOWN'!$A$101:$A$111,A202)</f>
        <v>40000</v>
      </c>
      <c r="C202" s="85">
        <f>SUMIFS('PR Report - SINIYA'!$C$96:$C$106,'PR Report - SINIYA'!$A$96:$A$106,$A202)+SUMIFS('PR Report - DOWNTOWN'!$C$101:$C$111,'PR Report - DOWNTOWN'!$A$101:$A$111,A202)</f>
        <v>0</v>
      </c>
      <c r="D202" s="85">
        <f>SUMIFS('PR Report - SINIYA'!$D$96:$D$106,'PR Report - SINIYA'!$A$96:$A$106,$A202)+SUMIFS('PR Report - DOWNTOWN'!$D$101:$D$111,'PR Report - DOWNTOWN'!$A$101:$A$111,A202)</f>
        <v>0</v>
      </c>
      <c r="E202" s="85">
        <f>SUMIFS('PR Report - SINIYA'!$E$96:$E$106,'PR Report - SINIYA'!$A$96:$A$106,$A202)+SUMIFS('PR Report - DOWNTOWN'!$E$101:$E$111,'PR Report - DOWNTOWN'!$A$101:$A$111,A202)</f>
        <v>0</v>
      </c>
      <c r="F202" s="85">
        <f>SUMIFS('PR Report - SINIYA'!$F$96:$F$106,'PR Report - SINIYA'!$A$96:$A$106,$A202)+SUMIFS('PR Report - DOWNTOWN'!$F$101:$F$111,'PR Report - DOWNTOWN'!$A$101:$A$111,A202)</f>
        <v>0</v>
      </c>
      <c r="G202" s="85">
        <f>SUMIFS('PR Report - SINIYA'!$F$96:$F$106,'PR Report - SINIYA'!$A$96:$A$106,$A202)+SUMIFS('PR Report - DOWNTOWN'!$F$101:$F$111,'PR Report - DOWNTOWN'!$A$101:$A$111,B202)</f>
        <v>0</v>
      </c>
      <c r="H202" s="178">
        <f>SUMIFS('PR Report - SINIYA'!$H$96:$H$106,'PR Report - SINIYA'!$A$96:$A$106,$A202)+SUMIFS('PR Report - DOWNTOWN'!$H$101:$H$111,'PR Report - DOWNTOWN'!$A$101:$A$111,A202)</f>
        <v>0</v>
      </c>
      <c r="I202" s="85">
        <f>SUMIFS('PR Report - SINIYA'!$I$96:$I$106,'PR Report - SINIYA'!$A$96:$A$106,$A202)+SUMIFS('PR Report - DOWNTOWN'!$I$101:$I$111,'PR Report - DOWNTOWN'!$A$101:$A$111,A202)</f>
        <v>0</v>
      </c>
      <c r="J202" s="85">
        <f>SUMIFS('PR Report - SINIYA'!$J$96:$J$106,'PR Report - SINIYA'!$A$96:$A$106,$A202)+SUMIFS('PR Report - DOWNTOWN'!$J$101:$J$111,'PR Report - DOWNTOWN'!$A$101:$A$111,A202)</f>
        <v>0</v>
      </c>
      <c r="K202" s="85">
        <f>SUMIFS('PR Report - SINIYA'!$K$96:$K$106,'PR Report - SINIYA'!$A$96:$A$106,$A202)+SUMIFS('PR Report - DOWNTOWN'!$K$101:$K$111,'PR Report - DOWNTOWN'!$A$101:$A$111,A202)</f>
        <v>40000</v>
      </c>
      <c r="L202" s="85">
        <f>SUMIFS('PR Report - SINIYA'!$L$96:$L$106,'PR Report - SINIYA'!$A$96:$A$106,$A202)+SUMIFS('PR Report - DOWNTOWN'!$L$101:$L$111,'PR Report - DOWNTOWN'!$A$101:$A$111,A202)</f>
        <v>0</v>
      </c>
      <c r="M202" s="85">
        <f>SUMIFS('PR Report - SINIYA'!$M$96:$M$106,'PR Report - SINIYA'!$A$96:$A$106,$A202)+SUMIFS('PR Report - DOWNTOWN'!$M$101:$M$111,'PR Report - DOWNTOWN'!$A$101:$A$111,A202)</f>
        <v>0</v>
      </c>
    </row>
    <row r="203" spans="1:13" x14ac:dyDescent="0.25">
      <c r="A203" s="64" t="s">
        <v>12</v>
      </c>
      <c r="B203" s="125">
        <f t="shared" ref="B203:M203" si="15">SUM(B191:B202)</f>
        <v>4055570.85</v>
      </c>
      <c r="C203" s="125">
        <f t="shared" si="15"/>
        <v>0</v>
      </c>
      <c r="D203" s="125">
        <f t="shared" si="15"/>
        <v>0</v>
      </c>
      <c r="E203" s="125">
        <f t="shared" si="15"/>
        <v>0</v>
      </c>
      <c r="F203" s="125">
        <f t="shared" si="15"/>
        <v>0</v>
      </c>
      <c r="G203" s="125">
        <f t="shared" si="15"/>
        <v>0</v>
      </c>
      <c r="H203" s="125">
        <f t="shared" si="15"/>
        <v>0</v>
      </c>
      <c r="I203" s="125">
        <f t="shared" si="15"/>
        <v>1187546.8500000001</v>
      </c>
      <c r="J203" s="125">
        <f t="shared" si="15"/>
        <v>0</v>
      </c>
      <c r="K203" s="125">
        <f t="shared" si="15"/>
        <v>2746920</v>
      </c>
      <c r="L203" s="125">
        <f t="shared" si="15"/>
        <v>0</v>
      </c>
      <c r="M203" s="125">
        <f t="shared" si="15"/>
        <v>121104</v>
      </c>
    </row>
    <row r="204" spans="1:13" x14ac:dyDescent="0.25">
      <c r="A204" s="154" t="s">
        <v>42</v>
      </c>
      <c r="B204" s="85">
        <f>SUMIFS('PR Report - SOBHA AUH'!B$101:B$111,'PR Report - SOBHA AUH'!$A$101:$A$111,$A204)</f>
        <v>782197.82000000007</v>
      </c>
      <c r="C204" s="176">
        <f>SUMIFS('PR Report - SOBHA AUH'!C$101:C$111,'PR Report - SOBHA AUH'!$A$101:$A$111,$A204)</f>
        <v>0</v>
      </c>
      <c r="D204" s="176">
        <f>SUMIFS('PR Report - SOBHA AUH'!D$101:D$111,'PR Report - SOBHA AUH'!$A$101:$A$111,$A204)</f>
        <v>226839.82</v>
      </c>
      <c r="E204" s="176">
        <f>SUMIFS('PR Report - SOBHA AUH'!E$101:E$111,'PR Report - SOBHA AUH'!$A$101:$A$111,$A204)</f>
        <v>0</v>
      </c>
      <c r="F204" s="176">
        <f>SUMIFS('PR Report - SOBHA AUH'!F$101:F$111,'PR Report - SOBHA AUH'!$A$101:$A$111,$A204)</f>
        <v>0</v>
      </c>
      <c r="G204" s="176">
        <f>SUMIFS('PR Report - SOBHA AUH'!G$101:G$111,'PR Report - SOBHA AUH'!$A$101:$A$111,$A204)</f>
        <v>0</v>
      </c>
      <c r="H204" s="176">
        <f>SUMIFS('PR Report - SOBHA AUH'!H$101:H$111,'PR Report - SOBHA AUH'!$A$101:$A$111,$A204)</f>
        <v>0</v>
      </c>
      <c r="I204" s="176">
        <f>SUMIFS('PR Report - SOBHA AUH'!I$101:I$111,'PR Report - SOBHA AUH'!$A$101:$A$111,$A204)</f>
        <v>0</v>
      </c>
      <c r="J204" s="176">
        <f>SUMIFS('PR Report - SOBHA AUH'!J$101:J$111,'PR Report - SOBHA AUH'!$A$101:$A$111,$A204)</f>
        <v>0</v>
      </c>
      <c r="K204" s="176">
        <f>SUMIFS('PR Report - SOBHA AUH'!K$101:K$111,'PR Report - SOBHA AUH'!$A$101:$A$111,$A204)</f>
        <v>555358</v>
      </c>
      <c r="L204" s="176">
        <f>SUMIFS('PR Report - SOBHA AUH'!L$101:L$111,'PR Report - SOBHA AUH'!$A$101:$A$111,$A204)</f>
        <v>0</v>
      </c>
      <c r="M204" s="176">
        <f>SUMIFS('PR Report - SOBHA AUH'!M$101:M$111,'PR Report - SOBHA AUH'!$A$101:$A$111,$A204)</f>
        <v>0</v>
      </c>
    </row>
    <row r="205" spans="1:13" x14ac:dyDescent="0.25">
      <c r="A205" s="154" t="s">
        <v>49</v>
      </c>
      <c r="B205" s="176">
        <f>SUMIFS('PR Report - SOBHA AUH'!B$101:B$111,'PR Report - SOBHA AUH'!$A$101:$A$111,$A205)</f>
        <v>0</v>
      </c>
      <c r="C205" s="176">
        <f>SUMIFS('PR Report - SOBHA AUH'!C$101:C$111,'PR Report - SOBHA AUH'!$A$101:$A$111,$A205)</f>
        <v>0</v>
      </c>
      <c r="D205" s="176">
        <f>SUMIFS('PR Report - SOBHA AUH'!D$101:D$111,'PR Report - SOBHA AUH'!$A$101:$A$111,$A205)</f>
        <v>0</v>
      </c>
      <c r="E205" s="176">
        <f>SUMIFS('PR Report - SOBHA AUH'!E$101:E$111,'PR Report - SOBHA AUH'!$A$101:$A$111,$A205)</f>
        <v>0</v>
      </c>
      <c r="F205" s="176">
        <f>SUMIFS('PR Report - SOBHA AUH'!F$101:F$111,'PR Report - SOBHA AUH'!$A$101:$A$111,$A205)</f>
        <v>0</v>
      </c>
      <c r="G205" s="176">
        <f>SUMIFS('PR Report - SOBHA AUH'!G$101:G$111,'PR Report - SOBHA AUH'!$A$101:$A$111,$A205)</f>
        <v>0</v>
      </c>
      <c r="H205" s="176">
        <f>SUMIFS('PR Report - SOBHA AUH'!H$101:H$111,'PR Report - SOBHA AUH'!$A$101:$A$111,$A205)</f>
        <v>0</v>
      </c>
      <c r="I205" s="176">
        <f>SUMIFS('PR Report - SOBHA AUH'!I$101:I$111,'PR Report - SOBHA AUH'!$A$101:$A$111,$A205)</f>
        <v>0</v>
      </c>
      <c r="J205" s="176">
        <f>SUMIFS('PR Report - SOBHA AUH'!J$101:J$111,'PR Report - SOBHA AUH'!$A$101:$A$111,$A205)</f>
        <v>0</v>
      </c>
      <c r="K205" s="176">
        <f>SUMIFS('PR Report - SOBHA AUH'!K$101:K$111,'PR Report - SOBHA AUH'!$A$101:$A$111,$A205)</f>
        <v>0</v>
      </c>
      <c r="L205" s="176">
        <f>SUMIFS('PR Report - SOBHA AUH'!L$101:L$111,'PR Report - SOBHA AUH'!$A$101:$A$111,$A205)</f>
        <v>0</v>
      </c>
      <c r="M205" s="176">
        <f>SUMIFS('PR Report - SOBHA AUH'!M$101:M$111,'PR Report - SOBHA AUH'!$A$101:$A$111,$A205)</f>
        <v>0</v>
      </c>
    </row>
    <row r="206" spans="1:13" x14ac:dyDescent="0.25">
      <c r="A206" s="64" t="s">
        <v>84</v>
      </c>
      <c r="B206" s="125">
        <f>SUM(B204:B205)</f>
        <v>782197.82000000007</v>
      </c>
      <c r="C206" s="125">
        <f t="shared" ref="C206:M206" si="16">SUM(C204:C205)</f>
        <v>0</v>
      </c>
      <c r="D206" s="125">
        <f t="shared" si="16"/>
        <v>226839.82</v>
      </c>
      <c r="E206" s="125">
        <f t="shared" si="16"/>
        <v>0</v>
      </c>
      <c r="F206" s="125">
        <f t="shared" si="16"/>
        <v>0</v>
      </c>
      <c r="G206" s="125">
        <f t="shared" si="16"/>
        <v>0</v>
      </c>
      <c r="H206" s="125">
        <f t="shared" si="16"/>
        <v>0</v>
      </c>
      <c r="I206" s="125">
        <f t="shared" si="16"/>
        <v>0</v>
      </c>
      <c r="J206" s="125">
        <f t="shared" si="16"/>
        <v>0</v>
      </c>
      <c r="K206" s="125">
        <f t="shared" si="16"/>
        <v>555358</v>
      </c>
      <c r="L206" s="125">
        <f t="shared" si="16"/>
        <v>0</v>
      </c>
      <c r="M206" s="125">
        <f t="shared" si="16"/>
        <v>0</v>
      </c>
    </row>
    <row r="207" spans="1:13" x14ac:dyDescent="0.25">
      <c r="A207" s="156" t="s">
        <v>50</v>
      </c>
      <c r="B207" s="177">
        <f>SUM(B203,B190,B206)</f>
        <v>48796040.409999996</v>
      </c>
      <c r="C207" s="177">
        <f t="shared" ref="C207:M207" si="17">SUM(C203,C190,C206)</f>
        <v>0</v>
      </c>
      <c r="D207" s="177">
        <f t="shared" si="17"/>
        <v>4127927.6799999997</v>
      </c>
      <c r="E207" s="177">
        <f t="shared" si="17"/>
        <v>0</v>
      </c>
      <c r="F207" s="177">
        <f t="shared" si="17"/>
        <v>0</v>
      </c>
      <c r="G207" s="177">
        <f t="shared" si="17"/>
        <v>0</v>
      </c>
      <c r="H207" s="177">
        <f t="shared" si="17"/>
        <v>2283148</v>
      </c>
      <c r="I207" s="177">
        <f t="shared" si="17"/>
        <v>1604617.82</v>
      </c>
      <c r="J207" s="177">
        <f t="shared" si="17"/>
        <v>0</v>
      </c>
      <c r="K207" s="177">
        <f t="shared" si="17"/>
        <v>40550674.909999996</v>
      </c>
      <c r="L207" s="177">
        <f t="shared" si="17"/>
        <v>108568</v>
      </c>
      <c r="M207" s="177">
        <f t="shared" si="17"/>
        <v>121104</v>
      </c>
    </row>
    <row r="208" spans="1:13" x14ac:dyDescent="0.25">
      <c r="A208" s="24" t="s">
        <v>6</v>
      </c>
      <c r="B208" s="180">
        <f t="shared" ref="B208:M208" si="18">SUM(B207,B176)</f>
        <v>204269156.39999998</v>
      </c>
      <c r="C208" s="180">
        <f t="shared" si="18"/>
        <v>0</v>
      </c>
      <c r="D208" s="180">
        <f t="shared" si="18"/>
        <v>18374848.68</v>
      </c>
      <c r="E208" s="180">
        <f t="shared" si="18"/>
        <v>5647586</v>
      </c>
      <c r="F208" s="180">
        <f t="shared" si="18"/>
        <v>0</v>
      </c>
      <c r="G208" s="180">
        <f t="shared" si="18"/>
        <v>0</v>
      </c>
      <c r="H208" s="180">
        <f t="shared" si="18"/>
        <v>10261292.699999999</v>
      </c>
      <c r="I208" s="180">
        <f t="shared" si="18"/>
        <v>4781347.84</v>
      </c>
      <c r="J208" s="180">
        <f t="shared" si="18"/>
        <v>0</v>
      </c>
      <c r="K208" s="180">
        <f t="shared" si="18"/>
        <v>151563278.21999997</v>
      </c>
      <c r="L208" s="180">
        <f t="shared" si="18"/>
        <v>310363</v>
      </c>
      <c r="M208" s="180">
        <f t="shared" si="18"/>
        <v>16029485.959999995</v>
      </c>
    </row>
    <row r="211" spans="1:9" ht="18.75" x14ac:dyDescent="0.25">
      <c r="A211" s="145" t="s">
        <v>85</v>
      </c>
      <c r="B211" s="146" t="s">
        <v>52</v>
      </c>
      <c r="C211" s="147"/>
      <c r="D211" s="147"/>
      <c r="E211" s="147"/>
      <c r="F211" s="147"/>
      <c r="G211" s="148"/>
      <c r="H211" s="171" t="s">
        <v>53</v>
      </c>
      <c r="I211" s="171"/>
    </row>
    <row r="212" spans="1:9" ht="25.5" x14ac:dyDescent="0.25">
      <c r="A212" s="81" t="s">
        <v>0</v>
      </c>
      <c r="B212" s="181" t="s">
        <v>5844</v>
      </c>
      <c r="C212" s="182" t="s">
        <v>5845</v>
      </c>
      <c r="D212" s="183" t="str">
        <f>'PR Report - Total'!D3</f>
        <v>Target  (01/05 -  07/05)</v>
      </c>
      <c r="E212" s="183" t="str">
        <f>'PR Report - Total'!E3</f>
        <v>Achieved  (01/05 -  07/05)</v>
      </c>
      <c r="F212" s="181" t="s">
        <v>54</v>
      </c>
      <c r="G212" s="184" t="s">
        <v>55</v>
      </c>
      <c r="H212" s="82" t="s">
        <v>56</v>
      </c>
      <c r="I212" s="184" t="s">
        <v>57</v>
      </c>
    </row>
    <row r="213" spans="1:9" x14ac:dyDescent="0.25">
      <c r="A213" s="20" t="s">
        <v>7</v>
      </c>
      <c r="B213" s="21"/>
      <c r="C213" s="21"/>
      <c r="D213" s="21"/>
      <c r="E213" s="21"/>
      <c r="F213" s="21"/>
      <c r="G213" s="21"/>
      <c r="H213" s="21"/>
      <c r="I213" s="22"/>
    </row>
    <row r="214" spans="1:9" x14ac:dyDescent="0.25">
      <c r="A214" s="185" t="s">
        <v>86</v>
      </c>
      <c r="B214" s="178">
        <f>'PR Report - Total'!B32</f>
        <v>50252770.823529415</v>
      </c>
      <c r="C214" s="178">
        <f>'PR Report - Total'!C32</f>
        <v>34438498.199999996</v>
      </c>
      <c r="D214" s="178">
        <f>'PR Report - Total'!D32</f>
        <v>251263854.11764702</v>
      </c>
      <c r="E214" s="178">
        <f>'PR Report - Total'!E32</f>
        <v>174264335.26000002</v>
      </c>
      <c r="F214" s="178">
        <f>'PR Report - Total'!F32</f>
        <v>854297104</v>
      </c>
      <c r="G214" s="186">
        <f>IFERROR(E214/D214,0)</f>
        <v>0.69355115112739529</v>
      </c>
      <c r="H214" s="178">
        <f>'PR Report - Total'!H32</f>
        <v>129770494.49999999</v>
      </c>
      <c r="I214" s="178">
        <f>'PR Report - Total'!I32</f>
        <v>107215667.51999998</v>
      </c>
    </row>
    <row r="215" spans="1:9" x14ac:dyDescent="0.25">
      <c r="A215" s="185" t="s">
        <v>87</v>
      </c>
      <c r="B215" s="178">
        <f>'PR Report - Total'!B9</f>
        <v>11470588.235294117</v>
      </c>
      <c r="C215" s="178">
        <f>'PR Report - Total'!C9</f>
        <v>7498418.8600000013</v>
      </c>
      <c r="D215" s="178">
        <f>'PR Report - Total'!D9</f>
        <v>57352941.176470593</v>
      </c>
      <c r="E215" s="178">
        <f>'PR Report - Total'!E9</f>
        <v>43069458.119999997</v>
      </c>
      <c r="F215" s="178">
        <f>'PR Report - Total'!F9</f>
        <v>195000000</v>
      </c>
      <c r="G215" s="186">
        <f>E215/D215</f>
        <v>0.75095465439999987</v>
      </c>
      <c r="H215" s="178">
        <f>'PR Report - Total'!H9</f>
        <v>25142938.490000002</v>
      </c>
      <c r="I215" s="178">
        <f>'PR Report - Total'!I9</f>
        <v>18562925.329999998</v>
      </c>
    </row>
    <row r="216" spans="1:9" x14ac:dyDescent="0.25">
      <c r="A216" s="185" t="s">
        <v>88</v>
      </c>
      <c r="B216" s="178">
        <f>B36</f>
        <v>0</v>
      </c>
      <c r="C216" s="178">
        <f t="shared" ref="C216:I216" si="19">C36</f>
        <v>0</v>
      </c>
      <c r="D216" s="178">
        <f t="shared" si="19"/>
        <v>0</v>
      </c>
      <c r="E216" s="178">
        <f t="shared" si="19"/>
        <v>0</v>
      </c>
      <c r="F216" s="178">
        <f t="shared" si="19"/>
        <v>0</v>
      </c>
      <c r="G216" s="178">
        <f t="shared" si="19"/>
        <v>0</v>
      </c>
      <c r="H216" s="178">
        <f t="shared" si="19"/>
        <v>559683</v>
      </c>
      <c r="I216" s="178">
        <f t="shared" si="19"/>
        <v>0</v>
      </c>
    </row>
    <row r="217" spans="1:9" x14ac:dyDescent="0.25">
      <c r="A217" s="187" t="s">
        <v>89</v>
      </c>
      <c r="B217" s="179">
        <f>SUM(B214:B216)</f>
        <v>61723359.058823533</v>
      </c>
      <c r="C217" s="179">
        <f t="shared" ref="C217:F217" si="20">SUM(C214:C216)</f>
        <v>41936917.059999995</v>
      </c>
      <c r="D217" s="179">
        <f t="shared" si="20"/>
        <v>308616795.29411763</v>
      </c>
      <c r="E217" s="179">
        <f t="shared" si="20"/>
        <v>217333793.38000003</v>
      </c>
      <c r="F217" s="179">
        <f t="shared" si="20"/>
        <v>1049297104</v>
      </c>
      <c r="G217" s="188">
        <f>(E217/D217)</f>
        <v>0.70421894301921195</v>
      </c>
      <c r="H217" s="179">
        <f>SUM(H214:H216)</f>
        <v>155473115.98999998</v>
      </c>
      <c r="I217" s="179">
        <f>SUM(I214:I216)</f>
        <v>125778592.84999998</v>
      </c>
    </row>
    <row r="218" spans="1:9" x14ac:dyDescent="0.25">
      <c r="A218" s="20" t="s">
        <v>83</v>
      </c>
      <c r="B218" s="21"/>
      <c r="C218" s="21"/>
      <c r="D218" s="21"/>
      <c r="E218" s="21"/>
      <c r="F218" s="21"/>
      <c r="G218" s="21"/>
      <c r="H218" s="21"/>
      <c r="I218" s="22"/>
    </row>
    <row r="219" spans="1:9" x14ac:dyDescent="0.25">
      <c r="A219" s="185" t="s">
        <v>90</v>
      </c>
      <c r="B219" s="178">
        <f>'PR Report - Total'!B64</f>
        <v>0</v>
      </c>
      <c r="C219" s="178">
        <f>'PR Report - Total'!C64</f>
        <v>11740670.41</v>
      </c>
      <c r="D219" s="178">
        <f>'PR Report - Total'!D64</f>
        <v>0</v>
      </c>
      <c r="E219" s="178">
        <f>'PR Report - Total'!E64</f>
        <v>58456157.640000001</v>
      </c>
      <c r="F219" s="178">
        <f>'PR Report - Total'!F64</f>
        <v>0</v>
      </c>
      <c r="G219" s="186">
        <f>IFERROR(E219/D219,0)</f>
        <v>0</v>
      </c>
      <c r="H219" s="178">
        <f>'PR Report - Total'!H64</f>
        <v>43958271.739999995</v>
      </c>
      <c r="I219" s="178">
        <f>'PR Report - Total'!I64</f>
        <v>20884380.559999999</v>
      </c>
    </row>
    <row r="220" spans="1:9" x14ac:dyDescent="0.25">
      <c r="A220" s="185" t="s">
        <v>91</v>
      </c>
      <c r="B220" s="178">
        <f>'PR Report - Total'!B51</f>
        <v>0</v>
      </c>
      <c r="C220" s="178">
        <f>'PR Report - Total'!C51</f>
        <v>3063784</v>
      </c>
      <c r="D220" s="178">
        <f>'PR Report - Total'!D51</f>
        <v>0</v>
      </c>
      <c r="E220" s="178">
        <f>'PR Report - Total'!E51</f>
        <v>8413226</v>
      </c>
      <c r="F220" s="178">
        <f>'PR Report - Total'!F51</f>
        <v>0</v>
      </c>
      <c r="G220" s="186">
        <f t="shared" ref="G220:G221" si="21">IFERROR(E220/D220,0)</f>
        <v>0</v>
      </c>
      <c r="H220" s="178">
        <f>'PR Report - Total'!H51</f>
        <v>4055570.85</v>
      </c>
      <c r="I220" s="178">
        <f>'PR Report - Total'!I51</f>
        <v>2004144.68</v>
      </c>
    </row>
    <row r="221" spans="1:9" x14ac:dyDescent="0.25">
      <c r="A221" s="185" t="s">
        <v>92</v>
      </c>
      <c r="B221" s="178">
        <f>B67</f>
        <v>0</v>
      </c>
      <c r="C221" s="178">
        <f>C67</f>
        <v>30000</v>
      </c>
      <c r="D221" s="178">
        <f>D67</f>
        <v>0</v>
      </c>
      <c r="E221" s="178">
        <f>E67</f>
        <v>1253891</v>
      </c>
      <c r="F221" s="178">
        <f>F67</f>
        <v>0</v>
      </c>
      <c r="G221" s="186">
        <f t="shared" si="21"/>
        <v>0</v>
      </c>
      <c r="H221" s="178">
        <f>H67</f>
        <v>782197.82000000007</v>
      </c>
      <c r="I221" s="178">
        <f>I67</f>
        <v>55000</v>
      </c>
    </row>
    <row r="222" spans="1:9" x14ac:dyDescent="0.25">
      <c r="A222" s="187" t="s">
        <v>93</v>
      </c>
      <c r="B222" s="179">
        <f>SUM(B219:B221)</f>
        <v>0</v>
      </c>
      <c r="C222" s="179">
        <f t="shared" ref="C222:I222" si="22">SUM(C219:C221)</f>
        <v>14834454.41</v>
      </c>
      <c r="D222" s="179">
        <f t="shared" si="22"/>
        <v>0</v>
      </c>
      <c r="E222" s="179">
        <f t="shared" si="22"/>
        <v>68123274.640000001</v>
      </c>
      <c r="F222" s="179">
        <f t="shared" si="22"/>
        <v>0</v>
      </c>
      <c r="G222" s="188">
        <f>IFERROR(E222/D222,0)</f>
        <v>0</v>
      </c>
      <c r="H222" s="179">
        <f t="shared" si="22"/>
        <v>48796040.409999996</v>
      </c>
      <c r="I222" s="179">
        <f t="shared" si="22"/>
        <v>22943525.239999998</v>
      </c>
    </row>
    <row r="223" spans="1:9" x14ac:dyDescent="0.25">
      <c r="A223" s="189" t="s">
        <v>94</v>
      </c>
      <c r="B223" s="190">
        <f>SUM(B222,B217)</f>
        <v>61723359.058823533</v>
      </c>
      <c r="C223" s="190">
        <f t="shared" ref="C223:I223" si="23">SUM(C222,C217)</f>
        <v>56771371.469999999</v>
      </c>
      <c r="D223" s="190">
        <f t="shared" si="23"/>
        <v>308616795.29411763</v>
      </c>
      <c r="E223" s="190">
        <f t="shared" si="23"/>
        <v>285457068.02000004</v>
      </c>
      <c r="F223" s="190">
        <f>SUM(F222,F217)</f>
        <v>1049297104</v>
      </c>
      <c r="G223" s="191">
        <f t="shared" ref="G223" si="24">E223/D223</f>
        <v>0.92495636132814507</v>
      </c>
      <c r="H223" s="190">
        <f t="shared" si="23"/>
        <v>204269156.39999998</v>
      </c>
      <c r="I223" s="190">
        <f t="shared" si="23"/>
        <v>148722118.08999997</v>
      </c>
    </row>
    <row r="226" spans="1:13" ht="18.75" x14ac:dyDescent="0.25">
      <c r="A226" s="171" t="s">
        <v>95</v>
      </c>
      <c r="B226" s="171"/>
      <c r="C226" s="171"/>
      <c r="D226" s="171"/>
      <c r="E226" s="171"/>
    </row>
    <row r="227" spans="1:13" ht="25.5" x14ac:dyDescent="0.25">
      <c r="A227" s="81" t="s">
        <v>0</v>
      </c>
      <c r="B227" s="82" t="s">
        <v>59</v>
      </c>
      <c r="C227" s="82" t="s">
        <v>60</v>
      </c>
      <c r="D227" s="82" t="s">
        <v>61</v>
      </c>
      <c r="E227" s="82" t="s">
        <v>62</v>
      </c>
    </row>
    <row r="228" spans="1:13" x14ac:dyDescent="0.25">
      <c r="A228" s="6" t="s">
        <v>7</v>
      </c>
      <c r="B228" s="6"/>
      <c r="C228" s="6"/>
      <c r="D228" s="6"/>
      <c r="E228" s="6"/>
    </row>
    <row r="229" spans="1:13" x14ac:dyDescent="0.25">
      <c r="A229" s="185" t="s">
        <v>86</v>
      </c>
      <c r="B229" s="178">
        <f>'PR Report - Total'!B96</f>
        <v>107215667.51999998</v>
      </c>
      <c r="C229" s="178">
        <f>'PR Report - Total'!C96</f>
        <v>43996654.990000002</v>
      </c>
      <c r="D229" s="178">
        <f>'PR Report - Total'!D96</f>
        <v>21673519.989999998</v>
      </c>
      <c r="E229" s="178">
        <f>'PR Report - Total'!E96</f>
        <v>45202725.839999996</v>
      </c>
    </row>
    <row r="230" spans="1:13" x14ac:dyDescent="0.25">
      <c r="A230" s="185" t="s">
        <v>88</v>
      </c>
      <c r="B230" s="178">
        <f>B105</f>
        <v>0</v>
      </c>
      <c r="C230" s="178">
        <f t="shared" ref="C230:E230" si="25">C105</f>
        <v>0</v>
      </c>
      <c r="D230" s="178">
        <f t="shared" si="25"/>
        <v>0</v>
      </c>
      <c r="E230" s="178">
        <f t="shared" si="25"/>
        <v>0</v>
      </c>
    </row>
    <row r="231" spans="1:13" x14ac:dyDescent="0.25">
      <c r="A231" s="185" t="s">
        <v>87</v>
      </c>
      <c r="B231" s="178">
        <f>'PR Report - Total'!B101</f>
        <v>18562925.329999998</v>
      </c>
      <c r="C231" s="178">
        <f>'PR Report - Total'!C101</f>
        <v>6138792.1199999992</v>
      </c>
      <c r="D231" s="178">
        <f>'PR Report - Total'!D101</f>
        <v>3388448.4799999995</v>
      </c>
      <c r="E231" s="178">
        <f>'PR Report - Total'!E101</f>
        <v>9035684.7299999986</v>
      </c>
    </row>
    <row r="232" spans="1:13" x14ac:dyDescent="0.25">
      <c r="A232" s="187" t="s">
        <v>89</v>
      </c>
      <c r="B232" s="179">
        <f>SUM(B229:B231)</f>
        <v>125778592.84999998</v>
      </c>
      <c r="C232" s="179">
        <f>SUM(C229:C231)</f>
        <v>50135447.109999999</v>
      </c>
      <c r="D232" s="179">
        <f>SUM(D229:D231)</f>
        <v>25061968.469999999</v>
      </c>
      <c r="E232" s="179">
        <f>SUM(E229:E231)</f>
        <v>54238410.569999993</v>
      </c>
    </row>
    <row r="233" spans="1:13" x14ac:dyDescent="0.25">
      <c r="A233" s="6" t="s">
        <v>83</v>
      </c>
      <c r="B233" s="6"/>
      <c r="C233" s="6"/>
      <c r="D233" s="6"/>
      <c r="E233" s="6"/>
    </row>
    <row r="234" spans="1:13" x14ac:dyDescent="0.25">
      <c r="A234" s="185" t="s">
        <v>90</v>
      </c>
      <c r="B234" s="178">
        <f>'PR Report - Total'!B121</f>
        <v>20884380.559999999</v>
      </c>
      <c r="C234" s="178">
        <f>'PR Report - Total'!C121</f>
        <v>8153053.9800000004</v>
      </c>
      <c r="D234" s="178">
        <f>'PR Report - Total'!D121</f>
        <v>1216951.78</v>
      </c>
      <c r="E234" s="178">
        <f>'PR Report - Total'!E121</f>
        <v>10541034.800000001</v>
      </c>
    </row>
    <row r="235" spans="1:13" x14ac:dyDescent="0.25">
      <c r="A235" s="185" t="s">
        <v>91</v>
      </c>
      <c r="B235" s="178">
        <f>'PR Report - Total'!B134</f>
        <v>2004144.68</v>
      </c>
      <c r="C235" s="178">
        <f>'PR Report - Total'!C134</f>
        <v>443562</v>
      </c>
      <c r="D235" s="178">
        <f>'PR Report - Total'!D134</f>
        <v>1006945.6799999999</v>
      </c>
      <c r="E235" s="178">
        <f>'PR Report - Total'!E134</f>
        <v>553637</v>
      </c>
    </row>
    <row r="236" spans="1:13" x14ac:dyDescent="0.25">
      <c r="A236" s="185" t="s">
        <v>92</v>
      </c>
      <c r="B236" s="178">
        <f>B137</f>
        <v>55000</v>
      </c>
      <c r="C236" s="178">
        <f t="shared" ref="C236:E236" si="26">C137</f>
        <v>0</v>
      </c>
      <c r="D236" s="178">
        <f t="shared" si="26"/>
        <v>0</v>
      </c>
      <c r="E236" s="178">
        <f t="shared" si="26"/>
        <v>55000</v>
      </c>
    </row>
    <row r="237" spans="1:13" x14ac:dyDescent="0.25">
      <c r="A237" s="187" t="s">
        <v>93</v>
      </c>
      <c r="B237" s="179">
        <f>SUM(B234:B236)</f>
        <v>22943525.239999998</v>
      </c>
      <c r="C237" s="179">
        <f t="shared" ref="C237:E237" si="27">SUM(C234:C236)</f>
        <v>8596615.9800000004</v>
      </c>
      <c r="D237" s="179">
        <f t="shared" si="27"/>
        <v>2223897.46</v>
      </c>
      <c r="E237" s="179">
        <f t="shared" si="27"/>
        <v>11149671.800000001</v>
      </c>
    </row>
    <row r="238" spans="1:13" x14ac:dyDescent="0.25">
      <c r="A238" s="189" t="s">
        <v>94</v>
      </c>
      <c r="B238" s="190">
        <f>SUM(B237,B232)</f>
        <v>148722118.08999997</v>
      </c>
      <c r="C238" s="190">
        <f>SUM(C237,C232)</f>
        <v>58732063.090000004</v>
      </c>
      <c r="D238" s="190">
        <f>SUM(D237,D232)</f>
        <v>27285865.93</v>
      </c>
      <c r="E238" s="190">
        <f>SUM(E237,E232)</f>
        <v>65388082.36999999</v>
      </c>
    </row>
    <row r="240" spans="1:13" ht="18.75" x14ac:dyDescent="0.25">
      <c r="A240" s="192" t="s">
        <v>85</v>
      </c>
      <c r="B240" s="193"/>
      <c r="C240" s="194" t="s">
        <v>64</v>
      </c>
      <c r="D240" s="195"/>
      <c r="E240" s="195"/>
      <c r="F240" s="195"/>
      <c r="G240" s="195"/>
      <c r="H240" s="196"/>
      <c r="I240" s="149" t="s">
        <v>65</v>
      </c>
      <c r="J240" s="165"/>
      <c r="K240" s="165"/>
      <c r="L240" s="165"/>
      <c r="M240" s="150"/>
    </row>
    <row r="241" spans="1:13" ht="38.25" x14ac:dyDescent="0.25">
      <c r="A241" s="81" t="s">
        <v>0</v>
      </c>
      <c r="B241" s="82" t="s">
        <v>56</v>
      </c>
      <c r="C241" s="82" t="s">
        <v>66</v>
      </c>
      <c r="D241" s="82" t="s">
        <v>67</v>
      </c>
      <c r="E241" s="82" t="s">
        <v>68</v>
      </c>
      <c r="F241" s="184" t="s">
        <v>69</v>
      </c>
      <c r="G241" s="184" t="s">
        <v>70</v>
      </c>
      <c r="H241" s="82" t="s">
        <v>71</v>
      </c>
      <c r="I241" s="82" t="s">
        <v>72</v>
      </c>
      <c r="J241" s="82" t="s">
        <v>66</v>
      </c>
      <c r="K241" s="82" t="s">
        <v>67</v>
      </c>
      <c r="L241" s="82" t="s">
        <v>71</v>
      </c>
      <c r="M241" s="184" t="s">
        <v>73</v>
      </c>
    </row>
    <row r="242" spans="1:13" x14ac:dyDescent="0.25">
      <c r="A242" s="197" t="s">
        <v>7</v>
      </c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9"/>
    </row>
    <row r="243" spans="1:13" x14ac:dyDescent="0.25">
      <c r="A243" s="185" t="s">
        <v>96</v>
      </c>
      <c r="B243" s="85">
        <f>'PR Report - Total'!B166</f>
        <v>129770494.49999997</v>
      </c>
      <c r="C243" s="85">
        <f>'PR Report - Total'!C166</f>
        <v>0</v>
      </c>
      <c r="D243" s="85">
        <f>'PR Report - Total'!D166</f>
        <v>14246921</v>
      </c>
      <c r="E243" s="85">
        <f>'PR Report - Total'!E166</f>
        <v>5647586</v>
      </c>
      <c r="F243" s="85">
        <f>'PR Report - Total'!F166</f>
        <v>0</v>
      </c>
      <c r="G243" s="85">
        <f>'PR Report - Total'!G166</f>
        <v>0</v>
      </c>
      <c r="H243" s="85">
        <f>'PR Report - Total'!H166</f>
        <v>7978144.7000000002</v>
      </c>
      <c r="I243" s="85">
        <f>'PR Report - Total'!I166</f>
        <v>3111671.1199999996</v>
      </c>
      <c r="J243" s="85">
        <f>'PR Report - Total'!J166</f>
        <v>0</v>
      </c>
      <c r="K243" s="85">
        <f>'PR Report - Total'!K166</f>
        <v>86457038.719999984</v>
      </c>
      <c r="L243" s="85">
        <f>'PR Report - Total'!L166</f>
        <v>10000</v>
      </c>
      <c r="M243" s="85">
        <f>'PR Report - Total'!M166</f>
        <v>15018178.959999995</v>
      </c>
    </row>
    <row r="244" spans="1:13" x14ac:dyDescent="0.25">
      <c r="A244" s="185" t="s">
        <v>88</v>
      </c>
      <c r="B244" s="85">
        <f>B175</f>
        <v>559683</v>
      </c>
      <c r="C244" s="85">
        <f t="shared" ref="C244:M244" si="28">C175</f>
        <v>0</v>
      </c>
      <c r="D244" s="85">
        <f t="shared" si="28"/>
        <v>0</v>
      </c>
      <c r="E244" s="85">
        <f t="shared" si="28"/>
        <v>0</v>
      </c>
      <c r="F244" s="85">
        <f t="shared" si="28"/>
        <v>0</v>
      </c>
      <c r="G244" s="85">
        <f t="shared" si="28"/>
        <v>0</v>
      </c>
      <c r="H244" s="85">
        <f t="shared" si="28"/>
        <v>0</v>
      </c>
      <c r="I244" s="85">
        <f t="shared" si="28"/>
        <v>0</v>
      </c>
      <c r="J244" s="85">
        <f t="shared" si="28"/>
        <v>0</v>
      </c>
      <c r="K244" s="85">
        <f t="shared" si="28"/>
        <v>0</v>
      </c>
      <c r="L244" s="85">
        <f t="shared" si="28"/>
        <v>0</v>
      </c>
      <c r="M244" s="85">
        <f t="shared" si="28"/>
        <v>559683</v>
      </c>
    </row>
    <row r="245" spans="1:13" x14ac:dyDescent="0.25">
      <c r="A245" s="185" t="s">
        <v>97</v>
      </c>
      <c r="B245" s="85">
        <f>'PR Report - Total'!B171</f>
        <v>25142938.490000002</v>
      </c>
      <c r="C245" s="85">
        <f>'PR Report - Total'!C171</f>
        <v>0</v>
      </c>
      <c r="D245" s="85">
        <f>'PR Report - Total'!D171</f>
        <v>0</v>
      </c>
      <c r="E245" s="85">
        <f>'PR Report - Total'!E171</f>
        <v>0</v>
      </c>
      <c r="F245" s="85">
        <f>'PR Report - Total'!F171</f>
        <v>0</v>
      </c>
      <c r="G245" s="85">
        <f>'PR Report - Total'!G171</f>
        <v>0</v>
      </c>
      <c r="H245" s="85">
        <f>'PR Report - Total'!H171</f>
        <v>0</v>
      </c>
      <c r="I245" s="85">
        <f>'PR Report - Total'!I171</f>
        <v>65058.9</v>
      </c>
      <c r="J245" s="85">
        <f>'PR Report - Total'!J171</f>
        <v>0</v>
      </c>
      <c r="K245" s="85">
        <f>'PR Report - Total'!K171</f>
        <v>24555564.59</v>
      </c>
      <c r="L245" s="85">
        <f>'PR Report - Total'!L171</f>
        <v>191795</v>
      </c>
      <c r="M245" s="85">
        <f>'PR Report - Total'!M171</f>
        <v>330520</v>
      </c>
    </row>
    <row r="246" spans="1:13" x14ac:dyDescent="0.25">
      <c r="A246" s="187" t="s">
        <v>36</v>
      </c>
      <c r="B246" s="125">
        <f t="shared" ref="B246:I246" si="29">SUM(B243:B245)</f>
        <v>155473115.98999998</v>
      </c>
      <c r="C246" s="125">
        <f t="shared" si="29"/>
        <v>0</v>
      </c>
      <c r="D246" s="125">
        <f t="shared" si="29"/>
        <v>14246921</v>
      </c>
      <c r="E246" s="125">
        <f t="shared" si="29"/>
        <v>5647586</v>
      </c>
      <c r="F246" s="125">
        <f t="shared" si="29"/>
        <v>0</v>
      </c>
      <c r="G246" s="125">
        <f t="shared" si="29"/>
        <v>0</v>
      </c>
      <c r="H246" s="125">
        <f t="shared" si="29"/>
        <v>7978144.7000000002</v>
      </c>
      <c r="I246" s="125">
        <f t="shared" si="29"/>
        <v>3176730.0199999996</v>
      </c>
      <c r="J246" s="125">
        <f>SUM(J243:J245)</f>
        <v>0</v>
      </c>
      <c r="K246" s="125">
        <f>SUM(K243:K245)</f>
        <v>111012603.30999999</v>
      </c>
      <c r="L246" s="125">
        <f>SUM(L243:L245)</f>
        <v>201795</v>
      </c>
      <c r="M246" s="125">
        <f>SUM(M243:M245)</f>
        <v>15908381.959999995</v>
      </c>
    </row>
    <row r="247" spans="1:13" x14ac:dyDescent="0.25">
      <c r="A247" s="116" t="s">
        <v>83</v>
      </c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9"/>
    </row>
    <row r="248" spans="1:13" x14ac:dyDescent="0.25">
      <c r="A248" s="185" t="s">
        <v>98</v>
      </c>
      <c r="B248" s="85">
        <f>'PR Report - Total'!B190</f>
        <v>43958271.739999995</v>
      </c>
      <c r="C248" s="85">
        <f>'PR Report - Total'!C190</f>
        <v>0</v>
      </c>
      <c r="D248" s="85">
        <f>'PR Report - Total'!D190</f>
        <v>3901087.86</v>
      </c>
      <c r="E248" s="85">
        <f>'PR Report - Total'!E190</f>
        <v>0</v>
      </c>
      <c r="F248" s="85">
        <f>'PR Report - Total'!F190</f>
        <v>0</v>
      </c>
      <c r="G248" s="85">
        <f>'PR Report - Total'!G190</f>
        <v>0</v>
      </c>
      <c r="H248" s="85">
        <f>'PR Report - Total'!H190</f>
        <v>2283148</v>
      </c>
      <c r="I248" s="85">
        <f>'PR Report - Total'!I190</f>
        <v>417070.97</v>
      </c>
      <c r="J248" s="85">
        <f>'PR Report - Total'!J190</f>
        <v>0</v>
      </c>
      <c r="K248" s="85">
        <f>'PR Report - Total'!K190</f>
        <v>37248396.909999996</v>
      </c>
      <c r="L248" s="85">
        <f>'PR Report - Total'!L190</f>
        <v>108568</v>
      </c>
      <c r="M248" s="85">
        <f>'PR Report - Total'!M190</f>
        <v>0</v>
      </c>
    </row>
    <row r="249" spans="1:13" x14ac:dyDescent="0.25">
      <c r="A249" s="185" t="s">
        <v>99</v>
      </c>
      <c r="B249" s="85">
        <f>'PR Report - Total'!B203</f>
        <v>4055570.85</v>
      </c>
      <c r="C249" s="85">
        <f>'PR Report - Total'!C203</f>
        <v>0</v>
      </c>
      <c r="D249" s="85">
        <f>'PR Report - Total'!D203</f>
        <v>0</v>
      </c>
      <c r="E249" s="85">
        <f>'PR Report - Total'!E203</f>
        <v>0</v>
      </c>
      <c r="F249" s="85">
        <f>'PR Report - Total'!F203</f>
        <v>0</v>
      </c>
      <c r="G249" s="85">
        <f>'PR Report - Total'!G203</f>
        <v>0</v>
      </c>
      <c r="H249" s="85">
        <f>'PR Report - Total'!H203</f>
        <v>0</v>
      </c>
      <c r="I249" s="85">
        <f>'PR Report - Total'!I203</f>
        <v>1187546.8500000001</v>
      </c>
      <c r="J249" s="85">
        <f>'PR Report - Total'!J203</f>
        <v>0</v>
      </c>
      <c r="K249" s="85">
        <f>'PR Report - Total'!K203</f>
        <v>2746920</v>
      </c>
      <c r="L249" s="85">
        <f>'PR Report - Total'!L203</f>
        <v>0</v>
      </c>
      <c r="M249" s="85">
        <f>'PR Report - Total'!M203</f>
        <v>121104</v>
      </c>
    </row>
    <row r="250" spans="1:13" x14ac:dyDescent="0.25">
      <c r="A250" s="185" t="s">
        <v>92</v>
      </c>
      <c r="B250" s="85">
        <f>B206</f>
        <v>782197.82000000007</v>
      </c>
      <c r="C250" s="85">
        <f t="shared" ref="C250:M250" si="30">C206</f>
        <v>0</v>
      </c>
      <c r="D250" s="85">
        <f t="shared" si="30"/>
        <v>226839.82</v>
      </c>
      <c r="E250" s="85">
        <f t="shared" si="30"/>
        <v>0</v>
      </c>
      <c r="F250" s="85">
        <f t="shared" si="30"/>
        <v>0</v>
      </c>
      <c r="G250" s="85">
        <f t="shared" si="30"/>
        <v>0</v>
      </c>
      <c r="H250" s="85">
        <f t="shared" si="30"/>
        <v>0</v>
      </c>
      <c r="I250" s="85">
        <f t="shared" si="30"/>
        <v>0</v>
      </c>
      <c r="J250" s="85">
        <f t="shared" si="30"/>
        <v>0</v>
      </c>
      <c r="K250" s="85">
        <f t="shared" si="30"/>
        <v>555358</v>
      </c>
      <c r="L250" s="85">
        <f t="shared" si="30"/>
        <v>0</v>
      </c>
      <c r="M250" s="85">
        <f t="shared" si="30"/>
        <v>0</v>
      </c>
    </row>
    <row r="251" spans="1:13" x14ac:dyDescent="0.25">
      <c r="A251" s="187" t="s">
        <v>100</v>
      </c>
      <c r="B251" s="125">
        <f>SUM(B248:B250)</f>
        <v>48796040.409999996</v>
      </c>
      <c r="C251" s="125">
        <f t="shared" ref="C251:M251" si="31">SUM(C248:C250)</f>
        <v>0</v>
      </c>
      <c r="D251" s="125">
        <f t="shared" si="31"/>
        <v>4127927.6799999997</v>
      </c>
      <c r="E251" s="125">
        <f t="shared" si="31"/>
        <v>0</v>
      </c>
      <c r="F251" s="125">
        <f t="shared" si="31"/>
        <v>0</v>
      </c>
      <c r="G251" s="125">
        <f t="shared" si="31"/>
        <v>0</v>
      </c>
      <c r="H251" s="125">
        <f t="shared" si="31"/>
        <v>2283148</v>
      </c>
      <c r="I251" s="125">
        <f t="shared" si="31"/>
        <v>1604617.82</v>
      </c>
      <c r="J251" s="125">
        <f t="shared" si="31"/>
        <v>0</v>
      </c>
      <c r="K251" s="125">
        <f t="shared" si="31"/>
        <v>40550674.909999996</v>
      </c>
      <c r="L251" s="125">
        <f t="shared" si="31"/>
        <v>108568</v>
      </c>
      <c r="M251" s="125">
        <f t="shared" si="31"/>
        <v>121104</v>
      </c>
    </row>
    <row r="252" spans="1:13" x14ac:dyDescent="0.25">
      <c r="A252" s="200" t="s">
        <v>6</v>
      </c>
      <c r="B252" s="201">
        <f>SUM(B251,B246)</f>
        <v>204269156.39999998</v>
      </c>
      <c r="C252" s="201">
        <f t="shared" ref="C252:I252" si="32">SUM(C251,C246)</f>
        <v>0</v>
      </c>
      <c r="D252" s="201">
        <f t="shared" si="32"/>
        <v>18374848.68</v>
      </c>
      <c r="E252" s="201">
        <f t="shared" si="32"/>
        <v>5647586</v>
      </c>
      <c r="F252" s="201">
        <f t="shared" si="32"/>
        <v>0</v>
      </c>
      <c r="G252" s="201">
        <f t="shared" si="32"/>
        <v>0</v>
      </c>
      <c r="H252" s="201">
        <f t="shared" si="32"/>
        <v>10261292.699999999</v>
      </c>
      <c r="I252" s="201">
        <f t="shared" si="32"/>
        <v>4781347.84</v>
      </c>
      <c r="J252" s="201">
        <f>SUM(J251,J246)</f>
        <v>0</v>
      </c>
      <c r="K252" s="201">
        <f>SUM(K251,K246)</f>
        <v>151563278.21999997</v>
      </c>
      <c r="L252" s="201">
        <f>SUM(L251,L246)</f>
        <v>310363</v>
      </c>
      <c r="M252" s="201">
        <f>SUM(M251,M246)</f>
        <v>16029485.959999995</v>
      </c>
    </row>
  </sheetData>
  <mergeCells count="18">
    <mergeCell ref="A226:E226"/>
    <mergeCell ref="A228:E228"/>
    <mergeCell ref="A233:E233"/>
    <mergeCell ref="A240:B240"/>
    <mergeCell ref="C240:H240"/>
    <mergeCell ref="I240:M240"/>
    <mergeCell ref="A141:B141"/>
    <mergeCell ref="C141:H141"/>
    <mergeCell ref="I141:M141"/>
    <mergeCell ref="H211:I211"/>
    <mergeCell ref="A213:I213"/>
    <mergeCell ref="A218:I218"/>
    <mergeCell ref="H2:I2"/>
    <mergeCell ref="A4:I4"/>
    <mergeCell ref="A38:I38"/>
    <mergeCell ref="A71:E71"/>
    <mergeCell ref="A73:E73"/>
    <mergeCell ref="A107:E107"/>
  </mergeCells>
  <conditionalFormatting sqref="A144:A150 A152:A175 A178:A186 A188:A199 A201:A206">
    <cfRule type="cellIs" dxfId="1" priority="2" operator="lessThan">
      <formula>#REF!</formula>
    </cfRule>
  </conditionalFormatting>
  <conditionalFormatting sqref="A208">
    <cfRule type="cellIs" dxfId="0" priority="1" operator="lessThan">
      <formula>#REF!</formula>
    </cfRule>
  </conditionalFormatting>
  <pageMargins left="0.7" right="0.7" top="0.75" bottom="0.75" header="0.3" footer="0.3"/>
  <pageSetup scale="35" fitToHeight="0" orientation="portrait" r:id="rId1"/>
  <rowBreaks count="3" manualBreakCount="3">
    <brk id="69" max="16383" man="1"/>
    <brk id="139" max="16383" man="1"/>
    <brk id="209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0E31A-2C00-4E4F-8E3D-FE1A91EC2F90}">
  <sheetPr>
    <tabColor rgb="FFFFFF00"/>
  </sheetPr>
  <dimension ref="A1:AT12009"/>
  <sheetViews>
    <sheetView zoomScale="85" zoomScaleNormal="85" workbookViewId="0">
      <pane ySplit="1" topLeftCell="A2" activePane="bottomLeft" state="frozen"/>
      <selection activeCell="G54" sqref="G54"/>
      <selection pane="bottomLeft" activeCell="G54" sqref="G54"/>
    </sheetView>
  </sheetViews>
  <sheetFormatPr defaultColWidth="8.7109375" defaultRowHeight="15" customHeight="1" x14ac:dyDescent="0.25"/>
  <cols>
    <col min="1" max="1" width="15.5703125" customWidth="1"/>
    <col min="2" max="2" width="19.85546875" customWidth="1"/>
    <col min="3" max="3" width="14.140625" bestFit="1" customWidth="1"/>
    <col min="4" max="4" width="12" bestFit="1" customWidth="1"/>
    <col min="5" max="5" width="25.7109375" bestFit="1" customWidth="1"/>
    <col min="6" max="6" width="20.42578125" customWidth="1"/>
    <col min="7" max="7" width="11.140625" style="30" bestFit="1" customWidth="1"/>
    <col min="8" max="8" width="20.7109375" bestFit="1" customWidth="1"/>
    <col min="9" max="9" width="19.7109375" bestFit="1" customWidth="1"/>
    <col min="10" max="10" width="14.5703125" style="123" bestFit="1" customWidth="1"/>
    <col min="11" max="11" width="11.5703125" style="123" bestFit="1" customWidth="1"/>
    <col min="12" max="12" width="18" style="123" bestFit="1" customWidth="1"/>
    <col min="13" max="13" width="11.5703125" style="235" customWidth="1"/>
    <col min="14" max="14" width="11.5703125" style="236" customWidth="1"/>
    <col min="15" max="15" width="11.5703125" style="123" customWidth="1"/>
    <col min="16" max="16" width="17.28515625" style="210" customWidth="1"/>
    <col min="17" max="17" width="13.42578125" bestFit="1" customWidth="1"/>
    <col min="18" max="18" width="9.28515625" bestFit="1" customWidth="1"/>
    <col min="20" max="21" width="14.140625" customWidth="1"/>
    <col min="22" max="23" width="14.140625" style="219" customWidth="1"/>
    <col min="24" max="24" width="12.85546875" style="220" bestFit="1" customWidth="1"/>
    <col min="25" max="25" width="14.140625" style="220" customWidth="1"/>
    <col min="27" max="28" width="10.5703125" bestFit="1" customWidth="1"/>
    <col min="29" max="29" width="34.5703125" bestFit="1" customWidth="1"/>
    <col min="30" max="30" width="10.5703125" customWidth="1"/>
    <col min="31" max="31" width="9" bestFit="1" customWidth="1"/>
    <col min="33" max="33" width="22.5703125" bestFit="1" customWidth="1"/>
    <col min="34" max="34" width="12" bestFit="1" customWidth="1"/>
    <col min="35" max="35" width="16.42578125" style="210" bestFit="1" customWidth="1"/>
    <col min="36" max="36" width="12" style="30" bestFit="1" customWidth="1"/>
    <col min="37" max="37" width="12" bestFit="1" customWidth="1"/>
    <col min="38" max="38" width="20.5703125" bestFit="1" customWidth="1"/>
    <col min="39" max="39" width="16.42578125" bestFit="1" customWidth="1"/>
    <col min="40" max="41" width="16.42578125" customWidth="1"/>
    <col min="43" max="43" width="46.42578125" style="234" bestFit="1" customWidth="1"/>
    <col min="44" max="44" width="16.5703125" bestFit="1" customWidth="1"/>
  </cols>
  <sheetData>
    <row r="1" spans="1:46" x14ac:dyDescent="0.25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  <c r="J1" t="s">
        <v>110</v>
      </c>
      <c r="K1" s="123" t="s">
        <v>111</v>
      </c>
      <c r="L1" t="s">
        <v>112</v>
      </c>
      <c r="M1" t="s">
        <v>113</v>
      </c>
      <c r="N1" t="s">
        <v>114</v>
      </c>
      <c r="O1" t="s">
        <v>115</v>
      </c>
      <c r="P1" s="202" t="s">
        <v>116</v>
      </c>
      <c r="Q1" s="203" t="s">
        <v>117</v>
      </c>
      <c r="R1" s="203" t="s">
        <v>118</v>
      </c>
      <c r="S1" s="204" t="s">
        <v>119</v>
      </c>
      <c r="T1" s="205" t="s">
        <v>120</v>
      </c>
      <c r="U1" s="205" t="s">
        <v>121</v>
      </c>
      <c r="V1" s="206" t="s">
        <v>122</v>
      </c>
      <c r="W1" s="206" t="s">
        <v>123</v>
      </c>
      <c r="X1" s="207"/>
      <c r="Y1" s="207"/>
      <c r="Z1" s="208">
        <v>9.5000000000000001E-2</v>
      </c>
      <c r="AA1" s="30">
        <v>46143</v>
      </c>
      <c r="AB1" s="30">
        <v>46173</v>
      </c>
      <c r="AC1" s="209" t="s">
        <v>124</v>
      </c>
      <c r="AD1" s="30"/>
      <c r="AE1" t="s">
        <v>125</v>
      </c>
      <c r="AF1" t="s">
        <v>108</v>
      </c>
      <c r="AG1" t="s">
        <v>126</v>
      </c>
      <c r="AH1" t="s">
        <v>127</v>
      </c>
      <c r="AI1" s="210" t="s">
        <v>128</v>
      </c>
      <c r="AJ1" s="30" t="s">
        <v>111</v>
      </c>
      <c r="AK1" t="s">
        <v>123</v>
      </c>
      <c r="AL1" t="s">
        <v>129</v>
      </c>
      <c r="AM1" s="211" t="s">
        <v>130</v>
      </c>
      <c r="AN1" s="211" t="s">
        <v>121</v>
      </c>
      <c r="AO1" s="212" t="s">
        <v>131</v>
      </c>
      <c r="AQ1" s="213" t="s">
        <v>132</v>
      </c>
      <c r="AR1" s="214" t="s">
        <v>133</v>
      </c>
      <c r="AS1" s="215" t="s">
        <v>134</v>
      </c>
      <c r="AT1" s="215" t="s">
        <v>135</v>
      </c>
    </row>
    <row r="2" spans="1:46" ht="15" customHeight="1" x14ac:dyDescent="0.25">
      <c r="A2" t="s">
        <v>545</v>
      </c>
      <c r="B2" t="s">
        <v>546</v>
      </c>
      <c r="C2">
        <v>11302</v>
      </c>
      <c r="D2" t="s">
        <v>547</v>
      </c>
      <c r="E2" t="s">
        <v>141</v>
      </c>
      <c r="F2" t="s">
        <v>548</v>
      </c>
      <c r="G2" s="123">
        <v>46149</v>
      </c>
      <c r="H2" t="s">
        <v>549</v>
      </c>
      <c r="I2">
        <v>865048.61</v>
      </c>
      <c r="J2" s="123">
        <v>0</v>
      </c>
      <c r="K2" s="123">
        <v>0</v>
      </c>
      <c r="L2">
        <v>0</v>
      </c>
      <c r="M2">
        <v>11302</v>
      </c>
      <c r="N2">
        <v>0</v>
      </c>
      <c r="O2">
        <v>0</v>
      </c>
      <c r="P2" s="216">
        <v>0</v>
      </c>
      <c r="Q2" s="217" t="s">
        <v>34</v>
      </c>
      <c r="R2" s="217" t="s">
        <v>62</v>
      </c>
      <c r="S2" s="218">
        <v>1.0115345526311392</v>
      </c>
      <c r="T2" t="s">
        <v>550</v>
      </c>
      <c r="U2" t="s">
        <v>51</v>
      </c>
      <c r="V2" s="219">
        <v>0</v>
      </c>
      <c r="W2" s="219">
        <v>0</v>
      </c>
      <c r="Z2" s="221"/>
      <c r="AA2" s="30"/>
      <c r="AC2" s="222"/>
      <c r="AE2" t="s">
        <v>136</v>
      </c>
      <c r="AF2" t="s">
        <v>137</v>
      </c>
      <c r="AG2" t="s">
        <v>138</v>
      </c>
      <c r="AH2" t="s">
        <v>139</v>
      </c>
      <c r="AI2" s="210">
        <v>249456</v>
      </c>
      <c r="AJ2" s="30">
        <v>46144</v>
      </c>
      <c r="AK2" t="s">
        <v>71</v>
      </c>
      <c r="AL2" t="s">
        <v>140</v>
      </c>
      <c r="AM2" t="s">
        <v>13</v>
      </c>
      <c r="AN2" t="s">
        <v>78</v>
      </c>
      <c r="AQ2" s="223" t="s">
        <v>141</v>
      </c>
      <c r="AR2" s="224" t="s">
        <v>34</v>
      </c>
      <c r="AS2" s="225" t="s">
        <v>7</v>
      </c>
      <c r="AT2" s="225" t="s">
        <v>142</v>
      </c>
    </row>
    <row r="3" spans="1:46" ht="15" customHeight="1" x14ac:dyDescent="0.25">
      <c r="A3" t="s">
        <v>551</v>
      </c>
      <c r="B3" t="s">
        <v>546</v>
      </c>
      <c r="C3">
        <v>150000</v>
      </c>
      <c r="D3" t="s">
        <v>552</v>
      </c>
      <c r="E3" t="s">
        <v>553</v>
      </c>
      <c r="F3" t="s">
        <v>554</v>
      </c>
      <c r="G3" s="123">
        <v>46143</v>
      </c>
      <c r="H3" t="s">
        <v>555</v>
      </c>
      <c r="I3">
        <v>7797288.1900000004</v>
      </c>
      <c r="J3">
        <v>46143</v>
      </c>
      <c r="K3" s="123">
        <v>0</v>
      </c>
      <c r="L3" s="123">
        <v>46143</v>
      </c>
      <c r="M3">
        <v>0</v>
      </c>
      <c r="N3">
        <v>0</v>
      </c>
      <c r="O3" t="s">
        <v>556</v>
      </c>
      <c r="P3" s="216">
        <v>150000</v>
      </c>
      <c r="Q3" s="217" t="s">
        <v>39</v>
      </c>
      <c r="R3" s="217" t="s">
        <v>554</v>
      </c>
      <c r="S3" s="218">
        <v>0.83847493906724513</v>
      </c>
      <c r="T3" t="s">
        <v>550</v>
      </c>
      <c r="U3" t="s">
        <v>51</v>
      </c>
      <c r="V3" s="219" t="s">
        <v>5847</v>
      </c>
      <c r="W3" s="219" t="s">
        <v>67</v>
      </c>
      <c r="AE3" t="s">
        <v>143</v>
      </c>
      <c r="AF3" t="s">
        <v>137</v>
      </c>
      <c r="AG3" t="s">
        <v>138</v>
      </c>
      <c r="AH3" t="s">
        <v>139</v>
      </c>
      <c r="AI3" s="210">
        <v>28896</v>
      </c>
      <c r="AJ3" s="30">
        <v>46144</v>
      </c>
      <c r="AK3" t="s">
        <v>71</v>
      </c>
      <c r="AL3" t="s">
        <v>140</v>
      </c>
      <c r="AM3" t="s">
        <v>13</v>
      </c>
      <c r="AN3" t="s">
        <v>78</v>
      </c>
      <c r="AQ3" s="223" t="s">
        <v>144</v>
      </c>
      <c r="AR3" s="224" t="s">
        <v>145</v>
      </c>
      <c r="AS3" s="225" t="s">
        <v>7</v>
      </c>
      <c r="AT3" s="225" t="s">
        <v>142</v>
      </c>
    </row>
    <row r="4" spans="1:46" ht="15" customHeight="1" x14ac:dyDescent="0.25">
      <c r="A4" t="s">
        <v>557</v>
      </c>
      <c r="B4" t="s">
        <v>546</v>
      </c>
      <c r="C4">
        <v>100000</v>
      </c>
      <c r="D4" t="s">
        <v>558</v>
      </c>
      <c r="E4" t="s">
        <v>183</v>
      </c>
      <c r="F4" t="s">
        <v>554</v>
      </c>
      <c r="G4" s="123">
        <v>46148</v>
      </c>
      <c r="H4" t="s">
        <v>559</v>
      </c>
      <c r="I4">
        <v>9716668.7599999998</v>
      </c>
      <c r="J4">
        <v>0</v>
      </c>
      <c r="K4" s="123">
        <v>0</v>
      </c>
      <c r="L4">
        <v>0</v>
      </c>
      <c r="M4">
        <v>0</v>
      </c>
      <c r="N4">
        <v>0</v>
      </c>
      <c r="O4">
        <v>0</v>
      </c>
      <c r="P4" s="216">
        <v>100000</v>
      </c>
      <c r="Q4" s="217" t="s">
        <v>33</v>
      </c>
      <c r="R4" s="217" t="s">
        <v>554</v>
      </c>
      <c r="S4" s="218">
        <v>0.72060375556118061</v>
      </c>
      <c r="T4" t="s">
        <v>550</v>
      </c>
      <c r="U4" t="s">
        <v>51</v>
      </c>
      <c r="V4" s="219" t="s">
        <v>5848</v>
      </c>
      <c r="W4" s="219" t="s">
        <v>67</v>
      </c>
      <c r="AE4" t="s">
        <v>146</v>
      </c>
      <c r="AF4" t="s">
        <v>147</v>
      </c>
      <c r="AG4" t="s">
        <v>148</v>
      </c>
      <c r="AH4" t="s">
        <v>149</v>
      </c>
      <c r="AI4" s="210">
        <v>41858</v>
      </c>
      <c r="AJ4" s="30">
        <v>46167</v>
      </c>
      <c r="AK4" t="s">
        <v>68</v>
      </c>
      <c r="AL4" t="s">
        <v>150</v>
      </c>
      <c r="AM4" t="s">
        <v>15</v>
      </c>
      <c r="AN4" t="s">
        <v>51</v>
      </c>
      <c r="AQ4" s="223" t="s">
        <v>151</v>
      </c>
      <c r="AR4" s="224" t="s">
        <v>25</v>
      </c>
      <c r="AS4" s="225" t="s">
        <v>7</v>
      </c>
      <c r="AT4" s="225" t="s">
        <v>142</v>
      </c>
    </row>
    <row r="5" spans="1:46" ht="15" customHeight="1" x14ac:dyDescent="0.25">
      <c r="A5" t="s">
        <v>560</v>
      </c>
      <c r="B5" t="s">
        <v>546</v>
      </c>
      <c r="C5">
        <v>100000</v>
      </c>
      <c r="D5" t="s">
        <v>558</v>
      </c>
      <c r="E5" t="s">
        <v>183</v>
      </c>
      <c r="F5" t="s">
        <v>548</v>
      </c>
      <c r="G5" s="123">
        <v>46148</v>
      </c>
      <c r="H5" t="s">
        <v>559</v>
      </c>
      <c r="I5">
        <v>9716668.7599999998</v>
      </c>
      <c r="J5">
        <v>0</v>
      </c>
      <c r="K5" s="123">
        <v>0</v>
      </c>
      <c r="L5">
        <v>0</v>
      </c>
      <c r="M5">
        <v>0</v>
      </c>
      <c r="N5">
        <v>0</v>
      </c>
      <c r="O5">
        <v>0</v>
      </c>
      <c r="P5" s="216">
        <v>100000</v>
      </c>
      <c r="Q5" s="217" t="s">
        <v>33</v>
      </c>
      <c r="R5" s="217" t="s">
        <v>62</v>
      </c>
      <c r="S5" s="218">
        <v>0.72060375556118061</v>
      </c>
      <c r="T5" t="s">
        <v>550</v>
      </c>
      <c r="U5" t="s">
        <v>51</v>
      </c>
      <c r="V5" s="219">
        <v>0</v>
      </c>
      <c r="W5" s="219">
        <v>0</v>
      </c>
      <c r="AE5" t="s">
        <v>152</v>
      </c>
      <c r="AF5" t="s">
        <v>153</v>
      </c>
      <c r="AG5" t="s">
        <v>154</v>
      </c>
      <c r="AH5" t="s">
        <v>155</v>
      </c>
      <c r="AI5" s="210">
        <v>4589609</v>
      </c>
      <c r="AJ5" s="30">
        <v>46150</v>
      </c>
      <c r="AK5" t="s">
        <v>68</v>
      </c>
      <c r="AL5" t="s">
        <v>156</v>
      </c>
      <c r="AM5" t="s">
        <v>18</v>
      </c>
      <c r="AN5" t="s">
        <v>51</v>
      </c>
      <c r="AQ5" s="223" t="s">
        <v>157</v>
      </c>
      <c r="AR5" s="224" t="s">
        <v>14</v>
      </c>
      <c r="AS5" s="225" t="s">
        <v>7</v>
      </c>
      <c r="AT5" s="225" t="s">
        <v>142</v>
      </c>
    </row>
    <row r="6" spans="1:46" ht="15" customHeight="1" x14ac:dyDescent="0.25">
      <c r="A6" t="s">
        <v>561</v>
      </c>
      <c r="B6" t="s">
        <v>546</v>
      </c>
      <c r="C6">
        <v>99500</v>
      </c>
      <c r="D6" t="s">
        <v>558</v>
      </c>
      <c r="E6" t="s">
        <v>183</v>
      </c>
      <c r="F6" t="s">
        <v>554</v>
      </c>
      <c r="G6" s="123">
        <v>46149</v>
      </c>
      <c r="H6" t="s">
        <v>559</v>
      </c>
      <c r="I6">
        <v>9716668.7599999998</v>
      </c>
      <c r="J6">
        <v>0</v>
      </c>
      <c r="K6" s="123">
        <v>0</v>
      </c>
      <c r="L6">
        <v>0</v>
      </c>
      <c r="M6">
        <v>0</v>
      </c>
      <c r="N6">
        <v>0</v>
      </c>
      <c r="O6">
        <v>0</v>
      </c>
      <c r="P6" s="216">
        <v>99500</v>
      </c>
      <c r="Q6" s="217" t="s">
        <v>33</v>
      </c>
      <c r="R6" s="217" t="s">
        <v>554</v>
      </c>
      <c r="S6" s="218">
        <v>0.72060375556118061</v>
      </c>
      <c r="T6" t="s">
        <v>550</v>
      </c>
      <c r="U6" t="s">
        <v>51</v>
      </c>
      <c r="V6" s="219" t="s">
        <v>5849</v>
      </c>
      <c r="W6" s="219" t="s">
        <v>67</v>
      </c>
      <c r="AE6" t="s">
        <v>158</v>
      </c>
      <c r="AF6" t="s">
        <v>159</v>
      </c>
      <c r="AG6" t="s">
        <v>160</v>
      </c>
      <c r="AH6" t="s">
        <v>161</v>
      </c>
      <c r="AI6" s="210">
        <v>227969.88</v>
      </c>
      <c r="AJ6" s="30">
        <v>46148</v>
      </c>
      <c r="AK6" t="s">
        <v>68</v>
      </c>
      <c r="AL6" t="s">
        <v>162</v>
      </c>
      <c r="AM6" t="s">
        <v>23</v>
      </c>
      <c r="AN6" t="s">
        <v>51</v>
      </c>
      <c r="AQ6" s="223" t="s">
        <v>163</v>
      </c>
      <c r="AR6" s="224" t="s">
        <v>15</v>
      </c>
      <c r="AS6" s="225" t="s">
        <v>7</v>
      </c>
      <c r="AT6" s="225" t="s">
        <v>142</v>
      </c>
    </row>
    <row r="7" spans="1:46" ht="15" customHeight="1" x14ac:dyDescent="0.25">
      <c r="A7" t="s">
        <v>562</v>
      </c>
      <c r="B7" t="s">
        <v>546</v>
      </c>
      <c r="C7">
        <v>99500</v>
      </c>
      <c r="D7" t="s">
        <v>558</v>
      </c>
      <c r="E7" t="s">
        <v>183</v>
      </c>
      <c r="F7" t="s">
        <v>548</v>
      </c>
      <c r="G7" s="30">
        <v>46149</v>
      </c>
      <c r="H7" t="s">
        <v>559</v>
      </c>
      <c r="I7">
        <v>9716668.7599999998</v>
      </c>
      <c r="J7" s="123">
        <v>0</v>
      </c>
      <c r="K7" s="123">
        <v>0</v>
      </c>
      <c r="L7" s="123">
        <v>0</v>
      </c>
      <c r="M7">
        <v>0</v>
      </c>
      <c r="N7">
        <v>0</v>
      </c>
      <c r="O7">
        <v>0</v>
      </c>
      <c r="P7" s="216">
        <v>99500</v>
      </c>
      <c r="Q7" s="217" t="s">
        <v>33</v>
      </c>
      <c r="R7" s="217" t="s">
        <v>62</v>
      </c>
      <c r="S7" s="218">
        <v>0.72060375556118061</v>
      </c>
      <c r="T7" t="s">
        <v>550</v>
      </c>
      <c r="U7" t="s">
        <v>51</v>
      </c>
      <c r="V7" s="219">
        <v>0</v>
      </c>
      <c r="W7" s="219">
        <v>0</v>
      </c>
      <c r="AE7" t="s">
        <v>164</v>
      </c>
      <c r="AF7" t="s">
        <v>165</v>
      </c>
      <c r="AG7" t="s">
        <v>166</v>
      </c>
      <c r="AH7" t="s">
        <v>167</v>
      </c>
      <c r="AI7" s="210">
        <v>197346.28</v>
      </c>
      <c r="AJ7" s="30">
        <v>46148</v>
      </c>
      <c r="AK7" t="s">
        <v>68</v>
      </c>
      <c r="AL7" t="s">
        <v>162</v>
      </c>
      <c r="AM7" t="s">
        <v>23</v>
      </c>
      <c r="AN7" t="s">
        <v>51</v>
      </c>
      <c r="AQ7" s="223" t="s">
        <v>168</v>
      </c>
      <c r="AR7" s="224" t="s">
        <v>16</v>
      </c>
      <c r="AS7" s="225" t="s">
        <v>7</v>
      </c>
      <c r="AT7" s="225" t="s">
        <v>142</v>
      </c>
    </row>
    <row r="8" spans="1:46" ht="15" customHeight="1" x14ac:dyDescent="0.25">
      <c r="A8" t="s">
        <v>563</v>
      </c>
      <c r="B8" t="s">
        <v>546</v>
      </c>
      <c r="C8">
        <v>19700</v>
      </c>
      <c r="D8" t="s">
        <v>564</v>
      </c>
      <c r="E8" t="s">
        <v>565</v>
      </c>
      <c r="F8" t="s">
        <v>548</v>
      </c>
      <c r="G8" s="30">
        <v>46143</v>
      </c>
      <c r="H8" t="s">
        <v>566</v>
      </c>
      <c r="I8">
        <v>1594890</v>
      </c>
      <c r="J8" s="123">
        <v>0</v>
      </c>
      <c r="K8" s="123">
        <v>0</v>
      </c>
      <c r="L8" s="123">
        <v>0</v>
      </c>
      <c r="M8">
        <v>0</v>
      </c>
      <c r="N8">
        <v>0</v>
      </c>
      <c r="O8">
        <v>0</v>
      </c>
      <c r="P8" s="216">
        <v>19700</v>
      </c>
      <c r="Q8" s="217" t="s">
        <v>43</v>
      </c>
      <c r="R8" s="217" t="s">
        <v>62</v>
      </c>
      <c r="S8" s="218">
        <v>0.67757023995385257</v>
      </c>
      <c r="T8" t="s">
        <v>550</v>
      </c>
      <c r="U8" t="s">
        <v>51</v>
      </c>
      <c r="V8" s="219">
        <v>0</v>
      </c>
      <c r="W8" s="219">
        <v>0</v>
      </c>
      <c r="AE8" t="s">
        <v>169</v>
      </c>
      <c r="AF8" t="s">
        <v>170</v>
      </c>
      <c r="AG8" t="s">
        <v>171</v>
      </c>
      <c r="AH8" t="s">
        <v>172</v>
      </c>
      <c r="AI8" s="210">
        <v>299906</v>
      </c>
      <c r="AJ8" s="30">
        <v>46148</v>
      </c>
      <c r="AK8" t="s">
        <v>68</v>
      </c>
      <c r="AL8" t="s">
        <v>162</v>
      </c>
      <c r="AM8" t="s">
        <v>23</v>
      </c>
      <c r="AN8" t="s">
        <v>51</v>
      </c>
      <c r="AQ8" s="223" t="s">
        <v>173</v>
      </c>
      <c r="AR8" s="224" t="s">
        <v>27</v>
      </c>
      <c r="AS8" s="225" t="s">
        <v>7</v>
      </c>
      <c r="AT8" s="225" t="s">
        <v>142</v>
      </c>
    </row>
    <row r="9" spans="1:46" ht="15" customHeight="1" x14ac:dyDescent="0.25">
      <c r="A9" t="s">
        <v>567</v>
      </c>
      <c r="B9" t="s">
        <v>546</v>
      </c>
      <c r="C9">
        <v>19700</v>
      </c>
      <c r="D9" t="s">
        <v>564</v>
      </c>
      <c r="E9" t="s">
        <v>565</v>
      </c>
      <c r="F9" t="s">
        <v>548</v>
      </c>
      <c r="G9" s="30">
        <v>46143</v>
      </c>
      <c r="H9" t="s">
        <v>566</v>
      </c>
      <c r="I9">
        <v>1594890</v>
      </c>
      <c r="J9" s="123">
        <v>0</v>
      </c>
      <c r="K9" s="123">
        <v>0</v>
      </c>
      <c r="L9" s="123">
        <v>0</v>
      </c>
      <c r="M9">
        <v>0</v>
      </c>
      <c r="N9">
        <v>0</v>
      </c>
      <c r="O9">
        <v>0</v>
      </c>
      <c r="P9" s="216">
        <v>19700</v>
      </c>
      <c r="Q9" s="217" t="s">
        <v>43</v>
      </c>
      <c r="R9" s="217" t="s">
        <v>62</v>
      </c>
      <c r="S9" s="218">
        <v>0.67757023995385257</v>
      </c>
      <c r="T9" t="s">
        <v>550</v>
      </c>
      <c r="U9" t="s">
        <v>51</v>
      </c>
      <c r="V9" s="219">
        <v>0</v>
      </c>
      <c r="W9" s="219">
        <v>0</v>
      </c>
      <c r="AE9" t="s">
        <v>174</v>
      </c>
      <c r="AF9" t="s">
        <v>175</v>
      </c>
      <c r="AG9" t="s">
        <v>176</v>
      </c>
      <c r="AH9" t="s">
        <v>177</v>
      </c>
      <c r="AI9" s="210">
        <v>139519</v>
      </c>
      <c r="AJ9" s="30">
        <v>46148</v>
      </c>
      <c r="AK9" t="s">
        <v>68</v>
      </c>
      <c r="AL9" t="s">
        <v>162</v>
      </c>
      <c r="AM9" t="s">
        <v>23</v>
      </c>
      <c r="AN9" t="s">
        <v>51</v>
      </c>
      <c r="AQ9" s="223" t="s">
        <v>178</v>
      </c>
      <c r="AR9" s="224" t="s">
        <v>32</v>
      </c>
      <c r="AS9" s="225" t="s">
        <v>7</v>
      </c>
      <c r="AT9" s="225" t="s">
        <v>142</v>
      </c>
    </row>
    <row r="10" spans="1:46" ht="15" customHeight="1" x14ac:dyDescent="0.25">
      <c r="A10" t="s">
        <v>568</v>
      </c>
      <c r="B10" t="s">
        <v>546</v>
      </c>
      <c r="C10">
        <v>19700</v>
      </c>
      <c r="D10" t="s">
        <v>564</v>
      </c>
      <c r="E10" t="s">
        <v>565</v>
      </c>
      <c r="F10" t="s">
        <v>554</v>
      </c>
      <c r="G10" s="30">
        <v>46143</v>
      </c>
      <c r="H10" t="s">
        <v>566</v>
      </c>
      <c r="I10">
        <v>1594890</v>
      </c>
      <c r="J10" s="123">
        <v>0</v>
      </c>
      <c r="K10" s="123">
        <v>0</v>
      </c>
      <c r="L10" s="123">
        <v>0</v>
      </c>
      <c r="M10">
        <v>0</v>
      </c>
      <c r="N10">
        <v>0</v>
      </c>
      <c r="O10">
        <v>0</v>
      </c>
      <c r="P10" s="216">
        <v>19700</v>
      </c>
      <c r="Q10" s="217" t="s">
        <v>43</v>
      </c>
      <c r="R10" s="217" t="s">
        <v>554</v>
      </c>
      <c r="S10" s="218">
        <v>0.67757023995385257</v>
      </c>
      <c r="T10" t="s">
        <v>550</v>
      </c>
      <c r="U10" t="s">
        <v>51</v>
      </c>
      <c r="V10" s="219" t="s">
        <v>5850</v>
      </c>
      <c r="W10" s="219" t="s">
        <v>67</v>
      </c>
      <c r="AE10" t="s">
        <v>179</v>
      </c>
      <c r="AF10" t="s">
        <v>180</v>
      </c>
      <c r="AG10" t="s">
        <v>181</v>
      </c>
      <c r="AH10" t="s">
        <v>182</v>
      </c>
      <c r="AI10" s="210">
        <v>134753.41</v>
      </c>
      <c r="AJ10" s="30">
        <v>46148</v>
      </c>
      <c r="AK10" t="s">
        <v>68</v>
      </c>
      <c r="AL10" t="s">
        <v>162</v>
      </c>
      <c r="AM10" t="s">
        <v>23</v>
      </c>
      <c r="AN10" t="s">
        <v>51</v>
      </c>
      <c r="AQ10" s="223" t="s">
        <v>183</v>
      </c>
      <c r="AR10" s="224" t="s">
        <v>33</v>
      </c>
      <c r="AS10" s="225" t="s">
        <v>7</v>
      </c>
      <c r="AT10" s="225" t="s">
        <v>142</v>
      </c>
    </row>
    <row r="11" spans="1:46" ht="15" customHeight="1" x14ac:dyDescent="0.25">
      <c r="A11" t="s">
        <v>569</v>
      </c>
      <c r="B11" t="s">
        <v>546</v>
      </c>
      <c r="C11">
        <v>19700</v>
      </c>
      <c r="D11" t="s">
        <v>564</v>
      </c>
      <c r="E11" t="s">
        <v>565</v>
      </c>
      <c r="F11" t="s">
        <v>548</v>
      </c>
      <c r="G11" s="30">
        <v>46143</v>
      </c>
      <c r="H11" t="s">
        <v>566</v>
      </c>
      <c r="I11">
        <v>1594890</v>
      </c>
      <c r="J11" s="123">
        <v>0</v>
      </c>
      <c r="K11" s="123">
        <v>0</v>
      </c>
      <c r="L11" s="123">
        <v>0</v>
      </c>
      <c r="M11">
        <v>0</v>
      </c>
      <c r="N11">
        <v>0</v>
      </c>
      <c r="O11">
        <v>0</v>
      </c>
      <c r="P11" s="216">
        <v>19700</v>
      </c>
      <c r="Q11" s="217" t="s">
        <v>43</v>
      </c>
      <c r="R11" s="217" t="s">
        <v>62</v>
      </c>
      <c r="S11" s="218">
        <v>0.67757023995385257</v>
      </c>
      <c r="T11" t="s">
        <v>550</v>
      </c>
      <c r="U11" t="s">
        <v>51</v>
      </c>
      <c r="V11" s="219">
        <v>0</v>
      </c>
      <c r="W11" s="219">
        <v>0</v>
      </c>
      <c r="AE11" t="s">
        <v>184</v>
      </c>
      <c r="AF11" t="s">
        <v>185</v>
      </c>
      <c r="AG11" t="s">
        <v>186</v>
      </c>
      <c r="AH11" t="s">
        <v>187</v>
      </c>
      <c r="AI11" s="210">
        <v>228393</v>
      </c>
      <c r="AJ11" s="30">
        <v>46148</v>
      </c>
      <c r="AK11" t="s">
        <v>68</v>
      </c>
      <c r="AL11" t="s">
        <v>162</v>
      </c>
      <c r="AM11" t="s">
        <v>23</v>
      </c>
      <c r="AN11" t="s">
        <v>51</v>
      </c>
      <c r="AQ11" s="223" t="s">
        <v>188</v>
      </c>
      <c r="AR11" s="224" t="s">
        <v>17</v>
      </c>
      <c r="AS11" s="225" t="s">
        <v>7</v>
      </c>
      <c r="AT11" s="225" t="s">
        <v>142</v>
      </c>
    </row>
    <row r="12" spans="1:46" ht="15" customHeight="1" x14ac:dyDescent="0.25">
      <c r="A12" t="s">
        <v>570</v>
      </c>
      <c r="B12" t="s">
        <v>546</v>
      </c>
      <c r="C12">
        <v>79750</v>
      </c>
      <c r="D12" t="s">
        <v>571</v>
      </c>
      <c r="E12" t="s">
        <v>565</v>
      </c>
      <c r="F12" t="s">
        <v>554</v>
      </c>
      <c r="G12" s="30">
        <v>46145</v>
      </c>
      <c r="H12" t="s">
        <v>572</v>
      </c>
      <c r="I12">
        <v>1594890</v>
      </c>
      <c r="J12" s="123">
        <v>0</v>
      </c>
      <c r="K12" s="123">
        <v>0</v>
      </c>
      <c r="L12" s="123">
        <v>0</v>
      </c>
      <c r="M12">
        <v>0</v>
      </c>
      <c r="N12">
        <v>0</v>
      </c>
      <c r="O12">
        <v>0</v>
      </c>
      <c r="P12" s="216">
        <v>79750</v>
      </c>
      <c r="Q12" s="217" t="s">
        <v>23</v>
      </c>
      <c r="R12" s="217" t="s">
        <v>554</v>
      </c>
      <c r="S12" s="218">
        <v>0.5</v>
      </c>
      <c r="T12" t="s">
        <v>550</v>
      </c>
      <c r="U12" t="s">
        <v>51</v>
      </c>
      <c r="V12" s="219" t="s">
        <v>5851</v>
      </c>
      <c r="W12" s="219" t="s">
        <v>67</v>
      </c>
      <c r="AE12" t="s">
        <v>189</v>
      </c>
      <c r="AF12" t="s">
        <v>190</v>
      </c>
      <c r="AG12" t="s">
        <v>191</v>
      </c>
      <c r="AH12" t="s">
        <v>192</v>
      </c>
      <c r="AI12" s="210">
        <v>148006</v>
      </c>
      <c r="AJ12" s="30">
        <v>46148</v>
      </c>
      <c r="AK12" t="s">
        <v>68</v>
      </c>
      <c r="AL12" t="s">
        <v>162</v>
      </c>
      <c r="AM12" t="s">
        <v>23</v>
      </c>
      <c r="AN12" t="s">
        <v>51</v>
      </c>
      <c r="AQ12" s="223" t="s">
        <v>193</v>
      </c>
      <c r="AR12" s="224" t="s">
        <v>26</v>
      </c>
      <c r="AS12" s="225" t="s">
        <v>7</v>
      </c>
      <c r="AT12" s="225" t="s">
        <v>142</v>
      </c>
    </row>
    <row r="13" spans="1:46" ht="15" customHeight="1" x14ac:dyDescent="0.25">
      <c r="A13" t="s">
        <v>573</v>
      </c>
      <c r="B13" t="s">
        <v>546</v>
      </c>
      <c r="C13">
        <v>79739</v>
      </c>
      <c r="D13" t="s">
        <v>571</v>
      </c>
      <c r="E13" t="s">
        <v>565</v>
      </c>
      <c r="F13" t="s">
        <v>554</v>
      </c>
      <c r="G13" s="30">
        <v>46146</v>
      </c>
      <c r="H13" t="s">
        <v>572</v>
      </c>
      <c r="I13">
        <v>1594890</v>
      </c>
      <c r="J13" s="123">
        <v>0</v>
      </c>
      <c r="K13" s="123">
        <v>0</v>
      </c>
      <c r="L13" s="123">
        <v>0</v>
      </c>
      <c r="M13">
        <v>0</v>
      </c>
      <c r="N13">
        <v>0</v>
      </c>
      <c r="O13">
        <v>0</v>
      </c>
      <c r="P13" s="216">
        <v>79739</v>
      </c>
      <c r="Q13" s="217" t="s">
        <v>23</v>
      </c>
      <c r="R13" s="217" t="s">
        <v>554</v>
      </c>
      <c r="S13" s="218">
        <v>0.5</v>
      </c>
      <c r="T13" t="s">
        <v>550</v>
      </c>
      <c r="U13" t="s">
        <v>51</v>
      </c>
      <c r="V13" s="219" t="s">
        <v>5852</v>
      </c>
      <c r="W13" s="219" t="s">
        <v>67</v>
      </c>
      <c r="AE13" t="s">
        <v>194</v>
      </c>
      <c r="AF13" t="s">
        <v>195</v>
      </c>
      <c r="AG13" t="s">
        <v>196</v>
      </c>
      <c r="AH13" t="s">
        <v>197</v>
      </c>
      <c r="AI13" s="210">
        <v>197346.28</v>
      </c>
      <c r="AJ13" s="30">
        <v>46148</v>
      </c>
      <c r="AK13" t="s">
        <v>68</v>
      </c>
      <c r="AL13" t="s">
        <v>162</v>
      </c>
      <c r="AM13" t="s">
        <v>23</v>
      </c>
      <c r="AN13" t="s">
        <v>51</v>
      </c>
      <c r="AQ13" s="223" t="s">
        <v>198</v>
      </c>
      <c r="AR13" s="224" t="s">
        <v>29</v>
      </c>
      <c r="AS13" s="225" t="s">
        <v>7</v>
      </c>
      <c r="AT13" s="225" t="s">
        <v>142</v>
      </c>
    </row>
    <row r="14" spans="1:46" ht="15" customHeight="1" x14ac:dyDescent="0.25">
      <c r="A14" t="s">
        <v>574</v>
      </c>
      <c r="B14" t="s">
        <v>575</v>
      </c>
      <c r="C14">
        <v>161663</v>
      </c>
      <c r="D14" t="s">
        <v>576</v>
      </c>
      <c r="E14" t="s">
        <v>208</v>
      </c>
      <c r="F14" t="s">
        <v>554</v>
      </c>
      <c r="G14" s="30">
        <v>46143</v>
      </c>
      <c r="H14" t="s">
        <v>577</v>
      </c>
      <c r="I14">
        <v>1616638.5</v>
      </c>
      <c r="J14" s="123">
        <v>0</v>
      </c>
      <c r="K14" s="123">
        <v>0</v>
      </c>
      <c r="L14" s="123">
        <v>46142</v>
      </c>
      <c r="M14">
        <v>0</v>
      </c>
      <c r="N14">
        <v>0</v>
      </c>
      <c r="O14">
        <v>0</v>
      </c>
      <c r="P14" s="216">
        <v>161663</v>
      </c>
      <c r="Q14" s="217" t="s">
        <v>23</v>
      </c>
      <c r="R14" s="217" t="s">
        <v>554</v>
      </c>
      <c r="S14" s="218">
        <v>0.39999975257300874</v>
      </c>
      <c r="T14" t="s">
        <v>550</v>
      </c>
      <c r="U14" t="s">
        <v>51</v>
      </c>
      <c r="V14" s="219" t="s">
        <v>5853</v>
      </c>
      <c r="W14" s="219" t="s">
        <v>67</v>
      </c>
      <c r="AE14" t="s">
        <v>199</v>
      </c>
      <c r="AF14" t="s">
        <v>200</v>
      </c>
      <c r="AG14" t="s">
        <v>201</v>
      </c>
      <c r="AH14" t="s">
        <v>202</v>
      </c>
      <c r="AI14" s="210">
        <v>304015</v>
      </c>
      <c r="AJ14" s="30">
        <v>46148</v>
      </c>
      <c r="AK14" t="s">
        <v>68</v>
      </c>
      <c r="AL14" t="s">
        <v>162</v>
      </c>
      <c r="AM14" t="s">
        <v>23</v>
      </c>
      <c r="AN14" t="s">
        <v>51</v>
      </c>
      <c r="AQ14" s="223" t="s">
        <v>203</v>
      </c>
      <c r="AR14" s="224" t="s">
        <v>22</v>
      </c>
      <c r="AS14" s="225" t="s">
        <v>7</v>
      </c>
      <c r="AT14" s="225" t="s">
        <v>142</v>
      </c>
    </row>
    <row r="15" spans="1:46" ht="15" customHeight="1" x14ac:dyDescent="0.25">
      <c r="A15" t="s">
        <v>578</v>
      </c>
      <c r="B15" t="s">
        <v>575</v>
      </c>
      <c r="C15">
        <v>100000</v>
      </c>
      <c r="D15" t="s">
        <v>579</v>
      </c>
      <c r="E15" t="s">
        <v>553</v>
      </c>
      <c r="F15" t="s">
        <v>580</v>
      </c>
      <c r="G15" s="30">
        <v>46149</v>
      </c>
      <c r="H15" t="s">
        <v>581</v>
      </c>
      <c r="I15">
        <v>1667638</v>
      </c>
      <c r="J15" s="123">
        <v>46149</v>
      </c>
      <c r="K15" s="123">
        <v>0</v>
      </c>
      <c r="L15" s="123">
        <v>46149</v>
      </c>
      <c r="M15">
        <v>0</v>
      </c>
      <c r="N15">
        <v>0</v>
      </c>
      <c r="O15" t="s">
        <v>556</v>
      </c>
      <c r="P15" s="216">
        <v>100000</v>
      </c>
      <c r="Q15" s="217" t="s">
        <v>22</v>
      </c>
      <c r="R15" s="217" t="s">
        <v>582</v>
      </c>
      <c r="S15" s="218">
        <v>0.3</v>
      </c>
      <c r="T15" t="s">
        <v>550</v>
      </c>
      <c r="U15" t="s">
        <v>51</v>
      </c>
      <c r="V15" s="219">
        <v>0</v>
      </c>
      <c r="W15" s="219">
        <v>0</v>
      </c>
      <c r="AE15" t="s">
        <v>204</v>
      </c>
      <c r="AF15" t="s">
        <v>205</v>
      </c>
      <c r="AG15" t="s">
        <v>206</v>
      </c>
      <c r="AH15" t="s">
        <v>207</v>
      </c>
      <c r="AI15" s="210">
        <v>151911</v>
      </c>
      <c r="AJ15" s="30">
        <v>46148</v>
      </c>
      <c r="AK15" t="s">
        <v>68</v>
      </c>
      <c r="AL15" t="s">
        <v>162</v>
      </c>
      <c r="AM15" t="s">
        <v>23</v>
      </c>
      <c r="AN15" t="s">
        <v>51</v>
      </c>
      <c r="AQ15" s="223" t="s">
        <v>208</v>
      </c>
      <c r="AR15" s="224" t="s">
        <v>23</v>
      </c>
      <c r="AS15" s="225" t="s">
        <v>7</v>
      </c>
      <c r="AT15" s="225" t="s">
        <v>142</v>
      </c>
    </row>
    <row r="16" spans="1:46" ht="15" customHeight="1" x14ac:dyDescent="0.25">
      <c r="A16" t="s">
        <v>583</v>
      </c>
      <c r="B16" t="s">
        <v>575</v>
      </c>
      <c r="C16">
        <v>172969</v>
      </c>
      <c r="D16" t="s">
        <v>584</v>
      </c>
      <c r="E16" t="s">
        <v>203</v>
      </c>
      <c r="F16" t="s">
        <v>585</v>
      </c>
      <c r="G16" s="30">
        <v>46146</v>
      </c>
      <c r="H16" t="s">
        <v>586</v>
      </c>
      <c r="I16">
        <v>1729688.75</v>
      </c>
      <c r="J16" s="123">
        <v>0</v>
      </c>
      <c r="K16" s="123">
        <v>0</v>
      </c>
      <c r="L16" s="123">
        <v>46136</v>
      </c>
      <c r="M16">
        <v>0</v>
      </c>
      <c r="N16">
        <v>0</v>
      </c>
      <c r="O16">
        <v>0</v>
      </c>
      <c r="P16" s="216">
        <v>172969</v>
      </c>
      <c r="Q16" s="217" t="s">
        <v>22</v>
      </c>
      <c r="R16" s="217" t="s">
        <v>61</v>
      </c>
      <c r="S16" s="218">
        <v>0.4000001734416091</v>
      </c>
      <c r="T16" t="s">
        <v>550</v>
      </c>
      <c r="U16" t="s">
        <v>51</v>
      </c>
      <c r="V16" s="219">
        <v>0</v>
      </c>
      <c r="W16" s="219">
        <v>0</v>
      </c>
      <c r="AE16" t="s">
        <v>209</v>
      </c>
      <c r="AF16" t="s">
        <v>210</v>
      </c>
      <c r="AG16" t="s">
        <v>211</v>
      </c>
      <c r="AH16" t="s">
        <v>212</v>
      </c>
      <c r="AI16" s="210">
        <v>299906</v>
      </c>
      <c r="AJ16" s="30">
        <v>46148</v>
      </c>
      <c r="AK16" t="s">
        <v>68</v>
      </c>
      <c r="AL16" t="s">
        <v>162</v>
      </c>
      <c r="AM16" t="s">
        <v>23</v>
      </c>
      <c r="AN16" t="s">
        <v>51</v>
      </c>
      <c r="AQ16" s="223" t="s">
        <v>213</v>
      </c>
      <c r="AR16" s="224" t="s">
        <v>18</v>
      </c>
      <c r="AS16" s="225" t="s">
        <v>7</v>
      </c>
      <c r="AT16" s="225" t="s">
        <v>142</v>
      </c>
    </row>
    <row r="17" spans="1:46" ht="15" customHeight="1" x14ac:dyDescent="0.25">
      <c r="A17" t="s">
        <v>587</v>
      </c>
      <c r="B17" t="s">
        <v>575</v>
      </c>
      <c r="C17">
        <v>174062.07</v>
      </c>
      <c r="D17" t="s">
        <v>588</v>
      </c>
      <c r="E17" t="s">
        <v>553</v>
      </c>
      <c r="F17" t="s">
        <v>554</v>
      </c>
      <c r="G17" s="30">
        <v>46143</v>
      </c>
      <c r="H17" t="s">
        <v>589</v>
      </c>
      <c r="I17">
        <v>1740613.1</v>
      </c>
      <c r="J17" s="123">
        <v>46143</v>
      </c>
      <c r="K17" s="123">
        <v>0</v>
      </c>
      <c r="L17" s="123">
        <v>46143</v>
      </c>
      <c r="M17">
        <v>0</v>
      </c>
      <c r="N17">
        <v>0</v>
      </c>
      <c r="O17" t="s">
        <v>556</v>
      </c>
      <c r="P17" s="216">
        <v>174062.07</v>
      </c>
      <c r="Q17" s="217" t="s">
        <v>22</v>
      </c>
      <c r="R17" s="217" t="s">
        <v>554</v>
      </c>
      <c r="S17" s="218">
        <v>0.40000043662776064</v>
      </c>
      <c r="T17" t="s">
        <v>550</v>
      </c>
      <c r="U17" t="s">
        <v>51</v>
      </c>
      <c r="V17" s="219" t="s">
        <v>5854</v>
      </c>
      <c r="W17" s="219" t="s">
        <v>67</v>
      </c>
      <c r="AE17" t="s">
        <v>214</v>
      </c>
      <c r="AF17" t="s">
        <v>215</v>
      </c>
      <c r="AG17" t="s">
        <v>216</v>
      </c>
      <c r="AH17" t="s">
        <v>217</v>
      </c>
      <c r="AI17" s="210">
        <v>202906</v>
      </c>
      <c r="AJ17" s="30">
        <v>46148</v>
      </c>
      <c r="AK17" t="s">
        <v>68</v>
      </c>
      <c r="AL17" t="s">
        <v>162</v>
      </c>
      <c r="AM17" t="s">
        <v>23</v>
      </c>
      <c r="AN17" t="s">
        <v>51</v>
      </c>
      <c r="AQ17" s="223" t="s">
        <v>218</v>
      </c>
      <c r="AR17" s="224" t="s">
        <v>13</v>
      </c>
      <c r="AS17" s="225" t="s">
        <v>7</v>
      </c>
      <c r="AT17" s="225" t="s">
        <v>142</v>
      </c>
    </row>
    <row r="18" spans="1:46" ht="15" customHeight="1" x14ac:dyDescent="0.25">
      <c r="A18" t="s">
        <v>590</v>
      </c>
      <c r="B18" t="s">
        <v>575</v>
      </c>
      <c r="C18">
        <v>175702</v>
      </c>
      <c r="D18" t="s">
        <v>591</v>
      </c>
      <c r="E18" t="s">
        <v>553</v>
      </c>
      <c r="F18" t="s">
        <v>585</v>
      </c>
      <c r="G18" s="30">
        <v>46144</v>
      </c>
      <c r="H18" t="s">
        <v>592</v>
      </c>
      <c r="I18">
        <v>1757016</v>
      </c>
      <c r="J18" s="123">
        <v>46144</v>
      </c>
      <c r="K18" s="123">
        <v>0</v>
      </c>
      <c r="L18" s="123">
        <v>46144</v>
      </c>
      <c r="M18">
        <v>0</v>
      </c>
      <c r="N18">
        <v>0</v>
      </c>
      <c r="O18" t="s">
        <v>556</v>
      </c>
      <c r="P18" s="216">
        <v>175702</v>
      </c>
      <c r="Q18" s="217" t="s">
        <v>22</v>
      </c>
      <c r="R18" s="217" t="s">
        <v>61</v>
      </c>
      <c r="S18" s="218">
        <v>0.4000003414880684</v>
      </c>
      <c r="T18" t="s">
        <v>550</v>
      </c>
      <c r="U18" t="s">
        <v>51</v>
      </c>
      <c r="V18" s="219">
        <v>0</v>
      </c>
      <c r="W18" s="219">
        <v>0</v>
      </c>
      <c r="AE18" t="s">
        <v>219</v>
      </c>
      <c r="AF18" t="s">
        <v>220</v>
      </c>
      <c r="AG18" t="s">
        <v>221</v>
      </c>
      <c r="AH18" t="s">
        <v>222</v>
      </c>
      <c r="AI18" s="210">
        <v>231565</v>
      </c>
      <c r="AJ18" s="30">
        <v>46148</v>
      </c>
      <c r="AK18" t="s">
        <v>68</v>
      </c>
      <c r="AL18" t="s">
        <v>162</v>
      </c>
      <c r="AM18" t="s">
        <v>23</v>
      </c>
      <c r="AN18" t="s">
        <v>51</v>
      </c>
      <c r="AQ18" s="223" t="s">
        <v>223</v>
      </c>
      <c r="AR18" s="224" t="s">
        <v>31</v>
      </c>
      <c r="AS18" s="225" t="s">
        <v>7</v>
      </c>
      <c r="AT18" s="225" t="s">
        <v>142</v>
      </c>
    </row>
    <row r="19" spans="1:46" ht="15" customHeight="1" x14ac:dyDescent="0.25">
      <c r="A19" t="s">
        <v>593</v>
      </c>
      <c r="B19" t="s">
        <v>575</v>
      </c>
      <c r="C19">
        <v>175702</v>
      </c>
      <c r="D19" t="s">
        <v>591</v>
      </c>
      <c r="E19" t="s">
        <v>203</v>
      </c>
      <c r="F19" t="s">
        <v>585</v>
      </c>
      <c r="G19" s="30">
        <v>46147</v>
      </c>
      <c r="H19" t="s">
        <v>592</v>
      </c>
      <c r="I19">
        <v>1757016</v>
      </c>
      <c r="J19" s="123">
        <v>0</v>
      </c>
      <c r="K19" s="123">
        <v>0</v>
      </c>
      <c r="L19" s="123">
        <v>46144</v>
      </c>
      <c r="M19">
        <v>0</v>
      </c>
      <c r="N19">
        <v>0</v>
      </c>
      <c r="O19">
        <v>0</v>
      </c>
      <c r="P19" s="216">
        <v>175702</v>
      </c>
      <c r="Q19" s="217" t="s">
        <v>22</v>
      </c>
      <c r="R19" s="217" t="s">
        <v>61</v>
      </c>
      <c r="S19" s="218">
        <v>0.4000003414880684</v>
      </c>
      <c r="T19" t="s">
        <v>550</v>
      </c>
      <c r="U19" t="s">
        <v>51</v>
      </c>
      <c r="V19" s="219">
        <v>0</v>
      </c>
      <c r="W19" s="219">
        <v>0</v>
      </c>
      <c r="AE19" t="s">
        <v>224</v>
      </c>
      <c r="AF19" t="s">
        <v>225</v>
      </c>
      <c r="AG19" t="s">
        <v>226</v>
      </c>
      <c r="AH19" t="s">
        <v>227</v>
      </c>
      <c r="AI19" s="210">
        <v>142243</v>
      </c>
      <c r="AJ19" s="30">
        <v>46148</v>
      </c>
      <c r="AK19" t="s">
        <v>68</v>
      </c>
      <c r="AL19" t="s">
        <v>162</v>
      </c>
      <c r="AM19" t="s">
        <v>23</v>
      </c>
      <c r="AN19" t="s">
        <v>51</v>
      </c>
      <c r="AQ19" s="223" t="s">
        <v>228</v>
      </c>
      <c r="AR19" s="224" t="s">
        <v>20</v>
      </c>
      <c r="AS19" s="225" t="s">
        <v>7</v>
      </c>
      <c r="AT19" s="225" t="s">
        <v>142</v>
      </c>
    </row>
    <row r="20" spans="1:46" ht="15" customHeight="1" x14ac:dyDescent="0.25">
      <c r="A20" t="s">
        <v>594</v>
      </c>
      <c r="B20" t="s">
        <v>595</v>
      </c>
      <c r="C20">
        <v>21000</v>
      </c>
      <c r="D20" t="s">
        <v>596</v>
      </c>
      <c r="E20" t="s">
        <v>203</v>
      </c>
      <c r="F20" t="s">
        <v>554</v>
      </c>
      <c r="G20" s="30">
        <v>46147</v>
      </c>
      <c r="H20" t="s">
        <v>597</v>
      </c>
      <c r="I20">
        <v>2678347.2000000002</v>
      </c>
      <c r="J20" s="123">
        <v>0</v>
      </c>
      <c r="K20" s="123">
        <v>0</v>
      </c>
      <c r="L20" s="123">
        <v>46146</v>
      </c>
      <c r="M20">
        <v>0</v>
      </c>
      <c r="N20">
        <v>0</v>
      </c>
      <c r="O20">
        <v>0</v>
      </c>
      <c r="P20" s="216">
        <v>21000</v>
      </c>
      <c r="Q20" s="217" t="s">
        <v>22</v>
      </c>
      <c r="R20" s="217" t="s">
        <v>554</v>
      </c>
      <c r="S20" s="218">
        <v>0.51810030081238156</v>
      </c>
      <c r="T20" t="s">
        <v>550</v>
      </c>
      <c r="U20" t="s">
        <v>51</v>
      </c>
      <c r="V20" s="219" t="s">
        <v>5855</v>
      </c>
      <c r="W20" s="219" t="s">
        <v>67</v>
      </c>
      <c r="AE20" t="s">
        <v>229</v>
      </c>
      <c r="AF20" t="s">
        <v>230</v>
      </c>
      <c r="AG20" t="s">
        <v>231</v>
      </c>
      <c r="AH20" t="s">
        <v>232</v>
      </c>
      <c r="AI20" s="210">
        <v>298069</v>
      </c>
      <c r="AJ20" s="30">
        <v>46148</v>
      </c>
      <c r="AK20" t="s">
        <v>68</v>
      </c>
      <c r="AL20" t="s">
        <v>162</v>
      </c>
      <c r="AM20" t="s">
        <v>23</v>
      </c>
      <c r="AN20" t="s">
        <v>51</v>
      </c>
      <c r="AQ20" s="223" t="s">
        <v>233</v>
      </c>
      <c r="AR20" s="224" t="s">
        <v>24</v>
      </c>
      <c r="AS20" s="225" t="s">
        <v>7</v>
      </c>
      <c r="AT20" s="225" t="s">
        <v>142</v>
      </c>
    </row>
    <row r="21" spans="1:46" ht="15" customHeight="1" x14ac:dyDescent="0.25">
      <c r="A21" t="s">
        <v>598</v>
      </c>
      <c r="B21" t="s">
        <v>595</v>
      </c>
      <c r="C21">
        <v>23000</v>
      </c>
      <c r="D21" t="s">
        <v>596</v>
      </c>
      <c r="E21" t="s">
        <v>203</v>
      </c>
      <c r="F21" t="s">
        <v>554</v>
      </c>
      <c r="G21" s="30">
        <v>46148</v>
      </c>
      <c r="H21" t="s">
        <v>597</v>
      </c>
      <c r="I21">
        <v>2678347.2000000002</v>
      </c>
      <c r="J21" s="123">
        <v>0</v>
      </c>
      <c r="K21" s="123">
        <v>0</v>
      </c>
      <c r="L21" s="123">
        <v>46147</v>
      </c>
      <c r="M21">
        <v>0</v>
      </c>
      <c r="N21">
        <v>0</v>
      </c>
      <c r="O21">
        <v>0</v>
      </c>
      <c r="P21" s="216">
        <v>23000</v>
      </c>
      <c r="Q21" s="217" t="s">
        <v>22</v>
      </c>
      <c r="R21" s="217" t="s">
        <v>554</v>
      </c>
      <c r="S21" s="218">
        <v>0.51810030081238156</v>
      </c>
      <c r="T21" t="s">
        <v>550</v>
      </c>
      <c r="U21" t="s">
        <v>51</v>
      </c>
      <c r="V21" s="219" t="s">
        <v>5856</v>
      </c>
      <c r="W21" s="219" t="s">
        <v>67</v>
      </c>
      <c r="AE21" t="s">
        <v>234</v>
      </c>
      <c r="AF21" t="s">
        <v>235</v>
      </c>
      <c r="AG21" t="s">
        <v>236</v>
      </c>
      <c r="AH21" t="s">
        <v>237</v>
      </c>
      <c r="AI21" s="210">
        <v>299905</v>
      </c>
      <c r="AJ21" s="30">
        <v>46148</v>
      </c>
      <c r="AK21" t="s">
        <v>68</v>
      </c>
      <c r="AL21" t="s">
        <v>162</v>
      </c>
      <c r="AM21" t="s">
        <v>23</v>
      </c>
      <c r="AN21" t="s">
        <v>51</v>
      </c>
      <c r="AQ21" s="223" t="s">
        <v>238</v>
      </c>
      <c r="AR21" s="224" t="s">
        <v>19</v>
      </c>
      <c r="AS21" s="225" t="s">
        <v>7</v>
      </c>
      <c r="AT21" s="225" t="s">
        <v>142</v>
      </c>
    </row>
    <row r="22" spans="1:46" ht="15" customHeight="1" x14ac:dyDescent="0.25">
      <c r="A22" t="s">
        <v>599</v>
      </c>
      <c r="B22" t="s">
        <v>575</v>
      </c>
      <c r="C22">
        <v>100000</v>
      </c>
      <c r="D22" t="s">
        <v>596</v>
      </c>
      <c r="E22" t="s">
        <v>203</v>
      </c>
      <c r="F22" t="s">
        <v>580</v>
      </c>
      <c r="G22" s="30">
        <v>46149</v>
      </c>
      <c r="H22" t="s">
        <v>597</v>
      </c>
      <c r="I22">
        <v>2678347.2000000002</v>
      </c>
      <c r="J22" s="123">
        <v>0</v>
      </c>
      <c r="K22" s="123">
        <v>0</v>
      </c>
      <c r="L22" s="123">
        <v>46146</v>
      </c>
      <c r="M22">
        <v>0</v>
      </c>
      <c r="N22">
        <v>0</v>
      </c>
      <c r="O22">
        <v>0</v>
      </c>
      <c r="P22" s="216">
        <v>100000</v>
      </c>
      <c r="Q22" s="217" t="s">
        <v>22</v>
      </c>
      <c r="R22" s="217" t="s">
        <v>582</v>
      </c>
      <c r="S22" s="218">
        <v>0.51810030081238156</v>
      </c>
      <c r="T22" t="s">
        <v>550</v>
      </c>
      <c r="U22" t="s">
        <v>51</v>
      </c>
      <c r="V22" s="219">
        <v>0</v>
      </c>
      <c r="W22" s="219">
        <v>0</v>
      </c>
      <c r="AE22" t="s">
        <v>239</v>
      </c>
      <c r="AF22" t="s">
        <v>240</v>
      </c>
      <c r="AG22" t="s">
        <v>241</v>
      </c>
      <c r="AH22" t="s">
        <v>242</v>
      </c>
      <c r="AI22" s="210">
        <v>295797.59999999998</v>
      </c>
      <c r="AJ22" s="30">
        <v>46148</v>
      </c>
      <c r="AK22" t="s">
        <v>68</v>
      </c>
      <c r="AL22" t="s">
        <v>162</v>
      </c>
      <c r="AM22" t="s">
        <v>23</v>
      </c>
      <c r="AN22" t="s">
        <v>51</v>
      </c>
      <c r="AQ22" s="223" t="s">
        <v>243</v>
      </c>
      <c r="AR22" s="224" t="s">
        <v>21</v>
      </c>
      <c r="AS22" s="225" t="s">
        <v>7</v>
      </c>
      <c r="AT22" s="225" t="s">
        <v>142</v>
      </c>
    </row>
    <row r="23" spans="1:46" ht="15" customHeight="1" x14ac:dyDescent="0.25">
      <c r="A23" t="s">
        <v>600</v>
      </c>
      <c r="B23" t="s">
        <v>575</v>
      </c>
      <c r="C23">
        <v>100000</v>
      </c>
      <c r="D23" t="s">
        <v>596</v>
      </c>
      <c r="E23" t="s">
        <v>203</v>
      </c>
      <c r="F23" t="s">
        <v>580</v>
      </c>
      <c r="G23" s="30">
        <v>46149</v>
      </c>
      <c r="H23" t="s">
        <v>597</v>
      </c>
      <c r="I23">
        <v>2678347.2000000002</v>
      </c>
      <c r="J23" s="123">
        <v>0</v>
      </c>
      <c r="K23" s="123">
        <v>0</v>
      </c>
      <c r="L23" s="123">
        <v>46146</v>
      </c>
      <c r="M23">
        <v>0</v>
      </c>
      <c r="N23">
        <v>0</v>
      </c>
      <c r="O23">
        <v>0</v>
      </c>
      <c r="P23" s="216">
        <v>100000</v>
      </c>
      <c r="Q23" s="217" t="s">
        <v>22</v>
      </c>
      <c r="R23" s="217" t="s">
        <v>582</v>
      </c>
      <c r="S23" s="218">
        <v>0.51810030081238156</v>
      </c>
      <c r="T23" t="s">
        <v>550</v>
      </c>
      <c r="U23" t="s">
        <v>51</v>
      </c>
      <c r="V23" s="219">
        <v>0</v>
      </c>
      <c r="W23" s="219">
        <v>0</v>
      </c>
      <c r="AE23" t="s">
        <v>244</v>
      </c>
      <c r="AF23" t="s">
        <v>245</v>
      </c>
      <c r="AG23" t="s">
        <v>246</v>
      </c>
      <c r="AH23" t="s">
        <v>247</v>
      </c>
      <c r="AI23" s="210">
        <v>223287</v>
      </c>
      <c r="AJ23" s="30">
        <v>46148</v>
      </c>
      <c r="AK23" t="s">
        <v>68</v>
      </c>
      <c r="AL23" t="s">
        <v>162</v>
      </c>
      <c r="AM23" t="s">
        <v>23</v>
      </c>
      <c r="AN23" t="s">
        <v>51</v>
      </c>
      <c r="AQ23" s="223" t="s">
        <v>248</v>
      </c>
      <c r="AR23" s="224" t="s">
        <v>30</v>
      </c>
      <c r="AS23" s="225" t="s">
        <v>7</v>
      </c>
      <c r="AT23" s="225" t="s">
        <v>142</v>
      </c>
    </row>
    <row r="24" spans="1:46" ht="15" customHeight="1" x14ac:dyDescent="0.25">
      <c r="A24" t="s">
        <v>601</v>
      </c>
      <c r="B24" t="s">
        <v>575</v>
      </c>
      <c r="C24">
        <v>15000</v>
      </c>
      <c r="D24" t="s">
        <v>596</v>
      </c>
      <c r="E24" t="s">
        <v>203</v>
      </c>
      <c r="F24" t="s">
        <v>580</v>
      </c>
      <c r="G24" s="30">
        <v>46149</v>
      </c>
      <c r="H24" t="s">
        <v>597</v>
      </c>
      <c r="I24">
        <v>2678347.2000000002</v>
      </c>
      <c r="J24" s="123">
        <v>0</v>
      </c>
      <c r="K24" s="123">
        <v>0</v>
      </c>
      <c r="L24" s="123">
        <v>46147</v>
      </c>
      <c r="M24">
        <v>0</v>
      </c>
      <c r="N24">
        <v>0</v>
      </c>
      <c r="O24">
        <v>0</v>
      </c>
      <c r="P24" s="216">
        <v>15000</v>
      </c>
      <c r="Q24" s="217" t="s">
        <v>22</v>
      </c>
      <c r="R24" s="217" t="s">
        <v>582</v>
      </c>
      <c r="S24" s="218">
        <v>0.51810030081238156</v>
      </c>
      <c r="T24" t="s">
        <v>550</v>
      </c>
      <c r="U24" t="s">
        <v>51</v>
      </c>
      <c r="V24" s="219">
        <v>0</v>
      </c>
      <c r="W24" s="219">
        <v>0</v>
      </c>
      <c r="AE24" t="s">
        <v>249</v>
      </c>
      <c r="AF24" t="s">
        <v>250</v>
      </c>
      <c r="AG24" t="s">
        <v>251</v>
      </c>
      <c r="AH24" t="s">
        <v>252</v>
      </c>
      <c r="AI24" s="210">
        <v>299906</v>
      </c>
      <c r="AJ24" s="30">
        <v>46148</v>
      </c>
      <c r="AK24" t="s">
        <v>68</v>
      </c>
      <c r="AL24" t="s">
        <v>162</v>
      </c>
      <c r="AM24" t="s">
        <v>23</v>
      </c>
      <c r="AN24" t="s">
        <v>51</v>
      </c>
      <c r="AQ24" s="226" t="s">
        <v>253</v>
      </c>
      <c r="AR24" s="227" t="s">
        <v>11</v>
      </c>
      <c r="AS24" s="225" t="s">
        <v>7</v>
      </c>
      <c r="AT24" s="225" t="s">
        <v>142</v>
      </c>
    </row>
    <row r="25" spans="1:46" ht="15" customHeight="1" x14ac:dyDescent="0.25">
      <c r="A25" t="s">
        <v>602</v>
      </c>
      <c r="B25" t="s">
        <v>603</v>
      </c>
      <c r="C25">
        <v>784857</v>
      </c>
      <c r="D25" t="s">
        <v>604</v>
      </c>
      <c r="E25" t="s">
        <v>605</v>
      </c>
      <c r="F25" t="s">
        <v>554</v>
      </c>
      <c r="G25" s="30">
        <v>46146</v>
      </c>
      <c r="H25" t="s">
        <v>606</v>
      </c>
      <c r="I25">
        <v>2049978</v>
      </c>
      <c r="J25" s="123">
        <v>46146</v>
      </c>
      <c r="K25" s="123">
        <v>0</v>
      </c>
      <c r="L25" s="123">
        <v>0</v>
      </c>
      <c r="M25">
        <v>0</v>
      </c>
      <c r="N25">
        <v>0</v>
      </c>
      <c r="O25">
        <v>0</v>
      </c>
      <c r="P25" s="216">
        <v>784857</v>
      </c>
      <c r="Q25" s="217" t="s">
        <v>39</v>
      </c>
      <c r="R25" s="217" t="s">
        <v>554</v>
      </c>
      <c r="S25" s="218">
        <v>0.9828612209496882</v>
      </c>
      <c r="T25" t="s">
        <v>550</v>
      </c>
      <c r="U25" t="s">
        <v>51</v>
      </c>
      <c r="V25" s="219" t="s">
        <v>5857</v>
      </c>
      <c r="W25" s="219" t="s">
        <v>67</v>
      </c>
      <c r="AE25" t="s">
        <v>254</v>
      </c>
      <c r="AF25" t="s">
        <v>255</v>
      </c>
      <c r="AG25" t="s">
        <v>256</v>
      </c>
      <c r="AH25" t="s">
        <v>257</v>
      </c>
      <c r="AI25" s="210">
        <v>202905</v>
      </c>
      <c r="AJ25" s="30">
        <v>46148</v>
      </c>
      <c r="AK25" t="s">
        <v>68</v>
      </c>
      <c r="AL25" t="s">
        <v>162</v>
      </c>
      <c r="AM25" t="s">
        <v>23</v>
      </c>
      <c r="AN25" t="s">
        <v>51</v>
      </c>
      <c r="AQ25" s="226" t="s">
        <v>258</v>
      </c>
      <c r="AR25" s="227" t="s">
        <v>9</v>
      </c>
      <c r="AS25" s="225" t="s">
        <v>7</v>
      </c>
      <c r="AT25" s="225" t="s">
        <v>142</v>
      </c>
    </row>
    <row r="26" spans="1:46" ht="15" customHeight="1" x14ac:dyDescent="0.25">
      <c r="A26" t="s">
        <v>607</v>
      </c>
      <c r="B26" t="s">
        <v>575</v>
      </c>
      <c r="C26">
        <v>226130</v>
      </c>
      <c r="D26" t="s">
        <v>608</v>
      </c>
      <c r="E26" t="s">
        <v>238</v>
      </c>
      <c r="F26" t="s">
        <v>585</v>
      </c>
      <c r="G26" s="30">
        <v>46147</v>
      </c>
      <c r="H26" t="s">
        <v>609</v>
      </c>
      <c r="I26">
        <v>2639721</v>
      </c>
      <c r="J26" s="123">
        <v>0</v>
      </c>
      <c r="K26" s="123">
        <v>0</v>
      </c>
      <c r="L26" s="123">
        <v>46125</v>
      </c>
      <c r="M26">
        <v>0</v>
      </c>
      <c r="N26">
        <v>0</v>
      </c>
      <c r="O26">
        <v>0</v>
      </c>
      <c r="P26" s="216">
        <v>226130</v>
      </c>
      <c r="Q26" s="217" t="s">
        <v>19</v>
      </c>
      <c r="R26" s="217" t="s">
        <v>61</v>
      </c>
      <c r="S26" s="218">
        <v>0.37345831245044459</v>
      </c>
      <c r="T26" t="s">
        <v>550</v>
      </c>
      <c r="U26" t="s">
        <v>51</v>
      </c>
      <c r="V26" s="219">
        <v>0</v>
      </c>
      <c r="W26" s="219">
        <v>0</v>
      </c>
      <c r="AE26" t="s">
        <v>259</v>
      </c>
      <c r="AF26" t="s">
        <v>260</v>
      </c>
      <c r="AG26" t="s">
        <v>261</v>
      </c>
      <c r="AH26" t="s">
        <v>262</v>
      </c>
      <c r="AI26" s="210">
        <v>140293.81</v>
      </c>
      <c r="AJ26" s="30">
        <v>46148</v>
      </c>
      <c r="AK26" t="s">
        <v>68</v>
      </c>
      <c r="AL26" t="s">
        <v>162</v>
      </c>
      <c r="AM26" t="s">
        <v>23</v>
      </c>
      <c r="AN26" t="s">
        <v>51</v>
      </c>
      <c r="AQ26" s="226" t="s">
        <v>263</v>
      </c>
      <c r="AR26" s="227" t="s">
        <v>8</v>
      </c>
      <c r="AS26" s="225" t="s">
        <v>7</v>
      </c>
      <c r="AT26" s="225" t="s">
        <v>142</v>
      </c>
    </row>
    <row r="27" spans="1:46" ht="15" customHeight="1" x14ac:dyDescent="0.25">
      <c r="A27" t="s">
        <v>610</v>
      </c>
      <c r="B27" t="s">
        <v>575</v>
      </c>
      <c r="C27">
        <v>107801</v>
      </c>
      <c r="D27" t="s">
        <v>608</v>
      </c>
      <c r="E27" t="s">
        <v>238</v>
      </c>
      <c r="F27" t="s">
        <v>585</v>
      </c>
      <c r="G27" s="30">
        <v>46147</v>
      </c>
      <c r="H27" t="s">
        <v>609</v>
      </c>
      <c r="I27">
        <v>2639721</v>
      </c>
      <c r="J27" s="123">
        <v>0</v>
      </c>
      <c r="K27" s="123">
        <v>0</v>
      </c>
      <c r="L27" s="123">
        <v>46119</v>
      </c>
      <c r="M27">
        <v>0</v>
      </c>
      <c r="N27">
        <v>0</v>
      </c>
      <c r="O27">
        <v>0</v>
      </c>
      <c r="P27" s="216">
        <v>107801</v>
      </c>
      <c r="Q27" s="217" t="s">
        <v>19</v>
      </c>
      <c r="R27" s="217" t="s">
        <v>61</v>
      </c>
      <c r="S27" s="218">
        <v>0.37345831245044459</v>
      </c>
      <c r="T27" t="s">
        <v>550</v>
      </c>
      <c r="U27" t="s">
        <v>51</v>
      </c>
      <c r="V27" s="219">
        <v>0</v>
      </c>
      <c r="W27" s="219">
        <v>0</v>
      </c>
      <c r="AE27" t="s">
        <v>264</v>
      </c>
      <c r="AF27" t="s">
        <v>265</v>
      </c>
      <c r="AG27" t="s">
        <v>266</v>
      </c>
      <c r="AH27" t="s">
        <v>267</v>
      </c>
      <c r="AI27" s="210">
        <v>137583</v>
      </c>
      <c r="AJ27" s="30">
        <v>46148</v>
      </c>
      <c r="AK27" t="s">
        <v>68</v>
      </c>
      <c r="AL27" t="s">
        <v>162</v>
      </c>
      <c r="AM27" t="s">
        <v>23</v>
      </c>
      <c r="AN27" t="s">
        <v>51</v>
      </c>
      <c r="AQ27" s="226" t="s">
        <v>268</v>
      </c>
      <c r="AR27" s="227" t="s">
        <v>10</v>
      </c>
      <c r="AS27" s="225" t="s">
        <v>7</v>
      </c>
      <c r="AT27" s="225" t="s">
        <v>142</v>
      </c>
    </row>
    <row r="28" spans="1:46" ht="15" customHeight="1" x14ac:dyDescent="0.25">
      <c r="A28" t="s">
        <v>611</v>
      </c>
      <c r="B28" t="s">
        <v>575</v>
      </c>
      <c r="C28">
        <v>100000</v>
      </c>
      <c r="D28" t="s">
        <v>612</v>
      </c>
      <c r="E28" t="s">
        <v>613</v>
      </c>
      <c r="F28" t="s">
        <v>554</v>
      </c>
      <c r="G28" s="30">
        <v>46148</v>
      </c>
      <c r="H28" t="s">
        <v>614</v>
      </c>
      <c r="I28">
        <v>2156713.35</v>
      </c>
      <c r="J28" s="123">
        <v>0</v>
      </c>
      <c r="K28" s="123">
        <v>0</v>
      </c>
      <c r="L28" s="123">
        <v>46148</v>
      </c>
      <c r="M28">
        <v>0</v>
      </c>
      <c r="N28">
        <v>0</v>
      </c>
      <c r="O28">
        <v>0</v>
      </c>
      <c r="P28" s="216">
        <v>100000</v>
      </c>
      <c r="Q28" s="217" t="s">
        <v>28</v>
      </c>
      <c r="R28" s="217" t="s">
        <v>554</v>
      </c>
      <c r="S28" s="218">
        <v>0.64636715398455702</v>
      </c>
      <c r="T28" t="s">
        <v>550</v>
      </c>
      <c r="U28" t="s">
        <v>51</v>
      </c>
      <c r="V28" s="219" t="s">
        <v>5858</v>
      </c>
      <c r="W28" s="219" t="s">
        <v>67</v>
      </c>
      <c r="AE28" t="s">
        <v>269</v>
      </c>
      <c r="AF28" t="s">
        <v>270</v>
      </c>
      <c r="AG28" t="s">
        <v>271</v>
      </c>
      <c r="AH28" t="s">
        <v>272</v>
      </c>
      <c r="AI28" s="210">
        <v>220270</v>
      </c>
      <c r="AJ28" s="30">
        <v>46148</v>
      </c>
      <c r="AK28" t="s">
        <v>68</v>
      </c>
      <c r="AL28" t="s">
        <v>162</v>
      </c>
      <c r="AM28" t="s">
        <v>23</v>
      </c>
      <c r="AN28" t="s">
        <v>51</v>
      </c>
      <c r="AQ28" s="228" t="s">
        <v>273</v>
      </c>
      <c r="AR28" s="229" t="s">
        <v>38</v>
      </c>
      <c r="AS28" s="225" t="s">
        <v>83</v>
      </c>
      <c r="AT28" s="225" t="s">
        <v>142</v>
      </c>
    </row>
    <row r="29" spans="1:46" ht="15" customHeight="1" x14ac:dyDescent="0.25">
      <c r="A29" t="s">
        <v>615</v>
      </c>
      <c r="B29" t="s">
        <v>575</v>
      </c>
      <c r="C29">
        <v>115671</v>
      </c>
      <c r="D29" t="s">
        <v>612</v>
      </c>
      <c r="E29" t="s">
        <v>613</v>
      </c>
      <c r="F29" t="s">
        <v>580</v>
      </c>
      <c r="G29" s="30">
        <v>46148</v>
      </c>
      <c r="H29" t="s">
        <v>614</v>
      </c>
      <c r="I29">
        <v>2156713.35</v>
      </c>
      <c r="J29" s="123">
        <v>0</v>
      </c>
      <c r="K29" s="123">
        <v>0</v>
      </c>
      <c r="L29" s="123">
        <v>46148</v>
      </c>
      <c r="M29">
        <v>0</v>
      </c>
      <c r="N29">
        <v>0</v>
      </c>
      <c r="O29">
        <v>0</v>
      </c>
      <c r="P29" s="216">
        <v>115671</v>
      </c>
      <c r="Q29" s="217" t="s">
        <v>28</v>
      </c>
      <c r="R29" s="217" t="s">
        <v>582</v>
      </c>
      <c r="S29" s="218">
        <v>0.64636715398455702</v>
      </c>
      <c r="T29" t="s">
        <v>550</v>
      </c>
      <c r="U29" t="s">
        <v>51</v>
      </c>
      <c r="V29" s="219">
        <v>0</v>
      </c>
      <c r="W29" s="219">
        <v>0</v>
      </c>
      <c r="AE29" t="s">
        <v>274</v>
      </c>
      <c r="AF29" t="s">
        <v>275</v>
      </c>
      <c r="AG29" t="s">
        <v>276</v>
      </c>
      <c r="AH29" t="s">
        <v>277</v>
      </c>
      <c r="AI29" s="210">
        <v>151911</v>
      </c>
      <c r="AJ29" s="30">
        <v>46148</v>
      </c>
      <c r="AK29" t="s">
        <v>68</v>
      </c>
      <c r="AL29" t="s">
        <v>162</v>
      </c>
      <c r="AM29" t="s">
        <v>23</v>
      </c>
      <c r="AN29" t="s">
        <v>51</v>
      </c>
      <c r="AQ29" s="228" t="s">
        <v>278</v>
      </c>
      <c r="AR29" s="229" t="s">
        <v>39</v>
      </c>
      <c r="AS29" s="225" t="s">
        <v>83</v>
      </c>
      <c r="AT29" s="225" t="s">
        <v>142</v>
      </c>
    </row>
    <row r="30" spans="1:46" ht="15" customHeight="1" x14ac:dyDescent="0.25">
      <c r="A30" t="s">
        <v>616</v>
      </c>
      <c r="B30" t="s">
        <v>603</v>
      </c>
      <c r="C30">
        <v>220000</v>
      </c>
      <c r="D30" t="s">
        <v>617</v>
      </c>
      <c r="E30" t="s">
        <v>605</v>
      </c>
      <c r="F30" t="s">
        <v>554</v>
      </c>
      <c r="G30" s="30">
        <v>46147</v>
      </c>
      <c r="H30" t="s">
        <v>618</v>
      </c>
      <c r="I30">
        <v>2119684.9</v>
      </c>
      <c r="J30" s="123">
        <v>46147</v>
      </c>
      <c r="K30" s="123">
        <v>0</v>
      </c>
      <c r="L30" s="123">
        <v>0</v>
      </c>
      <c r="M30">
        <v>0</v>
      </c>
      <c r="N30">
        <v>0</v>
      </c>
      <c r="O30">
        <v>0</v>
      </c>
      <c r="P30" s="216">
        <v>220000</v>
      </c>
      <c r="Q30" s="217" t="s">
        <v>28</v>
      </c>
      <c r="R30" s="217" t="s">
        <v>554</v>
      </c>
      <c r="S30" s="218">
        <v>0.7067698599919261</v>
      </c>
      <c r="T30" t="s">
        <v>550</v>
      </c>
      <c r="U30" t="s">
        <v>51</v>
      </c>
      <c r="V30" s="219" t="s">
        <v>5859</v>
      </c>
      <c r="W30" s="219" t="s">
        <v>67</v>
      </c>
      <c r="AE30" t="s">
        <v>279</v>
      </c>
      <c r="AF30" t="s">
        <v>280</v>
      </c>
      <c r="AG30" t="s">
        <v>281</v>
      </c>
      <c r="AH30" t="s">
        <v>282</v>
      </c>
      <c r="AI30" s="210">
        <v>144191</v>
      </c>
      <c r="AJ30" s="30">
        <v>46148</v>
      </c>
      <c r="AK30" t="s">
        <v>68</v>
      </c>
      <c r="AL30" t="s">
        <v>162</v>
      </c>
      <c r="AM30" t="s">
        <v>23</v>
      </c>
      <c r="AN30" t="s">
        <v>51</v>
      </c>
      <c r="AQ30" s="228" t="s">
        <v>283</v>
      </c>
      <c r="AR30" s="229" t="s">
        <v>40</v>
      </c>
      <c r="AS30" s="225" t="s">
        <v>83</v>
      </c>
      <c r="AT30" s="225" t="s">
        <v>142</v>
      </c>
    </row>
    <row r="31" spans="1:46" ht="15" customHeight="1" x14ac:dyDescent="0.25">
      <c r="A31" t="s">
        <v>619</v>
      </c>
      <c r="B31" t="s">
        <v>546</v>
      </c>
      <c r="C31">
        <v>200</v>
      </c>
      <c r="D31" t="s">
        <v>617</v>
      </c>
      <c r="E31" t="s">
        <v>553</v>
      </c>
      <c r="F31" t="s">
        <v>548</v>
      </c>
      <c r="G31" s="30">
        <v>46148</v>
      </c>
      <c r="H31" t="s">
        <v>618</v>
      </c>
      <c r="I31">
        <v>2119684.9</v>
      </c>
      <c r="J31" s="123">
        <v>46148</v>
      </c>
      <c r="K31" s="123">
        <v>0</v>
      </c>
      <c r="L31" s="123">
        <v>46148</v>
      </c>
      <c r="M31">
        <v>0</v>
      </c>
      <c r="N31">
        <v>0</v>
      </c>
      <c r="O31" t="s">
        <v>556</v>
      </c>
      <c r="P31" s="216">
        <v>200</v>
      </c>
      <c r="Q31" s="217" t="s">
        <v>28</v>
      </c>
      <c r="R31" s="217" t="s">
        <v>62</v>
      </c>
      <c r="S31" s="218">
        <v>0.7067698599919261</v>
      </c>
      <c r="T31" t="s">
        <v>550</v>
      </c>
      <c r="U31" t="s">
        <v>51</v>
      </c>
      <c r="V31" s="219">
        <v>0</v>
      </c>
      <c r="W31" s="219">
        <v>0</v>
      </c>
      <c r="AE31" t="s">
        <v>284</v>
      </c>
      <c r="AF31" t="s">
        <v>285</v>
      </c>
      <c r="AG31" t="s">
        <v>286</v>
      </c>
      <c r="AH31" t="s">
        <v>287</v>
      </c>
      <c r="AI31" s="210">
        <v>304014</v>
      </c>
      <c r="AJ31" s="30">
        <v>46148</v>
      </c>
      <c r="AK31" t="s">
        <v>68</v>
      </c>
      <c r="AL31" t="s">
        <v>162</v>
      </c>
      <c r="AM31" t="s">
        <v>23</v>
      </c>
      <c r="AN31" t="s">
        <v>51</v>
      </c>
      <c r="AQ31" s="228" t="s">
        <v>288</v>
      </c>
      <c r="AR31" s="229" t="s">
        <v>48</v>
      </c>
      <c r="AS31" s="225" t="s">
        <v>83</v>
      </c>
      <c r="AT31" s="225" t="s">
        <v>142</v>
      </c>
    </row>
    <row r="32" spans="1:46" ht="15" customHeight="1" x14ac:dyDescent="0.25">
      <c r="A32" t="s">
        <v>620</v>
      </c>
      <c r="B32" t="s">
        <v>546</v>
      </c>
      <c r="C32">
        <v>200</v>
      </c>
      <c r="D32" t="s">
        <v>617</v>
      </c>
      <c r="E32" t="s">
        <v>553</v>
      </c>
      <c r="F32" t="s">
        <v>548</v>
      </c>
      <c r="G32" s="30">
        <v>46148</v>
      </c>
      <c r="H32" t="s">
        <v>618</v>
      </c>
      <c r="I32">
        <v>2119684.9</v>
      </c>
      <c r="J32" s="123">
        <v>46148</v>
      </c>
      <c r="K32" s="123">
        <v>0</v>
      </c>
      <c r="L32" s="123">
        <v>46148</v>
      </c>
      <c r="M32">
        <v>0</v>
      </c>
      <c r="N32">
        <v>0</v>
      </c>
      <c r="O32" t="s">
        <v>556</v>
      </c>
      <c r="P32" s="216">
        <v>200</v>
      </c>
      <c r="Q32" s="217" t="s">
        <v>28</v>
      </c>
      <c r="R32" s="217" t="s">
        <v>62</v>
      </c>
      <c r="S32" s="218">
        <v>0.7067698599919261</v>
      </c>
      <c r="T32" t="s">
        <v>550</v>
      </c>
      <c r="U32" t="s">
        <v>51</v>
      </c>
      <c r="V32" s="219">
        <v>0</v>
      </c>
      <c r="W32" s="219">
        <v>0</v>
      </c>
      <c r="AE32" t="s">
        <v>289</v>
      </c>
      <c r="AF32" t="s">
        <v>290</v>
      </c>
      <c r="AG32" t="s">
        <v>291</v>
      </c>
      <c r="AH32" t="s">
        <v>292</v>
      </c>
      <c r="AI32" s="210">
        <v>206557</v>
      </c>
      <c r="AJ32" s="30">
        <v>46148</v>
      </c>
      <c r="AK32" t="s">
        <v>68</v>
      </c>
      <c r="AL32" t="s">
        <v>162</v>
      </c>
      <c r="AM32" t="s">
        <v>23</v>
      </c>
      <c r="AN32" t="s">
        <v>51</v>
      </c>
      <c r="AQ32" s="228" t="s">
        <v>293</v>
      </c>
      <c r="AR32" s="229" t="s">
        <v>47</v>
      </c>
      <c r="AS32" s="225" t="s">
        <v>83</v>
      </c>
      <c r="AT32" s="225" t="s">
        <v>142</v>
      </c>
    </row>
    <row r="33" spans="1:46" ht="15" customHeight="1" x14ac:dyDescent="0.25">
      <c r="A33" t="s">
        <v>621</v>
      </c>
      <c r="B33" t="s">
        <v>595</v>
      </c>
      <c r="C33">
        <v>10000</v>
      </c>
      <c r="D33" t="s">
        <v>622</v>
      </c>
      <c r="E33" t="s">
        <v>278</v>
      </c>
      <c r="F33" t="s">
        <v>580</v>
      </c>
      <c r="G33" s="30">
        <v>46149</v>
      </c>
      <c r="H33" t="s">
        <v>623</v>
      </c>
      <c r="I33">
        <v>2084802.75</v>
      </c>
      <c r="J33" s="123">
        <v>0</v>
      </c>
      <c r="K33" s="123">
        <v>0</v>
      </c>
      <c r="L33" s="123">
        <v>46148</v>
      </c>
      <c r="M33">
        <v>0</v>
      </c>
      <c r="N33">
        <v>0</v>
      </c>
      <c r="O33">
        <v>0</v>
      </c>
      <c r="P33" s="216">
        <v>10000</v>
      </c>
      <c r="Q33" s="217" t="s">
        <v>39</v>
      </c>
      <c r="R33" s="217" t="s">
        <v>582</v>
      </c>
      <c r="S33" s="218">
        <v>0.76543556458758499</v>
      </c>
      <c r="T33" t="s">
        <v>550</v>
      </c>
      <c r="U33" t="s">
        <v>51</v>
      </c>
      <c r="V33" s="219">
        <v>0</v>
      </c>
      <c r="W33" s="219">
        <v>0</v>
      </c>
      <c r="AE33" t="s">
        <v>294</v>
      </c>
      <c r="AF33" t="s">
        <v>295</v>
      </c>
      <c r="AG33" t="s">
        <v>296</v>
      </c>
      <c r="AH33" t="s">
        <v>297</v>
      </c>
      <c r="AI33" s="210">
        <v>142242</v>
      </c>
      <c r="AJ33" s="30">
        <v>46148</v>
      </c>
      <c r="AK33" t="s">
        <v>68</v>
      </c>
      <c r="AL33" t="s">
        <v>162</v>
      </c>
      <c r="AM33" t="s">
        <v>23</v>
      </c>
      <c r="AN33" t="s">
        <v>51</v>
      </c>
      <c r="AQ33" s="228" t="s">
        <v>298</v>
      </c>
      <c r="AR33" s="229" t="s">
        <v>45</v>
      </c>
      <c r="AS33" s="225" t="s">
        <v>83</v>
      </c>
      <c r="AT33" s="225" t="s">
        <v>142</v>
      </c>
    </row>
    <row r="34" spans="1:46" ht="15" customHeight="1" x14ac:dyDescent="0.25">
      <c r="A34" t="s">
        <v>624</v>
      </c>
      <c r="B34" t="s">
        <v>595</v>
      </c>
      <c r="C34">
        <v>210757</v>
      </c>
      <c r="D34" t="s">
        <v>625</v>
      </c>
      <c r="E34" t="s">
        <v>203</v>
      </c>
      <c r="F34" t="s">
        <v>554</v>
      </c>
      <c r="G34" s="30">
        <v>46147</v>
      </c>
      <c r="H34" t="s">
        <v>626</v>
      </c>
      <c r="I34">
        <v>4215181.3</v>
      </c>
      <c r="J34" s="123">
        <v>0</v>
      </c>
      <c r="K34" s="123">
        <v>0</v>
      </c>
      <c r="L34" s="123">
        <v>46147</v>
      </c>
      <c r="M34">
        <v>0</v>
      </c>
      <c r="N34">
        <v>0</v>
      </c>
      <c r="O34">
        <v>0</v>
      </c>
      <c r="P34" s="216">
        <v>210757</v>
      </c>
      <c r="Q34" s="217" t="s">
        <v>22</v>
      </c>
      <c r="R34" s="217" t="s">
        <v>554</v>
      </c>
      <c r="S34" s="218">
        <v>0.39999988849827173</v>
      </c>
      <c r="T34" t="s">
        <v>550</v>
      </c>
      <c r="U34" t="s">
        <v>51</v>
      </c>
      <c r="V34" s="219" t="s">
        <v>5860</v>
      </c>
      <c r="W34" s="219" t="s">
        <v>67</v>
      </c>
      <c r="AE34" t="s">
        <v>299</v>
      </c>
      <c r="AF34" t="s">
        <v>300</v>
      </c>
      <c r="AG34" t="s">
        <v>301</v>
      </c>
      <c r="AH34" t="s">
        <v>302</v>
      </c>
      <c r="AI34" s="210">
        <v>231565</v>
      </c>
      <c r="AJ34" s="30">
        <v>46148</v>
      </c>
      <c r="AK34" t="s">
        <v>68</v>
      </c>
      <c r="AL34" t="s">
        <v>162</v>
      </c>
      <c r="AM34" t="s">
        <v>23</v>
      </c>
      <c r="AN34" t="s">
        <v>51</v>
      </c>
      <c r="AQ34" s="228" t="s">
        <v>41</v>
      </c>
      <c r="AR34" s="229" t="s">
        <v>41</v>
      </c>
      <c r="AS34" s="225" t="s">
        <v>83</v>
      </c>
      <c r="AT34" s="225" t="s">
        <v>142</v>
      </c>
    </row>
    <row r="35" spans="1:46" ht="15" customHeight="1" x14ac:dyDescent="0.25">
      <c r="A35" t="s">
        <v>627</v>
      </c>
      <c r="B35" t="s">
        <v>575</v>
      </c>
      <c r="C35">
        <v>36466</v>
      </c>
      <c r="D35" t="s">
        <v>628</v>
      </c>
      <c r="E35" t="s">
        <v>203</v>
      </c>
      <c r="F35" t="s">
        <v>554</v>
      </c>
      <c r="G35" s="30">
        <v>46148</v>
      </c>
      <c r="H35" t="s">
        <v>629</v>
      </c>
      <c r="I35">
        <v>3364664</v>
      </c>
      <c r="J35" s="123">
        <v>0</v>
      </c>
      <c r="K35" s="123">
        <v>0</v>
      </c>
      <c r="L35" s="123">
        <v>46144</v>
      </c>
      <c r="M35">
        <v>0</v>
      </c>
      <c r="N35">
        <v>0</v>
      </c>
      <c r="O35">
        <v>0</v>
      </c>
      <c r="P35" s="216">
        <v>36466</v>
      </c>
      <c r="Q35" s="217" t="s">
        <v>22</v>
      </c>
      <c r="R35" s="217" t="s">
        <v>554</v>
      </c>
      <c r="S35" s="218">
        <v>0.39999982167610199</v>
      </c>
      <c r="T35" t="s">
        <v>550</v>
      </c>
      <c r="U35" t="s">
        <v>51</v>
      </c>
      <c r="V35" s="219" t="s">
        <v>5861</v>
      </c>
      <c r="W35" s="219" t="s">
        <v>67</v>
      </c>
      <c r="AE35" t="s">
        <v>303</v>
      </c>
      <c r="AF35" t="s">
        <v>304</v>
      </c>
      <c r="AG35" t="s">
        <v>305</v>
      </c>
      <c r="AH35" t="s">
        <v>306</v>
      </c>
      <c r="AI35" s="210">
        <v>150062</v>
      </c>
      <c r="AJ35" s="30">
        <v>46148</v>
      </c>
      <c r="AK35" t="s">
        <v>68</v>
      </c>
      <c r="AL35" t="s">
        <v>162</v>
      </c>
      <c r="AM35" t="s">
        <v>23</v>
      </c>
      <c r="AN35" t="s">
        <v>51</v>
      </c>
      <c r="AQ35" s="228" t="s">
        <v>307</v>
      </c>
      <c r="AR35" s="229" t="s">
        <v>49</v>
      </c>
      <c r="AS35" s="225" t="s">
        <v>83</v>
      </c>
      <c r="AT35" s="225" t="s">
        <v>142</v>
      </c>
    </row>
    <row r="36" spans="1:46" ht="15" customHeight="1" x14ac:dyDescent="0.25">
      <c r="A36" t="s">
        <v>630</v>
      </c>
      <c r="B36" t="s">
        <v>595</v>
      </c>
      <c r="C36">
        <v>450000</v>
      </c>
      <c r="D36" t="s">
        <v>631</v>
      </c>
      <c r="E36" t="s">
        <v>278</v>
      </c>
      <c r="F36" t="s">
        <v>554</v>
      </c>
      <c r="G36" s="30">
        <v>46146</v>
      </c>
      <c r="H36" t="s">
        <v>632</v>
      </c>
      <c r="I36">
        <v>1830528</v>
      </c>
      <c r="J36" s="123">
        <v>0</v>
      </c>
      <c r="K36" s="123">
        <v>0</v>
      </c>
      <c r="L36" s="123">
        <v>46145</v>
      </c>
      <c r="M36">
        <v>0</v>
      </c>
      <c r="N36">
        <v>0</v>
      </c>
      <c r="O36">
        <v>0</v>
      </c>
      <c r="P36" s="216">
        <v>450000</v>
      </c>
      <c r="Q36" s="217" t="s">
        <v>39</v>
      </c>
      <c r="R36" s="217" t="s">
        <v>554</v>
      </c>
      <c r="S36" s="218">
        <v>0.9368641178938536</v>
      </c>
      <c r="T36" t="s">
        <v>550</v>
      </c>
      <c r="U36" t="s">
        <v>51</v>
      </c>
      <c r="V36" s="219" t="s">
        <v>5862</v>
      </c>
      <c r="W36" s="219" t="s">
        <v>67</v>
      </c>
      <c r="AE36" t="s">
        <v>308</v>
      </c>
      <c r="AF36" t="s">
        <v>309</v>
      </c>
      <c r="AG36" t="s">
        <v>310</v>
      </c>
      <c r="AH36" t="s">
        <v>306</v>
      </c>
      <c r="AI36" s="210">
        <v>142242</v>
      </c>
      <c r="AJ36" s="30">
        <v>46148</v>
      </c>
      <c r="AK36" t="s">
        <v>68</v>
      </c>
      <c r="AL36" t="s">
        <v>162</v>
      </c>
      <c r="AM36" t="s">
        <v>23</v>
      </c>
      <c r="AN36" t="s">
        <v>51</v>
      </c>
      <c r="AQ36" s="228" t="s">
        <v>311</v>
      </c>
      <c r="AR36" s="229" t="s">
        <v>42</v>
      </c>
      <c r="AS36" s="225" t="s">
        <v>83</v>
      </c>
      <c r="AT36" s="225" t="s">
        <v>142</v>
      </c>
    </row>
    <row r="37" spans="1:46" ht="15" customHeight="1" x14ac:dyDescent="0.25">
      <c r="A37" t="s">
        <v>633</v>
      </c>
      <c r="B37" t="s">
        <v>595</v>
      </c>
      <c r="C37">
        <v>450000</v>
      </c>
      <c r="D37" t="s">
        <v>631</v>
      </c>
      <c r="E37" t="s">
        <v>278</v>
      </c>
      <c r="F37" t="s">
        <v>554</v>
      </c>
      <c r="G37" s="30">
        <v>46146</v>
      </c>
      <c r="H37" t="s">
        <v>632</v>
      </c>
      <c r="I37">
        <v>1830528</v>
      </c>
      <c r="J37" s="123">
        <v>0</v>
      </c>
      <c r="K37" s="123">
        <v>0</v>
      </c>
      <c r="L37" s="123">
        <v>46146</v>
      </c>
      <c r="M37">
        <v>0</v>
      </c>
      <c r="N37">
        <v>0</v>
      </c>
      <c r="O37">
        <v>0</v>
      </c>
      <c r="P37" s="216">
        <v>450000</v>
      </c>
      <c r="Q37" s="217" t="s">
        <v>39</v>
      </c>
      <c r="R37" s="217" t="s">
        <v>554</v>
      </c>
      <c r="S37" s="218">
        <v>0.9368641178938536</v>
      </c>
      <c r="T37" t="s">
        <v>550</v>
      </c>
      <c r="U37" t="s">
        <v>51</v>
      </c>
      <c r="V37" s="219" t="s">
        <v>5863</v>
      </c>
      <c r="W37" s="219" t="s">
        <v>67</v>
      </c>
      <c r="AE37" t="s">
        <v>312</v>
      </c>
      <c r="AF37" t="s">
        <v>313</v>
      </c>
      <c r="AG37" t="s">
        <v>314</v>
      </c>
      <c r="AH37" t="s">
        <v>315</v>
      </c>
      <c r="AI37" s="210">
        <v>148006.79999999999</v>
      </c>
      <c r="AJ37" s="30">
        <v>46148</v>
      </c>
      <c r="AK37" t="s">
        <v>68</v>
      </c>
      <c r="AL37" t="s">
        <v>162</v>
      </c>
      <c r="AM37" t="s">
        <v>23</v>
      </c>
      <c r="AN37" t="s">
        <v>51</v>
      </c>
      <c r="AQ37" s="228" t="s">
        <v>316</v>
      </c>
      <c r="AR37" s="229" t="s">
        <v>46</v>
      </c>
      <c r="AS37" s="225" t="s">
        <v>83</v>
      </c>
      <c r="AT37" s="225" t="s">
        <v>142</v>
      </c>
    </row>
    <row r="38" spans="1:46" ht="15" customHeight="1" x14ac:dyDescent="0.25">
      <c r="A38" t="s">
        <v>634</v>
      </c>
      <c r="B38" t="s">
        <v>595</v>
      </c>
      <c r="C38">
        <v>450000</v>
      </c>
      <c r="D38" t="s">
        <v>631</v>
      </c>
      <c r="E38" t="s">
        <v>278</v>
      </c>
      <c r="F38" t="s">
        <v>554</v>
      </c>
      <c r="G38" s="30">
        <v>46147</v>
      </c>
      <c r="H38" t="s">
        <v>632</v>
      </c>
      <c r="I38">
        <v>1830528</v>
      </c>
      <c r="J38" s="123">
        <v>0</v>
      </c>
      <c r="K38" s="123">
        <v>0</v>
      </c>
      <c r="L38" s="123">
        <v>46147</v>
      </c>
      <c r="M38">
        <v>0</v>
      </c>
      <c r="N38">
        <v>0</v>
      </c>
      <c r="O38">
        <v>0</v>
      </c>
      <c r="P38" s="216">
        <v>450000</v>
      </c>
      <c r="Q38" s="217" t="s">
        <v>39</v>
      </c>
      <c r="R38" s="217" t="s">
        <v>554</v>
      </c>
      <c r="S38" s="218">
        <v>0.9368641178938536</v>
      </c>
      <c r="T38" t="s">
        <v>550</v>
      </c>
      <c r="U38" t="s">
        <v>51</v>
      </c>
      <c r="V38" s="219" t="s">
        <v>5864</v>
      </c>
      <c r="W38" s="219" t="s">
        <v>67</v>
      </c>
      <c r="AE38" t="s">
        <v>317</v>
      </c>
      <c r="AF38" t="s">
        <v>318</v>
      </c>
      <c r="AG38" t="s">
        <v>319</v>
      </c>
      <c r="AH38" t="s">
        <v>320</v>
      </c>
      <c r="AI38" s="210">
        <v>144191</v>
      </c>
      <c r="AJ38" s="30">
        <v>46148</v>
      </c>
      <c r="AK38" t="s">
        <v>68</v>
      </c>
      <c r="AL38" t="s">
        <v>162</v>
      </c>
      <c r="AM38" t="s">
        <v>23</v>
      </c>
      <c r="AN38" t="s">
        <v>51</v>
      </c>
      <c r="AQ38" s="228" t="s">
        <v>321</v>
      </c>
      <c r="AR38" s="229" t="s">
        <v>43</v>
      </c>
      <c r="AS38" s="225" t="s">
        <v>83</v>
      </c>
      <c r="AT38" s="225" t="s">
        <v>142</v>
      </c>
    </row>
    <row r="39" spans="1:46" ht="15" customHeight="1" x14ac:dyDescent="0.25">
      <c r="A39" t="s">
        <v>635</v>
      </c>
      <c r="B39" t="s">
        <v>595</v>
      </c>
      <c r="C39">
        <v>77622</v>
      </c>
      <c r="D39" t="s">
        <v>631</v>
      </c>
      <c r="E39" t="s">
        <v>278</v>
      </c>
      <c r="F39" t="s">
        <v>580</v>
      </c>
      <c r="G39" s="30">
        <v>46149</v>
      </c>
      <c r="H39" t="s">
        <v>632</v>
      </c>
      <c r="I39">
        <v>1830528</v>
      </c>
      <c r="J39" s="123">
        <v>0</v>
      </c>
      <c r="K39" s="123">
        <v>0</v>
      </c>
      <c r="L39" s="123">
        <v>46149</v>
      </c>
      <c r="M39">
        <v>0</v>
      </c>
      <c r="N39">
        <v>0</v>
      </c>
      <c r="O39">
        <v>0</v>
      </c>
      <c r="P39" s="216">
        <v>77622</v>
      </c>
      <c r="Q39" s="217" t="s">
        <v>39</v>
      </c>
      <c r="R39" s="217" t="s">
        <v>582</v>
      </c>
      <c r="S39" s="218">
        <v>0.9368641178938536</v>
      </c>
      <c r="T39" t="s">
        <v>550</v>
      </c>
      <c r="U39" t="s">
        <v>51</v>
      </c>
      <c r="V39" s="219">
        <v>0</v>
      </c>
      <c r="W39" s="219">
        <v>0</v>
      </c>
      <c r="AE39" t="s">
        <v>322</v>
      </c>
      <c r="AF39" t="s">
        <v>323</v>
      </c>
      <c r="AG39" t="s">
        <v>324</v>
      </c>
      <c r="AH39" t="s">
        <v>325</v>
      </c>
      <c r="AI39" s="210">
        <v>144191</v>
      </c>
      <c r="AJ39" s="30">
        <v>46148</v>
      </c>
      <c r="AK39" t="s">
        <v>68</v>
      </c>
      <c r="AL39" t="s">
        <v>162</v>
      </c>
      <c r="AM39" t="s">
        <v>23</v>
      </c>
      <c r="AN39" t="s">
        <v>51</v>
      </c>
      <c r="AQ39" s="228" t="s">
        <v>326</v>
      </c>
      <c r="AR39" s="229" t="s">
        <v>44</v>
      </c>
      <c r="AS39" s="225" t="s">
        <v>83</v>
      </c>
      <c r="AT39" s="225" t="s">
        <v>142</v>
      </c>
    </row>
    <row r="40" spans="1:46" ht="15" customHeight="1" x14ac:dyDescent="0.25">
      <c r="A40" t="s">
        <v>636</v>
      </c>
      <c r="B40" t="s">
        <v>575</v>
      </c>
      <c r="C40">
        <v>210020</v>
      </c>
      <c r="D40" t="s">
        <v>637</v>
      </c>
      <c r="E40" t="s">
        <v>278</v>
      </c>
      <c r="F40" t="s">
        <v>554</v>
      </c>
      <c r="G40" s="30">
        <v>46147</v>
      </c>
      <c r="H40" t="s">
        <v>638</v>
      </c>
      <c r="I40">
        <v>2208232</v>
      </c>
      <c r="J40" s="123">
        <v>0</v>
      </c>
      <c r="K40" s="123">
        <v>0</v>
      </c>
      <c r="L40" s="123">
        <v>46147</v>
      </c>
      <c r="M40">
        <v>0</v>
      </c>
      <c r="N40">
        <v>0</v>
      </c>
      <c r="O40">
        <v>0</v>
      </c>
      <c r="P40" s="216">
        <v>210020</v>
      </c>
      <c r="Q40" s="217" t="s">
        <v>39</v>
      </c>
      <c r="R40" s="217" t="s">
        <v>554</v>
      </c>
      <c r="S40" s="218">
        <v>0.59927398932720832</v>
      </c>
      <c r="T40" t="s">
        <v>550</v>
      </c>
      <c r="U40" t="s">
        <v>51</v>
      </c>
      <c r="V40" s="219" t="s">
        <v>5865</v>
      </c>
      <c r="W40" s="219" t="s">
        <v>67</v>
      </c>
      <c r="AE40" t="s">
        <v>327</v>
      </c>
      <c r="AF40" t="s">
        <v>328</v>
      </c>
      <c r="AG40" t="s">
        <v>329</v>
      </c>
      <c r="AH40" t="s">
        <v>330</v>
      </c>
      <c r="AI40" s="210">
        <v>228393</v>
      </c>
      <c r="AJ40" s="30">
        <v>46148</v>
      </c>
      <c r="AK40" t="s">
        <v>68</v>
      </c>
      <c r="AL40" t="s">
        <v>162</v>
      </c>
      <c r="AM40" t="s">
        <v>23</v>
      </c>
      <c r="AN40" t="s">
        <v>51</v>
      </c>
      <c r="AQ40" s="230" t="s">
        <v>331</v>
      </c>
      <c r="AR40" s="231" t="s">
        <v>332</v>
      </c>
      <c r="AS40" s="225" t="s">
        <v>7</v>
      </c>
      <c r="AT40" s="225" t="s">
        <v>333</v>
      </c>
    </row>
    <row r="41" spans="1:46" ht="15" customHeight="1" x14ac:dyDescent="0.25">
      <c r="A41" t="s">
        <v>639</v>
      </c>
      <c r="B41" t="s">
        <v>575</v>
      </c>
      <c r="C41">
        <v>300000</v>
      </c>
      <c r="D41" t="s">
        <v>640</v>
      </c>
      <c r="E41" t="s">
        <v>273</v>
      </c>
      <c r="F41" t="s">
        <v>554</v>
      </c>
      <c r="G41" s="30">
        <v>46148</v>
      </c>
      <c r="H41" t="s">
        <v>641</v>
      </c>
      <c r="I41">
        <v>3045952</v>
      </c>
      <c r="J41" s="123">
        <v>0</v>
      </c>
      <c r="K41" s="123">
        <v>0</v>
      </c>
      <c r="L41" s="123">
        <v>46148</v>
      </c>
      <c r="M41">
        <v>0</v>
      </c>
      <c r="N41">
        <v>0</v>
      </c>
      <c r="O41">
        <v>0</v>
      </c>
      <c r="P41" s="216">
        <v>300000</v>
      </c>
      <c r="Q41" s="217" t="s">
        <v>38</v>
      </c>
      <c r="R41" s="217" t="s">
        <v>554</v>
      </c>
      <c r="S41" s="218">
        <v>0.90164593204357779</v>
      </c>
      <c r="T41" t="s">
        <v>550</v>
      </c>
      <c r="U41" t="s">
        <v>51</v>
      </c>
      <c r="V41" s="219" t="s">
        <v>5866</v>
      </c>
      <c r="W41" s="219" t="s">
        <v>67</v>
      </c>
      <c r="AE41" t="s">
        <v>334</v>
      </c>
      <c r="AF41" t="s">
        <v>335</v>
      </c>
      <c r="AG41" t="s">
        <v>336</v>
      </c>
      <c r="AH41" t="s">
        <v>337</v>
      </c>
      <c r="AI41" s="210">
        <v>220270</v>
      </c>
      <c r="AJ41" s="30">
        <v>46148</v>
      </c>
      <c r="AK41" t="s">
        <v>68</v>
      </c>
      <c r="AL41" t="s">
        <v>162</v>
      </c>
      <c r="AM41" t="s">
        <v>23</v>
      </c>
      <c r="AN41" t="s">
        <v>51</v>
      </c>
      <c r="AQ41" s="232" t="s">
        <v>338</v>
      </c>
      <c r="AR41" s="233" t="s">
        <v>338</v>
      </c>
      <c r="AS41" s="225" t="s">
        <v>7</v>
      </c>
      <c r="AT41" s="225" t="s">
        <v>333</v>
      </c>
    </row>
    <row r="42" spans="1:46" ht="15" customHeight="1" x14ac:dyDescent="0.25">
      <c r="A42" t="s">
        <v>642</v>
      </c>
      <c r="B42" t="s">
        <v>575</v>
      </c>
      <c r="C42">
        <v>300000</v>
      </c>
      <c r="D42" t="s">
        <v>640</v>
      </c>
      <c r="E42" t="s">
        <v>273</v>
      </c>
      <c r="F42" t="s">
        <v>554</v>
      </c>
      <c r="G42" s="30">
        <v>46148</v>
      </c>
      <c r="H42" t="s">
        <v>641</v>
      </c>
      <c r="I42">
        <v>3045952</v>
      </c>
      <c r="J42" s="123">
        <v>0</v>
      </c>
      <c r="K42" s="123">
        <v>0</v>
      </c>
      <c r="L42" s="123">
        <v>46146</v>
      </c>
      <c r="M42">
        <v>0</v>
      </c>
      <c r="N42">
        <v>0</v>
      </c>
      <c r="O42">
        <v>0</v>
      </c>
      <c r="P42" s="216">
        <v>300000</v>
      </c>
      <c r="Q42" s="217" t="s">
        <v>38</v>
      </c>
      <c r="R42" s="217" t="s">
        <v>554</v>
      </c>
      <c r="S42" s="218">
        <v>0.90164593204357779</v>
      </c>
      <c r="T42" t="s">
        <v>550</v>
      </c>
      <c r="U42" t="s">
        <v>51</v>
      </c>
      <c r="V42" s="219" t="s">
        <v>5867</v>
      </c>
      <c r="W42" s="219" t="s">
        <v>67</v>
      </c>
      <c r="AE42" t="s">
        <v>339</v>
      </c>
      <c r="AF42" t="s">
        <v>340</v>
      </c>
      <c r="AG42" t="s">
        <v>341</v>
      </c>
      <c r="AH42" t="s">
        <v>342</v>
      </c>
      <c r="AI42" s="210">
        <v>140294</v>
      </c>
      <c r="AJ42" s="30">
        <v>46148</v>
      </c>
      <c r="AK42" t="s">
        <v>68</v>
      </c>
      <c r="AL42" t="s">
        <v>162</v>
      </c>
      <c r="AM42" t="s">
        <v>23</v>
      </c>
      <c r="AN42" t="s">
        <v>51</v>
      </c>
      <c r="AQ42" s="232" t="s">
        <v>343</v>
      </c>
      <c r="AR42" s="233" t="s">
        <v>344</v>
      </c>
      <c r="AS42" s="225" t="s">
        <v>83</v>
      </c>
      <c r="AT42" s="225" t="s">
        <v>333</v>
      </c>
    </row>
    <row r="43" spans="1:46" ht="15" customHeight="1" x14ac:dyDescent="0.25">
      <c r="A43" t="s">
        <v>643</v>
      </c>
      <c r="B43" t="s">
        <v>575</v>
      </c>
      <c r="C43">
        <v>300000</v>
      </c>
      <c r="D43" t="s">
        <v>640</v>
      </c>
      <c r="E43" t="s">
        <v>273</v>
      </c>
      <c r="F43" t="s">
        <v>554</v>
      </c>
      <c r="G43" s="30">
        <v>46148</v>
      </c>
      <c r="H43" t="s">
        <v>641</v>
      </c>
      <c r="I43">
        <v>3045952</v>
      </c>
      <c r="J43" s="123">
        <v>0</v>
      </c>
      <c r="K43" s="123">
        <v>0</v>
      </c>
      <c r="L43" s="123">
        <v>46147</v>
      </c>
      <c r="M43">
        <v>0</v>
      </c>
      <c r="N43">
        <v>0</v>
      </c>
      <c r="O43">
        <v>0</v>
      </c>
      <c r="P43" s="216">
        <v>300000</v>
      </c>
      <c r="Q43" s="217" t="s">
        <v>38</v>
      </c>
      <c r="R43" s="217" t="s">
        <v>554</v>
      </c>
      <c r="S43" s="218">
        <v>0.90164593204357779</v>
      </c>
      <c r="T43" t="s">
        <v>550</v>
      </c>
      <c r="U43" t="s">
        <v>51</v>
      </c>
      <c r="V43" s="219" t="s">
        <v>5868</v>
      </c>
      <c r="W43" s="219" t="s">
        <v>67</v>
      </c>
      <c r="AE43" t="s">
        <v>345</v>
      </c>
      <c r="AF43" t="s">
        <v>346</v>
      </c>
      <c r="AG43" t="s">
        <v>347</v>
      </c>
      <c r="AH43" t="s">
        <v>348</v>
      </c>
      <c r="AI43" s="210">
        <v>160522</v>
      </c>
      <c r="AJ43" s="30">
        <v>46148</v>
      </c>
      <c r="AK43" t="s">
        <v>68</v>
      </c>
      <c r="AL43" t="s">
        <v>162</v>
      </c>
      <c r="AM43" t="s">
        <v>23</v>
      </c>
      <c r="AN43" t="s">
        <v>51</v>
      </c>
    </row>
    <row r="44" spans="1:46" ht="15" customHeight="1" x14ac:dyDescent="0.25">
      <c r="A44" t="s">
        <v>644</v>
      </c>
      <c r="B44" t="s">
        <v>575</v>
      </c>
      <c r="C44">
        <v>150000</v>
      </c>
      <c r="D44" t="s">
        <v>645</v>
      </c>
      <c r="E44" t="s">
        <v>141</v>
      </c>
      <c r="F44" t="s">
        <v>554</v>
      </c>
      <c r="G44" s="30">
        <v>46147</v>
      </c>
      <c r="H44" t="s">
        <v>646</v>
      </c>
      <c r="I44">
        <v>2589724.7999999998</v>
      </c>
      <c r="J44" s="123">
        <v>0</v>
      </c>
      <c r="K44" s="123">
        <v>0</v>
      </c>
      <c r="L44" s="123">
        <v>46147</v>
      </c>
      <c r="M44">
        <v>0</v>
      </c>
      <c r="N44">
        <v>0</v>
      </c>
      <c r="O44">
        <v>0</v>
      </c>
      <c r="P44" s="216">
        <v>150000</v>
      </c>
      <c r="Q44" s="217" t="s">
        <v>34</v>
      </c>
      <c r="R44" s="217" t="s">
        <v>554</v>
      </c>
      <c r="S44" s="218">
        <v>0.5000206971798703</v>
      </c>
      <c r="T44" t="s">
        <v>550</v>
      </c>
      <c r="U44" t="s">
        <v>51</v>
      </c>
      <c r="V44" s="219" t="s">
        <v>5869</v>
      </c>
      <c r="W44" s="219" t="s">
        <v>67</v>
      </c>
      <c r="AE44" t="s">
        <v>349</v>
      </c>
      <c r="AF44" t="s">
        <v>350</v>
      </c>
      <c r="AG44" t="s">
        <v>351</v>
      </c>
      <c r="AH44" t="s">
        <v>352</v>
      </c>
      <c r="AI44" s="210">
        <v>144191</v>
      </c>
      <c r="AJ44" s="30">
        <v>46148</v>
      </c>
      <c r="AK44" t="s">
        <v>68</v>
      </c>
      <c r="AL44" t="s">
        <v>162</v>
      </c>
      <c r="AM44" t="s">
        <v>23</v>
      </c>
      <c r="AN44" t="s">
        <v>51</v>
      </c>
    </row>
    <row r="45" spans="1:46" ht="15" customHeight="1" x14ac:dyDescent="0.25">
      <c r="A45" t="s">
        <v>647</v>
      </c>
      <c r="B45" t="s">
        <v>575</v>
      </c>
      <c r="C45">
        <v>109000</v>
      </c>
      <c r="D45" t="s">
        <v>645</v>
      </c>
      <c r="E45" t="s">
        <v>141</v>
      </c>
      <c r="F45" t="s">
        <v>554</v>
      </c>
      <c r="G45" s="30">
        <v>46148</v>
      </c>
      <c r="H45" t="s">
        <v>646</v>
      </c>
      <c r="I45">
        <v>2589724.7999999998</v>
      </c>
      <c r="J45" s="123">
        <v>0</v>
      </c>
      <c r="K45" s="123">
        <v>0</v>
      </c>
      <c r="L45" s="123">
        <v>46148</v>
      </c>
      <c r="M45">
        <v>0</v>
      </c>
      <c r="N45">
        <v>0</v>
      </c>
      <c r="O45">
        <v>0</v>
      </c>
      <c r="P45" s="216">
        <v>109000</v>
      </c>
      <c r="Q45" s="217" t="s">
        <v>34</v>
      </c>
      <c r="R45" s="217" t="s">
        <v>554</v>
      </c>
      <c r="S45" s="218">
        <v>0.5000206971798703</v>
      </c>
      <c r="T45" t="s">
        <v>550</v>
      </c>
      <c r="U45" t="s">
        <v>51</v>
      </c>
      <c r="V45" s="219" t="s">
        <v>5870</v>
      </c>
      <c r="W45" s="219" t="s">
        <v>67</v>
      </c>
      <c r="AE45" t="s">
        <v>353</v>
      </c>
      <c r="AF45" t="s">
        <v>354</v>
      </c>
      <c r="AG45" t="s">
        <v>355</v>
      </c>
      <c r="AH45" t="s">
        <v>356</v>
      </c>
      <c r="AI45" s="210">
        <v>224847</v>
      </c>
      <c r="AJ45" s="30">
        <v>46148</v>
      </c>
      <c r="AK45" t="s">
        <v>68</v>
      </c>
      <c r="AL45" t="s">
        <v>162</v>
      </c>
      <c r="AM45" t="s">
        <v>23</v>
      </c>
      <c r="AN45" t="s">
        <v>51</v>
      </c>
    </row>
    <row r="46" spans="1:46" ht="15" customHeight="1" x14ac:dyDescent="0.25">
      <c r="A46" t="s">
        <v>648</v>
      </c>
      <c r="B46" t="s">
        <v>575</v>
      </c>
      <c r="C46">
        <v>109000</v>
      </c>
      <c r="D46" t="s">
        <v>645</v>
      </c>
      <c r="E46" t="s">
        <v>141</v>
      </c>
      <c r="F46" t="s">
        <v>580</v>
      </c>
      <c r="G46" s="30">
        <v>46149</v>
      </c>
      <c r="H46" t="s">
        <v>646</v>
      </c>
      <c r="I46">
        <v>2589724.7999999998</v>
      </c>
      <c r="J46" s="123">
        <v>0</v>
      </c>
      <c r="K46" s="123">
        <v>0</v>
      </c>
      <c r="L46" s="123">
        <v>46148</v>
      </c>
      <c r="M46">
        <v>0</v>
      </c>
      <c r="N46">
        <v>0</v>
      </c>
      <c r="O46">
        <v>0</v>
      </c>
      <c r="P46" s="216">
        <v>109000</v>
      </c>
      <c r="Q46" s="217" t="s">
        <v>34</v>
      </c>
      <c r="R46" s="217" t="s">
        <v>582</v>
      </c>
      <c r="S46" s="218">
        <v>0.5000206971798703</v>
      </c>
      <c r="T46" t="s">
        <v>550</v>
      </c>
      <c r="U46" t="s">
        <v>51</v>
      </c>
      <c r="V46" s="219">
        <v>0</v>
      </c>
      <c r="W46" s="219">
        <v>0</v>
      </c>
      <c r="AE46" t="s">
        <v>357</v>
      </c>
      <c r="AF46" t="s">
        <v>358</v>
      </c>
      <c r="AG46" t="s">
        <v>359</v>
      </c>
      <c r="AH46" t="s">
        <v>360</v>
      </c>
      <c r="AI46" s="210">
        <v>132882</v>
      </c>
      <c r="AJ46" s="30">
        <v>46148</v>
      </c>
      <c r="AK46" t="s">
        <v>68</v>
      </c>
      <c r="AL46" t="s">
        <v>162</v>
      </c>
      <c r="AM46" t="s">
        <v>23</v>
      </c>
      <c r="AN46" t="s">
        <v>51</v>
      </c>
    </row>
    <row r="47" spans="1:46" ht="15" customHeight="1" x14ac:dyDescent="0.25">
      <c r="A47" t="s">
        <v>649</v>
      </c>
      <c r="B47" t="s">
        <v>650</v>
      </c>
      <c r="C47">
        <v>40871</v>
      </c>
      <c r="D47" t="s">
        <v>651</v>
      </c>
      <c r="E47" t="s">
        <v>178</v>
      </c>
      <c r="F47" t="s">
        <v>585</v>
      </c>
      <c r="G47" s="30">
        <v>46147</v>
      </c>
      <c r="H47" t="s">
        <v>652</v>
      </c>
      <c r="I47">
        <v>2608861.6</v>
      </c>
      <c r="J47" s="123">
        <v>0</v>
      </c>
      <c r="K47" s="123">
        <v>0</v>
      </c>
      <c r="L47" s="123">
        <v>0</v>
      </c>
      <c r="M47">
        <v>0</v>
      </c>
      <c r="N47">
        <v>0</v>
      </c>
      <c r="O47">
        <v>0</v>
      </c>
      <c r="P47" s="216">
        <v>40871</v>
      </c>
      <c r="Q47" s="217" t="s">
        <v>32</v>
      </c>
      <c r="R47" s="217" t="s">
        <v>61</v>
      </c>
      <c r="S47" s="218">
        <v>0.40000588762546851</v>
      </c>
      <c r="T47" t="s">
        <v>550</v>
      </c>
      <c r="U47" t="s">
        <v>51</v>
      </c>
      <c r="V47" s="219">
        <v>0</v>
      </c>
      <c r="W47" s="219">
        <v>0</v>
      </c>
      <c r="AE47" t="s">
        <v>361</v>
      </c>
      <c r="AF47" t="s">
        <v>362</v>
      </c>
      <c r="AG47" t="s">
        <v>363</v>
      </c>
      <c r="AH47" t="s">
        <v>364</v>
      </c>
      <c r="AI47" s="210">
        <v>231093</v>
      </c>
      <c r="AJ47" s="30">
        <v>46148</v>
      </c>
      <c r="AK47" t="s">
        <v>68</v>
      </c>
      <c r="AL47" t="s">
        <v>162</v>
      </c>
      <c r="AM47" t="s">
        <v>23</v>
      </c>
      <c r="AN47" t="s">
        <v>51</v>
      </c>
    </row>
    <row r="48" spans="1:46" ht="15" customHeight="1" x14ac:dyDescent="0.25">
      <c r="A48" t="s">
        <v>653</v>
      </c>
      <c r="B48" t="s">
        <v>650</v>
      </c>
      <c r="C48">
        <v>80000</v>
      </c>
      <c r="D48" t="s">
        <v>651</v>
      </c>
      <c r="E48" t="s">
        <v>178</v>
      </c>
      <c r="F48" t="s">
        <v>585</v>
      </c>
      <c r="G48" s="30">
        <v>46147</v>
      </c>
      <c r="H48" t="s">
        <v>652</v>
      </c>
      <c r="I48">
        <v>2608861.6</v>
      </c>
      <c r="J48" s="123">
        <v>0</v>
      </c>
      <c r="K48" s="123">
        <v>0</v>
      </c>
      <c r="L48" s="123">
        <v>0</v>
      </c>
      <c r="M48">
        <v>0</v>
      </c>
      <c r="N48">
        <v>0</v>
      </c>
      <c r="O48">
        <v>0</v>
      </c>
      <c r="P48" s="216">
        <v>80000</v>
      </c>
      <c r="Q48" s="217" t="s">
        <v>32</v>
      </c>
      <c r="R48" s="217" t="s">
        <v>61</v>
      </c>
      <c r="S48" s="218">
        <v>0.40000588762546851</v>
      </c>
      <c r="T48" t="s">
        <v>550</v>
      </c>
      <c r="U48" t="s">
        <v>51</v>
      </c>
      <c r="V48" s="219">
        <v>0</v>
      </c>
      <c r="W48" s="219">
        <v>0</v>
      </c>
      <c r="AE48" t="s">
        <v>365</v>
      </c>
      <c r="AF48" t="s">
        <v>366</v>
      </c>
      <c r="AG48" t="s">
        <v>367</v>
      </c>
      <c r="AH48" t="s">
        <v>368</v>
      </c>
      <c r="AI48" s="210">
        <v>140294</v>
      </c>
      <c r="AJ48" s="30">
        <v>46148</v>
      </c>
      <c r="AK48" t="s">
        <v>68</v>
      </c>
      <c r="AL48" t="s">
        <v>162</v>
      </c>
      <c r="AM48" t="s">
        <v>23</v>
      </c>
      <c r="AN48" t="s">
        <v>51</v>
      </c>
    </row>
    <row r="49" spans="1:40" ht="15" customHeight="1" x14ac:dyDescent="0.25">
      <c r="A49" t="s">
        <v>654</v>
      </c>
      <c r="B49" t="s">
        <v>650</v>
      </c>
      <c r="C49">
        <v>140000</v>
      </c>
      <c r="D49" t="s">
        <v>651</v>
      </c>
      <c r="E49" t="s">
        <v>178</v>
      </c>
      <c r="F49" t="s">
        <v>585</v>
      </c>
      <c r="G49" s="30">
        <v>46147</v>
      </c>
      <c r="H49" t="s">
        <v>652</v>
      </c>
      <c r="I49">
        <v>2608861.6</v>
      </c>
      <c r="J49" s="123">
        <v>0</v>
      </c>
      <c r="K49" s="123">
        <v>0</v>
      </c>
      <c r="L49" s="123">
        <v>0</v>
      </c>
      <c r="M49">
        <v>0</v>
      </c>
      <c r="N49">
        <v>0</v>
      </c>
      <c r="O49">
        <v>0</v>
      </c>
      <c r="P49" s="216">
        <v>140000</v>
      </c>
      <c r="Q49" s="217" t="s">
        <v>32</v>
      </c>
      <c r="R49" s="217" t="s">
        <v>61</v>
      </c>
      <c r="S49" s="218">
        <v>0.40000588762546851</v>
      </c>
      <c r="T49" t="s">
        <v>550</v>
      </c>
      <c r="U49" t="s">
        <v>51</v>
      </c>
      <c r="V49" s="219">
        <v>0</v>
      </c>
      <c r="W49" s="219">
        <v>0</v>
      </c>
      <c r="AE49" t="s">
        <v>369</v>
      </c>
      <c r="AF49" t="s">
        <v>370</v>
      </c>
      <c r="AG49" t="s">
        <v>371</v>
      </c>
      <c r="AH49" t="s">
        <v>372</v>
      </c>
      <c r="AI49" s="210">
        <v>227970</v>
      </c>
      <c r="AJ49" s="30">
        <v>46148</v>
      </c>
      <c r="AK49" t="s">
        <v>68</v>
      </c>
      <c r="AL49" t="s">
        <v>162</v>
      </c>
      <c r="AM49" t="s">
        <v>23</v>
      </c>
      <c r="AN49" t="s">
        <v>51</v>
      </c>
    </row>
    <row r="50" spans="1:40" ht="15" customHeight="1" x14ac:dyDescent="0.25">
      <c r="A50" t="s">
        <v>655</v>
      </c>
      <c r="B50" t="s">
        <v>595</v>
      </c>
      <c r="C50">
        <v>30000</v>
      </c>
      <c r="D50" t="s">
        <v>656</v>
      </c>
      <c r="E50" t="s">
        <v>183</v>
      </c>
      <c r="F50" t="s">
        <v>580</v>
      </c>
      <c r="G50" s="30">
        <v>46149</v>
      </c>
      <c r="H50" t="s">
        <v>657</v>
      </c>
      <c r="I50">
        <v>1501815</v>
      </c>
      <c r="J50" s="123">
        <v>0</v>
      </c>
      <c r="K50" s="123">
        <v>0</v>
      </c>
      <c r="L50" s="123">
        <v>46147</v>
      </c>
      <c r="M50">
        <v>0</v>
      </c>
      <c r="N50">
        <v>0</v>
      </c>
      <c r="O50">
        <v>0</v>
      </c>
      <c r="P50" s="216">
        <v>30000</v>
      </c>
      <c r="Q50" s="217" t="s">
        <v>33</v>
      </c>
      <c r="R50" s="217" t="s">
        <v>582</v>
      </c>
      <c r="S50" s="218">
        <v>0.65671936956282895</v>
      </c>
      <c r="T50" t="s">
        <v>550</v>
      </c>
      <c r="U50" t="s">
        <v>51</v>
      </c>
      <c r="V50" s="219">
        <v>0</v>
      </c>
      <c r="W50" s="219">
        <v>0</v>
      </c>
      <c r="AE50" t="s">
        <v>373</v>
      </c>
      <c r="AF50" t="s">
        <v>374</v>
      </c>
      <c r="AG50" t="s">
        <v>375</v>
      </c>
      <c r="AH50" t="s">
        <v>376</v>
      </c>
      <c r="AI50" s="210">
        <v>139520</v>
      </c>
      <c r="AJ50" s="30">
        <v>46148</v>
      </c>
      <c r="AK50" t="s">
        <v>68</v>
      </c>
      <c r="AL50" t="s">
        <v>162</v>
      </c>
      <c r="AM50" t="s">
        <v>23</v>
      </c>
      <c r="AN50" t="s">
        <v>51</v>
      </c>
    </row>
    <row r="51" spans="1:40" ht="15" customHeight="1" x14ac:dyDescent="0.25">
      <c r="A51" t="s">
        <v>658</v>
      </c>
      <c r="B51" t="s">
        <v>595</v>
      </c>
      <c r="C51">
        <v>7647</v>
      </c>
      <c r="D51" t="s">
        <v>656</v>
      </c>
      <c r="E51" t="s">
        <v>183</v>
      </c>
      <c r="F51" t="s">
        <v>580</v>
      </c>
      <c r="G51" s="30">
        <v>46149</v>
      </c>
      <c r="H51" t="s">
        <v>657</v>
      </c>
      <c r="I51">
        <v>1501815</v>
      </c>
      <c r="J51" s="123">
        <v>0</v>
      </c>
      <c r="K51" s="123">
        <v>0</v>
      </c>
      <c r="L51" s="123">
        <v>46142</v>
      </c>
      <c r="M51">
        <v>0</v>
      </c>
      <c r="N51">
        <v>0</v>
      </c>
      <c r="O51">
        <v>0</v>
      </c>
      <c r="P51" s="216">
        <v>7647</v>
      </c>
      <c r="Q51" s="217" t="s">
        <v>33</v>
      </c>
      <c r="R51" s="217" t="s">
        <v>582</v>
      </c>
      <c r="S51" s="218">
        <v>0.65671936956282895</v>
      </c>
      <c r="T51" t="s">
        <v>550</v>
      </c>
      <c r="U51" t="s">
        <v>51</v>
      </c>
      <c r="V51" s="219">
        <v>0</v>
      </c>
      <c r="W51" s="219">
        <v>0</v>
      </c>
      <c r="AE51" t="s">
        <v>377</v>
      </c>
      <c r="AF51" t="s">
        <v>378</v>
      </c>
      <c r="AG51" t="s">
        <v>379</v>
      </c>
      <c r="AH51" t="s">
        <v>380</v>
      </c>
      <c r="AI51" s="210">
        <v>152118</v>
      </c>
      <c r="AJ51" s="30">
        <v>46148</v>
      </c>
      <c r="AK51" t="s">
        <v>68</v>
      </c>
      <c r="AL51" t="s">
        <v>162</v>
      </c>
      <c r="AM51" t="s">
        <v>23</v>
      </c>
      <c r="AN51" t="s">
        <v>51</v>
      </c>
    </row>
    <row r="52" spans="1:40" ht="15" customHeight="1" x14ac:dyDescent="0.25">
      <c r="A52" t="s">
        <v>659</v>
      </c>
      <c r="B52" t="s">
        <v>595</v>
      </c>
      <c r="C52">
        <v>174212</v>
      </c>
      <c r="D52" t="s">
        <v>660</v>
      </c>
      <c r="E52" t="s">
        <v>553</v>
      </c>
      <c r="F52" t="s">
        <v>585</v>
      </c>
      <c r="G52" s="30">
        <v>46146</v>
      </c>
      <c r="H52" t="s">
        <v>661</v>
      </c>
      <c r="I52">
        <v>1742118</v>
      </c>
      <c r="J52" s="123">
        <v>46146</v>
      </c>
      <c r="K52" s="123">
        <v>0</v>
      </c>
      <c r="L52" s="123">
        <v>46146</v>
      </c>
      <c r="M52">
        <v>0</v>
      </c>
      <c r="N52">
        <v>0</v>
      </c>
      <c r="O52" t="s">
        <v>556</v>
      </c>
      <c r="P52" s="216">
        <v>174212</v>
      </c>
      <c r="Q52" s="217" t="s">
        <v>33</v>
      </c>
      <c r="R52" s="217" t="s">
        <v>61</v>
      </c>
      <c r="S52" s="218">
        <v>0.28583214225442821</v>
      </c>
      <c r="T52" t="s">
        <v>550</v>
      </c>
      <c r="U52" t="s">
        <v>51</v>
      </c>
      <c r="V52" s="219">
        <v>0</v>
      </c>
      <c r="W52" s="219">
        <v>0</v>
      </c>
      <c r="AE52" t="s">
        <v>381</v>
      </c>
      <c r="AF52" t="s">
        <v>382</v>
      </c>
      <c r="AG52" t="s">
        <v>383</v>
      </c>
      <c r="AH52" t="s">
        <v>384</v>
      </c>
      <c r="AI52" s="210">
        <v>152118.1</v>
      </c>
      <c r="AJ52" s="30">
        <v>46148</v>
      </c>
      <c r="AK52" t="s">
        <v>68</v>
      </c>
      <c r="AL52" t="s">
        <v>162</v>
      </c>
      <c r="AM52" t="s">
        <v>23</v>
      </c>
      <c r="AN52" t="s">
        <v>51</v>
      </c>
    </row>
    <row r="53" spans="1:40" ht="15" customHeight="1" x14ac:dyDescent="0.25">
      <c r="A53" t="s">
        <v>662</v>
      </c>
      <c r="B53" t="s">
        <v>575</v>
      </c>
      <c r="C53">
        <v>19500</v>
      </c>
      <c r="D53" t="s">
        <v>663</v>
      </c>
      <c r="E53" t="s">
        <v>193</v>
      </c>
      <c r="F53" t="s">
        <v>585</v>
      </c>
      <c r="G53" s="30">
        <v>46143</v>
      </c>
      <c r="H53" t="s">
        <v>664</v>
      </c>
      <c r="I53">
        <v>1870528</v>
      </c>
      <c r="J53" s="123">
        <v>0</v>
      </c>
      <c r="K53" s="123">
        <v>0</v>
      </c>
      <c r="L53" s="123">
        <v>46079</v>
      </c>
      <c r="M53">
        <v>0</v>
      </c>
      <c r="N53">
        <v>0</v>
      </c>
      <c r="O53">
        <v>0</v>
      </c>
      <c r="P53" s="216">
        <v>19500</v>
      </c>
      <c r="Q53" s="217" t="s">
        <v>26</v>
      </c>
      <c r="R53" s="217" t="s">
        <v>61</v>
      </c>
      <c r="S53" s="218">
        <v>0.66017182314298417</v>
      </c>
      <c r="T53" t="s">
        <v>550</v>
      </c>
      <c r="U53" t="s">
        <v>51</v>
      </c>
      <c r="V53" s="219">
        <v>0</v>
      </c>
      <c r="W53" s="219">
        <v>0</v>
      </c>
      <c r="AE53" t="s">
        <v>385</v>
      </c>
      <c r="AF53" t="s">
        <v>386</v>
      </c>
      <c r="AG53" t="s">
        <v>387</v>
      </c>
      <c r="AH53" t="s">
        <v>388</v>
      </c>
      <c r="AI53" s="210">
        <v>136625</v>
      </c>
      <c r="AJ53" s="30">
        <v>46148</v>
      </c>
      <c r="AK53" t="s">
        <v>68</v>
      </c>
      <c r="AL53" t="s">
        <v>162</v>
      </c>
      <c r="AM53" t="s">
        <v>23</v>
      </c>
      <c r="AN53" t="s">
        <v>51</v>
      </c>
    </row>
    <row r="54" spans="1:40" ht="15" customHeight="1" x14ac:dyDescent="0.25">
      <c r="A54" t="s">
        <v>665</v>
      </c>
      <c r="B54" t="s">
        <v>575</v>
      </c>
      <c r="C54">
        <v>30000</v>
      </c>
      <c r="D54" t="s">
        <v>663</v>
      </c>
      <c r="E54" t="s">
        <v>193</v>
      </c>
      <c r="F54" t="s">
        <v>585</v>
      </c>
      <c r="G54" s="30">
        <v>46144</v>
      </c>
      <c r="H54" t="s">
        <v>664</v>
      </c>
      <c r="I54">
        <v>1870528</v>
      </c>
      <c r="J54" s="123">
        <v>0</v>
      </c>
      <c r="K54" s="123">
        <v>0</v>
      </c>
      <c r="L54" s="123">
        <v>46065</v>
      </c>
      <c r="M54">
        <v>0</v>
      </c>
      <c r="N54">
        <v>0</v>
      </c>
      <c r="O54">
        <v>0</v>
      </c>
      <c r="P54" s="216">
        <v>30000</v>
      </c>
      <c r="Q54" s="217" t="s">
        <v>26</v>
      </c>
      <c r="R54" s="217" t="s">
        <v>61</v>
      </c>
      <c r="S54" s="218">
        <v>0.66017182314298417</v>
      </c>
      <c r="T54" t="s">
        <v>550</v>
      </c>
      <c r="U54" t="s">
        <v>51</v>
      </c>
      <c r="V54" s="219">
        <v>0</v>
      </c>
      <c r="W54" s="219">
        <v>0</v>
      </c>
      <c r="AE54" t="s">
        <v>389</v>
      </c>
      <c r="AF54" t="s">
        <v>390</v>
      </c>
      <c r="AG54" t="s">
        <v>391</v>
      </c>
      <c r="AH54" t="s">
        <v>392</v>
      </c>
      <c r="AI54" s="210">
        <v>224847</v>
      </c>
      <c r="AJ54" s="30">
        <v>46153</v>
      </c>
      <c r="AK54" t="s">
        <v>68</v>
      </c>
      <c r="AL54" t="s">
        <v>162</v>
      </c>
      <c r="AM54" t="s">
        <v>23</v>
      </c>
      <c r="AN54" t="s">
        <v>51</v>
      </c>
    </row>
    <row r="55" spans="1:40" ht="15" customHeight="1" x14ac:dyDescent="0.25">
      <c r="A55" t="s">
        <v>666</v>
      </c>
      <c r="B55" t="s">
        <v>575</v>
      </c>
      <c r="C55">
        <v>25000</v>
      </c>
      <c r="D55" t="s">
        <v>663</v>
      </c>
      <c r="E55" t="s">
        <v>193</v>
      </c>
      <c r="F55" t="s">
        <v>585</v>
      </c>
      <c r="G55" s="30">
        <v>46144</v>
      </c>
      <c r="H55" t="s">
        <v>664</v>
      </c>
      <c r="I55">
        <v>1870528</v>
      </c>
      <c r="J55" s="123">
        <v>0</v>
      </c>
      <c r="K55" s="123">
        <v>0</v>
      </c>
      <c r="L55" s="123">
        <v>46075</v>
      </c>
      <c r="M55">
        <v>0</v>
      </c>
      <c r="N55">
        <v>0</v>
      </c>
      <c r="O55">
        <v>0</v>
      </c>
      <c r="P55" s="216">
        <v>25000</v>
      </c>
      <c r="Q55" s="217" t="s">
        <v>26</v>
      </c>
      <c r="R55" s="217" t="s">
        <v>61</v>
      </c>
      <c r="S55" s="218">
        <v>0.66017182314298417</v>
      </c>
      <c r="T55" t="s">
        <v>550</v>
      </c>
      <c r="U55" t="s">
        <v>51</v>
      </c>
      <c r="V55" s="219">
        <v>0</v>
      </c>
      <c r="W55" s="219">
        <v>0</v>
      </c>
      <c r="AE55" t="s">
        <v>393</v>
      </c>
      <c r="AF55" t="s">
        <v>394</v>
      </c>
      <c r="AG55" t="s">
        <v>395</v>
      </c>
      <c r="AH55" t="s">
        <v>396</v>
      </c>
      <c r="AI55" s="210">
        <v>136625</v>
      </c>
      <c r="AJ55" s="30">
        <v>46148</v>
      </c>
      <c r="AK55" t="s">
        <v>68</v>
      </c>
      <c r="AL55" t="s">
        <v>162</v>
      </c>
      <c r="AM55" t="s">
        <v>23</v>
      </c>
      <c r="AN55" t="s">
        <v>51</v>
      </c>
    </row>
    <row r="56" spans="1:40" ht="15" customHeight="1" x14ac:dyDescent="0.25">
      <c r="A56" t="s">
        <v>667</v>
      </c>
      <c r="B56" t="s">
        <v>668</v>
      </c>
      <c r="C56">
        <v>3000</v>
      </c>
      <c r="D56" t="s">
        <v>669</v>
      </c>
      <c r="E56" t="s">
        <v>183</v>
      </c>
      <c r="F56" t="s">
        <v>554</v>
      </c>
      <c r="G56" s="30">
        <v>46146</v>
      </c>
      <c r="H56" t="s">
        <v>670</v>
      </c>
      <c r="I56">
        <v>1856812.35</v>
      </c>
      <c r="J56" s="123">
        <v>46097</v>
      </c>
      <c r="K56" s="123">
        <v>0</v>
      </c>
      <c r="L56" s="123">
        <v>46097</v>
      </c>
      <c r="M56">
        <v>0</v>
      </c>
      <c r="N56">
        <v>0</v>
      </c>
      <c r="O56">
        <v>0</v>
      </c>
      <c r="P56" s="216">
        <v>3000</v>
      </c>
      <c r="Q56" s="217" t="s">
        <v>33</v>
      </c>
      <c r="R56" s="217" t="s">
        <v>554</v>
      </c>
      <c r="S56" s="218">
        <v>0.50002575650684356</v>
      </c>
      <c r="T56" t="s">
        <v>550</v>
      </c>
      <c r="U56" t="s">
        <v>51</v>
      </c>
      <c r="V56" s="219" t="s">
        <v>5871</v>
      </c>
      <c r="W56" s="219" t="s">
        <v>67</v>
      </c>
      <c r="AE56" t="s">
        <v>397</v>
      </c>
      <c r="AF56" t="s">
        <v>398</v>
      </c>
      <c r="AG56" t="s">
        <v>399</v>
      </c>
      <c r="AH56" t="s">
        <v>400</v>
      </c>
      <c r="AI56" s="210">
        <v>136625</v>
      </c>
      <c r="AJ56" s="30">
        <v>46148</v>
      </c>
      <c r="AK56" t="s">
        <v>68</v>
      </c>
      <c r="AL56" t="s">
        <v>162</v>
      </c>
      <c r="AM56" t="s">
        <v>23</v>
      </c>
      <c r="AN56" t="s">
        <v>51</v>
      </c>
    </row>
    <row r="57" spans="1:40" ht="15" customHeight="1" x14ac:dyDescent="0.25">
      <c r="A57" t="s">
        <v>671</v>
      </c>
      <c r="B57" t="s">
        <v>603</v>
      </c>
      <c r="C57">
        <v>110000</v>
      </c>
      <c r="D57" t="s">
        <v>672</v>
      </c>
      <c r="E57" t="s">
        <v>605</v>
      </c>
      <c r="F57" t="s">
        <v>554</v>
      </c>
      <c r="G57" s="30">
        <v>46146</v>
      </c>
      <c r="H57" t="s">
        <v>673</v>
      </c>
      <c r="I57">
        <v>1630550.1</v>
      </c>
      <c r="J57" s="123">
        <v>46146</v>
      </c>
      <c r="K57" s="123">
        <v>0</v>
      </c>
      <c r="L57" s="123">
        <v>0</v>
      </c>
      <c r="M57">
        <v>0</v>
      </c>
      <c r="N57">
        <v>0</v>
      </c>
      <c r="O57">
        <v>0</v>
      </c>
      <c r="P57" s="216">
        <v>110000</v>
      </c>
      <c r="Q57" s="217" t="s">
        <v>48</v>
      </c>
      <c r="R57" s="217" t="s">
        <v>554</v>
      </c>
      <c r="S57" s="218">
        <v>0.76746884379694913</v>
      </c>
      <c r="T57" t="s">
        <v>550</v>
      </c>
      <c r="U57" t="s">
        <v>51</v>
      </c>
      <c r="V57" s="219" t="s">
        <v>5872</v>
      </c>
      <c r="W57" s="219" t="s">
        <v>67</v>
      </c>
      <c r="AE57" t="s">
        <v>401</v>
      </c>
      <c r="AF57" t="s">
        <v>402</v>
      </c>
      <c r="AG57" t="s">
        <v>403</v>
      </c>
      <c r="AH57" t="s">
        <v>400</v>
      </c>
      <c r="AI57" s="210">
        <v>228394</v>
      </c>
      <c r="AJ57" s="30">
        <v>46148</v>
      </c>
      <c r="AK57" t="s">
        <v>68</v>
      </c>
      <c r="AL57" t="s">
        <v>162</v>
      </c>
      <c r="AM57" t="s">
        <v>23</v>
      </c>
      <c r="AN57" t="s">
        <v>51</v>
      </c>
    </row>
    <row r="58" spans="1:40" ht="15" customHeight="1" x14ac:dyDescent="0.25">
      <c r="A58" t="s">
        <v>674</v>
      </c>
      <c r="B58" t="s">
        <v>575</v>
      </c>
      <c r="C58">
        <v>201063</v>
      </c>
      <c r="D58" t="s">
        <v>675</v>
      </c>
      <c r="E58" t="s">
        <v>288</v>
      </c>
      <c r="F58" t="s">
        <v>554</v>
      </c>
      <c r="G58" s="30">
        <v>46146</v>
      </c>
      <c r="H58" t="s">
        <v>676</v>
      </c>
      <c r="I58">
        <v>2156241.6</v>
      </c>
      <c r="J58" s="123">
        <v>0</v>
      </c>
      <c r="K58" s="123">
        <v>0</v>
      </c>
      <c r="L58" s="123">
        <v>46146</v>
      </c>
      <c r="M58">
        <v>0</v>
      </c>
      <c r="N58">
        <v>0</v>
      </c>
      <c r="O58">
        <v>0</v>
      </c>
      <c r="P58" s="216">
        <v>201063</v>
      </c>
      <c r="Q58" s="217" t="s">
        <v>48</v>
      </c>
      <c r="R58" s="217" t="s">
        <v>554</v>
      </c>
      <c r="S58" s="218">
        <v>0.79999985159362474</v>
      </c>
      <c r="T58" t="s">
        <v>550</v>
      </c>
      <c r="U58" t="s">
        <v>51</v>
      </c>
      <c r="V58" s="219" t="s">
        <v>5873</v>
      </c>
      <c r="W58" s="219" t="s">
        <v>67</v>
      </c>
      <c r="AE58" t="s">
        <v>404</v>
      </c>
      <c r="AF58" t="s">
        <v>405</v>
      </c>
      <c r="AG58" t="s">
        <v>406</v>
      </c>
      <c r="AH58" t="s">
        <v>407</v>
      </c>
      <c r="AI58" s="210">
        <v>160561.79999999999</v>
      </c>
      <c r="AJ58" s="30">
        <v>46148</v>
      </c>
      <c r="AK58" t="s">
        <v>68</v>
      </c>
      <c r="AL58" t="s">
        <v>162</v>
      </c>
      <c r="AM58" t="s">
        <v>23</v>
      </c>
      <c r="AN58" t="s">
        <v>51</v>
      </c>
    </row>
    <row r="59" spans="1:40" ht="15" customHeight="1" x14ac:dyDescent="0.25">
      <c r="A59" t="s">
        <v>677</v>
      </c>
      <c r="B59" t="s">
        <v>575</v>
      </c>
      <c r="C59">
        <v>14562</v>
      </c>
      <c r="D59" t="s">
        <v>675</v>
      </c>
      <c r="E59" t="s">
        <v>288</v>
      </c>
      <c r="F59" t="s">
        <v>554</v>
      </c>
      <c r="G59" s="30">
        <v>46146</v>
      </c>
      <c r="H59" t="s">
        <v>676</v>
      </c>
      <c r="I59">
        <v>2156241.6</v>
      </c>
      <c r="J59" s="123">
        <v>0</v>
      </c>
      <c r="K59" s="123">
        <v>0</v>
      </c>
      <c r="L59" s="123">
        <v>46146</v>
      </c>
      <c r="M59">
        <v>14562</v>
      </c>
      <c r="N59">
        <v>0</v>
      </c>
      <c r="O59">
        <v>0</v>
      </c>
      <c r="P59" s="216">
        <v>0</v>
      </c>
      <c r="Q59" s="217" t="s">
        <v>48</v>
      </c>
      <c r="R59" s="217" t="s">
        <v>554</v>
      </c>
      <c r="S59" s="218">
        <v>0.79999985159362474</v>
      </c>
      <c r="T59" t="s">
        <v>550</v>
      </c>
      <c r="U59" t="s">
        <v>51</v>
      </c>
      <c r="V59" s="219" t="s">
        <v>5874</v>
      </c>
      <c r="W59" s="219" t="s">
        <v>67</v>
      </c>
      <c r="AE59" t="s">
        <v>408</v>
      </c>
      <c r="AF59" t="s">
        <v>409</v>
      </c>
      <c r="AG59" t="s">
        <v>410</v>
      </c>
      <c r="AH59" t="s">
        <v>411</v>
      </c>
      <c r="AI59" s="210">
        <v>140294</v>
      </c>
      <c r="AJ59" s="30">
        <v>46148</v>
      </c>
      <c r="AK59" t="s">
        <v>68</v>
      </c>
      <c r="AL59" t="s">
        <v>162</v>
      </c>
      <c r="AM59" t="s">
        <v>23</v>
      </c>
      <c r="AN59" t="s">
        <v>51</v>
      </c>
    </row>
    <row r="60" spans="1:40" ht="15" customHeight="1" x14ac:dyDescent="0.25">
      <c r="A60" t="s">
        <v>678</v>
      </c>
      <c r="B60" t="s">
        <v>575</v>
      </c>
      <c r="C60">
        <v>6000</v>
      </c>
      <c r="D60" t="s">
        <v>679</v>
      </c>
      <c r="E60" t="s">
        <v>183</v>
      </c>
      <c r="F60" t="s">
        <v>585</v>
      </c>
      <c r="G60" s="30">
        <v>46143</v>
      </c>
      <c r="H60" t="s">
        <v>680</v>
      </c>
      <c r="I60">
        <v>1856113.95</v>
      </c>
      <c r="J60" s="123">
        <v>0</v>
      </c>
      <c r="K60" s="123">
        <v>0</v>
      </c>
      <c r="L60" s="123">
        <v>46136</v>
      </c>
      <c r="M60">
        <v>0</v>
      </c>
      <c r="N60">
        <v>0</v>
      </c>
      <c r="O60">
        <v>0</v>
      </c>
      <c r="P60" s="216">
        <v>6000</v>
      </c>
      <c r="Q60" s="217" t="s">
        <v>33</v>
      </c>
      <c r="R60" s="217" t="s">
        <v>61</v>
      </c>
      <c r="S60" s="218">
        <v>0.29697713332740161</v>
      </c>
      <c r="T60" t="s">
        <v>550</v>
      </c>
      <c r="U60" t="s">
        <v>51</v>
      </c>
      <c r="V60" s="219">
        <v>0</v>
      </c>
      <c r="W60" s="219">
        <v>0</v>
      </c>
      <c r="AE60" t="s">
        <v>412</v>
      </c>
      <c r="AF60" t="s">
        <v>413</v>
      </c>
      <c r="AG60" t="s">
        <v>414</v>
      </c>
      <c r="AH60" t="s">
        <v>415</v>
      </c>
      <c r="AI60" s="210">
        <v>197346</v>
      </c>
      <c r="AJ60" s="30">
        <v>46148</v>
      </c>
      <c r="AK60" t="s">
        <v>68</v>
      </c>
      <c r="AL60" t="s">
        <v>162</v>
      </c>
      <c r="AM60" t="s">
        <v>23</v>
      </c>
      <c r="AN60" t="s">
        <v>51</v>
      </c>
    </row>
    <row r="61" spans="1:40" ht="15" customHeight="1" x14ac:dyDescent="0.25">
      <c r="A61" t="s">
        <v>681</v>
      </c>
      <c r="B61" t="s">
        <v>595</v>
      </c>
      <c r="C61">
        <v>15100.1</v>
      </c>
      <c r="D61" t="s">
        <v>682</v>
      </c>
      <c r="E61" t="s">
        <v>553</v>
      </c>
      <c r="F61" t="s">
        <v>683</v>
      </c>
      <c r="G61" s="30">
        <v>46147</v>
      </c>
      <c r="H61" t="s">
        <v>684</v>
      </c>
      <c r="I61">
        <v>1652634.3</v>
      </c>
      <c r="J61" s="123">
        <v>46147</v>
      </c>
      <c r="K61" s="123">
        <v>0</v>
      </c>
      <c r="L61" s="123">
        <v>46147</v>
      </c>
      <c r="M61">
        <v>0</v>
      </c>
      <c r="N61">
        <v>0</v>
      </c>
      <c r="O61" t="s">
        <v>556</v>
      </c>
      <c r="P61" s="216">
        <v>15100.1</v>
      </c>
      <c r="Q61" s="217" t="s">
        <v>33</v>
      </c>
      <c r="R61" s="217" t="s">
        <v>62</v>
      </c>
      <c r="S61" s="218">
        <v>0.69086145071538207</v>
      </c>
      <c r="T61" t="s">
        <v>550</v>
      </c>
      <c r="U61" t="s">
        <v>51</v>
      </c>
      <c r="V61" s="219">
        <v>0</v>
      </c>
      <c r="W61" s="219">
        <v>0</v>
      </c>
      <c r="AE61" t="s">
        <v>416</v>
      </c>
      <c r="AF61" t="s">
        <v>417</v>
      </c>
      <c r="AG61" t="s">
        <v>418</v>
      </c>
      <c r="AH61" t="s">
        <v>419</v>
      </c>
      <c r="AI61" s="210">
        <v>134644</v>
      </c>
      <c r="AJ61" s="30">
        <v>46148</v>
      </c>
      <c r="AK61" t="s">
        <v>68</v>
      </c>
      <c r="AL61" t="s">
        <v>162</v>
      </c>
      <c r="AM61" t="s">
        <v>23</v>
      </c>
      <c r="AN61" t="s">
        <v>51</v>
      </c>
    </row>
    <row r="62" spans="1:40" ht="15" customHeight="1" x14ac:dyDescent="0.25">
      <c r="A62" t="s">
        <v>685</v>
      </c>
      <c r="B62" t="s">
        <v>546</v>
      </c>
      <c r="C62">
        <v>15100.1</v>
      </c>
      <c r="D62" t="s">
        <v>682</v>
      </c>
      <c r="E62" t="s">
        <v>553</v>
      </c>
      <c r="F62" t="s">
        <v>548</v>
      </c>
      <c r="G62" s="30">
        <v>46147</v>
      </c>
      <c r="H62" t="s">
        <v>684</v>
      </c>
      <c r="I62">
        <v>1652634.3</v>
      </c>
      <c r="J62" s="123">
        <v>46147</v>
      </c>
      <c r="K62" s="123">
        <v>0</v>
      </c>
      <c r="L62" s="123">
        <v>46147</v>
      </c>
      <c r="M62">
        <v>0</v>
      </c>
      <c r="N62">
        <v>0</v>
      </c>
      <c r="O62" t="s">
        <v>556</v>
      </c>
      <c r="P62" s="216">
        <v>15100.1</v>
      </c>
      <c r="Q62" s="217" t="s">
        <v>33</v>
      </c>
      <c r="R62" s="217" t="s">
        <v>62</v>
      </c>
      <c r="S62" s="218">
        <v>0.69086145071538207</v>
      </c>
      <c r="T62" t="s">
        <v>550</v>
      </c>
      <c r="U62" t="s">
        <v>51</v>
      </c>
      <c r="V62" s="219">
        <v>0</v>
      </c>
      <c r="W62" s="219">
        <v>0</v>
      </c>
      <c r="AE62" t="s">
        <v>420</v>
      </c>
      <c r="AF62" t="s">
        <v>421</v>
      </c>
      <c r="AG62" t="s">
        <v>422</v>
      </c>
      <c r="AH62" t="s">
        <v>423</v>
      </c>
      <c r="AI62" s="210">
        <v>152118</v>
      </c>
      <c r="AJ62" s="30">
        <v>46148</v>
      </c>
      <c r="AK62" t="s">
        <v>68</v>
      </c>
      <c r="AL62" t="s">
        <v>162</v>
      </c>
      <c r="AM62" t="s">
        <v>23</v>
      </c>
      <c r="AN62" t="s">
        <v>51</v>
      </c>
    </row>
    <row r="63" spans="1:40" ht="15" customHeight="1" x14ac:dyDescent="0.25">
      <c r="A63" t="s">
        <v>686</v>
      </c>
      <c r="B63" t="s">
        <v>546</v>
      </c>
      <c r="C63">
        <v>15100.1</v>
      </c>
      <c r="D63" t="s">
        <v>682</v>
      </c>
      <c r="E63" t="s">
        <v>553</v>
      </c>
      <c r="F63" t="s">
        <v>548</v>
      </c>
      <c r="G63" s="30">
        <v>46147</v>
      </c>
      <c r="H63" t="s">
        <v>684</v>
      </c>
      <c r="I63">
        <v>1652634.3</v>
      </c>
      <c r="J63" s="123">
        <v>46147</v>
      </c>
      <c r="K63" s="123">
        <v>0</v>
      </c>
      <c r="L63" s="123">
        <v>46147</v>
      </c>
      <c r="M63">
        <v>0</v>
      </c>
      <c r="N63">
        <v>0</v>
      </c>
      <c r="O63" t="s">
        <v>556</v>
      </c>
      <c r="P63" s="216">
        <v>15100.1</v>
      </c>
      <c r="Q63" s="217" t="s">
        <v>33</v>
      </c>
      <c r="R63" s="217" t="s">
        <v>62</v>
      </c>
      <c r="S63" s="218">
        <v>0.69086145071538207</v>
      </c>
      <c r="T63" t="s">
        <v>550</v>
      </c>
      <c r="U63" t="s">
        <v>51</v>
      </c>
      <c r="V63" s="219">
        <v>0</v>
      </c>
      <c r="W63" s="219">
        <v>0</v>
      </c>
      <c r="AE63" t="s">
        <v>424</v>
      </c>
      <c r="AF63" t="s">
        <v>425</v>
      </c>
      <c r="AG63" t="s">
        <v>426</v>
      </c>
      <c r="AH63" t="s">
        <v>400</v>
      </c>
      <c r="AI63" s="210">
        <v>141458</v>
      </c>
      <c r="AJ63" s="30">
        <v>46148</v>
      </c>
      <c r="AK63" t="s">
        <v>68</v>
      </c>
      <c r="AL63" t="s">
        <v>162</v>
      </c>
      <c r="AM63" t="s">
        <v>23</v>
      </c>
      <c r="AN63" t="s">
        <v>51</v>
      </c>
    </row>
    <row r="64" spans="1:40" ht="15" customHeight="1" x14ac:dyDescent="0.25">
      <c r="A64" t="s">
        <v>687</v>
      </c>
      <c r="B64" t="s">
        <v>575</v>
      </c>
      <c r="C64">
        <v>20000</v>
      </c>
      <c r="D64" t="s">
        <v>682</v>
      </c>
      <c r="E64" t="s">
        <v>183</v>
      </c>
      <c r="F64" t="s">
        <v>585</v>
      </c>
      <c r="G64" s="30">
        <v>46148</v>
      </c>
      <c r="H64" t="s">
        <v>684</v>
      </c>
      <c r="I64">
        <v>1652634.3</v>
      </c>
      <c r="J64" s="123">
        <v>0</v>
      </c>
      <c r="K64" s="123">
        <v>0</v>
      </c>
      <c r="L64" s="123">
        <v>46147</v>
      </c>
      <c r="M64">
        <v>0</v>
      </c>
      <c r="N64">
        <v>0</v>
      </c>
      <c r="O64">
        <v>0</v>
      </c>
      <c r="P64" s="216">
        <v>20000</v>
      </c>
      <c r="Q64" s="217" t="s">
        <v>33</v>
      </c>
      <c r="R64" s="217" t="s">
        <v>61</v>
      </c>
      <c r="S64" s="218">
        <v>0.69086145071538207</v>
      </c>
      <c r="T64" t="s">
        <v>550</v>
      </c>
      <c r="U64" t="s">
        <v>51</v>
      </c>
      <c r="V64" s="219">
        <v>0</v>
      </c>
      <c r="W64" s="219">
        <v>0</v>
      </c>
      <c r="AE64" t="s">
        <v>427</v>
      </c>
      <c r="AF64" t="s">
        <v>428</v>
      </c>
      <c r="AG64" t="s">
        <v>429</v>
      </c>
      <c r="AH64" t="s">
        <v>430</v>
      </c>
      <c r="AI64" s="210">
        <v>304014</v>
      </c>
      <c r="AJ64" s="30">
        <v>46148</v>
      </c>
      <c r="AK64" t="s">
        <v>68</v>
      </c>
      <c r="AL64" t="s">
        <v>162</v>
      </c>
      <c r="AM64" t="s">
        <v>23</v>
      </c>
      <c r="AN64" t="s">
        <v>51</v>
      </c>
    </row>
    <row r="65" spans="1:40" ht="15" customHeight="1" x14ac:dyDescent="0.25">
      <c r="A65" t="s">
        <v>688</v>
      </c>
      <c r="B65" t="s">
        <v>575</v>
      </c>
      <c r="C65">
        <v>56261</v>
      </c>
      <c r="D65" t="s">
        <v>689</v>
      </c>
      <c r="E65" t="s">
        <v>183</v>
      </c>
      <c r="F65" t="s">
        <v>580</v>
      </c>
      <c r="G65" s="30">
        <v>46149</v>
      </c>
      <c r="H65" t="s">
        <v>690</v>
      </c>
      <c r="I65">
        <v>1612612.8</v>
      </c>
      <c r="J65" s="123">
        <v>0</v>
      </c>
      <c r="K65" s="123">
        <v>0</v>
      </c>
      <c r="L65" s="123">
        <v>46146</v>
      </c>
      <c r="M65">
        <v>0</v>
      </c>
      <c r="N65">
        <v>0</v>
      </c>
      <c r="O65">
        <v>0</v>
      </c>
      <c r="P65" s="216">
        <v>56261</v>
      </c>
      <c r="Q65" s="217" t="s">
        <v>33</v>
      </c>
      <c r="R65" s="217" t="s">
        <v>582</v>
      </c>
      <c r="S65" s="218">
        <v>0.60654392052450534</v>
      </c>
      <c r="T65" t="s">
        <v>550</v>
      </c>
      <c r="U65" t="s">
        <v>51</v>
      </c>
      <c r="V65" s="219">
        <v>0</v>
      </c>
      <c r="W65" s="219">
        <v>0</v>
      </c>
      <c r="AE65" t="s">
        <v>431</v>
      </c>
      <c r="AF65" t="s">
        <v>432</v>
      </c>
      <c r="AG65" t="s">
        <v>433</v>
      </c>
      <c r="AH65" t="s">
        <v>434</v>
      </c>
      <c r="AI65" s="210">
        <v>220270</v>
      </c>
      <c r="AJ65" s="30">
        <v>46148</v>
      </c>
      <c r="AK65" t="s">
        <v>68</v>
      </c>
      <c r="AL65" t="s">
        <v>162</v>
      </c>
      <c r="AM65" t="s">
        <v>23</v>
      </c>
      <c r="AN65" t="s">
        <v>51</v>
      </c>
    </row>
    <row r="66" spans="1:40" ht="15" customHeight="1" x14ac:dyDescent="0.25">
      <c r="A66" t="s">
        <v>691</v>
      </c>
      <c r="B66" t="s">
        <v>64</v>
      </c>
      <c r="C66">
        <v>179200</v>
      </c>
      <c r="D66" t="s">
        <v>692</v>
      </c>
      <c r="E66" t="s">
        <v>693</v>
      </c>
      <c r="F66" t="s">
        <v>554</v>
      </c>
      <c r="G66" s="30">
        <v>46147</v>
      </c>
      <c r="H66" t="s">
        <v>694</v>
      </c>
      <c r="I66">
        <v>1791892.8</v>
      </c>
      <c r="J66" s="123">
        <v>0</v>
      </c>
      <c r="K66" s="123">
        <v>46134</v>
      </c>
      <c r="L66" s="123">
        <v>0</v>
      </c>
      <c r="M66">
        <v>0</v>
      </c>
      <c r="N66">
        <v>0</v>
      </c>
      <c r="O66" t="s">
        <v>556</v>
      </c>
      <c r="P66" s="216">
        <v>179200</v>
      </c>
      <c r="Q66" s="217" t="s">
        <v>33</v>
      </c>
      <c r="R66" s="217" t="s">
        <v>554</v>
      </c>
      <c r="S66" s="218">
        <v>0.40001276862098001</v>
      </c>
      <c r="T66" t="s">
        <v>550</v>
      </c>
      <c r="U66" t="s">
        <v>51</v>
      </c>
      <c r="V66" s="219" t="s">
        <v>5875</v>
      </c>
      <c r="W66" s="219" t="s">
        <v>67</v>
      </c>
      <c r="AE66" t="s">
        <v>435</v>
      </c>
      <c r="AF66" t="s">
        <v>436</v>
      </c>
      <c r="AG66" t="s">
        <v>437</v>
      </c>
      <c r="AH66" t="s">
        <v>400</v>
      </c>
      <c r="AI66" s="210">
        <v>228393</v>
      </c>
      <c r="AJ66" s="30">
        <v>46148</v>
      </c>
      <c r="AK66" t="s">
        <v>68</v>
      </c>
      <c r="AL66" t="s">
        <v>162</v>
      </c>
      <c r="AM66" t="s">
        <v>23</v>
      </c>
      <c r="AN66" t="s">
        <v>51</v>
      </c>
    </row>
    <row r="67" spans="1:40" ht="15" customHeight="1" x14ac:dyDescent="0.25">
      <c r="A67" t="s">
        <v>695</v>
      </c>
      <c r="B67" t="s">
        <v>595</v>
      </c>
      <c r="C67">
        <v>194705</v>
      </c>
      <c r="D67" t="s">
        <v>696</v>
      </c>
      <c r="E67" t="s">
        <v>183</v>
      </c>
      <c r="F67" t="s">
        <v>580</v>
      </c>
      <c r="G67" s="30">
        <v>46146</v>
      </c>
      <c r="H67" t="s">
        <v>697</v>
      </c>
      <c r="I67">
        <v>1947049.6</v>
      </c>
      <c r="J67" s="123">
        <v>0</v>
      </c>
      <c r="K67" s="123">
        <v>0</v>
      </c>
      <c r="L67" s="123">
        <v>46141</v>
      </c>
      <c r="M67">
        <v>0</v>
      </c>
      <c r="N67">
        <v>0</v>
      </c>
      <c r="O67">
        <v>0</v>
      </c>
      <c r="P67" s="216">
        <v>194705</v>
      </c>
      <c r="Q67" s="217" t="s">
        <v>33</v>
      </c>
      <c r="R67" s="217" t="s">
        <v>582</v>
      </c>
      <c r="S67" s="218">
        <v>0.49933271859124695</v>
      </c>
      <c r="T67" t="s">
        <v>550</v>
      </c>
      <c r="U67" t="s">
        <v>51</v>
      </c>
      <c r="V67" s="219">
        <v>0</v>
      </c>
      <c r="W67" s="219">
        <v>0</v>
      </c>
      <c r="AE67" t="s">
        <v>438</v>
      </c>
      <c r="AF67" t="s">
        <v>439</v>
      </c>
      <c r="AG67" t="s">
        <v>440</v>
      </c>
      <c r="AH67" t="s">
        <v>400</v>
      </c>
      <c r="AI67" s="210">
        <v>231565</v>
      </c>
      <c r="AJ67" s="30">
        <v>46148</v>
      </c>
      <c r="AK67" t="s">
        <v>68</v>
      </c>
      <c r="AL67" t="s">
        <v>162</v>
      </c>
      <c r="AM67" t="s">
        <v>23</v>
      </c>
      <c r="AN67" t="s">
        <v>51</v>
      </c>
    </row>
    <row r="68" spans="1:40" ht="15" customHeight="1" x14ac:dyDescent="0.25">
      <c r="A68" t="s">
        <v>698</v>
      </c>
      <c r="B68" t="s">
        <v>603</v>
      </c>
      <c r="C68">
        <v>189413</v>
      </c>
      <c r="D68" t="s">
        <v>699</v>
      </c>
      <c r="E68" t="s">
        <v>218</v>
      </c>
      <c r="F68" t="s">
        <v>554</v>
      </c>
      <c r="G68" s="30">
        <v>46148</v>
      </c>
      <c r="H68" t="s">
        <v>700</v>
      </c>
      <c r="I68">
        <v>1894166.4</v>
      </c>
      <c r="J68" s="123">
        <v>46148</v>
      </c>
      <c r="K68" s="123">
        <v>0</v>
      </c>
      <c r="L68" s="123">
        <v>0</v>
      </c>
      <c r="M68">
        <v>0</v>
      </c>
      <c r="N68">
        <v>0</v>
      </c>
      <c r="O68">
        <v>0</v>
      </c>
      <c r="P68" s="216">
        <v>189413</v>
      </c>
      <c r="Q68" s="217" t="s">
        <v>13</v>
      </c>
      <c r="R68" s="217" t="s">
        <v>554</v>
      </c>
      <c r="S68" s="218">
        <v>0.29999985217771791</v>
      </c>
      <c r="T68" t="s">
        <v>550</v>
      </c>
      <c r="U68" t="s">
        <v>51</v>
      </c>
      <c r="V68" s="219" t="s">
        <v>5876</v>
      </c>
      <c r="W68" s="219" t="s">
        <v>67</v>
      </c>
      <c r="AE68" t="s">
        <v>441</v>
      </c>
      <c r="AF68" t="s">
        <v>442</v>
      </c>
      <c r="AG68" t="s">
        <v>443</v>
      </c>
      <c r="AH68" t="s">
        <v>444</v>
      </c>
      <c r="AI68" s="210">
        <v>132882</v>
      </c>
      <c r="AJ68" s="30">
        <v>46148</v>
      </c>
      <c r="AK68" t="s">
        <v>68</v>
      </c>
      <c r="AL68" t="s">
        <v>162</v>
      </c>
      <c r="AM68" t="s">
        <v>23</v>
      </c>
      <c r="AN68" t="s">
        <v>51</v>
      </c>
    </row>
    <row r="69" spans="1:40" ht="15" customHeight="1" x14ac:dyDescent="0.25">
      <c r="A69" t="s">
        <v>701</v>
      </c>
      <c r="B69" t="s">
        <v>595</v>
      </c>
      <c r="C69">
        <v>165741</v>
      </c>
      <c r="D69" t="s">
        <v>702</v>
      </c>
      <c r="E69" t="s">
        <v>218</v>
      </c>
      <c r="F69" t="s">
        <v>554</v>
      </c>
      <c r="G69" s="30">
        <v>46143</v>
      </c>
      <c r="H69" t="s">
        <v>703</v>
      </c>
      <c r="I69">
        <v>1657407.6</v>
      </c>
      <c r="J69" s="123">
        <v>0</v>
      </c>
      <c r="K69" s="123">
        <v>0</v>
      </c>
      <c r="L69" s="123">
        <v>46140</v>
      </c>
      <c r="M69">
        <v>0</v>
      </c>
      <c r="N69">
        <v>0</v>
      </c>
      <c r="O69">
        <v>0</v>
      </c>
      <c r="P69" s="216">
        <v>165741</v>
      </c>
      <c r="Q69" s="217" t="s">
        <v>13</v>
      </c>
      <c r="R69" s="217" t="s">
        <v>554</v>
      </c>
      <c r="S69" s="218">
        <v>0.60086827766446826</v>
      </c>
      <c r="T69" t="s">
        <v>550</v>
      </c>
      <c r="U69" t="s">
        <v>51</v>
      </c>
      <c r="V69" s="219">
        <v>0</v>
      </c>
      <c r="W69" s="219" t="s">
        <v>72</v>
      </c>
      <c r="AE69" t="s">
        <v>445</v>
      </c>
      <c r="AF69" t="s">
        <v>446</v>
      </c>
      <c r="AG69" t="s">
        <v>447</v>
      </c>
      <c r="AH69" t="s">
        <v>448</v>
      </c>
      <c r="AI69" s="210">
        <v>434506</v>
      </c>
      <c r="AJ69" s="30">
        <v>46148</v>
      </c>
      <c r="AK69" t="s">
        <v>68</v>
      </c>
      <c r="AL69" t="s">
        <v>162</v>
      </c>
      <c r="AM69" t="s">
        <v>23</v>
      </c>
      <c r="AN69" t="s">
        <v>51</v>
      </c>
    </row>
    <row r="70" spans="1:40" ht="15" customHeight="1" x14ac:dyDescent="0.25">
      <c r="A70" t="s">
        <v>704</v>
      </c>
      <c r="B70" t="s">
        <v>595</v>
      </c>
      <c r="C70">
        <v>165741</v>
      </c>
      <c r="D70" t="s">
        <v>702</v>
      </c>
      <c r="E70" t="s">
        <v>218</v>
      </c>
      <c r="F70" t="s">
        <v>585</v>
      </c>
      <c r="G70" s="30">
        <v>46143</v>
      </c>
      <c r="H70" t="s">
        <v>703</v>
      </c>
      <c r="I70">
        <v>1657407.6</v>
      </c>
      <c r="J70" s="123">
        <v>0</v>
      </c>
      <c r="K70" s="123">
        <v>0</v>
      </c>
      <c r="L70" s="123">
        <v>46170</v>
      </c>
      <c r="M70">
        <v>0</v>
      </c>
      <c r="N70">
        <v>0</v>
      </c>
      <c r="O70">
        <v>0</v>
      </c>
      <c r="P70" s="216">
        <v>165741</v>
      </c>
      <c r="Q70" s="217" t="s">
        <v>13</v>
      </c>
      <c r="R70" s="217" t="s">
        <v>61</v>
      </c>
      <c r="S70" s="218">
        <v>0.60086827766446826</v>
      </c>
      <c r="T70" t="s">
        <v>550</v>
      </c>
      <c r="U70" t="s">
        <v>51</v>
      </c>
      <c r="V70" s="219">
        <v>0</v>
      </c>
      <c r="W70" s="219">
        <v>0</v>
      </c>
      <c r="AE70" t="s">
        <v>449</v>
      </c>
      <c r="AF70" t="s">
        <v>450</v>
      </c>
      <c r="AG70" t="s">
        <v>451</v>
      </c>
      <c r="AH70" t="s">
        <v>452</v>
      </c>
      <c r="AI70" s="210">
        <v>434506</v>
      </c>
      <c r="AJ70" s="30">
        <v>46148</v>
      </c>
      <c r="AK70" t="s">
        <v>68</v>
      </c>
      <c r="AL70" t="s">
        <v>162</v>
      </c>
      <c r="AM70" t="s">
        <v>27</v>
      </c>
      <c r="AN70" t="s">
        <v>51</v>
      </c>
    </row>
    <row r="71" spans="1:40" ht="15" customHeight="1" x14ac:dyDescent="0.25">
      <c r="A71" t="s">
        <v>705</v>
      </c>
      <c r="B71" t="s">
        <v>575</v>
      </c>
      <c r="C71">
        <v>265660</v>
      </c>
      <c r="D71" t="s">
        <v>706</v>
      </c>
      <c r="E71" t="s">
        <v>218</v>
      </c>
      <c r="F71" t="s">
        <v>554</v>
      </c>
      <c r="G71" s="30">
        <v>46146</v>
      </c>
      <c r="H71" t="s">
        <v>707</v>
      </c>
      <c r="I71">
        <v>2630833.6</v>
      </c>
      <c r="J71" s="123">
        <v>0</v>
      </c>
      <c r="K71" s="123">
        <v>0</v>
      </c>
      <c r="L71" s="123">
        <v>46137</v>
      </c>
      <c r="M71">
        <v>0</v>
      </c>
      <c r="N71">
        <v>0</v>
      </c>
      <c r="O71">
        <v>0</v>
      </c>
      <c r="P71" s="216">
        <v>265660</v>
      </c>
      <c r="Q71" s="217" t="s">
        <v>13</v>
      </c>
      <c r="R71" s="217" t="s">
        <v>554</v>
      </c>
      <c r="S71" s="218">
        <v>0.70171934097238231</v>
      </c>
      <c r="T71" t="s">
        <v>550</v>
      </c>
      <c r="U71" t="s">
        <v>51</v>
      </c>
      <c r="V71" s="219" t="s">
        <v>5877</v>
      </c>
      <c r="W71" s="219" t="s">
        <v>67</v>
      </c>
      <c r="AE71" t="s">
        <v>453</v>
      </c>
      <c r="AF71" t="s">
        <v>454</v>
      </c>
      <c r="AG71" t="s">
        <v>455</v>
      </c>
      <c r="AH71" t="s">
        <v>456</v>
      </c>
      <c r="AI71" s="210">
        <v>217253</v>
      </c>
      <c r="AJ71" s="30">
        <v>46148</v>
      </c>
      <c r="AK71" t="s">
        <v>68</v>
      </c>
      <c r="AL71" t="s">
        <v>162</v>
      </c>
      <c r="AM71" t="s">
        <v>23</v>
      </c>
      <c r="AN71" t="s">
        <v>51</v>
      </c>
    </row>
    <row r="72" spans="1:40" ht="15" customHeight="1" x14ac:dyDescent="0.25">
      <c r="A72" t="s">
        <v>708</v>
      </c>
      <c r="B72" t="s">
        <v>595</v>
      </c>
      <c r="C72">
        <v>129640</v>
      </c>
      <c r="D72" t="s">
        <v>709</v>
      </c>
      <c r="E72" t="s">
        <v>183</v>
      </c>
      <c r="F72" t="s">
        <v>580</v>
      </c>
      <c r="G72" s="30">
        <v>46149</v>
      </c>
      <c r="H72" t="s">
        <v>710</v>
      </c>
      <c r="I72">
        <v>1221396</v>
      </c>
      <c r="J72" s="123">
        <v>0</v>
      </c>
      <c r="K72" s="123">
        <v>0</v>
      </c>
      <c r="L72" s="123">
        <v>46077</v>
      </c>
      <c r="M72">
        <v>0</v>
      </c>
      <c r="N72">
        <v>0</v>
      </c>
      <c r="O72">
        <v>0</v>
      </c>
      <c r="P72" s="216">
        <v>129640</v>
      </c>
      <c r="Q72" s="217" t="s">
        <v>33</v>
      </c>
      <c r="R72" s="217" t="s">
        <v>582</v>
      </c>
      <c r="S72" s="218">
        <v>0.60921232753341259</v>
      </c>
      <c r="T72" t="s">
        <v>550</v>
      </c>
      <c r="U72" t="s">
        <v>51</v>
      </c>
      <c r="V72" s="219">
        <v>0</v>
      </c>
      <c r="W72" s="219">
        <v>0</v>
      </c>
      <c r="AE72" t="s">
        <v>457</v>
      </c>
      <c r="AF72" t="s">
        <v>458</v>
      </c>
      <c r="AG72" t="s">
        <v>459</v>
      </c>
      <c r="AH72" t="s">
        <v>460</v>
      </c>
      <c r="AI72" s="210">
        <v>217253</v>
      </c>
      <c r="AJ72" s="30">
        <v>46148</v>
      </c>
      <c r="AK72" t="s">
        <v>68</v>
      </c>
      <c r="AL72" t="s">
        <v>162</v>
      </c>
      <c r="AM72" t="s">
        <v>23</v>
      </c>
      <c r="AN72" t="s">
        <v>51</v>
      </c>
    </row>
    <row r="73" spans="1:40" ht="15" customHeight="1" x14ac:dyDescent="0.25">
      <c r="A73" t="s">
        <v>711</v>
      </c>
      <c r="B73" t="s">
        <v>603</v>
      </c>
      <c r="C73">
        <v>90987</v>
      </c>
      <c r="D73" t="s">
        <v>712</v>
      </c>
      <c r="E73" t="s">
        <v>605</v>
      </c>
      <c r="F73" t="s">
        <v>554</v>
      </c>
      <c r="G73" s="30">
        <v>46149</v>
      </c>
      <c r="H73" t="s">
        <v>713</v>
      </c>
      <c r="I73">
        <v>3001999</v>
      </c>
      <c r="J73" s="123">
        <v>46149</v>
      </c>
      <c r="K73" s="123">
        <v>0</v>
      </c>
      <c r="L73" s="123">
        <v>0</v>
      </c>
      <c r="M73">
        <v>0</v>
      </c>
      <c r="N73">
        <v>0</v>
      </c>
      <c r="O73">
        <v>0</v>
      </c>
      <c r="P73" s="216">
        <v>90987</v>
      </c>
      <c r="Q73" s="217" t="s">
        <v>18</v>
      </c>
      <c r="R73" s="217" t="s">
        <v>554</v>
      </c>
      <c r="S73" s="218">
        <v>0.79999993687439719</v>
      </c>
      <c r="T73" t="s">
        <v>550</v>
      </c>
      <c r="U73" t="s">
        <v>51</v>
      </c>
      <c r="V73" s="219" t="s">
        <v>5878</v>
      </c>
      <c r="W73" s="219" t="s">
        <v>67</v>
      </c>
      <c r="AE73" t="s">
        <v>461</v>
      </c>
      <c r="AF73" t="s">
        <v>462</v>
      </c>
      <c r="AG73" t="s">
        <v>463</v>
      </c>
      <c r="AH73" t="s">
        <v>464</v>
      </c>
      <c r="AI73" s="210">
        <v>227970</v>
      </c>
      <c r="AJ73" s="30">
        <v>46148</v>
      </c>
      <c r="AK73" t="s">
        <v>68</v>
      </c>
      <c r="AL73" t="s">
        <v>162</v>
      </c>
      <c r="AM73" t="s">
        <v>23</v>
      </c>
      <c r="AN73" t="s">
        <v>51</v>
      </c>
    </row>
    <row r="74" spans="1:40" ht="15" customHeight="1" x14ac:dyDescent="0.25">
      <c r="A74" t="s">
        <v>714</v>
      </c>
      <c r="B74" t="s">
        <v>603</v>
      </c>
      <c r="C74">
        <v>35393</v>
      </c>
      <c r="D74" t="s">
        <v>715</v>
      </c>
      <c r="E74" t="s">
        <v>605</v>
      </c>
      <c r="F74" t="s">
        <v>554</v>
      </c>
      <c r="G74" s="30">
        <v>46149</v>
      </c>
      <c r="H74" t="s">
        <v>716</v>
      </c>
      <c r="I74">
        <v>2446251.5</v>
      </c>
      <c r="J74" s="123">
        <v>46149</v>
      </c>
      <c r="K74" s="123">
        <v>0</v>
      </c>
      <c r="L74" s="123">
        <v>0</v>
      </c>
      <c r="M74">
        <v>0</v>
      </c>
      <c r="N74">
        <v>0</v>
      </c>
      <c r="O74">
        <v>0</v>
      </c>
      <c r="P74" s="216">
        <v>35393</v>
      </c>
      <c r="Q74" s="217" t="s">
        <v>18</v>
      </c>
      <c r="R74" s="217" t="s">
        <v>554</v>
      </c>
      <c r="S74" s="218">
        <v>0.79999992257324959</v>
      </c>
      <c r="T74" t="s">
        <v>550</v>
      </c>
      <c r="U74" t="s">
        <v>51</v>
      </c>
      <c r="V74" s="219" t="s">
        <v>5879</v>
      </c>
      <c r="W74" s="219" t="s">
        <v>67</v>
      </c>
      <c r="AE74" t="s">
        <v>465</v>
      </c>
      <c r="AF74" t="s">
        <v>466</v>
      </c>
      <c r="AG74" t="s">
        <v>467</v>
      </c>
      <c r="AH74" t="s">
        <v>468</v>
      </c>
      <c r="AI74" s="210">
        <v>224847</v>
      </c>
      <c r="AJ74" s="30">
        <v>46148</v>
      </c>
      <c r="AK74" t="s">
        <v>68</v>
      </c>
      <c r="AL74" t="s">
        <v>162</v>
      </c>
      <c r="AM74" t="s">
        <v>23</v>
      </c>
      <c r="AN74" t="s">
        <v>51</v>
      </c>
    </row>
    <row r="75" spans="1:40" ht="15" customHeight="1" x14ac:dyDescent="0.25">
      <c r="A75" t="s">
        <v>717</v>
      </c>
      <c r="B75" t="s">
        <v>603</v>
      </c>
      <c r="C75">
        <v>91009</v>
      </c>
      <c r="D75" t="s">
        <v>718</v>
      </c>
      <c r="E75" t="s">
        <v>605</v>
      </c>
      <c r="F75" t="s">
        <v>554</v>
      </c>
      <c r="G75" s="30">
        <v>46149</v>
      </c>
      <c r="H75" t="s">
        <v>719</v>
      </c>
      <c r="I75">
        <v>3003847</v>
      </c>
      <c r="J75" s="123">
        <v>46149</v>
      </c>
      <c r="K75" s="123">
        <v>0</v>
      </c>
      <c r="L75" s="123">
        <v>0</v>
      </c>
      <c r="M75">
        <v>0</v>
      </c>
      <c r="N75">
        <v>0</v>
      </c>
      <c r="O75">
        <v>0</v>
      </c>
      <c r="P75" s="216">
        <v>91009</v>
      </c>
      <c r="Q75" s="217" t="s">
        <v>18</v>
      </c>
      <c r="R75" s="217" t="s">
        <v>554</v>
      </c>
      <c r="S75" s="218">
        <v>0.80000006644332844</v>
      </c>
      <c r="T75" t="s">
        <v>550</v>
      </c>
      <c r="U75" t="s">
        <v>51</v>
      </c>
      <c r="V75" s="219" t="s">
        <v>5880</v>
      </c>
      <c r="W75" s="219" t="s">
        <v>67</v>
      </c>
      <c r="AE75" t="s">
        <v>469</v>
      </c>
      <c r="AF75" t="s">
        <v>470</v>
      </c>
      <c r="AG75" t="s">
        <v>471</v>
      </c>
      <c r="AH75" t="s">
        <v>472</v>
      </c>
      <c r="AI75" s="210">
        <v>217253</v>
      </c>
      <c r="AJ75" s="30">
        <v>46148</v>
      </c>
      <c r="AK75" t="s">
        <v>68</v>
      </c>
      <c r="AL75" t="s">
        <v>162</v>
      </c>
      <c r="AM75" t="s">
        <v>27</v>
      </c>
      <c r="AN75" t="s">
        <v>51</v>
      </c>
    </row>
    <row r="76" spans="1:40" ht="15" customHeight="1" x14ac:dyDescent="0.25">
      <c r="A76" t="s">
        <v>720</v>
      </c>
      <c r="B76" t="s">
        <v>546</v>
      </c>
      <c r="C76">
        <v>27000</v>
      </c>
      <c r="D76" t="s">
        <v>721</v>
      </c>
      <c r="E76" t="s">
        <v>213</v>
      </c>
      <c r="F76" t="s">
        <v>554</v>
      </c>
      <c r="G76" s="30">
        <v>46144</v>
      </c>
      <c r="H76" t="s">
        <v>722</v>
      </c>
      <c r="I76">
        <v>1100657.25</v>
      </c>
      <c r="J76" s="123">
        <v>0</v>
      </c>
      <c r="K76" s="123">
        <v>0</v>
      </c>
      <c r="L76" s="123">
        <v>0</v>
      </c>
      <c r="M76">
        <v>0</v>
      </c>
      <c r="N76">
        <v>0</v>
      </c>
      <c r="O76">
        <v>0</v>
      </c>
      <c r="P76" s="216">
        <v>27000</v>
      </c>
      <c r="Q76" s="217" t="s">
        <v>18</v>
      </c>
      <c r="R76" s="217" t="s">
        <v>554</v>
      </c>
      <c r="S76" s="218">
        <v>0.74058176977541101</v>
      </c>
      <c r="T76" t="s">
        <v>550</v>
      </c>
      <c r="U76" t="s">
        <v>51</v>
      </c>
      <c r="V76" s="219" t="s">
        <v>5881</v>
      </c>
      <c r="W76" s="219" t="s">
        <v>67</v>
      </c>
      <c r="AE76" t="s">
        <v>473</v>
      </c>
      <c r="AF76" t="s">
        <v>474</v>
      </c>
      <c r="AG76" t="s">
        <v>475</v>
      </c>
      <c r="AH76" t="s">
        <v>476</v>
      </c>
      <c r="AI76" s="210">
        <v>295798</v>
      </c>
      <c r="AJ76" s="30">
        <v>46148</v>
      </c>
      <c r="AK76" t="s">
        <v>68</v>
      </c>
      <c r="AL76" t="s">
        <v>162</v>
      </c>
      <c r="AM76" t="s">
        <v>23</v>
      </c>
      <c r="AN76" t="s">
        <v>51</v>
      </c>
    </row>
    <row r="77" spans="1:40" ht="15" customHeight="1" x14ac:dyDescent="0.25">
      <c r="A77" t="s">
        <v>723</v>
      </c>
      <c r="B77" t="s">
        <v>546</v>
      </c>
      <c r="C77">
        <v>12900</v>
      </c>
      <c r="D77" t="s">
        <v>721</v>
      </c>
      <c r="E77" t="s">
        <v>213</v>
      </c>
      <c r="F77" t="s">
        <v>554</v>
      </c>
      <c r="G77" s="30">
        <v>46149</v>
      </c>
      <c r="H77" t="s">
        <v>722</v>
      </c>
      <c r="I77">
        <v>1100657.25</v>
      </c>
      <c r="J77" s="123">
        <v>0</v>
      </c>
      <c r="K77" s="123">
        <v>0</v>
      </c>
      <c r="L77" s="123">
        <v>0</v>
      </c>
      <c r="M77">
        <v>0</v>
      </c>
      <c r="N77">
        <v>0</v>
      </c>
      <c r="O77">
        <v>0</v>
      </c>
      <c r="P77" s="216">
        <v>12900</v>
      </c>
      <c r="Q77" s="217" t="s">
        <v>18</v>
      </c>
      <c r="R77" s="217" t="s">
        <v>554</v>
      </c>
      <c r="S77" s="218">
        <v>0.74058176977541101</v>
      </c>
      <c r="T77" t="s">
        <v>550</v>
      </c>
      <c r="U77" t="s">
        <v>51</v>
      </c>
      <c r="V77" s="219" t="s">
        <v>5882</v>
      </c>
      <c r="W77" s="219" t="s">
        <v>67</v>
      </c>
      <c r="AE77" t="s">
        <v>477</v>
      </c>
      <c r="AF77" t="s">
        <v>478</v>
      </c>
      <c r="AG77" t="s">
        <v>479</v>
      </c>
      <c r="AH77" t="s">
        <v>480</v>
      </c>
      <c r="AI77" s="210">
        <v>164635</v>
      </c>
      <c r="AJ77" s="30">
        <v>46163</v>
      </c>
      <c r="AK77" t="s">
        <v>68</v>
      </c>
      <c r="AL77" t="s">
        <v>481</v>
      </c>
      <c r="AM77" t="s">
        <v>28</v>
      </c>
      <c r="AN77" t="s">
        <v>51</v>
      </c>
    </row>
    <row r="78" spans="1:40" ht="15" customHeight="1" x14ac:dyDescent="0.25">
      <c r="A78" t="s">
        <v>724</v>
      </c>
      <c r="B78" t="s">
        <v>546</v>
      </c>
      <c r="C78">
        <v>12900</v>
      </c>
      <c r="D78" t="s">
        <v>721</v>
      </c>
      <c r="E78" t="s">
        <v>213</v>
      </c>
      <c r="F78" t="s">
        <v>548</v>
      </c>
      <c r="G78" s="30">
        <v>46149</v>
      </c>
      <c r="H78" t="s">
        <v>722</v>
      </c>
      <c r="I78">
        <v>1100657.25</v>
      </c>
      <c r="J78" s="123">
        <v>0</v>
      </c>
      <c r="K78" s="123">
        <v>0</v>
      </c>
      <c r="L78" s="123">
        <v>0</v>
      </c>
      <c r="M78">
        <v>0</v>
      </c>
      <c r="N78">
        <v>0</v>
      </c>
      <c r="O78">
        <v>0</v>
      </c>
      <c r="P78" s="216">
        <v>12900</v>
      </c>
      <c r="Q78" s="217" t="s">
        <v>18</v>
      </c>
      <c r="R78" s="217" t="s">
        <v>62</v>
      </c>
      <c r="S78" s="218">
        <v>0.74058176977541101</v>
      </c>
      <c r="T78" t="s">
        <v>550</v>
      </c>
      <c r="U78" t="s">
        <v>51</v>
      </c>
      <c r="V78" s="219">
        <v>0</v>
      </c>
      <c r="W78" s="219">
        <v>0</v>
      </c>
      <c r="AE78" t="s">
        <v>482</v>
      </c>
      <c r="AF78" t="s">
        <v>483</v>
      </c>
      <c r="AG78" t="s">
        <v>484</v>
      </c>
      <c r="AH78" t="s">
        <v>485</v>
      </c>
      <c r="AI78" s="210">
        <v>101332.35</v>
      </c>
      <c r="AJ78" s="30">
        <v>46162</v>
      </c>
      <c r="AK78" t="s">
        <v>68</v>
      </c>
      <c r="AL78" t="s">
        <v>486</v>
      </c>
      <c r="AM78" t="s">
        <v>17</v>
      </c>
      <c r="AN78" t="s">
        <v>51</v>
      </c>
    </row>
    <row r="79" spans="1:40" ht="15" customHeight="1" x14ac:dyDescent="0.25">
      <c r="A79" t="s">
        <v>725</v>
      </c>
      <c r="B79" t="s">
        <v>575</v>
      </c>
      <c r="C79">
        <v>1370</v>
      </c>
      <c r="D79" t="s">
        <v>721</v>
      </c>
      <c r="E79" t="s">
        <v>213</v>
      </c>
      <c r="F79" t="s">
        <v>580</v>
      </c>
      <c r="G79" s="30">
        <v>46149</v>
      </c>
      <c r="H79" t="s">
        <v>722</v>
      </c>
      <c r="I79">
        <v>1100657.25</v>
      </c>
      <c r="J79" s="123">
        <v>0</v>
      </c>
      <c r="K79" s="123">
        <v>0</v>
      </c>
      <c r="L79" s="123">
        <v>46147</v>
      </c>
      <c r="M79">
        <v>0</v>
      </c>
      <c r="N79">
        <v>0</v>
      </c>
      <c r="O79">
        <v>0</v>
      </c>
      <c r="P79" s="216">
        <v>1370</v>
      </c>
      <c r="Q79" s="217" t="s">
        <v>18</v>
      </c>
      <c r="R79" s="217" t="s">
        <v>582</v>
      </c>
      <c r="S79" s="218">
        <v>0.74058176977541101</v>
      </c>
      <c r="T79" t="s">
        <v>550</v>
      </c>
      <c r="U79" t="s">
        <v>51</v>
      </c>
      <c r="V79" s="219">
        <v>0</v>
      </c>
      <c r="W79" s="219">
        <v>0</v>
      </c>
      <c r="AE79" t="s">
        <v>487</v>
      </c>
      <c r="AF79" t="s">
        <v>488</v>
      </c>
      <c r="AG79" t="s">
        <v>489</v>
      </c>
      <c r="AH79" t="s">
        <v>490</v>
      </c>
      <c r="AI79" s="210">
        <v>1598636</v>
      </c>
      <c r="AJ79" s="30">
        <v>46157</v>
      </c>
      <c r="AK79" t="s">
        <v>68</v>
      </c>
      <c r="AL79" t="s">
        <v>491</v>
      </c>
      <c r="AM79" t="s">
        <v>492</v>
      </c>
      <c r="AN79" t="s">
        <v>51</v>
      </c>
    </row>
    <row r="80" spans="1:40" ht="15" customHeight="1" x14ac:dyDescent="0.25">
      <c r="A80" t="s">
        <v>726</v>
      </c>
      <c r="B80" t="s">
        <v>603</v>
      </c>
      <c r="C80">
        <v>36729</v>
      </c>
      <c r="D80" t="s">
        <v>727</v>
      </c>
      <c r="E80" t="s">
        <v>605</v>
      </c>
      <c r="F80" t="s">
        <v>554</v>
      </c>
      <c r="G80" s="30">
        <v>46149</v>
      </c>
      <c r="H80" t="s">
        <v>728</v>
      </c>
      <c r="I80">
        <v>2475684.75</v>
      </c>
      <c r="J80" s="123">
        <v>46149</v>
      </c>
      <c r="K80" s="123">
        <v>0</v>
      </c>
      <c r="L80" s="123">
        <v>0</v>
      </c>
      <c r="M80">
        <v>0</v>
      </c>
      <c r="N80">
        <v>0</v>
      </c>
      <c r="O80">
        <v>0</v>
      </c>
      <c r="P80" s="216">
        <v>36729</v>
      </c>
      <c r="Q80" s="217" t="s">
        <v>18</v>
      </c>
      <c r="R80" s="217" t="s">
        <v>554</v>
      </c>
      <c r="S80" s="218">
        <v>0.79999991139543325</v>
      </c>
      <c r="T80" t="s">
        <v>550</v>
      </c>
      <c r="U80" t="s">
        <v>51</v>
      </c>
      <c r="V80" s="219" t="s">
        <v>5883</v>
      </c>
      <c r="W80" s="219" t="s">
        <v>67</v>
      </c>
      <c r="AE80" t="s">
        <v>493</v>
      </c>
      <c r="AF80" t="s">
        <v>494</v>
      </c>
      <c r="AG80" t="s">
        <v>495</v>
      </c>
      <c r="AH80" t="s">
        <v>496</v>
      </c>
      <c r="AI80" s="210">
        <v>197143</v>
      </c>
      <c r="AJ80" s="30">
        <v>46148</v>
      </c>
      <c r="AK80" t="s">
        <v>68</v>
      </c>
      <c r="AL80" t="s">
        <v>162</v>
      </c>
      <c r="AM80" t="s">
        <v>23</v>
      </c>
      <c r="AN80" t="s">
        <v>51</v>
      </c>
    </row>
    <row r="81" spans="1:40" ht="15" customHeight="1" x14ac:dyDescent="0.25">
      <c r="A81" t="s">
        <v>729</v>
      </c>
      <c r="B81" t="s">
        <v>575</v>
      </c>
      <c r="C81">
        <v>138000</v>
      </c>
      <c r="D81" t="s">
        <v>730</v>
      </c>
      <c r="E81" t="s">
        <v>218</v>
      </c>
      <c r="F81" t="s">
        <v>585</v>
      </c>
      <c r="G81" s="30">
        <v>46143</v>
      </c>
      <c r="H81" t="s">
        <v>731</v>
      </c>
      <c r="I81">
        <v>1124719.75</v>
      </c>
      <c r="J81" s="123">
        <v>0</v>
      </c>
      <c r="K81" s="123">
        <v>0</v>
      </c>
      <c r="L81" s="123">
        <v>46142</v>
      </c>
      <c r="M81">
        <v>0</v>
      </c>
      <c r="N81">
        <v>0</v>
      </c>
      <c r="O81">
        <v>0</v>
      </c>
      <c r="P81" s="216">
        <v>138000</v>
      </c>
      <c r="Q81" s="217" t="s">
        <v>13</v>
      </c>
      <c r="R81" s="217" t="s">
        <v>61</v>
      </c>
      <c r="S81" s="218">
        <v>0.62555563688758586</v>
      </c>
      <c r="T81" t="s">
        <v>550</v>
      </c>
      <c r="U81" t="s">
        <v>51</v>
      </c>
      <c r="V81" s="219">
        <v>0</v>
      </c>
      <c r="W81" s="219">
        <v>0</v>
      </c>
      <c r="AE81" t="s">
        <v>497</v>
      </c>
      <c r="AF81" t="s">
        <v>498</v>
      </c>
      <c r="AG81" t="s">
        <v>499</v>
      </c>
      <c r="AH81" t="s">
        <v>500</v>
      </c>
      <c r="AI81" s="210">
        <v>206558</v>
      </c>
      <c r="AJ81" s="30">
        <v>46148</v>
      </c>
      <c r="AK81" t="s">
        <v>68</v>
      </c>
      <c r="AL81" t="s">
        <v>162</v>
      </c>
      <c r="AM81" t="s">
        <v>23</v>
      </c>
      <c r="AN81" t="s">
        <v>51</v>
      </c>
    </row>
    <row r="82" spans="1:40" ht="15" customHeight="1" x14ac:dyDescent="0.25">
      <c r="A82" t="s">
        <v>732</v>
      </c>
      <c r="B82" t="s">
        <v>575</v>
      </c>
      <c r="C82">
        <v>55000</v>
      </c>
      <c r="D82" t="s">
        <v>733</v>
      </c>
      <c r="E82" t="s">
        <v>218</v>
      </c>
      <c r="F82" t="s">
        <v>554</v>
      </c>
      <c r="G82" s="30">
        <v>46146</v>
      </c>
      <c r="H82" t="s">
        <v>734</v>
      </c>
      <c r="I82">
        <v>2448542.25</v>
      </c>
      <c r="J82" s="123">
        <v>0</v>
      </c>
      <c r="K82" s="123">
        <v>0</v>
      </c>
      <c r="L82" s="123">
        <v>46141</v>
      </c>
      <c r="M82">
        <v>0</v>
      </c>
      <c r="N82">
        <v>0</v>
      </c>
      <c r="O82">
        <v>0</v>
      </c>
      <c r="P82" s="216">
        <v>55000</v>
      </c>
      <c r="Q82" s="217" t="s">
        <v>13</v>
      </c>
      <c r="R82" s="217" t="s">
        <v>554</v>
      </c>
      <c r="S82" s="218">
        <v>0.70000045906726716</v>
      </c>
      <c r="T82" t="s">
        <v>550</v>
      </c>
      <c r="U82" t="s">
        <v>51</v>
      </c>
      <c r="V82" s="219" t="s">
        <v>5884</v>
      </c>
      <c r="W82" s="219" t="s">
        <v>67</v>
      </c>
      <c r="AE82" t="s">
        <v>501</v>
      </c>
      <c r="AF82" t="s">
        <v>502</v>
      </c>
      <c r="AG82" t="s">
        <v>503</v>
      </c>
      <c r="AH82" t="s">
        <v>504</v>
      </c>
      <c r="AI82" s="210">
        <v>1577874</v>
      </c>
      <c r="AJ82" s="30">
        <v>46157</v>
      </c>
      <c r="AK82" t="s">
        <v>68</v>
      </c>
      <c r="AL82" t="s">
        <v>491</v>
      </c>
      <c r="AM82" t="s">
        <v>492</v>
      </c>
      <c r="AN82" t="s">
        <v>51</v>
      </c>
    </row>
    <row r="83" spans="1:40" ht="15" customHeight="1" x14ac:dyDescent="0.25">
      <c r="A83" t="s">
        <v>735</v>
      </c>
      <c r="B83" t="s">
        <v>575</v>
      </c>
      <c r="C83">
        <v>55000</v>
      </c>
      <c r="D83" t="s">
        <v>733</v>
      </c>
      <c r="E83" t="s">
        <v>218</v>
      </c>
      <c r="F83" t="s">
        <v>554</v>
      </c>
      <c r="G83" s="30">
        <v>46146</v>
      </c>
      <c r="H83" t="s">
        <v>734</v>
      </c>
      <c r="I83">
        <v>2448542.25</v>
      </c>
      <c r="J83" s="123">
        <v>0</v>
      </c>
      <c r="K83" s="123">
        <v>0</v>
      </c>
      <c r="L83" s="123">
        <v>46142</v>
      </c>
      <c r="M83">
        <v>0</v>
      </c>
      <c r="N83">
        <v>0</v>
      </c>
      <c r="O83">
        <v>0</v>
      </c>
      <c r="P83" s="216">
        <v>55000</v>
      </c>
      <c r="Q83" s="217" t="s">
        <v>13</v>
      </c>
      <c r="R83" s="217" t="s">
        <v>554</v>
      </c>
      <c r="S83" s="218">
        <v>0.70000045906726716</v>
      </c>
      <c r="T83" t="s">
        <v>550</v>
      </c>
      <c r="U83" t="s">
        <v>51</v>
      </c>
      <c r="V83" s="219" t="s">
        <v>5885</v>
      </c>
      <c r="W83" s="219" t="s">
        <v>67</v>
      </c>
      <c r="AE83" t="s">
        <v>505</v>
      </c>
      <c r="AF83" t="s">
        <v>506</v>
      </c>
      <c r="AG83" t="s">
        <v>507</v>
      </c>
      <c r="AH83" t="s">
        <v>508</v>
      </c>
      <c r="AI83" s="210">
        <v>222115</v>
      </c>
      <c r="AJ83" s="30">
        <v>46172</v>
      </c>
      <c r="AK83" t="s">
        <v>68</v>
      </c>
      <c r="AL83" t="s">
        <v>509</v>
      </c>
      <c r="AM83" t="s">
        <v>18</v>
      </c>
      <c r="AN83" t="s">
        <v>51</v>
      </c>
    </row>
    <row r="84" spans="1:40" ht="15" customHeight="1" x14ac:dyDescent="0.25">
      <c r="A84" t="s">
        <v>736</v>
      </c>
      <c r="B84" t="s">
        <v>575</v>
      </c>
      <c r="C84">
        <v>135063</v>
      </c>
      <c r="D84" t="s">
        <v>733</v>
      </c>
      <c r="E84" t="s">
        <v>218</v>
      </c>
      <c r="F84" t="s">
        <v>554</v>
      </c>
      <c r="G84" s="30">
        <v>46146</v>
      </c>
      <c r="H84" t="s">
        <v>734</v>
      </c>
      <c r="I84">
        <v>2448542.25</v>
      </c>
      <c r="J84" s="123">
        <v>0</v>
      </c>
      <c r="K84" s="123">
        <v>0</v>
      </c>
      <c r="L84" s="123">
        <v>46146</v>
      </c>
      <c r="M84">
        <v>0</v>
      </c>
      <c r="N84">
        <v>0</v>
      </c>
      <c r="O84">
        <v>0</v>
      </c>
      <c r="P84" s="216">
        <v>135063</v>
      </c>
      <c r="Q84" s="217" t="s">
        <v>13</v>
      </c>
      <c r="R84" s="217" t="s">
        <v>554</v>
      </c>
      <c r="S84" s="218">
        <v>0.70000045906726716</v>
      </c>
      <c r="T84" t="s">
        <v>550</v>
      </c>
      <c r="U84" t="s">
        <v>51</v>
      </c>
      <c r="V84" s="219" t="s">
        <v>5886</v>
      </c>
      <c r="W84" s="219" t="s">
        <v>67</v>
      </c>
      <c r="AE84" t="s">
        <v>510</v>
      </c>
      <c r="AF84" t="s">
        <v>511</v>
      </c>
      <c r="AG84" t="s">
        <v>512</v>
      </c>
      <c r="AH84" t="s">
        <v>513</v>
      </c>
      <c r="AI84" s="210">
        <v>119480</v>
      </c>
      <c r="AJ84" s="30">
        <v>46152</v>
      </c>
      <c r="AK84" t="s">
        <v>68</v>
      </c>
      <c r="AL84" t="s">
        <v>514</v>
      </c>
      <c r="AM84" t="s">
        <v>15</v>
      </c>
      <c r="AN84" t="s">
        <v>51</v>
      </c>
    </row>
    <row r="85" spans="1:40" ht="15" customHeight="1" x14ac:dyDescent="0.25">
      <c r="A85" t="s">
        <v>737</v>
      </c>
      <c r="B85" t="s">
        <v>575</v>
      </c>
      <c r="C85">
        <v>306821</v>
      </c>
      <c r="D85" t="s">
        <v>738</v>
      </c>
      <c r="E85" t="s">
        <v>213</v>
      </c>
      <c r="F85" t="s">
        <v>554</v>
      </c>
      <c r="G85" s="30">
        <v>46143</v>
      </c>
      <c r="H85" t="s">
        <v>739</v>
      </c>
      <c r="I85">
        <v>2448965.75</v>
      </c>
      <c r="J85" s="123">
        <v>0</v>
      </c>
      <c r="K85" s="123">
        <v>0</v>
      </c>
      <c r="L85" s="123">
        <v>46139</v>
      </c>
      <c r="M85">
        <v>0</v>
      </c>
      <c r="N85">
        <v>0</v>
      </c>
      <c r="O85">
        <v>0</v>
      </c>
      <c r="P85" s="216">
        <v>306821</v>
      </c>
      <c r="Q85" s="217" t="s">
        <v>18</v>
      </c>
      <c r="R85" s="217" t="s">
        <v>554</v>
      </c>
      <c r="S85" s="218">
        <v>0.7512244010401018</v>
      </c>
      <c r="T85" t="s">
        <v>550</v>
      </c>
      <c r="U85" t="s">
        <v>51</v>
      </c>
      <c r="V85" s="219" t="s">
        <v>5887</v>
      </c>
      <c r="W85" s="219" t="s">
        <v>67</v>
      </c>
      <c r="AE85" t="s">
        <v>515</v>
      </c>
      <c r="AF85" t="s">
        <v>516</v>
      </c>
      <c r="AG85" t="s">
        <v>517</v>
      </c>
      <c r="AH85" t="s">
        <v>518</v>
      </c>
      <c r="AI85" s="210">
        <v>56618</v>
      </c>
      <c r="AJ85" s="30">
        <v>46162</v>
      </c>
      <c r="AK85" t="s">
        <v>68</v>
      </c>
      <c r="AL85" t="s">
        <v>519</v>
      </c>
      <c r="AM85" t="s">
        <v>33</v>
      </c>
      <c r="AN85" t="s">
        <v>51</v>
      </c>
    </row>
    <row r="86" spans="1:40" ht="15" customHeight="1" x14ac:dyDescent="0.25">
      <c r="A86" t="s">
        <v>740</v>
      </c>
      <c r="B86" t="s">
        <v>575</v>
      </c>
      <c r="C86">
        <v>250000</v>
      </c>
      <c r="D86" t="s">
        <v>741</v>
      </c>
      <c r="E86" t="s">
        <v>213</v>
      </c>
      <c r="F86" t="s">
        <v>554</v>
      </c>
      <c r="G86" s="30">
        <v>46146</v>
      </c>
      <c r="H86" t="s">
        <v>742</v>
      </c>
      <c r="I86">
        <v>2475684.75</v>
      </c>
      <c r="J86" s="123">
        <v>0</v>
      </c>
      <c r="K86" s="123">
        <v>0</v>
      </c>
      <c r="L86" s="123">
        <v>46143</v>
      </c>
      <c r="M86">
        <v>0</v>
      </c>
      <c r="N86">
        <v>0</v>
      </c>
      <c r="O86">
        <v>0</v>
      </c>
      <c r="P86" s="216">
        <v>250000</v>
      </c>
      <c r="Q86" s="217" t="s">
        <v>18</v>
      </c>
      <c r="R86" s="217" t="s">
        <v>554</v>
      </c>
      <c r="S86" s="218">
        <v>0.79791956477436843</v>
      </c>
      <c r="T86" t="s">
        <v>550</v>
      </c>
      <c r="U86" t="s">
        <v>51</v>
      </c>
      <c r="V86" s="219" t="s">
        <v>5888</v>
      </c>
      <c r="W86" s="219" t="s">
        <v>67</v>
      </c>
      <c r="AE86" t="s">
        <v>520</v>
      </c>
      <c r="AF86" t="s">
        <v>521</v>
      </c>
      <c r="AG86" t="s">
        <v>522</v>
      </c>
      <c r="AH86" t="s">
        <v>523</v>
      </c>
      <c r="AI86" s="210">
        <v>192662</v>
      </c>
      <c r="AJ86" s="30">
        <v>46148</v>
      </c>
      <c r="AK86" t="s">
        <v>68</v>
      </c>
      <c r="AL86" t="s">
        <v>524</v>
      </c>
      <c r="AM86" t="s">
        <v>25</v>
      </c>
      <c r="AN86" t="s">
        <v>51</v>
      </c>
    </row>
    <row r="87" spans="1:40" ht="15" customHeight="1" x14ac:dyDescent="0.25">
      <c r="A87" t="s">
        <v>743</v>
      </c>
      <c r="B87" t="s">
        <v>546</v>
      </c>
      <c r="C87">
        <v>30000</v>
      </c>
      <c r="D87" t="s">
        <v>744</v>
      </c>
      <c r="E87" t="s">
        <v>553</v>
      </c>
      <c r="F87" t="s">
        <v>554</v>
      </c>
      <c r="G87" s="30">
        <v>46143</v>
      </c>
      <c r="H87" t="s">
        <v>745</v>
      </c>
      <c r="I87">
        <v>1124719.75</v>
      </c>
      <c r="J87" s="123">
        <v>46142</v>
      </c>
      <c r="K87" s="123">
        <v>0</v>
      </c>
      <c r="L87" s="123">
        <v>46142</v>
      </c>
      <c r="M87">
        <v>0</v>
      </c>
      <c r="N87">
        <v>0</v>
      </c>
      <c r="O87" t="s">
        <v>556</v>
      </c>
      <c r="P87" s="216">
        <v>30000</v>
      </c>
      <c r="Q87" s="217" t="s">
        <v>18</v>
      </c>
      <c r="R87" s="217" t="s">
        <v>554</v>
      </c>
      <c r="S87" s="218">
        <v>0.75107526357809917</v>
      </c>
      <c r="T87" t="s">
        <v>550</v>
      </c>
      <c r="U87" t="s">
        <v>51</v>
      </c>
      <c r="V87" s="219" t="s">
        <v>5889</v>
      </c>
      <c r="W87" s="219" t="s">
        <v>67</v>
      </c>
      <c r="AE87" t="s">
        <v>525</v>
      </c>
      <c r="AF87" t="s">
        <v>526</v>
      </c>
      <c r="AG87" t="s">
        <v>527</v>
      </c>
      <c r="AH87" t="s">
        <v>528</v>
      </c>
      <c r="AI87" s="210">
        <v>398749</v>
      </c>
      <c r="AJ87" s="30">
        <v>46160</v>
      </c>
      <c r="AK87" t="s">
        <v>68</v>
      </c>
      <c r="AL87" t="s">
        <v>529</v>
      </c>
      <c r="AM87" t="s">
        <v>18</v>
      </c>
      <c r="AN87" t="s">
        <v>51</v>
      </c>
    </row>
    <row r="88" spans="1:40" ht="15" customHeight="1" x14ac:dyDescent="0.25">
      <c r="A88" t="s">
        <v>746</v>
      </c>
      <c r="B88" t="s">
        <v>546</v>
      </c>
      <c r="C88">
        <v>15000</v>
      </c>
      <c r="D88" t="s">
        <v>744</v>
      </c>
      <c r="E88" t="s">
        <v>553</v>
      </c>
      <c r="F88" t="s">
        <v>548</v>
      </c>
      <c r="G88" s="30">
        <v>46143</v>
      </c>
      <c r="H88" t="s">
        <v>745</v>
      </c>
      <c r="I88">
        <v>1124719.75</v>
      </c>
      <c r="J88" s="123">
        <v>46142</v>
      </c>
      <c r="K88" s="123">
        <v>0</v>
      </c>
      <c r="L88" s="123">
        <v>46142</v>
      </c>
      <c r="M88">
        <v>0</v>
      </c>
      <c r="N88">
        <v>0</v>
      </c>
      <c r="O88" t="s">
        <v>556</v>
      </c>
      <c r="P88" s="216">
        <v>15000</v>
      </c>
      <c r="Q88" s="217" t="s">
        <v>18</v>
      </c>
      <c r="R88" s="217" t="s">
        <v>62</v>
      </c>
      <c r="S88" s="218">
        <v>0.75107526357809917</v>
      </c>
      <c r="T88" t="s">
        <v>550</v>
      </c>
      <c r="U88" t="s">
        <v>51</v>
      </c>
      <c r="V88" s="219">
        <v>0</v>
      </c>
      <c r="W88" s="219">
        <v>0</v>
      </c>
      <c r="AE88" t="s">
        <v>530</v>
      </c>
      <c r="AF88" t="s">
        <v>531</v>
      </c>
      <c r="AG88" t="s">
        <v>532</v>
      </c>
      <c r="AH88" t="s">
        <v>533</v>
      </c>
      <c r="AI88" s="210">
        <v>173128</v>
      </c>
      <c r="AJ88" s="30">
        <v>46146</v>
      </c>
      <c r="AK88" t="s">
        <v>68</v>
      </c>
      <c r="AL88" t="s">
        <v>524</v>
      </c>
      <c r="AM88" t="s">
        <v>25</v>
      </c>
      <c r="AN88" t="s">
        <v>51</v>
      </c>
    </row>
    <row r="89" spans="1:40" ht="15" customHeight="1" x14ac:dyDescent="0.25">
      <c r="A89" t="s">
        <v>747</v>
      </c>
      <c r="B89" t="s">
        <v>546</v>
      </c>
      <c r="C89">
        <v>28814</v>
      </c>
      <c r="D89" t="s">
        <v>744</v>
      </c>
      <c r="E89" t="s">
        <v>553</v>
      </c>
      <c r="F89" t="s">
        <v>548</v>
      </c>
      <c r="G89" s="30">
        <v>46143</v>
      </c>
      <c r="H89" t="s">
        <v>745</v>
      </c>
      <c r="I89">
        <v>1124719.75</v>
      </c>
      <c r="J89" s="123">
        <v>46142</v>
      </c>
      <c r="K89" s="123">
        <v>0</v>
      </c>
      <c r="L89" s="123">
        <v>46142</v>
      </c>
      <c r="M89">
        <v>0</v>
      </c>
      <c r="N89">
        <v>0</v>
      </c>
      <c r="O89" t="s">
        <v>556</v>
      </c>
      <c r="P89" s="216">
        <v>28814</v>
      </c>
      <c r="Q89" s="217" t="s">
        <v>18</v>
      </c>
      <c r="R89" s="217" t="s">
        <v>62</v>
      </c>
      <c r="S89" s="218">
        <v>0.75107526357809917</v>
      </c>
      <c r="T89" t="s">
        <v>550</v>
      </c>
      <c r="U89" t="s">
        <v>51</v>
      </c>
      <c r="V89" s="219">
        <v>0</v>
      </c>
      <c r="W89" s="219">
        <v>0</v>
      </c>
      <c r="AE89" t="s">
        <v>534</v>
      </c>
      <c r="AF89" t="s">
        <v>535</v>
      </c>
      <c r="AG89" t="s">
        <v>536</v>
      </c>
      <c r="AH89" t="s">
        <v>537</v>
      </c>
      <c r="AI89" s="210">
        <v>252164</v>
      </c>
      <c r="AJ89" s="30">
        <v>46145</v>
      </c>
      <c r="AK89" t="s">
        <v>68</v>
      </c>
      <c r="AL89" t="s">
        <v>538</v>
      </c>
      <c r="AM89" t="s">
        <v>13</v>
      </c>
      <c r="AN89" t="s">
        <v>78</v>
      </c>
    </row>
    <row r="90" spans="1:40" ht="15" customHeight="1" x14ac:dyDescent="0.25">
      <c r="A90" t="s">
        <v>748</v>
      </c>
      <c r="B90" t="s">
        <v>546</v>
      </c>
      <c r="C90">
        <v>20000</v>
      </c>
      <c r="D90" t="s">
        <v>744</v>
      </c>
      <c r="E90" t="s">
        <v>553</v>
      </c>
      <c r="F90" t="s">
        <v>548</v>
      </c>
      <c r="G90" s="30">
        <v>46143</v>
      </c>
      <c r="H90" t="s">
        <v>745</v>
      </c>
      <c r="I90">
        <v>1124719.75</v>
      </c>
      <c r="J90" s="123">
        <v>46142</v>
      </c>
      <c r="K90" s="123">
        <v>0</v>
      </c>
      <c r="L90" s="123">
        <v>46142</v>
      </c>
      <c r="M90">
        <v>0</v>
      </c>
      <c r="N90">
        <v>0</v>
      </c>
      <c r="O90" t="s">
        <v>556</v>
      </c>
      <c r="P90" s="216">
        <v>20000</v>
      </c>
      <c r="Q90" s="217" t="s">
        <v>18</v>
      </c>
      <c r="R90" s="217" t="s">
        <v>62</v>
      </c>
      <c r="S90" s="218">
        <v>0.75107526357809917</v>
      </c>
      <c r="T90" t="s">
        <v>550</v>
      </c>
      <c r="U90" t="s">
        <v>51</v>
      </c>
      <c r="V90" s="219">
        <v>0</v>
      </c>
      <c r="W90" s="219">
        <v>0</v>
      </c>
      <c r="AE90" t="s">
        <v>539</v>
      </c>
      <c r="AF90" t="s">
        <v>535</v>
      </c>
      <c r="AG90" t="s">
        <v>536</v>
      </c>
      <c r="AH90" t="s">
        <v>537</v>
      </c>
      <c r="AI90" s="210">
        <v>29167</v>
      </c>
      <c r="AJ90" s="30">
        <v>46145</v>
      </c>
      <c r="AK90" t="s">
        <v>68</v>
      </c>
      <c r="AL90" t="s">
        <v>538</v>
      </c>
      <c r="AM90" t="s">
        <v>13</v>
      </c>
      <c r="AN90" t="s">
        <v>78</v>
      </c>
    </row>
    <row r="91" spans="1:40" ht="15" customHeight="1" x14ac:dyDescent="0.25">
      <c r="A91" t="s">
        <v>749</v>
      </c>
      <c r="B91" t="s">
        <v>546</v>
      </c>
      <c r="C91">
        <v>30000</v>
      </c>
      <c r="D91" t="s">
        <v>744</v>
      </c>
      <c r="E91" t="s">
        <v>553</v>
      </c>
      <c r="F91" t="s">
        <v>548</v>
      </c>
      <c r="G91" s="30">
        <v>46143</v>
      </c>
      <c r="H91" t="s">
        <v>745</v>
      </c>
      <c r="I91">
        <v>1124719.75</v>
      </c>
      <c r="J91" s="123">
        <v>46142</v>
      </c>
      <c r="K91" s="123">
        <v>0</v>
      </c>
      <c r="L91" s="123">
        <v>46142</v>
      </c>
      <c r="M91">
        <v>0</v>
      </c>
      <c r="N91">
        <v>0</v>
      </c>
      <c r="O91" t="s">
        <v>556</v>
      </c>
      <c r="P91" s="216">
        <v>30000</v>
      </c>
      <c r="Q91" s="217" t="s">
        <v>18</v>
      </c>
      <c r="R91" s="217" t="s">
        <v>62</v>
      </c>
      <c r="S91" s="218">
        <v>0.75107526357809917</v>
      </c>
      <c r="T91" t="s">
        <v>550</v>
      </c>
      <c r="U91" t="s">
        <v>51</v>
      </c>
      <c r="V91" s="219">
        <v>0</v>
      </c>
      <c r="W91" s="219">
        <v>0</v>
      </c>
      <c r="AE91" t="s">
        <v>540</v>
      </c>
      <c r="AF91" t="s">
        <v>541</v>
      </c>
      <c r="AG91" t="s">
        <v>542</v>
      </c>
      <c r="AH91" t="s">
        <v>543</v>
      </c>
      <c r="AI91" s="210">
        <v>70000</v>
      </c>
      <c r="AJ91" s="30">
        <v>46144</v>
      </c>
      <c r="AK91" t="s">
        <v>70</v>
      </c>
      <c r="AL91" t="s">
        <v>544</v>
      </c>
      <c r="AM91" t="s">
        <v>24</v>
      </c>
      <c r="AN91" t="s">
        <v>51</v>
      </c>
    </row>
    <row r="92" spans="1:40" ht="15" customHeight="1" x14ac:dyDescent="0.25">
      <c r="A92" t="s">
        <v>750</v>
      </c>
      <c r="B92" t="s">
        <v>575</v>
      </c>
      <c r="C92">
        <v>301008</v>
      </c>
      <c r="D92" t="s">
        <v>751</v>
      </c>
      <c r="E92" t="s">
        <v>213</v>
      </c>
      <c r="F92" t="s">
        <v>554</v>
      </c>
      <c r="G92" s="30">
        <v>46147</v>
      </c>
      <c r="H92" t="s">
        <v>752</v>
      </c>
      <c r="I92">
        <v>3003847</v>
      </c>
      <c r="J92" s="123">
        <v>0</v>
      </c>
      <c r="K92" s="123">
        <v>0</v>
      </c>
      <c r="L92" s="123">
        <v>46146</v>
      </c>
      <c r="M92">
        <v>0</v>
      </c>
      <c r="N92">
        <v>0</v>
      </c>
      <c r="O92">
        <v>0</v>
      </c>
      <c r="P92" s="216">
        <v>301008</v>
      </c>
      <c r="Q92" s="217" t="s">
        <v>18</v>
      </c>
      <c r="R92" s="217" t="s">
        <v>554</v>
      </c>
      <c r="S92" s="218">
        <v>0.80408661352972211</v>
      </c>
      <c r="T92" t="s">
        <v>550</v>
      </c>
      <c r="U92" t="s">
        <v>51</v>
      </c>
      <c r="V92" s="219" t="s">
        <v>5890</v>
      </c>
      <c r="W92" s="219" t="s">
        <v>67</v>
      </c>
    </row>
    <row r="93" spans="1:40" ht="15" customHeight="1" x14ac:dyDescent="0.25">
      <c r="A93" t="s">
        <v>753</v>
      </c>
      <c r="B93" t="s">
        <v>575</v>
      </c>
      <c r="C93">
        <v>137895</v>
      </c>
      <c r="D93" t="s">
        <v>754</v>
      </c>
      <c r="E93" t="s">
        <v>213</v>
      </c>
      <c r="F93" t="s">
        <v>554</v>
      </c>
      <c r="G93" s="30">
        <v>46146</v>
      </c>
      <c r="H93" t="s">
        <v>755</v>
      </c>
      <c r="I93">
        <v>1124719.75</v>
      </c>
      <c r="J93" s="123">
        <v>0</v>
      </c>
      <c r="K93" s="123">
        <v>0</v>
      </c>
      <c r="L93" s="123">
        <v>46143</v>
      </c>
      <c r="M93">
        <v>0</v>
      </c>
      <c r="N93">
        <v>0</v>
      </c>
      <c r="O93">
        <v>0</v>
      </c>
      <c r="P93" s="216">
        <v>137895</v>
      </c>
      <c r="Q93" s="217" t="s">
        <v>18</v>
      </c>
      <c r="R93" s="217" t="s">
        <v>554</v>
      </c>
      <c r="S93" s="218">
        <v>0.75000016996631724</v>
      </c>
      <c r="T93" t="s">
        <v>550</v>
      </c>
      <c r="U93" t="s">
        <v>51</v>
      </c>
      <c r="V93" s="219" t="s">
        <v>5891</v>
      </c>
      <c r="W93" s="219" t="s">
        <v>67</v>
      </c>
    </row>
    <row r="94" spans="1:40" ht="15" customHeight="1" x14ac:dyDescent="0.25">
      <c r="A94" t="s">
        <v>756</v>
      </c>
      <c r="B94" t="s">
        <v>546</v>
      </c>
      <c r="C94">
        <v>50000</v>
      </c>
      <c r="D94" t="s">
        <v>757</v>
      </c>
      <c r="E94" t="s">
        <v>553</v>
      </c>
      <c r="F94" t="s">
        <v>554</v>
      </c>
      <c r="G94" s="30">
        <v>46143</v>
      </c>
      <c r="H94" t="s">
        <v>758</v>
      </c>
      <c r="I94">
        <v>3014838.75</v>
      </c>
      <c r="J94" s="123">
        <v>46143</v>
      </c>
      <c r="K94" s="123">
        <v>0</v>
      </c>
      <c r="L94" s="123">
        <v>46143</v>
      </c>
      <c r="M94">
        <v>0</v>
      </c>
      <c r="N94">
        <v>0</v>
      </c>
      <c r="O94" t="s">
        <v>556</v>
      </c>
      <c r="P94" s="216">
        <v>50000</v>
      </c>
      <c r="Q94" s="217" t="s">
        <v>22</v>
      </c>
      <c r="R94" s="217" t="s">
        <v>554</v>
      </c>
      <c r="S94" s="218">
        <v>0.74584306617356855</v>
      </c>
      <c r="T94" t="s">
        <v>550</v>
      </c>
      <c r="U94" t="s">
        <v>51</v>
      </c>
      <c r="V94" s="219" t="s">
        <v>5892</v>
      </c>
      <c r="W94" s="219" t="s">
        <v>67</v>
      </c>
    </row>
    <row r="95" spans="1:40" ht="15" customHeight="1" x14ac:dyDescent="0.25">
      <c r="A95" t="s">
        <v>759</v>
      </c>
      <c r="B95" t="s">
        <v>575</v>
      </c>
      <c r="C95">
        <v>245500</v>
      </c>
      <c r="D95" t="s">
        <v>760</v>
      </c>
      <c r="E95" t="s">
        <v>238</v>
      </c>
      <c r="F95" t="s">
        <v>554</v>
      </c>
      <c r="G95" s="30">
        <v>46143</v>
      </c>
      <c r="H95" t="s">
        <v>761</v>
      </c>
      <c r="I95">
        <v>2449370</v>
      </c>
      <c r="J95" s="123">
        <v>0</v>
      </c>
      <c r="K95" s="123">
        <v>0</v>
      </c>
      <c r="L95" s="123">
        <v>46142</v>
      </c>
      <c r="M95">
        <v>0</v>
      </c>
      <c r="N95">
        <v>0</v>
      </c>
      <c r="O95">
        <v>0</v>
      </c>
      <c r="P95" s="216">
        <v>245500</v>
      </c>
      <c r="Q95" s="217" t="s">
        <v>19</v>
      </c>
      <c r="R95" s="217" t="s">
        <v>554</v>
      </c>
      <c r="S95" s="218">
        <v>0.80131602247780065</v>
      </c>
      <c r="T95" t="s">
        <v>550</v>
      </c>
      <c r="U95" t="s">
        <v>51</v>
      </c>
      <c r="V95" s="219" t="s">
        <v>5893</v>
      </c>
      <c r="W95" s="219" t="s">
        <v>67</v>
      </c>
    </row>
    <row r="96" spans="1:40" ht="15" customHeight="1" x14ac:dyDescent="0.25">
      <c r="A96" t="s">
        <v>762</v>
      </c>
      <c r="B96" t="s">
        <v>595</v>
      </c>
      <c r="C96">
        <v>248294</v>
      </c>
      <c r="D96" t="s">
        <v>763</v>
      </c>
      <c r="E96" t="s">
        <v>213</v>
      </c>
      <c r="F96" t="s">
        <v>554</v>
      </c>
      <c r="G96" s="30">
        <v>46148</v>
      </c>
      <c r="H96" t="s">
        <v>764</v>
      </c>
      <c r="I96">
        <v>2475684.75</v>
      </c>
      <c r="J96" s="123">
        <v>0</v>
      </c>
      <c r="K96" s="123">
        <v>0</v>
      </c>
      <c r="L96" s="123">
        <v>46140</v>
      </c>
      <c r="M96">
        <v>0</v>
      </c>
      <c r="N96">
        <v>0</v>
      </c>
      <c r="O96">
        <v>0</v>
      </c>
      <c r="P96" s="216">
        <v>248294</v>
      </c>
      <c r="Q96" s="217" t="s">
        <v>18</v>
      </c>
      <c r="R96" s="217" t="s">
        <v>554</v>
      </c>
      <c r="S96" s="218">
        <v>0.79999982681834692</v>
      </c>
      <c r="T96" t="s">
        <v>550</v>
      </c>
      <c r="U96" t="s">
        <v>51</v>
      </c>
      <c r="V96" s="219" t="s">
        <v>5894</v>
      </c>
      <c r="W96" s="219" t="s">
        <v>67</v>
      </c>
    </row>
    <row r="97" spans="1:23" ht="15" customHeight="1" x14ac:dyDescent="0.25">
      <c r="A97" t="s">
        <v>765</v>
      </c>
      <c r="B97" t="s">
        <v>546</v>
      </c>
      <c r="C97">
        <v>50000</v>
      </c>
      <c r="D97" t="s">
        <v>766</v>
      </c>
      <c r="E97" t="s">
        <v>203</v>
      </c>
      <c r="F97" t="s">
        <v>554</v>
      </c>
      <c r="G97" s="30">
        <v>46148</v>
      </c>
      <c r="H97" t="s">
        <v>767</v>
      </c>
      <c r="I97">
        <v>3016282.5</v>
      </c>
      <c r="J97" s="123">
        <v>0</v>
      </c>
      <c r="K97" s="123">
        <v>0</v>
      </c>
      <c r="L97" s="123">
        <v>0</v>
      </c>
      <c r="M97">
        <v>0</v>
      </c>
      <c r="N97">
        <v>0</v>
      </c>
      <c r="O97">
        <v>0</v>
      </c>
      <c r="P97" s="216">
        <v>50000</v>
      </c>
      <c r="Q97" s="217" t="s">
        <v>22</v>
      </c>
      <c r="R97" s="217" t="s">
        <v>554</v>
      </c>
      <c r="S97" s="218">
        <v>0.65468038541246665</v>
      </c>
      <c r="T97" t="s">
        <v>550</v>
      </c>
      <c r="U97" t="s">
        <v>51</v>
      </c>
      <c r="V97" s="219" t="s">
        <v>5895</v>
      </c>
      <c r="W97" s="219" t="s">
        <v>67</v>
      </c>
    </row>
    <row r="98" spans="1:23" ht="15" customHeight="1" x14ac:dyDescent="0.25">
      <c r="A98" t="s">
        <v>768</v>
      </c>
      <c r="B98" t="s">
        <v>595</v>
      </c>
      <c r="C98">
        <v>245457</v>
      </c>
      <c r="D98" t="s">
        <v>769</v>
      </c>
      <c r="E98" t="s">
        <v>218</v>
      </c>
      <c r="F98" t="s">
        <v>585</v>
      </c>
      <c r="G98" s="30">
        <v>46143</v>
      </c>
      <c r="H98" t="s">
        <v>770</v>
      </c>
      <c r="I98">
        <v>2448965.75</v>
      </c>
      <c r="J98" s="123">
        <v>0</v>
      </c>
      <c r="K98" s="123">
        <v>0</v>
      </c>
      <c r="L98" s="123">
        <v>46141</v>
      </c>
      <c r="M98">
        <v>0</v>
      </c>
      <c r="N98">
        <v>0</v>
      </c>
      <c r="O98">
        <v>0</v>
      </c>
      <c r="P98" s="216">
        <v>245457</v>
      </c>
      <c r="Q98" s="217" t="s">
        <v>13</v>
      </c>
      <c r="R98" s="217" t="s">
        <v>61</v>
      </c>
      <c r="S98" s="218">
        <v>0.69998820566148623</v>
      </c>
      <c r="T98" t="s">
        <v>550</v>
      </c>
      <c r="U98" t="s">
        <v>51</v>
      </c>
      <c r="V98" s="219">
        <v>0</v>
      </c>
      <c r="W98" s="219">
        <v>0</v>
      </c>
    </row>
    <row r="99" spans="1:23" ht="15" customHeight="1" x14ac:dyDescent="0.25">
      <c r="A99" t="s">
        <v>771</v>
      </c>
      <c r="B99" t="s">
        <v>64</v>
      </c>
      <c r="C99">
        <v>300000</v>
      </c>
      <c r="D99" t="s">
        <v>772</v>
      </c>
      <c r="E99" t="s">
        <v>773</v>
      </c>
      <c r="F99" t="s">
        <v>554</v>
      </c>
      <c r="G99" s="30">
        <v>46148</v>
      </c>
      <c r="H99" t="s">
        <v>774</v>
      </c>
      <c r="I99">
        <v>2475684.75</v>
      </c>
      <c r="J99" s="123">
        <v>0</v>
      </c>
      <c r="K99" s="123">
        <v>46143</v>
      </c>
      <c r="L99" s="123">
        <v>0</v>
      </c>
      <c r="M99">
        <v>0</v>
      </c>
      <c r="N99">
        <v>0</v>
      </c>
      <c r="O99" t="s">
        <v>556</v>
      </c>
      <c r="P99" s="216">
        <v>300000</v>
      </c>
      <c r="Q99" s="217" t="s">
        <v>18</v>
      </c>
      <c r="R99" s="217" t="s">
        <v>554</v>
      </c>
      <c r="S99" s="218">
        <v>0.62678540931003224</v>
      </c>
      <c r="T99" t="s">
        <v>550</v>
      </c>
      <c r="U99" t="s">
        <v>51</v>
      </c>
      <c r="V99" s="219" t="s">
        <v>5896</v>
      </c>
      <c r="W99" s="219" t="s">
        <v>71</v>
      </c>
    </row>
    <row r="100" spans="1:23" ht="15" customHeight="1" x14ac:dyDescent="0.25">
      <c r="A100" t="s">
        <v>775</v>
      </c>
      <c r="B100" t="s">
        <v>595</v>
      </c>
      <c r="C100">
        <v>140000</v>
      </c>
      <c r="D100" t="s">
        <v>776</v>
      </c>
      <c r="E100" t="s">
        <v>218</v>
      </c>
      <c r="F100" t="s">
        <v>554</v>
      </c>
      <c r="G100" s="30">
        <v>46143</v>
      </c>
      <c r="H100" t="s">
        <v>777</v>
      </c>
      <c r="I100">
        <v>2455395.25</v>
      </c>
      <c r="J100" s="123">
        <v>0</v>
      </c>
      <c r="K100" s="123">
        <v>0</v>
      </c>
      <c r="L100" s="123">
        <v>46141</v>
      </c>
      <c r="M100">
        <v>0</v>
      </c>
      <c r="N100">
        <v>0</v>
      </c>
      <c r="O100">
        <v>0</v>
      </c>
      <c r="P100" s="216">
        <v>140000</v>
      </c>
      <c r="Q100" s="217" t="s">
        <v>13</v>
      </c>
      <c r="R100" s="217" t="s">
        <v>554</v>
      </c>
      <c r="S100" s="218">
        <v>0.73971168888277916</v>
      </c>
      <c r="T100" t="s">
        <v>550</v>
      </c>
      <c r="U100" t="s">
        <v>51</v>
      </c>
      <c r="V100" s="219">
        <v>0</v>
      </c>
      <c r="W100" s="219" t="s">
        <v>72</v>
      </c>
    </row>
    <row r="101" spans="1:23" ht="15" customHeight="1" x14ac:dyDescent="0.25">
      <c r="A101" t="s">
        <v>778</v>
      </c>
      <c r="B101" t="s">
        <v>546</v>
      </c>
      <c r="C101">
        <v>5000</v>
      </c>
      <c r="D101" t="s">
        <v>779</v>
      </c>
      <c r="E101" t="s">
        <v>553</v>
      </c>
      <c r="F101" t="s">
        <v>554</v>
      </c>
      <c r="G101" s="30">
        <v>46146</v>
      </c>
      <c r="H101" t="s">
        <v>780</v>
      </c>
      <c r="I101">
        <v>2449793.5</v>
      </c>
      <c r="J101" s="123">
        <v>46146</v>
      </c>
      <c r="K101" s="123">
        <v>0</v>
      </c>
      <c r="L101" s="123">
        <v>46146</v>
      </c>
      <c r="M101">
        <v>0</v>
      </c>
      <c r="N101">
        <v>0</v>
      </c>
      <c r="O101" t="s">
        <v>556</v>
      </c>
      <c r="P101" s="216">
        <v>5000</v>
      </c>
      <c r="Q101" s="217" t="s">
        <v>18</v>
      </c>
      <c r="R101" s="217" t="s">
        <v>554</v>
      </c>
      <c r="S101" s="218">
        <v>0.62850492469179775</v>
      </c>
      <c r="T101" t="s">
        <v>550</v>
      </c>
      <c r="U101" t="s">
        <v>51</v>
      </c>
      <c r="V101" s="219" t="s">
        <v>5897</v>
      </c>
      <c r="W101" s="219" t="s">
        <v>67</v>
      </c>
    </row>
    <row r="102" spans="1:23" ht="15" customHeight="1" x14ac:dyDescent="0.25">
      <c r="A102" t="s">
        <v>781</v>
      </c>
      <c r="B102" t="s">
        <v>575</v>
      </c>
      <c r="C102">
        <v>14260</v>
      </c>
      <c r="D102" t="s">
        <v>782</v>
      </c>
      <c r="E102" t="s">
        <v>213</v>
      </c>
      <c r="F102" t="s">
        <v>554</v>
      </c>
      <c r="G102" s="30">
        <v>46144</v>
      </c>
      <c r="H102" t="s">
        <v>783</v>
      </c>
      <c r="I102">
        <v>2454971.75</v>
      </c>
      <c r="J102" s="123">
        <v>0</v>
      </c>
      <c r="K102" s="123">
        <v>0</v>
      </c>
      <c r="L102" s="123">
        <v>46119</v>
      </c>
      <c r="M102">
        <v>0</v>
      </c>
      <c r="N102">
        <v>0</v>
      </c>
      <c r="O102">
        <v>0</v>
      </c>
      <c r="P102" s="216">
        <v>14260</v>
      </c>
      <c r="Q102" s="217" t="s">
        <v>18</v>
      </c>
      <c r="R102" s="217" t="s">
        <v>554</v>
      </c>
      <c r="S102" s="218">
        <v>0.6340090534210584</v>
      </c>
      <c r="T102" t="s">
        <v>550</v>
      </c>
      <c r="U102" t="s">
        <v>51</v>
      </c>
      <c r="V102" s="219" t="s">
        <v>5898</v>
      </c>
      <c r="W102" s="219" t="s">
        <v>67</v>
      </c>
    </row>
    <row r="103" spans="1:23" ht="15" customHeight="1" x14ac:dyDescent="0.25">
      <c r="A103" t="s">
        <v>784</v>
      </c>
      <c r="B103" t="s">
        <v>595</v>
      </c>
      <c r="C103">
        <v>69100</v>
      </c>
      <c r="D103" t="s">
        <v>785</v>
      </c>
      <c r="E103" t="s">
        <v>218</v>
      </c>
      <c r="F103" t="s">
        <v>585</v>
      </c>
      <c r="G103" s="30">
        <v>46143</v>
      </c>
      <c r="H103" t="s">
        <v>786</v>
      </c>
      <c r="I103">
        <v>3024771.75</v>
      </c>
      <c r="J103" s="123">
        <v>0</v>
      </c>
      <c r="K103" s="123">
        <v>0</v>
      </c>
      <c r="L103" s="123">
        <v>46138</v>
      </c>
      <c r="M103">
        <v>0</v>
      </c>
      <c r="N103">
        <v>0</v>
      </c>
      <c r="O103">
        <v>0</v>
      </c>
      <c r="P103" s="216">
        <v>69100</v>
      </c>
      <c r="Q103" s="217" t="s">
        <v>13</v>
      </c>
      <c r="R103" s="217" t="s">
        <v>61</v>
      </c>
      <c r="S103" s="218">
        <v>0.62649973235577472</v>
      </c>
      <c r="T103" t="s">
        <v>550</v>
      </c>
      <c r="U103" t="s">
        <v>51</v>
      </c>
      <c r="V103" s="219">
        <v>0</v>
      </c>
      <c r="W103" s="219">
        <v>0</v>
      </c>
    </row>
    <row r="104" spans="1:23" ht="15" customHeight="1" x14ac:dyDescent="0.25">
      <c r="A104" t="s">
        <v>787</v>
      </c>
      <c r="B104" t="s">
        <v>575</v>
      </c>
      <c r="C104">
        <v>124200</v>
      </c>
      <c r="D104" t="s">
        <v>785</v>
      </c>
      <c r="E104" t="s">
        <v>213</v>
      </c>
      <c r="F104" t="s">
        <v>580</v>
      </c>
      <c r="G104" s="30">
        <v>46149</v>
      </c>
      <c r="H104" t="s">
        <v>786</v>
      </c>
      <c r="I104">
        <v>3024771.75</v>
      </c>
      <c r="J104" s="123">
        <v>0</v>
      </c>
      <c r="K104" s="123">
        <v>0</v>
      </c>
      <c r="L104" s="123">
        <v>46140</v>
      </c>
      <c r="M104">
        <v>0</v>
      </c>
      <c r="N104">
        <v>0</v>
      </c>
      <c r="O104">
        <v>0</v>
      </c>
      <c r="P104" s="216">
        <v>124200</v>
      </c>
      <c r="Q104" s="217" t="s">
        <v>18</v>
      </c>
      <c r="R104" s="217" t="s">
        <v>582</v>
      </c>
      <c r="S104" s="218">
        <v>0.62649973235577472</v>
      </c>
      <c r="T104" t="s">
        <v>550</v>
      </c>
      <c r="U104" t="s">
        <v>51</v>
      </c>
      <c r="V104" s="219">
        <v>0</v>
      </c>
      <c r="W104" s="219">
        <v>0</v>
      </c>
    </row>
    <row r="105" spans="1:23" ht="15" customHeight="1" x14ac:dyDescent="0.25">
      <c r="A105" t="s">
        <v>788</v>
      </c>
      <c r="B105" t="s">
        <v>595</v>
      </c>
      <c r="C105">
        <v>69100</v>
      </c>
      <c r="D105" t="s">
        <v>785</v>
      </c>
      <c r="E105" t="s">
        <v>213</v>
      </c>
      <c r="F105" t="s">
        <v>580</v>
      </c>
      <c r="G105" s="30">
        <v>46149</v>
      </c>
      <c r="H105" t="s">
        <v>786</v>
      </c>
      <c r="I105">
        <v>3024771.75</v>
      </c>
      <c r="J105" s="123">
        <v>0</v>
      </c>
      <c r="K105" s="123">
        <v>0</v>
      </c>
      <c r="L105" s="123">
        <v>46140</v>
      </c>
      <c r="M105">
        <v>0</v>
      </c>
      <c r="N105">
        <v>0</v>
      </c>
      <c r="O105">
        <v>0</v>
      </c>
      <c r="P105" s="216">
        <v>69100</v>
      </c>
      <c r="Q105" s="217" t="s">
        <v>18</v>
      </c>
      <c r="R105" s="217" t="s">
        <v>582</v>
      </c>
      <c r="S105" s="218">
        <v>0.62649973235577472</v>
      </c>
      <c r="T105" t="s">
        <v>550</v>
      </c>
      <c r="U105" t="s">
        <v>51</v>
      </c>
      <c r="V105" s="219">
        <v>0</v>
      </c>
      <c r="W105" s="219">
        <v>0</v>
      </c>
    </row>
    <row r="106" spans="1:23" ht="15" customHeight="1" x14ac:dyDescent="0.25">
      <c r="A106" t="s">
        <v>789</v>
      </c>
      <c r="B106" t="s">
        <v>546</v>
      </c>
      <c r="C106">
        <v>249296</v>
      </c>
      <c r="D106" t="s">
        <v>790</v>
      </c>
      <c r="E106" t="s">
        <v>553</v>
      </c>
      <c r="F106" t="s">
        <v>554</v>
      </c>
      <c r="G106" s="30">
        <v>46143</v>
      </c>
      <c r="H106" t="s">
        <v>791</v>
      </c>
      <c r="I106">
        <v>2449986</v>
      </c>
      <c r="J106" s="123">
        <v>46143</v>
      </c>
      <c r="K106" s="123">
        <v>0</v>
      </c>
      <c r="L106" s="123">
        <v>46143</v>
      </c>
      <c r="M106">
        <v>0</v>
      </c>
      <c r="N106">
        <v>0</v>
      </c>
      <c r="O106" t="s">
        <v>556</v>
      </c>
      <c r="P106" s="216">
        <v>249296</v>
      </c>
      <c r="Q106" s="217" t="s">
        <v>18</v>
      </c>
      <c r="R106" s="217" t="s">
        <v>554</v>
      </c>
      <c r="S106" s="218">
        <v>0.74999951571810797</v>
      </c>
      <c r="T106" t="s">
        <v>550</v>
      </c>
      <c r="U106" t="s">
        <v>51</v>
      </c>
      <c r="V106" s="219" t="s">
        <v>5899</v>
      </c>
      <c r="W106" s="219" t="s">
        <v>67</v>
      </c>
    </row>
    <row r="107" spans="1:23" ht="15" customHeight="1" x14ac:dyDescent="0.25">
      <c r="A107" t="s">
        <v>792</v>
      </c>
      <c r="B107" t="s">
        <v>64</v>
      </c>
      <c r="C107">
        <v>333704</v>
      </c>
      <c r="D107" t="s">
        <v>793</v>
      </c>
      <c r="E107" t="s">
        <v>213</v>
      </c>
      <c r="F107" t="s">
        <v>554</v>
      </c>
      <c r="G107" s="30">
        <v>46146</v>
      </c>
      <c r="H107" t="s">
        <v>794</v>
      </c>
      <c r="I107">
        <v>2624872.25</v>
      </c>
      <c r="J107" s="123">
        <v>0</v>
      </c>
      <c r="K107" s="123">
        <v>46146</v>
      </c>
      <c r="L107" s="123">
        <v>0</v>
      </c>
      <c r="M107">
        <v>0</v>
      </c>
      <c r="N107">
        <v>0</v>
      </c>
      <c r="O107" t="s">
        <v>556</v>
      </c>
      <c r="P107" s="216">
        <v>333704</v>
      </c>
      <c r="Q107" s="217" t="s">
        <v>18</v>
      </c>
      <c r="R107" s="217" t="s">
        <v>554</v>
      </c>
      <c r="S107" s="218">
        <v>0.62604997287075714</v>
      </c>
      <c r="T107" t="s">
        <v>550</v>
      </c>
      <c r="U107" t="s">
        <v>51</v>
      </c>
      <c r="V107" s="219" t="s">
        <v>5900</v>
      </c>
      <c r="W107" s="219" t="s">
        <v>71</v>
      </c>
    </row>
    <row r="108" spans="1:23" ht="15" customHeight="1" x14ac:dyDescent="0.25">
      <c r="A108" t="s">
        <v>795</v>
      </c>
      <c r="B108" t="s">
        <v>64</v>
      </c>
      <c r="C108">
        <v>333704</v>
      </c>
      <c r="D108" t="s">
        <v>793</v>
      </c>
      <c r="E108" t="s">
        <v>213</v>
      </c>
      <c r="F108" t="s">
        <v>683</v>
      </c>
      <c r="G108" s="30">
        <v>46146</v>
      </c>
      <c r="H108" t="s">
        <v>794</v>
      </c>
      <c r="I108">
        <v>2624872.25</v>
      </c>
      <c r="J108" s="123">
        <v>0</v>
      </c>
      <c r="K108" s="123">
        <v>46146</v>
      </c>
      <c r="L108" s="123">
        <v>0</v>
      </c>
      <c r="M108">
        <v>0</v>
      </c>
      <c r="N108">
        <v>0</v>
      </c>
      <c r="O108" t="s">
        <v>556</v>
      </c>
      <c r="P108" s="216">
        <v>333704</v>
      </c>
      <c r="Q108" s="217" t="s">
        <v>18</v>
      </c>
      <c r="R108" s="217" t="s">
        <v>62</v>
      </c>
      <c r="S108" s="218">
        <v>0.62604997287075714</v>
      </c>
      <c r="T108" t="s">
        <v>550</v>
      </c>
      <c r="U108" t="s">
        <v>51</v>
      </c>
      <c r="V108" s="219">
        <v>0</v>
      </c>
      <c r="W108" s="219">
        <v>0</v>
      </c>
    </row>
    <row r="109" spans="1:23" ht="15" customHeight="1" x14ac:dyDescent="0.25">
      <c r="A109" t="s">
        <v>796</v>
      </c>
      <c r="B109" t="s">
        <v>546</v>
      </c>
      <c r="C109">
        <v>77500</v>
      </c>
      <c r="D109" t="s">
        <v>797</v>
      </c>
      <c r="E109" t="s">
        <v>213</v>
      </c>
      <c r="F109" t="s">
        <v>554</v>
      </c>
      <c r="G109" s="30">
        <v>46148</v>
      </c>
      <c r="H109" t="s">
        <v>798</v>
      </c>
      <c r="I109">
        <v>2454760</v>
      </c>
      <c r="J109" s="123">
        <v>0</v>
      </c>
      <c r="K109" s="123">
        <v>0</v>
      </c>
      <c r="L109" s="123">
        <v>0</v>
      </c>
      <c r="M109">
        <v>0</v>
      </c>
      <c r="N109">
        <v>0</v>
      </c>
      <c r="O109">
        <v>0</v>
      </c>
      <c r="P109" s="216">
        <v>77500</v>
      </c>
      <c r="Q109" s="217" t="s">
        <v>18</v>
      </c>
      <c r="R109" s="217" t="s">
        <v>554</v>
      </c>
      <c r="S109" s="218">
        <v>0.74629724488463234</v>
      </c>
      <c r="T109" t="s">
        <v>550</v>
      </c>
      <c r="U109" t="s">
        <v>51</v>
      </c>
      <c r="V109" s="219" t="s">
        <v>5901</v>
      </c>
      <c r="W109" s="219" t="s">
        <v>67</v>
      </c>
    </row>
    <row r="110" spans="1:23" ht="15" customHeight="1" x14ac:dyDescent="0.25">
      <c r="A110" t="s">
        <v>799</v>
      </c>
      <c r="B110" t="s">
        <v>64</v>
      </c>
      <c r="C110">
        <v>245208</v>
      </c>
      <c r="D110" t="s">
        <v>800</v>
      </c>
      <c r="E110" t="s">
        <v>213</v>
      </c>
      <c r="F110" t="s">
        <v>554</v>
      </c>
      <c r="G110" s="30">
        <v>46148</v>
      </c>
      <c r="H110" t="s">
        <v>801</v>
      </c>
      <c r="I110">
        <v>2450197.75</v>
      </c>
      <c r="J110" s="123">
        <v>0</v>
      </c>
      <c r="K110" s="123">
        <v>46143</v>
      </c>
      <c r="L110" s="123">
        <v>0</v>
      </c>
      <c r="M110">
        <v>0</v>
      </c>
      <c r="N110">
        <v>0</v>
      </c>
      <c r="O110" t="s">
        <v>556</v>
      </c>
      <c r="P110" s="216">
        <v>245208</v>
      </c>
      <c r="Q110" s="217" t="s">
        <v>18</v>
      </c>
      <c r="R110" s="217" t="s">
        <v>554</v>
      </c>
      <c r="S110" s="218">
        <v>0.69999985930336606</v>
      </c>
      <c r="T110" t="s">
        <v>550</v>
      </c>
      <c r="U110" t="s">
        <v>51</v>
      </c>
      <c r="V110" s="219" t="s">
        <v>5902</v>
      </c>
      <c r="W110" s="219" t="s">
        <v>71</v>
      </c>
    </row>
    <row r="111" spans="1:23" ht="15" customHeight="1" x14ac:dyDescent="0.25">
      <c r="A111" t="s">
        <v>802</v>
      </c>
      <c r="B111" t="s">
        <v>64</v>
      </c>
      <c r="C111">
        <v>333704</v>
      </c>
      <c r="D111" t="s">
        <v>803</v>
      </c>
      <c r="E111" t="s">
        <v>213</v>
      </c>
      <c r="F111" t="s">
        <v>554</v>
      </c>
      <c r="G111" s="30">
        <v>46146</v>
      </c>
      <c r="H111" t="s">
        <v>804</v>
      </c>
      <c r="I111">
        <v>2625084</v>
      </c>
      <c r="J111" s="123">
        <v>0</v>
      </c>
      <c r="K111" s="123">
        <v>46146</v>
      </c>
      <c r="L111" s="123">
        <v>0</v>
      </c>
      <c r="M111">
        <v>0</v>
      </c>
      <c r="N111">
        <v>0</v>
      </c>
      <c r="O111" t="s">
        <v>556</v>
      </c>
      <c r="P111" s="216">
        <v>333704</v>
      </c>
      <c r="Q111" s="217" t="s">
        <v>18</v>
      </c>
      <c r="R111" s="217" t="s">
        <v>554</v>
      </c>
      <c r="S111" s="218">
        <v>0.62611402672693972</v>
      </c>
      <c r="T111" t="s">
        <v>550</v>
      </c>
      <c r="U111" t="s">
        <v>51</v>
      </c>
      <c r="V111" s="219" t="s">
        <v>5903</v>
      </c>
      <c r="W111" s="219" t="s">
        <v>71</v>
      </c>
    </row>
    <row r="112" spans="1:23" ht="15" customHeight="1" x14ac:dyDescent="0.25">
      <c r="A112" t="s">
        <v>805</v>
      </c>
      <c r="B112" t="s">
        <v>575</v>
      </c>
      <c r="C112">
        <v>377659</v>
      </c>
      <c r="D112" t="s">
        <v>806</v>
      </c>
      <c r="E112" t="s">
        <v>213</v>
      </c>
      <c r="F112" t="s">
        <v>580</v>
      </c>
      <c r="G112" s="30">
        <v>46149</v>
      </c>
      <c r="H112" t="s">
        <v>807</v>
      </c>
      <c r="I112">
        <v>3019593.5</v>
      </c>
      <c r="J112" s="123">
        <v>0</v>
      </c>
      <c r="K112" s="123">
        <v>0</v>
      </c>
      <c r="L112" s="123">
        <v>46149</v>
      </c>
      <c r="M112">
        <v>0</v>
      </c>
      <c r="N112">
        <v>0</v>
      </c>
      <c r="O112">
        <v>0</v>
      </c>
      <c r="P112" s="216">
        <v>377659</v>
      </c>
      <c r="Q112" s="217" t="s">
        <v>18</v>
      </c>
      <c r="R112" s="217" t="s">
        <v>582</v>
      </c>
      <c r="S112" s="218">
        <v>0.62522717074195577</v>
      </c>
      <c r="T112" t="s">
        <v>550</v>
      </c>
      <c r="U112" t="s">
        <v>51</v>
      </c>
      <c r="V112" s="219">
        <v>0</v>
      </c>
      <c r="W112" s="219">
        <v>0</v>
      </c>
    </row>
    <row r="113" spans="1:23" ht="15" customHeight="1" x14ac:dyDescent="0.25">
      <c r="A113" t="s">
        <v>808</v>
      </c>
      <c r="B113" t="s">
        <v>575</v>
      </c>
      <c r="C113">
        <v>49000</v>
      </c>
      <c r="D113" t="s">
        <v>809</v>
      </c>
      <c r="E113" t="s">
        <v>213</v>
      </c>
      <c r="F113" t="s">
        <v>554</v>
      </c>
      <c r="G113" s="30">
        <v>46146</v>
      </c>
      <c r="H113" t="s">
        <v>810</v>
      </c>
      <c r="I113">
        <v>2454760</v>
      </c>
      <c r="J113" s="123">
        <v>0</v>
      </c>
      <c r="K113" s="123">
        <v>0</v>
      </c>
      <c r="L113" s="123">
        <v>46144</v>
      </c>
      <c r="M113">
        <v>0</v>
      </c>
      <c r="N113">
        <v>0</v>
      </c>
      <c r="O113">
        <v>0</v>
      </c>
      <c r="P113" s="216">
        <v>49000</v>
      </c>
      <c r="Q113" s="217" t="s">
        <v>18</v>
      </c>
      <c r="R113" s="217" t="s">
        <v>554</v>
      </c>
      <c r="S113" s="218">
        <v>0.72225594614051292</v>
      </c>
      <c r="T113" t="s">
        <v>550</v>
      </c>
      <c r="U113" t="s">
        <v>51</v>
      </c>
      <c r="V113" s="219" t="s">
        <v>5904</v>
      </c>
      <c r="W113" s="219" t="s">
        <v>67</v>
      </c>
    </row>
    <row r="114" spans="1:23" ht="15" customHeight="1" x14ac:dyDescent="0.25">
      <c r="A114" t="s">
        <v>811</v>
      </c>
      <c r="B114" t="s">
        <v>546</v>
      </c>
      <c r="C114">
        <v>5053</v>
      </c>
      <c r="D114" t="s">
        <v>812</v>
      </c>
      <c r="E114" t="s">
        <v>278</v>
      </c>
      <c r="F114" t="s">
        <v>554</v>
      </c>
      <c r="G114" s="30">
        <v>46149</v>
      </c>
      <c r="H114" t="s">
        <v>813</v>
      </c>
      <c r="I114">
        <v>2666933.5</v>
      </c>
      <c r="J114" s="123">
        <v>0</v>
      </c>
      <c r="K114" s="123">
        <v>0</v>
      </c>
      <c r="L114" s="123">
        <v>0</v>
      </c>
      <c r="M114">
        <v>5053</v>
      </c>
      <c r="N114">
        <v>0</v>
      </c>
      <c r="O114">
        <v>0</v>
      </c>
      <c r="P114" s="216">
        <v>0</v>
      </c>
      <c r="Q114" s="217" t="s">
        <v>39</v>
      </c>
      <c r="R114" s="217" t="s">
        <v>554</v>
      </c>
      <c r="S114" s="218">
        <v>0.80000009359469726</v>
      </c>
      <c r="T114" t="s">
        <v>550</v>
      </c>
      <c r="U114" t="s">
        <v>51</v>
      </c>
      <c r="V114" s="219" t="s">
        <v>5905</v>
      </c>
      <c r="W114" s="219" t="s">
        <v>67</v>
      </c>
    </row>
    <row r="115" spans="1:23" ht="15" customHeight="1" x14ac:dyDescent="0.25">
      <c r="A115" t="s">
        <v>814</v>
      </c>
      <c r="B115" t="s">
        <v>546</v>
      </c>
      <c r="C115">
        <v>123106</v>
      </c>
      <c r="D115" t="s">
        <v>815</v>
      </c>
      <c r="E115" t="s">
        <v>163</v>
      </c>
      <c r="F115" t="s">
        <v>554</v>
      </c>
      <c r="G115" s="30">
        <v>46143</v>
      </c>
      <c r="H115" t="s">
        <v>816</v>
      </c>
      <c r="I115">
        <v>985677</v>
      </c>
      <c r="J115" s="123">
        <v>0</v>
      </c>
      <c r="K115" s="123">
        <v>0</v>
      </c>
      <c r="L115" s="123">
        <v>0</v>
      </c>
      <c r="M115">
        <v>0</v>
      </c>
      <c r="N115">
        <v>0</v>
      </c>
      <c r="O115">
        <v>0</v>
      </c>
      <c r="P115" s="216">
        <v>123106</v>
      </c>
      <c r="Q115" s="217" t="s">
        <v>15</v>
      </c>
      <c r="R115" s="217" t="s">
        <v>554</v>
      </c>
      <c r="S115" s="218">
        <v>0.7505141015236596</v>
      </c>
      <c r="T115" t="s">
        <v>550</v>
      </c>
      <c r="U115" t="s">
        <v>51</v>
      </c>
      <c r="V115" s="219" t="s">
        <v>5906</v>
      </c>
      <c r="W115" s="219" t="s">
        <v>67</v>
      </c>
    </row>
    <row r="116" spans="1:23" ht="15" customHeight="1" x14ac:dyDescent="0.25">
      <c r="A116" t="s">
        <v>817</v>
      </c>
      <c r="B116" t="s">
        <v>575</v>
      </c>
      <c r="C116">
        <v>54000</v>
      </c>
      <c r="D116" t="s">
        <v>818</v>
      </c>
      <c r="E116" t="s">
        <v>228</v>
      </c>
      <c r="F116" t="s">
        <v>585</v>
      </c>
      <c r="G116" s="30">
        <v>46147</v>
      </c>
      <c r="H116" t="s">
        <v>819</v>
      </c>
      <c r="I116">
        <v>985677</v>
      </c>
      <c r="J116" s="123">
        <v>0</v>
      </c>
      <c r="K116" s="123">
        <v>0</v>
      </c>
      <c r="L116" s="123">
        <v>45980</v>
      </c>
      <c r="M116">
        <v>0</v>
      </c>
      <c r="N116">
        <v>0</v>
      </c>
      <c r="O116">
        <v>0</v>
      </c>
      <c r="P116" s="216">
        <v>54000</v>
      </c>
      <c r="Q116" s="217" t="s">
        <v>20</v>
      </c>
      <c r="R116" s="217" t="s">
        <v>61</v>
      </c>
      <c r="S116" s="218">
        <v>0.70659924856519918</v>
      </c>
      <c r="T116" t="s">
        <v>550</v>
      </c>
      <c r="U116" t="s">
        <v>51</v>
      </c>
      <c r="V116" s="219">
        <v>0</v>
      </c>
      <c r="W116" s="219">
        <v>0</v>
      </c>
    </row>
    <row r="117" spans="1:23" ht="15" customHeight="1" x14ac:dyDescent="0.25">
      <c r="A117" t="s">
        <v>820</v>
      </c>
      <c r="B117" t="s">
        <v>546</v>
      </c>
      <c r="C117">
        <v>3928</v>
      </c>
      <c r="D117" t="s">
        <v>821</v>
      </c>
      <c r="E117" t="s">
        <v>278</v>
      </c>
      <c r="F117" t="s">
        <v>554</v>
      </c>
      <c r="G117" s="30">
        <v>46146</v>
      </c>
      <c r="H117" t="s">
        <v>822</v>
      </c>
      <c r="I117">
        <v>1546583.5</v>
      </c>
      <c r="J117" s="123">
        <v>0</v>
      </c>
      <c r="K117" s="123">
        <v>0</v>
      </c>
      <c r="L117" s="123">
        <v>0</v>
      </c>
      <c r="M117">
        <v>3928</v>
      </c>
      <c r="N117">
        <v>0</v>
      </c>
      <c r="O117">
        <v>0</v>
      </c>
      <c r="P117" s="216">
        <v>0</v>
      </c>
      <c r="Q117" s="217" t="s">
        <v>39</v>
      </c>
      <c r="R117" s="217" t="s">
        <v>554</v>
      </c>
      <c r="S117" s="218">
        <v>0.62500008004372676</v>
      </c>
      <c r="T117" t="s">
        <v>550</v>
      </c>
      <c r="U117" t="s">
        <v>51</v>
      </c>
      <c r="V117" s="219" t="s">
        <v>5907</v>
      </c>
      <c r="W117" s="219" t="s">
        <v>67</v>
      </c>
    </row>
    <row r="118" spans="1:23" ht="15" customHeight="1" x14ac:dyDescent="0.25">
      <c r="A118" t="s">
        <v>823</v>
      </c>
      <c r="B118" t="s">
        <v>595</v>
      </c>
      <c r="C118">
        <v>22664</v>
      </c>
      <c r="D118" t="s">
        <v>824</v>
      </c>
      <c r="E118" t="s">
        <v>238</v>
      </c>
      <c r="F118" t="s">
        <v>585</v>
      </c>
      <c r="G118" s="30">
        <v>46146</v>
      </c>
      <c r="H118" t="s">
        <v>825</v>
      </c>
      <c r="I118">
        <v>1545120.5</v>
      </c>
      <c r="J118" s="123">
        <v>0</v>
      </c>
      <c r="K118" s="123">
        <v>0</v>
      </c>
      <c r="L118" s="123">
        <v>46142</v>
      </c>
      <c r="M118">
        <v>0</v>
      </c>
      <c r="N118">
        <v>0</v>
      </c>
      <c r="O118">
        <v>0</v>
      </c>
      <c r="P118" s="216">
        <v>22664</v>
      </c>
      <c r="Q118" s="217" t="s">
        <v>19</v>
      </c>
      <c r="R118" s="217" t="s">
        <v>61</v>
      </c>
      <c r="S118" s="218">
        <v>0.62500004053678482</v>
      </c>
      <c r="T118" t="s">
        <v>550</v>
      </c>
      <c r="U118" t="s">
        <v>51</v>
      </c>
      <c r="V118" s="219">
        <v>0</v>
      </c>
      <c r="W118" s="219">
        <v>0</v>
      </c>
    </row>
    <row r="119" spans="1:23" ht="15" customHeight="1" x14ac:dyDescent="0.25">
      <c r="A119" t="s">
        <v>826</v>
      </c>
      <c r="B119" t="s">
        <v>595</v>
      </c>
      <c r="C119">
        <v>72951.5</v>
      </c>
      <c r="D119" t="s">
        <v>824</v>
      </c>
      <c r="E119" t="s">
        <v>238</v>
      </c>
      <c r="F119" t="s">
        <v>580</v>
      </c>
      <c r="G119" s="30">
        <v>46146</v>
      </c>
      <c r="H119" t="s">
        <v>825</v>
      </c>
      <c r="I119">
        <v>1545120.5</v>
      </c>
      <c r="J119" s="123">
        <v>0</v>
      </c>
      <c r="K119" s="123">
        <v>0</v>
      </c>
      <c r="L119" s="123">
        <v>46140</v>
      </c>
      <c r="M119">
        <v>0</v>
      </c>
      <c r="N119">
        <v>0</v>
      </c>
      <c r="O119">
        <v>0</v>
      </c>
      <c r="P119" s="216">
        <v>72951.5</v>
      </c>
      <c r="Q119" s="217" t="s">
        <v>19</v>
      </c>
      <c r="R119" s="217" t="s">
        <v>582</v>
      </c>
      <c r="S119" s="218">
        <v>0.62500004053678482</v>
      </c>
      <c r="T119" t="s">
        <v>550</v>
      </c>
      <c r="U119" t="s">
        <v>51</v>
      </c>
      <c r="V119" s="219">
        <v>0</v>
      </c>
      <c r="W119" s="219">
        <v>0</v>
      </c>
    </row>
    <row r="120" spans="1:23" ht="15" customHeight="1" x14ac:dyDescent="0.25">
      <c r="A120" t="s">
        <v>827</v>
      </c>
      <c r="B120" t="s">
        <v>595</v>
      </c>
      <c r="C120">
        <v>38754.76</v>
      </c>
      <c r="D120" t="s">
        <v>824</v>
      </c>
      <c r="E120" t="s">
        <v>238</v>
      </c>
      <c r="F120" t="s">
        <v>580</v>
      </c>
      <c r="G120" s="30">
        <v>46146</v>
      </c>
      <c r="H120" t="s">
        <v>825</v>
      </c>
      <c r="I120">
        <v>1545120.5</v>
      </c>
      <c r="J120" s="123">
        <v>0</v>
      </c>
      <c r="K120" s="123">
        <v>0</v>
      </c>
      <c r="L120" s="123">
        <v>46139</v>
      </c>
      <c r="M120">
        <v>0</v>
      </c>
      <c r="N120">
        <v>0</v>
      </c>
      <c r="O120">
        <v>0</v>
      </c>
      <c r="P120" s="216">
        <v>38754.76</v>
      </c>
      <c r="Q120" s="217" t="s">
        <v>19</v>
      </c>
      <c r="R120" s="217" t="s">
        <v>582</v>
      </c>
      <c r="S120" s="218">
        <v>0.62500004053678482</v>
      </c>
      <c r="T120" t="s">
        <v>550</v>
      </c>
      <c r="U120" t="s">
        <v>51</v>
      </c>
      <c r="V120" s="219">
        <v>0</v>
      </c>
      <c r="W120" s="219">
        <v>0</v>
      </c>
    </row>
    <row r="121" spans="1:23" ht="15" customHeight="1" x14ac:dyDescent="0.25">
      <c r="A121" t="s">
        <v>828</v>
      </c>
      <c r="B121" t="s">
        <v>595</v>
      </c>
      <c r="C121">
        <v>19453.73</v>
      </c>
      <c r="D121" t="s">
        <v>824</v>
      </c>
      <c r="E121" t="s">
        <v>238</v>
      </c>
      <c r="F121" t="s">
        <v>585</v>
      </c>
      <c r="G121" s="30">
        <v>46146</v>
      </c>
      <c r="H121" t="s">
        <v>825</v>
      </c>
      <c r="I121">
        <v>1545120.5</v>
      </c>
      <c r="J121" s="123">
        <v>0</v>
      </c>
      <c r="K121" s="123">
        <v>0</v>
      </c>
      <c r="L121" s="123">
        <v>46139</v>
      </c>
      <c r="M121">
        <v>0</v>
      </c>
      <c r="N121">
        <v>0</v>
      </c>
      <c r="O121">
        <v>0</v>
      </c>
      <c r="P121" s="216">
        <v>19453.73</v>
      </c>
      <c r="Q121" s="217" t="s">
        <v>19</v>
      </c>
      <c r="R121" s="217" t="s">
        <v>61</v>
      </c>
      <c r="S121" s="218">
        <v>0.62500004053678482</v>
      </c>
      <c r="T121" t="s">
        <v>550</v>
      </c>
      <c r="U121" t="s">
        <v>51</v>
      </c>
      <c r="V121" s="219">
        <v>0</v>
      </c>
      <c r="W121" s="219">
        <v>0</v>
      </c>
    </row>
    <row r="122" spans="1:23" ht="15" customHeight="1" x14ac:dyDescent="0.25">
      <c r="A122" t="s">
        <v>829</v>
      </c>
      <c r="B122" t="s">
        <v>595</v>
      </c>
      <c r="C122">
        <v>38902.33</v>
      </c>
      <c r="D122" t="s">
        <v>824</v>
      </c>
      <c r="E122" t="s">
        <v>238</v>
      </c>
      <c r="F122" t="s">
        <v>580</v>
      </c>
      <c r="G122" s="30">
        <v>46146</v>
      </c>
      <c r="H122" t="s">
        <v>825</v>
      </c>
      <c r="I122">
        <v>1545120.5</v>
      </c>
      <c r="J122" s="123">
        <v>46138</v>
      </c>
      <c r="K122" s="123">
        <v>0</v>
      </c>
      <c r="L122" s="123">
        <v>46138</v>
      </c>
      <c r="M122">
        <v>0</v>
      </c>
      <c r="N122">
        <v>0</v>
      </c>
      <c r="O122">
        <v>0</v>
      </c>
      <c r="P122" s="216">
        <v>38902.33</v>
      </c>
      <c r="Q122" s="217" t="s">
        <v>19</v>
      </c>
      <c r="R122" s="217" t="s">
        <v>582</v>
      </c>
      <c r="S122" s="218">
        <v>0.62500004053678482</v>
      </c>
      <c r="T122" t="s">
        <v>550</v>
      </c>
      <c r="U122" t="s">
        <v>51</v>
      </c>
      <c r="V122" s="219">
        <v>0</v>
      </c>
      <c r="W122" s="219">
        <v>0</v>
      </c>
    </row>
    <row r="123" spans="1:23" ht="15" customHeight="1" x14ac:dyDescent="0.25">
      <c r="A123" t="s">
        <v>830</v>
      </c>
      <c r="B123" t="s">
        <v>575</v>
      </c>
      <c r="C123">
        <v>107631</v>
      </c>
      <c r="D123" t="s">
        <v>831</v>
      </c>
      <c r="E123" t="s">
        <v>228</v>
      </c>
      <c r="F123" t="s">
        <v>554</v>
      </c>
      <c r="G123" s="30">
        <v>46144</v>
      </c>
      <c r="H123" t="s">
        <v>832</v>
      </c>
      <c r="I123">
        <v>1094458.75</v>
      </c>
      <c r="J123" s="123">
        <v>0</v>
      </c>
      <c r="K123" s="123">
        <v>0</v>
      </c>
      <c r="L123" s="123">
        <v>46142</v>
      </c>
      <c r="M123">
        <v>0</v>
      </c>
      <c r="N123">
        <v>0</v>
      </c>
      <c r="O123">
        <v>0</v>
      </c>
      <c r="P123" s="216">
        <v>107631</v>
      </c>
      <c r="Q123" s="217" t="s">
        <v>20</v>
      </c>
      <c r="R123" s="217" t="s">
        <v>554</v>
      </c>
      <c r="S123" s="218">
        <v>0.80030116136149043</v>
      </c>
      <c r="T123" t="s">
        <v>550</v>
      </c>
      <c r="U123" t="s">
        <v>51</v>
      </c>
      <c r="V123" s="219" t="s">
        <v>5908</v>
      </c>
      <c r="W123" s="219" t="s">
        <v>67</v>
      </c>
    </row>
    <row r="124" spans="1:23" ht="15" customHeight="1" x14ac:dyDescent="0.25">
      <c r="A124" t="s">
        <v>833</v>
      </c>
      <c r="B124" t="s">
        <v>668</v>
      </c>
      <c r="C124">
        <v>40980</v>
      </c>
      <c r="D124" t="s">
        <v>834</v>
      </c>
      <c r="E124" t="s">
        <v>228</v>
      </c>
      <c r="F124" t="s">
        <v>554</v>
      </c>
      <c r="G124" s="30">
        <v>46146</v>
      </c>
      <c r="H124" t="s">
        <v>835</v>
      </c>
      <c r="I124">
        <v>1102524.5</v>
      </c>
      <c r="J124" s="123">
        <v>46144</v>
      </c>
      <c r="K124" s="123">
        <v>0</v>
      </c>
      <c r="L124" s="123">
        <v>46144</v>
      </c>
      <c r="M124">
        <v>0</v>
      </c>
      <c r="N124">
        <v>0</v>
      </c>
      <c r="O124">
        <v>0</v>
      </c>
      <c r="P124" s="216">
        <v>40980</v>
      </c>
      <c r="Q124" s="217" t="s">
        <v>20</v>
      </c>
      <c r="R124" s="217" t="s">
        <v>554</v>
      </c>
      <c r="S124" s="218">
        <v>0.7194055599380268</v>
      </c>
      <c r="T124" t="s">
        <v>550</v>
      </c>
      <c r="U124" t="s">
        <v>51</v>
      </c>
      <c r="V124" s="219" t="s">
        <v>5909</v>
      </c>
      <c r="W124" s="219" t="s">
        <v>67</v>
      </c>
    </row>
    <row r="125" spans="1:23" ht="15" customHeight="1" x14ac:dyDescent="0.25">
      <c r="A125" t="s">
        <v>836</v>
      </c>
      <c r="B125" t="s">
        <v>575</v>
      </c>
      <c r="C125">
        <v>215598</v>
      </c>
      <c r="D125" t="s">
        <v>837</v>
      </c>
      <c r="E125" t="s">
        <v>228</v>
      </c>
      <c r="F125" t="s">
        <v>554</v>
      </c>
      <c r="G125" s="30">
        <v>46144</v>
      </c>
      <c r="H125" t="s">
        <v>838</v>
      </c>
      <c r="I125">
        <v>1744666</v>
      </c>
      <c r="J125" s="123">
        <v>0</v>
      </c>
      <c r="K125" s="123">
        <v>0</v>
      </c>
      <c r="L125" s="123">
        <v>46133</v>
      </c>
      <c r="M125">
        <v>0</v>
      </c>
      <c r="N125">
        <v>0</v>
      </c>
      <c r="O125">
        <v>0</v>
      </c>
      <c r="P125" s="216">
        <v>215598</v>
      </c>
      <c r="Q125" s="217" t="s">
        <v>20</v>
      </c>
      <c r="R125" s="217" t="s">
        <v>554</v>
      </c>
      <c r="S125" s="218">
        <v>0.74999909408775578</v>
      </c>
      <c r="T125" t="s">
        <v>550</v>
      </c>
      <c r="U125" t="s">
        <v>51</v>
      </c>
      <c r="V125" s="219" t="s">
        <v>5910</v>
      </c>
      <c r="W125" s="219" t="s">
        <v>67</v>
      </c>
    </row>
    <row r="126" spans="1:23" ht="15" customHeight="1" x14ac:dyDescent="0.25">
      <c r="A126" t="s">
        <v>839</v>
      </c>
      <c r="B126" t="s">
        <v>575</v>
      </c>
      <c r="C126">
        <v>190914</v>
      </c>
      <c r="D126" t="s">
        <v>840</v>
      </c>
      <c r="E126" t="s">
        <v>238</v>
      </c>
      <c r="F126" t="s">
        <v>585</v>
      </c>
      <c r="G126" s="30">
        <v>46144</v>
      </c>
      <c r="H126" t="s">
        <v>841</v>
      </c>
      <c r="I126">
        <v>1546583.5</v>
      </c>
      <c r="J126" s="123">
        <v>0</v>
      </c>
      <c r="K126" s="123">
        <v>0</v>
      </c>
      <c r="L126" s="123">
        <v>46170</v>
      </c>
      <c r="M126">
        <v>0</v>
      </c>
      <c r="N126">
        <v>0</v>
      </c>
      <c r="O126">
        <v>0</v>
      </c>
      <c r="P126" s="216">
        <v>190914</v>
      </c>
      <c r="Q126" s="217" t="s">
        <v>19</v>
      </c>
      <c r="R126" s="217" t="s">
        <v>61</v>
      </c>
      <c r="S126" s="218">
        <v>0.62827306168327834</v>
      </c>
      <c r="T126" t="s">
        <v>550</v>
      </c>
      <c r="U126" t="s">
        <v>51</v>
      </c>
      <c r="V126" s="219">
        <v>0</v>
      </c>
      <c r="W126" s="219">
        <v>0</v>
      </c>
    </row>
    <row r="127" spans="1:23" ht="15" customHeight="1" x14ac:dyDescent="0.25">
      <c r="A127" t="s">
        <v>842</v>
      </c>
      <c r="B127" t="s">
        <v>603</v>
      </c>
      <c r="C127">
        <v>94936</v>
      </c>
      <c r="D127" t="s">
        <v>843</v>
      </c>
      <c r="E127" t="s">
        <v>605</v>
      </c>
      <c r="F127" t="s">
        <v>554</v>
      </c>
      <c r="G127" s="30">
        <v>46147</v>
      </c>
      <c r="H127" t="s">
        <v>844</v>
      </c>
      <c r="I127">
        <v>1142526</v>
      </c>
      <c r="J127" s="123">
        <v>46147</v>
      </c>
      <c r="K127" s="123">
        <v>0</v>
      </c>
      <c r="L127" s="123">
        <v>0</v>
      </c>
      <c r="M127">
        <v>0</v>
      </c>
      <c r="N127">
        <v>0</v>
      </c>
      <c r="O127">
        <v>0</v>
      </c>
      <c r="P127" s="216">
        <v>94936</v>
      </c>
      <c r="Q127" s="217" t="s">
        <v>20</v>
      </c>
      <c r="R127" s="217" t="s">
        <v>554</v>
      </c>
      <c r="S127" s="218">
        <v>0.70140208138575266</v>
      </c>
      <c r="T127" t="s">
        <v>550</v>
      </c>
      <c r="U127" t="s">
        <v>51</v>
      </c>
      <c r="V127" s="219" t="s">
        <v>5911</v>
      </c>
      <c r="W127" s="219" t="s">
        <v>67</v>
      </c>
    </row>
    <row r="128" spans="1:23" ht="15" customHeight="1" x14ac:dyDescent="0.25">
      <c r="A128" t="s">
        <v>845</v>
      </c>
      <c r="B128" t="s">
        <v>575</v>
      </c>
      <c r="C128">
        <v>35000</v>
      </c>
      <c r="D128" t="s">
        <v>843</v>
      </c>
      <c r="E128" t="s">
        <v>228</v>
      </c>
      <c r="F128" t="s">
        <v>580</v>
      </c>
      <c r="G128" s="30">
        <v>46149</v>
      </c>
      <c r="H128" t="s">
        <v>844</v>
      </c>
      <c r="I128">
        <v>1142526</v>
      </c>
      <c r="J128" s="123">
        <v>0</v>
      </c>
      <c r="K128" s="123">
        <v>0</v>
      </c>
      <c r="L128" s="123">
        <v>46147</v>
      </c>
      <c r="M128">
        <v>0</v>
      </c>
      <c r="N128">
        <v>0</v>
      </c>
      <c r="O128">
        <v>0</v>
      </c>
      <c r="P128" s="216">
        <v>35000</v>
      </c>
      <c r="Q128" s="217" t="s">
        <v>20</v>
      </c>
      <c r="R128" s="217" t="s">
        <v>582</v>
      </c>
      <c r="S128" s="218">
        <v>0.70140208138575266</v>
      </c>
      <c r="T128" t="s">
        <v>550</v>
      </c>
      <c r="U128" t="s">
        <v>51</v>
      </c>
      <c r="V128" s="219">
        <v>0</v>
      </c>
      <c r="W128" s="219">
        <v>0</v>
      </c>
    </row>
    <row r="129" spans="1:23" ht="15" customHeight="1" x14ac:dyDescent="0.25">
      <c r="A129" t="s">
        <v>846</v>
      </c>
      <c r="B129" t="s">
        <v>575</v>
      </c>
      <c r="C129">
        <v>10000</v>
      </c>
      <c r="D129" t="s">
        <v>843</v>
      </c>
      <c r="E129" t="s">
        <v>228</v>
      </c>
      <c r="F129" t="s">
        <v>580</v>
      </c>
      <c r="G129" s="30">
        <v>46149</v>
      </c>
      <c r="H129" t="s">
        <v>844</v>
      </c>
      <c r="I129">
        <v>1142526</v>
      </c>
      <c r="J129" s="123">
        <v>0</v>
      </c>
      <c r="K129" s="123">
        <v>0</v>
      </c>
      <c r="L129" s="123">
        <v>46147</v>
      </c>
      <c r="M129">
        <v>0</v>
      </c>
      <c r="N129">
        <v>0</v>
      </c>
      <c r="O129">
        <v>0</v>
      </c>
      <c r="P129" s="216">
        <v>10000</v>
      </c>
      <c r="Q129" s="217" t="s">
        <v>20</v>
      </c>
      <c r="R129" s="217" t="s">
        <v>582</v>
      </c>
      <c r="S129" s="218">
        <v>0.70140208138575266</v>
      </c>
      <c r="T129" t="s">
        <v>550</v>
      </c>
      <c r="U129" t="s">
        <v>51</v>
      </c>
      <c r="V129" s="219">
        <v>0</v>
      </c>
      <c r="W129" s="219">
        <v>0</v>
      </c>
    </row>
    <row r="130" spans="1:23" ht="15" customHeight="1" x14ac:dyDescent="0.25">
      <c r="A130" t="s">
        <v>847</v>
      </c>
      <c r="B130" t="s">
        <v>575</v>
      </c>
      <c r="C130">
        <v>10000.49</v>
      </c>
      <c r="D130" t="s">
        <v>843</v>
      </c>
      <c r="E130" t="s">
        <v>228</v>
      </c>
      <c r="F130" t="s">
        <v>580</v>
      </c>
      <c r="G130" s="30">
        <v>46149</v>
      </c>
      <c r="H130" t="s">
        <v>844</v>
      </c>
      <c r="I130">
        <v>1142526</v>
      </c>
      <c r="J130" s="123">
        <v>0</v>
      </c>
      <c r="K130" s="123">
        <v>0</v>
      </c>
      <c r="L130" s="123">
        <v>46147</v>
      </c>
      <c r="M130">
        <v>0</v>
      </c>
      <c r="N130">
        <v>0</v>
      </c>
      <c r="O130">
        <v>0</v>
      </c>
      <c r="P130" s="216">
        <v>10000.49</v>
      </c>
      <c r="Q130" s="217" t="s">
        <v>20</v>
      </c>
      <c r="R130" s="217" t="s">
        <v>582</v>
      </c>
      <c r="S130" s="218">
        <v>0.70140208138575266</v>
      </c>
      <c r="T130" t="s">
        <v>550</v>
      </c>
      <c r="U130" t="s">
        <v>51</v>
      </c>
      <c r="V130" s="219">
        <v>0</v>
      </c>
      <c r="W130" s="219">
        <v>0</v>
      </c>
    </row>
    <row r="131" spans="1:23" ht="15" customHeight="1" x14ac:dyDescent="0.25">
      <c r="A131" t="s">
        <v>848</v>
      </c>
      <c r="B131" t="s">
        <v>603</v>
      </c>
      <c r="C131">
        <v>146043</v>
      </c>
      <c r="D131" t="s">
        <v>849</v>
      </c>
      <c r="E131" t="s">
        <v>605</v>
      </c>
      <c r="F131" t="s">
        <v>554</v>
      </c>
      <c r="G131" s="30">
        <v>46147</v>
      </c>
      <c r="H131" t="s">
        <v>850</v>
      </c>
      <c r="I131">
        <v>1143565.5</v>
      </c>
      <c r="J131" s="123">
        <v>46147</v>
      </c>
      <c r="K131" s="123">
        <v>0</v>
      </c>
      <c r="L131" s="123">
        <v>0</v>
      </c>
      <c r="M131">
        <v>0</v>
      </c>
      <c r="N131">
        <v>0</v>
      </c>
      <c r="O131">
        <v>0</v>
      </c>
      <c r="P131" s="216">
        <v>146043</v>
      </c>
      <c r="Q131" s="217" t="s">
        <v>20</v>
      </c>
      <c r="R131" s="217" t="s">
        <v>554</v>
      </c>
      <c r="S131" s="218">
        <v>0.7500003462380137</v>
      </c>
      <c r="T131" t="s">
        <v>550</v>
      </c>
      <c r="U131" t="s">
        <v>51</v>
      </c>
      <c r="V131" s="219" t="s">
        <v>5912</v>
      </c>
      <c r="W131" s="219" t="s">
        <v>67</v>
      </c>
    </row>
    <row r="132" spans="1:23" ht="15" customHeight="1" x14ac:dyDescent="0.25">
      <c r="A132" t="s">
        <v>851</v>
      </c>
      <c r="B132" t="s">
        <v>546</v>
      </c>
      <c r="C132">
        <v>63884</v>
      </c>
      <c r="D132" t="s">
        <v>852</v>
      </c>
      <c r="E132" t="s">
        <v>553</v>
      </c>
      <c r="F132" t="s">
        <v>548</v>
      </c>
      <c r="G132" s="30">
        <v>46146</v>
      </c>
      <c r="H132" t="s">
        <v>853</v>
      </c>
      <c r="I132">
        <v>984849.25</v>
      </c>
      <c r="J132" s="123">
        <v>46146</v>
      </c>
      <c r="K132" s="123">
        <v>0</v>
      </c>
      <c r="L132" s="123">
        <v>46146</v>
      </c>
      <c r="M132">
        <v>0</v>
      </c>
      <c r="N132">
        <v>0</v>
      </c>
      <c r="O132" t="s">
        <v>556</v>
      </c>
      <c r="P132" s="216">
        <v>63884</v>
      </c>
      <c r="Q132" s="217" t="s">
        <v>20</v>
      </c>
      <c r="R132" s="217" t="s">
        <v>62</v>
      </c>
      <c r="S132" s="218">
        <v>0.75000075676013833</v>
      </c>
      <c r="T132" t="s">
        <v>550</v>
      </c>
      <c r="U132" t="s">
        <v>51</v>
      </c>
      <c r="V132" s="219">
        <v>0</v>
      </c>
      <c r="W132" s="219">
        <v>0</v>
      </c>
    </row>
    <row r="133" spans="1:23" ht="15" customHeight="1" x14ac:dyDescent="0.25">
      <c r="A133" t="s">
        <v>854</v>
      </c>
      <c r="B133" t="s">
        <v>546</v>
      </c>
      <c r="C133">
        <v>123884.12</v>
      </c>
      <c r="D133" t="s">
        <v>852</v>
      </c>
      <c r="E133" t="s">
        <v>553</v>
      </c>
      <c r="F133" t="s">
        <v>548</v>
      </c>
      <c r="G133" s="30">
        <v>46146</v>
      </c>
      <c r="H133" t="s">
        <v>853</v>
      </c>
      <c r="I133">
        <v>984849.25</v>
      </c>
      <c r="J133" s="123">
        <v>46146</v>
      </c>
      <c r="K133" s="123">
        <v>0</v>
      </c>
      <c r="L133" s="123">
        <v>46146</v>
      </c>
      <c r="M133">
        <v>0</v>
      </c>
      <c r="N133">
        <v>0</v>
      </c>
      <c r="O133" t="s">
        <v>556</v>
      </c>
      <c r="P133" s="216">
        <v>123884.12</v>
      </c>
      <c r="Q133" s="217" t="s">
        <v>20</v>
      </c>
      <c r="R133" s="217" t="s">
        <v>62</v>
      </c>
      <c r="S133" s="218">
        <v>0.75000075676013833</v>
      </c>
      <c r="T133" t="s">
        <v>550</v>
      </c>
      <c r="U133" t="s">
        <v>51</v>
      </c>
      <c r="V133" s="219">
        <v>0</v>
      </c>
      <c r="W133" s="219">
        <v>0</v>
      </c>
    </row>
    <row r="134" spans="1:23" ht="15" customHeight="1" x14ac:dyDescent="0.25">
      <c r="A134" t="s">
        <v>855</v>
      </c>
      <c r="B134" t="s">
        <v>546</v>
      </c>
      <c r="C134">
        <v>123884.12</v>
      </c>
      <c r="D134" t="s">
        <v>852</v>
      </c>
      <c r="E134" t="s">
        <v>553</v>
      </c>
      <c r="F134" t="s">
        <v>548</v>
      </c>
      <c r="G134" s="30">
        <v>46146</v>
      </c>
      <c r="H134" t="s">
        <v>853</v>
      </c>
      <c r="I134">
        <v>984849.25</v>
      </c>
      <c r="J134" s="123">
        <v>46146</v>
      </c>
      <c r="K134" s="123">
        <v>0</v>
      </c>
      <c r="L134" s="123">
        <v>46146</v>
      </c>
      <c r="M134">
        <v>0</v>
      </c>
      <c r="N134">
        <v>0</v>
      </c>
      <c r="O134" t="s">
        <v>556</v>
      </c>
      <c r="P134" s="216">
        <v>123884.12</v>
      </c>
      <c r="Q134" s="217" t="s">
        <v>20</v>
      </c>
      <c r="R134" s="217" t="s">
        <v>62</v>
      </c>
      <c r="S134" s="218">
        <v>0.75000075676013833</v>
      </c>
      <c r="T134" t="s">
        <v>550</v>
      </c>
      <c r="U134" t="s">
        <v>51</v>
      </c>
      <c r="V134" s="219">
        <v>0</v>
      </c>
      <c r="W134" s="219">
        <v>0</v>
      </c>
    </row>
    <row r="135" spans="1:23" ht="15" customHeight="1" x14ac:dyDescent="0.25">
      <c r="A135" t="s">
        <v>856</v>
      </c>
      <c r="B135" t="s">
        <v>546</v>
      </c>
      <c r="C135">
        <v>63884</v>
      </c>
      <c r="D135" t="s">
        <v>852</v>
      </c>
      <c r="E135" t="s">
        <v>553</v>
      </c>
      <c r="F135" t="s">
        <v>548</v>
      </c>
      <c r="G135" s="30">
        <v>46146</v>
      </c>
      <c r="H135" t="s">
        <v>853</v>
      </c>
      <c r="I135">
        <v>984849.25</v>
      </c>
      <c r="J135" s="123">
        <v>46146</v>
      </c>
      <c r="K135" s="123">
        <v>0</v>
      </c>
      <c r="L135" s="123">
        <v>46146</v>
      </c>
      <c r="M135">
        <v>0</v>
      </c>
      <c r="N135">
        <v>0</v>
      </c>
      <c r="O135" t="s">
        <v>556</v>
      </c>
      <c r="P135" s="216">
        <v>63884</v>
      </c>
      <c r="Q135" s="217" t="s">
        <v>20</v>
      </c>
      <c r="R135" s="217" t="s">
        <v>62</v>
      </c>
      <c r="S135" s="218">
        <v>0.75000075676013833</v>
      </c>
      <c r="T135" t="s">
        <v>550</v>
      </c>
      <c r="U135" t="s">
        <v>51</v>
      </c>
      <c r="V135" s="219">
        <v>0</v>
      </c>
      <c r="W135" s="219">
        <v>0</v>
      </c>
    </row>
    <row r="136" spans="1:23" ht="15" customHeight="1" x14ac:dyDescent="0.25">
      <c r="A136" t="s">
        <v>857</v>
      </c>
      <c r="B136" t="s">
        <v>546</v>
      </c>
      <c r="C136">
        <v>123884.12</v>
      </c>
      <c r="D136" t="s">
        <v>852</v>
      </c>
      <c r="E136" t="s">
        <v>553</v>
      </c>
      <c r="F136" t="s">
        <v>548</v>
      </c>
      <c r="G136" s="30">
        <v>46146</v>
      </c>
      <c r="H136" t="s">
        <v>853</v>
      </c>
      <c r="I136">
        <v>984849.25</v>
      </c>
      <c r="J136" s="123">
        <v>46146</v>
      </c>
      <c r="K136" s="123">
        <v>0</v>
      </c>
      <c r="L136" s="123">
        <v>46146</v>
      </c>
      <c r="M136">
        <v>0</v>
      </c>
      <c r="N136">
        <v>0</v>
      </c>
      <c r="O136" t="s">
        <v>556</v>
      </c>
      <c r="P136" s="216">
        <v>123884.12</v>
      </c>
      <c r="Q136" s="217" t="s">
        <v>20</v>
      </c>
      <c r="R136" s="217" t="s">
        <v>62</v>
      </c>
      <c r="S136" s="218">
        <v>0.75000075676013833</v>
      </c>
      <c r="T136" t="s">
        <v>550</v>
      </c>
      <c r="U136" t="s">
        <v>51</v>
      </c>
      <c r="V136" s="219">
        <v>0</v>
      </c>
      <c r="W136" s="219">
        <v>0</v>
      </c>
    </row>
    <row r="137" spans="1:23" ht="15" customHeight="1" x14ac:dyDescent="0.25">
      <c r="A137" t="s">
        <v>858</v>
      </c>
      <c r="B137" t="s">
        <v>546</v>
      </c>
      <c r="C137">
        <v>123884.12</v>
      </c>
      <c r="D137" t="s">
        <v>852</v>
      </c>
      <c r="E137" t="s">
        <v>553</v>
      </c>
      <c r="F137" t="s">
        <v>548</v>
      </c>
      <c r="G137" s="30">
        <v>46146</v>
      </c>
      <c r="H137" t="s">
        <v>853</v>
      </c>
      <c r="I137">
        <v>984849.25</v>
      </c>
      <c r="J137" s="123">
        <v>46146</v>
      </c>
      <c r="K137" s="123">
        <v>0</v>
      </c>
      <c r="L137" s="123">
        <v>46146</v>
      </c>
      <c r="M137">
        <v>0</v>
      </c>
      <c r="N137">
        <v>0</v>
      </c>
      <c r="O137" t="s">
        <v>556</v>
      </c>
      <c r="P137" s="216">
        <v>123884.12</v>
      </c>
      <c r="Q137" s="217" t="s">
        <v>20</v>
      </c>
      <c r="R137" s="217" t="s">
        <v>62</v>
      </c>
      <c r="S137" s="218">
        <v>0.75000075676013833</v>
      </c>
      <c r="T137" t="s">
        <v>550</v>
      </c>
      <c r="U137" t="s">
        <v>51</v>
      </c>
      <c r="V137" s="219">
        <v>0</v>
      </c>
      <c r="W137" s="219">
        <v>0</v>
      </c>
    </row>
    <row r="138" spans="1:23" ht="15" customHeight="1" x14ac:dyDescent="0.25">
      <c r="A138" t="s">
        <v>859</v>
      </c>
      <c r="B138" t="s">
        <v>546</v>
      </c>
      <c r="C138">
        <v>25000</v>
      </c>
      <c r="D138" t="s">
        <v>852</v>
      </c>
      <c r="E138" t="s">
        <v>553</v>
      </c>
      <c r="F138" t="s">
        <v>548</v>
      </c>
      <c r="G138" s="30">
        <v>46147</v>
      </c>
      <c r="H138" t="s">
        <v>853</v>
      </c>
      <c r="I138">
        <v>984849.25</v>
      </c>
      <c r="J138" s="123">
        <v>46147</v>
      </c>
      <c r="K138" s="123">
        <v>0</v>
      </c>
      <c r="L138" s="123">
        <v>46147</v>
      </c>
      <c r="M138">
        <v>0</v>
      </c>
      <c r="N138">
        <v>0</v>
      </c>
      <c r="O138" t="s">
        <v>556</v>
      </c>
      <c r="P138" s="216">
        <v>25000</v>
      </c>
      <c r="Q138" s="217" t="s">
        <v>20</v>
      </c>
      <c r="R138" s="217" t="s">
        <v>62</v>
      </c>
      <c r="S138" s="218">
        <v>0.75000075676013833</v>
      </c>
      <c r="T138" t="s">
        <v>550</v>
      </c>
      <c r="U138" t="s">
        <v>51</v>
      </c>
      <c r="V138" s="219">
        <v>0</v>
      </c>
      <c r="W138" s="219">
        <v>0</v>
      </c>
    </row>
    <row r="139" spans="1:23" ht="15" customHeight="1" x14ac:dyDescent="0.25">
      <c r="A139" t="s">
        <v>860</v>
      </c>
      <c r="B139" t="s">
        <v>546</v>
      </c>
      <c r="C139">
        <v>5000</v>
      </c>
      <c r="D139" t="s">
        <v>852</v>
      </c>
      <c r="E139" t="s">
        <v>553</v>
      </c>
      <c r="F139" t="s">
        <v>554</v>
      </c>
      <c r="G139" s="30">
        <v>46147</v>
      </c>
      <c r="H139" t="s">
        <v>853</v>
      </c>
      <c r="I139">
        <v>984849.25</v>
      </c>
      <c r="J139" s="123">
        <v>46147</v>
      </c>
      <c r="K139" s="123">
        <v>0</v>
      </c>
      <c r="L139" s="123">
        <v>46147</v>
      </c>
      <c r="M139">
        <v>0</v>
      </c>
      <c r="N139">
        <v>0</v>
      </c>
      <c r="O139" t="s">
        <v>556</v>
      </c>
      <c r="P139" s="216">
        <v>5000</v>
      </c>
      <c r="Q139" s="217" t="s">
        <v>20</v>
      </c>
      <c r="R139" s="217" t="s">
        <v>554</v>
      </c>
      <c r="S139" s="218">
        <v>0.75000075676013833</v>
      </c>
      <c r="T139" t="s">
        <v>550</v>
      </c>
      <c r="U139" t="s">
        <v>51</v>
      </c>
      <c r="V139" s="219" t="s">
        <v>5913</v>
      </c>
      <c r="W139" s="219" t="s">
        <v>67</v>
      </c>
    </row>
    <row r="140" spans="1:23" ht="15" customHeight="1" x14ac:dyDescent="0.25">
      <c r="A140" t="s">
        <v>861</v>
      </c>
      <c r="B140" t="s">
        <v>546</v>
      </c>
      <c r="C140">
        <v>15000</v>
      </c>
      <c r="D140" t="s">
        <v>852</v>
      </c>
      <c r="E140" t="s">
        <v>553</v>
      </c>
      <c r="F140" t="s">
        <v>548</v>
      </c>
      <c r="G140" s="30">
        <v>46147</v>
      </c>
      <c r="H140" t="s">
        <v>853</v>
      </c>
      <c r="I140">
        <v>984849.25</v>
      </c>
      <c r="J140" s="123">
        <v>46147</v>
      </c>
      <c r="K140" s="123">
        <v>0</v>
      </c>
      <c r="L140" s="123">
        <v>46147</v>
      </c>
      <c r="M140">
        <v>0</v>
      </c>
      <c r="N140">
        <v>0</v>
      </c>
      <c r="O140" t="s">
        <v>556</v>
      </c>
      <c r="P140" s="216">
        <v>15000</v>
      </c>
      <c r="Q140" s="217" t="s">
        <v>20</v>
      </c>
      <c r="R140" s="217" t="s">
        <v>62</v>
      </c>
      <c r="S140" s="218">
        <v>0.75000075676013833</v>
      </c>
      <c r="T140" t="s">
        <v>550</v>
      </c>
      <c r="U140" t="s">
        <v>51</v>
      </c>
      <c r="V140" s="219">
        <v>0</v>
      </c>
      <c r="W140" s="219">
        <v>0</v>
      </c>
    </row>
    <row r="141" spans="1:23" ht="15" customHeight="1" x14ac:dyDescent="0.25">
      <c r="A141" t="s">
        <v>862</v>
      </c>
      <c r="B141" t="s">
        <v>546</v>
      </c>
      <c r="C141">
        <v>30000</v>
      </c>
      <c r="D141" t="s">
        <v>852</v>
      </c>
      <c r="E141" t="s">
        <v>553</v>
      </c>
      <c r="F141" t="s">
        <v>548</v>
      </c>
      <c r="G141" s="30">
        <v>46147</v>
      </c>
      <c r="H141" t="s">
        <v>853</v>
      </c>
      <c r="I141">
        <v>984849.25</v>
      </c>
      <c r="J141" s="123">
        <v>46147</v>
      </c>
      <c r="K141" s="123">
        <v>0</v>
      </c>
      <c r="L141" s="123">
        <v>46147</v>
      </c>
      <c r="M141">
        <v>0</v>
      </c>
      <c r="N141">
        <v>0</v>
      </c>
      <c r="O141" t="s">
        <v>556</v>
      </c>
      <c r="P141" s="216">
        <v>30000</v>
      </c>
      <c r="Q141" s="217" t="s">
        <v>20</v>
      </c>
      <c r="R141" s="217" t="s">
        <v>62</v>
      </c>
      <c r="S141" s="218">
        <v>0.75000075676013833</v>
      </c>
      <c r="T141" t="s">
        <v>550</v>
      </c>
      <c r="U141" t="s">
        <v>51</v>
      </c>
      <c r="V141" s="219">
        <v>0</v>
      </c>
      <c r="W141" s="219">
        <v>0</v>
      </c>
    </row>
    <row r="142" spans="1:23" ht="15" customHeight="1" x14ac:dyDescent="0.25">
      <c r="A142" t="s">
        <v>863</v>
      </c>
      <c r="B142" t="s">
        <v>546</v>
      </c>
      <c r="C142">
        <v>30000</v>
      </c>
      <c r="D142" t="s">
        <v>852</v>
      </c>
      <c r="E142" t="s">
        <v>553</v>
      </c>
      <c r="F142" t="s">
        <v>554</v>
      </c>
      <c r="G142" s="30">
        <v>46147</v>
      </c>
      <c r="H142" t="s">
        <v>853</v>
      </c>
      <c r="I142">
        <v>984849.25</v>
      </c>
      <c r="J142" s="123">
        <v>46147</v>
      </c>
      <c r="K142" s="123">
        <v>0</v>
      </c>
      <c r="L142" s="123">
        <v>46147</v>
      </c>
      <c r="M142">
        <v>0</v>
      </c>
      <c r="N142">
        <v>0</v>
      </c>
      <c r="O142" t="s">
        <v>556</v>
      </c>
      <c r="P142" s="216">
        <v>30000</v>
      </c>
      <c r="Q142" s="217" t="s">
        <v>20</v>
      </c>
      <c r="R142" s="217" t="s">
        <v>554</v>
      </c>
      <c r="S142" s="218">
        <v>0.75000075676013833</v>
      </c>
      <c r="T142" t="s">
        <v>550</v>
      </c>
      <c r="U142" t="s">
        <v>51</v>
      </c>
      <c r="V142" s="219" t="s">
        <v>5914</v>
      </c>
      <c r="W142" s="219" t="s">
        <v>67</v>
      </c>
    </row>
    <row r="143" spans="1:23" ht="15" customHeight="1" x14ac:dyDescent="0.25">
      <c r="A143" t="s">
        <v>864</v>
      </c>
      <c r="B143" t="s">
        <v>546</v>
      </c>
      <c r="C143">
        <v>60000</v>
      </c>
      <c r="D143" t="s">
        <v>852</v>
      </c>
      <c r="E143" t="s">
        <v>553</v>
      </c>
      <c r="F143" t="s">
        <v>548</v>
      </c>
      <c r="G143" s="30">
        <v>46147</v>
      </c>
      <c r="H143" t="s">
        <v>853</v>
      </c>
      <c r="I143">
        <v>984849.25</v>
      </c>
      <c r="J143" s="123">
        <v>46147</v>
      </c>
      <c r="K143" s="123">
        <v>0</v>
      </c>
      <c r="L143" s="123">
        <v>46147</v>
      </c>
      <c r="M143">
        <v>0</v>
      </c>
      <c r="N143">
        <v>0</v>
      </c>
      <c r="O143" t="s">
        <v>556</v>
      </c>
      <c r="P143" s="216">
        <v>60000</v>
      </c>
      <c r="Q143" s="217" t="s">
        <v>20</v>
      </c>
      <c r="R143" s="217" t="s">
        <v>62</v>
      </c>
      <c r="S143" s="218">
        <v>0.75000075676013833</v>
      </c>
      <c r="T143" t="s">
        <v>550</v>
      </c>
      <c r="U143" t="s">
        <v>51</v>
      </c>
      <c r="V143" s="219">
        <v>0</v>
      </c>
      <c r="W143" s="219">
        <v>0</v>
      </c>
    </row>
    <row r="144" spans="1:23" ht="15" customHeight="1" x14ac:dyDescent="0.25">
      <c r="A144" t="s">
        <v>865</v>
      </c>
      <c r="B144" t="s">
        <v>546</v>
      </c>
      <c r="C144">
        <v>63884.12</v>
      </c>
      <c r="D144" t="s">
        <v>852</v>
      </c>
      <c r="E144" t="s">
        <v>553</v>
      </c>
      <c r="F144" t="s">
        <v>554</v>
      </c>
      <c r="G144" s="30">
        <v>46147</v>
      </c>
      <c r="H144" t="s">
        <v>853</v>
      </c>
      <c r="I144">
        <v>984849.25</v>
      </c>
      <c r="J144" s="123">
        <v>46147</v>
      </c>
      <c r="K144" s="123">
        <v>0</v>
      </c>
      <c r="L144" s="123">
        <v>46147</v>
      </c>
      <c r="M144">
        <v>0</v>
      </c>
      <c r="N144">
        <v>0</v>
      </c>
      <c r="O144" t="s">
        <v>556</v>
      </c>
      <c r="P144" s="216">
        <v>63884.12</v>
      </c>
      <c r="Q144" s="217" t="s">
        <v>20</v>
      </c>
      <c r="R144" s="217" t="s">
        <v>554</v>
      </c>
      <c r="S144" s="218">
        <v>0.75000075676013833</v>
      </c>
      <c r="T144" t="s">
        <v>550</v>
      </c>
      <c r="U144" t="s">
        <v>51</v>
      </c>
      <c r="V144" s="219" t="s">
        <v>5915</v>
      </c>
      <c r="W144" s="219" t="s">
        <v>67</v>
      </c>
    </row>
    <row r="145" spans="1:23" ht="15" customHeight="1" x14ac:dyDescent="0.25">
      <c r="A145" t="s">
        <v>866</v>
      </c>
      <c r="B145" t="s">
        <v>546</v>
      </c>
      <c r="C145">
        <v>63884.12</v>
      </c>
      <c r="D145" t="s">
        <v>852</v>
      </c>
      <c r="E145" t="s">
        <v>553</v>
      </c>
      <c r="F145" t="s">
        <v>548</v>
      </c>
      <c r="G145" s="30">
        <v>46147</v>
      </c>
      <c r="H145" t="s">
        <v>853</v>
      </c>
      <c r="I145">
        <v>984849.25</v>
      </c>
      <c r="J145" s="123">
        <v>46147</v>
      </c>
      <c r="K145" s="123">
        <v>0</v>
      </c>
      <c r="L145" s="123">
        <v>46147</v>
      </c>
      <c r="M145">
        <v>0</v>
      </c>
      <c r="N145">
        <v>0</v>
      </c>
      <c r="O145" t="s">
        <v>556</v>
      </c>
      <c r="P145" s="216">
        <v>63884.12</v>
      </c>
      <c r="Q145" s="217" t="s">
        <v>20</v>
      </c>
      <c r="R145" s="217" t="s">
        <v>62</v>
      </c>
      <c r="S145" s="218">
        <v>0.75000075676013833</v>
      </c>
      <c r="T145" t="s">
        <v>550</v>
      </c>
      <c r="U145" t="s">
        <v>51</v>
      </c>
      <c r="V145" s="219">
        <v>0</v>
      </c>
      <c r="W145" s="219">
        <v>0</v>
      </c>
    </row>
    <row r="146" spans="1:23" ht="15" customHeight="1" x14ac:dyDescent="0.25">
      <c r="A146" t="s">
        <v>867</v>
      </c>
      <c r="B146" t="s">
        <v>546</v>
      </c>
      <c r="C146">
        <v>123884.12</v>
      </c>
      <c r="D146" t="s">
        <v>852</v>
      </c>
      <c r="E146" t="s">
        <v>553</v>
      </c>
      <c r="F146" t="s">
        <v>548</v>
      </c>
      <c r="G146" s="30">
        <v>46147</v>
      </c>
      <c r="H146" t="s">
        <v>853</v>
      </c>
      <c r="I146">
        <v>984849.25</v>
      </c>
      <c r="J146" s="123">
        <v>46147</v>
      </c>
      <c r="K146" s="123">
        <v>0</v>
      </c>
      <c r="L146" s="123">
        <v>46147</v>
      </c>
      <c r="M146">
        <v>0</v>
      </c>
      <c r="N146">
        <v>0</v>
      </c>
      <c r="O146" t="s">
        <v>556</v>
      </c>
      <c r="P146" s="216">
        <v>123884.12</v>
      </c>
      <c r="Q146" s="217" t="s">
        <v>20</v>
      </c>
      <c r="R146" s="217" t="s">
        <v>62</v>
      </c>
      <c r="S146" s="218">
        <v>0.75000075676013833</v>
      </c>
      <c r="T146" t="s">
        <v>550</v>
      </c>
      <c r="U146" t="s">
        <v>51</v>
      </c>
      <c r="V146" s="219">
        <v>0</v>
      </c>
      <c r="W146" s="219">
        <v>0</v>
      </c>
    </row>
    <row r="147" spans="1:23" ht="15" customHeight="1" x14ac:dyDescent="0.25">
      <c r="A147" t="s">
        <v>868</v>
      </c>
      <c r="B147" t="s">
        <v>546</v>
      </c>
      <c r="C147">
        <v>25000</v>
      </c>
      <c r="D147" t="s">
        <v>852</v>
      </c>
      <c r="E147" t="s">
        <v>553</v>
      </c>
      <c r="F147" t="s">
        <v>554</v>
      </c>
      <c r="G147" s="30">
        <v>46149</v>
      </c>
      <c r="H147" t="s">
        <v>853</v>
      </c>
      <c r="I147">
        <v>984849.25</v>
      </c>
      <c r="J147" s="123">
        <v>46149</v>
      </c>
      <c r="K147" s="123">
        <v>0</v>
      </c>
      <c r="L147" s="123">
        <v>46149</v>
      </c>
      <c r="M147">
        <v>0</v>
      </c>
      <c r="N147">
        <v>0</v>
      </c>
      <c r="O147" t="s">
        <v>556</v>
      </c>
      <c r="P147" s="216">
        <v>25000</v>
      </c>
      <c r="Q147" s="217" t="s">
        <v>20</v>
      </c>
      <c r="R147" s="217" t="s">
        <v>554</v>
      </c>
      <c r="S147" s="218">
        <v>0.75000075676013833</v>
      </c>
      <c r="T147" t="s">
        <v>550</v>
      </c>
      <c r="U147" t="s">
        <v>51</v>
      </c>
      <c r="V147" s="219" t="s">
        <v>5916</v>
      </c>
      <c r="W147" s="219" t="s">
        <v>67</v>
      </c>
    </row>
    <row r="148" spans="1:23" ht="15" customHeight="1" x14ac:dyDescent="0.25">
      <c r="A148" t="s">
        <v>869</v>
      </c>
      <c r="B148" t="s">
        <v>575</v>
      </c>
      <c r="C148">
        <v>220545</v>
      </c>
      <c r="D148" t="s">
        <v>870</v>
      </c>
      <c r="E148" t="s">
        <v>218</v>
      </c>
      <c r="F148" t="s">
        <v>554</v>
      </c>
      <c r="G148" s="30">
        <v>46146</v>
      </c>
      <c r="H148" t="s">
        <v>871</v>
      </c>
      <c r="I148">
        <v>1795024</v>
      </c>
      <c r="J148" s="123">
        <v>0</v>
      </c>
      <c r="K148" s="123">
        <v>0</v>
      </c>
      <c r="L148" s="123">
        <v>46136</v>
      </c>
      <c r="M148">
        <v>0</v>
      </c>
      <c r="N148">
        <v>0</v>
      </c>
      <c r="O148">
        <v>0</v>
      </c>
      <c r="P148" s="216">
        <v>220545</v>
      </c>
      <c r="Q148" s="217" t="s">
        <v>13</v>
      </c>
      <c r="R148" s="217" t="s">
        <v>554</v>
      </c>
      <c r="S148" s="218">
        <v>0.75052423437126947</v>
      </c>
      <c r="T148" t="s">
        <v>550</v>
      </c>
      <c r="U148" t="s">
        <v>51</v>
      </c>
      <c r="V148" s="219" t="s">
        <v>5917</v>
      </c>
      <c r="W148" s="219" t="s">
        <v>67</v>
      </c>
    </row>
    <row r="149" spans="1:23" ht="15" customHeight="1" x14ac:dyDescent="0.25">
      <c r="A149" t="s">
        <v>872</v>
      </c>
      <c r="B149" t="s">
        <v>575</v>
      </c>
      <c r="C149">
        <v>123443</v>
      </c>
      <c r="D149" t="s">
        <v>873</v>
      </c>
      <c r="E149" t="s">
        <v>228</v>
      </c>
      <c r="F149" t="s">
        <v>554</v>
      </c>
      <c r="G149" s="30">
        <v>46146</v>
      </c>
      <c r="H149" t="s">
        <v>874</v>
      </c>
      <c r="I149">
        <v>984849.25</v>
      </c>
      <c r="J149" s="123">
        <v>0</v>
      </c>
      <c r="K149" s="123">
        <v>0</v>
      </c>
      <c r="L149" s="123">
        <v>46134</v>
      </c>
      <c r="M149">
        <v>0</v>
      </c>
      <c r="N149">
        <v>0</v>
      </c>
      <c r="O149">
        <v>0</v>
      </c>
      <c r="P149" s="216">
        <v>123443</v>
      </c>
      <c r="Q149" s="217" t="s">
        <v>20</v>
      </c>
      <c r="R149" s="217" t="s">
        <v>554</v>
      </c>
      <c r="S149" s="218">
        <v>0.74999913168447896</v>
      </c>
      <c r="T149" t="s">
        <v>550</v>
      </c>
      <c r="U149" t="s">
        <v>51</v>
      </c>
      <c r="V149" s="219" t="s">
        <v>5918</v>
      </c>
      <c r="W149" s="219" t="s">
        <v>67</v>
      </c>
    </row>
    <row r="150" spans="1:23" ht="15" customHeight="1" x14ac:dyDescent="0.25">
      <c r="A150" t="s">
        <v>875</v>
      </c>
      <c r="B150" t="s">
        <v>575</v>
      </c>
      <c r="C150">
        <v>79844</v>
      </c>
      <c r="D150" t="s">
        <v>876</v>
      </c>
      <c r="E150" t="s">
        <v>228</v>
      </c>
      <c r="F150" t="s">
        <v>554</v>
      </c>
      <c r="G150" s="30">
        <v>46144</v>
      </c>
      <c r="H150" t="s">
        <v>877</v>
      </c>
      <c r="I150">
        <v>988988</v>
      </c>
      <c r="J150" s="123">
        <v>0</v>
      </c>
      <c r="K150" s="123">
        <v>0</v>
      </c>
      <c r="L150" s="123">
        <v>46143</v>
      </c>
      <c r="M150">
        <v>0</v>
      </c>
      <c r="N150">
        <v>0</v>
      </c>
      <c r="O150">
        <v>0</v>
      </c>
      <c r="P150" s="216">
        <v>79844</v>
      </c>
      <c r="Q150" s="217" t="s">
        <v>20</v>
      </c>
      <c r="R150" s="217" t="s">
        <v>554</v>
      </c>
      <c r="S150" s="218">
        <v>0.74624516956326559</v>
      </c>
      <c r="T150" t="s">
        <v>550</v>
      </c>
      <c r="U150" t="s">
        <v>51</v>
      </c>
      <c r="V150" s="219" t="s">
        <v>5919</v>
      </c>
      <c r="W150" s="219" t="s">
        <v>67</v>
      </c>
    </row>
    <row r="151" spans="1:23" ht="15" customHeight="1" x14ac:dyDescent="0.25">
      <c r="A151" t="s">
        <v>878</v>
      </c>
      <c r="B151" t="s">
        <v>575</v>
      </c>
      <c r="C151">
        <v>79844</v>
      </c>
      <c r="D151" t="s">
        <v>876</v>
      </c>
      <c r="E151" t="s">
        <v>208</v>
      </c>
      <c r="F151" t="s">
        <v>585</v>
      </c>
      <c r="G151" s="30">
        <v>46148</v>
      </c>
      <c r="H151" t="s">
        <v>877</v>
      </c>
      <c r="I151">
        <v>988988</v>
      </c>
      <c r="J151" s="123">
        <v>0</v>
      </c>
      <c r="K151" s="123">
        <v>0</v>
      </c>
      <c r="L151" s="123">
        <v>46143</v>
      </c>
      <c r="M151">
        <v>0</v>
      </c>
      <c r="N151">
        <v>0</v>
      </c>
      <c r="O151">
        <v>0</v>
      </c>
      <c r="P151" s="216">
        <v>79844</v>
      </c>
      <c r="Q151" s="217" t="s">
        <v>23</v>
      </c>
      <c r="R151" s="217" t="s">
        <v>61</v>
      </c>
      <c r="S151" s="218">
        <v>0.74624516956326559</v>
      </c>
      <c r="T151" t="s">
        <v>550</v>
      </c>
      <c r="U151" t="s">
        <v>51</v>
      </c>
      <c r="V151" s="219">
        <v>0</v>
      </c>
      <c r="W151" s="219">
        <v>0</v>
      </c>
    </row>
    <row r="152" spans="1:23" ht="15" customHeight="1" x14ac:dyDescent="0.25">
      <c r="A152" t="s">
        <v>879</v>
      </c>
      <c r="B152" t="s">
        <v>595</v>
      </c>
      <c r="C152">
        <v>166254</v>
      </c>
      <c r="D152" t="s">
        <v>880</v>
      </c>
      <c r="E152" t="s">
        <v>228</v>
      </c>
      <c r="F152" t="s">
        <v>554</v>
      </c>
      <c r="G152" s="30">
        <v>46146</v>
      </c>
      <c r="H152" t="s">
        <v>881</v>
      </c>
      <c r="I152">
        <v>1329847.75</v>
      </c>
      <c r="J152" s="123">
        <v>0</v>
      </c>
      <c r="K152" s="123">
        <v>0</v>
      </c>
      <c r="L152" s="123">
        <v>46146</v>
      </c>
      <c r="M152">
        <v>0</v>
      </c>
      <c r="N152">
        <v>0</v>
      </c>
      <c r="O152">
        <v>0</v>
      </c>
      <c r="P152" s="216">
        <v>166254</v>
      </c>
      <c r="Q152" s="217" t="s">
        <v>20</v>
      </c>
      <c r="R152" s="217" t="s">
        <v>554</v>
      </c>
      <c r="S152" s="218">
        <v>0.75129155801871239</v>
      </c>
      <c r="T152" t="s">
        <v>550</v>
      </c>
      <c r="U152" t="s">
        <v>51</v>
      </c>
      <c r="V152" s="219" t="s">
        <v>5920</v>
      </c>
      <c r="W152" s="219" t="s">
        <v>67</v>
      </c>
    </row>
    <row r="153" spans="1:23" ht="15" customHeight="1" x14ac:dyDescent="0.25">
      <c r="A153" t="s">
        <v>882</v>
      </c>
      <c r="B153" t="s">
        <v>595</v>
      </c>
      <c r="C153">
        <v>247438.8</v>
      </c>
      <c r="D153" t="s">
        <v>883</v>
      </c>
      <c r="E153" t="s">
        <v>228</v>
      </c>
      <c r="F153" t="s">
        <v>554</v>
      </c>
      <c r="G153" s="30">
        <v>46147</v>
      </c>
      <c r="H153" t="s">
        <v>884</v>
      </c>
      <c r="I153">
        <v>2005330.25</v>
      </c>
      <c r="J153" s="123">
        <v>0</v>
      </c>
      <c r="K153" s="123">
        <v>0</v>
      </c>
      <c r="L153" s="123">
        <v>46134</v>
      </c>
      <c r="M153">
        <v>0</v>
      </c>
      <c r="N153">
        <v>0</v>
      </c>
      <c r="O153">
        <v>0</v>
      </c>
      <c r="P153" s="216">
        <v>247438.8</v>
      </c>
      <c r="Q153" s="217" t="s">
        <v>20</v>
      </c>
      <c r="R153" s="217" t="s">
        <v>554</v>
      </c>
      <c r="S153" s="218">
        <v>0.66349583461359718</v>
      </c>
      <c r="T153" t="s">
        <v>550</v>
      </c>
      <c r="U153" t="s">
        <v>51</v>
      </c>
      <c r="V153" s="219">
        <v>0</v>
      </c>
      <c r="W153" s="219" t="s">
        <v>72</v>
      </c>
    </row>
    <row r="154" spans="1:23" ht="15" customHeight="1" x14ac:dyDescent="0.25">
      <c r="A154" t="s">
        <v>885</v>
      </c>
      <c r="B154" t="s">
        <v>575</v>
      </c>
      <c r="C154">
        <v>194863</v>
      </c>
      <c r="D154" t="s">
        <v>886</v>
      </c>
      <c r="E154" t="s">
        <v>238</v>
      </c>
      <c r="F154" t="s">
        <v>554</v>
      </c>
      <c r="G154" s="30">
        <v>46148</v>
      </c>
      <c r="H154" t="s">
        <v>887</v>
      </c>
      <c r="I154">
        <v>2022328</v>
      </c>
      <c r="J154" s="123">
        <v>0</v>
      </c>
      <c r="K154" s="123">
        <v>0</v>
      </c>
      <c r="L154" s="123">
        <v>46137</v>
      </c>
      <c r="M154">
        <v>0</v>
      </c>
      <c r="N154">
        <v>0</v>
      </c>
      <c r="O154">
        <v>0</v>
      </c>
      <c r="P154" s="216">
        <v>194863</v>
      </c>
      <c r="Q154" s="217" t="s">
        <v>19</v>
      </c>
      <c r="R154" s="217" t="s">
        <v>554</v>
      </c>
      <c r="S154" s="218">
        <v>0.79610985662806222</v>
      </c>
      <c r="T154" t="s">
        <v>550</v>
      </c>
      <c r="U154" t="s">
        <v>51</v>
      </c>
      <c r="V154" s="219" t="s">
        <v>5921</v>
      </c>
      <c r="W154" s="219" t="s">
        <v>67</v>
      </c>
    </row>
    <row r="155" spans="1:23" ht="15" customHeight="1" x14ac:dyDescent="0.25">
      <c r="A155" t="s">
        <v>888</v>
      </c>
      <c r="B155" t="s">
        <v>575</v>
      </c>
      <c r="C155">
        <v>252645</v>
      </c>
      <c r="D155" t="s">
        <v>889</v>
      </c>
      <c r="E155" t="s">
        <v>228</v>
      </c>
      <c r="F155" t="s">
        <v>580</v>
      </c>
      <c r="G155" s="30">
        <v>46149</v>
      </c>
      <c r="H155" t="s">
        <v>890</v>
      </c>
      <c r="I155">
        <v>2022328</v>
      </c>
      <c r="J155" s="123">
        <v>0</v>
      </c>
      <c r="K155" s="123">
        <v>0</v>
      </c>
      <c r="L155" s="123">
        <v>46148</v>
      </c>
      <c r="M155">
        <v>0</v>
      </c>
      <c r="N155">
        <v>0</v>
      </c>
      <c r="O155">
        <v>0</v>
      </c>
      <c r="P155" s="216">
        <v>252645</v>
      </c>
      <c r="Q155" s="217" t="s">
        <v>20</v>
      </c>
      <c r="R155" s="217" t="s">
        <v>582</v>
      </c>
      <c r="S155" s="218">
        <v>0.63002584195173206</v>
      </c>
      <c r="T155" t="s">
        <v>550</v>
      </c>
      <c r="U155" t="s">
        <v>51</v>
      </c>
      <c r="V155" s="219">
        <v>0</v>
      </c>
      <c r="W155" s="219">
        <v>0</v>
      </c>
    </row>
    <row r="156" spans="1:23" ht="15" customHeight="1" x14ac:dyDescent="0.25">
      <c r="A156" t="s">
        <v>891</v>
      </c>
      <c r="B156" t="s">
        <v>575</v>
      </c>
      <c r="C156">
        <v>1000</v>
      </c>
      <c r="D156" t="s">
        <v>889</v>
      </c>
      <c r="E156" t="s">
        <v>228</v>
      </c>
      <c r="F156" t="s">
        <v>580</v>
      </c>
      <c r="G156" s="30">
        <v>46149</v>
      </c>
      <c r="H156" t="s">
        <v>890</v>
      </c>
      <c r="I156">
        <v>2022328</v>
      </c>
      <c r="J156" s="123">
        <v>0</v>
      </c>
      <c r="K156" s="123">
        <v>0</v>
      </c>
      <c r="L156" s="123">
        <v>46148</v>
      </c>
      <c r="M156">
        <v>0</v>
      </c>
      <c r="N156">
        <v>0</v>
      </c>
      <c r="O156">
        <v>0</v>
      </c>
      <c r="P156" s="216">
        <v>1000</v>
      </c>
      <c r="Q156" s="217" t="s">
        <v>20</v>
      </c>
      <c r="R156" s="217" t="s">
        <v>582</v>
      </c>
      <c r="S156" s="218">
        <v>0.63002584195173206</v>
      </c>
      <c r="T156" t="s">
        <v>550</v>
      </c>
      <c r="U156" t="s">
        <v>51</v>
      </c>
      <c r="V156" s="219">
        <v>0</v>
      </c>
      <c r="W156" s="219">
        <v>0</v>
      </c>
    </row>
    <row r="157" spans="1:23" ht="15" customHeight="1" x14ac:dyDescent="0.25">
      <c r="A157" t="s">
        <v>892</v>
      </c>
      <c r="B157" t="s">
        <v>575</v>
      </c>
      <c r="C157">
        <v>93293</v>
      </c>
      <c r="D157" t="s">
        <v>893</v>
      </c>
      <c r="E157" t="s">
        <v>238</v>
      </c>
      <c r="F157" t="s">
        <v>585</v>
      </c>
      <c r="G157" s="30">
        <v>46145</v>
      </c>
      <c r="H157" t="s">
        <v>894</v>
      </c>
      <c r="I157">
        <v>978631.5</v>
      </c>
      <c r="J157" s="123">
        <v>0</v>
      </c>
      <c r="K157" s="123">
        <v>0</v>
      </c>
      <c r="L157" s="123">
        <v>46140</v>
      </c>
      <c r="M157">
        <v>0</v>
      </c>
      <c r="N157">
        <v>0</v>
      </c>
      <c r="O157">
        <v>0</v>
      </c>
      <c r="P157" s="216">
        <v>93293</v>
      </c>
      <c r="Q157" s="217" t="s">
        <v>19</v>
      </c>
      <c r="R157" s="217" t="s">
        <v>61</v>
      </c>
      <c r="S157" s="218">
        <v>0.62651793695394586</v>
      </c>
      <c r="T157" t="s">
        <v>550</v>
      </c>
      <c r="U157" t="s">
        <v>51</v>
      </c>
      <c r="V157" s="219">
        <v>0</v>
      </c>
      <c r="W157" s="219">
        <v>0</v>
      </c>
    </row>
    <row r="158" spans="1:23" ht="15" customHeight="1" x14ac:dyDescent="0.25">
      <c r="A158" t="s">
        <v>895</v>
      </c>
      <c r="B158" t="s">
        <v>575</v>
      </c>
      <c r="C158">
        <v>30982.799999999999</v>
      </c>
      <c r="D158" t="s">
        <v>893</v>
      </c>
      <c r="E158" t="s">
        <v>238</v>
      </c>
      <c r="F158" t="s">
        <v>585</v>
      </c>
      <c r="G158" s="30">
        <v>46145</v>
      </c>
      <c r="H158" t="s">
        <v>894</v>
      </c>
      <c r="I158">
        <v>978631.5</v>
      </c>
      <c r="J158" s="123">
        <v>0</v>
      </c>
      <c r="K158" s="123">
        <v>0</v>
      </c>
      <c r="L158" s="123">
        <v>46163</v>
      </c>
      <c r="M158">
        <v>0</v>
      </c>
      <c r="N158">
        <v>0</v>
      </c>
      <c r="O158">
        <v>0</v>
      </c>
      <c r="P158" s="216">
        <v>30982.799999999999</v>
      </c>
      <c r="Q158" s="217" t="s">
        <v>19</v>
      </c>
      <c r="R158" s="217" t="s">
        <v>61</v>
      </c>
      <c r="S158" s="218">
        <v>0.62651793695394586</v>
      </c>
      <c r="T158" t="s">
        <v>550</v>
      </c>
      <c r="U158" t="s">
        <v>51</v>
      </c>
      <c r="V158" s="219">
        <v>0</v>
      </c>
      <c r="W158" s="219">
        <v>0</v>
      </c>
    </row>
    <row r="159" spans="1:23" ht="15" customHeight="1" x14ac:dyDescent="0.25">
      <c r="A159" t="s">
        <v>896</v>
      </c>
      <c r="B159" t="s">
        <v>575</v>
      </c>
      <c r="C159">
        <v>23329</v>
      </c>
      <c r="D159" t="s">
        <v>897</v>
      </c>
      <c r="E159" t="s">
        <v>228</v>
      </c>
      <c r="F159" t="s">
        <v>585</v>
      </c>
      <c r="G159" s="30">
        <v>46146</v>
      </c>
      <c r="H159" t="s">
        <v>898</v>
      </c>
      <c r="I159">
        <v>984849.25</v>
      </c>
      <c r="J159" s="123">
        <v>0</v>
      </c>
      <c r="K159" s="123">
        <v>0</v>
      </c>
      <c r="L159" s="123">
        <v>46143</v>
      </c>
      <c r="M159">
        <v>0</v>
      </c>
      <c r="N159">
        <v>0</v>
      </c>
      <c r="O159">
        <v>0</v>
      </c>
      <c r="P159" s="216">
        <v>23329</v>
      </c>
      <c r="Q159" s="217" t="s">
        <v>20</v>
      </c>
      <c r="R159" s="217" t="s">
        <v>61</v>
      </c>
      <c r="S159" s="218">
        <v>0.65043104650753614</v>
      </c>
      <c r="T159" t="s">
        <v>550</v>
      </c>
      <c r="U159" t="s">
        <v>51</v>
      </c>
      <c r="V159" s="219">
        <v>0</v>
      </c>
      <c r="W159" s="219">
        <v>0</v>
      </c>
    </row>
    <row r="160" spans="1:23" ht="15" customHeight="1" x14ac:dyDescent="0.25">
      <c r="A160" t="s">
        <v>899</v>
      </c>
      <c r="B160" t="s">
        <v>575</v>
      </c>
      <c r="C160">
        <v>100000</v>
      </c>
      <c r="D160" t="s">
        <v>897</v>
      </c>
      <c r="E160" t="s">
        <v>228</v>
      </c>
      <c r="F160" t="s">
        <v>585</v>
      </c>
      <c r="G160" s="30">
        <v>46146</v>
      </c>
      <c r="H160" t="s">
        <v>898</v>
      </c>
      <c r="I160">
        <v>984849.25</v>
      </c>
      <c r="J160" s="123">
        <v>0</v>
      </c>
      <c r="K160" s="123">
        <v>0</v>
      </c>
      <c r="L160" s="123">
        <v>46143</v>
      </c>
      <c r="M160">
        <v>0</v>
      </c>
      <c r="N160">
        <v>0</v>
      </c>
      <c r="O160">
        <v>0</v>
      </c>
      <c r="P160" s="216">
        <v>100000</v>
      </c>
      <c r="Q160" s="217" t="s">
        <v>20</v>
      </c>
      <c r="R160" s="217" t="s">
        <v>61</v>
      </c>
      <c r="S160" s="218">
        <v>0.65043104650753614</v>
      </c>
      <c r="T160" t="s">
        <v>550</v>
      </c>
      <c r="U160" t="s">
        <v>51</v>
      </c>
      <c r="V160" s="219">
        <v>0</v>
      </c>
      <c r="W160" s="219">
        <v>0</v>
      </c>
    </row>
    <row r="161" spans="1:23" ht="15" customHeight="1" x14ac:dyDescent="0.25">
      <c r="A161" t="s">
        <v>900</v>
      </c>
      <c r="B161" t="s">
        <v>603</v>
      </c>
      <c r="C161">
        <v>123600</v>
      </c>
      <c r="D161" t="s">
        <v>901</v>
      </c>
      <c r="E161" t="s">
        <v>605</v>
      </c>
      <c r="F161" t="s">
        <v>554</v>
      </c>
      <c r="G161" s="30">
        <v>46146</v>
      </c>
      <c r="H161" t="s">
        <v>902</v>
      </c>
      <c r="I161">
        <v>988988</v>
      </c>
      <c r="J161" s="123">
        <v>46146</v>
      </c>
      <c r="K161" s="123">
        <v>0</v>
      </c>
      <c r="L161" s="123">
        <v>0</v>
      </c>
      <c r="M161">
        <v>0</v>
      </c>
      <c r="N161">
        <v>0</v>
      </c>
      <c r="O161">
        <v>0</v>
      </c>
      <c r="P161" s="216">
        <v>123600</v>
      </c>
      <c r="Q161" s="217" t="s">
        <v>20</v>
      </c>
      <c r="R161" s="217" t="s">
        <v>554</v>
      </c>
      <c r="S161" s="218">
        <v>0.75000137960797908</v>
      </c>
      <c r="T161" t="s">
        <v>550</v>
      </c>
      <c r="U161" t="s">
        <v>51</v>
      </c>
      <c r="V161" s="219" t="s">
        <v>5922</v>
      </c>
      <c r="W161" s="219" t="s">
        <v>67</v>
      </c>
    </row>
    <row r="162" spans="1:23" ht="15" customHeight="1" x14ac:dyDescent="0.25">
      <c r="A162" t="s">
        <v>903</v>
      </c>
      <c r="B162" t="s">
        <v>546</v>
      </c>
      <c r="C162">
        <v>8250</v>
      </c>
      <c r="D162" t="s">
        <v>904</v>
      </c>
      <c r="E162" t="s">
        <v>553</v>
      </c>
      <c r="F162" t="s">
        <v>554</v>
      </c>
      <c r="G162" s="30">
        <v>46143</v>
      </c>
      <c r="H162" t="s">
        <v>905</v>
      </c>
      <c r="I162">
        <v>2030624.75</v>
      </c>
      <c r="J162" s="123">
        <v>46143</v>
      </c>
      <c r="K162" s="123">
        <v>0</v>
      </c>
      <c r="L162" s="123">
        <v>46143</v>
      </c>
      <c r="M162">
        <v>0</v>
      </c>
      <c r="N162">
        <v>0</v>
      </c>
      <c r="O162" t="s">
        <v>556</v>
      </c>
      <c r="P162" s="216">
        <v>8250</v>
      </c>
      <c r="Q162" s="217" t="s">
        <v>19</v>
      </c>
      <c r="R162" s="217" t="s">
        <v>554</v>
      </c>
      <c r="S162" s="218">
        <v>0.75251871749456789</v>
      </c>
      <c r="T162" t="s">
        <v>550</v>
      </c>
      <c r="U162" t="s">
        <v>51</v>
      </c>
      <c r="V162" s="219" t="s">
        <v>5923</v>
      </c>
      <c r="W162" s="219" t="s">
        <v>67</v>
      </c>
    </row>
    <row r="163" spans="1:23" ht="15" customHeight="1" x14ac:dyDescent="0.25">
      <c r="A163" t="s">
        <v>906</v>
      </c>
      <c r="B163" t="s">
        <v>546</v>
      </c>
      <c r="C163">
        <v>8250</v>
      </c>
      <c r="D163" t="s">
        <v>904</v>
      </c>
      <c r="E163" t="s">
        <v>553</v>
      </c>
      <c r="F163" t="s">
        <v>554</v>
      </c>
      <c r="G163" s="30">
        <v>46143</v>
      </c>
      <c r="H163" t="s">
        <v>905</v>
      </c>
      <c r="I163">
        <v>2030624.75</v>
      </c>
      <c r="J163" s="123">
        <v>46143</v>
      </c>
      <c r="K163" s="123">
        <v>0</v>
      </c>
      <c r="L163" s="123">
        <v>46143</v>
      </c>
      <c r="M163">
        <v>0</v>
      </c>
      <c r="N163">
        <v>0</v>
      </c>
      <c r="O163" t="s">
        <v>556</v>
      </c>
      <c r="P163" s="216">
        <v>8250</v>
      </c>
      <c r="Q163" s="217" t="s">
        <v>19</v>
      </c>
      <c r="R163" s="217" t="s">
        <v>554</v>
      </c>
      <c r="S163" s="218">
        <v>0.75251871749456789</v>
      </c>
      <c r="T163" t="s">
        <v>550</v>
      </c>
      <c r="U163" t="s">
        <v>51</v>
      </c>
      <c r="V163" s="219" t="s">
        <v>5924</v>
      </c>
      <c r="W163" s="219" t="s">
        <v>67</v>
      </c>
    </row>
    <row r="164" spans="1:23" ht="15" customHeight="1" x14ac:dyDescent="0.25">
      <c r="A164" t="s">
        <v>907</v>
      </c>
      <c r="B164" t="s">
        <v>546</v>
      </c>
      <c r="C164">
        <v>8100</v>
      </c>
      <c r="D164" t="s">
        <v>904</v>
      </c>
      <c r="E164" t="s">
        <v>553</v>
      </c>
      <c r="F164" t="s">
        <v>554</v>
      </c>
      <c r="G164" s="30">
        <v>46146</v>
      </c>
      <c r="H164" t="s">
        <v>905</v>
      </c>
      <c r="I164">
        <v>2030624.75</v>
      </c>
      <c r="J164" s="123">
        <v>46146</v>
      </c>
      <c r="K164" s="123">
        <v>0</v>
      </c>
      <c r="L164" s="123">
        <v>46146</v>
      </c>
      <c r="M164">
        <v>0</v>
      </c>
      <c r="N164">
        <v>0</v>
      </c>
      <c r="O164" t="s">
        <v>556</v>
      </c>
      <c r="P164" s="216">
        <v>8100</v>
      </c>
      <c r="Q164" s="217" t="s">
        <v>19</v>
      </c>
      <c r="R164" s="217" t="s">
        <v>554</v>
      </c>
      <c r="S164" s="218">
        <v>0.75251871749456789</v>
      </c>
      <c r="T164" t="s">
        <v>550</v>
      </c>
      <c r="U164" t="s">
        <v>51</v>
      </c>
      <c r="V164" s="219" t="s">
        <v>5925</v>
      </c>
      <c r="W164" s="219" t="s">
        <v>67</v>
      </c>
    </row>
    <row r="165" spans="1:23" ht="15" customHeight="1" x14ac:dyDescent="0.25">
      <c r="A165" t="s">
        <v>908</v>
      </c>
      <c r="B165" t="s">
        <v>546</v>
      </c>
      <c r="C165">
        <v>8100</v>
      </c>
      <c r="D165" t="s">
        <v>904</v>
      </c>
      <c r="E165" t="s">
        <v>553</v>
      </c>
      <c r="F165" t="s">
        <v>548</v>
      </c>
      <c r="G165" s="30">
        <v>46146</v>
      </c>
      <c r="H165" t="s">
        <v>905</v>
      </c>
      <c r="I165">
        <v>2030624.75</v>
      </c>
      <c r="J165" s="123">
        <v>46146</v>
      </c>
      <c r="K165" s="123">
        <v>0</v>
      </c>
      <c r="L165" s="123">
        <v>46146</v>
      </c>
      <c r="M165">
        <v>0</v>
      </c>
      <c r="N165">
        <v>0</v>
      </c>
      <c r="O165" t="s">
        <v>556</v>
      </c>
      <c r="P165" s="216">
        <v>8100</v>
      </c>
      <c r="Q165" s="217" t="s">
        <v>19</v>
      </c>
      <c r="R165" s="217" t="s">
        <v>62</v>
      </c>
      <c r="S165" s="218">
        <v>0.75251871749456789</v>
      </c>
      <c r="T165" t="s">
        <v>550</v>
      </c>
      <c r="U165" t="s">
        <v>51</v>
      </c>
      <c r="V165" s="219">
        <v>0</v>
      </c>
      <c r="W165" s="219">
        <v>0</v>
      </c>
    </row>
    <row r="166" spans="1:23" ht="15" customHeight="1" x14ac:dyDescent="0.25">
      <c r="A166" t="s">
        <v>909</v>
      </c>
      <c r="B166" t="s">
        <v>546</v>
      </c>
      <c r="C166">
        <v>8150</v>
      </c>
      <c r="D166" t="s">
        <v>904</v>
      </c>
      <c r="E166" t="s">
        <v>553</v>
      </c>
      <c r="F166" t="s">
        <v>548</v>
      </c>
      <c r="G166" s="30">
        <v>46146</v>
      </c>
      <c r="H166" t="s">
        <v>905</v>
      </c>
      <c r="I166">
        <v>2030624.75</v>
      </c>
      <c r="J166" s="123">
        <v>46146</v>
      </c>
      <c r="K166" s="123">
        <v>0</v>
      </c>
      <c r="L166" s="123">
        <v>46146</v>
      </c>
      <c r="M166">
        <v>0</v>
      </c>
      <c r="N166">
        <v>0</v>
      </c>
      <c r="O166" t="s">
        <v>556</v>
      </c>
      <c r="P166" s="216">
        <v>8150</v>
      </c>
      <c r="Q166" s="217" t="s">
        <v>19</v>
      </c>
      <c r="R166" s="217" t="s">
        <v>62</v>
      </c>
      <c r="S166" s="218">
        <v>0.75251871749456789</v>
      </c>
      <c r="T166" t="s">
        <v>550</v>
      </c>
      <c r="U166" t="s">
        <v>51</v>
      </c>
      <c r="V166" s="219">
        <v>0</v>
      </c>
      <c r="W166" s="219">
        <v>0</v>
      </c>
    </row>
    <row r="167" spans="1:23" ht="15" customHeight="1" x14ac:dyDescent="0.25">
      <c r="A167" t="s">
        <v>910</v>
      </c>
      <c r="B167" t="s">
        <v>546</v>
      </c>
      <c r="C167">
        <v>8200</v>
      </c>
      <c r="D167" t="s">
        <v>904</v>
      </c>
      <c r="E167" t="s">
        <v>553</v>
      </c>
      <c r="F167" t="s">
        <v>548</v>
      </c>
      <c r="G167" s="30">
        <v>46146</v>
      </c>
      <c r="H167" t="s">
        <v>905</v>
      </c>
      <c r="I167">
        <v>2030624.75</v>
      </c>
      <c r="J167" s="123">
        <v>46146</v>
      </c>
      <c r="K167" s="123">
        <v>0</v>
      </c>
      <c r="L167" s="123">
        <v>46146</v>
      </c>
      <c r="M167">
        <v>0</v>
      </c>
      <c r="N167">
        <v>0</v>
      </c>
      <c r="O167" t="s">
        <v>556</v>
      </c>
      <c r="P167" s="216">
        <v>8200</v>
      </c>
      <c r="Q167" s="217" t="s">
        <v>19</v>
      </c>
      <c r="R167" s="217" t="s">
        <v>62</v>
      </c>
      <c r="S167" s="218">
        <v>0.75251871749456789</v>
      </c>
      <c r="T167" t="s">
        <v>550</v>
      </c>
      <c r="U167" t="s">
        <v>51</v>
      </c>
      <c r="V167" s="219">
        <v>0</v>
      </c>
      <c r="W167" s="219">
        <v>0</v>
      </c>
    </row>
    <row r="168" spans="1:23" ht="15" customHeight="1" x14ac:dyDescent="0.25">
      <c r="A168" t="s">
        <v>911</v>
      </c>
      <c r="B168" t="s">
        <v>546</v>
      </c>
      <c r="C168">
        <v>8250</v>
      </c>
      <c r="D168" t="s">
        <v>904</v>
      </c>
      <c r="E168" t="s">
        <v>553</v>
      </c>
      <c r="F168" t="s">
        <v>554</v>
      </c>
      <c r="G168" s="30">
        <v>46147</v>
      </c>
      <c r="H168" t="s">
        <v>905</v>
      </c>
      <c r="I168">
        <v>2030624.75</v>
      </c>
      <c r="J168" s="123">
        <v>46147</v>
      </c>
      <c r="K168" s="123">
        <v>0</v>
      </c>
      <c r="L168" s="123">
        <v>46147</v>
      </c>
      <c r="M168">
        <v>0</v>
      </c>
      <c r="N168">
        <v>0</v>
      </c>
      <c r="O168" t="s">
        <v>556</v>
      </c>
      <c r="P168" s="216">
        <v>8250</v>
      </c>
      <c r="Q168" s="217" t="s">
        <v>19</v>
      </c>
      <c r="R168" s="217" t="s">
        <v>554</v>
      </c>
      <c r="S168" s="218">
        <v>0.75251871749456789</v>
      </c>
      <c r="T168" t="s">
        <v>550</v>
      </c>
      <c r="U168" t="s">
        <v>51</v>
      </c>
      <c r="V168" s="219" t="s">
        <v>5926</v>
      </c>
      <c r="W168" s="219" t="s">
        <v>67</v>
      </c>
    </row>
    <row r="169" spans="1:23" ht="15" customHeight="1" x14ac:dyDescent="0.25">
      <c r="A169" t="s">
        <v>912</v>
      </c>
      <c r="B169" t="s">
        <v>546</v>
      </c>
      <c r="C169">
        <v>8250</v>
      </c>
      <c r="D169" t="s">
        <v>913</v>
      </c>
      <c r="E169" t="s">
        <v>553</v>
      </c>
      <c r="F169" t="s">
        <v>554</v>
      </c>
      <c r="G169" s="30">
        <v>46143</v>
      </c>
      <c r="H169" t="s">
        <v>914</v>
      </c>
      <c r="I169">
        <v>2004310</v>
      </c>
      <c r="J169" s="123">
        <v>46143</v>
      </c>
      <c r="K169" s="123">
        <v>0</v>
      </c>
      <c r="L169" s="123">
        <v>46143</v>
      </c>
      <c r="M169">
        <v>0</v>
      </c>
      <c r="N169">
        <v>0</v>
      </c>
      <c r="O169" t="s">
        <v>556</v>
      </c>
      <c r="P169" s="216">
        <v>8250</v>
      </c>
      <c r="Q169" s="217" t="s">
        <v>19</v>
      </c>
      <c r="R169" s="217" t="s">
        <v>554</v>
      </c>
      <c r="S169" s="218">
        <v>0.75185149550085784</v>
      </c>
      <c r="T169" t="s">
        <v>550</v>
      </c>
      <c r="U169" t="s">
        <v>51</v>
      </c>
      <c r="V169" s="219" t="s">
        <v>5927</v>
      </c>
      <c r="W169" s="219" t="s">
        <v>67</v>
      </c>
    </row>
    <row r="170" spans="1:23" ht="15" customHeight="1" x14ac:dyDescent="0.25">
      <c r="A170" t="s">
        <v>915</v>
      </c>
      <c r="B170" t="s">
        <v>546</v>
      </c>
      <c r="C170">
        <v>8300</v>
      </c>
      <c r="D170" t="s">
        <v>913</v>
      </c>
      <c r="E170" t="s">
        <v>553</v>
      </c>
      <c r="F170" t="s">
        <v>548</v>
      </c>
      <c r="G170" s="30">
        <v>46143</v>
      </c>
      <c r="H170" t="s">
        <v>914</v>
      </c>
      <c r="I170">
        <v>2004310</v>
      </c>
      <c r="J170" s="123">
        <v>46143</v>
      </c>
      <c r="K170" s="123">
        <v>0</v>
      </c>
      <c r="L170" s="123">
        <v>46143</v>
      </c>
      <c r="M170">
        <v>0</v>
      </c>
      <c r="N170">
        <v>0</v>
      </c>
      <c r="O170" t="s">
        <v>556</v>
      </c>
      <c r="P170" s="216">
        <v>8300</v>
      </c>
      <c r="Q170" s="217" t="s">
        <v>19</v>
      </c>
      <c r="R170" s="217" t="s">
        <v>62</v>
      </c>
      <c r="S170" s="218">
        <v>0.75185149550085784</v>
      </c>
      <c r="T170" t="s">
        <v>550</v>
      </c>
      <c r="U170" t="s">
        <v>51</v>
      </c>
      <c r="V170" s="219">
        <v>0</v>
      </c>
      <c r="W170" s="219">
        <v>0</v>
      </c>
    </row>
    <row r="171" spans="1:23" ht="15" customHeight="1" x14ac:dyDescent="0.25">
      <c r="A171" t="s">
        <v>916</v>
      </c>
      <c r="B171" t="s">
        <v>546</v>
      </c>
      <c r="C171">
        <v>8200</v>
      </c>
      <c r="D171" t="s">
        <v>913</v>
      </c>
      <c r="E171" t="s">
        <v>553</v>
      </c>
      <c r="F171" t="s">
        <v>554</v>
      </c>
      <c r="G171" s="30">
        <v>46146</v>
      </c>
      <c r="H171" t="s">
        <v>914</v>
      </c>
      <c r="I171">
        <v>2004310</v>
      </c>
      <c r="J171" s="123">
        <v>46146</v>
      </c>
      <c r="K171" s="123">
        <v>0</v>
      </c>
      <c r="L171" s="123">
        <v>46146</v>
      </c>
      <c r="M171">
        <v>0</v>
      </c>
      <c r="N171">
        <v>0</v>
      </c>
      <c r="O171" t="s">
        <v>556</v>
      </c>
      <c r="P171" s="216">
        <v>8200</v>
      </c>
      <c r="Q171" s="217" t="s">
        <v>19</v>
      </c>
      <c r="R171" s="217" t="s">
        <v>554</v>
      </c>
      <c r="S171" s="218">
        <v>0.75185149550085784</v>
      </c>
      <c r="T171" t="s">
        <v>550</v>
      </c>
      <c r="U171" t="s">
        <v>51</v>
      </c>
      <c r="V171" s="219" t="s">
        <v>5928</v>
      </c>
      <c r="W171" s="219" t="s">
        <v>67</v>
      </c>
    </row>
    <row r="172" spans="1:23" ht="15" customHeight="1" x14ac:dyDescent="0.25">
      <c r="A172" t="s">
        <v>917</v>
      </c>
      <c r="B172" t="s">
        <v>546</v>
      </c>
      <c r="C172">
        <v>8200</v>
      </c>
      <c r="D172" t="s">
        <v>913</v>
      </c>
      <c r="E172" t="s">
        <v>553</v>
      </c>
      <c r="F172" t="s">
        <v>548</v>
      </c>
      <c r="G172" s="30">
        <v>46146</v>
      </c>
      <c r="H172" t="s">
        <v>914</v>
      </c>
      <c r="I172">
        <v>2004310</v>
      </c>
      <c r="J172" s="123">
        <v>46146</v>
      </c>
      <c r="K172" s="123">
        <v>0</v>
      </c>
      <c r="L172" s="123">
        <v>46146</v>
      </c>
      <c r="M172">
        <v>0</v>
      </c>
      <c r="N172">
        <v>0</v>
      </c>
      <c r="O172" t="s">
        <v>556</v>
      </c>
      <c r="P172" s="216">
        <v>8200</v>
      </c>
      <c r="Q172" s="217" t="s">
        <v>19</v>
      </c>
      <c r="R172" s="217" t="s">
        <v>62</v>
      </c>
      <c r="S172" s="218">
        <v>0.75185149550085784</v>
      </c>
      <c r="T172" t="s">
        <v>550</v>
      </c>
      <c r="U172" t="s">
        <v>51</v>
      </c>
      <c r="V172" s="219">
        <v>0</v>
      </c>
      <c r="W172" s="219">
        <v>0</v>
      </c>
    </row>
    <row r="173" spans="1:23" ht="15" customHeight="1" x14ac:dyDescent="0.25">
      <c r="A173" t="s">
        <v>918</v>
      </c>
      <c r="B173" t="s">
        <v>546</v>
      </c>
      <c r="C173">
        <v>8200</v>
      </c>
      <c r="D173" t="s">
        <v>913</v>
      </c>
      <c r="E173" t="s">
        <v>553</v>
      </c>
      <c r="F173" t="s">
        <v>548</v>
      </c>
      <c r="G173" s="30">
        <v>46146</v>
      </c>
      <c r="H173" t="s">
        <v>914</v>
      </c>
      <c r="I173">
        <v>2004310</v>
      </c>
      <c r="J173" s="123">
        <v>46146</v>
      </c>
      <c r="K173" s="123">
        <v>0</v>
      </c>
      <c r="L173" s="123">
        <v>46146</v>
      </c>
      <c r="M173">
        <v>0</v>
      </c>
      <c r="N173">
        <v>0</v>
      </c>
      <c r="O173" t="s">
        <v>556</v>
      </c>
      <c r="P173" s="216">
        <v>8200</v>
      </c>
      <c r="Q173" s="217" t="s">
        <v>19</v>
      </c>
      <c r="R173" s="217" t="s">
        <v>62</v>
      </c>
      <c r="S173" s="218">
        <v>0.75185149550085784</v>
      </c>
      <c r="T173" t="s">
        <v>550</v>
      </c>
      <c r="U173" t="s">
        <v>51</v>
      </c>
      <c r="V173" s="219">
        <v>0</v>
      </c>
      <c r="W173" s="219">
        <v>0</v>
      </c>
    </row>
    <row r="174" spans="1:23" ht="15" customHeight="1" x14ac:dyDescent="0.25">
      <c r="A174" t="s">
        <v>919</v>
      </c>
      <c r="B174" t="s">
        <v>546</v>
      </c>
      <c r="C174">
        <v>8200</v>
      </c>
      <c r="D174" t="s">
        <v>913</v>
      </c>
      <c r="E174" t="s">
        <v>553</v>
      </c>
      <c r="F174" t="s">
        <v>548</v>
      </c>
      <c r="G174" s="30">
        <v>46146</v>
      </c>
      <c r="H174" t="s">
        <v>914</v>
      </c>
      <c r="I174">
        <v>2004310</v>
      </c>
      <c r="J174" s="123">
        <v>46146</v>
      </c>
      <c r="K174" s="123">
        <v>0</v>
      </c>
      <c r="L174" s="123">
        <v>46146</v>
      </c>
      <c r="M174">
        <v>0</v>
      </c>
      <c r="N174">
        <v>0</v>
      </c>
      <c r="O174" t="s">
        <v>556</v>
      </c>
      <c r="P174" s="216">
        <v>8200</v>
      </c>
      <c r="Q174" s="217" t="s">
        <v>19</v>
      </c>
      <c r="R174" s="217" t="s">
        <v>62</v>
      </c>
      <c r="S174" s="218">
        <v>0.75185149550085784</v>
      </c>
      <c r="T174" t="s">
        <v>550</v>
      </c>
      <c r="U174" t="s">
        <v>51</v>
      </c>
      <c r="V174" s="219">
        <v>0</v>
      </c>
      <c r="W174" s="219">
        <v>0</v>
      </c>
    </row>
    <row r="175" spans="1:23" ht="15" customHeight="1" x14ac:dyDescent="0.25">
      <c r="A175" t="s">
        <v>920</v>
      </c>
      <c r="B175" t="s">
        <v>546</v>
      </c>
      <c r="C175">
        <v>8200</v>
      </c>
      <c r="D175" t="s">
        <v>913</v>
      </c>
      <c r="E175" t="s">
        <v>553</v>
      </c>
      <c r="F175" t="s">
        <v>554</v>
      </c>
      <c r="G175" s="30">
        <v>46146</v>
      </c>
      <c r="H175" t="s">
        <v>914</v>
      </c>
      <c r="I175">
        <v>2004310</v>
      </c>
      <c r="J175" s="123">
        <v>46146</v>
      </c>
      <c r="K175" s="123">
        <v>0</v>
      </c>
      <c r="L175" s="123">
        <v>46146</v>
      </c>
      <c r="M175">
        <v>0</v>
      </c>
      <c r="N175">
        <v>0</v>
      </c>
      <c r="O175" t="s">
        <v>556</v>
      </c>
      <c r="P175" s="216">
        <v>8200</v>
      </c>
      <c r="Q175" s="217" t="s">
        <v>19</v>
      </c>
      <c r="R175" s="217" t="s">
        <v>554</v>
      </c>
      <c r="S175" s="218">
        <v>0.75185149550085784</v>
      </c>
      <c r="T175" t="s">
        <v>550</v>
      </c>
      <c r="U175" t="s">
        <v>51</v>
      </c>
      <c r="V175" s="219" t="s">
        <v>5929</v>
      </c>
      <c r="W175" s="219" t="s">
        <v>67</v>
      </c>
    </row>
    <row r="176" spans="1:23" ht="15" customHeight="1" x14ac:dyDescent="0.25">
      <c r="A176" t="s">
        <v>921</v>
      </c>
      <c r="B176" t="s">
        <v>546</v>
      </c>
      <c r="C176">
        <v>8300</v>
      </c>
      <c r="D176" t="s">
        <v>913</v>
      </c>
      <c r="E176" t="s">
        <v>553</v>
      </c>
      <c r="F176" t="s">
        <v>548</v>
      </c>
      <c r="G176" s="30">
        <v>46146</v>
      </c>
      <c r="H176" t="s">
        <v>914</v>
      </c>
      <c r="I176">
        <v>2004310</v>
      </c>
      <c r="J176" s="123">
        <v>46146</v>
      </c>
      <c r="K176" s="123">
        <v>0</v>
      </c>
      <c r="L176" s="123">
        <v>46146</v>
      </c>
      <c r="M176">
        <v>0</v>
      </c>
      <c r="N176">
        <v>0</v>
      </c>
      <c r="O176" t="s">
        <v>556</v>
      </c>
      <c r="P176" s="216">
        <v>8300</v>
      </c>
      <c r="Q176" s="217" t="s">
        <v>19</v>
      </c>
      <c r="R176" s="217" t="s">
        <v>62</v>
      </c>
      <c r="S176" s="218">
        <v>0.75185149550085784</v>
      </c>
      <c r="T176" t="s">
        <v>550</v>
      </c>
      <c r="U176" t="s">
        <v>51</v>
      </c>
      <c r="V176" s="219">
        <v>0</v>
      </c>
      <c r="W176" s="219">
        <v>0</v>
      </c>
    </row>
    <row r="177" spans="1:23" ht="15" customHeight="1" x14ac:dyDescent="0.25">
      <c r="A177" t="s">
        <v>922</v>
      </c>
      <c r="B177" t="s">
        <v>546</v>
      </c>
      <c r="C177">
        <v>8200</v>
      </c>
      <c r="D177" t="s">
        <v>913</v>
      </c>
      <c r="E177" t="s">
        <v>553</v>
      </c>
      <c r="F177" t="s">
        <v>554</v>
      </c>
      <c r="G177" s="30">
        <v>46146</v>
      </c>
      <c r="H177" t="s">
        <v>914</v>
      </c>
      <c r="I177">
        <v>2004310</v>
      </c>
      <c r="J177" s="123">
        <v>46146</v>
      </c>
      <c r="K177" s="123">
        <v>0</v>
      </c>
      <c r="L177" s="123">
        <v>46146</v>
      </c>
      <c r="M177">
        <v>0</v>
      </c>
      <c r="N177">
        <v>0</v>
      </c>
      <c r="O177" t="s">
        <v>556</v>
      </c>
      <c r="P177" s="216">
        <v>8200</v>
      </c>
      <c r="Q177" s="217" t="s">
        <v>19</v>
      </c>
      <c r="R177" s="217" t="s">
        <v>554</v>
      </c>
      <c r="S177" s="218">
        <v>0.75185149550085784</v>
      </c>
      <c r="T177" t="s">
        <v>550</v>
      </c>
      <c r="U177" t="s">
        <v>51</v>
      </c>
      <c r="V177" s="219" t="s">
        <v>5930</v>
      </c>
      <c r="W177" s="219" t="s">
        <v>67</v>
      </c>
    </row>
    <row r="178" spans="1:23" ht="15" customHeight="1" x14ac:dyDescent="0.25">
      <c r="A178" t="s">
        <v>923</v>
      </c>
      <c r="B178" t="s">
        <v>575</v>
      </c>
      <c r="C178">
        <v>162422</v>
      </c>
      <c r="D178" t="s">
        <v>924</v>
      </c>
      <c r="E178" t="s">
        <v>278</v>
      </c>
      <c r="F178" t="s">
        <v>580</v>
      </c>
      <c r="G178" s="30">
        <v>46149</v>
      </c>
      <c r="H178" t="s">
        <v>925</v>
      </c>
      <c r="I178">
        <v>1304149</v>
      </c>
      <c r="J178" s="123">
        <v>0</v>
      </c>
      <c r="K178" s="123">
        <v>0</v>
      </c>
      <c r="L178" s="123">
        <v>46147</v>
      </c>
      <c r="M178">
        <v>0</v>
      </c>
      <c r="N178">
        <v>0</v>
      </c>
      <c r="O178">
        <v>0</v>
      </c>
      <c r="P178" s="216">
        <v>162422</v>
      </c>
      <c r="Q178" s="217" t="s">
        <v>39</v>
      </c>
      <c r="R178" s="217" t="s">
        <v>582</v>
      </c>
      <c r="S178" s="218">
        <v>0.75044656084656081</v>
      </c>
      <c r="T178" t="s">
        <v>550</v>
      </c>
      <c r="U178" t="s">
        <v>51</v>
      </c>
      <c r="V178" s="219">
        <v>0</v>
      </c>
      <c r="W178" s="219">
        <v>0</v>
      </c>
    </row>
    <row r="179" spans="1:23" ht="15" customHeight="1" x14ac:dyDescent="0.25">
      <c r="A179" t="s">
        <v>926</v>
      </c>
      <c r="B179" t="s">
        <v>595</v>
      </c>
      <c r="C179">
        <v>124504</v>
      </c>
      <c r="D179" t="s">
        <v>927</v>
      </c>
      <c r="E179" t="s">
        <v>238</v>
      </c>
      <c r="F179" t="s">
        <v>580</v>
      </c>
      <c r="G179" s="30">
        <v>46148</v>
      </c>
      <c r="H179" t="s">
        <v>928</v>
      </c>
      <c r="I179">
        <v>993338.5</v>
      </c>
      <c r="J179" s="123">
        <v>0</v>
      </c>
      <c r="K179" s="123">
        <v>0</v>
      </c>
      <c r="L179" s="123">
        <v>46141</v>
      </c>
      <c r="M179">
        <v>0</v>
      </c>
      <c r="N179">
        <v>0</v>
      </c>
      <c r="O179">
        <v>0</v>
      </c>
      <c r="P179" s="216">
        <v>124504</v>
      </c>
      <c r="Q179" s="217" t="s">
        <v>19</v>
      </c>
      <c r="R179" s="217" t="s">
        <v>582</v>
      </c>
      <c r="S179" s="218">
        <v>0.75000037649336093</v>
      </c>
      <c r="T179" t="s">
        <v>550</v>
      </c>
      <c r="U179" t="s">
        <v>51</v>
      </c>
      <c r="V179" s="219">
        <v>0</v>
      </c>
      <c r="W179" s="219">
        <v>0</v>
      </c>
    </row>
    <row r="180" spans="1:23" ht="15" customHeight="1" x14ac:dyDescent="0.25">
      <c r="A180" t="s">
        <v>929</v>
      </c>
      <c r="B180" t="s">
        <v>575</v>
      </c>
      <c r="C180">
        <v>203663</v>
      </c>
      <c r="D180" t="s">
        <v>930</v>
      </c>
      <c r="E180" t="s">
        <v>228</v>
      </c>
      <c r="F180" t="s">
        <v>554</v>
      </c>
      <c r="G180" s="30">
        <v>46146</v>
      </c>
      <c r="H180" t="s">
        <v>931</v>
      </c>
      <c r="I180">
        <v>2030624.75</v>
      </c>
      <c r="J180" s="123">
        <v>0</v>
      </c>
      <c r="K180" s="123">
        <v>0</v>
      </c>
      <c r="L180" s="123">
        <v>46146</v>
      </c>
      <c r="M180">
        <v>0</v>
      </c>
      <c r="N180">
        <v>0</v>
      </c>
      <c r="O180">
        <v>0</v>
      </c>
      <c r="P180" s="216">
        <v>203663</v>
      </c>
      <c r="Q180" s="217" t="s">
        <v>20</v>
      </c>
      <c r="R180" s="217" t="s">
        <v>554</v>
      </c>
      <c r="S180" s="218">
        <v>0.79610786589567106</v>
      </c>
      <c r="T180" t="s">
        <v>550</v>
      </c>
      <c r="U180" t="s">
        <v>51</v>
      </c>
      <c r="V180" s="219" t="s">
        <v>5931</v>
      </c>
      <c r="W180" s="219" t="s">
        <v>67</v>
      </c>
    </row>
    <row r="181" spans="1:23" ht="15" customHeight="1" x14ac:dyDescent="0.25">
      <c r="A181" t="s">
        <v>932</v>
      </c>
      <c r="B181" t="s">
        <v>546</v>
      </c>
      <c r="C181">
        <v>6421</v>
      </c>
      <c r="D181" t="s">
        <v>933</v>
      </c>
      <c r="E181" t="s">
        <v>238</v>
      </c>
      <c r="F181" t="s">
        <v>554</v>
      </c>
      <c r="G181" s="30">
        <v>46143</v>
      </c>
      <c r="H181" t="s">
        <v>934</v>
      </c>
      <c r="I181">
        <v>1149783.25</v>
      </c>
      <c r="J181" s="123">
        <v>0</v>
      </c>
      <c r="K181" s="123">
        <v>0</v>
      </c>
      <c r="L181" s="123">
        <v>0</v>
      </c>
      <c r="M181">
        <v>0</v>
      </c>
      <c r="N181">
        <v>0</v>
      </c>
      <c r="O181">
        <v>0</v>
      </c>
      <c r="P181" s="216">
        <v>6421</v>
      </c>
      <c r="Q181" s="217" t="s">
        <v>19</v>
      </c>
      <c r="R181" s="217" t="s">
        <v>554</v>
      </c>
      <c r="S181" s="218">
        <v>0.74438058950971042</v>
      </c>
      <c r="T181" t="s">
        <v>550</v>
      </c>
      <c r="U181" t="s">
        <v>51</v>
      </c>
      <c r="V181" s="219" t="s">
        <v>5932</v>
      </c>
      <c r="W181" s="219" t="s">
        <v>67</v>
      </c>
    </row>
    <row r="182" spans="1:23" ht="15" customHeight="1" x14ac:dyDescent="0.25">
      <c r="A182" t="s">
        <v>935</v>
      </c>
      <c r="B182" t="s">
        <v>546</v>
      </c>
      <c r="C182">
        <v>28000</v>
      </c>
      <c r="D182" t="s">
        <v>936</v>
      </c>
      <c r="E182" t="s">
        <v>553</v>
      </c>
      <c r="F182" t="s">
        <v>554</v>
      </c>
      <c r="G182" s="30">
        <v>46149</v>
      </c>
      <c r="H182" t="s">
        <v>937</v>
      </c>
      <c r="I182">
        <v>1149783.25</v>
      </c>
      <c r="J182" s="123">
        <v>46149</v>
      </c>
      <c r="K182" s="123">
        <v>0</v>
      </c>
      <c r="L182" s="123">
        <v>46149</v>
      </c>
      <c r="M182">
        <v>0</v>
      </c>
      <c r="N182">
        <v>0</v>
      </c>
      <c r="O182" t="s">
        <v>556</v>
      </c>
      <c r="P182" s="216">
        <v>28000</v>
      </c>
      <c r="Q182" s="217" t="s">
        <v>20</v>
      </c>
      <c r="R182" s="217" t="s">
        <v>554</v>
      </c>
      <c r="S182" s="218">
        <v>0.65142044469353977</v>
      </c>
      <c r="T182" t="s">
        <v>550</v>
      </c>
      <c r="U182" t="s">
        <v>51</v>
      </c>
      <c r="V182" s="219" t="s">
        <v>5933</v>
      </c>
      <c r="W182" s="219" t="s">
        <v>67</v>
      </c>
    </row>
    <row r="183" spans="1:23" ht="15" customHeight="1" x14ac:dyDescent="0.25">
      <c r="A183" t="s">
        <v>938</v>
      </c>
      <c r="B183" t="s">
        <v>546</v>
      </c>
      <c r="C183">
        <v>140569.48000000001</v>
      </c>
      <c r="D183" t="s">
        <v>936</v>
      </c>
      <c r="E183" t="s">
        <v>553</v>
      </c>
      <c r="F183" t="s">
        <v>548</v>
      </c>
      <c r="G183" s="30">
        <v>46149</v>
      </c>
      <c r="H183" t="s">
        <v>937</v>
      </c>
      <c r="I183">
        <v>1149783.25</v>
      </c>
      <c r="J183" s="123">
        <v>46149</v>
      </c>
      <c r="K183" s="123">
        <v>0</v>
      </c>
      <c r="L183" s="123">
        <v>46149</v>
      </c>
      <c r="M183">
        <v>0</v>
      </c>
      <c r="N183">
        <v>0</v>
      </c>
      <c r="O183" t="s">
        <v>556</v>
      </c>
      <c r="P183" s="216">
        <v>140569.48000000001</v>
      </c>
      <c r="Q183" s="217" t="s">
        <v>20</v>
      </c>
      <c r="R183" s="217" t="s">
        <v>62</v>
      </c>
      <c r="S183" s="218">
        <v>0.65142044469353977</v>
      </c>
      <c r="T183" t="s">
        <v>550</v>
      </c>
      <c r="U183" t="s">
        <v>51</v>
      </c>
      <c r="V183" s="219">
        <v>0</v>
      </c>
      <c r="W183" s="219">
        <v>0</v>
      </c>
    </row>
    <row r="184" spans="1:23" ht="15" customHeight="1" x14ac:dyDescent="0.25">
      <c r="A184" t="s">
        <v>939</v>
      </c>
      <c r="B184" t="s">
        <v>575</v>
      </c>
      <c r="C184">
        <v>252401</v>
      </c>
      <c r="D184" t="s">
        <v>940</v>
      </c>
      <c r="E184" t="s">
        <v>228</v>
      </c>
      <c r="F184" t="s">
        <v>580</v>
      </c>
      <c r="G184" s="30">
        <v>46149</v>
      </c>
      <c r="H184" t="s">
        <v>941</v>
      </c>
      <c r="I184">
        <v>2013203.5</v>
      </c>
      <c r="J184" s="123">
        <v>0</v>
      </c>
      <c r="K184" s="123">
        <v>0</v>
      </c>
      <c r="L184" s="123">
        <v>46148</v>
      </c>
      <c r="M184">
        <v>0</v>
      </c>
      <c r="N184">
        <v>0</v>
      </c>
      <c r="O184">
        <v>0</v>
      </c>
      <c r="P184" s="216">
        <v>252401</v>
      </c>
      <c r="Q184" s="217" t="s">
        <v>20</v>
      </c>
      <c r="R184" s="217" t="s">
        <v>582</v>
      </c>
      <c r="S184" s="218">
        <v>0.62523873822899501</v>
      </c>
      <c r="T184" t="s">
        <v>550</v>
      </c>
      <c r="U184" t="s">
        <v>51</v>
      </c>
      <c r="V184" s="219">
        <v>0</v>
      </c>
      <c r="W184" s="219">
        <v>0</v>
      </c>
    </row>
    <row r="185" spans="1:23" ht="15" customHeight="1" x14ac:dyDescent="0.25">
      <c r="A185" t="s">
        <v>942</v>
      </c>
      <c r="B185" t="s">
        <v>575</v>
      </c>
      <c r="C185">
        <v>255000</v>
      </c>
      <c r="D185" t="s">
        <v>943</v>
      </c>
      <c r="E185" t="s">
        <v>228</v>
      </c>
      <c r="F185" t="s">
        <v>554</v>
      </c>
      <c r="G185" s="30">
        <v>46144</v>
      </c>
      <c r="H185" t="s">
        <v>944</v>
      </c>
      <c r="I185">
        <v>2030624.75</v>
      </c>
      <c r="J185" s="123">
        <v>0</v>
      </c>
      <c r="K185" s="123">
        <v>0</v>
      </c>
      <c r="L185" s="123">
        <v>46140</v>
      </c>
      <c r="M185">
        <v>0</v>
      </c>
      <c r="N185">
        <v>0</v>
      </c>
      <c r="O185">
        <v>0</v>
      </c>
      <c r="P185" s="216">
        <v>255000</v>
      </c>
      <c r="Q185" s="217" t="s">
        <v>20</v>
      </c>
      <c r="R185" s="217" t="s">
        <v>554</v>
      </c>
      <c r="S185" s="218">
        <v>0.75198278823984177</v>
      </c>
      <c r="T185" t="s">
        <v>550</v>
      </c>
      <c r="U185" t="s">
        <v>51</v>
      </c>
      <c r="V185" s="219" t="s">
        <v>5934</v>
      </c>
      <c r="W185" s="219" t="s">
        <v>67</v>
      </c>
    </row>
    <row r="186" spans="1:23" ht="15" customHeight="1" x14ac:dyDescent="0.25">
      <c r="A186" t="s">
        <v>945</v>
      </c>
      <c r="B186" t="s">
        <v>575</v>
      </c>
      <c r="C186">
        <v>36642.230000000003</v>
      </c>
      <c r="D186" t="s">
        <v>946</v>
      </c>
      <c r="E186" t="s">
        <v>228</v>
      </c>
      <c r="F186" t="s">
        <v>554</v>
      </c>
      <c r="G186" s="30">
        <v>46147</v>
      </c>
      <c r="H186" t="s">
        <v>947</v>
      </c>
      <c r="I186">
        <v>1149783.25</v>
      </c>
      <c r="J186" s="123">
        <v>0</v>
      </c>
      <c r="K186" s="123">
        <v>0</v>
      </c>
      <c r="L186" s="123">
        <v>46140</v>
      </c>
      <c r="M186">
        <v>0</v>
      </c>
      <c r="N186">
        <v>0</v>
      </c>
      <c r="O186">
        <v>0</v>
      </c>
      <c r="P186" s="216">
        <v>36642.230000000003</v>
      </c>
      <c r="Q186" s="217" t="s">
        <v>20</v>
      </c>
      <c r="R186" s="217" t="s">
        <v>554</v>
      </c>
      <c r="S186" s="218">
        <v>0.69564439435032233</v>
      </c>
      <c r="T186" t="s">
        <v>550</v>
      </c>
      <c r="U186" t="s">
        <v>51</v>
      </c>
      <c r="V186" s="219" t="s">
        <v>5935</v>
      </c>
      <c r="W186" s="219" t="s">
        <v>67</v>
      </c>
    </row>
    <row r="187" spans="1:23" ht="15" customHeight="1" x14ac:dyDescent="0.25">
      <c r="A187" t="s">
        <v>948</v>
      </c>
      <c r="B187" t="s">
        <v>546</v>
      </c>
      <c r="C187">
        <v>44085.88</v>
      </c>
      <c r="D187" t="s">
        <v>946</v>
      </c>
      <c r="E187" t="s">
        <v>228</v>
      </c>
      <c r="F187" t="s">
        <v>554</v>
      </c>
      <c r="G187" s="30">
        <v>46149</v>
      </c>
      <c r="H187" t="s">
        <v>947</v>
      </c>
      <c r="I187">
        <v>1149783.25</v>
      </c>
      <c r="J187" s="123">
        <v>0</v>
      </c>
      <c r="K187" s="123">
        <v>0</v>
      </c>
      <c r="L187" s="123">
        <v>0</v>
      </c>
      <c r="M187">
        <v>0</v>
      </c>
      <c r="N187">
        <v>0</v>
      </c>
      <c r="O187">
        <v>0</v>
      </c>
      <c r="P187" s="216">
        <v>44085.88</v>
      </c>
      <c r="Q187" s="217" t="s">
        <v>20</v>
      </c>
      <c r="R187" s="217" t="s">
        <v>554</v>
      </c>
      <c r="S187" s="218">
        <v>0.69564439435032233</v>
      </c>
      <c r="T187" t="s">
        <v>550</v>
      </c>
      <c r="U187" t="s">
        <v>51</v>
      </c>
      <c r="V187" s="219" t="s">
        <v>5936</v>
      </c>
      <c r="W187" s="219" t="s">
        <v>67</v>
      </c>
    </row>
    <row r="188" spans="1:23" ht="15" customHeight="1" x14ac:dyDescent="0.25">
      <c r="A188" t="s">
        <v>949</v>
      </c>
      <c r="B188" t="s">
        <v>595</v>
      </c>
      <c r="C188">
        <v>252381</v>
      </c>
      <c r="D188" t="s">
        <v>950</v>
      </c>
      <c r="E188" t="s">
        <v>228</v>
      </c>
      <c r="F188" t="s">
        <v>554</v>
      </c>
      <c r="G188" s="30">
        <v>46145</v>
      </c>
      <c r="H188" t="s">
        <v>951</v>
      </c>
      <c r="I188">
        <v>2013203.5</v>
      </c>
      <c r="J188" s="123">
        <v>0</v>
      </c>
      <c r="K188" s="123">
        <v>0</v>
      </c>
      <c r="L188" s="123">
        <v>46141</v>
      </c>
      <c r="M188">
        <v>0</v>
      </c>
      <c r="N188">
        <v>0</v>
      </c>
      <c r="O188">
        <v>0</v>
      </c>
      <c r="P188" s="216">
        <v>252381</v>
      </c>
      <c r="Q188" s="217" t="s">
        <v>20</v>
      </c>
      <c r="R188" s="217" t="s">
        <v>554</v>
      </c>
      <c r="S188" s="218">
        <v>0.74998991932238834</v>
      </c>
      <c r="T188" t="s">
        <v>550</v>
      </c>
      <c r="U188" t="s">
        <v>51</v>
      </c>
      <c r="V188" s="219" t="s">
        <v>5937</v>
      </c>
      <c r="W188" s="219" t="s">
        <v>67</v>
      </c>
    </row>
    <row r="189" spans="1:23" ht="15" customHeight="1" x14ac:dyDescent="0.25">
      <c r="A189" t="s">
        <v>952</v>
      </c>
      <c r="B189" t="s">
        <v>546</v>
      </c>
      <c r="C189">
        <v>14629.5</v>
      </c>
      <c r="D189" t="s">
        <v>953</v>
      </c>
      <c r="E189" t="s">
        <v>553</v>
      </c>
      <c r="F189" t="s">
        <v>554</v>
      </c>
      <c r="G189" s="30">
        <v>46148</v>
      </c>
      <c r="H189" t="s">
        <v>954</v>
      </c>
      <c r="I189">
        <v>996033.5</v>
      </c>
      <c r="J189" s="123">
        <v>46148</v>
      </c>
      <c r="K189" s="123">
        <v>0</v>
      </c>
      <c r="L189" s="123">
        <v>46148</v>
      </c>
      <c r="M189">
        <v>0</v>
      </c>
      <c r="N189">
        <v>0</v>
      </c>
      <c r="O189" t="s">
        <v>556</v>
      </c>
      <c r="P189" s="216">
        <v>14629.5</v>
      </c>
      <c r="Q189" s="217" t="s">
        <v>19</v>
      </c>
      <c r="R189" s="217" t="s">
        <v>554</v>
      </c>
      <c r="S189" s="218">
        <v>0.74999786653762146</v>
      </c>
      <c r="T189" t="s">
        <v>550</v>
      </c>
      <c r="U189" t="s">
        <v>51</v>
      </c>
      <c r="V189" s="219" t="s">
        <v>5938</v>
      </c>
      <c r="W189" s="219" t="s">
        <v>67</v>
      </c>
    </row>
    <row r="190" spans="1:23" ht="15" customHeight="1" x14ac:dyDescent="0.25">
      <c r="A190" t="s">
        <v>955</v>
      </c>
      <c r="B190" t="s">
        <v>546</v>
      </c>
      <c r="C190">
        <v>14629.5</v>
      </c>
      <c r="D190" t="s">
        <v>953</v>
      </c>
      <c r="E190" t="s">
        <v>553</v>
      </c>
      <c r="F190" t="s">
        <v>548</v>
      </c>
      <c r="G190" s="30">
        <v>46148</v>
      </c>
      <c r="H190" t="s">
        <v>954</v>
      </c>
      <c r="I190">
        <v>996033.5</v>
      </c>
      <c r="J190" s="123">
        <v>46148</v>
      </c>
      <c r="K190" s="123">
        <v>0</v>
      </c>
      <c r="L190" s="123">
        <v>46148</v>
      </c>
      <c r="M190">
        <v>0</v>
      </c>
      <c r="N190">
        <v>0</v>
      </c>
      <c r="O190" t="s">
        <v>556</v>
      </c>
      <c r="P190" s="216">
        <v>14629.5</v>
      </c>
      <c r="Q190" s="217" t="s">
        <v>19</v>
      </c>
      <c r="R190" s="217" t="s">
        <v>62</v>
      </c>
      <c r="S190" s="218">
        <v>0.74999786653762146</v>
      </c>
      <c r="T190" t="s">
        <v>550</v>
      </c>
      <c r="U190" t="s">
        <v>51</v>
      </c>
      <c r="V190" s="219">
        <v>0</v>
      </c>
      <c r="W190" s="219">
        <v>0</v>
      </c>
    </row>
    <row r="191" spans="1:23" ht="15" customHeight="1" x14ac:dyDescent="0.25">
      <c r="A191" t="s">
        <v>956</v>
      </c>
      <c r="B191" t="s">
        <v>546</v>
      </c>
      <c r="C191">
        <v>14629.5</v>
      </c>
      <c r="D191" t="s">
        <v>953</v>
      </c>
      <c r="E191" t="s">
        <v>553</v>
      </c>
      <c r="F191" t="s">
        <v>548</v>
      </c>
      <c r="G191" s="30">
        <v>46148</v>
      </c>
      <c r="H191" t="s">
        <v>954</v>
      </c>
      <c r="I191">
        <v>996033.5</v>
      </c>
      <c r="J191" s="123">
        <v>46148</v>
      </c>
      <c r="K191" s="123">
        <v>0</v>
      </c>
      <c r="L191" s="123">
        <v>46148</v>
      </c>
      <c r="M191">
        <v>0</v>
      </c>
      <c r="N191">
        <v>0</v>
      </c>
      <c r="O191" t="s">
        <v>556</v>
      </c>
      <c r="P191" s="216">
        <v>14629.5</v>
      </c>
      <c r="Q191" s="217" t="s">
        <v>19</v>
      </c>
      <c r="R191" s="217" t="s">
        <v>62</v>
      </c>
      <c r="S191" s="218">
        <v>0.74999786653762146</v>
      </c>
      <c r="T191" t="s">
        <v>550</v>
      </c>
      <c r="U191" t="s">
        <v>51</v>
      </c>
      <c r="V191" s="219">
        <v>0</v>
      </c>
      <c r="W191" s="219">
        <v>0</v>
      </c>
    </row>
    <row r="192" spans="1:23" ht="15" customHeight="1" x14ac:dyDescent="0.25">
      <c r="A192" t="s">
        <v>957</v>
      </c>
      <c r="B192" t="s">
        <v>546</v>
      </c>
      <c r="C192">
        <v>14629.5</v>
      </c>
      <c r="D192" t="s">
        <v>953</v>
      </c>
      <c r="E192" t="s">
        <v>553</v>
      </c>
      <c r="F192" t="s">
        <v>548</v>
      </c>
      <c r="G192" s="30">
        <v>46148</v>
      </c>
      <c r="H192" t="s">
        <v>954</v>
      </c>
      <c r="I192">
        <v>996033.5</v>
      </c>
      <c r="J192" s="123">
        <v>46147</v>
      </c>
      <c r="K192" s="123">
        <v>0</v>
      </c>
      <c r="L192" s="123">
        <v>46147</v>
      </c>
      <c r="M192">
        <v>0</v>
      </c>
      <c r="N192">
        <v>0</v>
      </c>
      <c r="O192" t="s">
        <v>556</v>
      </c>
      <c r="P192" s="216">
        <v>14629.5</v>
      </c>
      <c r="Q192" s="217" t="s">
        <v>19</v>
      </c>
      <c r="R192" s="217" t="s">
        <v>62</v>
      </c>
      <c r="S192" s="218">
        <v>0.74999786653762146</v>
      </c>
      <c r="T192" t="s">
        <v>550</v>
      </c>
      <c r="U192" t="s">
        <v>51</v>
      </c>
      <c r="V192" s="219">
        <v>0</v>
      </c>
      <c r="W192" s="219">
        <v>0</v>
      </c>
    </row>
    <row r="193" spans="1:23" ht="15" customHeight="1" x14ac:dyDescent="0.25">
      <c r="A193" t="s">
        <v>958</v>
      </c>
      <c r="B193" t="s">
        <v>595</v>
      </c>
      <c r="C193">
        <v>5000</v>
      </c>
      <c r="D193" t="s">
        <v>959</v>
      </c>
      <c r="E193" t="s">
        <v>228</v>
      </c>
      <c r="F193" t="s">
        <v>580</v>
      </c>
      <c r="G193" s="30">
        <v>46149</v>
      </c>
      <c r="H193" t="s">
        <v>960</v>
      </c>
      <c r="I193">
        <v>996033.5</v>
      </c>
      <c r="J193" s="123">
        <v>0</v>
      </c>
      <c r="K193" s="123">
        <v>0</v>
      </c>
      <c r="L193" s="123">
        <v>46148</v>
      </c>
      <c r="M193">
        <v>0</v>
      </c>
      <c r="N193">
        <v>0</v>
      </c>
      <c r="O193">
        <v>0</v>
      </c>
      <c r="P193" s="216">
        <v>5000</v>
      </c>
      <c r="Q193" s="217" t="s">
        <v>20</v>
      </c>
      <c r="R193" s="217" t="s">
        <v>582</v>
      </c>
      <c r="S193" s="218">
        <v>0.63442763722304529</v>
      </c>
      <c r="T193" t="s">
        <v>550</v>
      </c>
      <c r="U193" t="s">
        <v>51</v>
      </c>
      <c r="V193" s="219">
        <v>0</v>
      </c>
      <c r="W193" s="219">
        <v>0</v>
      </c>
    </row>
    <row r="194" spans="1:23" ht="15" customHeight="1" x14ac:dyDescent="0.25">
      <c r="A194" t="s">
        <v>961</v>
      </c>
      <c r="B194" t="s">
        <v>575</v>
      </c>
      <c r="C194">
        <v>23663</v>
      </c>
      <c r="D194" t="s">
        <v>962</v>
      </c>
      <c r="E194" t="s">
        <v>228</v>
      </c>
      <c r="F194" t="s">
        <v>554</v>
      </c>
      <c r="G194" s="30">
        <v>46147</v>
      </c>
      <c r="H194" t="s">
        <v>963</v>
      </c>
      <c r="I194">
        <v>2030624.75</v>
      </c>
      <c r="J194" s="123">
        <v>0</v>
      </c>
      <c r="K194" s="123">
        <v>0</v>
      </c>
      <c r="L194" s="123">
        <v>46145</v>
      </c>
      <c r="M194">
        <v>0</v>
      </c>
      <c r="N194">
        <v>0</v>
      </c>
      <c r="O194">
        <v>0</v>
      </c>
      <c r="P194" s="216">
        <v>23663</v>
      </c>
      <c r="Q194" s="217" t="s">
        <v>20</v>
      </c>
      <c r="R194" s="217" t="s">
        <v>554</v>
      </c>
      <c r="S194" s="218">
        <v>0.71438118078105217</v>
      </c>
      <c r="T194" t="s">
        <v>550</v>
      </c>
      <c r="U194" t="s">
        <v>51</v>
      </c>
      <c r="V194" s="219" t="s">
        <v>5939</v>
      </c>
      <c r="W194" s="219" t="s">
        <v>67</v>
      </c>
    </row>
    <row r="195" spans="1:23" ht="15" customHeight="1" x14ac:dyDescent="0.25">
      <c r="A195" t="s">
        <v>964</v>
      </c>
      <c r="B195" t="s">
        <v>575</v>
      </c>
      <c r="C195">
        <v>145500</v>
      </c>
      <c r="D195" t="s">
        <v>965</v>
      </c>
      <c r="E195" t="s">
        <v>228</v>
      </c>
      <c r="F195" t="s">
        <v>554</v>
      </c>
      <c r="G195" s="30">
        <v>46145</v>
      </c>
      <c r="H195" t="s">
        <v>966</v>
      </c>
      <c r="I195">
        <v>1336065.5</v>
      </c>
      <c r="J195" s="123">
        <v>0</v>
      </c>
      <c r="K195" s="123">
        <v>0</v>
      </c>
      <c r="L195" s="123">
        <v>46145</v>
      </c>
      <c r="M195">
        <v>0</v>
      </c>
      <c r="N195">
        <v>0</v>
      </c>
      <c r="O195">
        <v>0</v>
      </c>
      <c r="P195" s="216">
        <v>145500</v>
      </c>
      <c r="Q195" s="217" t="s">
        <v>20</v>
      </c>
      <c r="R195" s="217" t="s">
        <v>554</v>
      </c>
      <c r="S195" s="218">
        <v>0.73666269494190217</v>
      </c>
      <c r="T195" t="s">
        <v>550</v>
      </c>
      <c r="U195" t="s">
        <v>51</v>
      </c>
      <c r="V195" s="219" t="s">
        <v>5940</v>
      </c>
      <c r="W195" s="219" t="s">
        <v>67</v>
      </c>
    </row>
    <row r="196" spans="1:23" ht="15" customHeight="1" x14ac:dyDescent="0.25">
      <c r="A196" t="s">
        <v>967</v>
      </c>
      <c r="B196" t="s">
        <v>546</v>
      </c>
      <c r="C196">
        <v>10000</v>
      </c>
      <c r="D196" t="s">
        <v>968</v>
      </c>
      <c r="E196" t="s">
        <v>228</v>
      </c>
      <c r="F196" t="s">
        <v>548</v>
      </c>
      <c r="G196" s="30">
        <v>46144</v>
      </c>
      <c r="H196" t="s">
        <v>969</v>
      </c>
      <c r="I196">
        <v>996033.5</v>
      </c>
      <c r="J196" s="123">
        <v>0</v>
      </c>
      <c r="K196" s="123">
        <v>0</v>
      </c>
      <c r="L196" s="123">
        <v>0</v>
      </c>
      <c r="M196">
        <v>0</v>
      </c>
      <c r="N196">
        <v>0</v>
      </c>
      <c r="O196">
        <v>0</v>
      </c>
      <c r="P196" s="216">
        <v>10000</v>
      </c>
      <c r="Q196" s="217" t="s">
        <v>20</v>
      </c>
      <c r="R196" s="217" t="s">
        <v>62</v>
      </c>
      <c r="S196" s="218">
        <v>0.6388214051033424</v>
      </c>
      <c r="T196" t="s">
        <v>550</v>
      </c>
      <c r="U196" t="s">
        <v>51</v>
      </c>
      <c r="V196" s="219">
        <v>0</v>
      </c>
      <c r="W196" s="219">
        <v>0</v>
      </c>
    </row>
    <row r="197" spans="1:23" ht="15" customHeight="1" x14ac:dyDescent="0.25">
      <c r="A197" t="s">
        <v>970</v>
      </c>
      <c r="B197" t="s">
        <v>546</v>
      </c>
      <c r="C197">
        <v>10000</v>
      </c>
      <c r="D197" t="s">
        <v>968</v>
      </c>
      <c r="E197" t="s">
        <v>228</v>
      </c>
      <c r="F197" t="s">
        <v>554</v>
      </c>
      <c r="G197" s="30">
        <v>46146</v>
      </c>
      <c r="H197" t="s">
        <v>969</v>
      </c>
      <c r="I197">
        <v>996033.5</v>
      </c>
      <c r="J197" s="123">
        <v>0</v>
      </c>
      <c r="K197" s="123">
        <v>0</v>
      </c>
      <c r="L197" s="123">
        <v>0</v>
      </c>
      <c r="M197">
        <v>0</v>
      </c>
      <c r="N197">
        <v>0</v>
      </c>
      <c r="O197">
        <v>0</v>
      </c>
      <c r="P197" s="216">
        <v>10000</v>
      </c>
      <c r="Q197" s="217" t="s">
        <v>20</v>
      </c>
      <c r="R197" s="217" t="s">
        <v>554</v>
      </c>
      <c r="S197" s="218">
        <v>0.6388214051033424</v>
      </c>
      <c r="T197" t="s">
        <v>550</v>
      </c>
      <c r="U197" t="s">
        <v>51</v>
      </c>
      <c r="V197" s="219" t="s">
        <v>5941</v>
      </c>
      <c r="W197" s="219" t="s">
        <v>67</v>
      </c>
    </row>
    <row r="198" spans="1:23" ht="15" customHeight="1" x14ac:dyDescent="0.25">
      <c r="A198" t="s">
        <v>971</v>
      </c>
      <c r="B198" t="s">
        <v>575</v>
      </c>
      <c r="C198">
        <v>49000</v>
      </c>
      <c r="D198" t="s">
        <v>972</v>
      </c>
      <c r="E198" t="s">
        <v>228</v>
      </c>
      <c r="F198" t="s">
        <v>554</v>
      </c>
      <c r="G198" s="30">
        <v>46147</v>
      </c>
      <c r="H198" t="s">
        <v>973</v>
      </c>
      <c r="I198">
        <v>2031240.75</v>
      </c>
      <c r="J198" s="123">
        <v>0</v>
      </c>
      <c r="K198" s="123">
        <v>0</v>
      </c>
      <c r="L198" s="123">
        <v>46146</v>
      </c>
      <c r="M198">
        <v>0</v>
      </c>
      <c r="N198">
        <v>0</v>
      </c>
      <c r="O198">
        <v>0</v>
      </c>
      <c r="P198" s="216">
        <v>49000</v>
      </c>
      <c r="Q198" s="217" t="s">
        <v>20</v>
      </c>
      <c r="R198" s="217" t="s">
        <v>554</v>
      </c>
      <c r="S198" s="218">
        <v>0.70361782075616797</v>
      </c>
      <c r="T198" t="s">
        <v>550</v>
      </c>
      <c r="U198" t="s">
        <v>51</v>
      </c>
      <c r="V198" s="219" t="s">
        <v>5942</v>
      </c>
      <c r="W198" s="219" t="s">
        <v>67</v>
      </c>
    </row>
    <row r="199" spans="1:23" ht="15" customHeight="1" x14ac:dyDescent="0.25">
      <c r="A199" t="s">
        <v>974</v>
      </c>
      <c r="B199" t="s">
        <v>575</v>
      </c>
      <c r="C199">
        <v>50000</v>
      </c>
      <c r="D199" t="s">
        <v>972</v>
      </c>
      <c r="E199" t="s">
        <v>228</v>
      </c>
      <c r="F199" t="s">
        <v>554</v>
      </c>
      <c r="G199" s="30">
        <v>46147</v>
      </c>
      <c r="H199" t="s">
        <v>973</v>
      </c>
      <c r="I199">
        <v>2031240.75</v>
      </c>
      <c r="J199" s="123">
        <v>0</v>
      </c>
      <c r="K199" s="123">
        <v>0</v>
      </c>
      <c r="L199" s="123">
        <v>46146</v>
      </c>
      <c r="M199">
        <v>0</v>
      </c>
      <c r="N199">
        <v>0</v>
      </c>
      <c r="O199">
        <v>0</v>
      </c>
      <c r="P199" s="216">
        <v>50000</v>
      </c>
      <c r="Q199" s="217" t="s">
        <v>20</v>
      </c>
      <c r="R199" s="217" t="s">
        <v>554</v>
      </c>
      <c r="S199" s="218">
        <v>0.70361782075616797</v>
      </c>
      <c r="T199" t="s">
        <v>550</v>
      </c>
      <c r="U199" t="s">
        <v>51</v>
      </c>
      <c r="V199" s="219" t="s">
        <v>5943</v>
      </c>
      <c r="W199" s="219" t="s">
        <v>67</v>
      </c>
    </row>
    <row r="200" spans="1:23" ht="15" customHeight="1" x14ac:dyDescent="0.25">
      <c r="A200" t="s">
        <v>975</v>
      </c>
      <c r="B200" t="s">
        <v>575</v>
      </c>
      <c r="C200">
        <v>124504</v>
      </c>
      <c r="D200" t="s">
        <v>976</v>
      </c>
      <c r="E200" t="s">
        <v>228</v>
      </c>
      <c r="F200" t="s">
        <v>585</v>
      </c>
      <c r="G200" s="30">
        <v>46146</v>
      </c>
      <c r="H200" t="s">
        <v>977</v>
      </c>
      <c r="I200">
        <v>996033.5</v>
      </c>
      <c r="J200" s="123">
        <v>0</v>
      </c>
      <c r="K200" s="123">
        <v>0</v>
      </c>
      <c r="L200" s="123">
        <v>46146</v>
      </c>
      <c r="M200">
        <v>0</v>
      </c>
      <c r="N200">
        <v>0</v>
      </c>
      <c r="O200">
        <v>0</v>
      </c>
      <c r="P200" s="216">
        <v>124504</v>
      </c>
      <c r="Q200" s="217" t="s">
        <v>20</v>
      </c>
      <c r="R200" s="217" t="s">
        <v>61</v>
      </c>
      <c r="S200" s="218">
        <v>0.62508015041662757</v>
      </c>
      <c r="T200" t="s">
        <v>550</v>
      </c>
      <c r="U200" t="s">
        <v>51</v>
      </c>
      <c r="V200" s="219">
        <v>0</v>
      </c>
      <c r="W200" s="219">
        <v>0</v>
      </c>
    </row>
    <row r="201" spans="1:23" ht="15" customHeight="1" x14ac:dyDescent="0.25">
      <c r="A201" t="s">
        <v>978</v>
      </c>
      <c r="B201" t="s">
        <v>575</v>
      </c>
      <c r="C201">
        <v>69710</v>
      </c>
      <c r="D201" t="s">
        <v>979</v>
      </c>
      <c r="E201" t="s">
        <v>238</v>
      </c>
      <c r="F201" t="s">
        <v>580</v>
      </c>
      <c r="G201" s="30">
        <v>46146</v>
      </c>
      <c r="H201" t="s">
        <v>980</v>
      </c>
      <c r="I201">
        <v>985465.25</v>
      </c>
      <c r="J201" s="123">
        <v>0</v>
      </c>
      <c r="K201" s="123">
        <v>0</v>
      </c>
      <c r="L201" s="123">
        <v>46136</v>
      </c>
      <c r="M201">
        <v>0</v>
      </c>
      <c r="N201">
        <v>0</v>
      </c>
      <c r="O201">
        <v>0</v>
      </c>
      <c r="P201" s="216">
        <v>69710</v>
      </c>
      <c r="Q201" s="217" t="s">
        <v>19</v>
      </c>
      <c r="R201" s="217" t="s">
        <v>582</v>
      </c>
      <c r="S201" s="218">
        <v>0.68230266065161482</v>
      </c>
      <c r="T201" t="s">
        <v>550</v>
      </c>
      <c r="U201" t="s">
        <v>51</v>
      </c>
      <c r="V201" s="219">
        <v>0</v>
      </c>
      <c r="W201" s="219">
        <v>0</v>
      </c>
    </row>
    <row r="202" spans="1:23" ht="15" customHeight="1" x14ac:dyDescent="0.25">
      <c r="A202" t="s">
        <v>981</v>
      </c>
      <c r="B202" t="s">
        <v>595</v>
      </c>
      <c r="C202">
        <v>11639.34</v>
      </c>
      <c r="D202" t="s">
        <v>982</v>
      </c>
      <c r="E202" t="s">
        <v>228</v>
      </c>
      <c r="F202" t="s">
        <v>585</v>
      </c>
      <c r="G202" s="30">
        <v>46148</v>
      </c>
      <c r="H202" t="s">
        <v>983</v>
      </c>
      <c r="I202">
        <v>2005330.25</v>
      </c>
      <c r="J202" s="123">
        <v>0</v>
      </c>
      <c r="K202" s="123">
        <v>0</v>
      </c>
      <c r="L202" s="123">
        <v>46010</v>
      </c>
      <c r="M202">
        <v>0</v>
      </c>
      <c r="N202">
        <v>0</v>
      </c>
      <c r="O202">
        <v>0</v>
      </c>
      <c r="P202" s="216">
        <v>11639.34</v>
      </c>
      <c r="Q202" s="217" t="s">
        <v>20</v>
      </c>
      <c r="R202" s="217" t="s">
        <v>61</v>
      </c>
      <c r="S202" s="218">
        <v>0.686124334933364</v>
      </c>
      <c r="T202" t="s">
        <v>550</v>
      </c>
      <c r="U202" t="s">
        <v>51</v>
      </c>
      <c r="V202" s="219">
        <v>0</v>
      </c>
      <c r="W202" s="219">
        <v>0</v>
      </c>
    </row>
    <row r="203" spans="1:23" ht="15" customHeight="1" x14ac:dyDescent="0.25">
      <c r="A203" t="s">
        <v>984</v>
      </c>
      <c r="B203" t="s">
        <v>575</v>
      </c>
      <c r="C203">
        <v>162371</v>
      </c>
      <c r="D203" t="s">
        <v>985</v>
      </c>
      <c r="E203" t="s">
        <v>228</v>
      </c>
      <c r="F203" t="s">
        <v>580</v>
      </c>
      <c r="G203" s="30">
        <v>46149</v>
      </c>
      <c r="H203" t="s">
        <v>986</v>
      </c>
      <c r="I203">
        <v>1307864.25</v>
      </c>
      <c r="J203" s="123">
        <v>0</v>
      </c>
      <c r="K203" s="123">
        <v>0</v>
      </c>
      <c r="L203" s="123">
        <v>46148</v>
      </c>
      <c r="M203">
        <v>0</v>
      </c>
      <c r="N203">
        <v>0</v>
      </c>
      <c r="O203">
        <v>0</v>
      </c>
      <c r="P203" s="216">
        <v>162371</v>
      </c>
      <c r="Q203" s="217" t="s">
        <v>20</v>
      </c>
      <c r="R203" s="217" t="s">
        <v>582</v>
      </c>
      <c r="S203" s="218">
        <v>0.62548406113070676</v>
      </c>
      <c r="T203" t="s">
        <v>550</v>
      </c>
      <c r="U203" t="s">
        <v>51</v>
      </c>
      <c r="V203" s="219">
        <v>0</v>
      </c>
      <c r="W203" s="219">
        <v>0</v>
      </c>
    </row>
    <row r="204" spans="1:23" ht="15" customHeight="1" x14ac:dyDescent="0.25">
      <c r="A204" t="s">
        <v>987</v>
      </c>
      <c r="B204" t="s">
        <v>575</v>
      </c>
      <c r="C204">
        <v>141781</v>
      </c>
      <c r="D204" t="s">
        <v>988</v>
      </c>
      <c r="E204" t="s">
        <v>163</v>
      </c>
      <c r="F204" t="s">
        <v>554</v>
      </c>
      <c r="G204" s="30">
        <v>46146</v>
      </c>
      <c r="H204" t="s">
        <v>989</v>
      </c>
      <c r="I204">
        <v>1134652.75</v>
      </c>
      <c r="J204" s="123">
        <v>0</v>
      </c>
      <c r="K204" s="123">
        <v>0</v>
      </c>
      <c r="L204" s="123">
        <v>46144</v>
      </c>
      <c r="M204">
        <v>0</v>
      </c>
      <c r="N204">
        <v>0</v>
      </c>
      <c r="O204">
        <v>0</v>
      </c>
      <c r="P204" s="216">
        <v>141781</v>
      </c>
      <c r="Q204" s="217" t="s">
        <v>15</v>
      </c>
      <c r="R204" s="217" t="s">
        <v>554</v>
      </c>
      <c r="S204" s="218">
        <v>0.74969922375916742</v>
      </c>
      <c r="T204" t="s">
        <v>550</v>
      </c>
      <c r="U204" t="s">
        <v>51</v>
      </c>
      <c r="V204" s="219" t="s">
        <v>5944</v>
      </c>
      <c r="W204" s="219" t="s">
        <v>67</v>
      </c>
    </row>
    <row r="205" spans="1:23" ht="15" customHeight="1" x14ac:dyDescent="0.25">
      <c r="A205" t="s">
        <v>990</v>
      </c>
      <c r="B205" t="s">
        <v>575</v>
      </c>
      <c r="C205">
        <v>124324</v>
      </c>
      <c r="D205" t="s">
        <v>991</v>
      </c>
      <c r="E205" t="s">
        <v>163</v>
      </c>
      <c r="F205" t="s">
        <v>554</v>
      </c>
      <c r="G205" s="30">
        <v>46146</v>
      </c>
      <c r="H205" t="s">
        <v>992</v>
      </c>
      <c r="I205">
        <v>994994</v>
      </c>
      <c r="J205" s="123">
        <v>0</v>
      </c>
      <c r="K205" s="123">
        <v>0</v>
      </c>
      <c r="L205" s="123">
        <v>46132</v>
      </c>
      <c r="M205">
        <v>0</v>
      </c>
      <c r="N205">
        <v>0</v>
      </c>
      <c r="O205">
        <v>0</v>
      </c>
      <c r="P205" s="216">
        <v>124324</v>
      </c>
      <c r="Q205" s="217" t="s">
        <v>15</v>
      </c>
      <c r="R205" s="217" t="s">
        <v>554</v>
      </c>
      <c r="S205" s="218">
        <v>0.75764299803009227</v>
      </c>
      <c r="T205" t="s">
        <v>550</v>
      </c>
      <c r="U205" t="s">
        <v>51</v>
      </c>
      <c r="V205" s="219" t="s">
        <v>5945</v>
      </c>
      <c r="W205" s="219" t="s">
        <v>67</v>
      </c>
    </row>
    <row r="206" spans="1:23" ht="15" customHeight="1" x14ac:dyDescent="0.25">
      <c r="A206" t="s">
        <v>993</v>
      </c>
      <c r="B206" t="s">
        <v>546</v>
      </c>
      <c r="C206">
        <v>123963</v>
      </c>
      <c r="D206" t="s">
        <v>994</v>
      </c>
      <c r="E206" t="s">
        <v>163</v>
      </c>
      <c r="F206" t="s">
        <v>554</v>
      </c>
      <c r="G206" s="30">
        <v>46143</v>
      </c>
      <c r="H206" t="s">
        <v>995</v>
      </c>
      <c r="I206">
        <v>993550.25</v>
      </c>
      <c r="J206" s="123">
        <v>0</v>
      </c>
      <c r="K206" s="123">
        <v>0</v>
      </c>
      <c r="L206" s="123">
        <v>0</v>
      </c>
      <c r="M206">
        <v>0</v>
      </c>
      <c r="N206">
        <v>0</v>
      </c>
      <c r="O206">
        <v>0</v>
      </c>
      <c r="P206" s="216">
        <v>123963</v>
      </c>
      <c r="Q206" s="217" t="s">
        <v>15</v>
      </c>
      <c r="R206" s="217" t="s">
        <v>554</v>
      </c>
      <c r="S206" s="218">
        <v>0.75000031511474341</v>
      </c>
      <c r="T206" t="s">
        <v>550</v>
      </c>
      <c r="U206" t="s">
        <v>51</v>
      </c>
      <c r="V206" s="219" t="s">
        <v>5946</v>
      </c>
      <c r="W206" s="219" t="s">
        <v>67</v>
      </c>
    </row>
    <row r="207" spans="1:23" ht="15" customHeight="1" x14ac:dyDescent="0.25">
      <c r="A207" t="s">
        <v>996</v>
      </c>
      <c r="B207" t="s">
        <v>546</v>
      </c>
      <c r="C207">
        <v>123963</v>
      </c>
      <c r="D207" t="s">
        <v>994</v>
      </c>
      <c r="E207" t="s">
        <v>163</v>
      </c>
      <c r="F207" t="s">
        <v>548</v>
      </c>
      <c r="G207" s="30">
        <v>46143</v>
      </c>
      <c r="H207" t="s">
        <v>995</v>
      </c>
      <c r="I207">
        <v>993550.25</v>
      </c>
      <c r="J207" s="123">
        <v>0</v>
      </c>
      <c r="K207" s="123">
        <v>0</v>
      </c>
      <c r="L207" s="123">
        <v>0</v>
      </c>
      <c r="M207">
        <v>0</v>
      </c>
      <c r="N207">
        <v>0</v>
      </c>
      <c r="O207">
        <v>0</v>
      </c>
      <c r="P207" s="216">
        <v>123963</v>
      </c>
      <c r="Q207" s="217" t="s">
        <v>15</v>
      </c>
      <c r="R207" s="217" t="s">
        <v>62</v>
      </c>
      <c r="S207" s="218">
        <v>0.75000031511474341</v>
      </c>
      <c r="T207" t="s">
        <v>550</v>
      </c>
      <c r="U207" t="s">
        <v>51</v>
      </c>
      <c r="V207" s="219">
        <v>0</v>
      </c>
      <c r="W207" s="219">
        <v>0</v>
      </c>
    </row>
    <row r="208" spans="1:23" ht="15" customHeight="1" x14ac:dyDescent="0.25">
      <c r="A208" t="s">
        <v>997</v>
      </c>
      <c r="B208" t="s">
        <v>546</v>
      </c>
      <c r="C208">
        <v>123963</v>
      </c>
      <c r="D208" t="s">
        <v>994</v>
      </c>
      <c r="E208" t="s">
        <v>163</v>
      </c>
      <c r="F208" t="s">
        <v>548</v>
      </c>
      <c r="G208" s="30">
        <v>46143</v>
      </c>
      <c r="H208" t="s">
        <v>995</v>
      </c>
      <c r="I208">
        <v>993550.25</v>
      </c>
      <c r="J208" s="123">
        <v>0</v>
      </c>
      <c r="K208" s="123">
        <v>0</v>
      </c>
      <c r="L208" s="123">
        <v>0</v>
      </c>
      <c r="M208">
        <v>0</v>
      </c>
      <c r="N208">
        <v>0</v>
      </c>
      <c r="O208">
        <v>0</v>
      </c>
      <c r="P208" s="216">
        <v>123963</v>
      </c>
      <c r="Q208" s="217" t="s">
        <v>15</v>
      </c>
      <c r="R208" s="217" t="s">
        <v>62</v>
      </c>
      <c r="S208" s="218">
        <v>0.75000031511474341</v>
      </c>
      <c r="T208" t="s">
        <v>550</v>
      </c>
      <c r="U208" t="s">
        <v>51</v>
      </c>
      <c r="V208" s="219">
        <v>0</v>
      </c>
      <c r="W208" s="219">
        <v>0</v>
      </c>
    </row>
    <row r="209" spans="1:23" ht="15" customHeight="1" x14ac:dyDescent="0.25">
      <c r="A209" t="s">
        <v>998</v>
      </c>
      <c r="B209" t="s">
        <v>64</v>
      </c>
      <c r="C209">
        <v>283562</v>
      </c>
      <c r="D209" t="s">
        <v>999</v>
      </c>
      <c r="E209" t="s">
        <v>278</v>
      </c>
      <c r="F209" t="s">
        <v>580</v>
      </c>
      <c r="G209" s="30">
        <v>46149</v>
      </c>
      <c r="H209" t="s">
        <v>1000</v>
      </c>
      <c r="I209">
        <v>1134864.5</v>
      </c>
      <c r="J209" s="123">
        <v>0</v>
      </c>
      <c r="K209" s="123">
        <v>46125</v>
      </c>
      <c r="L209" s="123">
        <v>0</v>
      </c>
      <c r="M209">
        <v>0</v>
      </c>
      <c r="N209">
        <v>0</v>
      </c>
      <c r="O209" t="s">
        <v>556</v>
      </c>
      <c r="P209" s="216">
        <v>283562</v>
      </c>
      <c r="Q209" s="217" t="s">
        <v>39</v>
      </c>
      <c r="R209" s="217" t="s">
        <v>582</v>
      </c>
      <c r="S209" s="218">
        <v>0.74999984571282219</v>
      </c>
      <c r="T209" t="s">
        <v>550</v>
      </c>
      <c r="U209" t="s">
        <v>51</v>
      </c>
      <c r="V209" s="219">
        <v>0</v>
      </c>
      <c r="W209" s="219">
        <v>0</v>
      </c>
    </row>
    <row r="210" spans="1:23" ht="15" customHeight="1" x14ac:dyDescent="0.25">
      <c r="A210" t="s">
        <v>1001</v>
      </c>
      <c r="B210" t="s">
        <v>546</v>
      </c>
      <c r="C210">
        <v>119964.45</v>
      </c>
      <c r="D210" t="s">
        <v>1002</v>
      </c>
      <c r="E210" t="s">
        <v>553</v>
      </c>
      <c r="F210" t="s">
        <v>554</v>
      </c>
      <c r="G210" s="30">
        <v>46146</v>
      </c>
      <c r="H210" t="s">
        <v>1003</v>
      </c>
      <c r="I210">
        <v>987332.5</v>
      </c>
      <c r="J210" s="123">
        <v>46146</v>
      </c>
      <c r="K210" s="123">
        <v>0</v>
      </c>
      <c r="L210" s="123">
        <v>46146</v>
      </c>
      <c r="M210">
        <v>0</v>
      </c>
      <c r="N210">
        <v>0</v>
      </c>
      <c r="O210" t="s">
        <v>556</v>
      </c>
      <c r="P210" s="216">
        <v>119964.45</v>
      </c>
      <c r="Q210" s="217" t="s">
        <v>15</v>
      </c>
      <c r="R210" s="217" t="s">
        <v>554</v>
      </c>
      <c r="S210" s="218">
        <v>0.7500013905807621</v>
      </c>
      <c r="T210" t="s">
        <v>550</v>
      </c>
      <c r="U210" t="s">
        <v>51</v>
      </c>
      <c r="V210" s="219" t="s">
        <v>5947</v>
      </c>
      <c r="W210" s="219" t="s">
        <v>67</v>
      </c>
    </row>
    <row r="211" spans="1:23" ht="15" customHeight="1" x14ac:dyDescent="0.25">
      <c r="A211" t="s">
        <v>1004</v>
      </c>
      <c r="B211" t="s">
        <v>64</v>
      </c>
      <c r="C211">
        <v>113426</v>
      </c>
      <c r="D211" t="s">
        <v>1005</v>
      </c>
      <c r="E211" t="s">
        <v>163</v>
      </c>
      <c r="F211" t="s">
        <v>580</v>
      </c>
      <c r="G211" s="30">
        <v>46147</v>
      </c>
      <c r="H211" t="s">
        <v>1006</v>
      </c>
      <c r="I211">
        <v>1134864.5</v>
      </c>
      <c r="J211" s="123">
        <v>0</v>
      </c>
      <c r="K211" s="123">
        <v>46147</v>
      </c>
      <c r="L211" s="123">
        <v>0</v>
      </c>
      <c r="M211">
        <v>0</v>
      </c>
      <c r="N211">
        <v>0</v>
      </c>
      <c r="O211" t="s">
        <v>556</v>
      </c>
      <c r="P211" s="216">
        <v>113426</v>
      </c>
      <c r="Q211" s="217" t="s">
        <v>15</v>
      </c>
      <c r="R211" s="217" t="s">
        <v>582</v>
      </c>
      <c r="S211" s="218">
        <v>0.70000029094153537</v>
      </c>
      <c r="T211" t="s">
        <v>550</v>
      </c>
      <c r="U211" t="s">
        <v>51</v>
      </c>
      <c r="V211" s="219">
        <v>0</v>
      </c>
      <c r="W211" s="219">
        <v>0</v>
      </c>
    </row>
    <row r="212" spans="1:23" ht="15" customHeight="1" x14ac:dyDescent="0.25">
      <c r="A212" t="s">
        <v>1007</v>
      </c>
      <c r="B212" t="s">
        <v>575</v>
      </c>
      <c r="C212">
        <v>197546</v>
      </c>
      <c r="D212" t="s">
        <v>1008</v>
      </c>
      <c r="E212" t="s">
        <v>218</v>
      </c>
      <c r="F212" t="s">
        <v>554</v>
      </c>
      <c r="G212" s="30">
        <v>46143</v>
      </c>
      <c r="H212" t="s">
        <v>1009</v>
      </c>
      <c r="I212">
        <v>1578076.5</v>
      </c>
      <c r="J212" s="123">
        <v>0</v>
      </c>
      <c r="K212" s="123">
        <v>0</v>
      </c>
      <c r="L212" s="123">
        <v>46142</v>
      </c>
      <c r="M212">
        <v>0</v>
      </c>
      <c r="N212">
        <v>0</v>
      </c>
      <c r="O212">
        <v>0</v>
      </c>
      <c r="P212" s="216">
        <v>197546</v>
      </c>
      <c r="Q212" s="217" t="s">
        <v>13</v>
      </c>
      <c r="R212" s="217" t="s">
        <v>554</v>
      </c>
      <c r="S212" s="218">
        <v>0.75000162145855653</v>
      </c>
      <c r="T212" t="s">
        <v>550</v>
      </c>
      <c r="U212" t="s">
        <v>51</v>
      </c>
      <c r="V212" s="219" t="s">
        <v>5948</v>
      </c>
      <c r="W212" s="219" t="s">
        <v>67</v>
      </c>
    </row>
    <row r="213" spans="1:23" ht="15" customHeight="1" x14ac:dyDescent="0.25">
      <c r="A213" t="s">
        <v>1010</v>
      </c>
      <c r="B213" t="s">
        <v>668</v>
      </c>
      <c r="C213">
        <v>10</v>
      </c>
      <c r="D213" t="s">
        <v>1011</v>
      </c>
      <c r="E213" t="s">
        <v>163</v>
      </c>
      <c r="F213" t="s">
        <v>580</v>
      </c>
      <c r="G213" s="30">
        <v>46149</v>
      </c>
      <c r="H213" t="s">
        <v>1012</v>
      </c>
      <c r="I213">
        <v>1134229.25</v>
      </c>
      <c r="J213" s="123">
        <v>45826</v>
      </c>
      <c r="K213" s="123">
        <v>0</v>
      </c>
      <c r="L213" s="123">
        <v>45826</v>
      </c>
      <c r="M213">
        <v>0</v>
      </c>
      <c r="N213">
        <v>0</v>
      </c>
      <c r="O213">
        <v>0</v>
      </c>
      <c r="P213" s="216">
        <v>10</v>
      </c>
      <c r="Q213" s="217" t="s">
        <v>15</v>
      </c>
      <c r="R213" s="217" t="s">
        <v>582</v>
      </c>
      <c r="S213" s="218">
        <v>0.63979542401863432</v>
      </c>
      <c r="T213" t="s">
        <v>550</v>
      </c>
      <c r="U213" t="s">
        <v>51</v>
      </c>
      <c r="V213" s="219">
        <v>0</v>
      </c>
      <c r="W213" s="219">
        <v>0</v>
      </c>
    </row>
    <row r="214" spans="1:23" ht="15" customHeight="1" x14ac:dyDescent="0.25">
      <c r="A214" t="s">
        <v>1013</v>
      </c>
      <c r="B214" t="s">
        <v>668</v>
      </c>
      <c r="C214">
        <v>5740</v>
      </c>
      <c r="D214" t="s">
        <v>1011</v>
      </c>
      <c r="E214" t="s">
        <v>163</v>
      </c>
      <c r="F214" t="s">
        <v>580</v>
      </c>
      <c r="G214" s="30">
        <v>46149</v>
      </c>
      <c r="H214" t="s">
        <v>1012</v>
      </c>
      <c r="I214">
        <v>1134229.25</v>
      </c>
      <c r="J214" s="123">
        <v>45826</v>
      </c>
      <c r="K214" s="123">
        <v>0</v>
      </c>
      <c r="L214" s="123">
        <v>45826</v>
      </c>
      <c r="M214">
        <v>0</v>
      </c>
      <c r="N214">
        <v>0</v>
      </c>
      <c r="O214">
        <v>0</v>
      </c>
      <c r="P214" s="216">
        <v>5740</v>
      </c>
      <c r="Q214" s="217" t="s">
        <v>15</v>
      </c>
      <c r="R214" s="217" t="s">
        <v>582</v>
      </c>
      <c r="S214" s="218">
        <v>0.63979542401863432</v>
      </c>
      <c r="T214" t="s">
        <v>550</v>
      </c>
      <c r="U214" t="s">
        <v>51</v>
      </c>
      <c r="V214" s="219">
        <v>0</v>
      </c>
      <c r="W214" s="219">
        <v>0</v>
      </c>
    </row>
    <row r="215" spans="1:23" ht="15" customHeight="1" x14ac:dyDescent="0.25">
      <c r="A215" t="s">
        <v>1014</v>
      </c>
      <c r="B215" t="s">
        <v>546</v>
      </c>
      <c r="C215">
        <v>20000</v>
      </c>
      <c r="D215" t="s">
        <v>1015</v>
      </c>
      <c r="E215" t="s">
        <v>553</v>
      </c>
      <c r="F215" t="s">
        <v>554</v>
      </c>
      <c r="G215" s="30">
        <v>46143</v>
      </c>
      <c r="H215" t="s">
        <v>1016</v>
      </c>
      <c r="I215">
        <v>1102524.5</v>
      </c>
      <c r="J215" s="123">
        <v>46143</v>
      </c>
      <c r="K215" s="123">
        <v>0</v>
      </c>
      <c r="L215" s="123">
        <v>46143</v>
      </c>
      <c r="M215">
        <v>0</v>
      </c>
      <c r="N215">
        <v>0</v>
      </c>
      <c r="O215" t="s">
        <v>556</v>
      </c>
      <c r="P215" s="216">
        <v>20000</v>
      </c>
      <c r="Q215" s="217" t="s">
        <v>15</v>
      </c>
      <c r="R215" s="217" t="s">
        <v>554</v>
      </c>
      <c r="S215" s="218">
        <v>0.72890985820077592</v>
      </c>
      <c r="T215" t="s">
        <v>550</v>
      </c>
      <c r="U215" t="s">
        <v>51</v>
      </c>
      <c r="V215" s="219" t="s">
        <v>5949</v>
      </c>
      <c r="W215" s="219" t="s">
        <v>67</v>
      </c>
    </row>
    <row r="216" spans="1:23" ht="15" customHeight="1" x14ac:dyDescent="0.25">
      <c r="A216" t="s">
        <v>1017</v>
      </c>
      <c r="B216" t="s">
        <v>575</v>
      </c>
      <c r="C216">
        <v>194490</v>
      </c>
      <c r="D216" t="s">
        <v>1018</v>
      </c>
      <c r="E216" t="s">
        <v>218</v>
      </c>
      <c r="F216" t="s">
        <v>554</v>
      </c>
      <c r="G216" s="30">
        <v>46146</v>
      </c>
      <c r="H216" t="s">
        <v>1019</v>
      </c>
      <c r="I216">
        <v>1553609.75</v>
      </c>
      <c r="J216" s="123">
        <v>0</v>
      </c>
      <c r="K216" s="123">
        <v>0</v>
      </c>
      <c r="L216" s="123">
        <v>46133</v>
      </c>
      <c r="M216">
        <v>0</v>
      </c>
      <c r="N216">
        <v>0</v>
      </c>
      <c r="O216">
        <v>0</v>
      </c>
      <c r="P216" s="216">
        <v>194490</v>
      </c>
      <c r="Q216" s="217" t="s">
        <v>13</v>
      </c>
      <c r="R216" s="217" t="s">
        <v>554</v>
      </c>
      <c r="S216" s="218">
        <v>0.7500034754363134</v>
      </c>
      <c r="T216" t="s">
        <v>550</v>
      </c>
      <c r="U216" t="s">
        <v>51</v>
      </c>
      <c r="V216" s="219" t="s">
        <v>5950</v>
      </c>
      <c r="W216" s="219" t="s">
        <v>67</v>
      </c>
    </row>
    <row r="217" spans="1:23" ht="15" customHeight="1" x14ac:dyDescent="0.25">
      <c r="A217" t="s">
        <v>1020</v>
      </c>
      <c r="B217" t="s">
        <v>595</v>
      </c>
      <c r="C217">
        <v>197546</v>
      </c>
      <c r="D217" t="s">
        <v>1021</v>
      </c>
      <c r="E217" t="s">
        <v>163</v>
      </c>
      <c r="F217" t="s">
        <v>554</v>
      </c>
      <c r="G217" s="30">
        <v>46143</v>
      </c>
      <c r="H217" t="s">
        <v>1022</v>
      </c>
      <c r="I217">
        <v>1578076.5</v>
      </c>
      <c r="J217" s="123">
        <v>0</v>
      </c>
      <c r="K217" s="123">
        <v>0</v>
      </c>
      <c r="L217" s="123">
        <v>46143</v>
      </c>
      <c r="M217">
        <v>0</v>
      </c>
      <c r="N217">
        <v>0</v>
      </c>
      <c r="O217">
        <v>0</v>
      </c>
      <c r="P217" s="216">
        <v>197546</v>
      </c>
      <c r="Q217" s="217" t="s">
        <v>15</v>
      </c>
      <c r="R217" s="217" t="s">
        <v>554</v>
      </c>
      <c r="S217" s="218">
        <v>0.74619200695281429</v>
      </c>
      <c r="T217" t="s">
        <v>550</v>
      </c>
      <c r="U217" t="s">
        <v>51</v>
      </c>
      <c r="V217" s="219" t="s">
        <v>5951</v>
      </c>
      <c r="W217" s="219" t="s">
        <v>67</v>
      </c>
    </row>
    <row r="218" spans="1:23" ht="15" customHeight="1" x14ac:dyDescent="0.25">
      <c r="A218" t="s">
        <v>1023</v>
      </c>
      <c r="B218" t="s">
        <v>575</v>
      </c>
      <c r="C218">
        <v>88115.5</v>
      </c>
      <c r="D218" t="s">
        <v>1024</v>
      </c>
      <c r="E218" t="s">
        <v>218</v>
      </c>
      <c r="F218" t="s">
        <v>554</v>
      </c>
      <c r="G218" s="30">
        <v>46146</v>
      </c>
      <c r="H218" t="s">
        <v>1025</v>
      </c>
      <c r="I218">
        <v>1325689.75</v>
      </c>
      <c r="J218" s="123">
        <v>0</v>
      </c>
      <c r="K218" s="123">
        <v>0</v>
      </c>
      <c r="L218" s="123">
        <v>46135</v>
      </c>
      <c r="M218">
        <v>0</v>
      </c>
      <c r="N218">
        <v>0</v>
      </c>
      <c r="O218">
        <v>0</v>
      </c>
      <c r="P218" s="216">
        <v>88115.5</v>
      </c>
      <c r="Q218" s="217" t="s">
        <v>13</v>
      </c>
      <c r="R218" s="217" t="s">
        <v>554</v>
      </c>
      <c r="S218" s="218">
        <v>0.75754762152283972</v>
      </c>
      <c r="T218" t="s">
        <v>550</v>
      </c>
      <c r="U218" t="s">
        <v>51</v>
      </c>
      <c r="V218" s="219" t="s">
        <v>5952</v>
      </c>
      <c r="W218" s="219" t="s">
        <v>67</v>
      </c>
    </row>
    <row r="219" spans="1:23" ht="15" customHeight="1" x14ac:dyDescent="0.25">
      <c r="A219" t="s">
        <v>1026</v>
      </c>
      <c r="B219" t="s">
        <v>575</v>
      </c>
      <c r="C219">
        <v>83115.5</v>
      </c>
      <c r="D219" t="s">
        <v>1024</v>
      </c>
      <c r="E219" t="s">
        <v>218</v>
      </c>
      <c r="F219" t="s">
        <v>554</v>
      </c>
      <c r="G219" s="30">
        <v>46146</v>
      </c>
      <c r="H219" t="s">
        <v>1025</v>
      </c>
      <c r="I219">
        <v>1325689.75</v>
      </c>
      <c r="J219" s="123">
        <v>0</v>
      </c>
      <c r="K219" s="123">
        <v>0</v>
      </c>
      <c r="L219" s="123">
        <v>46135</v>
      </c>
      <c r="M219">
        <v>0</v>
      </c>
      <c r="N219">
        <v>0</v>
      </c>
      <c r="O219">
        <v>0</v>
      </c>
      <c r="P219" s="216">
        <v>83115.5</v>
      </c>
      <c r="Q219" s="217" t="s">
        <v>13</v>
      </c>
      <c r="R219" s="217" t="s">
        <v>554</v>
      </c>
      <c r="S219" s="218">
        <v>0.75754762152283972</v>
      </c>
      <c r="T219" t="s">
        <v>550</v>
      </c>
      <c r="U219" t="s">
        <v>51</v>
      </c>
      <c r="V219" s="219" t="s">
        <v>5953</v>
      </c>
      <c r="W219" s="219" t="s">
        <v>67</v>
      </c>
    </row>
    <row r="220" spans="1:23" ht="15" customHeight="1" x14ac:dyDescent="0.25">
      <c r="A220" t="s">
        <v>1027</v>
      </c>
      <c r="B220" t="s">
        <v>575</v>
      </c>
      <c r="C220">
        <v>142300</v>
      </c>
      <c r="D220" t="s">
        <v>1028</v>
      </c>
      <c r="E220" t="s">
        <v>163</v>
      </c>
      <c r="F220" t="s">
        <v>554</v>
      </c>
      <c r="G220" s="30">
        <v>46146</v>
      </c>
      <c r="H220" t="s">
        <v>1029</v>
      </c>
      <c r="I220">
        <v>1142121.75</v>
      </c>
      <c r="J220" s="123">
        <v>0</v>
      </c>
      <c r="K220" s="123">
        <v>0</v>
      </c>
      <c r="L220" s="123">
        <v>46143</v>
      </c>
      <c r="M220">
        <v>0</v>
      </c>
      <c r="N220">
        <v>0</v>
      </c>
      <c r="O220">
        <v>0</v>
      </c>
      <c r="P220" s="216">
        <v>142300</v>
      </c>
      <c r="Q220" s="217" t="s">
        <v>15</v>
      </c>
      <c r="R220" s="217" t="s">
        <v>554</v>
      </c>
      <c r="S220" s="218">
        <v>0.75091448011210593</v>
      </c>
      <c r="T220" t="s">
        <v>550</v>
      </c>
      <c r="U220" t="s">
        <v>51</v>
      </c>
      <c r="V220" s="219" t="s">
        <v>5954</v>
      </c>
      <c r="W220" s="219" t="s">
        <v>67</v>
      </c>
    </row>
    <row r="221" spans="1:23" ht="15" customHeight="1" x14ac:dyDescent="0.25">
      <c r="A221" t="s">
        <v>1030</v>
      </c>
      <c r="B221" t="s">
        <v>546</v>
      </c>
      <c r="C221">
        <v>40000</v>
      </c>
      <c r="D221" t="s">
        <v>1031</v>
      </c>
      <c r="E221" t="s">
        <v>553</v>
      </c>
      <c r="F221" t="s">
        <v>548</v>
      </c>
      <c r="G221" s="30">
        <v>46144</v>
      </c>
      <c r="H221" t="s">
        <v>1032</v>
      </c>
      <c r="I221">
        <v>1134652.75</v>
      </c>
      <c r="J221" s="123">
        <v>46144</v>
      </c>
      <c r="K221" s="123">
        <v>0</v>
      </c>
      <c r="L221" s="123">
        <v>46144</v>
      </c>
      <c r="M221">
        <v>0</v>
      </c>
      <c r="N221">
        <v>0</v>
      </c>
      <c r="O221" t="s">
        <v>556</v>
      </c>
      <c r="P221" s="216">
        <v>40000</v>
      </c>
      <c r="Q221" s="217" t="s">
        <v>15</v>
      </c>
      <c r="R221" s="217" t="s">
        <v>62</v>
      </c>
      <c r="S221" s="218">
        <v>0.69131662946876282</v>
      </c>
      <c r="T221" t="s">
        <v>550</v>
      </c>
      <c r="U221" t="s">
        <v>51</v>
      </c>
      <c r="V221" s="219">
        <v>0</v>
      </c>
      <c r="W221" s="219">
        <v>0</v>
      </c>
    </row>
    <row r="222" spans="1:23" ht="15" customHeight="1" x14ac:dyDescent="0.25">
      <c r="A222" t="s">
        <v>1033</v>
      </c>
      <c r="B222" t="s">
        <v>546</v>
      </c>
      <c r="C222">
        <v>106562.15</v>
      </c>
      <c r="D222" t="s">
        <v>1031</v>
      </c>
      <c r="E222" t="s">
        <v>553</v>
      </c>
      <c r="F222" t="s">
        <v>548</v>
      </c>
      <c r="G222" s="30">
        <v>46144</v>
      </c>
      <c r="H222" t="s">
        <v>1032</v>
      </c>
      <c r="I222">
        <v>1134652.75</v>
      </c>
      <c r="J222" s="123">
        <v>46144</v>
      </c>
      <c r="K222" s="123">
        <v>0</v>
      </c>
      <c r="L222" s="123">
        <v>46144</v>
      </c>
      <c r="M222">
        <v>0</v>
      </c>
      <c r="N222">
        <v>0</v>
      </c>
      <c r="O222" t="s">
        <v>556</v>
      </c>
      <c r="P222" s="216">
        <v>106562.15</v>
      </c>
      <c r="Q222" s="217" t="s">
        <v>15</v>
      </c>
      <c r="R222" s="217" t="s">
        <v>62</v>
      </c>
      <c r="S222" s="218">
        <v>0.69131662946876282</v>
      </c>
      <c r="T222" t="s">
        <v>550</v>
      </c>
      <c r="U222" t="s">
        <v>51</v>
      </c>
      <c r="V222" s="219">
        <v>0</v>
      </c>
      <c r="W222" s="219">
        <v>0</v>
      </c>
    </row>
    <row r="223" spans="1:23" ht="15" customHeight="1" x14ac:dyDescent="0.25">
      <c r="A223" t="s">
        <v>1034</v>
      </c>
      <c r="B223" t="s">
        <v>546</v>
      </c>
      <c r="C223">
        <v>36000</v>
      </c>
      <c r="D223" t="s">
        <v>1031</v>
      </c>
      <c r="E223" t="s">
        <v>553</v>
      </c>
      <c r="F223" t="s">
        <v>554</v>
      </c>
      <c r="G223" s="30">
        <v>46144</v>
      </c>
      <c r="H223" t="s">
        <v>1032</v>
      </c>
      <c r="I223">
        <v>1134652.75</v>
      </c>
      <c r="J223" s="123">
        <v>46144</v>
      </c>
      <c r="K223" s="123">
        <v>0</v>
      </c>
      <c r="L223" s="123">
        <v>46144</v>
      </c>
      <c r="M223">
        <v>0</v>
      </c>
      <c r="N223">
        <v>0</v>
      </c>
      <c r="O223" t="s">
        <v>556</v>
      </c>
      <c r="P223" s="216">
        <v>36000</v>
      </c>
      <c r="Q223" s="217" t="s">
        <v>15</v>
      </c>
      <c r="R223" s="217" t="s">
        <v>554</v>
      </c>
      <c r="S223" s="218">
        <v>0.69131662946876282</v>
      </c>
      <c r="T223" t="s">
        <v>550</v>
      </c>
      <c r="U223" t="s">
        <v>51</v>
      </c>
      <c r="V223" s="219" t="s">
        <v>5955</v>
      </c>
      <c r="W223" s="219" t="s">
        <v>67</v>
      </c>
    </row>
    <row r="224" spans="1:23" ht="15" customHeight="1" x14ac:dyDescent="0.25">
      <c r="A224" t="s">
        <v>1035</v>
      </c>
      <c r="B224" t="s">
        <v>546</v>
      </c>
      <c r="C224">
        <v>40000</v>
      </c>
      <c r="D224" t="s">
        <v>1031</v>
      </c>
      <c r="E224" t="s">
        <v>553</v>
      </c>
      <c r="F224" t="s">
        <v>554</v>
      </c>
      <c r="G224" s="30">
        <v>46145</v>
      </c>
      <c r="H224" t="s">
        <v>1032</v>
      </c>
      <c r="I224">
        <v>1134652.75</v>
      </c>
      <c r="J224" s="123">
        <v>46145</v>
      </c>
      <c r="K224" s="123">
        <v>0</v>
      </c>
      <c r="L224" s="123">
        <v>46145</v>
      </c>
      <c r="M224">
        <v>0</v>
      </c>
      <c r="N224">
        <v>0</v>
      </c>
      <c r="O224" t="s">
        <v>556</v>
      </c>
      <c r="P224" s="216">
        <v>40000</v>
      </c>
      <c r="Q224" s="217" t="s">
        <v>15</v>
      </c>
      <c r="R224" s="217" t="s">
        <v>554</v>
      </c>
      <c r="S224" s="218">
        <v>0.69131662946876282</v>
      </c>
      <c r="T224" t="s">
        <v>550</v>
      </c>
      <c r="U224" t="s">
        <v>51</v>
      </c>
      <c r="V224" s="219" t="s">
        <v>5956</v>
      </c>
      <c r="W224" s="219" t="s">
        <v>67</v>
      </c>
    </row>
    <row r="225" spans="1:23" ht="15" customHeight="1" x14ac:dyDescent="0.25">
      <c r="A225" t="s">
        <v>1036</v>
      </c>
      <c r="B225" t="s">
        <v>546</v>
      </c>
      <c r="C225">
        <v>142562.15</v>
      </c>
      <c r="D225" t="s">
        <v>1031</v>
      </c>
      <c r="E225" t="s">
        <v>553</v>
      </c>
      <c r="F225" t="s">
        <v>548</v>
      </c>
      <c r="G225" s="30">
        <v>46145</v>
      </c>
      <c r="H225" t="s">
        <v>1032</v>
      </c>
      <c r="I225">
        <v>1134652.75</v>
      </c>
      <c r="J225" s="123">
        <v>46145</v>
      </c>
      <c r="K225" s="123">
        <v>0</v>
      </c>
      <c r="L225" s="123">
        <v>46145</v>
      </c>
      <c r="M225">
        <v>0</v>
      </c>
      <c r="N225">
        <v>0</v>
      </c>
      <c r="O225" t="s">
        <v>556</v>
      </c>
      <c r="P225" s="216">
        <v>142562.15</v>
      </c>
      <c r="Q225" s="217" t="s">
        <v>15</v>
      </c>
      <c r="R225" s="217" t="s">
        <v>62</v>
      </c>
      <c r="S225" s="218">
        <v>0.69131662946876282</v>
      </c>
      <c r="T225" t="s">
        <v>550</v>
      </c>
      <c r="U225" t="s">
        <v>51</v>
      </c>
      <c r="V225" s="219">
        <v>0</v>
      </c>
      <c r="W225" s="219">
        <v>0</v>
      </c>
    </row>
    <row r="226" spans="1:23" ht="15" customHeight="1" x14ac:dyDescent="0.25">
      <c r="A226" t="s">
        <v>1037</v>
      </c>
      <c r="B226" t="s">
        <v>575</v>
      </c>
      <c r="C226">
        <v>124324</v>
      </c>
      <c r="D226" t="s">
        <v>1038</v>
      </c>
      <c r="E226" t="s">
        <v>163</v>
      </c>
      <c r="F226" t="s">
        <v>683</v>
      </c>
      <c r="G226" s="30">
        <v>46144</v>
      </c>
      <c r="H226" t="s">
        <v>1039</v>
      </c>
      <c r="I226">
        <v>994994</v>
      </c>
      <c r="J226" s="123">
        <v>0</v>
      </c>
      <c r="K226" s="123">
        <v>0</v>
      </c>
      <c r="L226" s="123">
        <v>46143</v>
      </c>
      <c r="M226">
        <v>0</v>
      </c>
      <c r="N226">
        <v>0</v>
      </c>
      <c r="O226">
        <v>0</v>
      </c>
      <c r="P226" s="216">
        <v>124324</v>
      </c>
      <c r="Q226" s="217" t="s">
        <v>15</v>
      </c>
      <c r="R226" s="217" t="s">
        <v>62</v>
      </c>
      <c r="S226" s="218">
        <v>0.63127173792008218</v>
      </c>
      <c r="T226" t="s">
        <v>550</v>
      </c>
      <c r="U226" t="s">
        <v>51</v>
      </c>
      <c r="V226" s="219">
        <v>0</v>
      </c>
      <c r="W226" s="219">
        <v>0</v>
      </c>
    </row>
    <row r="227" spans="1:23" ht="15" customHeight="1" x14ac:dyDescent="0.25">
      <c r="A227" t="s">
        <v>1040</v>
      </c>
      <c r="B227" t="s">
        <v>575</v>
      </c>
      <c r="C227">
        <v>166000</v>
      </c>
      <c r="D227" t="s">
        <v>1041</v>
      </c>
      <c r="E227" t="s">
        <v>163</v>
      </c>
      <c r="F227" t="s">
        <v>554</v>
      </c>
      <c r="G227" s="30">
        <v>46144</v>
      </c>
      <c r="H227" t="s">
        <v>1042</v>
      </c>
      <c r="I227">
        <v>1325689.75</v>
      </c>
      <c r="J227" s="123">
        <v>0</v>
      </c>
      <c r="K227" s="123">
        <v>0</v>
      </c>
      <c r="L227" s="123">
        <v>46143</v>
      </c>
      <c r="M227">
        <v>0</v>
      </c>
      <c r="N227">
        <v>0</v>
      </c>
      <c r="O227">
        <v>0</v>
      </c>
      <c r="P227" s="216">
        <v>166000</v>
      </c>
      <c r="Q227" s="217" t="s">
        <v>15</v>
      </c>
      <c r="R227" s="217" t="s">
        <v>554</v>
      </c>
      <c r="S227" s="218">
        <v>0.7504135374521802</v>
      </c>
      <c r="T227" t="s">
        <v>550</v>
      </c>
      <c r="U227" t="s">
        <v>51</v>
      </c>
      <c r="V227" s="219" t="s">
        <v>5957</v>
      </c>
      <c r="W227" s="219" t="s">
        <v>67</v>
      </c>
    </row>
    <row r="228" spans="1:23" ht="15" customHeight="1" x14ac:dyDescent="0.25">
      <c r="A228" t="s">
        <v>1043</v>
      </c>
      <c r="B228" t="s">
        <v>546</v>
      </c>
      <c r="C228">
        <v>40000</v>
      </c>
      <c r="D228" t="s">
        <v>1044</v>
      </c>
      <c r="E228" t="s">
        <v>553</v>
      </c>
      <c r="F228" t="s">
        <v>554</v>
      </c>
      <c r="G228" s="30">
        <v>46144</v>
      </c>
      <c r="H228" t="s">
        <v>1045</v>
      </c>
      <c r="I228">
        <v>1327768.75</v>
      </c>
      <c r="J228" s="123">
        <v>46144</v>
      </c>
      <c r="K228" s="123">
        <v>0</v>
      </c>
      <c r="L228" s="123">
        <v>46144</v>
      </c>
      <c r="M228">
        <v>0</v>
      </c>
      <c r="N228">
        <v>0</v>
      </c>
      <c r="O228" t="s">
        <v>556</v>
      </c>
      <c r="P228" s="216">
        <v>40000</v>
      </c>
      <c r="Q228" s="217" t="s">
        <v>15</v>
      </c>
      <c r="R228" s="217" t="s">
        <v>554</v>
      </c>
      <c r="S228" s="218">
        <v>0.65801100234797494</v>
      </c>
      <c r="T228" t="s">
        <v>550</v>
      </c>
      <c r="U228" t="s">
        <v>51</v>
      </c>
      <c r="V228" s="219" t="s">
        <v>5958</v>
      </c>
      <c r="W228" s="219" t="s">
        <v>67</v>
      </c>
    </row>
    <row r="229" spans="1:23" ht="15" customHeight="1" x14ac:dyDescent="0.25">
      <c r="A229" t="s">
        <v>1046</v>
      </c>
      <c r="B229" t="s">
        <v>546</v>
      </c>
      <c r="C229">
        <v>517</v>
      </c>
      <c r="D229" t="s">
        <v>1044</v>
      </c>
      <c r="E229" t="s">
        <v>553</v>
      </c>
      <c r="F229" t="s">
        <v>554</v>
      </c>
      <c r="G229" s="30">
        <v>46144</v>
      </c>
      <c r="H229" t="s">
        <v>1045</v>
      </c>
      <c r="I229">
        <v>1327768.75</v>
      </c>
      <c r="J229" s="123">
        <v>46144</v>
      </c>
      <c r="K229" s="123">
        <v>0</v>
      </c>
      <c r="L229" s="123">
        <v>46144</v>
      </c>
      <c r="M229">
        <v>0</v>
      </c>
      <c r="N229">
        <v>0</v>
      </c>
      <c r="O229" t="s">
        <v>556</v>
      </c>
      <c r="P229" s="216">
        <v>517</v>
      </c>
      <c r="Q229" s="217" t="s">
        <v>15</v>
      </c>
      <c r="R229" s="217" t="s">
        <v>554</v>
      </c>
      <c r="S229" s="218">
        <v>0.65801100234797494</v>
      </c>
      <c r="T229" t="s">
        <v>550</v>
      </c>
      <c r="U229" t="s">
        <v>51</v>
      </c>
      <c r="V229" s="219" t="s">
        <v>5959</v>
      </c>
      <c r="W229" s="219" t="s">
        <v>67</v>
      </c>
    </row>
    <row r="230" spans="1:23" ht="15" customHeight="1" x14ac:dyDescent="0.25">
      <c r="A230" t="s">
        <v>1047</v>
      </c>
      <c r="B230" t="s">
        <v>546</v>
      </c>
      <c r="C230">
        <v>166517.54999999999</v>
      </c>
      <c r="D230" t="s">
        <v>1044</v>
      </c>
      <c r="E230" t="s">
        <v>553</v>
      </c>
      <c r="F230" t="s">
        <v>548</v>
      </c>
      <c r="G230" s="30">
        <v>46144</v>
      </c>
      <c r="H230" t="s">
        <v>1045</v>
      </c>
      <c r="I230">
        <v>1327768.75</v>
      </c>
      <c r="J230" s="123">
        <v>46144</v>
      </c>
      <c r="K230" s="123">
        <v>0</v>
      </c>
      <c r="L230" s="123">
        <v>46144</v>
      </c>
      <c r="M230">
        <v>0</v>
      </c>
      <c r="N230">
        <v>0</v>
      </c>
      <c r="O230" t="s">
        <v>556</v>
      </c>
      <c r="P230" s="216">
        <v>166517.54999999999</v>
      </c>
      <c r="Q230" s="217" t="s">
        <v>15</v>
      </c>
      <c r="R230" s="217" t="s">
        <v>62</v>
      </c>
      <c r="S230" s="218">
        <v>0.65801100234797494</v>
      </c>
      <c r="T230" t="s">
        <v>550</v>
      </c>
      <c r="U230" t="s">
        <v>51</v>
      </c>
      <c r="V230" s="219">
        <v>0</v>
      </c>
      <c r="W230" s="219">
        <v>0</v>
      </c>
    </row>
    <row r="231" spans="1:23" ht="15" customHeight="1" x14ac:dyDescent="0.25">
      <c r="A231" t="s">
        <v>1048</v>
      </c>
      <c r="B231" t="s">
        <v>546</v>
      </c>
      <c r="C231">
        <v>50000</v>
      </c>
      <c r="D231" t="s">
        <v>1049</v>
      </c>
      <c r="E231" t="s">
        <v>141</v>
      </c>
      <c r="F231" t="s">
        <v>548</v>
      </c>
      <c r="G231" s="30">
        <v>46148</v>
      </c>
      <c r="H231" t="s">
        <v>1050</v>
      </c>
      <c r="I231">
        <v>1134229.25</v>
      </c>
      <c r="J231" s="123">
        <v>0</v>
      </c>
      <c r="K231" s="123">
        <v>0</v>
      </c>
      <c r="L231" s="123">
        <v>0</v>
      </c>
      <c r="M231">
        <v>0</v>
      </c>
      <c r="N231">
        <v>0</v>
      </c>
      <c r="O231">
        <v>0</v>
      </c>
      <c r="P231" s="216">
        <v>50000</v>
      </c>
      <c r="Q231" s="217" t="s">
        <v>34</v>
      </c>
      <c r="R231" s="217" t="s">
        <v>62</v>
      </c>
      <c r="S231" s="218">
        <v>0.62500010359281943</v>
      </c>
      <c r="T231" t="s">
        <v>550</v>
      </c>
      <c r="U231" t="s">
        <v>51</v>
      </c>
      <c r="V231" s="219">
        <v>0</v>
      </c>
      <c r="W231" s="219">
        <v>0</v>
      </c>
    </row>
    <row r="232" spans="1:23" ht="15" customHeight="1" x14ac:dyDescent="0.25">
      <c r="A232" t="s">
        <v>1051</v>
      </c>
      <c r="B232" t="s">
        <v>595</v>
      </c>
      <c r="C232">
        <v>28000</v>
      </c>
      <c r="D232" t="s">
        <v>1052</v>
      </c>
      <c r="E232" t="s">
        <v>218</v>
      </c>
      <c r="F232" t="s">
        <v>585</v>
      </c>
      <c r="G232" s="30">
        <v>46148</v>
      </c>
      <c r="H232" t="s">
        <v>1053</v>
      </c>
      <c r="I232">
        <v>1134652.75</v>
      </c>
      <c r="J232" s="123">
        <v>0</v>
      </c>
      <c r="K232" s="123">
        <v>0</v>
      </c>
      <c r="L232" s="123">
        <v>46127</v>
      </c>
      <c r="M232">
        <v>0</v>
      </c>
      <c r="N232">
        <v>0</v>
      </c>
      <c r="O232">
        <v>0</v>
      </c>
      <c r="P232" s="216">
        <v>28000</v>
      </c>
      <c r="Q232" s="217" t="s">
        <v>13</v>
      </c>
      <c r="R232" s="217" t="s">
        <v>61</v>
      </c>
      <c r="S232" s="218">
        <v>0.65868850609015572</v>
      </c>
      <c r="T232" t="s">
        <v>550</v>
      </c>
      <c r="U232" t="s">
        <v>51</v>
      </c>
      <c r="V232" s="219">
        <v>0</v>
      </c>
      <c r="W232" s="219">
        <v>0</v>
      </c>
    </row>
    <row r="233" spans="1:23" ht="15" customHeight="1" x14ac:dyDescent="0.25">
      <c r="A233" t="s">
        <v>1054</v>
      </c>
      <c r="B233" t="s">
        <v>595</v>
      </c>
      <c r="C233">
        <v>193986</v>
      </c>
      <c r="D233" t="s">
        <v>1055</v>
      </c>
      <c r="E233" t="s">
        <v>218</v>
      </c>
      <c r="F233" t="s">
        <v>554</v>
      </c>
      <c r="G233" s="30">
        <v>46143</v>
      </c>
      <c r="H233" t="s">
        <v>1056</v>
      </c>
      <c r="I233">
        <v>1578076.5</v>
      </c>
      <c r="J233" s="123">
        <v>0</v>
      </c>
      <c r="K233" s="123">
        <v>0</v>
      </c>
      <c r="L233" s="123">
        <v>46140</v>
      </c>
      <c r="M233">
        <v>0</v>
      </c>
      <c r="N233">
        <v>0</v>
      </c>
      <c r="O233">
        <v>0</v>
      </c>
      <c r="P233" s="216">
        <v>193986</v>
      </c>
      <c r="Q233" s="217" t="s">
        <v>13</v>
      </c>
      <c r="R233" s="217" t="s">
        <v>554</v>
      </c>
      <c r="S233" s="218">
        <v>0.62430769809991948</v>
      </c>
      <c r="T233" t="s">
        <v>550</v>
      </c>
      <c r="U233" t="s">
        <v>51</v>
      </c>
      <c r="V233" s="219">
        <v>0</v>
      </c>
      <c r="W233" s="219" t="s">
        <v>72</v>
      </c>
    </row>
    <row r="234" spans="1:23" ht="15" customHeight="1" x14ac:dyDescent="0.25">
      <c r="A234" t="s">
        <v>1057</v>
      </c>
      <c r="B234" t="s">
        <v>595</v>
      </c>
      <c r="C234">
        <v>53900</v>
      </c>
      <c r="D234" t="s">
        <v>1055</v>
      </c>
      <c r="E234" t="s">
        <v>218</v>
      </c>
      <c r="F234" t="s">
        <v>585</v>
      </c>
      <c r="G234" s="30">
        <v>46143</v>
      </c>
      <c r="H234" t="s">
        <v>1056</v>
      </c>
      <c r="I234">
        <v>1578076.5</v>
      </c>
      <c r="J234" s="123">
        <v>0</v>
      </c>
      <c r="K234" s="123">
        <v>0</v>
      </c>
      <c r="L234" s="123">
        <v>46170</v>
      </c>
      <c r="M234">
        <v>0</v>
      </c>
      <c r="N234">
        <v>0</v>
      </c>
      <c r="O234">
        <v>0</v>
      </c>
      <c r="P234" s="216">
        <v>53900</v>
      </c>
      <c r="Q234" s="217" t="s">
        <v>13</v>
      </c>
      <c r="R234" s="217" t="s">
        <v>61</v>
      </c>
      <c r="S234" s="218">
        <v>0.62430769809991948</v>
      </c>
      <c r="T234" t="s">
        <v>550</v>
      </c>
      <c r="U234" t="s">
        <v>51</v>
      </c>
      <c r="V234" s="219">
        <v>0</v>
      </c>
      <c r="W234" s="219">
        <v>0</v>
      </c>
    </row>
    <row r="235" spans="1:23" ht="15" customHeight="1" x14ac:dyDescent="0.25">
      <c r="A235" t="s">
        <v>1058</v>
      </c>
      <c r="B235" t="s">
        <v>575</v>
      </c>
      <c r="C235">
        <v>48000</v>
      </c>
      <c r="D235" t="s">
        <v>1059</v>
      </c>
      <c r="E235" t="s">
        <v>163</v>
      </c>
      <c r="F235" t="s">
        <v>554</v>
      </c>
      <c r="G235" s="30">
        <v>46143</v>
      </c>
      <c r="H235" t="s">
        <v>1060</v>
      </c>
      <c r="I235">
        <v>1327768.75</v>
      </c>
      <c r="J235" s="123">
        <v>0</v>
      </c>
      <c r="K235" s="123">
        <v>0</v>
      </c>
      <c r="L235" s="123">
        <v>46139</v>
      </c>
      <c r="M235">
        <v>0</v>
      </c>
      <c r="N235">
        <v>0</v>
      </c>
      <c r="O235">
        <v>0</v>
      </c>
      <c r="P235" s="216">
        <v>48000</v>
      </c>
      <c r="Q235" s="217" t="s">
        <v>15</v>
      </c>
      <c r="R235" s="217" t="s">
        <v>554</v>
      </c>
      <c r="S235" s="218">
        <v>0.7500055474339451</v>
      </c>
      <c r="T235" t="s">
        <v>550</v>
      </c>
      <c r="U235" t="s">
        <v>51</v>
      </c>
      <c r="V235" s="219" t="s">
        <v>5960</v>
      </c>
      <c r="W235" s="219" t="s">
        <v>67</v>
      </c>
    </row>
    <row r="236" spans="1:23" ht="15" customHeight="1" x14ac:dyDescent="0.25">
      <c r="A236" t="s">
        <v>1061</v>
      </c>
      <c r="B236" t="s">
        <v>546</v>
      </c>
      <c r="C236">
        <v>111001</v>
      </c>
      <c r="D236" t="s">
        <v>1062</v>
      </c>
      <c r="E236" t="s">
        <v>163</v>
      </c>
      <c r="F236" t="s">
        <v>554</v>
      </c>
      <c r="G236" s="30">
        <v>46143</v>
      </c>
      <c r="H236" t="s">
        <v>1063</v>
      </c>
      <c r="I236">
        <v>1108338</v>
      </c>
      <c r="J236" s="123">
        <v>0</v>
      </c>
      <c r="K236" s="123">
        <v>0</v>
      </c>
      <c r="L236" s="123">
        <v>0</v>
      </c>
      <c r="M236">
        <v>0</v>
      </c>
      <c r="N236">
        <v>0</v>
      </c>
      <c r="O236">
        <v>0</v>
      </c>
      <c r="P236" s="216">
        <v>111001</v>
      </c>
      <c r="Q236" s="217" t="s">
        <v>15</v>
      </c>
      <c r="R236" s="217" t="s">
        <v>554</v>
      </c>
      <c r="S236" s="218">
        <v>0.80094666480182319</v>
      </c>
      <c r="T236" t="s">
        <v>550</v>
      </c>
      <c r="U236" t="s">
        <v>51</v>
      </c>
      <c r="V236" s="219" t="s">
        <v>5961</v>
      </c>
      <c r="W236" s="219" t="s">
        <v>67</v>
      </c>
    </row>
    <row r="237" spans="1:23" ht="15" customHeight="1" x14ac:dyDescent="0.25">
      <c r="A237" t="s">
        <v>1064</v>
      </c>
      <c r="B237" t="s">
        <v>595</v>
      </c>
      <c r="C237">
        <v>141781</v>
      </c>
      <c r="D237" t="s">
        <v>1065</v>
      </c>
      <c r="E237" t="s">
        <v>218</v>
      </c>
      <c r="F237" t="s">
        <v>554</v>
      </c>
      <c r="G237" s="30">
        <v>46148</v>
      </c>
      <c r="H237" t="s">
        <v>1066</v>
      </c>
      <c r="I237">
        <v>1134229.25</v>
      </c>
      <c r="J237" s="123">
        <v>0</v>
      </c>
      <c r="K237" s="123">
        <v>0</v>
      </c>
      <c r="L237" s="123">
        <v>46136</v>
      </c>
      <c r="M237">
        <v>0</v>
      </c>
      <c r="N237">
        <v>0</v>
      </c>
      <c r="O237">
        <v>0</v>
      </c>
      <c r="P237" s="216">
        <v>141781</v>
      </c>
      <c r="Q237" s="217" t="s">
        <v>13</v>
      </c>
      <c r="R237" s="217" t="s">
        <v>554</v>
      </c>
      <c r="S237" s="218">
        <v>0.62500060612819852</v>
      </c>
      <c r="T237" t="s">
        <v>550</v>
      </c>
      <c r="U237" t="s">
        <v>51</v>
      </c>
      <c r="V237" s="219">
        <v>0</v>
      </c>
      <c r="W237" s="219" t="s">
        <v>72</v>
      </c>
    </row>
    <row r="238" spans="1:23" ht="15" customHeight="1" x14ac:dyDescent="0.25">
      <c r="A238" t="s">
        <v>1067</v>
      </c>
      <c r="B238" t="s">
        <v>546</v>
      </c>
      <c r="C238">
        <v>99459</v>
      </c>
      <c r="D238" t="s">
        <v>1068</v>
      </c>
      <c r="E238" t="s">
        <v>163</v>
      </c>
      <c r="F238" t="s">
        <v>554</v>
      </c>
      <c r="G238" s="30">
        <v>46143</v>
      </c>
      <c r="H238" t="s">
        <v>1069</v>
      </c>
      <c r="I238">
        <v>994994</v>
      </c>
      <c r="J238" s="123">
        <v>0</v>
      </c>
      <c r="K238" s="123">
        <v>0</v>
      </c>
      <c r="L238" s="123">
        <v>0</v>
      </c>
      <c r="M238">
        <v>0</v>
      </c>
      <c r="N238">
        <v>0</v>
      </c>
      <c r="O238">
        <v>0</v>
      </c>
      <c r="P238" s="216">
        <v>99459</v>
      </c>
      <c r="Q238" s="217" t="s">
        <v>15</v>
      </c>
      <c r="R238" s="217" t="s">
        <v>554</v>
      </c>
      <c r="S238" s="218">
        <v>0.80053710587707139</v>
      </c>
      <c r="T238" t="s">
        <v>550</v>
      </c>
      <c r="U238" t="s">
        <v>51</v>
      </c>
      <c r="V238" s="219" t="s">
        <v>5962</v>
      </c>
      <c r="W238" s="219" t="s">
        <v>67</v>
      </c>
    </row>
    <row r="239" spans="1:23" ht="15" customHeight="1" x14ac:dyDescent="0.25">
      <c r="A239" t="s">
        <v>1070</v>
      </c>
      <c r="B239" t="s">
        <v>575</v>
      </c>
      <c r="C239">
        <v>142195</v>
      </c>
      <c r="D239" t="s">
        <v>1071</v>
      </c>
      <c r="E239" t="s">
        <v>163</v>
      </c>
      <c r="F239" t="s">
        <v>554</v>
      </c>
      <c r="G239" s="30">
        <v>46148</v>
      </c>
      <c r="H239" t="s">
        <v>1072</v>
      </c>
      <c r="I239">
        <v>1141698.25</v>
      </c>
      <c r="J239" s="123">
        <v>0</v>
      </c>
      <c r="K239" s="123">
        <v>0</v>
      </c>
      <c r="L239" s="123">
        <v>46147</v>
      </c>
      <c r="M239">
        <v>0</v>
      </c>
      <c r="N239">
        <v>0</v>
      </c>
      <c r="O239">
        <v>0</v>
      </c>
      <c r="P239" s="216">
        <v>142195</v>
      </c>
      <c r="Q239" s="217" t="s">
        <v>15</v>
      </c>
      <c r="R239" s="217" t="s">
        <v>554</v>
      </c>
      <c r="S239" s="218">
        <v>0.75219987174297254</v>
      </c>
      <c r="T239" t="s">
        <v>550</v>
      </c>
      <c r="U239" t="s">
        <v>51</v>
      </c>
      <c r="V239" s="219" t="s">
        <v>5963</v>
      </c>
      <c r="W239" s="219" t="s">
        <v>67</v>
      </c>
    </row>
    <row r="240" spans="1:23" ht="15" customHeight="1" x14ac:dyDescent="0.25">
      <c r="A240" t="s">
        <v>1073</v>
      </c>
      <c r="B240" t="s">
        <v>575</v>
      </c>
      <c r="C240">
        <v>194490</v>
      </c>
      <c r="D240" t="s">
        <v>1074</v>
      </c>
      <c r="E240" t="s">
        <v>163</v>
      </c>
      <c r="F240" t="s">
        <v>554</v>
      </c>
      <c r="G240" s="30">
        <v>46146</v>
      </c>
      <c r="H240" t="s">
        <v>1075</v>
      </c>
      <c r="I240">
        <v>1555688.75</v>
      </c>
      <c r="J240" s="123">
        <v>0</v>
      </c>
      <c r="K240" s="123">
        <v>0</v>
      </c>
      <c r="L240" s="123">
        <v>46142</v>
      </c>
      <c r="M240">
        <v>0</v>
      </c>
      <c r="N240">
        <v>0</v>
      </c>
      <c r="O240">
        <v>0</v>
      </c>
      <c r="P240" s="216">
        <v>194490</v>
      </c>
      <c r="Q240" s="217" t="s">
        <v>15</v>
      </c>
      <c r="R240" s="217" t="s">
        <v>554</v>
      </c>
      <c r="S240" s="218">
        <v>0.75000010765336711</v>
      </c>
      <c r="T240" t="s">
        <v>550</v>
      </c>
      <c r="U240" t="s">
        <v>51</v>
      </c>
      <c r="V240" s="219" t="s">
        <v>5964</v>
      </c>
      <c r="W240" s="219" t="s">
        <v>67</v>
      </c>
    </row>
    <row r="241" spans="1:23" ht="15" customHeight="1" x14ac:dyDescent="0.25">
      <c r="A241" t="s">
        <v>1076</v>
      </c>
      <c r="B241" t="s">
        <v>668</v>
      </c>
      <c r="C241">
        <v>6400</v>
      </c>
      <c r="D241" t="s">
        <v>1077</v>
      </c>
      <c r="E241" t="s">
        <v>163</v>
      </c>
      <c r="F241" t="s">
        <v>554</v>
      </c>
      <c r="G241" s="30">
        <v>46146</v>
      </c>
      <c r="H241" t="s">
        <v>1078</v>
      </c>
      <c r="I241">
        <v>998940.25</v>
      </c>
      <c r="J241" s="123">
        <v>46143</v>
      </c>
      <c r="K241" s="123">
        <v>0</v>
      </c>
      <c r="L241" s="123">
        <v>46143</v>
      </c>
      <c r="M241">
        <v>0</v>
      </c>
      <c r="N241">
        <v>0</v>
      </c>
      <c r="O241">
        <v>0</v>
      </c>
      <c r="P241" s="216">
        <v>6400</v>
      </c>
      <c r="Q241" s="217" t="s">
        <v>15</v>
      </c>
      <c r="R241" s="217" t="s">
        <v>554</v>
      </c>
      <c r="S241" s="218">
        <v>0.75008558923318203</v>
      </c>
      <c r="T241" t="s">
        <v>550</v>
      </c>
      <c r="U241" t="s">
        <v>51</v>
      </c>
      <c r="V241" s="219" t="s">
        <v>5965</v>
      </c>
      <c r="W241" s="219" t="s">
        <v>67</v>
      </c>
    </row>
    <row r="242" spans="1:23" ht="15" customHeight="1" x14ac:dyDescent="0.25">
      <c r="A242" t="s">
        <v>1079</v>
      </c>
      <c r="B242" t="s">
        <v>575</v>
      </c>
      <c r="C242">
        <v>79342</v>
      </c>
      <c r="D242" t="s">
        <v>1080</v>
      </c>
      <c r="E242" t="s">
        <v>163</v>
      </c>
      <c r="F242" t="s">
        <v>585</v>
      </c>
      <c r="G242" s="30">
        <v>46147</v>
      </c>
      <c r="H242" t="s">
        <v>1081</v>
      </c>
      <c r="I242">
        <v>1000595.75</v>
      </c>
      <c r="J242" s="123">
        <v>0</v>
      </c>
      <c r="K242" s="123">
        <v>0</v>
      </c>
      <c r="L242" s="123">
        <v>46143</v>
      </c>
      <c r="M242">
        <v>0</v>
      </c>
      <c r="N242">
        <v>0</v>
      </c>
      <c r="O242">
        <v>0</v>
      </c>
      <c r="P242" s="216">
        <v>79342</v>
      </c>
      <c r="Q242" s="217" t="s">
        <v>15</v>
      </c>
      <c r="R242" s="217" t="s">
        <v>61</v>
      </c>
      <c r="S242" s="218">
        <v>0.62499994624891153</v>
      </c>
      <c r="T242" t="s">
        <v>550</v>
      </c>
      <c r="U242" t="s">
        <v>51</v>
      </c>
      <c r="V242" s="219">
        <v>0</v>
      </c>
      <c r="W242" s="219">
        <v>0</v>
      </c>
    </row>
    <row r="243" spans="1:23" ht="15" customHeight="1" x14ac:dyDescent="0.25">
      <c r="A243" t="s">
        <v>1082</v>
      </c>
      <c r="B243" t="s">
        <v>546</v>
      </c>
      <c r="C243">
        <v>147859</v>
      </c>
      <c r="D243" t="s">
        <v>1083</v>
      </c>
      <c r="E243" t="s">
        <v>553</v>
      </c>
      <c r="F243" t="s">
        <v>554</v>
      </c>
      <c r="G243" s="30">
        <v>46144</v>
      </c>
      <c r="H243" t="s">
        <v>1084</v>
      </c>
      <c r="I243">
        <v>1327557</v>
      </c>
      <c r="J243" s="123">
        <v>46144</v>
      </c>
      <c r="K243" s="123">
        <v>0</v>
      </c>
      <c r="L243" s="123">
        <v>46144</v>
      </c>
      <c r="M243">
        <v>0</v>
      </c>
      <c r="N243">
        <v>0</v>
      </c>
      <c r="O243" t="s">
        <v>556</v>
      </c>
      <c r="P243" s="216">
        <v>147859</v>
      </c>
      <c r="Q243" s="217" t="s">
        <v>15</v>
      </c>
      <c r="R243" s="217" t="s">
        <v>554</v>
      </c>
      <c r="S243" s="218">
        <v>0.74999985345788667</v>
      </c>
      <c r="T243" t="s">
        <v>550</v>
      </c>
      <c r="U243" t="s">
        <v>51</v>
      </c>
      <c r="V243" s="219" t="s">
        <v>5966</v>
      </c>
      <c r="W243" s="219" t="s">
        <v>67</v>
      </c>
    </row>
    <row r="244" spans="1:23" ht="15" customHeight="1" x14ac:dyDescent="0.25">
      <c r="A244" t="s">
        <v>1085</v>
      </c>
      <c r="B244" t="s">
        <v>546</v>
      </c>
      <c r="C244">
        <v>18473</v>
      </c>
      <c r="D244" t="s">
        <v>1083</v>
      </c>
      <c r="E244" t="s">
        <v>553</v>
      </c>
      <c r="F244" t="s">
        <v>554</v>
      </c>
      <c r="G244" s="30">
        <v>46146</v>
      </c>
      <c r="H244" t="s">
        <v>1084</v>
      </c>
      <c r="I244">
        <v>1327557</v>
      </c>
      <c r="J244" s="123">
        <v>46146</v>
      </c>
      <c r="K244" s="123">
        <v>0</v>
      </c>
      <c r="L244" s="123">
        <v>46146</v>
      </c>
      <c r="M244">
        <v>0</v>
      </c>
      <c r="N244">
        <v>0</v>
      </c>
      <c r="O244" t="s">
        <v>556</v>
      </c>
      <c r="P244" s="216">
        <v>18473</v>
      </c>
      <c r="Q244" s="217" t="s">
        <v>15</v>
      </c>
      <c r="R244" s="217" t="s">
        <v>554</v>
      </c>
      <c r="S244" s="218">
        <v>0.74999985345788667</v>
      </c>
      <c r="T244" t="s">
        <v>550</v>
      </c>
      <c r="U244" t="s">
        <v>51</v>
      </c>
      <c r="V244" s="219" t="s">
        <v>5967</v>
      </c>
      <c r="W244" s="219" t="s">
        <v>67</v>
      </c>
    </row>
    <row r="245" spans="1:23" ht="15" customHeight="1" x14ac:dyDescent="0.25">
      <c r="A245" t="s">
        <v>1086</v>
      </c>
      <c r="B245" t="s">
        <v>546</v>
      </c>
      <c r="C245">
        <v>166333.57</v>
      </c>
      <c r="D245" t="s">
        <v>1083</v>
      </c>
      <c r="E245" t="s">
        <v>553</v>
      </c>
      <c r="F245" t="s">
        <v>548</v>
      </c>
      <c r="G245" s="30">
        <v>46146</v>
      </c>
      <c r="H245" t="s">
        <v>1084</v>
      </c>
      <c r="I245">
        <v>1327557</v>
      </c>
      <c r="J245" s="123">
        <v>46146</v>
      </c>
      <c r="K245" s="123">
        <v>0</v>
      </c>
      <c r="L245" s="123">
        <v>46146</v>
      </c>
      <c r="M245">
        <v>0</v>
      </c>
      <c r="N245">
        <v>0</v>
      </c>
      <c r="O245" t="s">
        <v>556</v>
      </c>
      <c r="P245" s="216">
        <v>166333.57</v>
      </c>
      <c r="Q245" s="217" t="s">
        <v>15</v>
      </c>
      <c r="R245" s="217" t="s">
        <v>62</v>
      </c>
      <c r="S245" s="218">
        <v>0.74999985345788667</v>
      </c>
      <c r="T245" t="s">
        <v>550</v>
      </c>
      <c r="U245" t="s">
        <v>51</v>
      </c>
      <c r="V245" s="219">
        <v>0</v>
      </c>
      <c r="W245" s="219">
        <v>0</v>
      </c>
    </row>
    <row r="246" spans="1:23" ht="15" customHeight="1" x14ac:dyDescent="0.25">
      <c r="A246" t="s">
        <v>1087</v>
      </c>
      <c r="B246" t="s">
        <v>575</v>
      </c>
      <c r="C246">
        <v>253568</v>
      </c>
      <c r="D246" t="s">
        <v>1088</v>
      </c>
      <c r="E246" t="s">
        <v>163</v>
      </c>
      <c r="F246" t="s">
        <v>554</v>
      </c>
      <c r="G246" s="30">
        <v>46146</v>
      </c>
      <c r="H246" t="s">
        <v>1089</v>
      </c>
      <c r="I246">
        <v>2033108</v>
      </c>
      <c r="J246" s="123">
        <v>0</v>
      </c>
      <c r="K246" s="123">
        <v>0</v>
      </c>
      <c r="L246" s="123">
        <v>46139</v>
      </c>
      <c r="M246">
        <v>0</v>
      </c>
      <c r="N246">
        <v>0</v>
      </c>
      <c r="O246">
        <v>0</v>
      </c>
      <c r="P246" s="216">
        <v>253568</v>
      </c>
      <c r="Q246" s="217" t="s">
        <v>15</v>
      </c>
      <c r="R246" s="217" t="s">
        <v>554</v>
      </c>
      <c r="S246" s="218">
        <v>0.75388103521944227</v>
      </c>
      <c r="T246" t="s">
        <v>550</v>
      </c>
      <c r="U246" t="s">
        <v>51</v>
      </c>
      <c r="V246" s="219" t="s">
        <v>5968</v>
      </c>
      <c r="W246" s="219" t="s">
        <v>67</v>
      </c>
    </row>
    <row r="247" spans="1:23" ht="15" customHeight="1" x14ac:dyDescent="0.25">
      <c r="A247" t="s">
        <v>1090</v>
      </c>
      <c r="B247" t="s">
        <v>575</v>
      </c>
      <c r="C247">
        <v>123029</v>
      </c>
      <c r="D247" t="s">
        <v>1091</v>
      </c>
      <c r="E247" t="s">
        <v>163</v>
      </c>
      <c r="F247" t="s">
        <v>554</v>
      </c>
      <c r="G247" s="30">
        <v>46146</v>
      </c>
      <c r="H247" t="s">
        <v>1092</v>
      </c>
      <c r="I247">
        <v>978419.75</v>
      </c>
      <c r="J247" s="123">
        <v>0</v>
      </c>
      <c r="K247" s="123">
        <v>0</v>
      </c>
      <c r="L247" s="123">
        <v>46139</v>
      </c>
      <c r="M247">
        <v>0</v>
      </c>
      <c r="N247">
        <v>0</v>
      </c>
      <c r="O247">
        <v>0</v>
      </c>
      <c r="P247" s="216">
        <v>123029</v>
      </c>
      <c r="Q247" s="217" t="s">
        <v>15</v>
      </c>
      <c r="R247" s="217" t="s">
        <v>554</v>
      </c>
      <c r="S247" s="218">
        <v>0.75205343855229434</v>
      </c>
      <c r="T247" t="s">
        <v>550</v>
      </c>
      <c r="U247" t="s">
        <v>51</v>
      </c>
      <c r="V247" s="219" t="s">
        <v>5969</v>
      </c>
      <c r="W247" s="219" t="s">
        <v>67</v>
      </c>
    </row>
    <row r="248" spans="1:23" ht="15" customHeight="1" x14ac:dyDescent="0.25">
      <c r="A248" t="s">
        <v>1093</v>
      </c>
      <c r="B248" t="s">
        <v>595</v>
      </c>
      <c r="C248">
        <v>142508</v>
      </c>
      <c r="D248" t="s">
        <v>1094</v>
      </c>
      <c r="E248" t="s">
        <v>218</v>
      </c>
      <c r="F248" t="s">
        <v>580</v>
      </c>
      <c r="G248" s="30">
        <v>46148</v>
      </c>
      <c r="H248" t="s">
        <v>1095</v>
      </c>
      <c r="I248">
        <v>1143353.75</v>
      </c>
      <c r="J248" s="123">
        <v>0</v>
      </c>
      <c r="K248" s="123">
        <v>0</v>
      </c>
      <c r="L248" s="123">
        <v>46134</v>
      </c>
      <c r="M248">
        <v>0</v>
      </c>
      <c r="N248">
        <v>0</v>
      </c>
      <c r="O248">
        <v>0</v>
      </c>
      <c r="P248" s="216">
        <v>142508</v>
      </c>
      <c r="Q248" s="217" t="s">
        <v>13</v>
      </c>
      <c r="R248" s="217" t="s">
        <v>582</v>
      </c>
      <c r="S248" s="218">
        <v>0.6249996929991527</v>
      </c>
      <c r="T248" t="s">
        <v>550</v>
      </c>
      <c r="U248" t="s">
        <v>51</v>
      </c>
      <c r="V248" s="219">
        <v>0</v>
      </c>
      <c r="W248" s="219">
        <v>0</v>
      </c>
    </row>
    <row r="249" spans="1:23" ht="15" customHeight="1" x14ac:dyDescent="0.25">
      <c r="A249" t="s">
        <v>1096</v>
      </c>
      <c r="B249" t="s">
        <v>575</v>
      </c>
      <c r="C249">
        <v>253568</v>
      </c>
      <c r="D249" t="s">
        <v>1097</v>
      </c>
      <c r="E249" t="s">
        <v>163</v>
      </c>
      <c r="F249" t="s">
        <v>554</v>
      </c>
      <c r="G249" s="30">
        <v>46148</v>
      </c>
      <c r="H249" t="s">
        <v>1098</v>
      </c>
      <c r="I249">
        <v>2033512.25</v>
      </c>
      <c r="J249" s="123">
        <v>0</v>
      </c>
      <c r="K249" s="123">
        <v>0</v>
      </c>
      <c r="L249" s="123">
        <v>46147</v>
      </c>
      <c r="M249">
        <v>0</v>
      </c>
      <c r="N249">
        <v>0</v>
      </c>
      <c r="O249">
        <v>0</v>
      </c>
      <c r="P249" s="216">
        <v>253568</v>
      </c>
      <c r="Q249" s="217" t="s">
        <v>15</v>
      </c>
      <c r="R249" s="217" t="s">
        <v>554</v>
      </c>
      <c r="S249" s="218">
        <v>0.75124338704217053</v>
      </c>
      <c r="T249" t="s">
        <v>550</v>
      </c>
      <c r="U249" t="s">
        <v>51</v>
      </c>
      <c r="V249" s="219" t="s">
        <v>5970</v>
      </c>
      <c r="W249" s="219" t="s">
        <v>67</v>
      </c>
    </row>
    <row r="250" spans="1:23" ht="15" customHeight="1" x14ac:dyDescent="0.25">
      <c r="A250" t="s">
        <v>1099</v>
      </c>
      <c r="B250" t="s">
        <v>575</v>
      </c>
      <c r="C250">
        <v>142635</v>
      </c>
      <c r="D250" t="s">
        <v>1100</v>
      </c>
      <c r="E250" t="s">
        <v>163</v>
      </c>
      <c r="F250" t="s">
        <v>580</v>
      </c>
      <c r="G250" s="30">
        <v>46149</v>
      </c>
      <c r="H250" t="s">
        <v>1101</v>
      </c>
      <c r="I250">
        <v>1144393.25</v>
      </c>
      <c r="J250" s="123">
        <v>0</v>
      </c>
      <c r="K250" s="123">
        <v>0</v>
      </c>
      <c r="L250" s="123">
        <v>46148</v>
      </c>
      <c r="M250">
        <v>0</v>
      </c>
      <c r="N250">
        <v>0</v>
      </c>
      <c r="O250">
        <v>0</v>
      </c>
      <c r="P250" s="216">
        <v>142635</v>
      </c>
      <c r="Q250" s="217" t="s">
        <v>15</v>
      </c>
      <c r="R250" s="217" t="s">
        <v>582</v>
      </c>
      <c r="S250" s="218">
        <v>0.62500055539379396</v>
      </c>
      <c r="T250" t="s">
        <v>550</v>
      </c>
      <c r="U250" t="s">
        <v>51</v>
      </c>
      <c r="V250" s="219">
        <v>0</v>
      </c>
      <c r="W250" s="219">
        <v>0</v>
      </c>
    </row>
    <row r="251" spans="1:23" ht="15" customHeight="1" x14ac:dyDescent="0.25">
      <c r="A251" t="s">
        <v>1102</v>
      </c>
      <c r="B251" t="s">
        <v>595</v>
      </c>
      <c r="C251">
        <v>33100</v>
      </c>
      <c r="D251" t="s">
        <v>1103</v>
      </c>
      <c r="E251" t="s">
        <v>163</v>
      </c>
      <c r="F251" t="s">
        <v>580</v>
      </c>
      <c r="G251" s="30">
        <v>46149</v>
      </c>
      <c r="H251" t="s">
        <v>1104</v>
      </c>
      <c r="I251">
        <v>1142949.5</v>
      </c>
      <c r="J251" s="123">
        <v>0</v>
      </c>
      <c r="K251" s="123">
        <v>0</v>
      </c>
      <c r="L251" s="123">
        <v>46148</v>
      </c>
      <c r="M251">
        <v>0</v>
      </c>
      <c r="N251">
        <v>0</v>
      </c>
      <c r="O251">
        <v>0</v>
      </c>
      <c r="P251" s="216">
        <v>33100</v>
      </c>
      <c r="Q251" s="217" t="s">
        <v>15</v>
      </c>
      <c r="R251" s="217" t="s">
        <v>582</v>
      </c>
      <c r="S251" s="218">
        <v>0.62089502149883069</v>
      </c>
      <c r="T251" t="s">
        <v>550</v>
      </c>
      <c r="U251" t="s">
        <v>51</v>
      </c>
      <c r="V251" s="219">
        <v>0</v>
      </c>
      <c r="W251" s="219">
        <v>0</v>
      </c>
    </row>
    <row r="252" spans="1:23" ht="15" customHeight="1" x14ac:dyDescent="0.25">
      <c r="A252" t="s">
        <v>1105</v>
      </c>
      <c r="B252" t="s">
        <v>595</v>
      </c>
      <c r="C252">
        <v>252507</v>
      </c>
      <c r="D252" t="s">
        <v>1106</v>
      </c>
      <c r="E252" t="s">
        <v>218</v>
      </c>
      <c r="F252" t="s">
        <v>585</v>
      </c>
      <c r="G252" s="30">
        <v>46148</v>
      </c>
      <c r="H252" t="s">
        <v>1107</v>
      </c>
      <c r="I252">
        <v>2015898.5</v>
      </c>
      <c r="J252" s="123">
        <v>0</v>
      </c>
      <c r="K252" s="123">
        <v>0</v>
      </c>
      <c r="L252" s="123">
        <v>46135</v>
      </c>
      <c r="M252">
        <v>0</v>
      </c>
      <c r="N252">
        <v>0</v>
      </c>
      <c r="O252">
        <v>0</v>
      </c>
      <c r="P252" s="216">
        <v>252507</v>
      </c>
      <c r="Q252" s="217" t="s">
        <v>13</v>
      </c>
      <c r="R252" s="217" t="s">
        <v>61</v>
      </c>
      <c r="S252" s="218">
        <v>0.62453976906091491</v>
      </c>
      <c r="T252" t="s">
        <v>550</v>
      </c>
      <c r="U252" t="s">
        <v>51</v>
      </c>
      <c r="V252" s="219">
        <v>0</v>
      </c>
      <c r="W252" s="219">
        <v>0</v>
      </c>
    </row>
    <row r="253" spans="1:23" ht="15" customHeight="1" x14ac:dyDescent="0.25">
      <c r="A253" t="s">
        <v>1108</v>
      </c>
      <c r="B253" t="s">
        <v>575</v>
      </c>
      <c r="C253">
        <v>253568.22</v>
      </c>
      <c r="D253" t="s">
        <v>1109</v>
      </c>
      <c r="E253" t="s">
        <v>163</v>
      </c>
      <c r="F253" t="s">
        <v>554</v>
      </c>
      <c r="G253" s="30">
        <v>46146</v>
      </c>
      <c r="H253" t="s">
        <v>1110</v>
      </c>
      <c r="I253">
        <v>2033108</v>
      </c>
      <c r="J253" s="123">
        <v>0</v>
      </c>
      <c r="K253" s="123">
        <v>0</v>
      </c>
      <c r="L253" s="123">
        <v>46144</v>
      </c>
      <c r="M253">
        <v>0</v>
      </c>
      <c r="N253">
        <v>0</v>
      </c>
      <c r="O253">
        <v>0</v>
      </c>
      <c r="P253" s="216">
        <v>253568.22</v>
      </c>
      <c r="Q253" s="217" t="s">
        <v>15</v>
      </c>
      <c r="R253" s="217" t="s">
        <v>554</v>
      </c>
      <c r="S253" s="218">
        <v>0.74999826846399698</v>
      </c>
      <c r="T253" t="s">
        <v>550</v>
      </c>
      <c r="U253" t="s">
        <v>51</v>
      </c>
      <c r="V253" s="219" t="s">
        <v>5971</v>
      </c>
      <c r="W253" s="219" t="s">
        <v>67</v>
      </c>
    </row>
    <row r="254" spans="1:23" ht="15" customHeight="1" x14ac:dyDescent="0.25">
      <c r="A254" t="s">
        <v>1111</v>
      </c>
      <c r="B254" t="s">
        <v>575</v>
      </c>
      <c r="C254">
        <v>252507</v>
      </c>
      <c r="D254" t="s">
        <v>1112</v>
      </c>
      <c r="E254" t="s">
        <v>218</v>
      </c>
      <c r="F254" t="s">
        <v>554</v>
      </c>
      <c r="G254" s="30">
        <v>46143</v>
      </c>
      <c r="H254" t="s">
        <v>1113</v>
      </c>
      <c r="I254">
        <v>2015898.5</v>
      </c>
      <c r="J254" s="123">
        <v>0</v>
      </c>
      <c r="K254" s="123">
        <v>0</v>
      </c>
      <c r="L254" s="123">
        <v>46130</v>
      </c>
      <c r="M254">
        <v>0</v>
      </c>
      <c r="N254">
        <v>0</v>
      </c>
      <c r="O254">
        <v>0</v>
      </c>
      <c r="P254" s="216">
        <v>252507</v>
      </c>
      <c r="Q254" s="217" t="s">
        <v>13</v>
      </c>
      <c r="R254" s="217" t="s">
        <v>554</v>
      </c>
      <c r="S254" s="218">
        <v>0.75000069057474383</v>
      </c>
      <c r="T254" t="s">
        <v>550</v>
      </c>
      <c r="U254" t="s">
        <v>51</v>
      </c>
      <c r="V254" s="219" t="s">
        <v>5972</v>
      </c>
      <c r="W254" s="219" t="s">
        <v>67</v>
      </c>
    </row>
    <row r="255" spans="1:23" ht="15" customHeight="1" x14ac:dyDescent="0.25">
      <c r="A255" t="s">
        <v>1114</v>
      </c>
      <c r="B255" t="s">
        <v>575</v>
      </c>
      <c r="C255">
        <v>166334</v>
      </c>
      <c r="D255" t="s">
        <v>1115</v>
      </c>
      <c r="E255" t="s">
        <v>163</v>
      </c>
      <c r="F255" t="s">
        <v>554</v>
      </c>
      <c r="G255" s="30">
        <v>46146</v>
      </c>
      <c r="H255" t="s">
        <v>1116</v>
      </c>
      <c r="I255">
        <v>1331503.25</v>
      </c>
      <c r="J255" s="123">
        <v>0</v>
      </c>
      <c r="K255" s="123">
        <v>0</v>
      </c>
      <c r="L255" s="123">
        <v>46140</v>
      </c>
      <c r="M255">
        <v>0</v>
      </c>
      <c r="N255">
        <v>0</v>
      </c>
      <c r="O255">
        <v>0</v>
      </c>
      <c r="P255" s="216">
        <v>166334</v>
      </c>
      <c r="Q255" s="217" t="s">
        <v>15</v>
      </c>
      <c r="R255" s="217" t="s">
        <v>554</v>
      </c>
      <c r="S255" s="218">
        <v>0.7499785484890944</v>
      </c>
      <c r="T255" t="s">
        <v>550</v>
      </c>
      <c r="U255" t="s">
        <v>51</v>
      </c>
      <c r="V255" s="219" t="s">
        <v>5973</v>
      </c>
      <c r="W255" s="219" t="s">
        <v>67</v>
      </c>
    </row>
    <row r="256" spans="1:23" ht="15" customHeight="1" x14ac:dyDescent="0.25">
      <c r="A256" t="s">
        <v>1117</v>
      </c>
      <c r="B256" t="s">
        <v>1118</v>
      </c>
      <c r="C256">
        <v>161541</v>
      </c>
      <c r="D256" t="s">
        <v>1119</v>
      </c>
      <c r="E256" t="s">
        <v>163</v>
      </c>
      <c r="F256" t="s">
        <v>585</v>
      </c>
      <c r="G256" s="30">
        <v>46146</v>
      </c>
      <c r="H256" t="s">
        <v>1120</v>
      </c>
      <c r="I256">
        <v>1335430.25</v>
      </c>
      <c r="J256" s="123">
        <v>46143</v>
      </c>
      <c r="K256" s="123">
        <v>0</v>
      </c>
      <c r="L256" s="123">
        <v>0</v>
      </c>
      <c r="M256">
        <v>0</v>
      </c>
      <c r="N256">
        <v>0</v>
      </c>
      <c r="O256">
        <v>0</v>
      </c>
      <c r="P256" s="216">
        <v>161541</v>
      </c>
      <c r="Q256" s="217" t="s">
        <v>15</v>
      </c>
      <c r="R256" s="217" t="s">
        <v>61</v>
      </c>
      <c r="S256" s="218">
        <v>0.62500741932747939</v>
      </c>
      <c r="T256" t="s">
        <v>550</v>
      </c>
      <c r="U256" t="s">
        <v>51</v>
      </c>
      <c r="V256" s="219">
        <v>0</v>
      </c>
      <c r="W256" s="219">
        <v>0</v>
      </c>
    </row>
    <row r="257" spans="1:23" ht="15" customHeight="1" x14ac:dyDescent="0.25">
      <c r="A257" t="s">
        <v>1121</v>
      </c>
      <c r="B257" t="s">
        <v>64</v>
      </c>
      <c r="C257">
        <v>253000</v>
      </c>
      <c r="D257" t="s">
        <v>1122</v>
      </c>
      <c r="E257" t="s">
        <v>163</v>
      </c>
      <c r="F257" t="s">
        <v>580</v>
      </c>
      <c r="G257" s="30">
        <v>46148</v>
      </c>
      <c r="H257" t="s">
        <v>1123</v>
      </c>
      <c r="I257">
        <v>2003674.75</v>
      </c>
      <c r="J257" s="123">
        <v>0</v>
      </c>
      <c r="K257" s="123">
        <v>46147</v>
      </c>
      <c r="L257" s="123">
        <v>0</v>
      </c>
      <c r="M257">
        <v>0</v>
      </c>
      <c r="N257">
        <v>0</v>
      </c>
      <c r="O257" t="s">
        <v>556</v>
      </c>
      <c r="P257" s="216">
        <v>253000</v>
      </c>
      <c r="Q257" s="217" t="s">
        <v>15</v>
      </c>
      <c r="R257" s="217" t="s">
        <v>582</v>
      </c>
      <c r="S257" s="218">
        <v>0.62500022459888682</v>
      </c>
      <c r="T257" t="s">
        <v>550</v>
      </c>
      <c r="U257" t="s">
        <v>51</v>
      </c>
      <c r="V257" s="219">
        <v>0</v>
      </c>
      <c r="W257" s="219">
        <v>0</v>
      </c>
    </row>
    <row r="258" spans="1:23" ht="15" customHeight="1" x14ac:dyDescent="0.25">
      <c r="A258" t="s">
        <v>1124</v>
      </c>
      <c r="B258" t="s">
        <v>64</v>
      </c>
      <c r="C258">
        <v>252533</v>
      </c>
      <c r="D258" t="s">
        <v>1125</v>
      </c>
      <c r="E258" t="s">
        <v>1126</v>
      </c>
      <c r="F258" t="s">
        <v>554</v>
      </c>
      <c r="G258" s="30">
        <v>46143</v>
      </c>
      <c r="H258" t="s">
        <v>1127</v>
      </c>
      <c r="I258">
        <v>2003674.75</v>
      </c>
      <c r="J258" s="123">
        <v>0</v>
      </c>
      <c r="K258" s="123">
        <v>46143</v>
      </c>
      <c r="L258" s="123">
        <v>0</v>
      </c>
      <c r="M258">
        <v>0</v>
      </c>
      <c r="N258">
        <v>0</v>
      </c>
      <c r="O258" t="s">
        <v>556</v>
      </c>
      <c r="P258" s="216">
        <v>252533</v>
      </c>
      <c r="Q258" s="217" t="s">
        <v>15</v>
      </c>
      <c r="R258" s="217" t="s">
        <v>554</v>
      </c>
      <c r="S258" s="218">
        <v>0.75000008538470087</v>
      </c>
      <c r="T258" t="s">
        <v>550</v>
      </c>
      <c r="U258" t="s">
        <v>51</v>
      </c>
      <c r="V258" s="219" t="s">
        <v>5974</v>
      </c>
      <c r="W258" s="219" t="s">
        <v>67</v>
      </c>
    </row>
    <row r="259" spans="1:23" ht="15" customHeight="1" x14ac:dyDescent="0.25">
      <c r="A259" t="s">
        <v>1128</v>
      </c>
      <c r="B259" t="s">
        <v>546</v>
      </c>
      <c r="C259">
        <v>45000</v>
      </c>
      <c r="D259" t="s">
        <v>1129</v>
      </c>
      <c r="E259" t="s">
        <v>163</v>
      </c>
      <c r="F259" t="s">
        <v>548</v>
      </c>
      <c r="G259" s="30">
        <v>46148</v>
      </c>
      <c r="H259" t="s">
        <v>1130</v>
      </c>
      <c r="I259">
        <v>1002039.5</v>
      </c>
      <c r="J259" s="123">
        <v>0</v>
      </c>
      <c r="K259" s="123">
        <v>0</v>
      </c>
      <c r="L259" s="123">
        <v>0</v>
      </c>
      <c r="M259">
        <v>0</v>
      </c>
      <c r="N259">
        <v>0</v>
      </c>
      <c r="O259">
        <v>0</v>
      </c>
      <c r="P259" s="216">
        <v>45000</v>
      </c>
      <c r="Q259" s="217" t="s">
        <v>15</v>
      </c>
      <c r="R259" s="217" t="s">
        <v>62</v>
      </c>
      <c r="S259" s="218">
        <v>0.62501065646579346</v>
      </c>
      <c r="T259" t="s">
        <v>550</v>
      </c>
      <c r="U259" t="s">
        <v>51</v>
      </c>
      <c r="V259" s="219">
        <v>0</v>
      </c>
      <c r="W259" s="219">
        <v>0</v>
      </c>
    </row>
    <row r="260" spans="1:23" ht="15" customHeight="1" x14ac:dyDescent="0.25">
      <c r="A260" t="s">
        <v>1131</v>
      </c>
      <c r="B260" t="s">
        <v>546</v>
      </c>
      <c r="C260">
        <v>40000</v>
      </c>
      <c r="D260" t="s">
        <v>1129</v>
      </c>
      <c r="E260" t="s">
        <v>163</v>
      </c>
      <c r="F260" t="s">
        <v>548</v>
      </c>
      <c r="G260" s="30">
        <v>46148</v>
      </c>
      <c r="H260" t="s">
        <v>1130</v>
      </c>
      <c r="I260">
        <v>1002039.5</v>
      </c>
      <c r="J260" s="123">
        <v>0</v>
      </c>
      <c r="K260" s="123">
        <v>0</v>
      </c>
      <c r="L260" s="123">
        <v>0</v>
      </c>
      <c r="M260">
        <v>0</v>
      </c>
      <c r="N260">
        <v>0</v>
      </c>
      <c r="O260">
        <v>0</v>
      </c>
      <c r="P260" s="216">
        <v>40000</v>
      </c>
      <c r="Q260" s="217" t="s">
        <v>15</v>
      </c>
      <c r="R260" s="217" t="s">
        <v>62</v>
      </c>
      <c r="S260" s="218">
        <v>0.62501065646579346</v>
      </c>
      <c r="T260" t="s">
        <v>550</v>
      </c>
      <c r="U260" t="s">
        <v>51</v>
      </c>
      <c r="V260" s="219">
        <v>0</v>
      </c>
      <c r="W260" s="219">
        <v>0</v>
      </c>
    </row>
    <row r="261" spans="1:23" ht="15" customHeight="1" x14ac:dyDescent="0.25">
      <c r="A261" t="s">
        <v>1132</v>
      </c>
      <c r="B261" t="s">
        <v>546</v>
      </c>
      <c r="C261">
        <v>40000</v>
      </c>
      <c r="D261" t="s">
        <v>1129</v>
      </c>
      <c r="E261" t="s">
        <v>163</v>
      </c>
      <c r="F261" t="s">
        <v>548</v>
      </c>
      <c r="G261" s="30">
        <v>46148</v>
      </c>
      <c r="H261" t="s">
        <v>1130</v>
      </c>
      <c r="I261">
        <v>1002039.5</v>
      </c>
      <c r="J261" s="123">
        <v>0</v>
      </c>
      <c r="K261" s="123">
        <v>0</v>
      </c>
      <c r="L261" s="123">
        <v>0</v>
      </c>
      <c r="M261">
        <v>0</v>
      </c>
      <c r="N261">
        <v>0</v>
      </c>
      <c r="O261">
        <v>0</v>
      </c>
      <c r="P261" s="216">
        <v>40000</v>
      </c>
      <c r="Q261" s="217" t="s">
        <v>15</v>
      </c>
      <c r="R261" s="217" t="s">
        <v>62</v>
      </c>
      <c r="S261" s="218">
        <v>0.62501065646579346</v>
      </c>
      <c r="T261" t="s">
        <v>550</v>
      </c>
      <c r="U261" t="s">
        <v>51</v>
      </c>
      <c r="V261" s="219">
        <v>0</v>
      </c>
      <c r="W261" s="219">
        <v>0</v>
      </c>
    </row>
    <row r="262" spans="1:23" ht="15" customHeight="1" x14ac:dyDescent="0.25">
      <c r="A262" t="s">
        <v>1133</v>
      </c>
      <c r="B262" t="s">
        <v>546</v>
      </c>
      <c r="C262">
        <v>35000</v>
      </c>
      <c r="D262" t="s">
        <v>1129</v>
      </c>
      <c r="E262" t="s">
        <v>163</v>
      </c>
      <c r="F262" t="s">
        <v>548</v>
      </c>
      <c r="G262" s="30">
        <v>46149</v>
      </c>
      <c r="H262" t="s">
        <v>1130</v>
      </c>
      <c r="I262">
        <v>1002039.5</v>
      </c>
      <c r="J262" s="123">
        <v>0</v>
      </c>
      <c r="K262" s="123">
        <v>0</v>
      </c>
      <c r="L262" s="123">
        <v>0</v>
      </c>
      <c r="M262">
        <v>0</v>
      </c>
      <c r="N262">
        <v>0</v>
      </c>
      <c r="O262">
        <v>0</v>
      </c>
      <c r="P262" s="216">
        <v>35000</v>
      </c>
      <c r="Q262" s="217" t="s">
        <v>15</v>
      </c>
      <c r="R262" s="217" t="s">
        <v>62</v>
      </c>
      <c r="S262" s="218">
        <v>0.62501065646579346</v>
      </c>
      <c r="T262" t="s">
        <v>550</v>
      </c>
      <c r="U262" t="s">
        <v>51</v>
      </c>
      <c r="V262" s="219">
        <v>0</v>
      </c>
      <c r="W262" s="219">
        <v>0</v>
      </c>
    </row>
    <row r="263" spans="1:23" ht="15" customHeight="1" x14ac:dyDescent="0.25">
      <c r="A263" t="s">
        <v>1134</v>
      </c>
      <c r="B263" t="s">
        <v>546</v>
      </c>
      <c r="C263">
        <v>45000</v>
      </c>
      <c r="D263" t="s">
        <v>1129</v>
      </c>
      <c r="E263" t="s">
        <v>163</v>
      </c>
      <c r="F263" t="s">
        <v>548</v>
      </c>
      <c r="G263" s="30">
        <v>46149</v>
      </c>
      <c r="H263" t="s">
        <v>1130</v>
      </c>
      <c r="I263">
        <v>1002039.5</v>
      </c>
      <c r="J263" s="123">
        <v>0</v>
      </c>
      <c r="K263" s="123">
        <v>0</v>
      </c>
      <c r="L263" s="123">
        <v>0</v>
      </c>
      <c r="M263">
        <v>0</v>
      </c>
      <c r="N263">
        <v>0</v>
      </c>
      <c r="O263">
        <v>0</v>
      </c>
      <c r="P263" s="216">
        <v>45000</v>
      </c>
      <c r="Q263" s="217" t="s">
        <v>15</v>
      </c>
      <c r="R263" s="217" t="s">
        <v>62</v>
      </c>
      <c r="S263" s="218">
        <v>0.62501065646579346</v>
      </c>
      <c r="T263" t="s">
        <v>550</v>
      </c>
      <c r="U263" t="s">
        <v>51</v>
      </c>
      <c r="V263" s="219">
        <v>0</v>
      </c>
      <c r="W263" s="219">
        <v>0</v>
      </c>
    </row>
    <row r="264" spans="1:23" ht="15" customHeight="1" x14ac:dyDescent="0.25">
      <c r="A264" t="s">
        <v>1135</v>
      </c>
      <c r="B264" t="s">
        <v>546</v>
      </c>
      <c r="C264">
        <v>45000</v>
      </c>
      <c r="D264" t="s">
        <v>1129</v>
      </c>
      <c r="E264" t="s">
        <v>163</v>
      </c>
      <c r="F264" t="s">
        <v>548</v>
      </c>
      <c r="G264" s="30">
        <v>46149</v>
      </c>
      <c r="H264" t="s">
        <v>1130</v>
      </c>
      <c r="I264">
        <v>1002039.5</v>
      </c>
      <c r="J264" s="123">
        <v>0</v>
      </c>
      <c r="K264" s="123">
        <v>0</v>
      </c>
      <c r="L264" s="123">
        <v>0</v>
      </c>
      <c r="M264">
        <v>0</v>
      </c>
      <c r="N264">
        <v>0</v>
      </c>
      <c r="O264">
        <v>0</v>
      </c>
      <c r="P264" s="216">
        <v>45000</v>
      </c>
      <c r="Q264" s="217" t="s">
        <v>15</v>
      </c>
      <c r="R264" s="217" t="s">
        <v>62</v>
      </c>
      <c r="S264" s="218">
        <v>0.62501065646579346</v>
      </c>
      <c r="T264" t="s">
        <v>550</v>
      </c>
      <c r="U264" t="s">
        <v>51</v>
      </c>
      <c r="V264" s="219">
        <v>0</v>
      </c>
      <c r="W264" s="219">
        <v>0</v>
      </c>
    </row>
    <row r="265" spans="1:23" ht="15" customHeight="1" x14ac:dyDescent="0.25">
      <c r="A265" t="s">
        <v>1136</v>
      </c>
      <c r="B265" t="s">
        <v>595</v>
      </c>
      <c r="C265">
        <v>253568</v>
      </c>
      <c r="D265" t="s">
        <v>1137</v>
      </c>
      <c r="E265" t="s">
        <v>218</v>
      </c>
      <c r="F265" t="s">
        <v>554</v>
      </c>
      <c r="G265" s="30">
        <v>46143</v>
      </c>
      <c r="H265" t="s">
        <v>1138</v>
      </c>
      <c r="I265">
        <v>2033512.25</v>
      </c>
      <c r="J265" s="123">
        <v>0</v>
      </c>
      <c r="K265" s="123">
        <v>0</v>
      </c>
      <c r="L265" s="123">
        <v>46141</v>
      </c>
      <c r="M265">
        <v>0</v>
      </c>
      <c r="N265">
        <v>0</v>
      </c>
      <c r="O265">
        <v>0</v>
      </c>
      <c r="P265" s="216">
        <v>253568</v>
      </c>
      <c r="Q265" s="217" t="s">
        <v>13</v>
      </c>
      <c r="R265" s="217" t="s">
        <v>554</v>
      </c>
      <c r="S265" s="218">
        <v>0.7513037356934148</v>
      </c>
      <c r="T265" t="s">
        <v>550</v>
      </c>
      <c r="U265" t="s">
        <v>51</v>
      </c>
      <c r="V265" s="219" t="s">
        <v>5975</v>
      </c>
      <c r="W265" s="219" t="s">
        <v>67</v>
      </c>
    </row>
    <row r="266" spans="1:23" ht="15" customHeight="1" x14ac:dyDescent="0.25">
      <c r="A266" t="s">
        <v>1139</v>
      </c>
      <c r="B266" t="s">
        <v>595</v>
      </c>
      <c r="C266">
        <v>4200</v>
      </c>
      <c r="D266" t="s">
        <v>1140</v>
      </c>
      <c r="E266" t="s">
        <v>218</v>
      </c>
      <c r="F266" t="s">
        <v>580</v>
      </c>
      <c r="G266" s="30">
        <v>46149</v>
      </c>
      <c r="H266" t="s">
        <v>1141</v>
      </c>
      <c r="I266">
        <v>978419.75</v>
      </c>
      <c r="J266" s="123">
        <v>0</v>
      </c>
      <c r="K266" s="123">
        <v>0</v>
      </c>
      <c r="L266" s="123">
        <v>46063</v>
      </c>
      <c r="M266">
        <v>0</v>
      </c>
      <c r="N266">
        <v>0</v>
      </c>
      <c r="O266">
        <v>0</v>
      </c>
      <c r="P266" s="216">
        <v>4200</v>
      </c>
      <c r="Q266" s="217" t="s">
        <v>13</v>
      </c>
      <c r="R266" s="217" t="s">
        <v>582</v>
      </c>
      <c r="S266" s="218">
        <v>0.63219465507795025</v>
      </c>
      <c r="T266" t="s">
        <v>550</v>
      </c>
      <c r="U266" t="s">
        <v>51</v>
      </c>
      <c r="V266" s="219">
        <v>0</v>
      </c>
      <c r="W266" s="219">
        <v>0</v>
      </c>
    </row>
    <row r="267" spans="1:23" ht="15" customHeight="1" x14ac:dyDescent="0.25">
      <c r="A267" t="s">
        <v>1142</v>
      </c>
      <c r="B267" t="s">
        <v>595</v>
      </c>
      <c r="C267">
        <v>4100</v>
      </c>
      <c r="D267" t="s">
        <v>1140</v>
      </c>
      <c r="E267" t="s">
        <v>218</v>
      </c>
      <c r="F267" t="s">
        <v>580</v>
      </c>
      <c r="G267" s="30">
        <v>46149</v>
      </c>
      <c r="H267" t="s">
        <v>1141</v>
      </c>
      <c r="I267">
        <v>978419.75</v>
      </c>
      <c r="J267" s="123">
        <v>0</v>
      </c>
      <c r="K267" s="123">
        <v>0</v>
      </c>
      <c r="L267" s="123">
        <v>46118</v>
      </c>
      <c r="M267">
        <v>0</v>
      </c>
      <c r="N267">
        <v>0</v>
      </c>
      <c r="O267">
        <v>0</v>
      </c>
      <c r="P267" s="216">
        <v>4100</v>
      </c>
      <c r="Q267" s="217" t="s">
        <v>13</v>
      </c>
      <c r="R267" s="217" t="s">
        <v>582</v>
      </c>
      <c r="S267" s="218">
        <v>0.63219465507795025</v>
      </c>
      <c r="T267" t="s">
        <v>550</v>
      </c>
      <c r="U267" t="s">
        <v>51</v>
      </c>
      <c r="V267" s="219">
        <v>0</v>
      </c>
      <c r="W267" s="219">
        <v>0</v>
      </c>
    </row>
    <row r="268" spans="1:23" ht="15" customHeight="1" x14ac:dyDescent="0.25">
      <c r="A268" t="s">
        <v>1143</v>
      </c>
      <c r="B268" t="s">
        <v>575</v>
      </c>
      <c r="C268">
        <v>1000</v>
      </c>
      <c r="D268" t="s">
        <v>1140</v>
      </c>
      <c r="E268" t="s">
        <v>218</v>
      </c>
      <c r="F268" t="s">
        <v>580</v>
      </c>
      <c r="G268" s="30">
        <v>46149</v>
      </c>
      <c r="H268" t="s">
        <v>1141</v>
      </c>
      <c r="I268">
        <v>978419.75</v>
      </c>
      <c r="J268" s="123">
        <v>0</v>
      </c>
      <c r="K268" s="123">
        <v>0</v>
      </c>
      <c r="L268" s="123">
        <v>46135</v>
      </c>
      <c r="M268">
        <v>0</v>
      </c>
      <c r="N268">
        <v>0</v>
      </c>
      <c r="O268">
        <v>0</v>
      </c>
      <c r="P268" s="216">
        <v>1000</v>
      </c>
      <c r="Q268" s="217" t="s">
        <v>13</v>
      </c>
      <c r="R268" s="217" t="s">
        <v>582</v>
      </c>
      <c r="S268" s="218">
        <v>0.63219465507795025</v>
      </c>
      <c r="T268" t="s">
        <v>550</v>
      </c>
      <c r="U268" t="s">
        <v>51</v>
      </c>
      <c r="V268" s="219">
        <v>0</v>
      </c>
      <c r="W268" s="219">
        <v>0</v>
      </c>
    </row>
    <row r="269" spans="1:23" ht="15" customHeight="1" x14ac:dyDescent="0.25">
      <c r="A269" t="s">
        <v>1144</v>
      </c>
      <c r="B269" t="s">
        <v>575</v>
      </c>
      <c r="C269">
        <v>124997</v>
      </c>
      <c r="D269" t="s">
        <v>1145</v>
      </c>
      <c r="E269" t="s">
        <v>163</v>
      </c>
      <c r="F269" t="s">
        <v>580</v>
      </c>
      <c r="G269" s="30">
        <v>46149</v>
      </c>
      <c r="H269" t="s">
        <v>1146</v>
      </c>
      <c r="I269">
        <v>1002039.5</v>
      </c>
      <c r="J269" s="123">
        <v>0</v>
      </c>
      <c r="K269" s="123">
        <v>0</v>
      </c>
      <c r="L269" s="123">
        <v>46149</v>
      </c>
      <c r="M269">
        <v>0</v>
      </c>
      <c r="N269">
        <v>0</v>
      </c>
      <c r="O269">
        <v>0</v>
      </c>
      <c r="P269" s="216">
        <v>124997</v>
      </c>
      <c r="Q269" s="217" t="s">
        <v>15</v>
      </c>
      <c r="R269" s="217" t="s">
        <v>582</v>
      </c>
      <c r="S269" s="218">
        <v>0.62499965624303888</v>
      </c>
      <c r="T269" t="s">
        <v>550</v>
      </c>
      <c r="U269" t="s">
        <v>51</v>
      </c>
      <c r="V269" s="219">
        <v>0</v>
      </c>
      <c r="W269" s="219">
        <v>0</v>
      </c>
    </row>
    <row r="270" spans="1:23" ht="15" customHeight="1" x14ac:dyDescent="0.25">
      <c r="A270" t="s">
        <v>1147</v>
      </c>
      <c r="B270" t="s">
        <v>64</v>
      </c>
      <c r="C270">
        <v>166334</v>
      </c>
      <c r="D270" t="s">
        <v>1148</v>
      </c>
      <c r="E270" t="s">
        <v>163</v>
      </c>
      <c r="F270" t="s">
        <v>580</v>
      </c>
      <c r="G270" s="30">
        <v>46147</v>
      </c>
      <c r="H270" t="s">
        <v>1149</v>
      </c>
      <c r="I270">
        <v>1331291.5</v>
      </c>
      <c r="J270" s="123">
        <v>0</v>
      </c>
      <c r="K270" s="123">
        <v>46147</v>
      </c>
      <c r="L270" s="123">
        <v>0</v>
      </c>
      <c r="M270">
        <v>0</v>
      </c>
      <c r="N270">
        <v>0</v>
      </c>
      <c r="O270" t="s">
        <v>556</v>
      </c>
      <c r="P270" s="216">
        <v>166334</v>
      </c>
      <c r="Q270" s="217" t="s">
        <v>15</v>
      </c>
      <c r="R270" s="217" t="s">
        <v>582</v>
      </c>
      <c r="S270" s="218">
        <v>0.62499967121961741</v>
      </c>
      <c r="T270" t="s">
        <v>550</v>
      </c>
      <c r="U270" t="s">
        <v>51</v>
      </c>
      <c r="V270" s="219">
        <v>0</v>
      </c>
      <c r="W270" s="219">
        <v>0</v>
      </c>
    </row>
    <row r="271" spans="1:23" ht="15" customHeight="1" x14ac:dyDescent="0.25">
      <c r="A271" t="s">
        <v>1150</v>
      </c>
      <c r="B271" t="s">
        <v>64</v>
      </c>
      <c r="C271">
        <v>166543</v>
      </c>
      <c r="D271" t="s">
        <v>1151</v>
      </c>
      <c r="E271" t="s">
        <v>163</v>
      </c>
      <c r="F271" t="s">
        <v>580</v>
      </c>
      <c r="G271" s="30">
        <v>46147</v>
      </c>
      <c r="H271" t="s">
        <v>1152</v>
      </c>
      <c r="I271">
        <v>1335430.25</v>
      </c>
      <c r="J271" s="123">
        <v>0</v>
      </c>
      <c r="K271" s="123">
        <v>46147</v>
      </c>
      <c r="L271" s="123">
        <v>0</v>
      </c>
      <c r="M271">
        <v>0</v>
      </c>
      <c r="N271">
        <v>0</v>
      </c>
      <c r="O271" t="s">
        <v>556</v>
      </c>
      <c r="P271" s="216">
        <v>166543</v>
      </c>
      <c r="Q271" s="217" t="s">
        <v>15</v>
      </c>
      <c r="R271" s="217" t="s">
        <v>582</v>
      </c>
      <c r="S271" s="218">
        <v>0.62500009382052957</v>
      </c>
      <c r="T271" t="s">
        <v>550</v>
      </c>
      <c r="U271" t="s">
        <v>51</v>
      </c>
      <c r="V271" s="219">
        <v>0</v>
      </c>
      <c r="W271" s="219">
        <v>0</v>
      </c>
    </row>
    <row r="272" spans="1:23" ht="15" customHeight="1" x14ac:dyDescent="0.25">
      <c r="A272" t="s">
        <v>1153</v>
      </c>
      <c r="B272" t="s">
        <v>575</v>
      </c>
      <c r="C272">
        <v>238560</v>
      </c>
      <c r="D272" t="s">
        <v>1154</v>
      </c>
      <c r="E272" t="s">
        <v>213</v>
      </c>
      <c r="F272" t="s">
        <v>585</v>
      </c>
      <c r="G272" s="30">
        <v>46148</v>
      </c>
      <c r="H272" t="s">
        <v>1155</v>
      </c>
      <c r="I272">
        <v>2033724</v>
      </c>
      <c r="J272" s="123">
        <v>0</v>
      </c>
      <c r="K272" s="123">
        <v>0</v>
      </c>
      <c r="L272" s="123">
        <v>46013</v>
      </c>
      <c r="M272">
        <v>0</v>
      </c>
      <c r="N272">
        <v>0</v>
      </c>
      <c r="O272">
        <v>0</v>
      </c>
      <c r="P272" s="216">
        <v>238560</v>
      </c>
      <c r="Q272" s="217" t="s">
        <v>18</v>
      </c>
      <c r="R272" s="217" t="s">
        <v>61</v>
      </c>
      <c r="S272" s="218">
        <v>0.30512745399013064</v>
      </c>
      <c r="T272" t="s">
        <v>550</v>
      </c>
      <c r="U272" t="s">
        <v>51</v>
      </c>
      <c r="V272" s="219">
        <v>0</v>
      </c>
      <c r="W272" s="219">
        <v>0</v>
      </c>
    </row>
    <row r="273" spans="1:23" ht="15" customHeight="1" x14ac:dyDescent="0.25">
      <c r="A273" t="s">
        <v>1156</v>
      </c>
      <c r="B273" t="s">
        <v>595</v>
      </c>
      <c r="C273">
        <v>127498.21</v>
      </c>
      <c r="D273" t="s">
        <v>1157</v>
      </c>
      <c r="E273" t="s">
        <v>163</v>
      </c>
      <c r="F273" t="s">
        <v>554</v>
      </c>
      <c r="G273" s="30">
        <v>46143</v>
      </c>
      <c r="H273" t="s">
        <v>1158</v>
      </c>
      <c r="I273">
        <v>1003290.75</v>
      </c>
      <c r="J273" s="123">
        <v>0</v>
      </c>
      <c r="K273" s="123">
        <v>0</v>
      </c>
      <c r="L273" s="123">
        <v>46135</v>
      </c>
      <c r="M273">
        <v>0</v>
      </c>
      <c r="N273">
        <v>0</v>
      </c>
      <c r="O273">
        <v>0</v>
      </c>
      <c r="P273" s="216">
        <v>127498.21</v>
      </c>
      <c r="Q273" s="217" t="s">
        <v>15</v>
      </c>
      <c r="R273" s="217" t="s">
        <v>554</v>
      </c>
      <c r="S273" s="218">
        <v>0.74873857195608218</v>
      </c>
      <c r="T273" t="s">
        <v>550</v>
      </c>
      <c r="U273" t="s">
        <v>51</v>
      </c>
      <c r="V273" s="219" t="s">
        <v>5976</v>
      </c>
      <c r="W273" s="219" t="s">
        <v>67</v>
      </c>
    </row>
    <row r="274" spans="1:23" ht="15" customHeight="1" x14ac:dyDescent="0.25">
      <c r="A274" t="s">
        <v>1159</v>
      </c>
      <c r="B274" t="s">
        <v>595</v>
      </c>
      <c r="C274">
        <v>127498.22</v>
      </c>
      <c r="D274" t="s">
        <v>1160</v>
      </c>
      <c r="E274" t="s">
        <v>163</v>
      </c>
      <c r="F274" t="s">
        <v>554</v>
      </c>
      <c r="G274" s="30">
        <v>46143</v>
      </c>
      <c r="H274" t="s">
        <v>1161</v>
      </c>
      <c r="I274">
        <v>1003290.75</v>
      </c>
      <c r="J274" s="123">
        <v>0</v>
      </c>
      <c r="K274" s="123">
        <v>0</v>
      </c>
      <c r="L274" s="123">
        <v>46135</v>
      </c>
      <c r="M274">
        <v>0</v>
      </c>
      <c r="N274">
        <v>0</v>
      </c>
      <c r="O274">
        <v>0</v>
      </c>
      <c r="P274" s="216">
        <v>127498.22</v>
      </c>
      <c r="Q274" s="217" t="s">
        <v>15</v>
      </c>
      <c r="R274" s="217" t="s">
        <v>554</v>
      </c>
      <c r="S274" s="218">
        <v>0.7552149731032054</v>
      </c>
      <c r="T274" t="s">
        <v>550</v>
      </c>
      <c r="U274" t="s">
        <v>51</v>
      </c>
      <c r="V274" s="219" t="s">
        <v>5977</v>
      </c>
      <c r="W274" s="219" t="s">
        <v>67</v>
      </c>
    </row>
    <row r="275" spans="1:23" ht="15" customHeight="1" x14ac:dyDescent="0.25">
      <c r="A275" t="s">
        <v>1162</v>
      </c>
      <c r="B275" t="s">
        <v>595</v>
      </c>
      <c r="C275">
        <v>123084</v>
      </c>
      <c r="D275" t="s">
        <v>1163</v>
      </c>
      <c r="E275" t="s">
        <v>163</v>
      </c>
      <c r="F275" t="s">
        <v>554</v>
      </c>
      <c r="G275" s="30">
        <v>46147</v>
      </c>
      <c r="H275" t="s">
        <v>1164</v>
      </c>
      <c r="I275">
        <v>999152</v>
      </c>
      <c r="J275" s="123">
        <v>0</v>
      </c>
      <c r="K275" s="123">
        <v>0</v>
      </c>
      <c r="L275" s="123">
        <v>46118</v>
      </c>
      <c r="M275">
        <v>0</v>
      </c>
      <c r="N275">
        <v>0</v>
      </c>
      <c r="O275">
        <v>0</v>
      </c>
      <c r="P275" s="216">
        <v>123084</v>
      </c>
      <c r="Q275" s="217" t="s">
        <v>15</v>
      </c>
      <c r="R275" s="217" t="s">
        <v>554</v>
      </c>
      <c r="S275" s="218">
        <v>0.74581336272059506</v>
      </c>
      <c r="T275" t="s">
        <v>550</v>
      </c>
      <c r="U275" t="s">
        <v>51</v>
      </c>
      <c r="V275" s="219" t="s">
        <v>5978</v>
      </c>
      <c r="W275" s="219" t="s">
        <v>67</v>
      </c>
    </row>
    <row r="276" spans="1:23" ht="15" customHeight="1" x14ac:dyDescent="0.25">
      <c r="A276" t="s">
        <v>1165</v>
      </c>
      <c r="B276" t="s">
        <v>546</v>
      </c>
      <c r="C276">
        <v>10000</v>
      </c>
      <c r="D276" t="s">
        <v>1166</v>
      </c>
      <c r="E276" t="s">
        <v>228</v>
      </c>
      <c r="F276" t="s">
        <v>548</v>
      </c>
      <c r="G276" s="30">
        <v>46144</v>
      </c>
      <c r="H276" t="s">
        <v>1167</v>
      </c>
      <c r="I276">
        <v>1003290.75</v>
      </c>
      <c r="J276" s="123">
        <v>0</v>
      </c>
      <c r="K276" s="123">
        <v>0</v>
      </c>
      <c r="L276" s="123">
        <v>0</v>
      </c>
      <c r="M276">
        <v>0</v>
      </c>
      <c r="N276">
        <v>0</v>
      </c>
      <c r="O276">
        <v>0</v>
      </c>
      <c r="P276" s="216">
        <v>10000</v>
      </c>
      <c r="Q276" s="217" t="s">
        <v>20</v>
      </c>
      <c r="R276" s="217" t="s">
        <v>62</v>
      </c>
      <c r="S276" s="218">
        <v>0.63874943467605216</v>
      </c>
      <c r="T276" t="s">
        <v>550</v>
      </c>
      <c r="U276" t="s">
        <v>51</v>
      </c>
      <c r="V276" s="219">
        <v>0</v>
      </c>
      <c r="W276" s="219">
        <v>0</v>
      </c>
    </row>
    <row r="277" spans="1:23" ht="15" customHeight="1" x14ac:dyDescent="0.25">
      <c r="A277" t="s">
        <v>1168</v>
      </c>
      <c r="B277" t="s">
        <v>546</v>
      </c>
      <c r="C277">
        <v>10000</v>
      </c>
      <c r="D277" t="s">
        <v>1166</v>
      </c>
      <c r="E277" t="s">
        <v>228</v>
      </c>
      <c r="F277" t="s">
        <v>554</v>
      </c>
      <c r="G277" s="30">
        <v>46146</v>
      </c>
      <c r="H277" t="s">
        <v>1167</v>
      </c>
      <c r="I277">
        <v>1003290.75</v>
      </c>
      <c r="J277" s="123">
        <v>0</v>
      </c>
      <c r="K277" s="123">
        <v>0</v>
      </c>
      <c r="L277" s="123">
        <v>0</v>
      </c>
      <c r="M277">
        <v>0</v>
      </c>
      <c r="N277">
        <v>0</v>
      </c>
      <c r="O277">
        <v>0</v>
      </c>
      <c r="P277" s="216">
        <v>10000</v>
      </c>
      <c r="Q277" s="217" t="s">
        <v>20</v>
      </c>
      <c r="R277" s="217" t="s">
        <v>554</v>
      </c>
      <c r="S277" s="218">
        <v>0.63874943467605216</v>
      </c>
      <c r="T277" t="s">
        <v>550</v>
      </c>
      <c r="U277" t="s">
        <v>51</v>
      </c>
      <c r="V277" s="219" t="s">
        <v>5979</v>
      </c>
      <c r="W277" s="219" t="s">
        <v>67</v>
      </c>
    </row>
    <row r="278" spans="1:23" ht="15" customHeight="1" x14ac:dyDescent="0.25">
      <c r="A278" t="s">
        <v>1169</v>
      </c>
      <c r="B278" t="s">
        <v>546</v>
      </c>
      <c r="C278">
        <v>124997</v>
      </c>
      <c r="D278" t="s">
        <v>1170</v>
      </c>
      <c r="E278" t="s">
        <v>163</v>
      </c>
      <c r="F278" t="s">
        <v>554</v>
      </c>
      <c r="G278" s="30">
        <v>46143</v>
      </c>
      <c r="H278" t="s">
        <v>1171</v>
      </c>
      <c r="I278">
        <v>1000595.75</v>
      </c>
      <c r="J278" s="123">
        <v>0</v>
      </c>
      <c r="K278" s="123">
        <v>0</v>
      </c>
      <c r="L278" s="123">
        <v>0</v>
      </c>
      <c r="M278">
        <v>0</v>
      </c>
      <c r="N278">
        <v>0</v>
      </c>
      <c r="O278">
        <v>0</v>
      </c>
      <c r="P278" s="216">
        <v>124997</v>
      </c>
      <c r="Q278" s="217" t="s">
        <v>15</v>
      </c>
      <c r="R278" s="217" t="s">
        <v>554</v>
      </c>
      <c r="S278" s="218">
        <v>0.75001218774680189</v>
      </c>
      <c r="T278" t="s">
        <v>550</v>
      </c>
      <c r="U278" t="s">
        <v>51</v>
      </c>
      <c r="V278" s="219" t="s">
        <v>5980</v>
      </c>
      <c r="W278" s="219" t="s">
        <v>67</v>
      </c>
    </row>
    <row r="279" spans="1:23" ht="15" customHeight="1" x14ac:dyDescent="0.25">
      <c r="A279" t="s">
        <v>1172</v>
      </c>
      <c r="B279" t="s">
        <v>546</v>
      </c>
      <c r="C279">
        <v>3600</v>
      </c>
      <c r="D279" t="s">
        <v>1173</v>
      </c>
      <c r="E279" t="s">
        <v>553</v>
      </c>
      <c r="F279" t="s">
        <v>548</v>
      </c>
      <c r="G279" s="30">
        <v>46146</v>
      </c>
      <c r="H279" t="s">
        <v>1174</v>
      </c>
      <c r="I279">
        <v>1003290.75</v>
      </c>
      <c r="J279" s="123">
        <v>46145</v>
      </c>
      <c r="K279" s="123">
        <v>0</v>
      </c>
      <c r="L279" s="123">
        <v>46145</v>
      </c>
      <c r="M279">
        <v>0</v>
      </c>
      <c r="N279">
        <v>0</v>
      </c>
      <c r="O279" t="s">
        <v>556</v>
      </c>
      <c r="P279" s="216">
        <v>3600</v>
      </c>
      <c r="Q279" s="217" t="s">
        <v>15</v>
      </c>
      <c r="R279" s="217" t="s">
        <v>62</v>
      </c>
      <c r="S279" s="218">
        <v>0.74999918748354655</v>
      </c>
      <c r="T279" t="s">
        <v>550</v>
      </c>
      <c r="U279" t="s">
        <v>51</v>
      </c>
      <c r="V279" s="219">
        <v>0</v>
      </c>
      <c r="W279" s="219">
        <v>0</v>
      </c>
    </row>
    <row r="280" spans="1:23" ht="15" customHeight="1" x14ac:dyDescent="0.25">
      <c r="A280" t="s">
        <v>1175</v>
      </c>
      <c r="B280" t="s">
        <v>546</v>
      </c>
      <c r="C280">
        <v>3600</v>
      </c>
      <c r="D280" t="s">
        <v>1173</v>
      </c>
      <c r="E280" t="s">
        <v>553</v>
      </c>
      <c r="F280" t="s">
        <v>548</v>
      </c>
      <c r="G280" s="30">
        <v>46146</v>
      </c>
      <c r="H280" t="s">
        <v>1174</v>
      </c>
      <c r="I280">
        <v>1003290.75</v>
      </c>
      <c r="J280" s="123">
        <v>46145</v>
      </c>
      <c r="K280" s="123">
        <v>0</v>
      </c>
      <c r="L280" s="123">
        <v>46145</v>
      </c>
      <c r="M280">
        <v>0</v>
      </c>
      <c r="N280">
        <v>0</v>
      </c>
      <c r="O280" t="s">
        <v>556</v>
      </c>
      <c r="P280" s="216">
        <v>3600</v>
      </c>
      <c r="Q280" s="217" t="s">
        <v>15</v>
      </c>
      <c r="R280" s="217" t="s">
        <v>62</v>
      </c>
      <c r="S280" s="218">
        <v>0.74999918748354655</v>
      </c>
      <c r="T280" t="s">
        <v>550</v>
      </c>
      <c r="U280" t="s">
        <v>51</v>
      </c>
      <c r="V280" s="219">
        <v>0</v>
      </c>
      <c r="W280" s="219">
        <v>0</v>
      </c>
    </row>
    <row r="281" spans="1:23" ht="15" customHeight="1" x14ac:dyDescent="0.25">
      <c r="A281" t="s">
        <v>1176</v>
      </c>
      <c r="B281" t="s">
        <v>546</v>
      </c>
      <c r="C281">
        <v>10900</v>
      </c>
      <c r="D281" t="s">
        <v>1173</v>
      </c>
      <c r="E281" t="s">
        <v>553</v>
      </c>
      <c r="F281" t="s">
        <v>554</v>
      </c>
      <c r="G281" s="30">
        <v>46146</v>
      </c>
      <c r="H281" t="s">
        <v>1174</v>
      </c>
      <c r="I281">
        <v>1003290.75</v>
      </c>
      <c r="J281" s="123">
        <v>46145</v>
      </c>
      <c r="K281" s="123">
        <v>0</v>
      </c>
      <c r="L281" s="123">
        <v>46145</v>
      </c>
      <c r="M281">
        <v>0</v>
      </c>
      <c r="N281">
        <v>0</v>
      </c>
      <c r="O281" t="s">
        <v>556</v>
      </c>
      <c r="P281" s="216">
        <v>10900</v>
      </c>
      <c r="Q281" s="217" t="s">
        <v>15</v>
      </c>
      <c r="R281" s="217" t="s">
        <v>554</v>
      </c>
      <c r="S281" s="218">
        <v>0.74999918748354655</v>
      </c>
      <c r="T281" t="s">
        <v>550</v>
      </c>
      <c r="U281" t="s">
        <v>51</v>
      </c>
      <c r="V281" s="219" t="s">
        <v>5981</v>
      </c>
      <c r="W281" s="219" t="s">
        <v>67</v>
      </c>
    </row>
    <row r="282" spans="1:23" ht="15" customHeight="1" x14ac:dyDescent="0.25">
      <c r="A282" t="s">
        <v>1177</v>
      </c>
      <c r="B282" t="s">
        <v>546</v>
      </c>
      <c r="C282">
        <v>14650</v>
      </c>
      <c r="D282" t="s">
        <v>1173</v>
      </c>
      <c r="E282" t="s">
        <v>553</v>
      </c>
      <c r="F282" t="s">
        <v>548</v>
      </c>
      <c r="G282" s="30">
        <v>46146</v>
      </c>
      <c r="H282" t="s">
        <v>1174</v>
      </c>
      <c r="I282">
        <v>1003290.75</v>
      </c>
      <c r="J282" s="123">
        <v>46145</v>
      </c>
      <c r="K282" s="123">
        <v>0</v>
      </c>
      <c r="L282" s="123">
        <v>46145</v>
      </c>
      <c r="M282">
        <v>0</v>
      </c>
      <c r="N282">
        <v>0</v>
      </c>
      <c r="O282" t="s">
        <v>556</v>
      </c>
      <c r="P282" s="216">
        <v>14650</v>
      </c>
      <c r="Q282" s="217" t="s">
        <v>15</v>
      </c>
      <c r="R282" s="217" t="s">
        <v>62</v>
      </c>
      <c r="S282" s="218">
        <v>0.74999918748354655</v>
      </c>
      <c r="T282" t="s">
        <v>550</v>
      </c>
      <c r="U282" t="s">
        <v>51</v>
      </c>
      <c r="V282" s="219">
        <v>0</v>
      </c>
      <c r="W282" s="219">
        <v>0</v>
      </c>
    </row>
    <row r="283" spans="1:23" ht="15" customHeight="1" x14ac:dyDescent="0.25">
      <c r="A283" t="s">
        <v>1178</v>
      </c>
      <c r="B283" t="s">
        <v>546</v>
      </c>
      <c r="C283">
        <v>14650</v>
      </c>
      <c r="D283" t="s">
        <v>1173</v>
      </c>
      <c r="E283" t="s">
        <v>553</v>
      </c>
      <c r="F283" t="s">
        <v>548</v>
      </c>
      <c r="G283" s="30">
        <v>46146</v>
      </c>
      <c r="H283" t="s">
        <v>1174</v>
      </c>
      <c r="I283">
        <v>1003290.75</v>
      </c>
      <c r="J283" s="123">
        <v>46145</v>
      </c>
      <c r="K283" s="123">
        <v>0</v>
      </c>
      <c r="L283" s="123">
        <v>46145</v>
      </c>
      <c r="M283">
        <v>0</v>
      </c>
      <c r="N283">
        <v>0</v>
      </c>
      <c r="O283" t="s">
        <v>556</v>
      </c>
      <c r="P283" s="216">
        <v>14650</v>
      </c>
      <c r="Q283" s="217" t="s">
        <v>15</v>
      </c>
      <c r="R283" s="217" t="s">
        <v>62</v>
      </c>
      <c r="S283" s="218">
        <v>0.74999918748354655</v>
      </c>
      <c r="T283" t="s">
        <v>550</v>
      </c>
      <c r="U283" t="s">
        <v>51</v>
      </c>
      <c r="V283" s="219">
        <v>0</v>
      </c>
      <c r="W283" s="219">
        <v>0</v>
      </c>
    </row>
    <row r="284" spans="1:23" ht="15" customHeight="1" x14ac:dyDescent="0.25">
      <c r="A284" t="s">
        <v>1179</v>
      </c>
      <c r="B284" t="s">
        <v>546</v>
      </c>
      <c r="C284">
        <v>14650</v>
      </c>
      <c r="D284" t="s">
        <v>1173</v>
      </c>
      <c r="E284" t="s">
        <v>553</v>
      </c>
      <c r="F284" t="s">
        <v>548</v>
      </c>
      <c r="G284" s="30">
        <v>46146</v>
      </c>
      <c r="H284" t="s">
        <v>1174</v>
      </c>
      <c r="I284">
        <v>1003290.75</v>
      </c>
      <c r="J284" s="123">
        <v>46145</v>
      </c>
      <c r="K284" s="123">
        <v>0</v>
      </c>
      <c r="L284" s="123">
        <v>46145</v>
      </c>
      <c r="M284">
        <v>0</v>
      </c>
      <c r="N284">
        <v>0</v>
      </c>
      <c r="O284" t="s">
        <v>556</v>
      </c>
      <c r="P284" s="216">
        <v>14650</v>
      </c>
      <c r="Q284" s="217" t="s">
        <v>15</v>
      </c>
      <c r="R284" s="217" t="s">
        <v>62</v>
      </c>
      <c r="S284" s="218">
        <v>0.74999918748354655</v>
      </c>
      <c r="T284" t="s">
        <v>550</v>
      </c>
      <c r="U284" t="s">
        <v>51</v>
      </c>
      <c r="V284" s="219">
        <v>0</v>
      </c>
      <c r="W284" s="219">
        <v>0</v>
      </c>
    </row>
    <row r="285" spans="1:23" ht="15" customHeight="1" x14ac:dyDescent="0.25">
      <c r="A285" t="s">
        <v>1180</v>
      </c>
      <c r="B285" t="s">
        <v>546</v>
      </c>
      <c r="C285">
        <v>14650</v>
      </c>
      <c r="D285" t="s">
        <v>1173</v>
      </c>
      <c r="E285" t="s">
        <v>553</v>
      </c>
      <c r="F285" t="s">
        <v>548</v>
      </c>
      <c r="G285" s="30">
        <v>46146</v>
      </c>
      <c r="H285" t="s">
        <v>1174</v>
      </c>
      <c r="I285">
        <v>1003290.75</v>
      </c>
      <c r="J285" s="123">
        <v>46145</v>
      </c>
      <c r="K285" s="123">
        <v>0</v>
      </c>
      <c r="L285" s="123">
        <v>46145</v>
      </c>
      <c r="M285">
        <v>0</v>
      </c>
      <c r="N285">
        <v>0</v>
      </c>
      <c r="O285" t="s">
        <v>556</v>
      </c>
      <c r="P285" s="216">
        <v>14650</v>
      </c>
      <c r="Q285" s="217" t="s">
        <v>15</v>
      </c>
      <c r="R285" s="217" t="s">
        <v>62</v>
      </c>
      <c r="S285" s="218">
        <v>0.74999918748354655</v>
      </c>
      <c r="T285" t="s">
        <v>550</v>
      </c>
      <c r="U285" t="s">
        <v>51</v>
      </c>
      <c r="V285" s="219">
        <v>0</v>
      </c>
      <c r="W285" s="219">
        <v>0</v>
      </c>
    </row>
    <row r="286" spans="1:23" ht="15" customHeight="1" x14ac:dyDescent="0.25">
      <c r="A286" t="s">
        <v>1181</v>
      </c>
      <c r="B286" t="s">
        <v>546</v>
      </c>
      <c r="C286">
        <v>48896.63</v>
      </c>
      <c r="D286" t="s">
        <v>1173</v>
      </c>
      <c r="E286" t="s">
        <v>553</v>
      </c>
      <c r="F286" t="s">
        <v>548</v>
      </c>
      <c r="G286" s="30">
        <v>46146</v>
      </c>
      <c r="H286" t="s">
        <v>1174</v>
      </c>
      <c r="I286">
        <v>1003290.75</v>
      </c>
      <c r="J286" s="123">
        <v>46145</v>
      </c>
      <c r="K286" s="123">
        <v>0</v>
      </c>
      <c r="L286" s="123">
        <v>46145</v>
      </c>
      <c r="M286">
        <v>0</v>
      </c>
      <c r="N286">
        <v>0</v>
      </c>
      <c r="O286" t="s">
        <v>556</v>
      </c>
      <c r="P286" s="216">
        <v>48896.63</v>
      </c>
      <c r="Q286" s="217" t="s">
        <v>15</v>
      </c>
      <c r="R286" s="217" t="s">
        <v>62</v>
      </c>
      <c r="S286" s="218">
        <v>0.74999918748354655</v>
      </c>
      <c r="T286" t="s">
        <v>550</v>
      </c>
      <c r="U286" t="s">
        <v>51</v>
      </c>
      <c r="V286" s="219">
        <v>0</v>
      </c>
      <c r="W286" s="219">
        <v>0</v>
      </c>
    </row>
    <row r="287" spans="1:23" ht="15" customHeight="1" x14ac:dyDescent="0.25">
      <c r="A287" t="s">
        <v>1182</v>
      </c>
      <c r="B287" t="s">
        <v>546</v>
      </c>
      <c r="C287">
        <v>14650</v>
      </c>
      <c r="D287" t="s">
        <v>1173</v>
      </c>
      <c r="E287" t="s">
        <v>553</v>
      </c>
      <c r="F287" t="s">
        <v>548</v>
      </c>
      <c r="G287" s="30">
        <v>46146</v>
      </c>
      <c r="H287" t="s">
        <v>1174</v>
      </c>
      <c r="I287">
        <v>1003290.75</v>
      </c>
      <c r="J287" s="123">
        <v>46145</v>
      </c>
      <c r="K287" s="123">
        <v>0</v>
      </c>
      <c r="L287" s="123">
        <v>46145</v>
      </c>
      <c r="M287">
        <v>0</v>
      </c>
      <c r="N287">
        <v>0</v>
      </c>
      <c r="O287" t="s">
        <v>556</v>
      </c>
      <c r="P287" s="216">
        <v>14650</v>
      </c>
      <c r="Q287" s="217" t="s">
        <v>15</v>
      </c>
      <c r="R287" s="217" t="s">
        <v>62</v>
      </c>
      <c r="S287" s="218">
        <v>0.74999918748354655</v>
      </c>
      <c r="T287" t="s">
        <v>550</v>
      </c>
      <c r="U287" t="s">
        <v>51</v>
      </c>
      <c r="V287" s="219">
        <v>0</v>
      </c>
      <c r="W287" s="219">
        <v>0</v>
      </c>
    </row>
    <row r="288" spans="1:23" ht="15" customHeight="1" x14ac:dyDescent="0.25">
      <c r="A288" t="s">
        <v>1183</v>
      </c>
      <c r="B288" t="s">
        <v>546</v>
      </c>
      <c r="C288">
        <v>14650</v>
      </c>
      <c r="D288" t="s">
        <v>1173</v>
      </c>
      <c r="E288" t="s">
        <v>553</v>
      </c>
      <c r="F288" t="s">
        <v>548</v>
      </c>
      <c r="G288" s="30">
        <v>46146</v>
      </c>
      <c r="H288" t="s">
        <v>1174</v>
      </c>
      <c r="I288">
        <v>1003290.75</v>
      </c>
      <c r="J288" s="123">
        <v>46145</v>
      </c>
      <c r="K288" s="123">
        <v>0</v>
      </c>
      <c r="L288" s="123">
        <v>46145</v>
      </c>
      <c r="M288">
        <v>0</v>
      </c>
      <c r="N288">
        <v>0</v>
      </c>
      <c r="O288" t="s">
        <v>556</v>
      </c>
      <c r="P288" s="216">
        <v>14650</v>
      </c>
      <c r="Q288" s="217" t="s">
        <v>15</v>
      </c>
      <c r="R288" s="217" t="s">
        <v>62</v>
      </c>
      <c r="S288" s="218">
        <v>0.74999918748354655</v>
      </c>
      <c r="T288" t="s">
        <v>550</v>
      </c>
      <c r="U288" t="s">
        <v>51</v>
      </c>
      <c r="V288" s="219">
        <v>0</v>
      </c>
      <c r="W288" s="219">
        <v>0</v>
      </c>
    </row>
    <row r="289" spans="1:23" ht="15" customHeight="1" x14ac:dyDescent="0.25">
      <c r="A289" t="s">
        <v>1184</v>
      </c>
      <c r="B289" t="s">
        <v>546</v>
      </c>
      <c r="C289">
        <v>21850</v>
      </c>
      <c r="D289" t="s">
        <v>1173</v>
      </c>
      <c r="E289" t="s">
        <v>553</v>
      </c>
      <c r="F289" t="s">
        <v>554</v>
      </c>
      <c r="G289" s="30">
        <v>46146</v>
      </c>
      <c r="H289" t="s">
        <v>1174</v>
      </c>
      <c r="I289">
        <v>1003290.75</v>
      </c>
      <c r="J289" s="123">
        <v>46145</v>
      </c>
      <c r="K289" s="123">
        <v>0</v>
      </c>
      <c r="L289" s="123">
        <v>46145</v>
      </c>
      <c r="M289">
        <v>0</v>
      </c>
      <c r="N289">
        <v>0</v>
      </c>
      <c r="O289" t="s">
        <v>556</v>
      </c>
      <c r="P289" s="216">
        <v>21850</v>
      </c>
      <c r="Q289" s="217" t="s">
        <v>15</v>
      </c>
      <c r="R289" s="217" t="s">
        <v>554</v>
      </c>
      <c r="S289" s="218">
        <v>0.74999918748354655</v>
      </c>
      <c r="T289" t="s">
        <v>550</v>
      </c>
      <c r="U289" t="s">
        <v>51</v>
      </c>
      <c r="V289" s="219" t="s">
        <v>5982</v>
      </c>
      <c r="W289" s="219" t="s">
        <v>67</v>
      </c>
    </row>
    <row r="290" spans="1:23" ht="15" customHeight="1" x14ac:dyDescent="0.25">
      <c r="A290" t="s">
        <v>1185</v>
      </c>
      <c r="B290" t="s">
        <v>546</v>
      </c>
      <c r="C290">
        <v>17000</v>
      </c>
      <c r="D290" t="s">
        <v>1173</v>
      </c>
      <c r="E290" t="s">
        <v>553</v>
      </c>
      <c r="F290" t="s">
        <v>548</v>
      </c>
      <c r="G290" s="30">
        <v>46146</v>
      </c>
      <c r="H290" t="s">
        <v>1174</v>
      </c>
      <c r="I290">
        <v>1003290.75</v>
      </c>
      <c r="J290" s="123">
        <v>46146</v>
      </c>
      <c r="K290" s="123">
        <v>0</v>
      </c>
      <c r="L290" s="123">
        <v>46146</v>
      </c>
      <c r="M290">
        <v>0</v>
      </c>
      <c r="N290">
        <v>0</v>
      </c>
      <c r="O290" t="s">
        <v>556</v>
      </c>
      <c r="P290" s="216">
        <v>17000</v>
      </c>
      <c r="Q290" s="217" t="s">
        <v>15</v>
      </c>
      <c r="R290" s="217" t="s">
        <v>62</v>
      </c>
      <c r="S290" s="218">
        <v>0.74999918748354655</v>
      </c>
      <c r="T290" t="s">
        <v>550</v>
      </c>
      <c r="U290" t="s">
        <v>51</v>
      </c>
      <c r="V290" s="219">
        <v>0</v>
      </c>
      <c r="W290" s="219">
        <v>0</v>
      </c>
    </row>
    <row r="291" spans="1:23" ht="15" customHeight="1" x14ac:dyDescent="0.25">
      <c r="A291" t="s">
        <v>1186</v>
      </c>
      <c r="B291" t="s">
        <v>546</v>
      </c>
      <c r="C291">
        <v>34396.629999999997</v>
      </c>
      <c r="D291" t="s">
        <v>1173</v>
      </c>
      <c r="E291" t="s">
        <v>553</v>
      </c>
      <c r="F291" t="s">
        <v>554</v>
      </c>
      <c r="G291" s="30">
        <v>46146</v>
      </c>
      <c r="H291" t="s">
        <v>1174</v>
      </c>
      <c r="I291">
        <v>1003290.75</v>
      </c>
      <c r="J291" s="123">
        <v>46146</v>
      </c>
      <c r="K291" s="123">
        <v>0</v>
      </c>
      <c r="L291" s="123">
        <v>46146</v>
      </c>
      <c r="M291">
        <v>0</v>
      </c>
      <c r="N291">
        <v>0</v>
      </c>
      <c r="O291" t="s">
        <v>556</v>
      </c>
      <c r="P291" s="216">
        <v>34396.629999999997</v>
      </c>
      <c r="Q291" s="217" t="s">
        <v>15</v>
      </c>
      <c r="R291" s="217" t="s">
        <v>554</v>
      </c>
      <c r="S291" s="218">
        <v>0.74999918748354655</v>
      </c>
      <c r="T291" t="s">
        <v>550</v>
      </c>
      <c r="U291" t="s">
        <v>51</v>
      </c>
      <c r="V291" s="219" t="s">
        <v>5983</v>
      </c>
      <c r="W291" s="219" t="s">
        <v>67</v>
      </c>
    </row>
    <row r="292" spans="1:23" ht="15" customHeight="1" x14ac:dyDescent="0.25">
      <c r="A292" t="s">
        <v>1187</v>
      </c>
      <c r="B292" t="s">
        <v>546</v>
      </c>
      <c r="C292">
        <v>34396.629999999997</v>
      </c>
      <c r="D292" t="s">
        <v>1173</v>
      </c>
      <c r="E292" t="s">
        <v>553</v>
      </c>
      <c r="F292" t="s">
        <v>548</v>
      </c>
      <c r="G292" s="30">
        <v>46146</v>
      </c>
      <c r="H292" t="s">
        <v>1174</v>
      </c>
      <c r="I292">
        <v>1003290.75</v>
      </c>
      <c r="J292" s="123">
        <v>46146</v>
      </c>
      <c r="K292" s="123">
        <v>0</v>
      </c>
      <c r="L292" s="123">
        <v>46146</v>
      </c>
      <c r="M292">
        <v>0</v>
      </c>
      <c r="N292">
        <v>0</v>
      </c>
      <c r="O292" t="s">
        <v>556</v>
      </c>
      <c r="P292" s="216">
        <v>34396.629999999997</v>
      </c>
      <c r="Q292" s="217" t="s">
        <v>15</v>
      </c>
      <c r="R292" s="217" t="s">
        <v>62</v>
      </c>
      <c r="S292" s="218">
        <v>0.74999918748354655</v>
      </c>
      <c r="T292" t="s">
        <v>550</v>
      </c>
      <c r="U292" t="s">
        <v>51</v>
      </c>
      <c r="V292" s="219">
        <v>0</v>
      </c>
      <c r="W292" s="219">
        <v>0</v>
      </c>
    </row>
    <row r="293" spans="1:23" ht="15" customHeight="1" x14ac:dyDescent="0.25">
      <c r="A293" t="s">
        <v>1188</v>
      </c>
      <c r="B293" t="s">
        <v>546</v>
      </c>
      <c r="C293">
        <v>34396.629999999997</v>
      </c>
      <c r="D293" t="s">
        <v>1173</v>
      </c>
      <c r="E293" t="s">
        <v>553</v>
      </c>
      <c r="F293" t="s">
        <v>548</v>
      </c>
      <c r="G293" s="30">
        <v>46146</v>
      </c>
      <c r="H293" t="s">
        <v>1174</v>
      </c>
      <c r="I293">
        <v>1003290.75</v>
      </c>
      <c r="J293" s="123">
        <v>46146</v>
      </c>
      <c r="K293" s="123">
        <v>0</v>
      </c>
      <c r="L293" s="123">
        <v>46146</v>
      </c>
      <c r="M293">
        <v>0</v>
      </c>
      <c r="N293">
        <v>0</v>
      </c>
      <c r="O293" t="s">
        <v>556</v>
      </c>
      <c r="P293" s="216">
        <v>34396.629999999997</v>
      </c>
      <c r="Q293" s="217" t="s">
        <v>15</v>
      </c>
      <c r="R293" s="217" t="s">
        <v>62</v>
      </c>
      <c r="S293" s="218">
        <v>0.74999918748354655</v>
      </c>
      <c r="T293" t="s">
        <v>550</v>
      </c>
      <c r="U293" t="s">
        <v>51</v>
      </c>
      <c r="V293" s="219">
        <v>0</v>
      </c>
      <c r="W293" s="219">
        <v>0</v>
      </c>
    </row>
    <row r="294" spans="1:23" ht="15" customHeight="1" x14ac:dyDescent="0.25">
      <c r="A294" t="s">
        <v>1189</v>
      </c>
      <c r="B294" t="s">
        <v>546</v>
      </c>
      <c r="C294">
        <v>3600</v>
      </c>
      <c r="D294" t="s">
        <v>1173</v>
      </c>
      <c r="E294" t="s">
        <v>553</v>
      </c>
      <c r="F294" t="s">
        <v>554</v>
      </c>
      <c r="G294" s="30">
        <v>46146</v>
      </c>
      <c r="H294" t="s">
        <v>1174</v>
      </c>
      <c r="I294">
        <v>1003290.75</v>
      </c>
      <c r="J294" s="123">
        <v>46146</v>
      </c>
      <c r="K294" s="123">
        <v>0</v>
      </c>
      <c r="L294" s="123">
        <v>46146</v>
      </c>
      <c r="M294">
        <v>0</v>
      </c>
      <c r="N294">
        <v>0</v>
      </c>
      <c r="O294" t="s">
        <v>556</v>
      </c>
      <c r="P294" s="216">
        <v>3600</v>
      </c>
      <c r="Q294" s="217" t="s">
        <v>15</v>
      </c>
      <c r="R294" s="217" t="s">
        <v>554</v>
      </c>
      <c r="S294" s="218">
        <v>0.74999918748354655</v>
      </c>
      <c r="T294" t="s">
        <v>550</v>
      </c>
      <c r="U294" t="s">
        <v>51</v>
      </c>
      <c r="V294" s="219" t="s">
        <v>5984</v>
      </c>
      <c r="W294" s="219" t="s">
        <v>67</v>
      </c>
    </row>
    <row r="295" spans="1:23" ht="15" customHeight="1" x14ac:dyDescent="0.25">
      <c r="A295" t="s">
        <v>1190</v>
      </c>
      <c r="B295" t="s">
        <v>575</v>
      </c>
      <c r="C295">
        <v>124377</v>
      </c>
      <c r="D295" t="s">
        <v>1191</v>
      </c>
      <c r="E295" t="s">
        <v>163</v>
      </c>
      <c r="F295" t="s">
        <v>554</v>
      </c>
      <c r="G295" s="30">
        <v>46146</v>
      </c>
      <c r="H295" t="s">
        <v>1192</v>
      </c>
      <c r="I295">
        <v>992915</v>
      </c>
      <c r="J295" s="123">
        <v>0</v>
      </c>
      <c r="K295" s="123">
        <v>0</v>
      </c>
      <c r="L295" s="123">
        <v>46142</v>
      </c>
      <c r="M295">
        <v>0</v>
      </c>
      <c r="N295">
        <v>0</v>
      </c>
      <c r="O295">
        <v>0</v>
      </c>
      <c r="P295" s="216">
        <v>124377</v>
      </c>
      <c r="Q295" s="217" t="s">
        <v>15</v>
      </c>
      <c r="R295" s="217" t="s">
        <v>554</v>
      </c>
      <c r="S295" s="218">
        <v>0.75032216907664295</v>
      </c>
      <c r="T295" t="s">
        <v>550</v>
      </c>
      <c r="U295" t="s">
        <v>51</v>
      </c>
      <c r="V295" s="219" t="s">
        <v>5985</v>
      </c>
      <c r="W295" s="219" t="s">
        <v>67</v>
      </c>
    </row>
    <row r="296" spans="1:23" ht="15" customHeight="1" x14ac:dyDescent="0.25">
      <c r="A296" t="s">
        <v>1193</v>
      </c>
      <c r="B296" t="s">
        <v>575</v>
      </c>
      <c r="C296">
        <v>200949</v>
      </c>
      <c r="D296" t="s">
        <v>1194</v>
      </c>
      <c r="E296" t="s">
        <v>163</v>
      </c>
      <c r="F296" t="s">
        <v>554</v>
      </c>
      <c r="G296" s="30">
        <v>46146</v>
      </c>
      <c r="H296" t="s">
        <v>1195</v>
      </c>
      <c r="I296">
        <v>2036399.75</v>
      </c>
      <c r="J296" s="123">
        <v>0</v>
      </c>
      <c r="K296" s="123">
        <v>0</v>
      </c>
      <c r="L296" s="123">
        <v>46118</v>
      </c>
      <c r="M296">
        <v>0</v>
      </c>
      <c r="N296">
        <v>0</v>
      </c>
      <c r="O296">
        <v>0</v>
      </c>
      <c r="P296" s="216">
        <v>200949</v>
      </c>
      <c r="Q296" s="217" t="s">
        <v>15</v>
      </c>
      <c r="R296" s="217" t="s">
        <v>554</v>
      </c>
      <c r="S296" s="218">
        <v>0.80019212356580383</v>
      </c>
      <c r="T296" t="s">
        <v>550</v>
      </c>
      <c r="U296" t="s">
        <v>51</v>
      </c>
      <c r="V296" s="219" t="s">
        <v>5986</v>
      </c>
      <c r="W296" s="219" t="s">
        <v>67</v>
      </c>
    </row>
    <row r="297" spans="1:23" ht="15" customHeight="1" x14ac:dyDescent="0.25">
      <c r="A297" t="s">
        <v>1196</v>
      </c>
      <c r="B297" t="s">
        <v>575</v>
      </c>
      <c r="C297">
        <v>164549</v>
      </c>
      <c r="D297" t="s">
        <v>1197</v>
      </c>
      <c r="E297" t="s">
        <v>163</v>
      </c>
      <c r="F297" t="s">
        <v>554</v>
      </c>
      <c r="G297" s="30">
        <v>46146</v>
      </c>
      <c r="H297" t="s">
        <v>1198</v>
      </c>
      <c r="I297">
        <v>1316372.75</v>
      </c>
      <c r="J297" s="123">
        <v>0</v>
      </c>
      <c r="K297" s="123">
        <v>0</v>
      </c>
      <c r="L297" s="123">
        <v>46143</v>
      </c>
      <c r="M297">
        <v>0</v>
      </c>
      <c r="N297">
        <v>0</v>
      </c>
      <c r="O297">
        <v>0</v>
      </c>
      <c r="P297" s="216">
        <v>164549</v>
      </c>
      <c r="Q297" s="217" t="s">
        <v>15</v>
      </c>
      <c r="R297" s="217" t="s">
        <v>554</v>
      </c>
      <c r="S297" s="218">
        <v>0.75000987547782116</v>
      </c>
      <c r="T297" t="s">
        <v>550</v>
      </c>
      <c r="U297" t="s">
        <v>51</v>
      </c>
      <c r="V297" s="219" t="s">
        <v>5987</v>
      </c>
      <c r="W297" s="219" t="s">
        <v>67</v>
      </c>
    </row>
    <row r="298" spans="1:23" ht="15" customHeight="1" x14ac:dyDescent="0.25">
      <c r="A298" t="s">
        <v>1199</v>
      </c>
      <c r="B298" t="s">
        <v>575</v>
      </c>
      <c r="C298">
        <v>99170</v>
      </c>
      <c r="D298" t="s">
        <v>1200</v>
      </c>
      <c r="E298" t="s">
        <v>163</v>
      </c>
      <c r="F298" t="s">
        <v>580</v>
      </c>
      <c r="G298" s="30">
        <v>46149</v>
      </c>
      <c r="H298" t="s">
        <v>1201</v>
      </c>
      <c r="I298">
        <v>988776.25</v>
      </c>
      <c r="J298" s="123">
        <v>0</v>
      </c>
      <c r="K298" s="123">
        <v>0</v>
      </c>
      <c r="L298" s="123">
        <v>46125</v>
      </c>
      <c r="M298">
        <v>0</v>
      </c>
      <c r="N298">
        <v>0</v>
      </c>
      <c r="O298">
        <v>0</v>
      </c>
      <c r="P298" s="216">
        <v>99170</v>
      </c>
      <c r="Q298" s="217" t="s">
        <v>15</v>
      </c>
      <c r="R298" s="217" t="s">
        <v>582</v>
      </c>
      <c r="S298" s="218">
        <v>0.7000607289133407</v>
      </c>
      <c r="T298" t="s">
        <v>550</v>
      </c>
      <c r="U298" t="s">
        <v>51</v>
      </c>
      <c r="V298" s="219">
        <v>0</v>
      </c>
      <c r="W298" s="219">
        <v>0</v>
      </c>
    </row>
    <row r="299" spans="1:23" ht="15" customHeight="1" x14ac:dyDescent="0.25">
      <c r="A299" t="s">
        <v>1202</v>
      </c>
      <c r="B299" t="s">
        <v>546</v>
      </c>
      <c r="C299">
        <v>50000</v>
      </c>
      <c r="D299" t="s">
        <v>1203</v>
      </c>
      <c r="E299" t="s">
        <v>163</v>
      </c>
      <c r="F299" t="s">
        <v>548</v>
      </c>
      <c r="G299" s="30">
        <v>46143</v>
      </c>
      <c r="H299" t="s">
        <v>1204</v>
      </c>
      <c r="I299">
        <v>994378</v>
      </c>
      <c r="J299" s="123">
        <v>0</v>
      </c>
      <c r="K299" s="123">
        <v>0</v>
      </c>
      <c r="L299" s="123">
        <v>0</v>
      </c>
      <c r="M299">
        <v>0</v>
      </c>
      <c r="N299">
        <v>0</v>
      </c>
      <c r="O299">
        <v>0</v>
      </c>
      <c r="P299" s="216">
        <v>50000</v>
      </c>
      <c r="Q299" s="217" t="s">
        <v>15</v>
      </c>
      <c r="R299" s="217" t="s">
        <v>62</v>
      </c>
      <c r="S299" s="218">
        <v>0.70519860072959739</v>
      </c>
      <c r="T299" t="s">
        <v>550</v>
      </c>
      <c r="U299" t="s">
        <v>51</v>
      </c>
      <c r="V299" s="219">
        <v>0</v>
      </c>
      <c r="W299" s="219">
        <v>0</v>
      </c>
    </row>
    <row r="300" spans="1:23" ht="15" customHeight="1" x14ac:dyDescent="0.25">
      <c r="A300" t="s">
        <v>1205</v>
      </c>
      <c r="B300" t="s">
        <v>546</v>
      </c>
      <c r="C300">
        <v>50000</v>
      </c>
      <c r="D300" t="s">
        <v>1203</v>
      </c>
      <c r="E300" t="s">
        <v>163</v>
      </c>
      <c r="F300" t="s">
        <v>548</v>
      </c>
      <c r="G300" s="30">
        <v>46143</v>
      </c>
      <c r="H300" t="s">
        <v>1204</v>
      </c>
      <c r="I300">
        <v>994378</v>
      </c>
      <c r="J300" s="123">
        <v>0</v>
      </c>
      <c r="K300" s="123">
        <v>0</v>
      </c>
      <c r="L300" s="123">
        <v>0</v>
      </c>
      <c r="M300">
        <v>0</v>
      </c>
      <c r="N300">
        <v>0</v>
      </c>
      <c r="O300">
        <v>0</v>
      </c>
      <c r="P300" s="216">
        <v>50000</v>
      </c>
      <c r="Q300" s="217" t="s">
        <v>15</v>
      </c>
      <c r="R300" s="217" t="s">
        <v>62</v>
      </c>
      <c r="S300" s="218">
        <v>0.70519860072959739</v>
      </c>
      <c r="T300" t="s">
        <v>550</v>
      </c>
      <c r="U300" t="s">
        <v>51</v>
      </c>
      <c r="V300" s="219">
        <v>0</v>
      </c>
      <c r="W300" s="219">
        <v>0</v>
      </c>
    </row>
    <row r="301" spans="1:23" ht="15" customHeight="1" x14ac:dyDescent="0.25">
      <c r="A301" t="s">
        <v>1206</v>
      </c>
      <c r="B301" t="s">
        <v>546</v>
      </c>
      <c r="C301">
        <v>50000</v>
      </c>
      <c r="D301" t="s">
        <v>1203</v>
      </c>
      <c r="E301" t="s">
        <v>163</v>
      </c>
      <c r="F301" t="s">
        <v>548</v>
      </c>
      <c r="G301" s="30">
        <v>46144</v>
      </c>
      <c r="H301" t="s">
        <v>1204</v>
      </c>
      <c r="I301">
        <v>994378</v>
      </c>
      <c r="J301" s="123">
        <v>0</v>
      </c>
      <c r="K301" s="123">
        <v>0</v>
      </c>
      <c r="L301" s="123">
        <v>0</v>
      </c>
      <c r="M301">
        <v>0</v>
      </c>
      <c r="N301">
        <v>0</v>
      </c>
      <c r="O301">
        <v>0</v>
      </c>
      <c r="P301" s="216">
        <v>50000</v>
      </c>
      <c r="Q301" s="217" t="s">
        <v>15</v>
      </c>
      <c r="R301" s="217" t="s">
        <v>62</v>
      </c>
      <c r="S301" s="218">
        <v>0.70519860072959739</v>
      </c>
      <c r="T301" t="s">
        <v>550</v>
      </c>
      <c r="U301" t="s">
        <v>51</v>
      </c>
      <c r="V301" s="219">
        <v>0</v>
      </c>
      <c r="W301" s="219">
        <v>0</v>
      </c>
    </row>
    <row r="302" spans="1:23" ht="15" customHeight="1" x14ac:dyDescent="0.25">
      <c r="A302" t="s">
        <v>1207</v>
      </c>
      <c r="B302" t="s">
        <v>546</v>
      </c>
      <c r="C302">
        <v>50000</v>
      </c>
      <c r="D302" t="s">
        <v>1203</v>
      </c>
      <c r="E302" t="s">
        <v>163</v>
      </c>
      <c r="F302" t="s">
        <v>548</v>
      </c>
      <c r="G302" s="30">
        <v>46144</v>
      </c>
      <c r="H302" t="s">
        <v>1204</v>
      </c>
      <c r="I302">
        <v>994378</v>
      </c>
      <c r="J302" s="123">
        <v>0</v>
      </c>
      <c r="K302" s="123">
        <v>0</v>
      </c>
      <c r="L302" s="123">
        <v>0</v>
      </c>
      <c r="M302">
        <v>0</v>
      </c>
      <c r="N302">
        <v>0</v>
      </c>
      <c r="O302">
        <v>0</v>
      </c>
      <c r="P302" s="216">
        <v>50000</v>
      </c>
      <c r="Q302" s="217" t="s">
        <v>15</v>
      </c>
      <c r="R302" s="217" t="s">
        <v>62</v>
      </c>
      <c r="S302" s="218">
        <v>0.70519860072959739</v>
      </c>
      <c r="T302" t="s">
        <v>550</v>
      </c>
      <c r="U302" t="s">
        <v>51</v>
      </c>
      <c r="V302" s="219">
        <v>0</v>
      </c>
      <c r="W302" s="219">
        <v>0</v>
      </c>
    </row>
    <row r="303" spans="1:23" ht="15" customHeight="1" x14ac:dyDescent="0.25">
      <c r="A303" t="s">
        <v>1208</v>
      </c>
      <c r="B303" t="s">
        <v>575</v>
      </c>
      <c r="C303">
        <v>146371</v>
      </c>
      <c r="D303" t="s">
        <v>1209</v>
      </c>
      <c r="E303" t="s">
        <v>163</v>
      </c>
      <c r="F303" t="s">
        <v>585</v>
      </c>
      <c r="G303" s="30">
        <v>46148</v>
      </c>
      <c r="H303" t="s">
        <v>1210</v>
      </c>
      <c r="I303">
        <v>1484021</v>
      </c>
      <c r="J303" s="123">
        <v>0</v>
      </c>
      <c r="K303" s="123">
        <v>0</v>
      </c>
      <c r="L303" s="123">
        <v>46146</v>
      </c>
      <c r="M303">
        <v>0</v>
      </c>
      <c r="N303">
        <v>0</v>
      </c>
      <c r="O303">
        <v>0</v>
      </c>
      <c r="P303" s="216">
        <v>146371</v>
      </c>
      <c r="Q303" s="217" t="s">
        <v>15</v>
      </c>
      <c r="R303" s="217" t="s">
        <v>61</v>
      </c>
      <c r="S303" s="218">
        <v>0.70002283577253654</v>
      </c>
      <c r="T303" t="s">
        <v>550</v>
      </c>
      <c r="U303" t="s">
        <v>51</v>
      </c>
      <c r="V303" s="219">
        <v>0</v>
      </c>
      <c r="W303" s="219">
        <v>0</v>
      </c>
    </row>
    <row r="304" spans="1:23" ht="15" customHeight="1" x14ac:dyDescent="0.25">
      <c r="A304" t="s">
        <v>1211</v>
      </c>
      <c r="B304" t="s">
        <v>575</v>
      </c>
      <c r="C304">
        <v>50000</v>
      </c>
      <c r="D304" t="s">
        <v>1212</v>
      </c>
      <c r="E304" t="s">
        <v>238</v>
      </c>
      <c r="F304" t="s">
        <v>585</v>
      </c>
      <c r="G304" s="30">
        <v>46148</v>
      </c>
      <c r="H304" t="s">
        <v>1213</v>
      </c>
      <c r="I304">
        <v>1554456.75</v>
      </c>
      <c r="J304" s="123">
        <v>0</v>
      </c>
      <c r="K304" s="123">
        <v>0</v>
      </c>
      <c r="L304" s="123">
        <v>46135</v>
      </c>
      <c r="M304">
        <v>0</v>
      </c>
      <c r="N304">
        <v>0</v>
      </c>
      <c r="O304">
        <v>0</v>
      </c>
      <c r="P304" s="216">
        <v>50000</v>
      </c>
      <c r="Q304" s="217" t="s">
        <v>19</v>
      </c>
      <c r="R304" s="217" t="s">
        <v>61</v>
      </c>
      <c r="S304" s="218">
        <v>0.53213516314064402</v>
      </c>
      <c r="T304" t="s">
        <v>550</v>
      </c>
      <c r="U304" t="s">
        <v>51</v>
      </c>
      <c r="V304" s="219">
        <v>0</v>
      </c>
      <c r="W304" s="219">
        <v>0</v>
      </c>
    </row>
    <row r="305" spans="1:23" ht="15" customHeight="1" x14ac:dyDescent="0.25">
      <c r="A305" t="s">
        <v>1214</v>
      </c>
      <c r="B305" t="s">
        <v>546</v>
      </c>
      <c r="C305">
        <v>12583</v>
      </c>
      <c r="D305" t="s">
        <v>1215</v>
      </c>
      <c r="E305" t="s">
        <v>553</v>
      </c>
      <c r="F305" t="s">
        <v>554</v>
      </c>
      <c r="G305" s="30">
        <v>46143</v>
      </c>
      <c r="H305" t="s">
        <v>1216</v>
      </c>
      <c r="I305">
        <v>1324265.25</v>
      </c>
      <c r="J305" s="123">
        <v>46143</v>
      </c>
      <c r="K305" s="123">
        <v>0</v>
      </c>
      <c r="L305" s="123">
        <v>46143</v>
      </c>
      <c r="M305">
        <v>0</v>
      </c>
      <c r="N305">
        <v>0</v>
      </c>
      <c r="O305" t="s">
        <v>556</v>
      </c>
      <c r="P305" s="216">
        <v>12583</v>
      </c>
      <c r="Q305" s="217" t="s">
        <v>15</v>
      </c>
      <c r="R305" s="217" t="s">
        <v>554</v>
      </c>
      <c r="S305" s="218">
        <v>0.80002504798011653</v>
      </c>
      <c r="T305" t="s">
        <v>550</v>
      </c>
      <c r="U305" t="s">
        <v>51</v>
      </c>
      <c r="V305" s="219" t="s">
        <v>5988</v>
      </c>
      <c r="W305" s="219" t="s">
        <v>67</v>
      </c>
    </row>
    <row r="306" spans="1:23" ht="15" customHeight="1" x14ac:dyDescent="0.25">
      <c r="A306" t="s">
        <v>1217</v>
      </c>
      <c r="B306" t="s">
        <v>546</v>
      </c>
      <c r="C306">
        <v>36.51</v>
      </c>
      <c r="D306" t="s">
        <v>1215</v>
      </c>
      <c r="E306" t="s">
        <v>553</v>
      </c>
      <c r="F306" t="s">
        <v>554</v>
      </c>
      <c r="G306" s="30">
        <v>46143</v>
      </c>
      <c r="H306" t="s">
        <v>1216</v>
      </c>
      <c r="I306">
        <v>1324265.25</v>
      </c>
      <c r="J306" s="123">
        <v>46143</v>
      </c>
      <c r="K306" s="123">
        <v>0</v>
      </c>
      <c r="L306" s="123">
        <v>46143</v>
      </c>
      <c r="M306">
        <v>0</v>
      </c>
      <c r="N306">
        <v>0</v>
      </c>
      <c r="O306" t="s">
        <v>556</v>
      </c>
      <c r="P306" s="216">
        <v>36.51</v>
      </c>
      <c r="Q306" s="217" t="s">
        <v>15</v>
      </c>
      <c r="R306" s="217" t="s">
        <v>554</v>
      </c>
      <c r="S306" s="218">
        <v>0.80002504798011653</v>
      </c>
      <c r="T306" t="s">
        <v>550</v>
      </c>
      <c r="U306" t="s">
        <v>51</v>
      </c>
      <c r="V306" s="219" t="s">
        <v>5989</v>
      </c>
      <c r="W306" s="219" t="s">
        <v>67</v>
      </c>
    </row>
    <row r="307" spans="1:23" ht="15" customHeight="1" x14ac:dyDescent="0.25">
      <c r="A307" t="s">
        <v>1218</v>
      </c>
      <c r="B307" t="s">
        <v>546</v>
      </c>
      <c r="C307">
        <v>115541.93</v>
      </c>
      <c r="D307" t="s">
        <v>1219</v>
      </c>
      <c r="E307" t="s">
        <v>553</v>
      </c>
      <c r="F307" t="s">
        <v>548</v>
      </c>
      <c r="G307" s="30">
        <v>46143</v>
      </c>
      <c r="H307" t="s">
        <v>1220</v>
      </c>
      <c r="I307">
        <v>994994</v>
      </c>
      <c r="J307" s="123">
        <v>46143</v>
      </c>
      <c r="K307" s="123">
        <v>0</v>
      </c>
      <c r="L307" s="123">
        <v>46143</v>
      </c>
      <c r="M307">
        <v>0</v>
      </c>
      <c r="N307">
        <v>0</v>
      </c>
      <c r="O307" t="s">
        <v>556</v>
      </c>
      <c r="P307" s="216">
        <v>115541.93</v>
      </c>
      <c r="Q307" s="217" t="s">
        <v>15</v>
      </c>
      <c r="R307" s="217" t="s">
        <v>62</v>
      </c>
      <c r="S307" s="218">
        <v>0.75000069123977997</v>
      </c>
      <c r="T307" t="s">
        <v>550</v>
      </c>
      <c r="U307" t="s">
        <v>51</v>
      </c>
      <c r="V307" s="219">
        <v>0</v>
      </c>
      <c r="W307" s="219">
        <v>0</v>
      </c>
    </row>
    <row r="308" spans="1:23" ht="15" customHeight="1" x14ac:dyDescent="0.25">
      <c r="A308" t="s">
        <v>1221</v>
      </c>
      <c r="B308" t="s">
        <v>546</v>
      </c>
      <c r="C308">
        <v>115541.93</v>
      </c>
      <c r="D308" t="s">
        <v>1219</v>
      </c>
      <c r="E308" t="s">
        <v>553</v>
      </c>
      <c r="F308" t="s">
        <v>548</v>
      </c>
      <c r="G308" s="30">
        <v>46143</v>
      </c>
      <c r="H308" t="s">
        <v>1220</v>
      </c>
      <c r="I308">
        <v>994994</v>
      </c>
      <c r="J308" s="123">
        <v>46143</v>
      </c>
      <c r="K308" s="123">
        <v>0</v>
      </c>
      <c r="L308" s="123">
        <v>46143</v>
      </c>
      <c r="M308">
        <v>0</v>
      </c>
      <c r="N308">
        <v>0</v>
      </c>
      <c r="O308" t="s">
        <v>556</v>
      </c>
      <c r="P308" s="216">
        <v>115541.93</v>
      </c>
      <c r="Q308" s="217" t="s">
        <v>15</v>
      </c>
      <c r="R308" s="217" t="s">
        <v>62</v>
      </c>
      <c r="S308" s="218">
        <v>0.75000069123977997</v>
      </c>
      <c r="T308" t="s">
        <v>550</v>
      </c>
      <c r="U308" t="s">
        <v>51</v>
      </c>
      <c r="V308" s="219">
        <v>0</v>
      </c>
      <c r="W308" s="219">
        <v>0</v>
      </c>
    </row>
    <row r="309" spans="1:23" ht="15" customHeight="1" x14ac:dyDescent="0.25">
      <c r="A309" t="s">
        <v>1222</v>
      </c>
      <c r="B309" t="s">
        <v>546</v>
      </c>
      <c r="C309">
        <v>115541.93</v>
      </c>
      <c r="D309" t="s">
        <v>1219</v>
      </c>
      <c r="E309" t="s">
        <v>553</v>
      </c>
      <c r="F309" t="s">
        <v>548</v>
      </c>
      <c r="G309" s="30">
        <v>46143</v>
      </c>
      <c r="H309" t="s">
        <v>1220</v>
      </c>
      <c r="I309">
        <v>994994</v>
      </c>
      <c r="J309" s="123">
        <v>46143</v>
      </c>
      <c r="K309" s="123">
        <v>0</v>
      </c>
      <c r="L309" s="123">
        <v>46143</v>
      </c>
      <c r="M309">
        <v>0</v>
      </c>
      <c r="N309">
        <v>0</v>
      </c>
      <c r="O309" t="s">
        <v>556</v>
      </c>
      <c r="P309" s="216">
        <v>115541.93</v>
      </c>
      <c r="Q309" s="217" t="s">
        <v>15</v>
      </c>
      <c r="R309" s="217" t="s">
        <v>62</v>
      </c>
      <c r="S309" s="218">
        <v>0.75000069123977997</v>
      </c>
      <c r="T309" t="s">
        <v>550</v>
      </c>
      <c r="U309" t="s">
        <v>51</v>
      </c>
      <c r="V309" s="219">
        <v>0</v>
      </c>
      <c r="W309" s="219">
        <v>0</v>
      </c>
    </row>
    <row r="310" spans="1:23" ht="15" customHeight="1" x14ac:dyDescent="0.25">
      <c r="A310" t="s">
        <v>1223</v>
      </c>
      <c r="B310" t="s">
        <v>546</v>
      </c>
      <c r="C310">
        <v>115541.93</v>
      </c>
      <c r="D310" t="s">
        <v>1219</v>
      </c>
      <c r="E310" t="s">
        <v>553</v>
      </c>
      <c r="F310" t="s">
        <v>548</v>
      </c>
      <c r="G310" s="30">
        <v>46143</v>
      </c>
      <c r="H310" t="s">
        <v>1220</v>
      </c>
      <c r="I310">
        <v>994994</v>
      </c>
      <c r="J310" s="123">
        <v>46143</v>
      </c>
      <c r="K310" s="123">
        <v>0</v>
      </c>
      <c r="L310" s="123">
        <v>46143</v>
      </c>
      <c r="M310">
        <v>0</v>
      </c>
      <c r="N310">
        <v>0</v>
      </c>
      <c r="O310" t="s">
        <v>556</v>
      </c>
      <c r="P310" s="216">
        <v>115541.93</v>
      </c>
      <c r="Q310" s="217" t="s">
        <v>15</v>
      </c>
      <c r="R310" s="217" t="s">
        <v>62</v>
      </c>
      <c r="S310" s="218">
        <v>0.75000069123977997</v>
      </c>
      <c r="T310" t="s">
        <v>550</v>
      </c>
      <c r="U310" t="s">
        <v>51</v>
      </c>
      <c r="V310" s="219">
        <v>0</v>
      </c>
      <c r="W310" s="219">
        <v>0</v>
      </c>
    </row>
    <row r="311" spans="1:23" ht="15" customHeight="1" x14ac:dyDescent="0.25">
      <c r="A311" t="s">
        <v>1224</v>
      </c>
      <c r="B311" t="s">
        <v>546</v>
      </c>
      <c r="C311">
        <v>115541.93</v>
      </c>
      <c r="D311" t="s">
        <v>1219</v>
      </c>
      <c r="E311" t="s">
        <v>553</v>
      </c>
      <c r="F311" t="s">
        <v>548</v>
      </c>
      <c r="G311" s="30">
        <v>46143</v>
      </c>
      <c r="H311" t="s">
        <v>1220</v>
      </c>
      <c r="I311">
        <v>994994</v>
      </c>
      <c r="J311" s="123">
        <v>46143</v>
      </c>
      <c r="K311" s="123">
        <v>0</v>
      </c>
      <c r="L311" s="123">
        <v>46143</v>
      </c>
      <c r="M311">
        <v>0</v>
      </c>
      <c r="N311">
        <v>0</v>
      </c>
      <c r="O311" t="s">
        <v>556</v>
      </c>
      <c r="P311" s="216">
        <v>115541.93</v>
      </c>
      <c r="Q311" s="217" t="s">
        <v>15</v>
      </c>
      <c r="R311" s="217" t="s">
        <v>62</v>
      </c>
      <c r="S311" s="218">
        <v>0.75000069123977997</v>
      </c>
      <c r="T311" t="s">
        <v>550</v>
      </c>
      <c r="U311" t="s">
        <v>51</v>
      </c>
      <c r="V311" s="219">
        <v>0</v>
      </c>
      <c r="W311" s="219">
        <v>0</v>
      </c>
    </row>
    <row r="312" spans="1:23" ht="15" customHeight="1" x14ac:dyDescent="0.25">
      <c r="A312" t="s">
        <v>1225</v>
      </c>
      <c r="B312" t="s">
        <v>546</v>
      </c>
      <c r="C312">
        <v>115541.93</v>
      </c>
      <c r="D312" t="s">
        <v>1219</v>
      </c>
      <c r="E312" t="s">
        <v>553</v>
      </c>
      <c r="F312" t="s">
        <v>554</v>
      </c>
      <c r="G312" s="30">
        <v>46143</v>
      </c>
      <c r="H312" t="s">
        <v>1220</v>
      </c>
      <c r="I312">
        <v>994994</v>
      </c>
      <c r="J312" s="123">
        <v>46143</v>
      </c>
      <c r="K312" s="123">
        <v>0</v>
      </c>
      <c r="L312" s="123">
        <v>46143</v>
      </c>
      <c r="M312">
        <v>0</v>
      </c>
      <c r="N312">
        <v>0</v>
      </c>
      <c r="O312" t="s">
        <v>556</v>
      </c>
      <c r="P312" s="216">
        <v>115541.93</v>
      </c>
      <c r="Q312" s="217" t="s">
        <v>15</v>
      </c>
      <c r="R312" s="217" t="s">
        <v>554</v>
      </c>
      <c r="S312" s="218">
        <v>0.75000069123977997</v>
      </c>
      <c r="T312" t="s">
        <v>550</v>
      </c>
      <c r="U312" t="s">
        <v>51</v>
      </c>
      <c r="V312" s="219" t="s">
        <v>5990</v>
      </c>
      <c r="W312" s="219" t="s">
        <v>67</v>
      </c>
    </row>
    <row r="313" spans="1:23" ht="15" customHeight="1" x14ac:dyDescent="0.25">
      <c r="A313" t="s">
        <v>1226</v>
      </c>
      <c r="B313" t="s">
        <v>64</v>
      </c>
      <c r="C313">
        <v>111000</v>
      </c>
      <c r="D313" t="s">
        <v>1227</v>
      </c>
      <c r="E313" t="s">
        <v>1126</v>
      </c>
      <c r="F313" t="s">
        <v>554</v>
      </c>
      <c r="G313" s="30">
        <v>46146</v>
      </c>
      <c r="H313" t="s">
        <v>1228</v>
      </c>
      <c r="I313">
        <v>1110205.25</v>
      </c>
      <c r="J313" s="123">
        <v>0</v>
      </c>
      <c r="K313" s="123">
        <v>46144</v>
      </c>
      <c r="L313" s="123">
        <v>0</v>
      </c>
      <c r="M313">
        <v>0</v>
      </c>
      <c r="N313">
        <v>0</v>
      </c>
      <c r="O313" t="s">
        <v>556</v>
      </c>
      <c r="P313" s="216">
        <v>111000</v>
      </c>
      <c r="Q313" s="217" t="s">
        <v>15</v>
      </c>
      <c r="R313" s="217" t="s">
        <v>554</v>
      </c>
      <c r="S313" s="218">
        <v>0.80021513266401667</v>
      </c>
      <c r="T313" t="s">
        <v>550</v>
      </c>
      <c r="U313" t="s">
        <v>51</v>
      </c>
      <c r="V313" s="219" t="s">
        <v>5991</v>
      </c>
      <c r="W313" s="219" t="s">
        <v>67</v>
      </c>
    </row>
    <row r="314" spans="1:23" ht="15" customHeight="1" x14ac:dyDescent="0.25">
      <c r="A314" t="s">
        <v>1229</v>
      </c>
      <c r="B314" t="s">
        <v>575</v>
      </c>
      <c r="C314">
        <v>137925</v>
      </c>
      <c r="D314" t="s">
        <v>1230</v>
      </c>
      <c r="E314" t="s">
        <v>218</v>
      </c>
      <c r="F314" t="s">
        <v>683</v>
      </c>
      <c r="G314" s="30">
        <v>46143</v>
      </c>
      <c r="H314" t="s">
        <v>1231</v>
      </c>
      <c r="I314">
        <v>1373160.25</v>
      </c>
      <c r="J314" s="123">
        <v>0</v>
      </c>
      <c r="K314" s="123">
        <v>0</v>
      </c>
      <c r="L314" s="123">
        <v>46142</v>
      </c>
      <c r="M314">
        <v>0</v>
      </c>
      <c r="N314">
        <v>0</v>
      </c>
      <c r="O314">
        <v>0</v>
      </c>
      <c r="P314" s="216">
        <v>137925</v>
      </c>
      <c r="Q314" s="217" t="s">
        <v>13</v>
      </c>
      <c r="R314" s="217" t="s">
        <v>62</v>
      </c>
      <c r="S314" s="218">
        <v>0.69753599643395214</v>
      </c>
      <c r="T314" t="s">
        <v>550</v>
      </c>
      <c r="U314" t="s">
        <v>51</v>
      </c>
      <c r="V314" s="219">
        <v>0</v>
      </c>
      <c r="W314" s="219">
        <v>0</v>
      </c>
    </row>
    <row r="315" spans="1:23" ht="15" customHeight="1" x14ac:dyDescent="0.25">
      <c r="A315" t="s">
        <v>1232</v>
      </c>
      <c r="B315" t="s">
        <v>575</v>
      </c>
      <c r="C315">
        <v>137925</v>
      </c>
      <c r="D315" t="s">
        <v>1230</v>
      </c>
      <c r="E315" t="s">
        <v>218</v>
      </c>
      <c r="F315" t="s">
        <v>585</v>
      </c>
      <c r="G315" s="30">
        <v>46143</v>
      </c>
      <c r="H315" t="s">
        <v>1231</v>
      </c>
      <c r="I315">
        <v>1373160.25</v>
      </c>
      <c r="J315" s="123">
        <v>0</v>
      </c>
      <c r="K315" s="123">
        <v>0</v>
      </c>
      <c r="L315" s="123">
        <v>46172</v>
      </c>
      <c r="M315">
        <v>0</v>
      </c>
      <c r="N315">
        <v>0</v>
      </c>
      <c r="O315">
        <v>0</v>
      </c>
      <c r="P315" s="216">
        <v>137925</v>
      </c>
      <c r="Q315" s="217" t="s">
        <v>13</v>
      </c>
      <c r="R315" s="217" t="s">
        <v>61</v>
      </c>
      <c r="S315" s="218">
        <v>0.69753599643395214</v>
      </c>
      <c r="T315" t="s">
        <v>550</v>
      </c>
      <c r="U315" t="s">
        <v>51</v>
      </c>
      <c r="V315" s="219">
        <v>0</v>
      </c>
      <c r="W315" s="219">
        <v>0</v>
      </c>
    </row>
    <row r="316" spans="1:23" ht="15" customHeight="1" x14ac:dyDescent="0.25">
      <c r="A316" t="s">
        <v>1233</v>
      </c>
      <c r="B316" t="s">
        <v>575</v>
      </c>
      <c r="C316">
        <v>137295</v>
      </c>
      <c r="D316" t="s">
        <v>1230</v>
      </c>
      <c r="E316" t="s">
        <v>218</v>
      </c>
      <c r="F316" t="s">
        <v>585</v>
      </c>
      <c r="G316" s="30">
        <v>46148</v>
      </c>
      <c r="H316" t="s">
        <v>1231</v>
      </c>
      <c r="I316">
        <v>1373160.25</v>
      </c>
      <c r="J316" s="123">
        <v>0</v>
      </c>
      <c r="K316" s="123">
        <v>0</v>
      </c>
      <c r="L316" s="123">
        <v>46142</v>
      </c>
      <c r="M316">
        <v>0</v>
      </c>
      <c r="N316">
        <v>0</v>
      </c>
      <c r="O316">
        <v>0</v>
      </c>
      <c r="P316" s="216">
        <v>137295</v>
      </c>
      <c r="Q316" s="217" t="s">
        <v>13</v>
      </c>
      <c r="R316" s="217" t="s">
        <v>61</v>
      </c>
      <c r="S316" s="218">
        <v>0.69753599643395214</v>
      </c>
      <c r="T316" t="s">
        <v>550</v>
      </c>
      <c r="U316" t="s">
        <v>51</v>
      </c>
      <c r="V316" s="219">
        <v>0</v>
      </c>
      <c r="W316" s="219">
        <v>0</v>
      </c>
    </row>
    <row r="317" spans="1:23" ht="15" customHeight="1" x14ac:dyDescent="0.25">
      <c r="A317" t="s">
        <v>1234</v>
      </c>
      <c r="B317" t="s">
        <v>595</v>
      </c>
      <c r="C317">
        <v>162685</v>
      </c>
      <c r="D317" t="s">
        <v>1235</v>
      </c>
      <c r="E317" t="s">
        <v>163</v>
      </c>
      <c r="F317" t="s">
        <v>554</v>
      </c>
      <c r="G317" s="30">
        <v>46144</v>
      </c>
      <c r="H317" t="s">
        <v>1236</v>
      </c>
      <c r="I317">
        <v>1293985</v>
      </c>
      <c r="J317" s="123">
        <v>0</v>
      </c>
      <c r="K317" s="123">
        <v>0</v>
      </c>
      <c r="L317" s="123">
        <v>46135</v>
      </c>
      <c r="M317">
        <v>0</v>
      </c>
      <c r="N317">
        <v>0</v>
      </c>
      <c r="O317">
        <v>0</v>
      </c>
      <c r="P317" s="216">
        <v>162685</v>
      </c>
      <c r="Q317" s="217" t="s">
        <v>15</v>
      </c>
      <c r="R317" s="217" t="s">
        <v>554</v>
      </c>
      <c r="S317" s="218">
        <v>0.749962396615657</v>
      </c>
      <c r="T317" t="s">
        <v>550</v>
      </c>
      <c r="U317" t="s">
        <v>51</v>
      </c>
      <c r="V317" s="219" t="s">
        <v>5992</v>
      </c>
      <c r="W317" s="219" t="s">
        <v>67</v>
      </c>
    </row>
    <row r="318" spans="1:23" ht="15" customHeight="1" x14ac:dyDescent="0.25">
      <c r="A318" t="s">
        <v>1237</v>
      </c>
      <c r="B318" t="s">
        <v>603</v>
      </c>
      <c r="C318">
        <v>124075</v>
      </c>
      <c r="D318" t="s">
        <v>1238</v>
      </c>
      <c r="E318" t="s">
        <v>605</v>
      </c>
      <c r="F318" t="s">
        <v>554</v>
      </c>
      <c r="G318" s="30">
        <v>46147</v>
      </c>
      <c r="H318" t="s">
        <v>1239</v>
      </c>
      <c r="I318">
        <v>1316988.75</v>
      </c>
      <c r="J318" s="123">
        <v>46147</v>
      </c>
      <c r="K318" s="123">
        <v>0</v>
      </c>
      <c r="L318" s="123">
        <v>0</v>
      </c>
      <c r="M318">
        <v>0</v>
      </c>
      <c r="N318">
        <v>0</v>
      </c>
      <c r="O318">
        <v>0</v>
      </c>
      <c r="P318" s="216">
        <v>124075</v>
      </c>
      <c r="Q318" s="217" t="s">
        <v>15</v>
      </c>
      <c r="R318" s="217" t="s">
        <v>554</v>
      </c>
      <c r="S318" s="218">
        <v>0.800000607721712</v>
      </c>
      <c r="T318" t="s">
        <v>550</v>
      </c>
      <c r="U318" t="s">
        <v>51</v>
      </c>
      <c r="V318" s="219" t="s">
        <v>5993</v>
      </c>
      <c r="W318" s="219" t="s">
        <v>67</v>
      </c>
    </row>
    <row r="319" spans="1:23" ht="15" customHeight="1" x14ac:dyDescent="0.25">
      <c r="A319" t="s">
        <v>1240</v>
      </c>
      <c r="B319" t="s">
        <v>575</v>
      </c>
      <c r="C319">
        <v>59600</v>
      </c>
      <c r="D319" t="s">
        <v>1241</v>
      </c>
      <c r="E319" t="s">
        <v>218</v>
      </c>
      <c r="F319" t="s">
        <v>585</v>
      </c>
      <c r="G319" s="30">
        <v>46146</v>
      </c>
      <c r="H319" t="s">
        <v>1242</v>
      </c>
      <c r="I319">
        <v>1316988.75</v>
      </c>
      <c r="J319" s="123">
        <v>0</v>
      </c>
      <c r="K319" s="123">
        <v>0</v>
      </c>
      <c r="L319" s="123">
        <v>46140</v>
      </c>
      <c r="M319">
        <v>0</v>
      </c>
      <c r="N319">
        <v>0</v>
      </c>
      <c r="O319">
        <v>0</v>
      </c>
      <c r="P319" s="216">
        <v>59600</v>
      </c>
      <c r="Q319" s="217" t="s">
        <v>13</v>
      </c>
      <c r="R319" s="217" t="s">
        <v>61</v>
      </c>
      <c r="S319" s="218">
        <v>0.62493119070915049</v>
      </c>
      <c r="T319" t="s">
        <v>550</v>
      </c>
      <c r="U319" t="s">
        <v>51</v>
      </c>
      <c r="V319" s="219">
        <v>0</v>
      </c>
      <c r="W319" s="219">
        <v>0</v>
      </c>
    </row>
    <row r="320" spans="1:23" ht="15" customHeight="1" x14ac:dyDescent="0.25">
      <c r="A320" t="s">
        <v>1243</v>
      </c>
      <c r="B320" t="s">
        <v>595</v>
      </c>
      <c r="C320">
        <v>42841</v>
      </c>
      <c r="D320" t="s">
        <v>1241</v>
      </c>
      <c r="E320" t="s">
        <v>218</v>
      </c>
      <c r="F320" t="s">
        <v>554</v>
      </c>
      <c r="G320" s="30">
        <v>46146</v>
      </c>
      <c r="H320" t="s">
        <v>1242</v>
      </c>
      <c r="I320">
        <v>1316988.75</v>
      </c>
      <c r="J320" s="123">
        <v>0</v>
      </c>
      <c r="K320" s="123">
        <v>0</v>
      </c>
      <c r="L320" s="123">
        <v>46136</v>
      </c>
      <c r="M320">
        <v>0</v>
      </c>
      <c r="N320">
        <v>0</v>
      </c>
      <c r="O320">
        <v>0</v>
      </c>
      <c r="P320" s="216">
        <v>42841</v>
      </c>
      <c r="Q320" s="217" t="s">
        <v>13</v>
      </c>
      <c r="R320" s="217" t="s">
        <v>554</v>
      </c>
      <c r="S320" s="218">
        <v>0.62493119070915049</v>
      </c>
      <c r="T320" t="s">
        <v>550</v>
      </c>
      <c r="U320" t="s">
        <v>51</v>
      </c>
      <c r="V320" s="219">
        <v>0</v>
      </c>
      <c r="W320" s="219" t="s">
        <v>72</v>
      </c>
    </row>
    <row r="321" spans="1:23" ht="15" customHeight="1" x14ac:dyDescent="0.25">
      <c r="A321" t="s">
        <v>1244</v>
      </c>
      <c r="B321" t="s">
        <v>595</v>
      </c>
      <c r="C321">
        <v>21499</v>
      </c>
      <c r="D321" t="s">
        <v>1241</v>
      </c>
      <c r="E321" t="s">
        <v>218</v>
      </c>
      <c r="F321" t="s">
        <v>554</v>
      </c>
      <c r="G321" s="30">
        <v>46146</v>
      </c>
      <c r="H321" t="s">
        <v>1242</v>
      </c>
      <c r="I321">
        <v>1316988.75</v>
      </c>
      <c r="J321" s="123">
        <v>0</v>
      </c>
      <c r="K321" s="123">
        <v>0</v>
      </c>
      <c r="L321" s="123">
        <v>46129</v>
      </c>
      <c r="M321">
        <v>0</v>
      </c>
      <c r="N321">
        <v>0</v>
      </c>
      <c r="O321">
        <v>0</v>
      </c>
      <c r="P321" s="216">
        <v>21499</v>
      </c>
      <c r="Q321" s="217" t="s">
        <v>13</v>
      </c>
      <c r="R321" s="217" t="s">
        <v>554</v>
      </c>
      <c r="S321" s="218">
        <v>0.62493119070915049</v>
      </c>
      <c r="T321" t="s">
        <v>550</v>
      </c>
      <c r="U321" t="s">
        <v>51</v>
      </c>
      <c r="V321" s="219">
        <v>0</v>
      </c>
      <c r="W321" s="219" t="s">
        <v>72</v>
      </c>
    </row>
    <row r="322" spans="1:23" ht="15" customHeight="1" x14ac:dyDescent="0.25">
      <c r="A322" t="s">
        <v>1245</v>
      </c>
      <c r="B322" t="s">
        <v>595</v>
      </c>
      <c r="C322">
        <v>42860</v>
      </c>
      <c r="D322" t="s">
        <v>1241</v>
      </c>
      <c r="E322" t="s">
        <v>218</v>
      </c>
      <c r="F322" t="s">
        <v>554</v>
      </c>
      <c r="G322" s="30">
        <v>46146</v>
      </c>
      <c r="H322" t="s">
        <v>1242</v>
      </c>
      <c r="I322">
        <v>1316988.75</v>
      </c>
      <c r="J322" s="123">
        <v>0</v>
      </c>
      <c r="K322" s="123">
        <v>0</v>
      </c>
      <c r="L322" s="123">
        <v>46125</v>
      </c>
      <c r="M322">
        <v>0</v>
      </c>
      <c r="N322">
        <v>0</v>
      </c>
      <c r="O322">
        <v>0</v>
      </c>
      <c r="P322" s="216">
        <v>42860</v>
      </c>
      <c r="Q322" s="217" t="s">
        <v>13</v>
      </c>
      <c r="R322" s="217" t="s">
        <v>554</v>
      </c>
      <c r="S322" s="218">
        <v>0.62493119070915049</v>
      </c>
      <c r="T322" t="s">
        <v>550</v>
      </c>
      <c r="U322" t="s">
        <v>51</v>
      </c>
      <c r="V322" s="219">
        <v>0</v>
      </c>
      <c r="W322" s="219" t="s">
        <v>72</v>
      </c>
    </row>
    <row r="323" spans="1:23" ht="15" customHeight="1" x14ac:dyDescent="0.25">
      <c r="A323" t="s">
        <v>1246</v>
      </c>
      <c r="B323" t="s">
        <v>546</v>
      </c>
      <c r="C323">
        <v>65048</v>
      </c>
      <c r="D323" t="s">
        <v>1247</v>
      </c>
      <c r="E323" t="s">
        <v>553</v>
      </c>
      <c r="F323" t="s">
        <v>554</v>
      </c>
      <c r="G323" s="30">
        <v>46146</v>
      </c>
      <c r="H323" t="s">
        <v>1248</v>
      </c>
      <c r="I323">
        <v>1316988.75</v>
      </c>
      <c r="J323" s="123">
        <v>46146</v>
      </c>
      <c r="K323" s="123">
        <v>0</v>
      </c>
      <c r="L323" s="123">
        <v>46146</v>
      </c>
      <c r="M323">
        <v>0</v>
      </c>
      <c r="N323">
        <v>0</v>
      </c>
      <c r="O323" t="s">
        <v>556</v>
      </c>
      <c r="P323" s="216">
        <v>65048</v>
      </c>
      <c r="Q323" s="217" t="s">
        <v>15</v>
      </c>
      <c r="R323" s="217" t="s">
        <v>554</v>
      </c>
      <c r="S323" s="218">
        <v>0.74999924034785992</v>
      </c>
      <c r="T323" t="s">
        <v>550</v>
      </c>
      <c r="U323" t="s">
        <v>51</v>
      </c>
      <c r="V323" s="219" t="s">
        <v>5994</v>
      </c>
      <c r="W323" s="219" t="s">
        <v>67</v>
      </c>
    </row>
    <row r="324" spans="1:23" ht="15" customHeight="1" x14ac:dyDescent="0.25">
      <c r="A324" t="s">
        <v>1249</v>
      </c>
      <c r="B324" t="s">
        <v>546</v>
      </c>
      <c r="C324">
        <v>99500</v>
      </c>
      <c r="D324" t="s">
        <v>1247</v>
      </c>
      <c r="E324" t="s">
        <v>553</v>
      </c>
      <c r="F324" t="s">
        <v>554</v>
      </c>
      <c r="G324" s="30">
        <v>46146</v>
      </c>
      <c r="H324" t="s">
        <v>1248</v>
      </c>
      <c r="I324">
        <v>1316988.75</v>
      </c>
      <c r="J324" s="123">
        <v>46146</v>
      </c>
      <c r="K324" s="123">
        <v>0</v>
      </c>
      <c r="L324" s="123">
        <v>46146</v>
      </c>
      <c r="M324">
        <v>0</v>
      </c>
      <c r="N324">
        <v>0</v>
      </c>
      <c r="O324" t="s">
        <v>556</v>
      </c>
      <c r="P324" s="216">
        <v>99500</v>
      </c>
      <c r="Q324" s="217" t="s">
        <v>15</v>
      </c>
      <c r="R324" s="217" t="s">
        <v>554</v>
      </c>
      <c r="S324" s="218">
        <v>0.74999924034785992</v>
      </c>
      <c r="T324" t="s">
        <v>550</v>
      </c>
      <c r="U324" t="s">
        <v>51</v>
      </c>
      <c r="V324" s="219" t="s">
        <v>5995</v>
      </c>
      <c r="W324" s="219" t="s">
        <v>67</v>
      </c>
    </row>
    <row r="325" spans="1:23" ht="15" customHeight="1" x14ac:dyDescent="0.25">
      <c r="A325" t="s">
        <v>1250</v>
      </c>
      <c r="B325" t="s">
        <v>575</v>
      </c>
      <c r="C325">
        <v>162735</v>
      </c>
      <c r="D325" t="s">
        <v>1251</v>
      </c>
      <c r="E325" t="s">
        <v>163</v>
      </c>
      <c r="F325" t="s">
        <v>554</v>
      </c>
      <c r="G325" s="30">
        <v>46146</v>
      </c>
      <c r="H325" t="s">
        <v>1252</v>
      </c>
      <c r="I325">
        <v>1293985</v>
      </c>
      <c r="J325" s="123">
        <v>0</v>
      </c>
      <c r="K325" s="123">
        <v>0</v>
      </c>
      <c r="L325" s="123">
        <v>46143</v>
      </c>
      <c r="M325">
        <v>0</v>
      </c>
      <c r="N325">
        <v>0</v>
      </c>
      <c r="O325">
        <v>0</v>
      </c>
      <c r="P325" s="216">
        <v>162735</v>
      </c>
      <c r="Q325" s="217" t="s">
        <v>15</v>
      </c>
      <c r="R325" s="217" t="s">
        <v>554</v>
      </c>
      <c r="S325" s="218">
        <v>0.75158588269633664</v>
      </c>
      <c r="T325" t="s">
        <v>550</v>
      </c>
      <c r="U325" t="s">
        <v>51</v>
      </c>
      <c r="V325" s="219" t="s">
        <v>5996</v>
      </c>
      <c r="W325" s="219" t="s">
        <v>67</v>
      </c>
    </row>
    <row r="326" spans="1:23" ht="15" customHeight="1" x14ac:dyDescent="0.25">
      <c r="A326" t="s">
        <v>1253</v>
      </c>
      <c r="B326" t="s">
        <v>546</v>
      </c>
      <c r="C326">
        <v>45000</v>
      </c>
      <c r="D326" t="s">
        <v>1254</v>
      </c>
      <c r="E326" t="s">
        <v>553</v>
      </c>
      <c r="F326" t="s">
        <v>548</v>
      </c>
      <c r="G326" s="30">
        <v>46147</v>
      </c>
      <c r="H326" t="s">
        <v>1255</v>
      </c>
      <c r="I326">
        <v>1110205.25</v>
      </c>
      <c r="J326" s="123">
        <v>46147</v>
      </c>
      <c r="K326" s="123">
        <v>0</v>
      </c>
      <c r="L326" s="123">
        <v>46147</v>
      </c>
      <c r="M326">
        <v>0</v>
      </c>
      <c r="N326">
        <v>0</v>
      </c>
      <c r="O326" t="s">
        <v>556</v>
      </c>
      <c r="P326" s="216">
        <v>45000</v>
      </c>
      <c r="Q326" s="217" t="s">
        <v>15</v>
      </c>
      <c r="R326" s="217" t="s">
        <v>62</v>
      </c>
      <c r="S326" s="218">
        <v>0.62590812583008615</v>
      </c>
      <c r="T326" t="s">
        <v>550</v>
      </c>
      <c r="U326" t="s">
        <v>51</v>
      </c>
      <c r="V326" s="219">
        <v>0</v>
      </c>
      <c r="W326" s="219">
        <v>0</v>
      </c>
    </row>
    <row r="327" spans="1:23" ht="15" customHeight="1" x14ac:dyDescent="0.25">
      <c r="A327" t="s">
        <v>1256</v>
      </c>
      <c r="B327" t="s">
        <v>575</v>
      </c>
      <c r="C327">
        <v>45000</v>
      </c>
      <c r="D327" t="s">
        <v>1254</v>
      </c>
      <c r="E327" t="s">
        <v>163</v>
      </c>
      <c r="F327" t="s">
        <v>1257</v>
      </c>
      <c r="G327" s="30">
        <v>46148</v>
      </c>
      <c r="H327" t="s">
        <v>1255</v>
      </c>
      <c r="I327">
        <v>1110205.25</v>
      </c>
      <c r="J327" s="123">
        <v>0</v>
      </c>
      <c r="K327" s="123">
        <v>0</v>
      </c>
      <c r="L327" s="123">
        <v>46147</v>
      </c>
      <c r="M327">
        <v>0</v>
      </c>
      <c r="N327">
        <v>0</v>
      </c>
      <c r="O327">
        <v>0</v>
      </c>
      <c r="P327" s="216">
        <v>45000</v>
      </c>
      <c r="Q327" s="217" t="s">
        <v>15</v>
      </c>
      <c r="R327" s="217" t="s">
        <v>582</v>
      </c>
      <c r="S327" s="218">
        <v>0.62590812583008615</v>
      </c>
      <c r="T327" t="s">
        <v>550</v>
      </c>
      <c r="U327" t="s">
        <v>51</v>
      </c>
      <c r="V327" s="219">
        <v>0</v>
      </c>
      <c r="W327" s="219">
        <v>0</v>
      </c>
    </row>
    <row r="328" spans="1:23" ht="15" customHeight="1" x14ac:dyDescent="0.25">
      <c r="A328" t="s">
        <v>1258</v>
      </c>
      <c r="B328" t="s">
        <v>595</v>
      </c>
      <c r="C328">
        <v>79470</v>
      </c>
      <c r="D328" t="s">
        <v>1259</v>
      </c>
      <c r="E328" t="s">
        <v>163</v>
      </c>
      <c r="F328" t="s">
        <v>554</v>
      </c>
      <c r="G328" s="30">
        <v>46146</v>
      </c>
      <c r="H328" t="s">
        <v>1260</v>
      </c>
      <c r="I328">
        <v>1314082</v>
      </c>
      <c r="J328" s="123">
        <v>0</v>
      </c>
      <c r="K328" s="123">
        <v>0</v>
      </c>
      <c r="L328" s="123">
        <v>46142</v>
      </c>
      <c r="M328">
        <v>0</v>
      </c>
      <c r="N328">
        <v>0</v>
      </c>
      <c r="O328">
        <v>0</v>
      </c>
      <c r="P328" s="216">
        <v>79470</v>
      </c>
      <c r="Q328" s="217" t="s">
        <v>15</v>
      </c>
      <c r="R328" s="217" t="s">
        <v>554</v>
      </c>
      <c r="S328" s="218">
        <v>0.79883475290323191</v>
      </c>
      <c r="T328" t="s">
        <v>550</v>
      </c>
      <c r="U328" t="s">
        <v>51</v>
      </c>
      <c r="V328" s="219" t="s">
        <v>5997</v>
      </c>
      <c r="W328" s="219" t="s">
        <v>67</v>
      </c>
    </row>
    <row r="329" spans="1:23" ht="15" customHeight="1" x14ac:dyDescent="0.25">
      <c r="A329" t="s">
        <v>1261</v>
      </c>
      <c r="B329" t="s">
        <v>575</v>
      </c>
      <c r="C329">
        <v>55000</v>
      </c>
      <c r="D329" t="s">
        <v>1262</v>
      </c>
      <c r="E329" t="s">
        <v>163</v>
      </c>
      <c r="F329" t="s">
        <v>554</v>
      </c>
      <c r="G329" s="30">
        <v>46143</v>
      </c>
      <c r="H329" t="s">
        <v>1263</v>
      </c>
      <c r="I329">
        <v>1555688.75</v>
      </c>
      <c r="J329" s="123">
        <v>0</v>
      </c>
      <c r="K329" s="123">
        <v>0</v>
      </c>
      <c r="L329" s="123">
        <v>46135</v>
      </c>
      <c r="M329">
        <v>0</v>
      </c>
      <c r="N329">
        <v>0</v>
      </c>
      <c r="O329">
        <v>0</v>
      </c>
      <c r="P329" s="216">
        <v>55000</v>
      </c>
      <c r="Q329" s="217" t="s">
        <v>15</v>
      </c>
      <c r="R329" s="217" t="s">
        <v>554</v>
      </c>
      <c r="S329" s="218">
        <v>0.66021364533742821</v>
      </c>
      <c r="T329" t="s">
        <v>550</v>
      </c>
      <c r="U329" t="s">
        <v>51</v>
      </c>
      <c r="V329" s="219" t="s">
        <v>5998</v>
      </c>
      <c r="W329" s="219" t="s">
        <v>67</v>
      </c>
    </row>
    <row r="330" spans="1:23" ht="15" customHeight="1" x14ac:dyDescent="0.25">
      <c r="A330" t="s">
        <v>1264</v>
      </c>
      <c r="B330" t="s">
        <v>546</v>
      </c>
      <c r="C330">
        <v>124997</v>
      </c>
      <c r="D330" t="s">
        <v>1265</v>
      </c>
      <c r="E330" t="s">
        <v>163</v>
      </c>
      <c r="F330" t="s">
        <v>554</v>
      </c>
      <c r="G330" s="30">
        <v>46143</v>
      </c>
      <c r="H330" t="s">
        <v>1266</v>
      </c>
      <c r="I330">
        <v>1003290.75</v>
      </c>
      <c r="J330" s="123">
        <v>0</v>
      </c>
      <c r="K330" s="123">
        <v>0</v>
      </c>
      <c r="L330" s="123">
        <v>0</v>
      </c>
      <c r="M330">
        <v>0</v>
      </c>
      <c r="N330">
        <v>0</v>
      </c>
      <c r="O330">
        <v>0</v>
      </c>
      <c r="P330" s="216">
        <v>124997</v>
      </c>
      <c r="Q330" s="217" t="s">
        <v>15</v>
      </c>
      <c r="R330" s="217" t="s">
        <v>554</v>
      </c>
      <c r="S330" s="218">
        <v>0.75081379397932801</v>
      </c>
      <c r="T330" t="s">
        <v>550</v>
      </c>
      <c r="U330" t="s">
        <v>51</v>
      </c>
      <c r="V330" s="219" t="s">
        <v>5999</v>
      </c>
      <c r="W330" s="219" t="s">
        <v>67</v>
      </c>
    </row>
    <row r="331" spans="1:23" ht="15" customHeight="1" x14ac:dyDescent="0.25">
      <c r="A331" t="s">
        <v>1267</v>
      </c>
      <c r="B331" t="s">
        <v>546</v>
      </c>
      <c r="C331">
        <v>30000</v>
      </c>
      <c r="D331" t="s">
        <v>1268</v>
      </c>
      <c r="E331" t="s">
        <v>163</v>
      </c>
      <c r="F331" t="s">
        <v>554</v>
      </c>
      <c r="G331" s="30">
        <v>46143</v>
      </c>
      <c r="H331" t="s">
        <v>1269</v>
      </c>
      <c r="I331">
        <v>1142737.75</v>
      </c>
      <c r="J331" s="123">
        <v>0</v>
      </c>
      <c r="K331" s="123">
        <v>0</v>
      </c>
      <c r="L331" s="123">
        <v>0</v>
      </c>
      <c r="M331">
        <v>0</v>
      </c>
      <c r="N331">
        <v>0</v>
      </c>
      <c r="O331">
        <v>0</v>
      </c>
      <c r="P331" s="216">
        <v>30000</v>
      </c>
      <c r="Q331" s="217" t="s">
        <v>15</v>
      </c>
      <c r="R331" s="217" t="s">
        <v>554</v>
      </c>
      <c r="S331" s="218">
        <v>0.7461927730937532</v>
      </c>
      <c r="T331" t="s">
        <v>550</v>
      </c>
      <c r="U331" t="s">
        <v>51</v>
      </c>
      <c r="V331" s="219" t="s">
        <v>6000</v>
      </c>
      <c r="W331" s="219" t="s">
        <v>67</v>
      </c>
    </row>
    <row r="332" spans="1:23" ht="15" customHeight="1" x14ac:dyDescent="0.25">
      <c r="A332" t="s">
        <v>1270</v>
      </c>
      <c r="B332" t="s">
        <v>546</v>
      </c>
      <c r="C332">
        <v>30000</v>
      </c>
      <c r="D332" t="s">
        <v>1268</v>
      </c>
      <c r="E332" t="s">
        <v>163</v>
      </c>
      <c r="F332" t="s">
        <v>554</v>
      </c>
      <c r="G332" s="30">
        <v>46143</v>
      </c>
      <c r="H332" t="s">
        <v>1269</v>
      </c>
      <c r="I332">
        <v>1142737.75</v>
      </c>
      <c r="J332" s="123">
        <v>0</v>
      </c>
      <c r="K332" s="123">
        <v>0</v>
      </c>
      <c r="L332" s="123">
        <v>0</v>
      </c>
      <c r="M332">
        <v>0</v>
      </c>
      <c r="N332">
        <v>0</v>
      </c>
      <c r="O332">
        <v>0</v>
      </c>
      <c r="P332" s="216">
        <v>30000</v>
      </c>
      <c r="Q332" s="217" t="s">
        <v>15</v>
      </c>
      <c r="R332" s="217" t="s">
        <v>554</v>
      </c>
      <c r="S332" s="218">
        <v>0.7461927730937532</v>
      </c>
      <c r="T332" t="s">
        <v>550</v>
      </c>
      <c r="U332" t="s">
        <v>51</v>
      </c>
      <c r="V332" s="219" t="s">
        <v>6001</v>
      </c>
      <c r="W332" s="219" t="s">
        <v>67</v>
      </c>
    </row>
    <row r="333" spans="1:23" ht="15" customHeight="1" x14ac:dyDescent="0.25">
      <c r="A333" t="s">
        <v>1271</v>
      </c>
      <c r="B333" t="s">
        <v>546</v>
      </c>
      <c r="C333">
        <v>28062</v>
      </c>
      <c r="D333" t="s">
        <v>1268</v>
      </c>
      <c r="E333" t="s">
        <v>163</v>
      </c>
      <c r="F333" t="s">
        <v>554</v>
      </c>
      <c r="G333" s="30">
        <v>46146</v>
      </c>
      <c r="H333" t="s">
        <v>1269</v>
      </c>
      <c r="I333">
        <v>1142737.75</v>
      </c>
      <c r="J333" s="123">
        <v>0</v>
      </c>
      <c r="K333" s="123">
        <v>0</v>
      </c>
      <c r="L333" s="123">
        <v>0</v>
      </c>
      <c r="M333">
        <v>0</v>
      </c>
      <c r="N333">
        <v>0</v>
      </c>
      <c r="O333">
        <v>0</v>
      </c>
      <c r="P333" s="216">
        <v>28062</v>
      </c>
      <c r="Q333" s="217" t="s">
        <v>15</v>
      </c>
      <c r="R333" s="217" t="s">
        <v>554</v>
      </c>
      <c r="S333" s="218">
        <v>0.7461927730937532</v>
      </c>
      <c r="T333" t="s">
        <v>550</v>
      </c>
      <c r="U333" t="s">
        <v>51</v>
      </c>
      <c r="V333" s="219" t="s">
        <v>6002</v>
      </c>
      <c r="W333" s="219" t="s">
        <v>67</v>
      </c>
    </row>
    <row r="334" spans="1:23" ht="15" customHeight="1" x14ac:dyDescent="0.25">
      <c r="A334" t="s">
        <v>1272</v>
      </c>
      <c r="B334" t="s">
        <v>575</v>
      </c>
      <c r="C334">
        <v>124997</v>
      </c>
      <c r="D334" t="s">
        <v>1273</v>
      </c>
      <c r="E334" t="s">
        <v>163</v>
      </c>
      <c r="F334" t="s">
        <v>554</v>
      </c>
      <c r="G334" s="30">
        <v>46148</v>
      </c>
      <c r="H334" t="s">
        <v>1274</v>
      </c>
      <c r="I334">
        <v>999152</v>
      </c>
      <c r="J334" s="123">
        <v>0</v>
      </c>
      <c r="K334" s="123">
        <v>0</v>
      </c>
      <c r="L334" s="123">
        <v>46129</v>
      </c>
      <c r="M334">
        <v>0</v>
      </c>
      <c r="N334">
        <v>0</v>
      </c>
      <c r="O334">
        <v>0</v>
      </c>
      <c r="P334" s="216">
        <v>124997</v>
      </c>
      <c r="Q334" s="217" t="s">
        <v>15</v>
      </c>
      <c r="R334" s="217" t="s">
        <v>554</v>
      </c>
      <c r="S334" s="218">
        <v>0.79231970447401567</v>
      </c>
      <c r="T334" t="s">
        <v>550</v>
      </c>
      <c r="U334" t="s">
        <v>51</v>
      </c>
      <c r="V334" s="219" t="s">
        <v>6003</v>
      </c>
      <c r="W334" s="219" t="s">
        <v>67</v>
      </c>
    </row>
    <row r="335" spans="1:23" ht="15" customHeight="1" x14ac:dyDescent="0.25">
      <c r="A335" t="s">
        <v>1275</v>
      </c>
      <c r="B335" t="s">
        <v>575</v>
      </c>
      <c r="C335">
        <v>124997</v>
      </c>
      <c r="D335" t="s">
        <v>1276</v>
      </c>
      <c r="E335" t="s">
        <v>218</v>
      </c>
      <c r="F335" t="s">
        <v>554</v>
      </c>
      <c r="G335" s="30">
        <v>46143</v>
      </c>
      <c r="H335" t="s">
        <v>1277</v>
      </c>
      <c r="I335">
        <v>1002039.5</v>
      </c>
      <c r="J335" s="123">
        <v>0</v>
      </c>
      <c r="K335" s="123">
        <v>0</v>
      </c>
      <c r="L335" s="123">
        <v>46141</v>
      </c>
      <c r="M335">
        <v>0</v>
      </c>
      <c r="N335">
        <v>0</v>
      </c>
      <c r="O335">
        <v>0</v>
      </c>
      <c r="P335" s="216">
        <v>124997</v>
      </c>
      <c r="Q335" s="217" t="s">
        <v>13</v>
      </c>
      <c r="R335" s="217" t="s">
        <v>554</v>
      </c>
      <c r="S335" s="218">
        <v>0.74999918748354655</v>
      </c>
      <c r="T335" t="s">
        <v>550</v>
      </c>
      <c r="U335" t="s">
        <v>51</v>
      </c>
      <c r="V335" s="219" t="s">
        <v>6004</v>
      </c>
      <c r="W335" s="219" t="s">
        <v>67</v>
      </c>
    </row>
    <row r="336" spans="1:23" ht="15" customHeight="1" x14ac:dyDescent="0.25">
      <c r="A336" t="s">
        <v>1278</v>
      </c>
      <c r="B336" t="s">
        <v>575</v>
      </c>
      <c r="C336">
        <v>166014</v>
      </c>
      <c r="D336" t="s">
        <v>1279</v>
      </c>
      <c r="E336" t="s">
        <v>228</v>
      </c>
      <c r="F336" t="s">
        <v>554</v>
      </c>
      <c r="G336" s="30">
        <v>46148</v>
      </c>
      <c r="H336" t="s">
        <v>1280</v>
      </c>
      <c r="I336">
        <v>1649763.5</v>
      </c>
      <c r="J336" s="123">
        <v>0</v>
      </c>
      <c r="K336" s="123">
        <v>0</v>
      </c>
      <c r="L336" s="123">
        <v>46144</v>
      </c>
      <c r="M336">
        <v>0</v>
      </c>
      <c r="N336">
        <v>0</v>
      </c>
      <c r="O336">
        <v>0</v>
      </c>
      <c r="P336" s="216">
        <v>166014</v>
      </c>
      <c r="Q336" s="217" t="s">
        <v>20</v>
      </c>
      <c r="R336" s="217" t="s">
        <v>554</v>
      </c>
      <c r="S336" s="218">
        <v>0.80194388512891313</v>
      </c>
      <c r="T336" t="s">
        <v>550</v>
      </c>
      <c r="U336" t="s">
        <v>51</v>
      </c>
      <c r="V336" s="219" t="s">
        <v>6005</v>
      </c>
      <c r="W336" s="219" t="s">
        <v>67</v>
      </c>
    </row>
    <row r="337" spans="1:23" ht="15" customHeight="1" x14ac:dyDescent="0.25">
      <c r="A337" t="s">
        <v>1281</v>
      </c>
      <c r="B337" t="s">
        <v>595</v>
      </c>
      <c r="C337">
        <v>122501.23</v>
      </c>
      <c r="D337" t="s">
        <v>1282</v>
      </c>
      <c r="E337" t="s">
        <v>228</v>
      </c>
      <c r="F337" t="s">
        <v>580</v>
      </c>
      <c r="G337" s="30">
        <v>46149</v>
      </c>
      <c r="H337" t="s">
        <v>1283</v>
      </c>
      <c r="I337">
        <v>1234733.5</v>
      </c>
      <c r="J337" s="123">
        <v>0</v>
      </c>
      <c r="K337" s="123">
        <v>0</v>
      </c>
      <c r="L337" s="123">
        <v>46147</v>
      </c>
      <c r="M337">
        <v>0</v>
      </c>
      <c r="N337">
        <v>0</v>
      </c>
      <c r="O337">
        <v>0</v>
      </c>
      <c r="P337" s="216">
        <v>122501.23</v>
      </c>
      <c r="Q337" s="217" t="s">
        <v>20</v>
      </c>
      <c r="R337" s="217" t="s">
        <v>582</v>
      </c>
      <c r="S337" s="218">
        <v>0.70203904491567337</v>
      </c>
      <c r="T337" t="s">
        <v>550</v>
      </c>
      <c r="U337" t="s">
        <v>51</v>
      </c>
      <c r="V337" s="219">
        <v>0</v>
      </c>
      <c r="W337" s="219">
        <v>0</v>
      </c>
    </row>
    <row r="338" spans="1:23" ht="15" customHeight="1" x14ac:dyDescent="0.25">
      <c r="A338" t="s">
        <v>1284</v>
      </c>
      <c r="B338" t="s">
        <v>64</v>
      </c>
      <c r="C338">
        <v>81518</v>
      </c>
      <c r="D338" t="s">
        <v>1285</v>
      </c>
      <c r="E338" t="s">
        <v>228</v>
      </c>
      <c r="F338" t="s">
        <v>554</v>
      </c>
      <c r="G338" s="30">
        <v>46143</v>
      </c>
      <c r="H338" t="s">
        <v>1286</v>
      </c>
      <c r="I338">
        <v>1647896.25</v>
      </c>
      <c r="J338" s="123">
        <v>0</v>
      </c>
      <c r="K338" s="123">
        <v>46142</v>
      </c>
      <c r="L338" s="123">
        <v>0</v>
      </c>
      <c r="M338">
        <v>0</v>
      </c>
      <c r="N338">
        <v>0</v>
      </c>
      <c r="O338" t="s">
        <v>556</v>
      </c>
      <c r="P338" s="216">
        <v>81518</v>
      </c>
      <c r="Q338" s="217" t="s">
        <v>20</v>
      </c>
      <c r="R338" s="217" t="s">
        <v>554</v>
      </c>
      <c r="S338" s="218">
        <v>0.75898219596828742</v>
      </c>
      <c r="T338" t="s">
        <v>550</v>
      </c>
      <c r="U338" t="s">
        <v>51</v>
      </c>
      <c r="V338" s="219" t="s">
        <v>6006</v>
      </c>
      <c r="W338" s="219" t="s">
        <v>67</v>
      </c>
    </row>
    <row r="339" spans="1:23" ht="15" customHeight="1" x14ac:dyDescent="0.25">
      <c r="A339" t="s">
        <v>1287</v>
      </c>
      <c r="B339" t="s">
        <v>668</v>
      </c>
      <c r="C339">
        <v>13500</v>
      </c>
      <c r="D339" t="s">
        <v>1288</v>
      </c>
      <c r="E339" t="s">
        <v>228</v>
      </c>
      <c r="F339" t="s">
        <v>554</v>
      </c>
      <c r="G339" s="30">
        <v>46144</v>
      </c>
      <c r="H339" t="s">
        <v>1289</v>
      </c>
      <c r="I339">
        <v>1643969.25</v>
      </c>
      <c r="J339" s="123">
        <v>46143</v>
      </c>
      <c r="K339" s="123">
        <v>0</v>
      </c>
      <c r="L339" s="123">
        <v>46143</v>
      </c>
      <c r="M339">
        <v>0</v>
      </c>
      <c r="N339">
        <v>0</v>
      </c>
      <c r="O339">
        <v>0</v>
      </c>
      <c r="P339" s="216">
        <v>13500</v>
      </c>
      <c r="Q339" s="217" t="s">
        <v>20</v>
      </c>
      <c r="R339" s="217" t="s">
        <v>554</v>
      </c>
      <c r="S339" s="218">
        <v>0.79695404509016121</v>
      </c>
      <c r="T339" t="s">
        <v>550</v>
      </c>
      <c r="U339" t="s">
        <v>51</v>
      </c>
      <c r="V339" s="219" t="s">
        <v>6007</v>
      </c>
      <c r="W339" s="219" t="s">
        <v>67</v>
      </c>
    </row>
    <row r="340" spans="1:23" ht="15" customHeight="1" x14ac:dyDescent="0.25">
      <c r="A340" t="s">
        <v>1290</v>
      </c>
      <c r="B340" t="s">
        <v>668</v>
      </c>
      <c r="C340">
        <v>36500</v>
      </c>
      <c r="D340" t="s">
        <v>1288</v>
      </c>
      <c r="E340" t="s">
        <v>228</v>
      </c>
      <c r="F340" t="s">
        <v>554</v>
      </c>
      <c r="G340" s="30">
        <v>46144</v>
      </c>
      <c r="H340" t="s">
        <v>1289</v>
      </c>
      <c r="I340">
        <v>1643969.25</v>
      </c>
      <c r="J340" s="123">
        <v>46143</v>
      </c>
      <c r="K340" s="123">
        <v>0</v>
      </c>
      <c r="L340" s="123">
        <v>46143</v>
      </c>
      <c r="M340">
        <v>0</v>
      </c>
      <c r="N340">
        <v>0</v>
      </c>
      <c r="O340">
        <v>0</v>
      </c>
      <c r="P340" s="216">
        <v>36500</v>
      </c>
      <c r="Q340" s="217" t="s">
        <v>20</v>
      </c>
      <c r="R340" s="217" t="s">
        <v>554</v>
      </c>
      <c r="S340" s="218">
        <v>0.79695404509016121</v>
      </c>
      <c r="T340" t="s">
        <v>550</v>
      </c>
      <c r="U340" t="s">
        <v>51</v>
      </c>
      <c r="V340" s="219" t="s">
        <v>6008</v>
      </c>
      <c r="W340" s="219" t="s">
        <v>67</v>
      </c>
    </row>
    <row r="341" spans="1:23" ht="15" customHeight="1" x14ac:dyDescent="0.25">
      <c r="A341" t="s">
        <v>1291</v>
      </c>
      <c r="B341" t="s">
        <v>595</v>
      </c>
      <c r="C341">
        <v>42991.83</v>
      </c>
      <c r="D341" t="s">
        <v>1292</v>
      </c>
      <c r="E341" t="s">
        <v>228</v>
      </c>
      <c r="F341" t="s">
        <v>580</v>
      </c>
      <c r="G341" s="30">
        <v>46149</v>
      </c>
      <c r="H341" t="s">
        <v>1293</v>
      </c>
      <c r="I341">
        <v>1889503</v>
      </c>
      <c r="J341" s="123">
        <v>0</v>
      </c>
      <c r="K341" s="123">
        <v>0</v>
      </c>
      <c r="L341" s="123">
        <v>46083</v>
      </c>
      <c r="M341">
        <v>0</v>
      </c>
      <c r="N341">
        <v>0</v>
      </c>
      <c r="O341">
        <v>0</v>
      </c>
      <c r="P341" s="216">
        <v>42991.83</v>
      </c>
      <c r="Q341" s="217" t="s">
        <v>20</v>
      </c>
      <c r="R341" s="217" t="s">
        <v>582</v>
      </c>
      <c r="S341" s="218">
        <v>0.61470093656704228</v>
      </c>
      <c r="T341" t="s">
        <v>550</v>
      </c>
      <c r="U341" t="s">
        <v>51</v>
      </c>
      <c r="V341" s="219">
        <v>0</v>
      </c>
      <c r="W341" s="219">
        <v>0</v>
      </c>
    </row>
    <row r="342" spans="1:23" ht="15" customHeight="1" x14ac:dyDescent="0.25">
      <c r="A342" t="s">
        <v>1294</v>
      </c>
      <c r="B342" t="s">
        <v>575</v>
      </c>
      <c r="C342">
        <v>123060</v>
      </c>
      <c r="D342" t="s">
        <v>1295</v>
      </c>
      <c r="E342" t="s">
        <v>238</v>
      </c>
      <c r="F342" t="s">
        <v>585</v>
      </c>
      <c r="G342" s="30">
        <v>46148</v>
      </c>
      <c r="H342" t="s">
        <v>1296</v>
      </c>
      <c r="I342">
        <v>985465.25</v>
      </c>
      <c r="J342" s="123">
        <v>0</v>
      </c>
      <c r="K342" s="123">
        <v>0</v>
      </c>
      <c r="L342" s="123">
        <v>46137</v>
      </c>
      <c r="M342">
        <v>0</v>
      </c>
      <c r="N342">
        <v>0</v>
      </c>
      <c r="O342">
        <v>0</v>
      </c>
      <c r="P342" s="216">
        <v>123060</v>
      </c>
      <c r="Q342" s="217" t="s">
        <v>19</v>
      </c>
      <c r="R342" s="217" t="s">
        <v>61</v>
      </c>
      <c r="S342" s="218">
        <v>0.62521827019284981</v>
      </c>
      <c r="T342" t="s">
        <v>550</v>
      </c>
      <c r="U342" t="s">
        <v>51</v>
      </c>
      <c r="V342" s="219">
        <v>0</v>
      </c>
      <c r="W342" s="219">
        <v>0</v>
      </c>
    </row>
    <row r="343" spans="1:23" ht="15" customHeight="1" x14ac:dyDescent="0.25">
      <c r="A343" t="s">
        <v>1297</v>
      </c>
      <c r="B343" t="s">
        <v>595</v>
      </c>
      <c r="C343">
        <v>155528</v>
      </c>
      <c r="D343" t="s">
        <v>1298</v>
      </c>
      <c r="E343" t="s">
        <v>228</v>
      </c>
      <c r="F343" t="s">
        <v>554</v>
      </c>
      <c r="G343" s="30">
        <v>46147</v>
      </c>
      <c r="H343" t="s">
        <v>1299</v>
      </c>
      <c r="I343">
        <v>1553205.5</v>
      </c>
      <c r="J343" s="123">
        <v>0</v>
      </c>
      <c r="K343" s="123">
        <v>0</v>
      </c>
      <c r="L343" s="123">
        <v>46140</v>
      </c>
      <c r="M343">
        <v>0</v>
      </c>
      <c r="N343">
        <v>0</v>
      </c>
      <c r="O343">
        <v>0</v>
      </c>
      <c r="P343" s="216">
        <v>155528</v>
      </c>
      <c r="Q343" s="217" t="s">
        <v>20</v>
      </c>
      <c r="R343" s="217" t="s">
        <v>554</v>
      </c>
      <c r="S343" s="218">
        <v>0.69999988426554749</v>
      </c>
      <c r="T343" t="s">
        <v>550</v>
      </c>
      <c r="U343" t="s">
        <v>51</v>
      </c>
      <c r="V343" s="219">
        <v>0</v>
      </c>
      <c r="W343" s="219" t="s">
        <v>72</v>
      </c>
    </row>
    <row r="344" spans="1:23" ht="15" customHeight="1" x14ac:dyDescent="0.25">
      <c r="A344" t="s">
        <v>1300</v>
      </c>
      <c r="B344" t="s">
        <v>546</v>
      </c>
      <c r="C344">
        <v>120032</v>
      </c>
      <c r="D344" t="s">
        <v>1301</v>
      </c>
      <c r="E344" t="s">
        <v>228</v>
      </c>
      <c r="F344" t="s">
        <v>554</v>
      </c>
      <c r="G344" s="30">
        <v>46143</v>
      </c>
      <c r="H344" t="s">
        <v>1302</v>
      </c>
      <c r="I344">
        <v>1197850.5</v>
      </c>
      <c r="J344" s="123">
        <v>0</v>
      </c>
      <c r="K344" s="123">
        <v>0</v>
      </c>
      <c r="L344" s="123">
        <v>0</v>
      </c>
      <c r="M344">
        <v>0</v>
      </c>
      <c r="N344">
        <v>0</v>
      </c>
      <c r="O344">
        <v>0</v>
      </c>
      <c r="P344" s="216">
        <v>120032</v>
      </c>
      <c r="Q344" s="217" t="s">
        <v>20</v>
      </c>
      <c r="R344" s="217" t="s">
        <v>554</v>
      </c>
      <c r="S344" s="218">
        <v>0.79999996669889939</v>
      </c>
      <c r="T344" t="s">
        <v>550</v>
      </c>
      <c r="U344" t="s">
        <v>51</v>
      </c>
      <c r="V344" s="219" t="s">
        <v>6009</v>
      </c>
      <c r="W344" s="219" t="s">
        <v>67</v>
      </c>
    </row>
    <row r="345" spans="1:23" ht="15" customHeight="1" x14ac:dyDescent="0.25">
      <c r="A345" t="s">
        <v>1303</v>
      </c>
      <c r="B345" t="s">
        <v>575</v>
      </c>
      <c r="C345">
        <v>1633</v>
      </c>
      <c r="D345" t="s">
        <v>1304</v>
      </c>
      <c r="E345" t="s">
        <v>238</v>
      </c>
      <c r="F345" t="s">
        <v>554</v>
      </c>
      <c r="G345" s="30">
        <v>46144</v>
      </c>
      <c r="H345" t="s">
        <v>1305</v>
      </c>
      <c r="I345">
        <v>1303744.75</v>
      </c>
      <c r="J345" s="123">
        <v>0</v>
      </c>
      <c r="K345" s="123">
        <v>0</v>
      </c>
      <c r="L345" s="123">
        <v>46135</v>
      </c>
      <c r="M345">
        <v>0</v>
      </c>
      <c r="N345">
        <v>0</v>
      </c>
      <c r="O345">
        <v>0</v>
      </c>
      <c r="P345" s="216">
        <v>1633</v>
      </c>
      <c r="Q345" s="217" t="s">
        <v>19</v>
      </c>
      <c r="R345" s="217" t="s">
        <v>554</v>
      </c>
      <c r="S345" s="218">
        <v>0.75000547233630388</v>
      </c>
      <c r="T345" t="s">
        <v>550</v>
      </c>
      <c r="U345" t="s">
        <v>51</v>
      </c>
      <c r="V345" s="219" t="s">
        <v>6010</v>
      </c>
      <c r="W345" s="219" t="s">
        <v>67</v>
      </c>
    </row>
    <row r="346" spans="1:23" ht="15" customHeight="1" x14ac:dyDescent="0.25">
      <c r="A346" t="s">
        <v>1306</v>
      </c>
      <c r="B346" t="s">
        <v>575</v>
      </c>
      <c r="C346">
        <v>160007</v>
      </c>
      <c r="D346" t="s">
        <v>1304</v>
      </c>
      <c r="E346" t="s">
        <v>238</v>
      </c>
      <c r="F346" t="s">
        <v>554</v>
      </c>
      <c r="G346" s="30">
        <v>46144</v>
      </c>
      <c r="H346" t="s">
        <v>1305</v>
      </c>
      <c r="I346">
        <v>1303744.75</v>
      </c>
      <c r="J346" s="123">
        <v>0</v>
      </c>
      <c r="K346" s="123">
        <v>0</v>
      </c>
      <c r="L346" s="123">
        <v>46140</v>
      </c>
      <c r="M346">
        <v>0</v>
      </c>
      <c r="N346">
        <v>0</v>
      </c>
      <c r="O346">
        <v>0</v>
      </c>
      <c r="P346" s="216">
        <v>160007</v>
      </c>
      <c r="Q346" s="217" t="s">
        <v>19</v>
      </c>
      <c r="R346" s="217" t="s">
        <v>554</v>
      </c>
      <c r="S346" s="218">
        <v>0.75000547233630388</v>
      </c>
      <c r="T346" t="s">
        <v>550</v>
      </c>
      <c r="U346" t="s">
        <v>51</v>
      </c>
      <c r="V346" s="219" t="s">
        <v>6011</v>
      </c>
      <c r="W346" s="219" t="s">
        <v>67</v>
      </c>
    </row>
    <row r="347" spans="1:23" ht="15" customHeight="1" x14ac:dyDescent="0.25">
      <c r="A347" t="s">
        <v>1307</v>
      </c>
      <c r="B347" t="s">
        <v>546</v>
      </c>
      <c r="C347">
        <v>9235</v>
      </c>
      <c r="D347" t="s">
        <v>1308</v>
      </c>
      <c r="E347" t="s">
        <v>238</v>
      </c>
      <c r="F347" t="s">
        <v>554</v>
      </c>
      <c r="G347" s="30">
        <v>46143</v>
      </c>
      <c r="H347" t="s">
        <v>1309</v>
      </c>
      <c r="I347">
        <v>1299375</v>
      </c>
      <c r="J347" s="123">
        <v>0</v>
      </c>
      <c r="K347" s="123">
        <v>0</v>
      </c>
      <c r="L347" s="123">
        <v>0</v>
      </c>
      <c r="M347">
        <v>0</v>
      </c>
      <c r="N347">
        <v>0</v>
      </c>
      <c r="O347">
        <v>0</v>
      </c>
      <c r="P347" s="216">
        <v>9235</v>
      </c>
      <c r="Q347" s="217" t="s">
        <v>19</v>
      </c>
      <c r="R347" s="217" t="s">
        <v>554</v>
      </c>
      <c r="S347" s="218">
        <v>0.800000541649458</v>
      </c>
      <c r="T347" t="s">
        <v>550</v>
      </c>
      <c r="U347" t="s">
        <v>51</v>
      </c>
      <c r="V347" s="219" t="s">
        <v>6012</v>
      </c>
      <c r="W347" s="219" t="s">
        <v>67</v>
      </c>
    </row>
    <row r="348" spans="1:23" ht="15" customHeight="1" x14ac:dyDescent="0.25">
      <c r="A348" t="s">
        <v>1310</v>
      </c>
      <c r="B348" t="s">
        <v>595</v>
      </c>
      <c r="C348">
        <v>195058.75</v>
      </c>
      <c r="D348" t="s">
        <v>1311</v>
      </c>
      <c r="E348" t="s">
        <v>203</v>
      </c>
      <c r="F348" t="s">
        <v>554</v>
      </c>
      <c r="G348" s="30">
        <v>46146</v>
      </c>
      <c r="H348" t="s">
        <v>1312</v>
      </c>
      <c r="I348">
        <v>3124173.5</v>
      </c>
      <c r="J348" s="123">
        <v>0</v>
      </c>
      <c r="K348" s="123">
        <v>0</v>
      </c>
      <c r="L348" s="123">
        <v>46136</v>
      </c>
      <c r="M348">
        <v>0</v>
      </c>
      <c r="N348">
        <v>0</v>
      </c>
      <c r="O348">
        <v>0</v>
      </c>
      <c r="P348" s="216">
        <v>195058.75</v>
      </c>
      <c r="Q348" s="217" t="s">
        <v>22</v>
      </c>
      <c r="R348" s="217" t="s">
        <v>554</v>
      </c>
      <c r="S348" s="218">
        <v>0.74988866823181133</v>
      </c>
      <c r="T348" t="s">
        <v>550</v>
      </c>
      <c r="U348" t="s">
        <v>51</v>
      </c>
      <c r="V348" s="219" t="s">
        <v>6013</v>
      </c>
      <c r="W348" s="219" t="s">
        <v>67</v>
      </c>
    </row>
    <row r="349" spans="1:23" ht="15" customHeight="1" x14ac:dyDescent="0.25">
      <c r="A349" t="s">
        <v>1313</v>
      </c>
      <c r="B349" t="s">
        <v>595</v>
      </c>
      <c r="C349">
        <v>195058.75</v>
      </c>
      <c r="D349" t="s">
        <v>1311</v>
      </c>
      <c r="E349" t="s">
        <v>203</v>
      </c>
      <c r="F349" t="s">
        <v>554</v>
      </c>
      <c r="G349" s="30">
        <v>46146</v>
      </c>
      <c r="H349" t="s">
        <v>1312</v>
      </c>
      <c r="I349">
        <v>3124173.5</v>
      </c>
      <c r="J349" s="123">
        <v>0</v>
      </c>
      <c r="K349" s="123">
        <v>0</v>
      </c>
      <c r="L349" s="123">
        <v>46133</v>
      </c>
      <c r="M349">
        <v>0</v>
      </c>
      <c r="N349">
        <v>0</v>
      </c>
      <c r="O349">
        <v>0</v>
      </c>
      <c r="P349" s="216">
        <v>195058.75</v>
      </c>
      <c r="Q349" s="217" t="s">
        <v>22</v>
      </c>
      <c r="R349" s="217" t="s">
        <v>554</v>
      </c>
      <c r="S349" s="218">
        <v>0.74988866823181133</v>
      </c>
      <c r="T349" t="s">
        <v>550</v>
      </c>
      <c r="U349" t="s">
        <v>51</v>
      </c>
      <c r="V349" s="219" t="s">
        <v>6014</v>
      </c>
      <c r="W349" s="219" t="s">
        <v>67</v>
      </c>
    </row>
    <row r="350" spans="1:23" ht="15" customHeight="1" x14ac:dyDescent="0.25">
      <c r="A350" t="s">
        <v>1314</v>
      </c>
      <c r="B350" t="s">
        <v>546</v>
      </c>
      <c r="C350">
        <v>25491.17</v>
      </c>
      <c r="D350" t="s">
        <v>1315</v>
      </c>
      <c r="E350" t="s">
        <v>553</v>
      </c>
      <c r="F350" t="s">
        <v>554</v>
      </c>
      <c r="G350" s="30">
        <v>46143</v>
      </c>
      <c r="H350" t="s">
        <v>1316</v>
      </c>
      <c r="I350">
        <v>2923059.25</v>
      </c>
      <c r="J350" s="123">
        <v>46143</v>
      </c>
      <c r="K350" s="123">
        <v>0</v>
      </c>
      <c r="L350" s="123">
        <v>46143</v>
      </c>
      <c r="M350">
        <v>0</v>
      </c>
      <c r="N350">
        <v>0</v>
      </c>
      <c r="O350" t="s">
        <v>556</v>
      </c>
      <c r="P350" s="216">
        <v>25491.17</v>
      </c>
      <c r="Q350" s="217" t="s">
        <v>22</v>
      </c>
      <c r="R350" s="217" t="s">
        <v>554</v>
      </c>
      <c r="S350" s="218">
        <v>0.75000027787959567</v>
      </c>
      <c r="T350" t="s">
        <v>550</v>
      </c>
      <c r="U350" t="s">
        <v>51</v>
      </c>
      <c r="V350" s="219" t="s">
        <v>6015</v>
      </c>
      <c r="W350" s="219" t="s">
        <v>67</v>
      </c>
    </row>
    <row r="351" spans="1:23" ht="15" customHeight="1" x14ac:dyDescent="0.25">
      <c r="A351" t="s">
        <v>1317</v>
      </c>
      <c r="B351" t="s">
        <v>546</v>
      </c>
      <c r="C351">
        <v>100000</v>
      </c>
      <c r="D351" t="s">
        <v>1315</v>
      </c>
      <c r="E351" t="s">
        <v>553</v>
      </c>
      <c r="F351" t="s">
        <v>554</v>
      </c>
      <c r="G351" s="30">
        <v>46143</v>
      </c>
      <c r="H351" t="s">
        <v>1316</v>
      </c>
      <c r="I351">
        <v>2923059.25</v>
      </c>
      <c r="J351" s="123">
        <v>46143</v>
      </c>
      <c r="K351" s="123">
        <v>0</v>
      </c>
      <c r="L351" s="123">
        <v>46143</v>
      </c>
      <c r="M351">
        <v>0</v>
      </c>
      <c r="N351">
        <v>0</v>
      </c>
      <c r="O351" t="s">
        <v>556</v>
      </c>
      <c r="P351" s="216">
        <v>100000</v>
      </c>
      <c r="Q351" s="217" t="s">
        <v>22</v>
      </c>
      <c r="R351" s="217" t="s">
        <v>554</v>
      </c>
      <c r="S351" s="218">
        <v>0.75000027787959567</v>
      </c>
      <c r="T351" t="s">
        <v>550</v>
      </c>
      <c r="U351" t="s">
        <v>51</v>
      </c>
      <c r="V351" s="219" t="s">
        <v>6016</v>
      </c>
      <c r="W351" s="219" t="s">
        <v>67</v>
      </c>
    </row>
    <row r="352" spans="1:23" ht="15" customHeight="1" x14ac:dyDescent="0.25">
      <c r="A352" t="s">
        <v>1318</v>
      </c>
      <c r="B352" t="s">
        <v>546</v>
      </c>
      <c r="C352">
        <v>125000</v>
      </c>
      <c r="D352" t="s">
        <v>1315</v>
      </c>
      <c r="E352" t="s">
        <v>553</v>
      </c>
      <c r="F352" t="s">
        <v>548</v>
      </c>
      <c r="G352" s="30">
        <v>46143</v>
      </c>
      <c r="H352" t="s">
        <v>1316</v>
      </c>
      <c r="I352">
        <v>2923059.25</v>
      </c>
      <c r="J352" s="123">
        <v>46143</v>
      </c>
      <c r="K352" s="123">
        <v>0</v>
      </c>
      <c r="L352" s="123">
        <v>46143</v>
      </c>
      <c r="M352">
        <v>0</v>
      </c>
      <c r="N352">
        <v>0</v>
      </c>
      <c r="O352" t="s">
        <v>556</v>
      </c>
      <c r="P352" s="216">
        <v>125000</v>
      </c>
      <c r="Q352" s="217" t="s">
        <v>22</v>
      </c>
      <c r="R352" s="217" t="s">
        <v>62</v>
      </c>
      <c r="S352" s="218">
        <v>0.75000027787959567</v>
      </c>
      <c r="T352" t="s">
        <v>550</v>
      </c>
      <c r="U352" t="s">
        <v>51</v>
      </c>
      <c r="V352" s="219">
        <v>0</v>
      </c>
      <c r="W352" s="219">
        <v>0</v>
      </c>
    </row>
    <row r="353" spans="1:23" ht="15" customHeight="1" x14ac:dyDescent="0.25">
      <c r="A353" t="s">
        <v>1319</v>
      </c>
      <c r="B353" t="s">
        <v>575</v>
      </c>
      <c r="C353">
        <v>60000</v>
      </c>
      <c r="D353" t="s">
        <v>1320</v>
      </c>
      <c r="E353" t="s">
        <v>203</v>
      </c>
      <c r="F353" t="s">
        <v>554</v>
      </c>
      <c r="G353" s="30">
        <v>46148</v>
      </c>
      <c r="H353" t="s">
        <v>1321</v>
      </c>
      <c r="I353">
        <v>2778990.82</v>
      </c>
      <c r="J353" s="123">
        <v>0</v>
      </c>
      <c r="K353" s="123">
        <v>0</v>
      </c>
      <c r="L353" s="123">
        <v>46143</v>
      </c>
      <c r="M353">
        <v>0</v>
      </c>
      <c r="N353">
        <v>0</v>
      </c>
      <c r="O353">
        <v>0</v>
      </c>
      <c r="P353" s="216">
        <v>60000</v>
      </c>
      <c r="Q353" s="217" t="s">
        <v>22</v>
      </c>
      <c r="R353" s="217" t="s">
        <v>554</v>
      </c>
      <c r="S353" s="218">
        <v>0.7154586104040348</v>
      </c>
      <c r="T353" t="s">
        <v>550</v>
      </c>
      <c r="U353" t="s">
        <v>51</v>
      </c>
      <c r="V353" s="219" t="s">
        <v>6017</v>
      </c>
      <c r="W353" s="219" t="s">
        <v>67</v>
      </c>
    </row>
    <row r="354" spans="1:23" ht="15" customHeight="1" x14ac:dyDescent="0.25">
      <c r="A354" t="s">
        <v>1322</v>
      </c>
      <c r="B354" t="s">
        <v>575</v>
      </c>
      <c r="C354">
        <v>220000</v>
      </c>
      <c r="D354" t="s">
        <v>1320</v>
      </c>
      <c r="E354" t="s">
        <v>203</v>
      </c>
      <c r="F354" t="s">
        <v>580</v>
      </c>
      <c r="G354" s="30">
        <v>46149</v>
      </c>
      <c r="H354" t="s">
        <v>1321</v>
      </c>
      <c r="I354">
        <v>2778990.82</v>
      </c>
      <c r="J354" s="123">
        <v>0</v>
      </c>
      <c r="K354" s="123">
        <v>0</v>
      </c>
      <c r="L354" s="123">
        <v>46144</v>
      </c>
      <c r="M354">
        <v>0</v>
      </c>
      <c r="N354">
        <v>0</v>
      </c>
      <c r="O354">
        <v>0</v>
      </c>
      <c r="P354" s="216">
        <v>220000</v>
      </c>
      <c r="Q354" s="217" t="s">
        <v>22</v>
      </c>
      <c r="R354" s="217" t="s">
        <v>582</v>
      </c>
      <c r="S354" s="218">
        <v>0.7154586104040348</v>
      </c>
      <c r="T354" t="s">
        <v>550</v>
      </c>
      <c r="U354" t="s">
        <v>51</v>
      </c>
      <c r="V354" s="219">
        <v>0</v>
      </c>
      <c r="W354" s="219">
        <v>0</v>
      </c>
    </row>
    <row r="355" spans="1:23" ht="15" customHeight="1" x14ac:dyDescent="0.25">
      <c r="A355" t="s">
        <v>1323</v>
      </c>
      <c r="B355" t="s">
        <v>575</v>
      </c>
      <c r="C355">
        <v>100000</v>
      </c>
      <c r="D355" t="s">
        <v>1324</v>
      </c>
      <c r="E355" t="s">
        <v>203</v>
      </c>
      <c r="F355" t="s">
        <v>580</v>
      </c>
      <c r="G355" s="30">
        <v>46149</v>
      </c>
      <c r="H355" t="s">
        <v>1325</v>
      </c>
      <c r="I355">
        <v>3107386</v>
      </c>
      <c r="J355" s="123">
        <v>0</v>
      </c>
      <c r="K355" s="123">
        <v>0</v>
      </c>
      <c r="L355" s="123">
        <v>46148</v>
      </c>
      <c r="M355">
        <v>0</v>
      </c>
      <c r="N355">
        <v>0</v>
      </c>
      <c r="O355">
        <v>0</v>
      </c>
      <c r="P355" s="216">
        <v>100000</v>
      </c>
      <c r="Q355" s="217" t="s">
        <v>22</v>
      </c>
      <c r="R355" s="217" t="s">
        <v>582</v>
      </c>
      <c r="S355" s="218">
        <v>0.7013442906886973</v>
      </c>
      <c r="T355" t="s">
        <v>550</v>
      </c>
      <c r="U355" t="s">
        <v>51</v>
      </c>
      <c r="V355" s="219">
        <v>0</v>
      </c>
      <c r="W355" s="219">
        <v>0</v>
      </c>
    </row>
    <row r="356" spans="1:23" ht="15" customHeight="1" x14ac:dyDescent="0.25">
      <c r="A356" t="s">
        <v>1326</v>
      </c>
      <c r="B356" t="s">
        <v>575</v>
      </c>
      <c r="C356">
        <v>100000</v>
      </c>
      <c r="D356" t="s">
        <v>1324</v>
      </c>
      <c r="E356" t="s">
        <v>203</v>
      </c>
      <c r="F356" t="s">
        <v>580</v>
      </c>
      <c r="G356" s="30">
        <v>46149</v>
      </c>
      <c r="H356" t="s">
        <v>1325</v>
      </c>
      <c r="I356">
        <v>3107386</v>
      </c>
      <c r="J356" s="123">
        <v>0</v>
      </c>
      <c r="K356" s="123">
        <v>0</v>
      </c>
      <c r="L356" s="123">
        <v>46149</v>
      </c>
      <c r="M356">
        <v>0</v>
      </c>
      <c r="N356">
        <v>0</v>
      </c>
      <c r="O356">
        <v>0</v>
      </c>
      <c r="P356" s="216">
        <v>100000</v>
      </c>
      <c r="Q356" s="217" t="s">
        <v>22</v>
      </c>
      <c r="R356" s="217" t="s">
        <v>582</v>
      </c>
      <c r="S356" s="218">
        <v>0.7013442906886973</v>
      </c>
      <c r="T356" t="s">
        <v>550</v>
      </c>
      <c r="U356" t="s">
        <v>51</v>
      </c>
      <c r="V356" s="219">
        <v>0</v>
      </c>
      <c r="W356" s="219">
        <v>0</v>
      </c>
    </row>
    <row r="357" spans="1:23" ht="15" customHeight="1" x14ac:dyDescent="0.25">
      <c r="A357" t="s">
        <v>1327</v>
      </c>
      <c r="B357" t="s">
        <v>575</v>
      </c>
      <c r="C357">
        <v>86200</v>
      </c>
      <c r="D357" t="s">
        <v>1328</v>
      </c>
      <c r="E357" t="s">
        <v>203</v>
      </c>
      <c r="F357" t="s">
        <v>585</v>
      </c>
      <c r="G357" s="30">
        <v>46144</v>
      </c>
      <c r="H357" t="s">
        <v>1329</v>
      </c>
      <c r="I357">
        <v>3107188.5</v>
      </c>
      <c r="J357" s="123">
        <v>0</v>
      </c>
      <c r="K357" s="123">
        <v>0</v>
      </c>
      <c r="L357" s="123">
        <v>46143</v>
      </c>
      <c r="M357">
        <v>0</v>
      </c>
      <c r="N357">
        <v>0</v>
      </c>
      <c r="O357">
        <v>0</v>
      </c>
      <c r="P357" s="216">
        <v>86200</v>
      </c>
      <c r="Q357" s="217" t="s">
        <v>22</v>
      </c>
      <c r="R357" s="217" t="s">
        <v>61</v>
      </c>
      <c r="S357" s="218">
        <v>0.62650101978050443</v>
      </c>
      <c r="T357" t="s">
        <v>550</v>
      </c>
      <c r="U357" t="s">
        <v>51</v>
      </c>
      <c r="V357" s="219">
        <v>0</v>
      </c>
      <c r="W357" s="219">
        <v>0</v>
      </c>
    </row>
    <row r="358" spans="1:23" ht="15" customHeight="1" x14ac:dyDescent="0.25">
      <c r="A358" t="s">
        <v>1330</v>
      </c>
      <c r="B358" t="s">
        <v>575</v>
      </c>
      <c r="C358">
        <v>300000</v>
      </c>
      <c r="D358" t="s">
        <v>1328</v>
      </c>
      <c r="E358" t="s">
        <v>203</v>
      </c>
      <c r="F358" t="s">
        <v>585</v>
      </c>
      <c r="G358" s="30">
        <v>46144</v>
      </c>
      <c r="H358" t="s">
        <v>1329</v>
      </c>
      <c r="I358">
        <v>3107188.5</v>
      </c>
      <c r="J358" s="123">
        <v>0</v>
      </c>
      <c r="K358" s="123">
        <v>0</v>
      </c>
      <c r="L358" s="123">
        <v>46137</v>
      </c>
      <c r="M358">
        <v>0</v>
      </c>
      <c r="N358">
        <v>0</v>
      </c>
      <c r="O358">
        <v>0</v>
      </c>
      <c r="P358" s="216">
        <v>300000</v>
      </c>
      <c r="Q358" s="217" t="s">
        <v>22</v>
      </c>
      <c r="R358" s="217" t="s">
        <v>61</v>
      </c>
      <c r="S358" s="218">
        <v>0.62650101978050443</v>
      </c>
      <c r="T358" t="s">
        <v>550</v>
      </c>
      <c r="U358" t="s">
        <v>51</v>
      </c>
      <c r="V358" s="219">
        <v>0</v>
      </c>
      <c r="W358" s="219">
        <v>0</v>
      </c>
    </row>
    <row r="359" spans="1:23" ht="15" customHeight="1" x14ac:dyDescent="0.25">
      <c r="A359" t="s">
        <v>1331</v>
      </c>
      <c r="B359" t="s">
        <v>575</v>
      </c>
      <c r="C359">
        <v>277753.08</v>
      </c>
      <c r="D359" t="s">
        <v>1332</v>
      </c>
      <c r="E359" t="s">
        <v>203</v>
      </c>
      <c r="F359" t="s">
        <v>554</v>
      </c>
      <c r="G359" s="30">
        <v>46147</v>
      </c>
      <c r="H359" t="s">
        <v>1333</v>
      </c>
      <c r="I359">
        <v>2777959.05</v>
      </c>
      <c r="J359" s="123">
        <v>0</v>
      </c>
      <c r="K359" s="123">
        <v>0</v>
      </c>
      <c r="L359" s="123">
        <v>46139</v>
      </c>
      <c r="M359">
        <v>0</v>
      </c>
      <c r="N359">
        <v>0</v>
      </c>
      <c r="O359">
        <v>0</v>
      </c>
      <c r="P359" s="216">
        <v>277753.08</v>
      </c>
      <c r="Q359" s="217" t="s">
        <v>22</v>
      </c>
      <c r="R359" s="217" t="s">
        <v>554</v>
      </c>
      <c r="S359" s="218">
        <v>0.80772540571251872</v>
      </c>
      <c r="T359" t="s">
        <v>550</v>
      </c>
      <c r="U359" t="s">
        <v>51</v>
      </c>
      <c r="V359" s="219" t="s">
        <v>6018</v>
      </c>
      <c r="W359" s="219" t="s">
        <v>67</v>
      </c>
    </row>
    <row r="360" spans="1:23" ht="15" customHeight="1" x14ac:dyDescent="0.25">
      <c r="A360" t="s">
        <v>1334</v>
      </c>
      <c r="B360" t="s">
        <v>546</v>
      </c>
      <c r="C360">
        <v>38500</v>
      </c>
      <c r="D360" t="s">
        <v>1335</v>
      </c>
      <c r="E360" t="s">
        <v>203</v>
      </c>
      <c r="F360" t="s">
        <v>554</v>
      </c>
      <c r="G360" s="30">
        <v>46143</v>
      </c>
      <c r="H360" t="s">
        <v>1336</v>
      </c>
      <c r="I360">
        <v>1189424</v>
      </c>
      <c r="J360" s="123">
        <v>0</v>
      </c>
      <c r="K360" s="123">
        <v>0</v>
      </c>
      <c r="L360" s="123">
        <v>0</v>
      </c>
      <c r="M360">
        <v>0</v>
      </c>
      <c r="N360">
        <v>0</v>
      </c>
      <c r="O360">
        <v>0</v>
      </c>
      <c r="P360" s="216">
        <v>38500</v>
      </c>
      <c r="Q360" s="217" t="s">
        <v>22</v>
      </c>
      <c r="R360" s="217" t="s">
        <v>554</v>
      </c>
      <c r="S360" s="218">
        <v>0.78824141902285172</v>
      </c>
      <c r="T360" t="s">
        <v>550</v>
      </c>
      <c r="U360" t="s">
        <v>51</v>
      </c>
      <c r="V360" s="219" t="s">
        <v>6019</v>
      </c>
      <c r="W360" s="219" t="s">
        <v>67</v>
      </c>
    </row>
    <row r="361" spans="1:23" ht="15" customHeight="1" x14ac:dyDescent="0.25">
      <c r="A361" t="s">
        <v>1337</v>
      </c>
      <c r="B361" t="s">
        <v>546</v>
      </c>
      <c r="C361">
        <v>38500</v>
      </c>
      <c r="D361" t="s">
        <v>1335</v>
      </c>
      <c r="E361" t="s">
        <v>203</v>
      </c>
      <c r="F361" t="s">
        <v>554</v>
      </c>
      <c r="G361" s="30">
        <v>46143</v>
      </c>
      <c r="H361" t="s">
        <v>1336</v>
      </c>
      <c r="I361">
        <v>1189424</v>
      </c>
      <c r="J361" s="123">
        <v>0</v>
      </c>
      <c r="K361" s="123">
        <v>0</v>
      </c>
      <c r="L361" s="123">
        <v>0</v>
      </c>
      <c r="M361">
        <v>0</v>
      </c>
      <c r="N361">
        <v>0</v>
      </c>
      <c r="O361">
        <v>0</v>
      </c>
      <c r="P361" s="216">
        <v>38500</v>
      </c>
      <c r="Q361" s="217" t="s">
        <v>22</v>
      </c>
      <c r="R361" s="217" t="s">
        <v>554</v>
      </c>
      <c r="S361" s="218">
        <v>0.78824141902285172</v>
      </c>
      <c r="T361" t="s">
        <v>550</v>
      </c>
      <c r="U361" t="s">
        <v>51</v>
      </c>
      <c r="V361" s="219" t="s">
        <v>6020</v>
      </c>
      <c r="W361" s="219" t="s">
        <v>67</v>
      </c>
    </row>
    <row r="362" spans="1:23" ht="15" customHeight="1" x14ac:dyDescent="0.25">
      <c r="A362" t="s">
        <v>1338</v>
      </c>
      <c r="B362" t="s">
        <v>546</v>
      </c>
      <c r="C362">
        <v>14166</v>
      </c>
      <c r="D362" t="s">
        <v>1335</v>
      </c>
      <c r="E362" t="s">
        <v>203</v>
      </c>
      <c r="F362" t="s">
        <v>554</v>
      </c>
      <c r="G362" s="30">
        <v>46148</v>
      </c>
      <c r="H362" t="s">
        <v>1336</v>
      </c>
      <c r="I362">
        <v>1189424</v>
      </c>
      <c r="J362" s="123">
        <v>0</v>
      </c>
      <c r="K362" s="123">
        <v>0</v>
      </c>
      <c r="L362" s="123">
        <v>0</v>
      </c>
      <c r="M362">
        <v>0</v>
      </c>
      <c r="N362">
        <v>0</v>
      </c>
      <c r="O362">
        <v>0</v>
      </c>
      <c r="P362" s="216">
        <v>14166</v>
      </c>
      <c r="Q362" s="217" t="s">
        <v>22</v>
      </c>
      <c r="R362" s="217" t="s">
        <v>554</v>
      </c>
      <c r="S362" s="218">
        <v>0.78824141902285172</v>
      </c>
      <c r="T362" t="s">
        <v>550</v>
      </c>
      <c r="U362" t="s">
        <v>51</v>
      </c>
      <c r="V362" s="219" t="s">
        <v>6021</v>
      </c>
      <c r="W362" s="219" t="s">
        <v>67</v>
      </c>
    </row>
    <row r="363" spans="1:23" ht="15" customHeight="1" x14ac:dyDescent="0.25">
      <c r="A363" t="s">
        <v>1339</v>
      </c>
      <c r="B363" t="s">
        <v>575</v>
      </c>
      <c r="C363">
        <v>121196</v>
      </c>
      <c r="D363" t="s">
        <v>1340</v>
      </c>
      <c r="E363" t="s">
        <v>203</v>
      </c>
      <c r="F363" t="s">
        <v>585</v>
      </c>
      <c r="G363" s="30">
        <v>46144</v>
      </c>
      <c r="H363" t="s">
        <v>1341</v>
      </c>
      <c r="I363">
        <v>1200266.75</v>
      </c>
      <c r="J363" s="123">
        <v>0</v>
      </c>
      <c r="K363" s="123">
        <v>0</v>
      </c>
      <c r="L363" s="123">
        <v>46144</v>
      </c>
      <c r="M363">
        <v>0</v>
      </c>
      <c r="N363">
        <v>0</v>
      </c>
      <c r="O363">
        <v>0</v>
      </c>
      <c r="P363" s="216">
        <v>121196</v>
      </c>
      <c r="Q363" s="217" t="s">
        <v>22</v>
      </c>
      <c r="R363" s="217" t="s">
        <v>61</v>
      </c>
      <c r="S363" s="218">
        <v>0.80309225870930012</v>
      </c>
      <c r="T363" t="s">
        <v>550</v>
      </c>
      <c r="U363" t="s">
        <v>51</v>
      </c>
      <c r="V363" s="219">
        <v>0</v>
      </c>
      <c r="W363" s="219">
        <v>0</v>
      </c>
    </row>
    <row r="364" spans="1:23" ht="15" customHeight="1" x14ac:dyDescent="0.25">
      <c r="A364" t="s">
        <v>1342</v>
      </c>
      <c r="B364" t="s">
        <v>575</v>
      </c>
      <c r="C364">
        <v>121196</v>
      </c>
      <c r="D364" t="s">
        <v>1340</v>
      </c>
      <c r="E364" t="s">
        <v>203</v>
      </c>
      <c r="F364" t="s">
        <v>554</v>
      </c>
      <c r="G364" s="30">
        <v>46147</v>
      </c>
      <c r="H364" t="s">
        <v>1341</v>
      </c>
      <c r="I364">
        <v>1200266.75</v>
      </c>
      <c r="J364" s="123">
        <v>0</v>
      </c>
      <c r="K364" s="123">
        <v>0</v>
      </c>
      <c r="L364" s="123">
        <v>46144</v>
      </c>
      <c r="M364">
        <v>0</v>
      </c>
      <c r="N364">
        <v>0</v>
      </c>
      <c r="O364">
        <v>0</v>
      </c>
      <c r="P364" s="216">
        <v>121196</v>
      </c>
      <c r="Q364" s="217" t="s">
        <v>22</v>
      </c>
      <c r="R364" s="217" t="s">
        <v>554</v>
      </c>
      <c r="S364" s="218">
        <v>0.80309225870930012</v>
      </c>
      <c r="T364" t="s">
        <v>550</v>
      </c>
      <c r="U364" t="s">
        <v>51</v>
      </c>
      <c r="V364" s="219" t="s">
        <v>6022</v>
      </c>
      <c r="W364" s="219" t="s">
        <v>67</v>
      </c>
    </row>
    <row r="365" spans="1:23" ht="15" customHeight="1" x14ac:dyDescent="0.25">
      <c r="A365" t="s">
        <v>1343</v>
      </c>
      <c r="B365" t="s">
        <v>668</v>
      </c>
      <c r="C365">
        <v>10000</v>
      </c>
      <c r="D365" t="s">
        <v>1344</v>
      </c>
      <c r="E365" t="s">
        <v>203</v>
      </c>
      <c r="F365" t="s">
        <v>554</v>
      </c>
      <c r="G365" s="30">
        <v>46144</v>
      </c>
      <c r="H365" t="s">
        <v>1345</v>
      </c>
      <c r="I365">
        <v>2179215</v>
      </c>
      <c r="J365" s="123">
        <v>46141</v>
      </c>
      <c r="K365" s="123">
        <v>0</v>
      </c>
      <c r="L365" s="123">
        <v>46141</v>
      </c>
      <c r="M365">
        <v>0</v>
      </c>
      <c r="N365">
        <v>0</v>
      </c>
      <c r="O365">
        <v>0</v>
      </c>
      <c r="P365" s="216">
        <v>10000</v>
      </c>
      <c r="Q365" s="217" t="s">
        <v>22</v>
      </c>
      <c r="R365" s="217" t="s">
        <v>554</v>
      </c>
      <c r="S365" s="218">
        <v>0.69040155913295542</v>
      </c>
      <c r="T365" t="s">
        <v>550</v>
      </c>
      <c r="U365" t="s">
        <v>51</v>
      </c>
      <c r="V365" s="219" t="s">
        <v>6023</v>
      </c>
      <c r="W365" s="219" t="s">
        <v>67</v>
      </c>
    </row>
    <row r="366" spans="1:23" ht="15" customHeight="1" x14ac:dyDescent="0.25">
      <c r="A366" t="s">
        <v>1346</v>
      </c>
      <c r="B366" t="s">
        <v>575</v>
      </c>
      <c r="C366">
        <v>15000</v>
      </c>
      <c r="D366" t="s">
        <v>1344</v>
      </c>
      <c r="E366" t="s">
        <v>203</v>
      </c>
      <c r="F366" t="s">
        <v>554</v>
      </c>
      <c r="G366" s="30">
        <v>46144</v>
      </c>
      <c r="H366" t="s">
        <v>1345</v>
      </c>
      <c r="I366">
        <v>2179215</v>
      </c>
      <c r="J366" s="123">
        <v>0</v>
      </c>
      <c r="K366" s="123">
        <v>0</v>
      </c>
      <c r="L366" s="123">
        <v>46135</v>
      </c>
      <c r="M366">
        <v>0</v>
      </c>
      <c r="N366">
        <v>0</v>
      </c>
      <c r="O366">
        <v>0</v>
      </c>
      <c r="P366" s="216">
        <v>15000</v>
      </c>
      <c r="Q366" s="217" t="s">
        <v>22</v>
      </c>
      <c r="R366" s="217" t="s">
        <v>554</v>
      </c>
      <c r="S366" s="218">
        <v>0.69040155913295542</v>
      </c>
      <c r="T366" t="s">
        <v>550</v>
      </c>
      <c r="U366" t="s">
        <v>51</v>
      </c>
      <c r="V366" s="219" t="s">
        <v>6024</v>
      </c>
      <c r="W366" s="219" t="s">
        <v>67</v>
      </c>
    </row>
    <row r="367" spans="1:23" ht="15" customHeight="1" x14ac:dyDescent="0.25">
      <c r="A367" t="s">
        <v>1347</v>
      </c>
      <c r="B367" t="s">
        <v>575</v>
      </c>
      <c r="C367">
        <v>15000</v>
      </c>
      <c r="D367" t="s">
        <v>1344</v>
      </c>
      <c r="E367" t="s">
        <v>203</v>
      </c>
      <c r="F367" t="s">
        <v>554</v>
      </c>
      <c r="G367" s="30">
        <v>46147</v>
      </c>
      <c r="H367" t="s">
        <v>1345</v>
      </c>
      <c r="I367">
        <v>2179215</v>
      </c>
      <c r="J367" s="123">
        <v>0</v>
      </c>
      <c r="K367" s="123">
        <v>0</v>
      </c>
      <c r="L367" s="123">
        <v>46144</v>
      </c>
      <c r="M367">
        <v>0</v>
      </c>
      <c r="N367">
        <v>0</v>
      </c>
      <c r="O367">
        <v>0</v>
      </c>
      <c r="P367" s="216">
        <v>15000</v>
      </c>
      <c r="Q367" s="217" t="s">
        <v>22</v>
      </c>
      <c r="R367" s="217" t="s">
        <v>554</v>
      </c>
      <c r="S367" s="218">
        <v>0.69040155913295542</v>
      </c>
      <c r="T367" t="s">
        <v>550</v>
      </c>
      <c r="U367" t="s">
        <v>51</v>
      </c>
      <c r="V367" s="219" t="s">
        <v>6025</v>
      </c>
      <c r="W367" s="219" t="s">
        <v>67</v>
      </c>
    </row>
    <row r="368" spans="1:23" ht="15" customHeight="1" x14ac:dyDescent="0.25">
      <c r="A368" t="s">
        <v>1348</v>
      </c>
      <c r="B368" t="s">
        <v>575</v>
      </c>
      <c r="C368">
        <v>5000</v>
      </c>
      <c r="D368" t="s">
        <v>1344</v>
      </c>
      <c r="E368" t="s">
        <v>203</v>
      </c>
      <c r="F368" t="s">
        <v>554</v>
      </c>
      <c r="G368" s="30">
        <v>46147</v>
      </c>
      <c r="H368" t="s">
        <v>1345</v>
      </c>
      <c r="I368">
        <v>2179215</v>
      </c>
      <c r="J368" s="123">
        <v>0</v>
      </c>
      <c r="K368" s="123">
        <v>0</v>
      </c>
      <c r="L368" s="123">
        <v>46144</v>
      </c>
      <c r="M368">
        <v>0</v>
      </c>
      <c r="N368">
        <v>0</v>
      </c>
      <c r="O368">
        <v>0</v>
      </c>
      <c r="P368" s="216">
        <v>5000</v>
      </c>
      <c r="Q368" s="217" t="s">
        <v>22</v>
      </c>
      <c r="R368" s="217" t="s">
        <v>554</v>
      </c>
      <c r="S368" s="218">
        <v>0.69040155913295542</v>
      </c>
      <c r="T368" t="s">
        <v>550</v>
      </c>
      <c r="U368" t="s">
        <v>51</v>
      </c>
      <c r="V368" s="219" t="s">
        <v>6026</v>
      </c>
      <c r="W368" s="219" t="s">
        <v>67</v>
      </c>
    </row>
    <row r="369" spans="1:23" ht="15" customHeight="1" x14ac:dyDescent="0.25">
      <c r="A369" t="s">
        <v>1349</v>
      </c>
      <c r="B369" t="s">
        <v>668</v>
      </c>
      <c r="C369">
        <v>10000</v>
      </c>
      <c r="D369" t="s">
        <v>1344</v>
      </c>
      <c r="E369" t="s">
        <v>203</v>
      </c>
      <c r="F369" t="s">
        <v>585</v>
      </c>
      <c r="G369" s="30">
        <v>46148</v>
      </c>
      <c r="H369" t="s">
        <v>1345</v>
      </c>
      <c r="I369">
        <v>2179215</v>
      </c>
      <c r="J369" s="123">
        <v>46147</v>
      </c>
      <c r="K369" s="123">
        <v>0</v>
      </c>
      <c r="L369" s="123">
        <v>46147</v>
      </c>
      <c r="M369">
        <v>0</v>
      </c>
      <c r="N369">
        <v>0</v>
      </c>
      <c r="O369">
        <v>0</v>
      </c>
      <c r="P369" s="216">
        <v>10000</v>
      </c>
      <c r="Q369" s="217" t="s">
        <v>22</v>
      </c>
      <c r="R369" s="217" t="s">
        <v>61</v>
      </c>
      <c r="S369" s="218">
        <v>0.69040155913295542</v>
      </c>
      <c r="T369" t="s">
        <v>550</v>
      </c>
      <c r="U369" t="s">
        <v>51</v>
      </c>
      <c r="V369" s="219">
        <v>0</v>
      </c>
      <c r="W369" s="219">
        <v>0</v>
      </c>
    </row>
    <row r="370" spans="1:23" ht="15" customHeight="1" x14ac:dyDescent="0.25">
      <c r="A370" t="s">
        <v>1350</v>
      </c>
      <c r="B370" t="s">
        <v>650</v>
      </c>
      <c r="C370">
        <v>5000</v>
      </c>
      <c r="D370" t="s">
        <v>1344</v>
      </c>
      <c r="E370" t="s">
        <v>1126</v>
      </c>
      <c r="F370" t="s">
        <v>580</v>
      </c>
      <c r="G370" s="30">
        <v>46149</v>
      </c>
      <c r="H370" t="s">
        <v>1345</v>
      </c>
      <c r="I370">
        <v>2179215</v>
      </c>
      <c r="J370" s="123">
        <v>0</v>
      </c>
      <c r="K370" s="123">
        <v>0</v>
      </c>
      <c r="L370" s="123">
        <v>0</v>
      </c>
      <c r="M370">
        <v>0</v>
      </c>
      <c r="N370">
        <v>0</v>
      </c>
      <c r="O370">
        <v>0</v>
      </c>
      <c r="P370" s="216">
        <v>5000</v>
      </c>
      <c r="Q370" s="217" t="s">
        <v>22</v>
      </c>
      <c r="R370" s="217" t="s">
        <v>582</v>
      </c>
      <c r="S370" s="218">
        <v>0.69040155913295542</v>
      </c>
      <c r="T370" t="s">
        <v>550</v>
      </c>
      <c r="U370" t="s">
        <v>51</v>
      </c>
      <c r="V370" s="219">
        <v>0</v>
      </c>
      <c r="W370" s="219">
        <v>0</v>
      </c>
    </row>
    <row r="371" spans="1:23" ht="15" customHeight="1" x14ac:dyDescent="0.25">
      <c r="A371" t="s">
        <v>1351</v>
      </c>
      <c r="B371" t="s">
        <v>650</v>
      </c>
      <c r="C371">
        <v>10000</v>
      </c>
      <c r="D371" t="s">
        <v>1344</v>
      </c>
      <c r="E371" t="s">
        <v>1126</v>
      </c>
      <c r="F371" t="s">
        <v>554</v>
      </c>
      <c r="G371" s="30">
        <v>46149</v>
      </c>
      <c r="H371" t="s">
        <v>1345</v>
      </c>
      <c r="I371">
        <v>2179215</v>
      </c>
      <c r="J371" s="123">
        <v>46149</v>
      </c>
      <c r="K371" s="123">
        <v>0</v>
      </c>
      <c r="L371" s="123">
        <v>0</v>
      </c>
      <c r="M371">
        <v>0</v>
      </c>
      <c r="N371">
        <v>0</v>
      </c>
      <c r="O371">
        <v>0</v>
      </c>
      <c r="P371" s="216">
        <v>10000</v>
      </c>
      <c r="Q371" s="217" t="s">
        <v>22</v>
      </c>
      <c r="R371" s="217" t="s">
        <v>554</v>
      </c>
      <c r="S371" s="218">
        <v>0.69040155913295542</v>
      </c>
      <c r="T371" t="s">
        <v>550</v>
      </c>
      <c r="U371" t="s">
        <v>51</v>
      </c>
      <c r="V371" s="219" t="s">
        <v>6027</v>
      </c>
      <c r="W371" s="219" t="s">
        <v>71</v>
      </c>
    </row>
    <row r="372" spans="1:23" ht="15" customHeight="1" x14ac:dyDescent="0.25">
      <c r="A372" t="s">
        <v>1352</v>
      </c>
      <c r="B372" t="s">
        <v>546</v>
      </c>
      <c r="C372">
        <v>10000</v>
      </c>
      <c r="D372" t="s">
        <v>1344</v>
      </c>
      <c r="E372" t="s">
        <v>553</v>
      </c>
      <c r="F372" t="s">
        <v>554</v>
      </c>
      <c r="G372" s="30">
        <v>46149</v>
      </c>
      <c r="H372" t="s">
        <v>1345</v>
      </c>
      <c r="I372">
        <v>2179215</v>
      </c>
      <c r="J372" s="123">
        <v>46149</v>
      </c>
      <c r="K372" s="123">
        <v>0</v>
      </c>
      <c r="L372" s="123">
        <v>46149</v>
      </c>
      <c r="M372">
        <v>0</v>
      </c>
      <c r="N372">
        <v>0</v>
      </c>
      <c r="O372" t="s">
        <v>556</v>
      </c>
      <c r="P372" s="216">
        <v>10000</v>
      </c>
      <c r="Q372" s="217" t="s">
        <v>22</v>
      </c>
      <c r="R372" s="217" t="s">
        <v>554</v>
      </c>
      <c r="S372" s="218">
        <v>0.69040155913295542</v>
      </c>
      <c r="T372" t="s">
        <v>550</v>
      </c>
      <c r="U372" t="s">
        <v>51</v>
      </c>
      <c r="V372" s="219" t="s">
        <v>6028</v>
      </c>
      <c r="W372" s="219" t="s">
        <v>67</v>
      </c>
    </row>
    <row r="373" spans="1:23" ht="15" customHeight="1" x14ac:dyDescent="0.25">
      <c r="A373" t="s">
        <v>1353</v>
      </c>
      <c r="B373" t="s">
        <v>546</v>
      </c>
      <c r="C373">
        <v>10000</v>
      </c>
      <c r="D373" t="s">
        <v>1344</v>
      </c>
      <c r="E373" t="s">
        <v>553</v>
      </c>
      <c r="F373" t="s">
        <v>548</v>
      </c>
      <c r="G373" s="30">
        <v>46149</v>
      </c>
      <c r="H373" t="s">
        <v>1345</v>
      </c>
      <c r="I373">
        <v>2179215</v>
      </c>
      <c r="J373" s="123">
        <v>46149</v>
      </c>
      <c r="K373" s="123">
        <v>0</v>
      </c>
      <c r="L373" s="123">
        <v>46149</v>
      </c>
      <c r="M373">
        <v>0</v>
      </c>
      <c r="N373">
        <v>0</v>
      </c>
      <c r="O373" t="s">
        <v>556</v>
      </c>
      <c r="P373" s="216">
        <v>10000</v>
      </c>
      <c r="Q373" s="217" t="s">
        <v>22</v>
      </c>
      <c r="R373" s="217" t="s">
        <v>62</v>
      </c>
      <c r="S373" s="218">
        <v>0.69040155913295542</v>
      </c>
      <c r="T373" t="s">
        <v>550</v>
      </c>
      <c r="U373" t="s">
        <v>51</v>
      </c>
      <c r="V373" s="219">
        <v>0</v>
      </c>
      <c r="W373" s="219">
        <v>0</v>
      </c>
    </row>
    <row r="374" spans="1:23" ht="15" customHeight="1" x14ac:dyDescent="0.25">
      <c r="A374" t="s">
        <v>1354</v>
      </c>
      <c r="B374" t="s">
        <v>546</v>
      </c>
      <c r="C374">
        <v>10000</v>
      </c>
      <c r="D374" t="s">
        <v>1344</v>
      </c>
      <c r="E374" t="s">
        <v>553</v>
      </c>
      <c r="F374" t="s">
        <v>548</v>
      </c>
      <c r="G374" s="30">
        <v>46149</v>
      </c>
      <c r="H374" t="s">
        <v>1345</v>
      </c>
      <c r="I374">
        <v>2179215</v>
      </c>
      <c r="J374" s="123">
        <v>46149</v>
      </c>
      <c r="K374" s="123">
        <v>0</v>
      </c>
      <c r="L374" s="123">
        <v>46149</v>
      </c>
      <c r="M374">
        <v>0</v>
      </c>
      <c r="N374">
        <v>0</v>
      </c>
      <c r="O374" t="s">
        <v>556</v>
      </c>
      <c r="P374" s="216">
        <v>10000</v>
      </c>
      <c r="Q374" s="217" t="s">
        <v>22</v>
      </c>
      <c r="R374" s="217" t="s">
        <v>62</v>
      </c>
      <c r="S374" s="218">
        <v>0.69040155913295542</v>
      </c>
      <c r="T374" t="s">
        <v>550</v>
      </c>
      <c r="U374" t="s">
        <v>51</v>
      </c>
      <c r="V374" s="219">
        <v>0</v>
      </c>
      <c r="W374" s="219">
        <v>0</v>
      </c>
    </row>
    <row r="375" spans="1:23" ht="15" customHeight="1" x14ac:dyDescent="0.25">
      <c r="A375" t="s">
        <v>1355</v>
      </c>
      <c r="B375" t="s">
        <v>546</v>
      </c>
      <c r="C375">
        <v>10000</v>
      </c>
      <c r="D375" t="s">
        <v>1344</v>
      </c>
      <c r="E375" t="s">
        <v>553</v>
      </c>
      <c r="F375" t="s">
        <v>548</v>
      </c>
      <c r="G375" s="30">
        <v>46149</v>
      </c>
      <c r="H375" t="s">
        <v>1345</v>
      </c>
      <c r="I375">
        <v>2179215</v>
      </c>
      <c r="J375" s="123">
        <v>46149</v>
      </c>
      <c r="K375" s="123">
        <v>0</v>
      </c>
      <c r="L375" s="123">
        <v>46149</v>
      </c>
      <c r="M375">
        <v>0</v>
      </c>
      <c r="N375">
        <v>0</v>
      </c>
      <c r="O375" t="s">
        <v>556</v>
      </c>
      <c r="P375" s="216">
        <v>10000</v>
      </c>
      <c r="Q375" s="217" t="s">
        <v>22</v>
      </c>
      <c r="R375" s="217" t="s">
        <v>62</v>
      </c>
      <c r="S375" s="218">
        <v>0.69040155913295542</v>
      </c>
      <c r="T375" t="s">
        <v>550</v>
      </c>
      <c r="U375" t="s">
        <v>51</v>
      </c>
      <c r="V375" s="219">
        <v>0</v>
      </c>
      <c r="W375" s="219">
        <v>0</v>
      </c>
    </row>
    <row r="376" spans="1:23" ht="15" customHeight="1" x14ac:dyDescent="0.25">
      <c r="A376" t="s">
        <v>1356</v>
      </c>
      <c r="B376" t="s">
        <v>603</v>
      </c>
      <c r="C376">
        <v>1000000</v>
      </c>
      <c r="D376" t="s">
        <v>1357</v>
      </c>
      <c r="E376" t="s">
        <v>605</v>
      </c>
      <c r="F376" t="s">
        <v>554</v>
      </c>
      <c r="G376" s="30">
        <v>46146</v>
      </c>
      <c r="H376" t="s">
        <v>1358</v>
      </c>
      <c r="I376">
        <v>17909387.460000001</v>
      </c>
      <c r="J376" s="123">
        <v>46147</v>
      </c>
      <c r="K376" s="123">
        <v>0</v>
      </c>
      <c r="L376" s="123">
        <v>0</v>
      </c>
      <c r="M376">
        <v>0</v>
      </c>
      <c r="N376">
        <v>0</v>
      </c>
      <c r="O376">
        <v>0</v>
      </c>
      <c r="P376" s="216">
        <v>1000000</v>
      </c>
      <c r="Q376" s="217" t="s">
        <v>18</v>
      </c>
      <c r="R376" s="217" t="s">
        <v>554</v>
      </c>
      <c r="S376" s="218">
        <v>0.89550321970753377</v>
      </c>
      <c r="T376" t="s">
        <v>550</v>
      </c>
      <c r="U376" t="s">
        <v>51</v>
      </c>
      <c r="V376" s="219" t="s">
        <v>6029</v>
      </c>
      <c r="W376" s="219" t="s">
        <v>67</v>
      </c>
    </row>
    <row r="377" spans="1:23" ht="15" customHeight="1" x14ac:dyDescent="0.25">
      <c r="A377" t="s">
        <v>1359</v>
      </c>
      <c r="B377" t="s">
        <v>64</v>
      </c>
      <c r="C377">
        <v>150063</v>
      </c>
      <c r="D377" t="s">
        <v>231</v>
      </c>
      <c r="E377" t="s">
        <v>1360</v>
      </c>
      <c r="F377" t="s">
        <v>554</v>
      </c>
      <c r="G377" s="30">
        <v>46148</v>
      </c>
      <c r="H377" t="s">
        <v>230</v>
      </c>
      <c r="I377">
        <v>1493945</v>
      </c>
      <c r="J377" s="123">
        <v>0</v>
      </c>
      <c r="K377" s="123">
        <v>46148</v>
      </c>
      <c r="L377" s="123">
        <v>0</v>
      </c>
      <c r="M377">
        <v>0</v>
      </c>
      <c r="N377">
        <v>0</v>
      </c>
      <c r="O377" t="s">
        <v>556</v>
      </c>
      <c r="P377" s="216">
        <v>150063</v>
      </c>
      <c r="Q377" s="217" t="s">
        <v>23</v>
      </c>
      <c r="R377" s="217" t="s">
        <v>554</v>
      </c>
      <c r="S377" s="218">
        <v>0.80406525416584895</v>
      </c>
      <c r="T377" t="s">
        <v>550</v>
      </c>
      <c r="U377" t="s">
        <v>51</v>
      </c>
      <c r="V377" s="219" t="s">
        <v>6030</v>
      </c>
      <c r="W377" s="219" t="s">
        <v>71</v>
      </c>
    </row>
    <row r="378" spans="1:23" ht="15" customHeight="1" x14ac:dyDescent="0.25">
      <c r="A378" t="s">
        <v>1361</v>
      </c>
      <c r="B378" t="s">
        <v>64</v>
      </c>
      <c r="C378">
        <v>3800000</v>
      </c>
      <c r="D378" t="s">
        <v>1362</v>
      </c>
      <c r="E378" t="s">
        <v>173</v>
      </c>
      <c r="F378" t="s">
        <v>554</v>
      </c>
      <c r="G378" s="30">
        <v>46146</v>
      </c>
      <c r="H378" t="s">
        <v>1363</v>
      </c>
      <c r="I378">
        <v>19950678</v>
      </c>
      <c r="J378" s="123">
        <v>0</v>
      </c>
      <c r="K378" s="123">
        <v>46146</v>
      </c>
      <c r="L378" s="123">
        <v>0</v>
      </c>
      <c r="M378">
        <v>0</v>
      </c>
      <c r="N378">
        <v>0</v>
      </c>
      <c r="O378" t="s">
        <v>556</v>
      </c>
      <c r="P378" s="216">
        <v>3800000</v>
      </c>
      <c r="Q378" s="217" t="s">
        <v>27</v>
      </c>
      <c r="R378" s="217" t="s">
        <v>554</v>
      </c>
      <c r="S378" s="218">
        <v>1.0572061063248392</v>
      </c>
      <c r="T378" t="s">
        <v>550</v>
      </c>
      <c r="U378" t="s">
        <v>51</v>
      </c>
      <c r="V378" s="219" t="s">
        <v>6031</v>
      </c>
      <c r="W378" s="219" t="s">
        <v>67</v>
      </c>
    </row>
    <row r="379" spans="1:23" ht="15" customHeight="1" x14ac:dyDescent="0.25">
      <c r="A379" t="s">
        <v>1364</v>
      </c>
      <c r="B379" t="s">
        <v>64</v>
      </c>
      <c r="C379">
        <v>4000000</v>
      </c>
      <c r="D379" t="s">
        <v>1362</v>
      </c>
      <c r="E379" t="s">
        <v>173</v>
      </c>
      <c r="F379" t="s">
        <v>554</v>
      </c>
      <c r="G379" s="30">
        <v>46146</v>
      </c>
      <c r="H379" t="s">
        <v>1363</v>
      </c>
      <c r="I379">
        <v>19950678</v>
      </c>
      <c r="J379" s="123">
        <v>0</v>
      </c>
      <c r="K379" s="123">
        <v>46146</v>
      </c>
      <c r="L379" s="123">
        <v>0</v>
      </c>
      <c r="M379">
        <v>0</v>
      </c>
      <c r="N379">
        <v>0</v>
      </c>
      <c r="O379" t="s">
        <v>556</v>
      </c>
      <c r="P379" s="216">
        <v>4000000</v>
      </c>
      <c r="Q379" s="217" t="s">
        <v>27</v>
      </c>
      <c r="R379" s="217" t="s">
        <v>554</v>
      </c>
      <c r="S379" s="218">
        <v>1.0572061063248392</v>
      </c>
      <c r="T379" t="s">
        <v>550</v>
      </c>
      <c r="U379" t="s">
        <v>51</v>
      </c>
      <c r="V379" s="219" t="s">
        <v>6032</v>
      </c>
      <c r="W379" s="219" t="s">
        <v>67</v>
      </c>
    </row>
    <row r="380" spans="1:23" ht="15" customHeight="1" x14ac:dyDescent="0.25">
      <c r="A380" t="s">
        <v>1365</v>
      </c>
      <c r="B380" t="s">
        <v>603</v>
      </c>
      <c r="C380">
        <v>547460</v>
      </c>
      <c r="D380" t="s">
        <v>1362</v>
      </c>
      <c r="E380" t="s">
        <v>605</v>
      </c>
      <c r="F380" t="s">
        <v>554</v>
      </c>
      <c r="G380" s="30">
        <v>46146</v>
      </c>
      <c r="H380" t="s">
        <v>1363</v>
      </c>
      <c r="I380">
        <v>19950678</v>
      </c>
      <c r="J380" s="123">
        <v>46146</v>
      </c>
      <c r="K380" s="123">
        <v>0</v>
      </c>
      <c r="L380" s="123">
        <v>0</v>
      </c>
      <c r="M380">
        <v>0</v>
      </c>
      <c r="N380">
        <v>0</v>
      </c>
      <c r="O380">
        <v>0</v>
      </c>
      <c r="P380" s="216">
        <v>547460</v>
      </c>
      <c r="Q380" s="217" t="s">
        <v>27</v>
      </c>
      <c r="R380" s="217" t="s">
        <v>554</v>
      </c>
      <c r="S380" s="218">
        <v>1.0572061063248392</v>
      </c>
      <c r="T380" t="s">
        <v>550</v>
      </c>
      <c r="U380" t="s">
        <v>51</v>
      </c>
      <c r="V380" s="219" t="s">
        <v>6033</v>
      </c>
      <c r="W380" s="219" t="s">
        <v>67</v>
      </c>
    </row>
    <row r="381" spans="1:23" ht="15" customHeight="1" x14ac:dyDescent="0.25">
      <c r="A381" t="s">
        <v>1366</v>
      </c>
      <c r="B381" t="s">
        <v>603</v>
      </c>
      <c r="C381">
        <v>330</v>
      </c>
      <c r="D381" t="s">
        <v>1362</v>
      </c>
      <c r="E381" t="s">
        <v>1367</v>
      </c>
      <c r="F381" t="s">
        <v>554</v>
      </c>
      <c r="G381" s="30">
        <v>46146</v>
      </c>
      <c r="H381" t="s">
        <v>1363</v>
      </c>
      <c r="I381">
        <v>19950678</v>
      </c>
      <c r="J381" s="123">
        <v>46146</v>
      </c>
      <c r="K381" s="123">
        <v>0</v>
      </c>
      <c r="L381" s="123">
        <v>0</v>
      </c>
      <c r="M381">
        <v>330</v>
      </c>
      <c r="N381">
        <v>0</v>
      </c>
      <c r="O381">
        <v>0</v>
      </c>
      <c r="P381" s="216">
        <v>0</v>
      </c>
      <c r="Q381" s="217" t="s">
        <v>27</v>
      </c>
      <c r="R381" s="217" t="s">
        <v>554</v>
      </c>
      <c r="S381" s="218">
        <v>1.0572061063248392</v>
      </c>
      <c r="T381" t="s">
        <v>550</v>
      </c>
      <c r="U381" t="s">
        <v>51</v>
      </c>
      <c r="V381" s="219" t="s">
        <v>6034</v>
      </c>
      <c r="W381" s="219" t="s">
        <v>67</v>
      </c>
    </row>
    <row r="382" spans="1:23" ht="15" customHeight="1" x14ac:dyDescent="0.25">
      <c r="A382" t="s">
        <v>1368</v>
      </c>
      <c r="B382" t="s">
        <v>603</v>
      </c>
      <c r="C382">
        <v>5000</v>
      </c>
      <c r="D382" t="s">
        <v>1362</v>
      </c>
      <c r="E382" t="s">
        <v>1367</v>
      </c>
      <c r="F382" t="s">
        <v>554</v>
      </c>
      <c r="G382" s="30">
        <v>46146</v>
      </c>
      <c r="H382" t="s">
        <v>1363</v>
      </c>
      <c r="I382">
        <v>19950678</v>
      </c>
      <c r="J382" s="123">
        <v>46146</v>
      </c>
      <c r="K382" s="123">
        <v>0</v>
      </c>
      <c r="L382" s="123">
        <v>0</v>
      </c>
      <c r="M382">
        <v>5000</v>
      </c>
      <c r="N382">
        <v>0</v>
      </c>
      <c r="O382">
        <v>0</v>
      </c>
      <c r="P382" s="216">
        <v>0</v>
      </c>
      <c r="Q382" s="217" t="s">
        <v>27</v>
      </c>
      <c r="R382" s="217" t="s">
        <v>554</v>
      </c>
      <c r="S382" s="218">
        <v>1.0572061063248392</v>
      </c>
      <c r="T382" t="s">
        <v>550</v>
      </c>
      <c r="U382" t="s">
        <v>51</v>
      </c>
      <c r="V382" s="219" t="s">
        <v>6035</v>
      </c>
      <c r="W382" s="219" t="s">
        <v>67</v>
      </c>
    </row>
    <row r="383" spans="1:23" ht="15" customHeight="1" x14ac:dyDescent="0.25">
      <c r="A383" t="s">
        <v>1369</v>
      </c>
      <c r="B383" t="s">
        <v>546</v>
      </c>
      <c r="C383">
        <v>48146</v>
      </c>
      <c r="D383" t="s">
        <v>1362</v>
      </c>
      <c r="E383" t="s">
        <v>1367</v>
      </c>
      <c r="F383" t="s">
        <v>554</v>
      </c>
      <c r="G383" s="30">
        <v>46146</v>
      </c>
      <c r="H383" t="s">
        <v>1363</v>
      </c>
      <c r="I383">
        <v>19950678</v>
      </c>
      <c r="J383" s="123">
        <v>0</v>
      </c>
      <c r="K383" s="123">
        <v>0</v>
      </c>
      <c r="L383" s="123">
        <v>0</v>
      </c>
      <c r="M383">
        <v>48146</v>
      </c>
      <c r="N383">
        <v>0</v>
      </c>
      <c r="O383">
        <v>0</v>
      </c>
      <c r="P383" s="216">
        <v>0</v>
      </c>
      <c r="Q383" s="217" t="s">
        <v>27</v>
      </c>
      <c r="R383" s="217" t="s">
        <v>554</v>
      </c>
      <c r="S383" s="218">
        <v>1.0572061063248392</v>
      </c>
      <c r="T383" t="s">
        <v>550</v>
      </c>
      <c r="U383" t="s">
        <v>51</v>
      </c>
      <c r="V383" s="219" t="s">
        <v>6036</v>
      </c>
      <c r="W383" s="219" t="s">
        <v>67</v>
      </c>
    </row>
    <row r="384" spans="1:23" ht="15" customHeight="1" x14ac:dyDescent="0.25">
      <c r="A384" t="s">
        <v>1370</v>
      </c>
      <c r="B384" t="s">
        <v>603</v>
      </c>
      <c r="C384">
        <v>100</v>
      </c>
      <c r="D384" t="s">
        <v>1362</v>
      </c>
      <c r="E384" t="s">
        <v>605</v>
      </c>
      <c r="F384" t="s">
        <v>554</v>
      </c>
      <c r="G384" s="30">
        <v>46146</v>
      </c>
      <c r="H384" t="s">
        <v>1363</v>
      </c>
      <c r="I384">
        <v>19950678</v>
      </c>
      <c r="J384" s="123">
        <v>46146</v>
      </c>
      <c r="K384" s="123">
        <v>0</v>
      </c>
      <c r="L384" s="123">
        <v>0</v>
      </c>
      <c r="M384">
        <v>0</v>
      </c>
      <c r="N384">
        <v>0</v>
      </c>
      <c r="O384">
        <v>0</v>
      </c>
      <c r="P384" s="216">
        <v>100</v>
      </c>
      <c r="Q384" s="217" t="s">
        <v>27</v>
      </c>
      <c r="R384" s="217" t="s">
        <v>554</v>
      </c>
      <c r="S384" s="218">
        <v>1.0572061063248392</v>
      </c>
      <c r="T384" t="s">
        <v>550</v>
      </c>
      <c r="U384" t="s">
        <v>51</v>
      </c>
      <c r="V384" s="219" t="s">
        <v>6037</v>
      </c>
      <c r="W384" s="219" t="s">
        <v>67</v>
      </c>
    </row>
    <row r="385" spans="1:23" ht="15" customHeight="1" x14ac:dyDescent="0.25">
      <c r="A385" t="s">
        <v>1371</v>
      </c>
      <c r="B385" t="s">
        <v>603</v>
      </c>
      <c r="C385">
        <v>158277</v>
      </c>
      <c r="D385" t="s">
        <v>1362</v>
      </c>
      <c r="E385" t="s">
        <v>605</v>
      </c>
      <c r="F385" t="s">
        <v>554</v>
      </c>
      <c r="G385" s="30">
        <v>46146</v>
      </c>
      <c r="H385" t="s">
        <v>1363</v>
      </c>
      <c r="I385">
        <v>19950678</v>
      </c>
      <c r="J385" s="123">
        <v>46146</v>
      </c>
      <c r="K385" s="123">
        <v>0</v>
      </c>
      <c r="L385" s="123">
        <v>0</v>
      </c>
      <c r="M385">
        <v>147677</v>
      </c>
      <c r="N385">
        <v>0</v>
      </c>
      <c r="O385" t="s">
        <v>556</v>
      </c>
      <c r="P385" s="216">
        <v>10600</v>
      </c>
      <c r="Q385" s="217" t="s">
        <v>27</v>
      </c>
      <c r="R385" s="217" t="s">
        <v>554</v>
      </c>
      <c r="S385" s="218">
        <v>1.0572061063248392</v>
      </c>
      <c r="T385" t="s">
        <v>550</v>
      </c>
      <c r="U385" t="s">
        <v>51</v>
      </c>
      <c r="V385" s="219" t="s">
        <v>6038</v>
      </c>
      <c r="W385" s="219" t="s">
        <v>67</v>
      </c>
    </row>
    <row r="386" spans="1:23" ht="15" customHeight="1" x14ac:dyDescent="0.25">
      <c r="A386" t="s">
        <v>1372</v>
      </c>
      <c r="B386" t="s">
        <v>575</v>
      </c>
      <c r="C386">
        <v>206557</v>
      </c>
      <c r="D386" t="s">
        <v>291</v>
      </c>
      <c r="E386" t="s">
        <v>208</v>
      </c>
      <c r="F386" t="s">
        <v>554</v>
      </c>
      <c r="G386" s="30">
        <v>46146</v>
      </c>
      <c r="H386" t="s">
        <v>290</v>
      </c>
      <c r="I386">
        <v>2045628</v>
      </c>
      <c r="J386" s="123">
        <v>0</v>
      </c>
      <c r="K386" s="123">
        <v>0</v>
      </c>
      <c r="L386" s="123">
        <v>46143</v>
      </c>
      <c r="M386">
        <v>0</v>
      </c>
      <c r="N386">
        <v>0</v>
      </c>
      <c r="O386">
        <v>0</v>
      </c>
      <c r="P386" s="216">
        <v>206557</v>
      </c>
      <c r="Q386" s="217" t="s">
        <v>23</v>
      </c>
      <c r="R386" s="217" t="s">
        <v>554</v>
      </c>
      <c r="S386" s="218">
        <v>0.89999923507870938</v>
      </c>
      <c r="T386" t="s">
        <v>550</v>
      </c>
      <c r="U386" t="s">
        <v>51</v>
      </c>
      <c r="V386" s="219" t="s">
        <v>6039</v>
      </c>
      <c r="W386" s="219" t="s">
        <v>67</v>
      </c>
    </row>
    <row r="387" spans="1:23" ht="15" customHeight="1" x14ac:dyDescent="0.25">
      <c r="A387" t="s">
        <v>1373</v>
      </c>
      <c r="B387" t="s">
        <v>546</v>
      </c>
      <c r="C387">
        <v>80000</v>
      </c>
      <c r="D387" t="s">
        <v>499</v>
      </c>
      <c r="E387" t="s">
        <v>208</v>
      </c>
      <c r="F387" t="s">
        <v>554</v>
      </c>
      <c r="G387" s="30">
        <v>46148</v>
      </c>
      <c r="H387" t="s">
        <v>498</v>
      </c>
      <c r="I387">
        <v>2045628</v>
      </c>
      <c r="J387" s="123">
        <v>0</v>
      </c>
      <c r="K387" s="123">
        <v>0</v>
      </c>
      <c r="L387" s="123">
        <v>0</v>
      </c>
      <c r="M387">
        <v>0</v>
      </c>
      <c r="N387">
        <v>0</v>
      </c>
      <c r="O387">
        <v>0</v>
      </c>
      <c r="P387" s="216">
        <v>80000</v>
      </c>
      <c r="Q387" s="217" t="s">
        <v>23</v>
      </c>
      <c r="R387" s="217" t="s">
        <v>554</v>
      </c>
      <c r="S387" s="218">
        <v>0.88719928426605321</v>
      </c>
      <c r="T387" t="s">
        <v>550</v>
      </c>
      <c r="U387" t="s">
        <v>51</v>
      </c>
      <c r="V387" s="219" t="s">
        <v>6040</v>
      </c>
      <c r="W387" s="219" t="s">
        <v>67</v>
      </c>
    </row>
    <row r="388" spans="1:23" ht="15" customHeight="1" x14ac:dyDescent="0.25">
      <c r="A388" t="s">
        <v>1374</v>
      </c>
      <c r="B388" t="s">
        <v>546</v>
      </c>
      <c r="C388">
        <v>80000</v>
      </c>
      <c r="D388" t="s">
        <v>499</v>
      </c>
      <c r="E388" t="s">
        <v>208</v>
      </c>
      <c r="F388" t="s">
        <v>548</v>
      </c>
      <c r="G388" s="30">
        <v>46147</v>
      </c>
      <c r="H388" t="s">
        <v>498</v>
      </c>
      <c r="I388">
        <v>2045628</v>
      </c>
      <c r="J388" s="123">
        <v>0</v>
      </c>
      <c r="K388" s="123">
        <v>0</v>
      </c>
      <c r="L388" s="123">
        <v>0</v>
      </c>
      <c r="M388">
        <v>0</v>
      </c>
      <c r="N388">
        <v>0</v>
      </c>
      <c r="O388">
        <v>0</v>
      </c>
      <c r="P388" s="216">
        <v>80000</v>
      </c>
      <c r="Q388" s="217" t="s">
        <v>23</v>
      </c>
      <c r="R388" s="217" t="s">
        <v>62</v>
      </c>
      <c r="S388" s="218">
        <v>0.88719928426605321</v>
      </c>
      <c r="T388" t="s">
        <v>550</v>
      </c>
      <c r="U388" t="s">
        <v>51</v>
      </c>
      <c r="V388" s="219">
        <v>0</v>
      </c>
      <c r="W388" s="219">
        <v>0</v>
      </c>
    </row>
    <row r="389" spans="1:23" ht="15" customHeight="1" x14ac:dyDescent="0.25">
      <c r="A389" t="s">
        <v>1375</v>
      </c>
      <c r="B389" t="s">
        <v>546</v>
      </c>
      <c r="C389">
        <v>100000</v>
      </c>
      <c r="D389" t="s">
        <v>499</v>
      </c>
      <c r="E389" t="s">
        <v>208</v>
      </c>
      <c r="F389" t="s">
        <v>554</v>
      </c>
      <c r="G389" s="30">
        <v>46149</v>
      </c>
      <c r="H389" t="s">
        <v>498</v>
      </c>
      <c r="I389">
        <v>2045628</v>
      </c>
      <c r="J389" s="123">
        <v>0</v>
      </c>
      <c r="K389" s="123">
        <v>0</v>
      </c>
      <c r="L389" s="123">
        <v>0</v>
      </c>
      <c r="M389">
        <v>0</v>
      </c>
      <c r="N389">
        <v>0</v>
      </c>
      <c r="O389">
        <v>0</v>
      </c>
      <c r="P389" s="216">
        <v>100000</v>
      </c>
      <c r="Q389" s="217" t="s">
        <v>23</v>
      </c>
      <c r="R389" s="217" t="s">
        <v>554</v>
      </c>
      <c r="S389" s="218">
        <v>0.88719928426605321</v>
      </c>
      <c r="T389" t="s">
        <v>550</v>
      </c>
      <c r="U389" t="s">
        <v>51</v>
      </c>
      <c r="V389" s="219" t="s">
        <v>6041</v>
      </c>
      <c r="W389" s="219" t="s">
        <v>67</v>
      </c>
    </row>
    <row r="390" spans="1:23" ht="15" customHeight="1" x14ac:dyDescent="0.25">
      <c r="A390" t="s">
        <v>1376</v>
      </c>
      <c r="B390" t="s">
        <v>546</v>
      </c>
      <c r="C390">
        <v>26441</v>
      </c>
      <c r="D390" t="s">
        <v>499</v>
      </c>
      <c r="E390" t="s">
        <v>208</v>
      </c>
      <c r="F390" t="s">
        <v>548</v>
      </c>
      <c r="G390" s="30">
        <v>46149</v>
      </c>
      <c r="H390" t="s">
        <v>498</v>
      </c>
      <c r="I390">
        <v>2045628</v>
      </c>
      <c r="J390" s="123">
        <v>0</v>
      </c>
      <c r="K390" s="123">
        <v>0</v>
      </c>
      <c r="L390" s="123">
        <v>0</v>
      </c>
      <c r="M390">
        <v>0</v>
      </c>
      <c r="N390">
        <v>0</v>
      </c>
      <c r="O390">
        <v>0</v>
      </c>
      <c r="P390" s="216">
        <v>26441</v>
      </c>
      <c r="Q390" s="217" t="s">
        <v>23</v>
      </c>
      <c r="R390" s="217" t="s">
        <v>62</v>
      </c>
      <c r="S390" s="218">
        <v>0.88719928426605321</v>
      </c>
      <c r="T390" t="s">
        <v>550</v>
      </c>
      <c r="U390" t="s">
        <v>51</v>
      </c>
      <c r="V390" s="219">
        <v>0</v>
      </c>
      <c r="W390" s="219">
        <v>0</v>
      </c>
    </row>
    <row r="391" spans="1:23" ht="15" customHeight="1" x14ac:dyDescent="0.25">
      <c r="A391" t="s">
        <v>1377</v>
      </c>
      <c r="B391" t="s">
        <v>575</v>
      </c>
      <c r="C391">
        <v>160522</v>
      </c>
      <c r="D391" t="s">
        <v>347</v>
      </c>
      <c r="E391" t="s">
        <v>208</v>
      </c>
      <c r="F391" t="s">
        <v>554</v>
      </c>
      <c r="G391" s="30">
        <v>46143</v>
      </c>
      <c r="H391" t="s">
        <v>346</v>
      </c>
      <c r="I391">
        <v>1605996</v>
      </c>
      <c r="J391" s="123">
        <v>0</v>
      </c>
      <c r="K391" s="123">
        <v>0</v>
      </c>
      <c r="L391" s="123">
        <v>46143</v>
      </c>
      <c r="M391">
        <v>0</v>
      </c>
      <c r="N391">
        <v>0</v>
      </c>
      <c r="O391">
        <v>0</v>
      </c>
      <c r="P391" s="216">
        <v>160522</v>
      </c>
      <c r="Q391" s="217" t="s">
        <v>23</v>
      </c>
      <c r="R391" s="217" t="s">
        <v>554</v>
      </c>
      <c r="S391" s="218">
        <v>0.90175997463279223</v>
      </c>
      <c r="T391" t="s">
        <v>550</v>
      </c>
      <c r="U391" t="s">
        <v>51</v>
      </c>
      <c r="V391" s="219" t="s">
        <v>6042</v>
      </c>
      <c r="W391" s="219" t="s">
        <v>67</v>
      </c>
    </row>
    <row r="392" spans="1:23" ht="15" customHeight="1" x14ac:dyDescent="0.25">
      <c r="A392" t="s">
        <v>1378</v>
      </c>
      <c r="B392" t="s">
        <v>575</v>
      </c>
      <c r="C392">
        <v>4293.2</v>
      </c>
      <c r="D392" t="s">
        <v>1379</v>
      </c>
      <c r="E392" t="s">
        <v>208</v>
      </c>
      <c r="F392" t="s">
        <v>554</v>
      </c>
      <c r="G392" s="30">
        <v>46147</v>
      </c>
      <c r="H392" t="s">
        <v>1380</v>
      </c>
      <c r="I392">
        <v>1395000</v>
      </c>
      <c r="J392" s="123">
        <v>0</v>
      </c>
      <c r="K392" s="123">
        <v>0</v>
      </c>
      <c r="L392" s="123">
        <v>46146</v>
      </c>
      <c r="M392">
        <v>0</v>
      </c>
      <c r="N392">
        <v>0</v>
      </c>
      <c r="O392">
        <v>0</v>
      </c>
      <c r="P392" s="216">
        <v>4293.2</v>
      </c>
      <c r="Q392" s="217" t="s">
        <v>23</v>
      </c>
      <c r="R392" s="217" t="s">
        <v>554</v>
      </c>
      <c r="S392" s="218">
        <v>0.80202972928298033</v>
      </c>
      <c r="T392" t="s">
        <v>550</v>
      </c>
      <c r="U392" t="s">
        <v>51</v>
      </c>
      <c r="V392" s="219" t="s">
        <v>6043</v>
      </c>
      <c r="W392" s="219" t="s">
        <v>67</v>
      </c>
    </row>
    <row r="393" spans="1:23" ht="15" customHeight="1" x14ac:dyDescent="0.25">
      <c r="A393" t="s">
        <v>1381</v>
      </c>
      <c r="B393" t="s">
        <v>575</v>
      </c>
      <c r="C393">
        <v>4000</v>
      </c>
      <c r="D393" t="s">
        <v>1379</v>
      </c>
      <c r="E393" t="s">
        <v>208</v>
      </c>
      <c r="F393" t="s">
        <v>554</v>
      </c>
      <c r="G393" s="30">
        <v>46147</v>
      </c>
      <c r="H393" t="s">
        <v>1380</v>
      </c>
      <c r="I393">
        <v>1395000</v>
      </c>
      <c r="J393" s="123">
        <v>0</v>
      </c>
      <c r="K393" s="123">
        <v>0</v>
      </c>
      <c r="L393" s="123">
        <v>46146</v>
      </c>
      <c r="M393">
        <v>0</v>
      </c>
      <c r="N393">
        <v>0</v>
      </c>
      <c r="O393">
        <v>0</v>
      </c>
      <c r="P393" s="216">
        <v>4000</v>
      </c>
      <c r="Q393" s="217" t="s">
        <v>23</v>
      </c>
      <c r="R393" s="217" t="s">
        <v>554</v>
      </c>
      <c r="S393" s="218">
        <v>0.80202972928298033</v>
      </c>
      <c r="T393" t="s">
        <v>550</v>
      </c>
      <c r="U393" t="s">
        <v>51</v>
      </c>
      <c r="V393" s="219" t="s">
        <v>6044</v>
      </c>
      <c r="W393" s="219" t="s">
        <v>67</v>
      </c>
    </row>
    <row r="394" spans="1:23" ht="15" customHeight="1" x14ac:dyDescent="0.25">
      <c r="A394" t="s">
        <v>1382</v>
      </c>
      <c r="B394" t="s">
        <v>575</v>
      </c>
      <c r="C394">
        <v>132060</v>
      </c>
      <c r="D394" t="s">
        <v>1379</v>
      </c>
      <c r="E394" t="s">
        <v>208</v>
      </c>
      <c r="F394" t="s">
        <v>580</v>
      </c>
      <c r="G394" s="30">
        <v>46147</v>
      </c>
      <c r="H394" t="s">
        <v>1380</v>
      </c>
      <c r="I394">
        <v>1395000</v>
      </c>
      <c r="J394" s="123">
        <v>0</v>
      </c>
      <c r="K394" s="123">
        <v>0</v>
      </c>
      <c r="L394" s="123">
        <v>46146</v>
      </c>
      <c r="M394">
        <v>0</v>
      </c>
      <c r="N394">
        <v>0</v>
      </c>
      <c r="O394">
        <v>0</v>
      </c>
      <c r="P394" s="216">
        <v>132060</v>
      </c>
      <c r="Q394" s="217" t="s">
        <v>23</v>
      </c>
      <c r="R394" s="217" t="s">
        <v>582</v>
      </c>
      <c r="S394" s="218">
        <v>0.80202972928298033</v>
      </c>
      <c r="T394" t="s">
        <v>550</v>
      </c>
      <c r="U394" t="s">
        <v>51</v>
      </c>
      <c r="V394" s="219">
        <v>0</v>
      </c>
      <c r="W394" s="219">
        <v>0</v>
      </c>
    </row>
    <row r="395" spans="1:23" ht="15" customHeight="1" x14ac:dyDescent="0.25">
      <c r="A395" t="s">
        <v>1383</v>
      </c>
      <c r="B395" t="s">
        <v>546</v>
      </c>
      <c r="C395">
        <v>30000</v>
      </c>
      <c r="D395" t="s">
        <v>1384</v>
      </c>
      <c r="E395" t="s">
        <v>553</v>
      </c>
      <c r="F395" t="s">
        <v>554</v>
      </c>
      <c r="G395" s="30">
        <v>46143</v>
      </c>
      <c r="H395" t="s">
        <v>1385</v>
      </c>
      <c r="I395">
        <v>1587402</v>
      </c>
      <c r="J395" s="123">
        <v>46143</v>
      </c>
      <c r="K395" s="123">
        <v>0</v>
      </c>
      <c r="L395" s="123">
        <v>46143</v>
      </c>
      <c r="M395">
        <v>0</v>
      </c>
      <c r="N395">
        <v>0</v>
      </c>
      <c r="O395" t="s">
        <v>556</v>
      </c>
      <c r="P395" s="216">
        <v>30000</v>
      </c>
      <c r="Q395" s="217" t="s">
        <v>23</v>
      </c>
      <c r="R395" s="217" t="s">
        <v>554</v>
      </c>
      <c r="S395" s="218">
        <v>0.61185078094984269</v>
      </c>
      <c r="T395" t="s">
        <v>550</v>
      </c>
      <c r="U395" t="s">
        <v>51</v>
      </c>
      <c r="V395" s="219" t="s">
        <v>6045</v>
      </c>
      <c r="W395" s="219" t="s">
        <v>67</v>
      </c>
    </row>
    <row r="396" spans="1:23" ht="15" customHeight="1" x14ac:dyDescent="0.25">
      <c r="A396" t="s">
        <v>1386</v>
      </c>
      <c r="B396" t="s">
        <v>546</v>
      </c>
      <c r="C396">
        <v>31000</v>
      </c>
      <c r="D396" t="s">
        <v>1384</v>
      </c>
      <c r="E396" t="s">
        <v>553</v>
      </c>
      <c r="F396" t="s">
        <v>554</v>
      </c>
      <c r="G396" s="30">
        <v>46144</v>
      </c>
      <c r="H396" t="s">
        <v>1385</v>
      </c>
      <c r="I396">
        <v>1587402</v>
      </c>
      <c r="J396" s="123">
        <v>46144</v>
      </c>
      <c r="K396" s="123">
        <v>0</v>
      </c>
      <c r="L396" s="123">
        <v>46144</v>
      </c>
      <c r="M396">
        <v>0</v>
      </c>
      <c r="N396">
        <v>0</v>
      </c>
      <c r="O396" t="s">
        <v>556</v>
      </c>
      <c r="P396" s="216">
        <v>31000</v>
      </c>
      <c r="Q396" s="217" t="s">
        <v>23</v>
      </c>
      <c r="R396" s="217" t="s">
        <v>554</v>
      </c>
      <c r="S396" s="218">
        <v>0.61185078094984269</v>
      </c>
      <c r="T396" t="s">
        <v>550</v>
      </c>
      <c r="U396" t="s">
        <v>51</v>
      </c>
      <c r="V396" s="219" t="s">
        <v>6046</v>
      </c>
      <c r="W396" s="219" t="s">
        <v>67</v>
      </c>
    </row>
    <row r="397" spans="1:23" ht="15" customHeight="1" x14ac:dyDescent="0.25">
      <c r="A397" t="s">
        <v>1387</v>
      </c>
      <c r="B397" t="s">
        <v>546</v>
      </c>
      <c r="C397">
        <v>34000</v>
      </c>
      <c r="D397" t="s">
        <v>1384</v>
      </c>
      <c r="E397" t="s">
        <v>553</v>
      </c>
      <c r="F397" t="s">
        <v>554</v>
      </c>
      <c r="G397" s="30">
        <v>46146</v>
      </c>
      <c r="H397" t="s">
        <v>1385</v>
      </c>
      <c r="I397">
        <v>1587402</v>
      </c>
      <c r="J397" s="123">
        <v>46146</v>
      </c>
      <c r="K397" s="123">
        <v>0</v>
      </c>
      <c r="L397" s="123">
        <v>46146</v>
      </c>
      <c r="M397">
        <v>0</v>
      </c>
      <c r="N397">
        <v>0</v>
      </c>
      <c r="O397" t="s">
        <v>556</v>
      </c>
      <c r="P397" s="216">
        <v>34000</v>
      </c>
      <c r="Q397" s="217" t="s">
        <v>23</v>
      </c>
      <c r="R397" s="217" t="s">
        <v>554</v>
      </c>
      <c r="S397" s="218">
        <v>0.61185078094984269</v>
      </c>
      <c r="T397" t="s">
        <v>550</v>
      </c>
      <c r="U397" t="s">
        <v>51</v>
      </c>
      <c r="V397" s="219" t="s">
        <v>6047</v>
      </c>
      <c r="W397" s="219" t="s">
        <v>67</v>
      </c>
    </row>
    <row r="398" spans="1:23" ht="15" customHeight="1" x14ac:dyDescent="0.25">
      <c r="A398" t="s">
        <v>1388</v>
      </c>
      <c r="B398" t="s">
        <v>546</v>
      </c>
      <c r="C398">
        <v>35000</v>
      </c>
      <c r="D398" t="s">
        <v>1384</v>
      </c>
      <c r="E398" t="s">
        <v>553</v>
      </c>
      <c r="F398" t="s">
        <v>554</v>
      </c>
      <c r="G398" s="30">
        <v>46147</v>
      </c>
      <c r="H398" t="s">
        <v>1385</v>
      </c>
      <c r="I398">
        <v>1587402</v>
      </c>
      <c r="J398" s="123">
        <v>46147</v>
      </c>
      <c r="K398" s="123">
        <v>0</v>
      </c>
      <c r="L398" s="123">
        <v>46147</v>
      </c>
      <c r="M398">
        <v>0</v>
      </c>
      <c r="N398">
        <v>0</v>
      </c>
      <c r="O398" t="s">
        <v>556</v>
      </c>
      <c r="P398" s="216">
        <v>35000</v>
      </c>
      <c r="Q398" s="217" t="s">
        <v>23</v>
      </c>
      <c r="R398" s="217" t="s">
        <v>554</v>
      </c>
      <c r="S398" s="218">
        <v>0.61185078094984269</v>
      </c>
      <c r="T398" t="s">
        <v>550</v>
      </c>
      <c r="U398" t="s">
        <v>51</v>
      </c>
      <c r="V398" s="219" t="s">
        <v>6048</v>
      </c>
      <c r="W398" s="219" t="s">
        <v>67</v>
      </c>
    </row>
    <row r="399" spans="1:23" ht="15" customHeight="1" x14ac:dyDescent="0.25">
      <c r="A399" t="s">
        <v>1389</v>
      </c>
      <c r="B399" t="s">
        <v>546</v>
      </c>
      <c r="C399">
        <v>37000</v>
      </c>
      <c r="D399" t="s">
        <v>1384</v>
      </c>
      <c r="E399" t="s">
        <v>553</v>
      </c>
      <c r="F399" t="s">
        <v>554</v>
      </c>
      <c r="G399" s="30">
        <v>46149</v>
      </c>
      <c r="H399" t="s">
        <v>1385</v>
      </c>
      <c r="I399">
        <v>1587402</v>
      </c>
      <c r="J399" s="123">
        <v>46149</v>
      </c>
      <c r="K399" s="123">
        <v>0</v>
      </c>
      <c r="L399" s="123">
        <v>46149</v>
      </c>
      <c r="M399">
        <v>0</v>
      </c>
      <c r="N399">
        <v>0</v>
      </c>
      <c r="O399" t="s">
        <v>556</v>
      </c>
      <c r="P399" s="216">
        <v>37000</v>
      </c>
      <c r="Q399" s="217" t="s">
        <v>23</v>
      </c>
      <c r="R399" s="217" t="s">
        <v>554</v>
      </c>
      <c r="S399" s="218">
        <v>0.61185078094984269</v>
      </c>
      <c r="T399" t="s">
        <v>550</v>
      </c>
      <c r="U399" t="s">
        <v>51</v>
      </c>
      <c r="V399" s="219" t="s">
        <v>6049</v>
      </c>
      <c r="W399" s="219" t="s">
        <v>67</v>
      </c>
    </row>
    <row r="400" spans="1:23" ht="15" customHeight="1" x14ac:dyDescent="0.25">
      <c r="A400" t="s">
        <v>1390</v>
      </c>
      <c r="B400" t="s">
        <v>575</v>
      </c>
      <c r="C400">
        <v>147910</v>
      </c>
      <c r="D400" t="s">
        <v>1391</v>
      </c>
      <c r="E400" t="s">
        <v>208</v>
      </c>
      <c r="F400" t="s">
        <v>554</v>
      </c>
      <c r="G400" s="30">
        <v>46148</v>
      </c>
      <c r="H400" t="s">
        <v>1392</v>
      </c>
      <c r="I400">
        <v>1473480</v>
      </c>
      <c r="J400" s="123">
        <v>0</v>
      </c>
      <c r="K400" s="123">
        <v>0</v>
      </c>
      <c r="L400" s="123">
        <v>46147</v>
      </c>
      <c r="M400">
        <v>0</v>
      </c>
      <c r="N400">
        <v>0</v>
      </c>
      <c r="O400">
        <v>0</v>
      </c>
      <c r="P400" s="216">
        <v>147910</v>
      </c>
      <c r="Q400" s="217" t="s">
        <v>23</v>
      </c>
      <c r="R400" s="217" t="s">
        <v>554</v>
      </c>
      <c r="S400" s="218">
        <v>0.90256464083467203</v>
      </c>
      <c r="T400" t="s">
        <v>550</v>
      </c>
      <c r="U400" t="s">
        <v>51</v>
      </c>
      <c r="V400" s="219" t="s">
        <v>6050</v>
      </c>
      <c r="W400" s="219" t="s">
        <v>67</v>
      </c>
    </row>
    <row r="401" spans="1:23" ht="15" customHeight="1" x14ac:dyDescent="0.25">
      <c r="A401" t="s">
        <v>1393</v>
      </c>
      <c r="B401" t="s">
        <v>546</v>
      </c>
      <c r="C401">
        <v>17000</v>
      </c>
      <c r="D401" t="s">
        <v>1394</v>
      </c>
      <c r="E401" t="s">
        <v>208</v>
      </c>
      <c r="F401" t="s">
        <v>554</v>
      </c>
      <c r="G401" s="30">
        <v>46149</v>
      </c>
      <c r="H401" t="s">
        <v>1395</v>
      </c>
      <c r="I401">
        <v>1518530.25</v>
      </c>
      <c r="J401" s="123">
        <v>0</v>
      </c>
      <c r="K401" s="123">
        <v>0</v>
      </c>
      <c r="L401" s="123">
        <v>0</v>
      </c>
      <c r="M401">
        <v>0</v>
      </c>
      <c r="N401">
        <v>0</v>
      </c>
      <c r="O401">
        <v>0</v>
      </c>
      <c r="P401" s="216">
        <v>17000</v>
      </c>
      <c r="Q401" s="217" t="s">
        <v>23</v>
      </c>
      <c r="R401" s="217" t="s">
        <v>554</v>
      </c>
      <c r="S401" s="218">
        <v>0.83726276021567969</v>
      </c>
      <c r="T401" t="s">
        <v>550</v>
      </c>
      <c r="U401" t="s">
        <v>51</v>
      </c>
      <c r="V401" s="219" t="s">
        <v>6051</v>
      </c>
      <c r="W401" s="219" t="s">
        <v>67</v>
      </c>
    </row>
    <row r="402" spans="1:23" ht="15" customHeight="1" x14ac:dyDescent="0.25">
      <c r="A402" t="s">
        <v>1396</v>
      </c>
      <c r="B402" t="s">
        <v>546</v>
      </c>
      <c r="C402">
        <v>140329.96</v>
      </c>
      <c r="D402" t="s">
        <v>1397</v>
      </c>
      <c r="E402" t="s">
        <v>553</v>
      </c>
      <c r="F402" t="s">
        <v>554</v>
      </c>
      <c r="G402" s="30">
        <v>46147</v>
      </c>
      <c r="H402" t="s">
        <v>1398</v>
      </c>
      <c r="I402">
        <v>1395000</v>
      </c>
      <c r="J402" s="123">
        <v>46147</v>
      </c>
      <c r="K402" s="123">
        <v>0</v>
      </c>
      <c r="L402" s="123">
        <v>46147</v>
      </c>
      <c r="M402">
        <v>0</v>
      </c>
      <c r="N402">
        <v>0</v>
      </c>
      <c r="O402" t="s">
        <v>556</v>
      </c>
      <c r="P402" s="216">
        <v>140329.96</v>
      </c>
      <c r="Q402" s="217" t="s">
        <v>44</v>
      </c>
      <c r="R402" s="217" t="s">
        <v>554</v>
      </c>
      <c r="S402" s="218">
        <v>0.8999974346805536</v>
      </c>
      <c r="T402" t="s">
        <v>550</v>
      </c>
      <c r="U402" t="s">
        <v>51</v>
      </c>
      <c r="V402" s="219" t="s">
        <v>6052</v>
      </c>
      <c r="W402" s="219" t="s">
        <v>67</v>
      </c>
    </row>
    <row r="403" spans="1:23" ht="15" customHeight="1" x14ac:dyDescent="0.25">
      <c r="A403" t="s">
        <v>1399</v>
      </c>
      <c r="B403" t="s">
        <v>595</v>
      </c>
      <c r="C403">
        <v>217000</v>
      </c>
      <c r="D403" t="s">
        <v>459</v>
      </c>
      <c r="E403" t="s">
        <v>208</v>
      </c>
      <c r="F403" t="s">
        <v>585</v>
      </c>
      <c r="G403" s="30">
        <v>46146</v>
      </c>
      <c r="H403" t="s">
        <v>458</v>
      </c>
      <c r="I403">
        <v>2151018</v>
      </c>
      <c r="J403" s="123">
        <v>0</v>
      </c>
      <c r="K403" s="123">
        <v>0</v>
      </c>
      <c r="L403" s="123">
        <v>46139</v>
      </c>
      <c r="M403">
        <v>0</v>
      </c>
      <c r="N403">
        <v>0</v>
      </c>
      <c r="O403">
        <v>0</v>
      </c>
      <c r="P403" s="216">
        <v>217000</v>
      </c>
      <c r="Q403" s="217" t="s">
        <v>23</v>
      </c>
      <c r="R403" s="217" t="s">
        <v>61</v>
      </c>
      <c r="S403" s="218">
        <v>0.81010969709021008</v>
      </c>
      <c r="T403" t="s">
        <v>550</v>
      </c>
      <c r="U403" t="s">
        <v>51</v>
      </c>
      <c r="V403" s="219">
        <v>0</v>
      </c>
      <c r="W403" s="219">
        <v>0</v>
      </c>
    </row>
    <row r="404" spans="1:23" ht="15" customHeight="1" x14ac:dyDescent="0.25">
      <c r="A404" t="s">
        <v>1400</v>
      </c>
      <c r="B404" t="s">
        <v>546</v>
      </c>
      <c r="C404">
        <v>18360</v>
      </c>
      <c r="D404" t="s">
        <v>459</v>
      </c>
      <c r="E404" t="s">
        <v>208</v>
      </c>
      <c r="F404" t="s">
        <v>554</v>
      </c>
      <c r="G404" s="30">
        <v>46147</v>
      </c>
      <c r="H404" t="s">
        <v>458</v>
      </c>
      <c r="I404">
        <v>2151018</v>
      </c>
      <c r="J404" s="123">
        <v>0</v>
      </c>
      <c r="K404" s="123">
        <v>0</v>
      </c>
      <c r="L404" s="123">
        <v>0</v>
      </c>
      <c r="M404">
        <v>0</v>
      </c>
      <c r="N404">
        <v>0</v>
      </c>
      <c r="O404">
        <v>0</v>
      </c>
      <c r="P404" s="216">
        <v>18360</v>
      </c>
      <c r="Q404" s="217" t="s">
        <v>23</v>
      </c>
      <c r="R404" s="217" t="s">
        <v>554</v>
      </c>
      <c r="S404" s="218">
        <v>0.81010969709021008</v>
      </c>
      <c r="T404" t="s">
        <v>550</v>
      </c>
      <c r="U404" t="s">
        <v>51</v>
      </c>
      <c r="V404" s="219" t="s">
        <v>6053</v>
      </c>
      <c r="W404" s="219" t="s">
        <v>67</v>
      </c>
    </row>
    <row r="405" spans="1:23" ht="15" customHeight="1" x14ac:dyDescent="0.25">
      <c r="A405" t="s">
        <v>1401</v>
      </c>
      <c r="B405" t="s">
        <v>546</v>
      </c>
      <c r="C405">
        <v>197346</v>
      </c>
      <c r="D405" t="s">
        <v>1402</v>
      </c>
      <c r="E405" t="s">
        <v>208</v>
      </c>
      <c r="F405" t="s">
        <v>554</v>
      </c>
      <c r="G405" s="30">
        <v>46148</v>
      </c>
      <c r="H405" t="s">
        <v>1403</v>
      </c>
      <c r="I405">
        <v>1962173.75</v>
      </c>
      <c r="J405" s="123">
        <v>0</v>
      </c>
      <c r="K405" s="123">
        <v>0</v>
      </c>
      <c r="L405" s="123">
        <v>0</v>
      </c>
      <c r="M405">
        <v>0</v>
      </c>
      <c r="N405">
        <v>0</v>
      </c>
      <c r="O405">
        <v>0</v>
      </c>
      <c r="P405" s="216">
        <v>197346</v>
      </c>
      <c r="Q405" s="217" t="s">
        <v>23</v>
      </c>
      <c r="R405" s="217" t="s">
        <v>554</v>
      </c>
      <c r="S405" s="218">
        <v>0.90355355326570008</v>
      </c>
      <c r="T405" t="s">
        <v>550</v>
      </c>
      <c r="U405" t="s">
        <v>51</v>
      </c>
      <c r="V405" s="219" t="s">
        <v>6054</v>
      </c>
      <c r="W405" s="219" t="s">
        <v>67</v>
      </c>
    </row>
    <row r="406" spans="1:23" ht="15" customHeight="1" x14ac:dyDescent="0.25">
      <c r="A406" t="s">
        <v>1404</v>
      </c>
      <c r="B406" t="s">
        <v>546</v>
      </c>
      <c r="C406">
        <v>190133</v>
      </c>
      <c r="D406" t="s">
        <v>1402</v>
      </c>
      <c r="E406" t="s">
        <v>208</v>
      </c>
      <c r="F406" t="s">
        <v>548</v>
      </c>
      <c r="G406" s="30">
        <v>46148</v>
      </c>
      <c r="H406" t="s">
        <v>1403</v>
      </c>
      <c r="I406">
        <v>1962173.75</v>
      </c>
      <c r="J406" s="123">
        <v>0</v>
      </c>
      <c r="K406" s="123">
        <v>0</v>
      </c>
      <c r="L406" s="123">
        <v>0</v>
      </c>
      <c r="M406">
        <v>0</v>
      </c>
      <c r="N406">
        <v>0</v>
      </c>
      <c r="O406">
        <v>0</v>
      </c>
      <c r="P406" s="216">
        <v>190133</v>
      </c>
      <c r="Q406" s="217" t="s">
        <v>23</v>
      </c>
      <c r="R406" s="217" t="s">
        <v>62</v>
      </c>
      <c r="S406" s="218">
        <v>0.90355355326570008</v>
      </c>
      <c r="T406" t="s">
        <v>550</v>
      </c>
      <c r="U406" t="s">
        <v>51</v>
      </c>
      <c r="V406" s="219">
        <v>0</v>
      </c>
      <c r="W406" s="219">
        <v>0</v>
      </c>
    </row>
    <row r="407" spans="1:23" ht="15" customHeight="1" x14ac:dyDescent="0.25">
      <c r="A407" t="s">
        <v>1405</v>
      </c>
      <c r="B407" t="s">
        <v>64</v>
      </c>
      <c r="C407">
        <v>151911.6</v>
      </c>
      <c r="D407" t="s">
        <v>206</v>
      </c>
      <c r="E407" t="s">
        <v>208</v>
      </c>
      <c r="F407" t="s">
        <v>554</v>
      </c>
      <c r="G407" s="30">
        <v>46147</v>
      </c>
      <c r="H407" t="s">
        <v>205</v>
      </c>
      <c r="I407">
        <v>1518530.25</v>
      </c>
      <c r="J407" s="123">
        <v>0</v>
      </c>
      <c r="K407" s="123">
        <v>46147</v>
      </c>
      <c r="L407" s="123">
        <v>0</v>
      </c>
      <c r="M407">
        <v>0</v>
      </c>
      <c r="N407">
        <v>0</v>
      </c>
      <c r="O407" t="s">
        <v>556</v>
      </c>
      <c r="P407" s="216">
        <v>151911.6</v>
      </c>
      <c r="Q407" s="217" t="s">
        <v>23</v>
      </c>
      <c r="R407" s="217" t="s">
        <v>554</v>
      </c>
      <c r="S407" s="218">
        <v>0.80114209843092954</v>
      </c>
      <c r="T407" t="s">
        <v>550</v>
      </c>
      <c r="U407" t="s">
        <v>51</v>
      </c>
      <c r="V407" s="219" t="s">
        <v>6055</v>
      </c>
      <c r="W407" s="219" t="s">
        <v>71</v>
      </c>
    </row>
    <row r="408" spans="1:23" ht="15" customHeight="1" x14ac:dyDescent="0.25">
      <c r="A408" t="s">
        <v>1406</v>
      </c>
      <c r="B408" t="s">
        <v>64</v>
      </c>
      <c r="C408">
        <v>100000</v>
      </c>
      <c r="D408" t="s">
        <v>447</v>
      </c>
      <c r="E408" t="s">
        <v>163</v>
      </c>
      <c r="F408" t="s">
        <v>554</v>
      </c>
      <c r="G408" s="30">
        <v>46143</v>
      </c>
      <c r="H408" t="s">
        <v>446</v>
      </c>
      <c r="I408">
        <v>2151000</v>
      </c>
      <c r="J408" s="123">
        <v>0</v>
      </c>
      <c r="K408" s="123">
        <v>46143</v>
      </c>
      <c r="L408" s="123">
        <v>0</v>
      </c>
      <c r="M408">
        <v>0</v>
      </c>
      <c r="N408">
        <v>0</v>
      </c>
      <c r="O408" t="s">
        <v>556</v>
      </c>
      <c r="P408" s="216">
        <v>100000</v>
      </c>
      <c r="Q408" s="217" t="s">
        <v>15</v>
      </c>
      <c r="R408" s="217" t="s">
        <v>554</v>
      </c>
      <c r="S408" s="218">
        <v>0.80698726092367967</v>
      </c>
      <c r="T408" t="s">
        <v>550</v>
      </c>
      <c r="U408" t="s">
        <v>51</v>
      </c>
      <c r="V408" s="219" t="s">
        <v>6056</v>
      </c>
      <c r="W408" s="219" t="s">
        <v>71</v>
      </c>
    </row>
    <row r="409" spans="1:23" ht="15" customHeight="1" x14ac:dyDescent="0.25">
      <c r="A409" t="s">
        <v>1407</v>
      </c>
      <c r="B409" t="s">
        <v>546</v>
      </c>
      <c r="C409">
        <v>15000</v>
      </c>
      <c r="D409" t="s">
        <v>367</v>
      </c>
      <c r="E409" t="s">
        <v>553</v>
      </c>
      <c r="F409" t="s">
        <v>554</v>
      </c>
      <c r="G409" s="30">
        <v>46143</v>
      </c>
      <c r="H409" t="s">
        <v>366</v>
      </c>
      <c r="I409">
        <v>1395000</v>
      </c>
      <c r="J409" s="123">
        <v>46143</v>
      </c>
      <c r="K409" s="123">
        <v>0</v>
      </c>
      <c r="L409" s="123">
        <v>46143</v>
      </c>
      <c r="M409">
        <v>0</v>
      </c>
      <c r="N409">
        <v>0</v>
      </c>
      <c r="O409" t="s">
        <v>556</v>
      </c>
      <c r="P409" s="216">
        <v>15000</v>
      </c>
      <c r="Q409" s="217" t="s">
        <v>23</v>
      </c>
      <c r="R409" s="217" t="s">
        <v>554</v>
      </c>
      <c r="S409" s="218">
        <v>0.89999771907240378</v>
      </c>
      <c r="T409" t="s">
        <v>550</v>
      </c>
      <c r="U409" t="s">
        <v>51</v>
      </c>
      <c r="V409" s="219" t="s">
        <v>6057</v>
      </c>
      <c r="W409" s="219" t="s">
        <v>67</v>
      </c>
    </row>
    <row r="410" spans="1:23" ht="15" customHeight="1" x14ac:dyDescent="0.25">
      <c r="A410" t="s">
        <v>1408</v>
      </c>
      <c r="B410" t="s">
        <v>546</v>
      </c>
      <c r="C410">
        <v>12000</v>
      </c>
      <c r="D410" t="s">
        <v>367</v>
      </c>
      <c r="E410" t="s">
        <v>553</v>
      </c>
      <c r="F410" t="s">
        <v>554</v>
      </c>
      <c r="G410" s="30">
        <v>46146</v>
      </c>
      <c r="H410" t="s">
        <v>366</v>
      </c>
      <c r="I410">
        <v>1395000</v>
      </c>
      <c r="J410" s="123">
        <v>46146</v>
      </c>
      <c r="K410" s="123">
        <v>0</v>
      </c>
      <c r="L410" s="123">
        <v>46146</v>
      </c>
      <c r="M410">
        <v>0</v>
      </c>
      <c r="N410">
        <v>0</v>
      </c>
      <c r="O410" t="s">
        <v>556</v>
      </c>
      <c r="P410" s="216">
        <v>12000</v>
      </c>
      <c r="Q410" s="217" t="s">
        <v>23</v>
      </c>
      <c r="R410" s="217" t="s">
        <v>554</v>
      </c>
      <c r="S410" s="218">
        <v>0.89999771907240378</v>
      </c>
      <c r="T410" t="s">
        <v>550</v>
      </c>
      <c r="U410" t="s">
        <v>51</v>
      </c>
      <c r="V410" s="219" t="s">
        <v>6058</v>
      </c>
      <c r="W410" s="219" t="s">
        <v>67</v>
      </c>
    </row>
    <row r="411" spans="1:23" ht="15" customHeight="1" x14ac:dyDescent="0.25">
      <c r="A411" t="s">
        <v>1409</v>
      </c>
      <c r="B411" t="s">
        <v>546</v>
      </c>
      <c r="C411">
        <v>12000</v>
      </c>
      <c r="D411" t="s">
        <v>367</v>
      </c>
      <c r="E411" t="s">
        <v>553</v>
      </c>
      <c r="F411" t="s">
        <v>548</v>
      </c>
      <c r="G411" s="30">
        <v>46146</v>
      </c>
      <c r="H411" t="s">
        <v>366</v>
      </c>
      <c r="I411">
        <v>1395000</v>
      </c>
      <c r="J411" s="123">
        <v>46146</v>
      </c>
      <c r="K411" s="123">
        <v>0</v>
      </c>
      <c r="L411" s="123">
        <v>46146</v>
      </c>
      <c r="M411">
        <v>0</v>
      </c>
      <c r="N411">
        <v>0</v>
      </c>
      <c r="O411" t="s">
        <v>556</v>
      </c>
      <c r="P411" s="216">
        <v>12000</v>
      </c>
      <c r="Q411" s="217" t="s">
        <v>23</v>
      </c>
      <c r="R411" s="217" t="s">
        <v>62</v>
      </c>
      <c r="S411" s="218">
        <v>0.89999771907240378</v>
      </c>
      <c r="T411" t="s">
        <v>550</v>
      </c>
      <c r="U411" t="s">
        <v>51</v>
      </c>
      <c r="V411" s="219">
        <v>0</v>
      </c>
      <c r="W411" s="219">
        <v>0</v>
      </c>
    </row>
    <row r="412" spans="1:23" ht="15" customHeight="1" x14ac:dyDescent="0.25">
      <c r="A412" t="s">
        <v>1410</v>
      </c>
      <c r="B412" t="s">
        <v>64</v>
      </c>
      <c r="C412">
        <v>100000</v>
      </c>
      <c r="D412" t="s">
        <v>451</v>
      </c>
      <c r="E412" t="s">
        <v>163</v>
      </c>
      <c r="F412" t="s">
        <v>554</v>
      </c>
      <c r="G412" s="30">
        <v>46143</v>
      </c>
      <c r="H412" t="s">
        <v>450</v>
      </c>
      <c r="I412">
        <v>2151000</v>
      </c>
      <c r="J412" s="123">
        <v>0</v>
      </c>
      <c r="K412" s="123">
        <v>46143</v>
      </c>
      <c r="L412" s="123">
        <v>0</v>
      </c>
      <c r="M412">
        <v>0</v>
      </c>
      <c r="N412">
        <v>0</v>
      </c>
      <c r="O412" t="s">
        <v>556</v>
      </c>
      <c r="P412" s="216">
        <v>100000</v>
      </c>
      <c r="Q412" s="217" t="s">
        <v>15</v>
      </c>
      <c r="R412" s="217" t="s">
        <v>554</v>
      </c>
      <c r="S412" s="218">
        <v>0.793581679959936</v>
      </c>
      <c r="T412" t="s">
        <v>550</v>
      </c>
      <c r="U412" t="s">
        <v>51</v>
      </c>
      <c r="V412" s="219" t="s">
        <v>6059</v>
      </c>
      <c r="W412" s="219" t="s">
        <v>71</v>
      </c>
    </row>
    <row r="413" spans="1:23" ht="15" customHeight="1" x14ac:dyDescent="0.25">
      <c r="A413" t="s">
        <v>1411</v>
      </c>
      <c r="B413" t="s">
        <v>668</v>
      </c>
      <c r="C413">
        <v>50000</v>
      </c>
      <c r="D413" t="s">
        <v>1412</v>
      </c>
      <c r="E413" t="s">
        <v>208</v>
      </c>
      <c r="F413" t="s">
        <v>554</v>
      </c>
      <c r="G413" s="30">
        <v>46148</v>
      </c>
      <c r="H413" t="s">
        <v>1413</v>
      </c>
      <c r="I413">
        <v>2247611.5</v>
      </c>
      <c r="J413" s="123">
        <v>46148</v>
      </c>
      <c r="K413" s="123">
        <v>0</v>
      </c>
      <c r="L413" s="123">
        <v>46148</v>
      </c>
      <c r="M413">
        <v>0</v>
      </c>
      <c r="N413">
        <v>0</v>
      </c>
      <c r="O413">
        <v>0</v>
      </c>
      <c r="P413" s="216">
        <v>50000</v>
      </c>
      <c r="Q413" s="217" t="s">
        <v>23</v>
      </c>
      <c r="R413" s="217" t="s">
        <v>554</v>
      </c>
      <c r="S413" s="218">
        <v>0.84176018319793844</v>
      </c>
      <c r="T413" t="s">
        <v>550</v>
      </c>
      <c r="U413" t="s">
        <v>51</v>
      </c>
      <c r="V413" s="219" t="s">
        <v>6060</v>
      </c>
      <c r="W413" s="219" t="s">
        <v>67</v>
      </c>
    </row>
    <row r="414" spans="1:23" ht="15" customHeight="1" x14ac:dyDescent="0.25">
      <c r="A414" t="s">
        <v>1414</v>
      </c>
      <c r="B414" t="s">
        <v>668</v>
      </c>
      <c r="C414">
        <v>50000</v>
      </c>
      <c r="D414" t="s">
        <v>1412</v>
      </c>
      <c r="E414" t="s">
        <v>208</v>
      </c>
      <c r="F414" t="s">
        <v>554</v>
      </c>
      <c r="G414" s="30">
        <v>46148</v>
      </c>
      <c r="H414" t="s">
        <v>1413</v>
      </c>
      <c r="I414">
        <v>2247611.5</v>
      </c>
      <c r="J414" s="123">
        <v>46147</v>
      </c>
      <c r="K414" s="123">
        <v>0</v>
      </c>
      <c r="L414" s="123">
        <v>46147</v>
      </c>
      <c r="M414">
        <v>0</v>
      </c>
      <c r="N414">
        <v>0</v>
      </c>
      <c r="O414">
        <v>0</v>
      </c>
      <c r="P414" s="216">
        <v>50000</v>
      </c>
      <c r="Q414" s="217" t="s">
        <v>23</v>
      </c>
      <c r="R414" s="217" t="s">
        <v>554</v>
      </c>
      <c r="S414" s="218">
        <v>0.84176018319793844</v>
      </c>
      <c r="T414" t="s">
        <v>550</v>
      </c>
      <c r="U414" t="s">
        <v>51</v>
      </c>
      <c r="V414" s="219" t="s">
        <v>6061</v>
      </c>
      <c r="W414" s="219" t="s">
        <v>67</v>
      </c>
    </row>
    <row r="415" spans="1:23" ht="15" customHeight="1" x14ac:dyDescent="0.25">
      <c r="A415" t="s">
        <v>1415</v>
      </c>
      <c r="B415" t="s">
        <v>575</v>
      </c>
      <c r="C415">
        <v>224847</v>
      </c>
      <c r="D415" t="s">
        <v>355</v>
      </c>
      <c r="E415" t="s">
        <v>208</v>
      </c>
      <c r="F415" t="s">
        <v>580</v>
      </c>
      <c r="G415" s="30">
        <v>46149</v>
      </c>
      <c r="H415" t="s">
        <v>354</v>
      </c>
      <c r="I415">
        <v>2232972</v>
      </c>
      <c r="J415" s="123">
        <v>0</v>
      </c>
      <c r="K415" s="123">
        <v>0</v>
      </c>
      <c r="L415" s="123">
        <v>46149</v>
      </c>
      <c r="M415">
        <v>0</v>
      </c>
      <c r="N415">
        <v>0</v>
      </c>
      <c r="O415">
        <v>0</v>
      </c>
      <c r="P415" s="216">
        <v>224847</v>
      </c>
      <c r="Q415" s="217" t="s">
        <v>23</v>
      </c>
      <c r="R415" s="217" t="s">
        <v>582</v>
      </c>
      <c r="S415" s="218">
        <v>0.80157314084688691</v>
      </c>
      <c r="T415" t="s">
        <v>550</v>
      </c>
      <c r="U415" t="s">
        <v>51</v>
      </c>
      <c r="V415" s="219">
        <v>0</v>
      </c>
      <c r="W415" s="219">
        <v>0</v>
      </c>
    </row>
    <row r="416" spans="1:23" ht="15" customHeight="1" x14ac:dyDescent="0.25">
      <c r="A416" t="s">
        <v>1416</v>
      </c>
      <c r="B416" t="s">
        <v>595</v>
      </c>
      <c r="C416">
        <v>120100</v>
      </c>
      <c r="D416" t="s">
        <v>1417</v>
      </c>
      <c r="E416" t="s">
        <v>238</v>
      </c>
      <c r="F416" t="s">
        <v>585</v>
      </c>
      <c r="G416" s="30">
        <v>46145</v>
      </c>
      <c r="H416" t="s">
        <v>1418</v>
      </c>
      <c r="I416">
        <v>1395000</v>
      </c>
      <c r="J416" s="123">
        <v>0</v>
      </c>
      <c r="K416" s="123">
        <v>0</v>
      </c>
      <c r="L416" s="123">
        <v>46141</v>
      </c>
      <c r="M416">
        <v>0</v>
      </c>
      <c r="N416">
        <v>0</v>
      </c>
      <c r="O416">
        <v>0</v>
      </c>
      <c r="P416" s="216">
        <v>120100</v>
      </c>
      <c r="Q416" s="217" t="s">
        <v>19</v>
      </c>
      <c r="R416" s="217" t="s">
        <v>61</v>
      </c>
      <c r="S416" s="218">
        <v>0.81063674945008268</v>
      </c>
      <c r="T416" t="s">
        <v>550</v>
      </c>
      <c r="U416" t="s">
        <v>51</v>
      </c>
      <c r="V416" s="219">
        <v>0</v>
      </c>
      <c r="W416" s="219">
        <v>0</v>
      </c>
    </row>
    <row r="417" spans="1:23" ht="15" customHeight="1" x14ac:dyDescent="0.25">
      <c r="A417" t="s">
        <v>1419</v>
      </c>
      <c r="B417" t="s">
        <v>546</v>
      </c>
      <c r="C417">
        <v>14900</v>
      </c>
      <c r="D417" t="s">
        <v>1417</v>
      </c>
      <c r="E417" t="s">
        <v>183</v>
      </c>
      <c r="F417" t="s">
        <v>554</v>
      </c>
      <c r="G417" s="30">
        <v>46146</v>
      </c>
      <c r="H417" t="s">
        <v>1418</v>
      </c>
      <c r="I417">
        <v>1395000</v>
      </c>
      <c r="J417" s="123">
        <v>0</v>
      </c>
      <c r="K417" s="123">
        <v>0</v>
      </c>
      <c r="L417" s="123">
        <v>0</v>
      </c>
      <c r="M417">
        <v>0</v>
      </c>
      <c r="N417">
        <v>0</v>
      </c>
      <c r="O417">
        <v>0</v>
      </c>
      <c r="P417" s="216">
        <v>14900</v>
      </c>
      <c r="Q417" s="217" t="s">
        <v>33</v>
      </c>
      <c r="R417" s="217" t="s">
        <v>554</v>
      </c>
      <c r="S417" s="218">
        <v>0.81063674945008268</v>
      </c>
      <c r="T417" t="s">
        <v>550</v>
      </c>
      <c r="U417" t="s">
        <v>51</v>
      </c>
      <c r="V417" s="219" t="s">
        <v>6062</v>
      </c>
      <c r="W417" s="219" t="s">
        <v>67</v>
      </c>
    </row>
    <row r="418" spans="1:23" ht="15" customHeight="1" x14ac:dyDescent="0.25">
      <c r="A418" t="s">
        <v>1420</v>
      </c>
      <c r="B418" t="s">
        <v>64</v>
      </c>
      <c r="C418">
        <v>223670</v>
      </c>
      <c r="D418" t="s">
        <v>391</v>
      </c>
      <c r="E418" t="s">
        <v>1126</v>
      </c>
      <c r="F418" t="s">
        <v>554</v>
      </c>
      <c r="G418" s="30">
        <v>46147</v>
      </c>
      <c r="H418" t="s">
        <v>390</v>
      </c>
      <c r="I418">
        <v>2232972</v>
      </c>
      <c r="J418" s="123">
        <v>0</v>
      </c>
      <c r="K418" s="123">
        <v>46146</v>
      </c>
      <c r="L418" s="123">
        <v>0</v>
      </c>
      <c r="M418">
        <v>0</v>
      </c>
      <c r="N418">
        <v>0</v>
      </c>
      <c r="O418" t="s">
        <v>556</v>
      </c>
      <c r="P418" s="216">
        <v>223670</v>
      </c>
      <c r="Q418" s="217" t="s">
        <v>23</v>
      </c>
      <c r="R418" s="217" t="s">
        <v>554</v>
      </c>
      <c r="S418" s="218">
        <v>0.9</v>
      </c>
      <c r="T418" t="s">
        <v>550</v>
      </c>
      <c r="U418" t="s">
        <v>51</v>
      </c>
      <c r="V418" s="219" t="s">
        <v>6063</v>
      </c>
      <c r="W418" s="219" t="s">
        <v>67</v>
      </c>
    </row>
    <row r="419" spans="1:23" ht="15" customHeight="1" x14ac:dyDescent="0.25">
      <c r="A419" t="s">
        <v>1421</v>
      </c>
      <c r="B419" t="s">
        <v>546</v>
      </c>
      <c r="C419">
        <v>1177</v>
      </c>
      <c r="D419" t="s">
        <v>391</v>
      </c>
      <c r="E419" t="s">
        <v>208</v>
      </c>
      <c r="F419" t="s">
        <v>554</v>
      </c>
      <c r="G419" s="30">
        <v>46147</v>
      </c>
      <c r="H419" t="s">
        <v>390</v>
      </c>
      <c r="I419">
        <v>2232972</v>
      </c>
      <c r="J419" s="123">
        <v>0</v>
      </c>
      <c r="K419" s="123">
        <v>0</v>
      </c>
      <c r="L419" s="123">
        <v>0</v>
      </c>
      <c r="M419">
        <v>1177</v>
      </c>
      <c r="N419">
        <v>0</v>
      </c>
      <c r="O419">
        <v>0</v>
      </c>
      <c r="P419" s="216">
        <v>0</v>
      </c>
      <c r="Q419" s="217" t="s">
        <v>23</v>
      </c>
      <c r="R419" s="217" t="s">
        <v>554</v>
      </c>
      <c r="S419" s="218">
        <v>0.9</v>
      </c>
      <c r="T419" t="s">
        <v>550</v>
      </c>
      <c r="U419" t="s">
        <v>51</v>
      </c>
      <c r="V419" s="219" t="s">
        <v>6064</v>
      </c>
      <c r="W419" s="219" t="s">
        <v>67</v>
      </c>
    </row>
    <row r="420" spans="1:23" ht="15" customHeight="1" x14ac:dyDescent="0.25">
      <c r="A420" t="s">
        <v>1422</v>
      </c>
      <c r="B420" t="s">
        <v>595</v>
      </c>
      <c r="C420">
        <v>224365.5</v>
      </c>
      <c r="D420" t="s">
        <v>1423</v>
      </c>
      <c r="E420" t="s">
        <v>208</v>
      </c>
      <c r="F420" t="s">
        <v>580</v>
      </c>
      <c r="G420" s="30">
        <v>46149</v>
      </c>
      <c r="H420" t="s">
        <v>1424</v>
      </c>
      <c r="I420">
        <v>2247611.5</v>
      </c>
      <c r="J420" s="123">
        <v>0</v>
      </c>
      <c r="K420" s="123">
        <v>0</v>
      </c>
      <c r="L420" s="123">
        <v>46136</v>
      </c>
      <c r="M420">
        <v>0</v>
      </c>
      <c r="N420">
        <v>0</v>
      </c>
      <c r="O420">
        <v>0</v>
      </c>
      <c r="P420" s="216">
        <v>224365.5</v>
      </c>
      <c r="Q420" s="217" t="s">
        <v>23</v>
      </c>
      <c r="R420" s="217" t="s">
        <v>582</v>
      </c>
      <c r="S420" s="218">
        <v>0.80192883097537027</v>
      </c>
      <c r="T420" t="s">
        <v>550</v>
      </c>
      <c r="U420" t="s">
        <v>51</v>
      </c>
      <c r="V420" s="219">
        <v>0</v>
      </c>
      <c r="W420" s="219">
        <v>0</v>
      </c>
    </row>
    <row r="421" spans="1:23" ht="15" customHeight="1" x14ac:dyDescent="0.25">
      <c r="A421" t="s">
        <v>1425</v>
      </c>
      <c r="B421" t="s">
        <v>575</v>
      </c>
      <c r="C421">
        <v>150000</v>
      </c>
      <c r="D421" t="s">
        <v>1426</v>
      </c>
      <c r="E421" t="s">
        <v>238</v>
      </c>
      <c r="F421" t="s">
        <v>585</v>
      </c>
      <c r="G421" s="30">
        <v>46146</v>
      </c>
      <c r="H421" t="s">
        <v>1427</v>
      </c>
      <c r="I421">
        <v>1473480</v>
      </c>
      <c r="J421" s="123">
        <v>0</v>
      </c>
      <c r="K421" s="123">
        <v>0</v>
      </c>
      <c r="L421" s="123">
        <v>46141</v>
      </c>
      <c r="M421">
        <v>0</v>
      </c>
      <c r="N421">
        <v>0</v>
      </c>
      <c r="O421">
        <v>0</v>
      </c>
      <c r="P421" s="216">
        <v>150000</v>
      </c>
      <c r="Q421" s="217" t="s">
        <v>19</v>
      </c>
      <c r="R421" s="217" t="s">
        <v>61</v>
      </c>
      <c r="S421" s="218">
        <v>0.80343932846328692</v>
      </c>
      <c r="T421" t="s">
        <v>550</v>
      </c>
      <c r="U421" t="s">
        <v>51</v>
      </c>
      <c r="V421" s="219">
        <v>0</v>
      </c>
      <c r="W421" s="219">
        <v>0</v>
      </c>
    </row>
    <row r="422" spans="1:23" ht="15" customHeight="1" x14ac:dyDescent="0.25">
      <c r="A422" t="s">
        <v>1428</v>
      </c>
      <c r="B422" t="s">
        <v>575</v>
      </c>
      <c r="C422">
        <v>197346</v>
      </c>
      <c r="D422" t="s">
        <v>1429</v>
      </c>
      <c r="E422" t="s">
        <v>208</v>
      </c>
      <c r="F422" t="s">
        <v>554</v>
      </c>
      <c r="G422" s="30">
        <v>46148</v>
      </c>
      <c r="H422" t="s">
        <v>1430</v>
      </c>
      <c r="I422">
        <v>1962173.75</v>
      </c>
      <c r="J422" s="123">
        <v>0</v>
      </c>
      <c r="K422" s="123">
        <v>0</v>
      </c>
      <c r="L422" s="123">
        <v>46148</v>
      </c>
      <c r="M422">
        <v>0</v>
      </c>
      <c r="N422">
        <v>0</v>
      </c>
      <c r="O422">
        <v>0</v>
      </c>
      <c r="P422" s="216">
        <v>197346</v>
      </c>
      <c r="Q422" s="217" t="s">
        <v>23</v>
      </c>
      <c r="R422" s="217" t="s">
        <v>554</v>
      </c>
      <c r="S422" s="218">
        <v>0.89999917657427286</v>
      </c>
      <c r="T422" t="s">
        <v>550</v>
      </c>
      <c r="U422" t="s">
        <v>51</v>
      </c>
      <c r="V422" s="219" t="s">
        <v>6065</v>
      </c>
      <c r="W422" s="219" t="s">
        <v>67</v>
      </c>
    </row>
    <row r="423" spans="1:23" ht="15" customHeight="1" x14ac:dyDescent="0.25">
      <c r="A423" t="s">
        <v>1431</v>
      </c>
      <c r="B423" t="s">
        <v>64</v>
      </c>
      <c r="C423">
        <v>100000</v>
      </c>
      <c r="D423" t="s">
        <v>455</v>
      </c>
      <c r="E423" t="s">
        <v>163</v>
      </c>
      <c r="F423" t="s">
        <v>554</v>
      </c>
      <c r="G423" s="30">
        <v>46143</v>
      </c>
      <c r="H423" t="s">
        <v>454</v>
      </c>
      <c r="I423">
        <v>2151000</v>
      </c>
      <c r="J423" s="123">
        <v>0</v>
      </c>
      <c r="K423" s="123">
        <v>46143</v>
      </c>
      <c r="L423" s="123">
        <v>0</v>
      </c>
      <c r="M423">
        <v>0</v>
      </c>
      <c r="N423">
        <v>0</v>
      </c>
      <c r="O423" t="s">
        <v>556</v>
      </c>
      <c r="P423" s="216">
        <v>100000</v>
      </c>
      <c r="Q423" s="217" t="s">
        <v>15</v>
      </c>
      <c r="R423" s="217" t="s">
        <v>554</v>
      </c>
      <c r="S423" s="218">
        <v>0.80318214540848265</v>
      </c>
      <c r="T423" t="s">
        <v>550</v>
      </c>
      <c r="U423" t="s">
        <v>51</v>
      </c>
      <c r="V423" s="219" t="s">
        <v>6066</v>
      </c>
      <c r="W423" s="219" t="s">
        <v>71</v>
      </c>
    </row>
    <row r="424" spans="1:23" ht="15" customHeight="1" x14ac:dyDescent="0.25">
      <c r="A424" t="s">
        <v>1432</v>
      </c>
      <c r="B424" t="s">
        <v>64</v>
      </c>
      <c r="C424">
        <v>100000</v>
      </c>
      <c r="D424" t="s">
        <v>471</v>
      </c>
      <c r="E424" t="s">
        <v>163</v>
      </c>
      <c r="F424" t="s">
        <v>554</v>
      </c>
      <c r="G424" s="30">
        <v>46143</v>
      </c>
      <c r="H424" t="s">
        <v>470</v>
      </c>
      <c r="I424">
        <v>2151000</v>
      </c>
      <c r="J424" s="123">
        <v>0</v>
      </c>
      <c r="K424" s="123">
        <v>46143</v>
      </c>
      <c r="L424" s="123">
        <v>0</v>
      </c>
      <c r="M424">
        <v>0</v>
      </c>
      <c r="N424">
        <v>0</v>
      </c>
      <c r="O424" t="s">
        <v>556</v>
      </c>
      <c r="P424" s="216">
        <v>100000</v>
      </c>
      <c r="Q424" s="217" t="s">
        <v>15</v>
      </c>
      <c r="R424" s="217" t="s">
        <v>554</v>
      </c>
      <c r="S424" s="218">
        <v>0.79524057687633942</v>
      </c>
      <c r="T424" t="s">
        <v>550</v>
      </c>
      <c r="U424" t="s">
        <v>51</v>
      </c>
      <c r="V424" s="219" t="s">
        <v>6067</v>
      </c>
      <c r="W424" s="219" t="s">
        <v>71</v>
      </c>
    </row>
    <row r="425" spans="1:23" ht="15" customHeight="1" x14ac:dyDescent="0.25">
      <c r="A425" t="s">
        <v>1433</v>
      </c>
      <c r="B425" t="s">
        <v>64</v>
      </c>
      <c r="C425">
        <v>100000</v>
      </c>
      <c r="D425" t="s">
        <v>467</v>
      </c>
      <c r="E425" t="s">
        <v>163</v>
      </c>
      <c r="F425" t="s">
        <v>554</v>
      </c>
      <c r="G425" s="30">
        <v>46143</v>
      </c>
      <c r="H425" t="s">
        <v>466</v>
      </c>
      <c r="I425">
        <v>2232972</v>
      </c>
      <c r="J425" s="123">
        <v>0</v>
      </c>
      <c r="K425" s="123">
        <v>46143</v>
      </c>
      <c r="L425" s="123">
        <v>0</v>
      </c>
      <c r="M425">
        <v>0</v>
      </c>
      <c r="N425">
        <v>0</v>
      </c>
      <c r="O425" t="s">
        <v>556</v>
      </c>
      <c r="P425" s="216">
        <v>100000</v>
      </c>
      <c r="Q425" s="217" t="s">
        <v>15</v>
      </c>
      <c r="R425" s="217" t="s">
        <v>554</v>
      </c>
      <c r="S425" s="218">
        <v>0.80157314084688691</v>
      </c>
      <c r="T425" t="s">
        <v>550</v>
      </c>
      <c r="U425" t="s">
        <v>51</v>
      </c>
      <c r="V425" s="219" t="s">
        <v>6068</v>
      </c>
      <c r="W425" s="219" t="s">
        <v>71</v>
      </c>
    </row>
    <row r="426" spans="1:23" ht="15" customHeight="1" x14ac:dyDescent="0.25">
      <c r="A426" t="s">
        <v>1434</v>
      </c>
      <c r="B426" t="s">
        <v>546</v>
      </c>
      <c r="C426">
        <v>132846.07999999999</v>
      </c>
      <c r="D426" t="s">
        <v>1435</v>
      </c>
      <c r="E426" t="s">
        <v>553</v>
      </c>
      <c r="F426" t="s">
        <v>554</v>
      </c>
      <c r="G426" s="30">
        <v>46147</v>
      </c>
      <c r="H426" t="s">
        <v>1436</v>
      </c>
      <c r="I426">
        <v>1326528.5</v>
      </c>
      <c r="J426" s="123">
        <v>46147</v>
      </c>
      <c r="K426" s="123">
        <v>0</v>
      </c>
      <c r="L426" s="123">
        <v>46147</v>
      </c>
      <c r="M426">
        <v>0</v>
      </c>
      <c r="N426">
        <v>0</v>
      </c>
      <c r="O426" t="s">
        <v>556</v>
      </c>
      <c r="P426" s="216">
        <v>132846.07999999999</v>
      </c>
      <c r="Q426" s="217" t="s">
        <v>44</v>
      </c>
      <c r="R426" s="217" t="s">
        <v>554</v>
      </c>
      <c r="S426" s="218">
        <v>0.89999742252185355</v>
      </c>
      <c r="T426" t="s">
        <v>550</v>
      </c>
      <c r="U426" t="s">
        <v>51</v>
      </c>
      <c r="V426" s="219" t="s">
        <v>6069</v>
      </c>
      <c r="W426" s="219" t="s">
        <v>67</v>
      </c>
    </row>
    <row r="427" spans="1:23" ht="15" customHeight="1" x14ac:dyDescent="0.25">
      <c r="A427" t="s">
        <v>1437</v>
      </c>
      <c r="B427" t="s">
        <v>575</v>
      </c>
      <c r="C427">
        <v>151913</v>
      </c>
      <c r="D427" t="s">
        <v>1438</v>
      </c>
      <c r="E427" t="s">
        <v>208</v>
      </c>
      <c r="F427" t="s">
        <v>580</v>
      </c>
      <c r="G427" s="30">
        <v>46149</v>
      </c>
      <c r="H427" t="s">
        <v>1439</v>
      </c>
      <c r="I427">
        <v>1518530.25</v>
      </c>
      <c r="J427" s="123">
        <v>0</v>
      </c>
      <c r="K427" s="123">
        <v>0</v>
      </c>
      <c r="L427" s="123">
        <v>46148</v>
      </c>
      <c r="M427">
        <v>0</v>
      </c>
      <c r="N427">
        <v>0</v>
      </c>
      <c r="O427">
        <v>0</v>
      </c>
      <c r="P427" s="216">
        <v>151913</v>
      </c>
      <c r="Q427" s="217" t="s">
        <v>23</v>
      </c>
      <c r="R427" s="217" t="s">
        <v>582</v>
      </c>
      <c r="S427" s="218">
        <v>0.80000830746302454</v>
      </c>
      <c r="T427" t="s">
        <v>550</v>
      </c>
      <c r="U427" t="s">
        <v>51</v>
      </c>
      <c r="V427" s="219">
        <v>0</v>
      </c>
      <c r="W427" s="219">
        <v>0</v>
      </c>
    </row>
    <row r="428" spans="1:23" ht="15" customHeight="1" x14ac:dyDescent="0.25">
      <c r="A428" t="s">
        <v>1440</v>
      </c>
      <c r="B428" t="s">
        <v>575</v>
      </c>
      <c r="C428">
        <v>300000</v>
      </c>
      <c r="D428" t="s">
        <v>1441</v>
      </c>
      <c r="E428" t="s">
        <v>208</v>
      </c>
      <c r="F428" t="s">
        <v>580</v>
      </c>
      <c r="G428" s="30">
        <v>46149</v>
      </c>
      <c r="H428" t="s">
        <v>1442</v>
      </c>
      <c r="I428">
        <v>2984915.25</v>
      </c>
      <c r="J428" s="123">
        <v>0</v>
      </c>
      <c r="K428" s="123">
        <v>0</v>
      </c>
      <c r="L428" s="123">
        <v>46147</v>
      </c>
      <c r="M428">
        <v>0</v>
      </c>
      <c r="N428">
        <v>0</v>
      </c>
      <c r="O428">
        <v>0</v>
      </c>
      <c r="P428" s="216">
        <v>300000</v>
      </c>
      <c r="Q428" s="217" t="s">
        <v>23</v>
      </c>
      <c r="R428" s="217" t="s">
        <v>582</v>
      </c>
      <c r="S428" s="218">
        <v>0.80081388528868547</v>
      </c>
      <c r="T428" t="s">
        <v>550</v>
      </c>
      <c r="U428" t="s">
        <v>51</v>
      </c>
      <c r="V428" s="219">
        <v>0</v>
      </c>
      <c r="W428" s="219">
        <v>0</v>
      </c>
    </row>
    <row r="429" spans="1:23" ht="15" customHeight="1" x14ac:dyDescent="0.25">
      <c r="A429" t="s">
        <v>1443</v>
      </c>
      <c r="B429" t="s">
        <v>575</v>
      </c>
      <c r="C429">
        <v>228393</v>
      </c>
      <c r="D429" t="s">
        <v>437</v>
      </c>
      <c r="E429" t="s">
        <v>208</v>
      </c>
      <c r="F429" t="s">
        <v>554</v>
      </c>
      <c r="G429" s="30">
        <v>46148</v>
      </c>
      <c r="H429" t="s">
        <v>436</v>
      </c>
      <c r="I429">
        <v>2279268</v>
      </c>
      <c r="J429" s="123">
        <v>0</v>
      </c>
      <c r="K429" s="123">
        <v>0</v>
      </c>
      <c r="L429" s="123">
        <v>46134</v>
      </c>
      <c r="M429">
        <v>0</v>
      </c>
      <c r="N429">
        <v>0</v>
      </c>
      <c r="O429">
        <v>0</v>
      </c>
      <c r="P429" s="216">
        <v>228393</v>
      </c>
      <c r="Q429" s="217" t="s">
        <v>23</v>
      </c>
      <c r="R429" s="217" t="s">
        <v>554</v>
      </c>
      <c r="S429" s="218">
        <v>0.9000001401093729</v>
      </c>
      <c r="T429" t="s">
        <v>550</v>
      </c>
      <c r="U429" t="s">
        <v>51</v>
      </c>
      <c r="V429" s="219" t="s">
        <v>6070</v>
      </c>
      <c r="W429" s="219" t="s">
        <v>67</v>
      </c>
    </row>
    <row r="430" spans="1:23" ht="15" customHeight="1" x14ac:dyDescent="0.25">
      <c r="A430" t="s">
        <v>1444</v>
      </c>
      <c r="B430" t="s">
        <v>575</v>
      </c>
      <c r="C430">
        <v>100000</v>
      </c>
      <c r="D430" t="s">
        <v>463</v>
      </c>
      <c r="E430" t="s">
        <v>238</v>
      </c>
      <c r="F430" t="s">
        <v>585</v>
      </c>
      <c r="G430" s="30">
        <v>46143</v>
      </c>
      <c r="H430" t="s">
        <v>462</v>
      </c>
      <c r="I430">
        <v>2263985.5</v>
      </c>
      <c r="J430" s="123">
        <v>0</v>
      </c>
      <c r="K430" s="123">
        <v>0</v>
      </c>
      <c r="L430" s="123">
        <v>46171</v>
      </c>
      <c r="M430">
        <v>0</v>
      </c>
      <c r="N430">
        <v>0</v>
      </c>
      <c r="O430">
        <v>0</v>
      </c>
      <c r="P430" s="216">
        <v>100000</v>
      </c>
      <c r="Q430" s="217" t="s">
        <v>19</v>
      </c>
      <c r="R430" s="217" t="s">
        <v>61</v>
      </c>
      <c r="S430" s="218">
        <v>0.80000019300795766</v>
      </c>
      <c r="T430" t="s">
        <v>550</v>
      </c>
      <c r="U430" t="s">
        <v>51</v>
      </c>
      <c r="V430" s="219">
        <v>0</v>
      </c>
      <c r="W430" s="219">
        <v>0</v>
      </c>
    </row>
    <row r="431" spans="1:23" ht="15" customHeight="1" x14ac:dyDescent="0.25">
      <c r="A431" t="s">
        <v>1445</v>
      </c>
      <c r="B431" t="s">
        <v>575</v>
      </c>
      <c r="C431">
        <v>100000</v>
      </c>
      <c r="D431" t="s">
        <v>463</v>
      </c>
      <c r="E431" t="s">
        <v>238</v>
      </c>
      <c r="F431" t="s">
        <v>585</v>
      </c>
      <c r="G431" s="30">
        <v>46148</v>
      </c>
      <c r="H431" t="s">
        <v>462</v>
      </c>
      <c r="I431">
        <v>2263985.5</v>
      </c>
      <c r="J431" s="123">
        <v>0</v>
      </c>
      <c r="K431" s="123">
        <v>0</v>
      </c>
      <c r="L431" s="123">
        <v>46142</v>
      </c>
      <c r="M431">
        <v>0</v>
      </c>
      <c r="N431">
        <v>0</v>
      </c>
      <c r="O431">
        <v>0</v>
      </c>
      <c r="P431" s="216">
        <v>100000</v>
      </c>
      <c r="Q431" s="217" t="s">
        <v>19</v>
      </c>
      <c r="R431" s="217" t="s">
        <v>61</v>
      </c>
      <c r="S431" s="218">
        <v>0.80000019300795766</v>
      </c>
      <c r="T431" t="s">
        <v>550</v>
      </c>
      <c r="U431" t="s">
        <v>51</v>
      </c>
      <c r="V431" s="219">
        <v>0</v>
      </c>
      <c r="W431" s="219">
        <v>0</v>
      </c>
    </row>
    <row r="432" spans="1:23" ht="15" customHeight="1" x14ac:dyDescent="0.25">
      <c r="A432" t="s">
        <v>1446</v>
      </c>
      <c r="B432" t="s">
        <v>546</v>
      </c>
      <c r="C432">
        <v>30000</v>
      </c>
      <c r="D432" t="s">
        <v>1447</v>
      </c>
      <c r="E432" t="s">
        <v>183</v>
      </c>
      <c r="F432" t="s">
        <v>554</v>
      </c>
      <c r="G432" s="30">
        <v>46146</v>
      </c>
      <c r="H432" t="s">
        <v>1448</v>
      </c>
      <c r="I432">
        <v>1397340</v>
      </c>
      <c r="J432" s="123">
        <v>0</v>
      </c>
      <c r="K432" s="123">
        <v>0</v>
      </c>
      <c r="L432" s="123">
        <v>0</v>
      </c>
      <c r="M432">
        <v>0</v>
      </c>
      <c r="N432">
        <v>0</v>
      </c>
      <c r="O432">
        <v>0</v>
      </c>
      <c r="P432" s="216">
        <v>30000</v>
      </c>
      <c r="Q432" s="217" t="s">
        <v>33</v>
      </c>
      <c r="R432" s="217" t="s">
        <v>554</v>
      </c>
      <c r="S432" s="218">
        <v>0.88509358528323578</v>
      </c>
      <c r="T432" t="s">
        <v>550</v>
      </c>
      <c r="U432" t="s">
        <v>51</v>
      </c>
      <c r="V432" s="219" t="s">
        <v>6071</v>
      </c>
      <c r="W432" s="219" t="s">
        <v>67</v>
      </c>
    </row>
    <row r="433" spans="1:23" ht="15" customHeight="1" x14ac:dyDescent="0.25">
      <c r="A433" t="s">
        <v>1449</v>
      </c>
      <c r="B433" t="s">
        <v>546</v>
      </c>
      <c r="C433">
        <v>94560</v>
      </c>
      <c r="D433" t="s">
        <v>1447</v>
      </c>
      <c r="E433" t="s">
        <v>208</v>
      </c>
      <c r="F433" t="s">
        <v>554</v>
      </c>
      <c r="G433" s="30">
        <v>46147</v>
      </c>
      <c r="H433" t="s">
        <v>1448</v>
      </c>
      <c r="I433">
        <v>1397340</v>
      </c>
      <c r="J433" s="123">
        <v>0</v>
      </c>
      <c r="K433" s="123">
        <v>0</v>
      </c>
      <c r="L433" s="123">
        <v>0</v>
      </c>
      <c r="M433">
        <v>0</v>
      </c>
      <c r="N433">
        <v>0</v>
      </c>
      <c r="O433">
        <v>0</v>
      </c>
      <c r="P433" s="216">
        <v>94560</v>
      </c>
      <c r="Q433" s="217" t="s">
        <v>23</v>
      </c>
      <c r="R433" s="217" t="s">
        <v>554</v>
      </c>
      <c r="S433" s="218">
        <v>0.88509358528323578</v>
      </c>
      <c r="T433" t="s">
        <v>550</v>
      </c>
      <c r="U433" t="s">
        <v>51</v>
      </c>
      <c r="V433" s="219" t="s">
        <v>6072</v>
      </c>
      <c r="W433" s="219" t="s">
        <v>67</v>
      </c>
    </row>
    <row r="434" spans="1:23" ht="15" customHeight="1" x14ac:dyDescent="0.25">
      <c r="A434" t="s">
        <v>1450</v>
      </c>
      <c r="B434" t="s">
        <v>595</v>
      </c>
      <c r="C434">
        <v>154051</v>
      </c>
      <c r="D434" t="s">
        <v>1451</v>
      </c>
      <c r="E434" t="s">
        <v>208</v>
      </c>
      <c r="F434" t="s">
        <v>554</v>
      </c>
      <c r="G434" s="30">
        <v>46148</v>
      </c>
      <c r="H434" t="s">
        <v>1452</v>
      </c>
      <c r="I434">
        <v>1539918</v>
      </c>
      <c r="J434" s="123">
        <v>0</v>
      </c>
      <c r="K434" s="123">
        <v>0</v>
      </c>
      <c r="L434" s="123">
        <v>46147</v>
      </c>
      <c r="M434">
        <v>0</v>
      </c>
      <c r="N434">
        <v>0</v>
      </c>
      <c r="O434">
        <v>0</v>
      </c>
      <c r="P434" s="216">
        <v>154051</v>
      </c>
      <c r="Q434" s="217" t="s">
        <v>23</v>
      </c>
      <c r="R434" s="217" t="s">
        <v>554</v>
      </c>
      <c r="S434" s="218">
        <v>0.90059359485677493</v>
      </c>
      <c r="T434" t="s">
        <v>550</v>
      </c>
      <c r="U434" t="s">
        <v>51</v>
      </c>
      <c r="V434" s="219" t="s">
        <v>6073</v>
      </c>
      <c r="W434" s="219" t="s">
        <v>67</v>
      </c>
    </row>
    <row r="435" spans="1:23" ht="15" customHeight="1" x14ac:dyDescent="0.25">
      <c r="A435" t="s">
        <v>1453</v>
      </c>
      <c r="B435" t="s">
        <v>595</v>
      </c>
      <c r="C435">
        <v>154051</v>
      </c>
      <c r="D435" t="s">
        <v>1451</v>
      </c>
      <c r="E435" t="s">
        <v>208</v>
      </c>
      <c r="F435" t="s">
        <v>585</v>
      </c>
      <c r="G435" s="30">
        <v>46148</v>
      </c>
      <c r="H435" t="s">
        <v>1452</v>
      </c>
      <c r="I435">
        <v>1539918</v>
      </c>
      <c r="J435" s="123">
        <v>0</v>
      </c>
      <c r="K435" s="123">
        <v>0</v>
      </c>
      <c r="L435" s="123">
        <v>46147</v>
      </c>
      <c r="M435">
        <v>0</v>
      </c>
      <c r="N435">
        <v>0</v>
      </c>
      <c r="O435">
        <v>0</v>
      </c>
      <c r="P435" s="216">
        <v>154051</v>
      </c>
      <c r="Q435" s="217" t="s">
        <v>23</v>
      </c>
      <c r="R435" s="217" t="s">
        <v>61</v>
      </c>
      <c r="S435" s="218">
        <v>0.90059359485677493</v>
      </c>
      <c r="T435" t="s">
        <v>550</v>
      </c>
      <c r="U435" t="s">
        <v>51</v>
      </c>
      <c r="V435" s="219">
        <v>0</v>
      </c>
      <c r="W435" s="219">
        <v>0</v>
      </c>
    </row>
    <row r="436" spans="1:23" ht="15" customHeight="1" x14ac:dyDescent="0.25">
      <c r="A436" t="s">
        <v>1454</v>
      </c>
      <c r="B436" t="s">
        <v>64</v>
      </c>
      <c r="C436">
        <v>300000</v>
      </c>
      <c r="D436" t="s">
        <v>1455</v>
      </c>
      <c r="E436" t="s">
        <v>238</v>
      </c>
      <c r="F436" t="s">
        <v>683</v>
      </c>
      <c r="G436" s="30">
        <v>46146</v>
      </c>
      <c r="H436" t="s">
        <v>1456</v>
      </c>
      <c r="I436">
        <v>2984915.25</v>
      </c>
      <c r="J436" s="123">
        <v>0</v>
      </c>
      <c r="K436" s="123">
        <v>46142</v>
      </c>
      <c r="L436" s="123">
        <v>0</v>
      </c>
      <c r="M436">
        <v>0</v>
      </c>
      <c r="N436">
        <v>0</v>
      </c>
      <c r="O436" t="s">
        <v>556</v>
      </c>
      <c r="P436" s="216">
        <v>300000</v>
      </c>
      <c r="Q436" s="217" t="s">
        <v>19</v>
      </c>
      <c r="R436" s="217" t="s">
        <v>62</v>
      </c>
      <c r="S436" s="218">
        <v>0.90006286638575639</v>
      </c>
      <c r="T436" t="s">
        <v>550</v>
      </c>
      <c r="U436" t="s">
        <v>51</v>
      </c>
      <c r="V436" s="219">
        <v>0</v>
      </c>
      <c r="W436" s="219">
        <v>0</v>
      </c>
    </row>
    <row r="437" spans="1:23" ht="15" customHeight="1" x14ac:dyDescent="0.25">
      <c r="A437" t="s">
        <v>1457</v>
      </c>
      <c r="B437" t="s">
        <v>546</v>
      </c>
      <c r="C437">
        <v>52242</v>
      </c>
      <c r="D437" t="s">
        <v>310</v>
      </c>
      <c r="E437" t="s">
        <v>208</v>
      </c>
      <c r="F437" t="s">
        <v>554</v>
      </c>
      <c r="G437" s="30">
        <v>46146</v>
      </c>
      <c r="H437" t="s">
        <v>309</v>
      </c>
      <c r="I437">
        <v>1414375</v>
      </c>
      <c r="J437" s="123">
        <v>0</v>
      </c>
      <c r="K437" s="123">
        <v>0</v>
      </c>
      <c r="L437" s="123">
        <v>0</v>
      </c>
      <c r="M437">
        <v>0</v>
      </c>
      <c r="N437">
        <v>0</v>
      </c>
      <c r="O437">
        <v>0</v>
      </c>
      <c r="P437" s="216">
        <v>52242</v>
      </c>
      <c r="Q437" s="217" t="s">
        <v>23</v>
      </c>
      <c r="R437" s="217" t="s">
        <v>554</v>
      </c>
      <c r="S437" s="218">
        <v>0.8961770485683499</v>
      </c>
      <c r="T437" t="s">
        <v>550</v>
      </c>
      <c r="U437" t="s">
        <v>51</v>
      </c>
      <c r="V437" s="219" t="s">
        <v>6074</v>
      </c>
      <c r="W437" s="219" t="s">
        <v>67</v>
      </c>
    </row>
    <row r="438" spans="1:23" ht="15" customHeight="1" x14ac:dyDescent="0.25">
      <c r="A438" t="s">
        <v>1458</v>
      </c>
      <c r="B438" t="s">
        <v>546</v>
      </c>
      <c r="C438">
        <v>90000</v>
      </c>
      <c r="D438" t="s">
        <v>310</v>
      </c>
      <c r="E438" t="s">
        <v>208</v>
      </c>
      <c r="F438" t="s">
        <v>554</v>
      </c>
      <c r="G438" s="30">
        <v>46146</v>
      </c>
      <c r="H438" t="s">
        <v>309</v>
      </c>
      <c r="I438">
        <v>1414375</v>
      </c>
      <c r="J438" s="123">
        <v>0</v>
      </c>
      <c r="K438" s="123">
        <v>0</v>
      </c>
      <c r="L438" s="123">
        <v>0</v>
      </c>
      <c r="M438">
        <v>0</v>
      </c>
      <c r="N438">
        <v>0</v>
      </c>
      <c r="O438">
        <v>0</v>
      </c>
      <c r="P438" s="216">
        <v>90000</v>
      </c>
      <c r="Q438" s="217" t="s">
        <v>23</v>
      </c>
      <c r="R438" s="217" t="s">
        <v>554</v>
      </c>
      <c r="S438" s="218">
        <v>0.8961770485683499</v>
      </c>
      <c r="T438" t="s">
        <v>550</v>
      </c>
      <c r="U438" t="s">
        <v>51</v>
      </c>
      <c r="V438" s="219" t="s">
        <v>6075</v>
      </c>
      <c r="W438" s="219" t="s">
        <v>67</v>
      </c>
    </row>
    <row r="439" spans="1:23" ht="15" customHeight="1" x14ac:dyDescent="0.25">
      <c r="A439" t="s">
        <v>1459</v>
      </c>
      <c r="B439" t="s">
        <v>64</v>
      </c>
      <c r="C439">
        <v>300000</v>
      </c>
      <c r="D439" t="s">
        <v>251</v>
      </c>
      <c r="E439" t="s">
        <v>238</v>
      </c>
      <c r="F439" t="s">
        <v>554</v>
      </c>
      <c r="G439" s="30">
        <v>46146</v>
      </c>
      <c r="H439" t="s">
        <v>250</v>
      </c>
      <c r="I439">
        <v>2987871.75</v>
      </c>
      <c r="J439" s="123">
        <v>0</v>
      </c>
      <c r="K439" s="123">
        <v>46142</v>
      </c>
      <c r="L439" s="123">
        <v>0</v>
      </c>
      <c r="M439">
        <v>0</v>
      </c>
      <c r="N439">
        <v>0</v>
      </c>
      <c r="O439" t="s">
        <v>556</v>
      </c>
      <c r="P439" s="216">
        <v>300000</v>
      </c>
      <c r="Q439" s="217" t="s">
        <v>19</v>
      </c>
      <c r="R439" s="217" t="s">
        <v>554</v>
      </c>
      <c r="S439" s="218">
        <v>0.90208183300161826</v>
      </c>
      <c r="T439" t="s">
        <v>550</v>
      </c>
      <c r="U439" t="s">
        <v>51</v>
      </c>
      <c r="V439" s="219" t="s">
        <v>6076</v>
      </c>
      <c r="W439" s="219" t="s">
        <v>67</v>
      </c>
    </row>
    <row r="440" spans="1:23" ht="15" customHeight="1" x14ac:dyDescent="0.25">
      <c r="A440" t="s">
        <v>1460</v>
      </c>
      <c r="B440" t="s">
        <v>575</v>
      </c>
      <c r="C440">
        <v>30000</v>
      </c>
      <c r="D440" t="s">
        <v>1461</v>
      </c>
      <c r="E440" t="s">
        <v>173</v>
      </c>
      <c r="F440" t="s">
        <v>554</v>
      </c>
      <c r="G440" s="30">
        <v>46147</v>
      </c>
      <c r="H440" t="s">
        <v>1462</v>
      </c>
      <c r="I440">
        <v>1539918</v>
      </c>
      <c r="J440" s="123">
        <v>0</v>
      </c>
      <c r="K440" s="123">
        <v>0</v>
      </c>
      <c r="L440" s="123">
        <v>46146</v>
      </c>
      <c r="M440">
        <v>0</v>
      </c>
      <c r="N440">
        <v>0</v>
      </c>
      <c r="O440">
        <v>0</v>
      </c>
      <c r="P440" s="216">
        <v>30000</v>
      </c>
      <c r="Q440" s="217" t="s">
        <v>27</v>
      </c>
      <c r="R440" s="217" t="s">
        <v>554</v>
      </c>
      <c r="S440" s="218">
        <v>0.81093790246359654</v>
      </c>
      <c r="T440" t="s">
        <v>550</v>
      </c>
      <c r="U440" t="s">
        <v>51</v>
      </c>
      <c r="V440" s="219" t="s">
        <v>6077</v>
      </c>
      <c r="W440" s="219" t="s">
        <v>67</v>
      </c>
    </row>
    <row r="441" spans="1:23" ht="15" customHeight="1" x14ac:dyDescent="0.25">
      <c r="A441" t="s">
        <v>1463</v>
      </c>
      <c r="B441" t="s">
        <v>546</v>
      </c>
      <c r="C441">
        <v>95002.36</v>
      </c>
      <c r="D441" t="s">
        <v>1464</v>
      </c>
      <c r="E441" t="s">
        <v>553</v>
      </c>
      <c r="F441" t="s">
        <v>548</v>
      </c>
      <c r="G441" s="30">
        <v>46144</v>
      </c>
      <c r="H441" t="s">
        <v>1465</v>
      </c>
      <c r="I441">
        <v>1422423.25</v>
      </c>
      <c r="J441" s="123">
        <v>46145</v>
      </c>
      <c r="K441" s="123">
        <v>0</v>
      </c>
      <c r="L441" s="123">
        <v>46145</v>
      </c>
      <c r="M441">
        <v>0</v>
      </c>
      <c r="N441">
        <v>0</v>
      </c>
      <c r="O441" t="s">
        <v>556</v>
      </c>
      <c r="P441" s="216">
        <v>95002.36</v>
      </c>
      <c r="Q441" s="217" t="s">
        <v>23</v>
      </c>
      <c r="R441" s="217" t="s">
        <v>62</v>
      </c>
      <c r="S441" s="218">
        <v>0.90000145877818016</v>
      </c>
      <c r="T441" t="s">
        <v>550</v>
      </c>
      <c r="U441" t="s">
        <v>51</v>
      </c>
      <c r="V441" s="219">
        <v>0</v>
      </c>
      <c r="W441" s="219">
        <v>0</v>
      </c>
    </row>
    <row r="442" spans="1:23" ht="15" customHeight="1" x14ac:dyDescent="0.25">
      <c r="A442" t="s">
        <v>1466</v>
      </c>
      <c r="B442" t="s">
        <v>546</v>
      </c>
      <c r="C442">
        <v>95002.36</v>
      </c>
      <c r="D442" t="s">
        <v>1464</v>
      </c>
      <c r="E442" t="s">
        <v>553</v>
      </c>
      <c r="F442" t="s">
        <v>548</v>
      </c>
      <c r="G442" s="30">
        <v>46144</v>
      </c>
      <c r="H442" t="s">
        <v>1465</v>
      </c>
      <c r="I442">
        <v>1422423.25</v>
      </c>
      <c r="J442" s="123">
        <v>46145</v>
      </c>
      <c r="K442" s="123">
        <v>0</v>
      </c>
      <c r="L442" s="123">
        <v>46145</v>
      </c>
      <c r="M442">
        <v>0</v>
      </c>
      <c r="N442">
        <v>0</v>
      </c>
      <c r="O442" t="s">
        <v>556</v>
      </c>
      <c r="P442" s="216">
        <v>95002.36</v>
      </c>
      <c r="Q442" s="217" t="s">
        <v>23</v>
      </c>
      <c r="R442" s="217" t="s">
        <v>62</v>
      </c>
      <c r="S442" s="218">
        <v>0.90000145877818016</v>
      </c>
      <c r="T442" t="s">
        <v>550</v>
      </c>
      <c r="U442" t="s">
        <v>51</v>
      </c>
      <c r="V442" s="219">
        <v>0</v>
      </c>
      <c r="W442" s="219">
        <v>0</v>
      </c>
    </row>
    <row r="443" spans="1:23" ht="15" customHeight="1" x14ac:dyDescent="0.25">
      <c r="A443" t="s">
        <v>1467</v>
      </c>
      <c r="B443" t="s">
        <v>546</v>
      </c>
      <c r="C443">
        <v>95002.36</v>
      </c>
      <c r="D443" t="s">
        <v>1464</v>
      </c>
      <c r="E443" t="s">
        <v>553</v>
      </c>
      <c r="F443" t="s">
        <v>554</v>
      </c>
      <c r="G443" s="30">
        <v>46146</v>
      </c>
      <c r="H443" t="s">
        <v>1465</v>
      </c>
      <c r="I443">
        <v>1422423.25</v>
      </c>
      <c r="J443" s="123">
        <v>46146</v>
      </c>
      <c r="K443" s="123">
        <v>0</v>
      </c>
      <c r="L443" s="123">
        <v>46146</v>
      </c>
      <c r="M443">
        <v>0</v>
      </c>
      <c r="N443">
        <v>0</v>
      </c>
      <c r="O443" t="s">
        <v>556</v>
      </c>
      <c r="P443" s="216">
        <v>95002.36</v>
      </c>
      <c r="Q443" s="217" t="s">
        <v>23</v>
      </c>
      <c r="R443" s="217" t="s">
        <v>554</v>
      </c>
      <c r="S443" s="218">
        <v>0.90000145877818016</v>
      </c>
      <c r="T443" t="s">
        <v>550</v>
      </c>
      <c r="U443" t="s">
        <v>51</v>
      </c>
      <c r="V443" s="219" t="s">
        <v>6078</v>
      </c>
      <c r="W443" s="219" t="s">
        <v>67</v>
      </c>
    </row>
    <row r="444" spans="1:23" ht="15" customHeight="1" x14ac:dyDescent="0.25">
      <c r="A444" t="s">
        <v>1468</v>
      </c>
      <c r="B444" t="s">
        <v>546</v>
      </c>
      <c r="C444">
        <v>150062</v>
      </c>
      <c r="D444" t="s">
        <v>305</v>
      </c>
      <c r="E444" t="s">
        <v>238</v>
      </c>
      <c r="F444" t="s">
        <v>554</v>
      </c>
      <c r="G444" s="30">
        <v>46146</v>
      </c>
      <c r="H444" t="s">
        <v>304</v>
      </c>
      <c r="I444">
        <v>1504347.5</v>
      </c>
      <c r="J444" s="123">
        <v>0</v>
      </c>
      <c r="K444" s="123">
        <v>0</v>
      </c>
      <c r="L444" s="123">
        <v>0</v>
      </c>
      <c r="M444">
        <v>0</v>
      </c>
      <c r="N444">
        <v>0</v>
      </c>
      <c r="O444">
        <v>0</v>
      </c>
      <c r="P444" s="216">
        <v>150062</v>
      </c>
      <c r="Q444" s="217" t="s">
        <v>19</v>
      </c>
      <c r="R444" s="217" t="s">
        <v>554</v>
      </c>
      <c r="S444" s="218">
        <v>0.89591101571379117</v>
      </c>
      <c r="T444" t="s">
        <v>550</v>
      </c>
      <c r="U444" t="s">
        <v>51</v>
      </c>
      <c r="V444" s="219" t="s">
        <v>6079</v>
      </c>
      <c r="W444" s="219" t="s">
        <v>67</v>
      </c>
    </row>
    <row r="445" spans="1:23" ht="15" customHeight="1" x14ac:dyDescent="0.25">
      <c r="A445" t="s">
        <v>1469</v>
      </c>
      <c r="B445" t="s">
        <v>575</v>
      </c>
      <c r="C445">
        <v>228015.5</v>
      </c>
      <c r="D445" t="s">
        <v>1470</v>
      </c>
      <c r="E445" t="s">
        <v>208</v>
      </c>
      <c r="F445" t="s">
        <v>580</v>
      </c>
      <c r="G445" s="30">
        <v>46149</v>
      </c>
      <c r="H445" t="s">
        <v>1471</v>
      </c>
      <c r="I445">
        <v>2279268</v>
      </c>
      <c r="J445" s="123">
        <v>0</v>
      </c>
      <c r="K445" s="123">
        <v>0</v>
      </c>
      <c r="L445" s="123">
        <v>46136</v>
      </c>
      <c r="M445">
        <v>0</v>
      </c>
      <c r="N445">
        <v>0</v>
      </c>
      <c r="O445">
        <v>0</v>
      </c>
      <c r="P445" s="216">
        <v>228015.5</v>
      </c>
      <c r="Q445" s="217" t="s">
        <v>23</v>
      </c>
      <c r="R445" s="217" t="s">
        <v>582</v>
      </c>
      <c r="S445" s="218">
        <v>0.80167488495706962</v>
      </c>
      <c r="T445" t="s">
        <v>550</v>
      </c>
      <c r="U445" t="s">
        <v>51</v>
      </c>
      <c r="V445" s="219">
        <v>0</v>
      </c>
      <c r="W445" s="219">
        <v>0</v>
      </c>
    </row>
    <row r="446" spans="1:23" ht="15" customHeight="1" x14ac:dyDescent="0.25">
      <c r="A446" t="s">
        <v>1472</v>
      </c>
      <c r="B446" t="s">
        <v>575</v>
      </c>
      <c r="C446">
        <v>134753</v>
      </c>
      <c r="D446" t="s">
        <v>1473</v>
      </c>
      <c r="E446" t="s">
        <v>208</v>
      </c>
      <c r="F446" t="s">
        <v>554</v>
      </c>
      <c r="G446" s="30">
        <v>46144</v>
      </c>
      <c r="H446" t="s">
        <v>1474</v>
      </c>
      <c r="I446">
        <v>1349082</v>
      </c>
      <c r="J446" s="123">
        <v>0</v>
      </c>
      <c r="K446" s="123">
        <v>0</v>
      </c>
      <c r="L446" s="123">
        <v>46129</v>
      </c>
      <c r="M446">
        <v>0</v>
      </c>
      <c r="N446">
        <v>0</v>
      </c>
      <c r="O446">
        <v>0</v>
      </c>
      <c r="P446" s="216">
        <v>134753</v>
      </c>
      <c r="Q446" s="217" t="s">
        <v>23</v>
      </c>
      <c r="R446" s="217" t="s">
        <v>554</v>
      </c>
      <c r="S446" s="218">
        <v>0.89999854549124536</v>
      </c>
      <c r="T446" t="s">
        <v>550</v>
      </c>
      <c r="U446" t="s">
        <v>51</v>
      </c>
      <c r="V446" s="219" t="s">
        <v>6080</v>
      </c>
      <c r="W446" s="219" t="s">
        <v>67</v>
      </c>
    </row>
    <row r="447" spans="1:23" ht="15" customHeight="1" x14ac:dyDescent="0.25">
      <c r="A447" t="s">
        <v>1475</v>
      </c>
      <c r="B447" t="s">
        <v>575</v>
      </c>
      <c r="C447">
        <v>228393</v>
      </c>
      <c r="D447" t="s">
        <v>1476</v>
      </c>
      <c r="E447" t="s">
        <v>208</v>
      </c>
      <c r="F447" t="s">
        <v>585</v>
      </c>
      <c r="G447" s="30">
        <v>46147</v>
      </c>
      <c r="H447" t="s">
        <v>1477</v>
      </c>
      <c r="I447">
        <v>2279268</v>
      </c>
      <c r="J447" s="123">
        <v>0</v>
      </c>
      <c r="K447" s="123">
        <v>0</v>
      </c>
      <c r="L447" s="123">
        <v>46147</v>
      </c>
      <c r="M447">
        <v>0</v>
      </c>
      <c r="N447">
        <v>0</v>
      </c>
      <c r="O447">
        <v>0</v>
      </c>
      <c r="P447" s="216">
        <v>228393</v>
      </c>
      <c r="Q447" s="217" t="s">
        <v>23</v>
      </c>
      <c r="R447" s="217" t="s">
        <v>61</v>
      </c>
      <c r="S447" s="218">
        <v>0.80115573594637324</v>
      </c>
      <c r="T447" t="s">
        <v>550</v>
      </c>
      <c r="U447" t="s">
        <v>51</v>
      </c>
      <c r="V447" s="219">
        <v>0</v>
      </c>
      <c r="W447" s="219">
        <v>0</v>
      </c>
    </row>
    <row r="448" spans="1:23" ht="15" customHeight="1" x14ac:dyDescent="0.25">
      <c r="A448" t="s">
        <v>1478</v>
      </c>
      <c r="B448" t="s">
        <v>603</v>
      </c>
      <c r="C448">
        <v>299910</v>
      </c>
      <c r="D448" t="s">
        <v>236</v>
      </c>
      <c r="E448" t="s">
        <v>605</v>
      </c>
      <c r="F448" t="s">
        <v>554</v>
      </c>
      <c r="G448" s="30">
        <v>46147</v>
      </c>
      <c r="H448" t="s">
        <v>235</v>
      </c>
      <c r="I448">
        <v>2987871.75</v>
      </c>
      <c r="J448" s="123">
        <v>46147</v>
      </c>
      <c r="K448" s="123">
        <v>0</v>
      </c>
      <c r="L448" s="123">
        <v>0</v>
      </c>
      <c r="M448">
        <v>0</v>
      </c>
      <c r="N448">
        <v>0</v>
      </c>
      <c r="O448">
        <v>0</v>
      </c>
      <c r="P448" s="216">
        <v>299910</v>
      </c>
      <c r="Q448" s="217" t="s">
        <v>23</v>
      </c>
      <c r="R448" s="217" t="s">
        <v>554</v>
      </c>
      <c r="S448" s="218">
        <v>0.90064888353313499</v>
      </c>
      <c r="T448" t="s">
        <v>550</v>
      </c>
      <c r="U448" t="s">
        <v>51</v>
      </c>
      <c r="V448" s="219" t="s">
        <v>6081</v>
      </c>
      <c r="W448" s="219" t="s">
        <v>67</v>
      </c>
    </row>
    <row r="449" spans="1:23" ht="15" customHeight="1" x14ac:dyDescent="0.25">
      <c r="A449" t="s">
        <v>1479</v>
      </c>
      <c r="B449" t="s">
        <v>575</v>
      </c>
      <c r="C449">
        <v>220270</v>
      </c>
      <c r="D449" t="s">
        <v>336</v>
      </c>
      <c r="E449" t="s">
        <v>208</v>
      </c>
      <c r="F449" t="s">
        <v>580</v>
      </c>
      <c r="G449" s="30">
        <v>46149</v>
      </c>
      <c r="H449" t="s">
        <v>335</v>
      </c>
      <c r="I449">
        <v>2180692.5</v>
      </c>
      <c r="J449" s="123">
        <v>0</v>
      </c>
      <c r="K449" s="123">
        <v>0</v>
      </c>
      <c r="L449" s="123">
        <v>46146</v>
      </c>
      <c r="M449">
        <v>0</v>
      </c>
      <c r="N449">
        <v>0</v>
      </c>
      <c r="O449">
        <v>0</v>
      </c>
      <c r="P449" s="216">
        <v>220270</v>
      </c>
      <c r="Q449" s="217" t="s">
        <v>23</v>
      </c>
      <c r="R449" s="217" t="s">
        <v>582</v>
      </c>
      <c r="S449" s="218">
        <v>0.80389926099853726</v>
      </c>
      <c r="T449" t="s">
        <v>550</v>
      </c>
      <c r="U449" t="s">
        <v>51</v>
      </c>
      <c r="V449" s="219">
        <v>0</v>
      </c>
      <c r="W449" s="219">
        <v>0</v>
      </c>
    </row>
    <row r="450" spans="1:23" ht="15" customHeight="1" x14ac:dyDescent="0.25">
      <c r="A450" t="s">
        <v>1480</v>
      </c>
      <c r="B450" t="s">
        <v>575</v>
      </c>
      <c r="C450">
        <v>3674.56</v>
      </c>
      <c r="D450" t="s">
        <v>1481</v>
      </c>
      <c r="E450" t="s">
        <v>238</v>
      </c>
      <c r="F450" t="s">
        <v>585</v>
      </c>
      <c r="G450" s="30">
        <v>46143</v>
      </c>
      <c r="H450" t="s">
        <v>1482</v>
      </c>
      <c r="I450">
        <v>1349082</v>
      </c>
      <c r="J450" s="123">
        <v>0</v>
      </c>
      <c r="K450" s="123">
        <v>0</v>
      </c>
      <c r="L450" s="123">
        <v>46153</v>
      </c>
      <c r="M450">
        <v>0</v>
      </c>
      <c r="N450">
        <v>0</v>
      </c>
      <c r="O450">
        <v>0</v>
      </c>
      <c r="P450" s="216">
        <v>3674.56</v>
      </c>
      <c r="Q450" s="217" t="s">
        <v>19</v>
      </c>
      <c r="R450" s="217" t="s">
        <v>61</v>
      </c>
      <c r="S450" s="218">
        <v>0.83023224645908744</v>
      </c>
      <c r="T450" t="s">
        <v>550</v>
      </c>
      <c r="U450" t="s">
        <v>51</v>
      </c>
      <c r="V450" s="219">
        <v>0</v>
      </c>
      <c r="W450" s="219">
        <v>0</v>
      </c>
    </row>
    <row r="451" spans="1:23" ht="15" customHeight="1" x14ac:dyDescent="0.25">
      <c r="A451" t="s">
        <v>1483</v>
      </c>
      <c r="B451" t="s">
        <v>575</v>
      </c>
      <c r="C451">
        <v>9351</v>
      </c>
      <c r="D451" t="s">
        <v>1481</v>
      </c>
      <c r="E451" t="s">
        <v>238</v>
      </c>
      <c r="F451" t="s">
        <v>585</v>
      </c>
      <c r="G451" s="30">
        <v>46143</v>
      </c>
      <c r="H451" t="s">
        <v>1482</v>
      </c>
      <c r="I451">
        <v>1349082</v>
      </c>
      <c r="J451" s="123">
        <v>0</v>
      </c>
      <c r="K451" s="123">
        <v>0</v>
      </c>
      <c r="L451" s="123">
        <v>46122</v>
      </c>
      <c r="M451">
        <v>0</v>
      </c>
      <c r="N451">
        <v>0</v>
      </c>
      <c r="O451">
        <v>0</v>
      </c>
      <c r="P451" s="216">
        <v>9351</v>
      </c>
      <c r="Q451" s="217" t="s">
        <v>19</v>
      </c>
      <c r="R451" s="217" t="s">
        <v>61</v>
      </c>
      <c r="S451" s="218">
        <v>0.83023224645908744</v>
      </c>
      <c r="T451" t="s">
        <v>550</v>
      </c>
      <c r="U451" t="s">
        <v>51</v>
      </c>
      <c r="V451" s="219">
        <v>0</v>
      </c>
      <c r="W451" s="219">
        <v>0</v>
      </c>
    </row>
    <row r="452" spans="1:23" ht="15" customHeight="1" x14ac:dyDescent="0.25">
      <c r="A452" t="s">
        <v>1484</v>
      </c>
      <c r="B452" t="s">
        <v>575</v>
      </c>
      <c r="C452">
        <v>9263.16</v>
      </c>
      <c r="D452" t="s">
        <v>1481</v>
      </c>
      <c r="E452" t="s">
        <v>238</v>
      </c>
      <c r="F452" t="s">
        <v>585</v>
      </c>
      <c r="G452" s="30">
        <v>46143</v>
      </c>
      <c r="H452" t="s">
        <v>1482</v>
      </c>
      <c r="I452">
        <v>1349082</v>
      </c>
      <c r="J452" s="123">
        <v>0</v>
      </c>
      <c r="K452" s="123">
        <v>0</v>
      </c>
      <c r="L452" s="123">
        <v>46035</v>
      </c>
      <c r="M452">
        <v>0</v>
      </c>
      <c r="N452">
        <v>0</v>
      </c>
      <c r="O452">
        <v>0</v>
      </c>
      <c r="P452" s="216">
        <v>9263.16</v>
      </c>
      <c r="Q452" s="217" t="s">
        <v>19</v>
      </c>
      <c r="R452" s="217" t="s">
        <v>61</v>
      </c>
      <c r="S452" s="218">
        <v>0.83023224645908744</v>
      </c>
      <c r="T452" t="s">
        <v>550</v>
      </c>
      <c r="U452" t="s">
        <v>51</v>
      </c>
      <c r="V452" s="219">
        <v>0</v>
      </c>
      <c r="W452" s="219">
        <v>0</v>
      </c>
    </row>
    <row r="453" spans="1:23" ht="15" customHeight="1" x14ac:dyDescent="0.25">
      <c r="A453" t="s">
        <v>1485</v>
      </c>
      <c r="B453" t="s">
        <v>575</v>
      </c>
      <c r="C453">
        <v>220270</v>
      </c>
      <c r="D453" t="s">
        <v>433</v>
      </c>
      <c r="E453" t="s">
        <v>208</v>
      </c>
      <c r="F453" t="s">
        <v>580</v>
      </c>
      <c r="G453" s="30">
        <v>46149</v>
      </c>
      <c r="H453" t="s">
        <v>432</v>
      </c>
      <c r="I453">
        <v>2180692.5</v>
      </c>
      <c r="J453" s="123">
        <v>0</v>
      </c>
      <c r="K453" s="123">
        <v>0</v>
      </c>
      <c r="L453" s="123">
        <v>46147</v>
      </c>
      <c r="M453">
        <v>0</v>
      </c>
      <c r="N453">
        <v>0</v>
      </c>
      <c r="O453">
        <v>0</v>
      </c>
      <c r="P453" s="216">
        <v>220270</v>
      </c>
      <c r="Q453" s="217" t="s">
        <v>23</v>
      </c>
      <c r="R453" s="217" t="s">
        <v>582</v>
      </c>
      <c r="S453" s="218">
        <v>0.80084271045288924</v>
      </c>
      <c r="T453" t="s">
        <v>550</v>
      </c>
      <c r="U453" t="s">
        <v>51</v>
      </c>
      <c r="V453" s="219">
        <v>0</v>
      </c>
      <c r="W453" s="219">
        <v>0</v>
      </c>
    </row>
    <row r="454" spans="1:23" ht="15" customHeight="1" x14ac:dyDescent="0.25">
      <c r="A454" t="s">
        <v>1486</v>
      </c>
      <c r="B454" t="s">
        <v>575</v>
      </c>
      <c r="C454">
        <v>228393</v>
      </c>
      <c r="D454" t="s">
        <v>186</v>
      </c>
      <c r="E454" t="s">
        <v>208</v>
      </c>
      <c r="F454" t="s">
        <v>554</v>
      </c>
      <c r="G454" s="30">
        <v>46147</v>
      </c>
      <c r="H454" t="s">
        <v>185</v>
      </c>
      <c r="I454">
        <v>2279268</v>
      </c>
      <c r="J454" s="123">
        <v>0</v>
      </c>
      <c r="K454" s="123">
        <v>0</v>
      </c>
      <c r="L454" s="123">
        <v>46141</v>
      </c>
      <c r="M454">
        <v>0</v>
      </c>
      <c r="N454">
        <v>0</v>
      </c>
      <c r="O454">
        <v>0</v>
      </c>
      <c r="P454" s="216">
        <v>228393</v>
      </c>
      <c r="Q454" s="217" t="s">
        <v>23</v>
      </c>
      <c r="R454" s="217" t="s">
        <v>554</v>
      </c>
      <c r="S454" s="218">
        <v>0.89625991602194455</v>
      </c>
      <c r="T454" t="s">
        <v>550</v>
      </c>
      <c r="U454" t="s">
        <v>51</v>
      </c>
      <c r="V454" s="219" t="s">
        <v>6082</v>
      </c>
      <c r="W454" s="219" t="s">
        <v>67</v>
      </c>
    </row>
    <row r="455" spans="1:23" ht="15" customHeight="1" x14ac:dyDescent="0.25">
      <c r="A455" t="s">
        <v>1487</v>
      </c>
      <c r="B455" t="s">
        <v>575</v>
      </c>
      <c r="C455">
        <v>136625</v>
      </c>
      <c r="D455" t="s">
        <v>1488</v>
      </c>
      <c r="E455" t="s">
        <v>208</v>
      </c>
      <c r="F455" t="s">
        <v>554</v>
      </c>
      <c r="G455" s="30">
        <v>46147</v>
      </c>
      <c r="H455" t="s">
        <v>1489</v>
      </c>
      <c r="I455">
        <v>1368804.75</v>
      </c>
      <c r="J455" s="123">
        <v>0</v>
      </c>
      <c r="K455" s="123">
        <v>0</v>
      </c>
      <c r="L455" s="123">
        <v>46146</v>
      </c>
      <c r="M455">
        <v>0</v>
      </c>
      <c r="N455">
        <v>0</v>
      </c>
      <c r="O455">
        <v>0</v>
      </c>
      <c r="P455" s="216">
        <v>136625</v>
      </c>
      <c r="Q455" s="217" t="s">
        <v>23</v>
      </c>
      <c r="R455" s="217" t="s">
        <v>554</v>
      </c>
      <c r="S455" s="218">
        <v>0.89999755901144718</v>
      </c>
      <c r="T455" t="s">
        <v>550</v>
      </c>
      <c r="U455" t="s">
        <v>51</v>
      </c>
      <c r="V455" s="219" t="s">
        <v>6083</v>
      </c>
      <c r="W455" s="219" t="s">
        <v>67</v>
      </c>
    </row>
    <row r="456" spans="1:23" ht="15" customHeight="1" x14ac:dyDescent="0.25">
      <c r="A456" t="s">
        <v>1490</v>
      </c>
      <c r="B456" t="s">
        <v>575</v>
      </c>
      <c r="C456">
        <v>144191</v>
      </c>
      <c r="D456" t="s">
        <v>319</v>
      </c>
      <c r="E456" t="s">
        <v>208</v>
      </c>
      <c r="F456" t="s">
        <v>554</v>
      </c>
      <c r="G456" s="30">
        <v>46147</v>
      </c>
      <c r="H456" t="s">
        <v>318</v>
      </c>
      <c r="I456">
        <v>1441908.5</v>
      </c>
      <c r="J456" s="123">
        <v>0</v>
      </c>
      <c r="K456" s="123">
        <v>0</v>
      </c>
      <c r="L456" s="123">
        <v>46125</v>
      </c>
      <c r="M456">
        <v>0</v>
      </c>
      <c r="N456">
        <v>0</v>
      </c>
      <c r="O456">
        <v>0</v>
      </c>
      <c r="P456" s="216">
        <v>144191</v>
      </c>
      <c r="Q456" s="217" t="s">
        <v>23</v>
      </c>
      <c r="R456" s="217" t="s">
        <v>554</v>
      </c>
      <c r="S456" s="218">
        <v>0.89997947858688676</v>
      </c>
      <c r="T456" t="s">
        <v>550</v>
      </c>
      <c r="U456" t="s">
        <v>51</v>
      </c>
      <c r="V456" s="219" t="s">
        <v>6084</v>
      </c>
      <c r="W456" s="219" t="s">
        <v>67</v>
      </c>
    </row>
    <row r="457" spans="1:23" ht="15" customHeight="1" x14ac:dyDescent="0.25">
      <c r="A457" t="s">
        <v>1491</v>
      </c>
      <c r="B457" t="s">
        <v>595</v>
      </c>
      <c r="C457">
        <v>280000</v>
      </c>
      <c r="D457" t="s">
        <v>1492</v>
      </c>
      <c r="E457" t="s">
        <v>208</v>
      </c>
      <c r="F457" t="s">
        <v>554</v>
      </c>
      <c r="G457" s="30">
        <v>46145</v>
      </c>
      <c r="H457" t="s">
        <v>1493</v>
      </c>
      <c r="I457">
        <v>3028801.5</v>
      </c>
      <c r="J457" s="123">
        <v>0</v>
      </c>
      <c r="K457" s="123">
        <v>0</v>
      </c>
      <c r="L457" s="123">
        <v>46142</v>
      </c>
      <c r="M457">
        <v>0</v>
      </c>
      <c r="N457">
        <v>0</v>
      </c>
      <c r="O457">
        <v>0</v>
      </c>
      <c r="P457" s="216">
        <v>280000</v>
      </c>
      <c r="Q457" s="217" t="s">
        <v>23</v>
      </c>
      <c r="R457" s="217" t="s">
        <v>554</v>
      </c>
      <c r="S457" s="218">
        <v>0.89935887863132713</v>
      </c>
      <c r="T457" t="s">
        <v>550</v>
      </c>
      <c r="U457" t="s">
        <v>51</v>
      </c>
      <c r="V457" s="219" t="s">
        <v>6085</v>
      </c>
      <c r="W457" s="219" t="s">
        <v>67</v>
      </c>
    </row>
    <row r="458" spans="1:23" ht="15" customHeight="1" x14ac:dyDescent="0.25">
      <c r="A458" t="s">
        <v>1494</v>
      </c>
      <c r="B458" t="s">
        <v>595</v>
      </c>
      <c r="C458">
        <v>214250</v>
      </c>
      <c r="D458" t="s">
        <v>1495</v>
      </c>
      <c r="E458" t="s">
        <v>208</v>
      </c>
      <c r="F458" t="s">
        <v>554</v>
      </c>
      <c r="G458" s="30">
        <v>46144</v>
      </c>
      <c r="H458" t="s">
        <v>1496</v>
      </c>
      <c r="I458">
        <v>2210565</v>
      </c>
      <c r="J458" s="123">
        <v>0</v>
      </c>
      <c r="K458" s="123">
        <v>0</v>
      </c>
      <c r="L458" s="123">
        <v>46142</v>
      </c>
      <c r="M458">
        <v>0</v>
      </c>
      <c r="N458">
        <v>0</v>
      </c>
      <c r="O458">
        <v>0</v>
      </c>
      <c r="P458" s="216">
        <v>214250</v>
      </c>
      <c r="Q458" s="217" t="s">
        <v>23</v>
      </c>
      <c r="R458" s="217" t="s">
        <v>554</v>
      </c>
      <c r="S458" s="218">
        <v>0.89766046569536329</v>
      </c>
      <c r="T458" t="s">
        <v>550</v>
      </c>
      <c r="U458" t="s">
        <v>51</v>
      </c>
      <c r="V458" s="219" t="s">
        <v>6086</v>
      </c>
      <c r="W458" s="219" t="s">
        <v>67</v>
      </c>
    </row>
    <row r="459" spans="1:23" ht="15" customHeight="1" x14ac:dyDescent="0.25">
      <c r="A459" t="s">
        <v>1497</v>
      </c>
      <c r="B459" t="s">
        <v>546</v>
      </c>
      <c r="C459">
        <v>40000</v>
      </c>
      <c r="D459" t="s">
        <v>1498</v>
      </c>
      <c r="E459" t="s">
        <v>208</v>
      </c>
      <c r="F459" t="s">
        <v>554</v>
      </c>
      <c r="G459" s="30">
        <v>46146</v>
      </c>
      <c r="H459" t="s">
        <v>1499</v>
      </c>
      <c r="I459">
        <v>1441908.5</v>
      </c>
      <c r="J459" s="123">
        <v>0</v>
      </c>
      <c r="K459" s="123">
        <v>0</v>
      </c>
      <c r="L459" s="123">
        <v>0</v>
      </c>
      <c r="M459">
        <v>0</v>
      </c>
      <c r="N459">
        <v>0</v>
      </c>
      <c r="O459">
        <v>0</v>
      </c>
      <c r="P459" s="216">
        <v>40000</v>
      </c>
      <c r="Q459" s="217" t="s">
        <v>23</v>
      </c>
      <c r="R459" s="217" t="s">
        <v>554</v>
      </c>
      <c r="S459" s="218">
        <v>0.87975554620837593</v>
      </c>
      <c r="T459" t="s">
        <v>550</v>
      </c>
      <c r="U459" t="s">
        <v>51</v>
      </c>
      <c r="V459" s="219" t="s">
        <v>6087</v>
      </c>
      <c r="W459" s="219" t="s">
        <v>67</v>
      </c>
    </row>
    <row r="460" spans="1:23" ht="15" customHeight="1" x14ac:dyDescent="0.25">
      <c r="A460" t="s">
        <v>1500</v>
      </c>
      <c r="B460" t="s">
        <v>546</v>
      </c>
      <c r="C460">
        <v>40000</v>
      </c>
      <c r="D460" t="s">
        <v>1498</v>
      </c>
      <c r="E460" t="s">
        <v>208</v>
      </c>
      <c r="F460" t="s">
        <v>554</v>
      </c>
      <c r="G460" s="30">
        <v>46148</v>
      </c>
      <c r="H460" t="s">
        <v>1499</v>
      </c>
      <c r="I460">
        <v>1441908.5</v>
      </c>
      <c r="J460" s="123">
        <v>0</v>
      </c>
      <c r="K460" s="123">
        <v>0</v>
      </c>
      <c r="L460" s="123">
        <v>0</v>
      </c>
      <c r="M460">
        <v>0</v>
      </c>
      <c r="N460">
        <v>0</v>
      </c>
      <c r="O460">
        <v>0</v>
      </c>
      <c r="P460" s="216">
        <v>40000</v>
      </c>
      <c r="Q460" s="217" t="s">
        <v>23</v>
      </c>
      <c r="R460" s="217" t="s">
        <v>554</v>
      </c>
      <c r="S460" s="218">
        <v>0.87975554620837593</v>
      </c>
      <c r="T460" t="s">
        <v>550</v>
      </c>
      <c r="U460" t="s">
        <v>51</v>
      </c>
      <c r="V460" s="219" t="s">
        <v>6088</v>
      </c>
      <c r="W460" s="219" t="s">
        <v>67</v>
      </c>
    </row>
    <row r="461" spans="1:23" ht="15" customHeight="1" x14ac:dyDescent="0.25">
      <c r="A461" t="s">
        <v>1501</v>
      </c>
      <c r="B461" t="s">
        <v>546</v>
      </c>
      <c r="C461">
        <v>35000</v>
      </c>
      <c r="D461" t="s">
        <v>1498</v>
      </c>
      <c r="E461" t="s">
        <v>208</v>
      </c>
      <c r="F461" t="s">
        <v>554</v>
      </c>
      <c r="G461" s="30">
        <v>46149</v>
      </c>
      <c r="H461" t="s">
        <v>1499</v>
      </c>
      <c r="I461">
        <v>1441908.5</v>
      </c>
      <c r="J461" s="123">
        <v>0</v>
      </c>
      <c r="K461" s="123">
        <v>0</v>
      </c>
      <c r="L461" s="123">
        <v>0</v>
      </c>
      <c r="M461">
        <v>0</v>
      </c>
      <c r="N461">
        <v>0</v>
      </c>
      <c r="O461">
        <v>0</v>
      </c>
      <c r="P461" s="216">
        <v>35000</v>
      </c>
      <c r="Q461" s="217" t="s">
        <v>23</v>
      </c>
      <c r="R461" s="217" t="s">
        <v>554</v>
      </c>
      <c r="S461" s="218">
        <v>0.87975554620837593</v>
      </c>
      <c r="T461" t="s">
        <v>550</v>
      </c>
      <c r="U461" t="s">
        <v>51</v>
      </c>
      <c r="V461" s="219" t="s">
        <v>6089</v>
      </c>
      <c r="W461" s="219" t="s">
        <v>67</v>
      </c>
    </row>
    <row r="462" spans="1:23" ht="15" customHeight="1" x14ac:dyDescent="0.25">
      <c r="A462" t="s">
        <v>1502</v>
      </c>
      <c r="B462" t="s">
        <v>575</v>
      </c>
      <c r="C462">
        <v>20833</v>
      </c>
      <c r="D462" t="s">
        <v>1503</v>
      </c>
      <c r="E462" t="s">
        <v>208</v>
      </c>
      <c r="F462" t="s">
        <v>580</v>
      </c>
      <c r="G462" s="30">
        <v>46148</v>
      </c>
      <c r="H462" t="s">
        <v>1504</v>
      </c>
      <c r="I462">
        <v>1425781.25</v>
      </c>
      <c r="J462" s="123">
        <v>0</v>
      </c>
      <c r="K462" s="123">
        <v>0</v>
      </c>
      <c r="L462" s="123">
        <v>45983</v>
      </c>
      <c r="M462">
        <v>0</v>
      </c>
      <c r="N462">
        <v>0</v>
      </c>
      <c r="O462">
        <v>0</v>
      </c>
      <c r="P462" s="216">
        <v>20833</v>
      </c>
      <c r="Q462" s="217" t="s">
        <v>23</v>
      </c>
      <c r="R462" s="217" t="s">
        <v>582</v>
      </c>
      <c r="S462" s="218">
        <v>0.8513874000738384</v>
      </c>
      <c r="T462" t="s">
        <v>550</v>
      </c>
      <c r="U462" t="s">
        <v>51</v>
      </c>
      <c r="V462" s="219">
        <v>0</v>
      </c>
      <c r="W462" s="219">
        <v>0</v>
      </c>
    </row>
    <row r="463" spans="1:23" ht="15" customHeight="1" x14ac:dyDescent="0.25">
      <c r="A463" t="s">
        <v>1505</v>
      </c>
      <c r="B463" t="s">
        <v>595</v>
      </c>
      <c r="C463">
        <v>231566</v>
      </c>
      <c r="D463" t="s">
        <v>1506</v>
      </c>
      <c r="E463" t="s">
        <v>238</v>
      </c>
      <c r="F463" t="s">
        <v>585</v>
      </c>
      <c r="G463" s="30">
        <v>46145</v>
      </c>
      <c r="H463" t="s">
        <v>1507</v>
      </c>
      <c r="I463">
        <v>2310924.5</v>
      </c>
      <c r="J463" s="123">
        <v>0</v>
      </c>
      <c r="K463" s="123">
        <v>0</v>
      </c>
      <c r="L463" s="123">
        <v>46141</v>
      </c>
      <c r="M463">
        <v>0</v>
      </c>
      <c r="N463">
        <v>0</v>
      </c>
      <c r="O463">
        <v>0</v>
      </c>
      <c r="P463" s="216">
        <v>231566</v>
      </c>
      <c r="Q463" s="217" t="s">
        <v>19</v>
      </c>
      <c r="R463" s="217" t="s">
        <v>61</v>
      </c>
      <c r="S463" s="218">
        <v>0.80120403709323673</v>
      </c>
      <c r="T463" t="s">
        <v>550</v>
      </c>
      <c r="U463" t="s">
        <v>51</v>
      </c>
      <c r="V463" s="219">
        <v>0</v>
      </c>
      <c r="W463" s="219">
        <v>0</v>
      </c>
    </row>
    <row r="464" spans="1:23" ht="15" customHeight="1" x14ac:dyDescent="0.25">
      <c r="A464" t="s">
        <v>1508</v>
      </c>
      <c r="B464" t="s">
        <v>546</v>
      </c>
      <c r="C464">
        <v>44191</v>
      </c>
      <c r="D464" t="s">
        <v>281</v>
      </c>
      <c r="E464" t="s">
        <v>238</v>
      </c>
      <c r="F464" t="s">
        <v>554</v>
      </c>
      <c r="G464" s="30">
        <v>46146</v>
      </c>
      <c r="H464" t="s">
        <v>280</v>
      </c>
      <c r="I464">
        <v>1441908.5</v>
      </c>
      <c r="J464" s="123">
        <v>0</v>
      </c>
      <c r="K464" s="123">
        <v>0</v>
      </c>
      <c r="L464" s="123">
        <v>0</v>
      </c>
      <c r="M464">
        <v>0</v>
      </c>
      <c r="N464">
        <v>0</v>
      </c>
      <c r="O464">
        <v>0</v>
      </c>
      <c r="P464" s="216">
        <v>44191</v>
      </c>
      <c r="Q464" s="217" t="s">
        <v>19</v>
      </c>
      <c r="R464" s="217" t="s">
        <v>554</v>
      </c>
      <c r="S464" s="218">
        <v>0.90000000693525273</v>
      </c>
      <c r="T464" t="s">
        <v>550</v>
      </c>
      <c r="U464" t="s">
        <v>51</v>
      </c>
      <c r="V464" s="219" t="s">
        <v>6090</v>
      </c>
      <c r="W464" s="219" t="s">
        <v>67</v>
      </c>
    </row>
    <row r="465" spans="1:23" ht="15" customHeight="1" x14ac:dyDescent="0.25">
      <c r="A465" t="s">
        <v>1509</v>
      </c>
      <c r="B465" t="s">
        <v>546</v>
      </c>
      <c r="C465">
        <v>100000</v>
      </c>
      <c r="D465" t="s">
        <v>281</v>
      </c>
      <c r="E465" t="s">
        <v>238</v>
      </c>
      <c r="F465" t="s">
        <v>554</v>
      </c>
      <c r="G465" s="30">
        <v>46146</v>
      </c>
      <c r="H465" t="s">
        <v>280</v>
      </c>
      <c r="I465">
        <v>1441908.5</v>
      </c>
      <c r="J465" s="123">
        <v>0</v>
      </c>
      <c r="K465" s="123">
        <v>0</v>
      </c>
      <c r="L465" s="123">
        <v>0</v>
      </c>
      <c r="M465">
        <v>0</v>
      </c>
      <c r="N465">
        <v>0</v>
      </c>
      <c r="O465">
        <v>0</v>
      </c>
      <c r="P465" s="216">
        <v>100000</v>
      </c>
      <c r="Q465" s="217" t="s">
        <v>19</v>
      </c>
      <c r="R465" s="217" t="s">
        <v>554</v>
      </c>
      <c r="S465" s="218">
        <v>0.90000000693525273</v>
      </c>
      <c r="T465" t="s">
        <v>550</v>
      </c>
      <c r="U465" t="s">
        <v>51</v>
      </c>
      <c r="V465" s="219" t="s">
        <v>6091</v>
      </c>
      <c r="W465" s="219" t="s">
        <v>67</v>
      </c>
    </row>
    <row r="466" spans="1:23" ht="15" customHeight="1" x14ac:dyDescent="0.25">
      <c r="A466" t="s">
        <v>1510</v>
      </c>
      <c r="B466" t="s">
        <v>575</v>
      </c>
      <c r="C466">
        <v>100000</v>
      </c>
      <c r="D466" t="s">
        <v>1511</v>
      </c>
      <c r="E466" t="s">
        <v>208</v>
      </c>
      <c r="F466" t="s">
        <v>580</v>
      </c>
      <c r="G466" s="30">
        <v>46149</v>
      </c>
      <c r="H466" t="s">
        <v>1512</v>
      </c>
      <c r="I466">
        <v>1526361</v>
      </c>
      <c r="J466" s="123">
        <v>0</v>
      </c>
      <c r="K466" s="123">
        <v>0</v>
      </c>
      <c r="L466" s="123">
        <v>46149</v>
      </c>
      <c r="M466">
        <v>0</v>
      </c>
      <c r="N466">
        <v>0</v>
      </c>
      <c r="O466">
        <v>0</v>
      </c>
      <c r="P466" s="216">
        <v>100000</v>
      </c>
      <c r="Q466" s="217" t="s">
        <v>23</v>
      </c>
      <c r="R466" s="217" t="s">
        <v>582</v>
      </c>
      <c r="S466" s="218">
        <v>0.79999931632067456</v>
      </c>
      <c r="T466" t="s">
        <v>550</v>
      </c>
      <c r="U466" t="s">
        <v>51</v>
      </c>
      <c r="V466" s="219">
        <v>0</v>
      </c>
      <c r="W466" s="219">
        <v>0</v>
      </c>
    </row>
    <row r="467" spans="1:23" ht="15" customHeight="1" x14ac:dyDescent="0.25">
      <c r="A467" t="s">
        <v>1513</v>
      </c>
      <c r="B467" t="s">
        <v>575</v>
      </c>
      <c r="C467">
        <v>231000</v>
      </c>
      <c r="D467" t="s">
        <v>1514</v>
      </c>
      <c r="E467" t="s">
        <v>238</v>
      </c>
      <c r="F467" t="s">
        <v>683</v>
      </c>
      <c r="G467" s="30">
        <v>46146</v>
      </c>
      <c r="H467" t="s">
        <v>1515</v>
      </c>
      <c r="I467">
        <v>2310924.5</v>
      </c>
      <c r="J467" s="123">
        <v>0</v>
      </c>
      <c r="K467" s="123">
        <v>0</v>
      </c>
      <c r="L467" s="123">
        <v>46128</v>
      </c>
      <c r="M467">
        <v>0</v>
      </c>
      <c r="N467">
        <v>0</v>
      </c>
      <c r="O467">
        <v>0</v>
      </c>
      <c r="P467" s="216">
        <v>231000</v>
      </c>
      <c r="Q467" s="217" t="s">
        <v>19</v>
      </c>
      <c r="R467" s="217" t="s">
        <v>62</v>
      </c>
      <c r="S467" s="218">
        <v>0.79608521792735409</v>
      </c>
      <c r="T467" t="s">
        <v>550</v>
      </c>
      <c r="U467" t="s">
        <v>51</v>
      </c>
      <c r="V467" s="219">
        <v>0</v>
      </c>
      <c r="W467" s="219">
        <v>0</v>
      </c>
    </row>
    <row r="468" spans="1:23" ht="15" customHeight="1" x14ac:dyDescent="0.25">
      <c r="A468" t="s">
        <v>1516</v>
      </c>
      <c r="B468" t="s">
        <v>575</v>
      </c>
      <c r="C468">
        <v>41440</v>
      </c>
      <c r="D468" t="s">
        <v>1517</v>
      </c>
      <c r="E468" t="s">
        <v>173</v>
      </c>
      <c r="F468" t="s">
        <v>554</v>
      </c>
      <c r="G468" s="30">
        <v>46146</v>
      </c>
      <c r="H468" t="s">
        <v>1518</v>
      </c>
      <c r="I468">
        <v>1524955</v>
      </c>
      <c r="J468" s="123">
        <v>0</v>
      </c>
      <c r="K468" s="123">
        <v>0</v>
      </c>
      <c r="L468" s="123">
        <v>46145</v>
      </c>
      <c r="M468">
        <v>0</v>
      </c>
      <c r="N468">
        <v>0</v>
      </c>
      <c r="O468">
        <v>0</v>
      </c>
      <c r="P468" s="216">
        <v>41440</v>
      </c>
      <c r="Q468" s="217" t="s">
        <v>27</v>
      </c>
      <c r="R468" s="217" t="s">
        <v>554</v>
      </c>
      <c r="S468" s="218">
        <v>0.80000013147679339</v>
      </c>
      <c r="T468" t="s">
        <v>550</v>
      </c>
      <c r="U468" t="s">
        <v>51</v>
      </c>
      <c r="V468" s="219" t="s">
        <v>6092</v>
      </c>
      <c r="W468" s="219" t="s">
        <v>67</v>
      </c>
    </row>
    <row r="469" spans="1:23" ht="15" customHeight="1" x14ac:dyDescent="0.25">
      <c r="A469" t="s">
        <v>1519</v>
      </c>
      <c r="B469" t="s">
        <v>575</v>
      </c>
      <c r="C469">
        <v>304014</v>
      </c>
      <c r="D469" t="s">
        <v>286</v>
      </c>
      <c r="E469" t="s">
        <v>208</v>
      </c>
      <c r="F469" t="s">
        <v>683</v>
      </c>
      <c r="G469" s="30">
        <v>46144</v>
      </c>
      <c r="H469" t="s">
        <v>285</v>
      </c>
      <c r="I469">
        <v>3032187</v>
      </c>
      <c r="J469" s="123">
        <v>0</v>
      </c>
      <c r="K469" s="123">
        <v>0</v>
      </c>
      <c r="L469" s="123">
        <v>46139</v>
      </c>
      <c r="M469">
        <v>0</v>
      </c>
      <c r="N469">
        <v>0</v>
      </c>
      <c r="O469">
        <v>0</v>
      </c>
      <c r="P469" s="216">
        <v>304014</v>
      </c>
      <c r="Q469" s="217" t="s">
        <v>23</v>
      </c>
      <c r="R469" s="217" t="s">
        <v>62</v>
      </c>
      <c r="S469" s="218">
        <v>0.90040603366553273</v>
      </c>
      <c r="T469" t="s">
        <v>550</v>
      </c>
      <c r="U469" t="s">
        <v>51</v>
      </c>
      <c r="V469" s="219">
        <v>0</v>
      </c>
      <c r="W469" s="219">
        <v>0</v>
      </c>
    </row>
    <row r="470" spans="1:23" ht="15" customHeight="1" x14ac:dyDescent="0.25">
      <c r="A470" t="s">
        <v>1520</v>
      </c>
      <c r="B470" t="s">
        <v>546</v>
      </c>
      <c r="C470">
        <v>111644</v>
      </c>
      <c r="D470" t="s">
        <v>246</v>
      </c>
      <c r="E470" t="s">
        <v>208</v>
      </c>
      <c r="F470" t="s">
        <v>554</v>
      </c>
      <c r="G470" s="30">
        <v>46147</v>
      </c>
      <c r="H470" t="s">
        <v>245</v>
      </c>
      <c r="I470">
        <v>2210565</v>
      </c>
      <c r="J470" s="123">
        <v>0</v>
      </c>
      <c r="K470" s="123">
        <v>0</v>
      </c>
      <c r="L470" s="123">
        <v>0</v>
      </c>
      <c r="M470">
        <v>0</v>
      </c>
      <c r="N470">
        <v>0</v>
      </c>
      <c r="O470">
        <v>0</v>
      </c>
      <c r="P470" s="216">
        <v>111644</v>
      </c>
      <c r="Q470" s="217" t="s">
        <v>23</v>
      </c>
      <c r="R470" s="217" t="s">
        <v>554</v>
      </c>
      <c r="S470" s="218">
        <v>0.89999999552147092</v>
      </c>
      <c r="T470" t="s">
        <v>550</v>
      </c>
      <c r="U470" t="s">
        <v>51</v>
      </c>
      <c r="V470" s="219" t="s">
        <v>6093</v>
      </c>
      <c r="W470" s="219" t="s">
        <v>67</v>
      </c>
    </row>
    <row r="471" spans="1:23" ht="15" customHeight="1" x14ac:dyDescent="0.25">
      <c r="A471" t="s">
        <v>1521</v>
      </c>
      <c r="B471" t="s">
        <v>546</v>
      </c>
      <c r="C471">
        <v>111644</v>
      </c>
      <c r="D471" t="s">
        <v>246</v>
      </c>
      <c r="E471" t="s">
        <v>208</v>
      </c>
      <c r="F471" t="s">
        <v>554</v>
      </c>
      <c r="G471" s="30">
        <v>46147</v>
      </c>
      <c r="H471" t="s">
        <v>245</v>
      </c>
      <c r="I471">
        <v>2210565</v>
      </c>
      <c r="J471" s="123">
        <v>0</v>
      </c>
      <c r="K471" s="123">
        <v>0</v>
      </c>
      <c r="L471" s="123">
        <v>0</v>
      </c>
      <c r="M471">
        <v>0</v>
      </c>
      <c r="N471">
        <v>0</v>
      </c>
      <c r="O471">
        <v>0</v>
      </c>
      <c r="P471" s="216">
        <v>111644</v>
      </c>
      <c r="Q471" s="217" t="s">
        <v>23</v>
      </c>
      <c r="R471" s="217" t="s">
        <v>554</v>
      </c>
      <c r="S471" s="218">
        <v>0.89999999552147092</v>
      </c>
      <c r="T471" t="s">
        <v>550</v>
      </c>
      <c r="U471" t="s">
        <v>51</v>
      </c>
      <c r="V471" s="219" t="s">
        <v>6094</v>
      </c>
      <c r="W471" s="219" t="s">
        <v>67</v>
      </c>
    </row>
    <row r="472" spans="1:23" ht="15" customHeight="1" x14ac:dyDescent="0.25">
      <c r="A472" t="s">
        <v>1522</v>
      </c>
      <c r="B472" t="s">
        <v>575</v>
      </c>
      <c r="C472">
        <v>231565</v>
      </c>
      <c r="D472" t="s">
        <v>440</v>
      </c>
      <c r="E472" t="s">
        <v>208</v>
      </c>
      <c r="F472" t="s">
        <v>554</v>
      </c>
      <c r="G472" s="30">
        <v>46148</v>
      </c>
      <c r="H472" t="s">
        <v>439</v>
      </c>
      <c r="I472">
        <v>2310924.5</v>
      </c>
      <c r="J472" s="123">
        <v>0</v>
      </c>
      <c r="K472" s="123">
        <v>0</v>
      </c>
      <c r="L472" s="123">
        <v>46134</v>
      </c>
      <c r="M472">
        <v>0</v>
      </c>
      <c r="N472">
        <v>0</v>
      </c>
      <c r="O472">
        <v>0</v>
      </c>
      <c r="P472" s="216">
        <v>231565</v>
      </c>
      <c r="Q472" s="217" t="s">
        <v>23</v>
      </c>
      <c r="R472" s="217" t="s">
        <v>554</v>
      </c>
      <c r="S472" s="218">
        <v>0.90757107746686816</v>
      </c>
      <c r="T472" t="s">
        <v>550</v>
      </c>
      <c r="U472" t="s">
        <v>51</v>
      </c>
      <c r="V472" s="219" t="s">
        <v>6095</v>
      </c>
      <c r="W472" s="219" t="s">
        <v>67</v>
      </c>
    </row>
    <row r="473" spans="1:23" ht="15" customHeight="1" x14ac:dyDescent="0.25">
      <c r="A473" t="s">
        <v>1523</v>
      </c>
      <c r="B473" t="s">
        <v>575</v>
      </c>
      <c r="C473">
        <v>285</v>
      </c>
      <c r="D473" t="s">
        <v>1524</v>
      </c>
      <c r="E473" t="s">
        <v>208</v>
      </c>
      <c r="F473" t="s">
        <v>580</v>
      </c>
      <c r="G473" s="30">
        <v>46149</v>
      </c>
      <c r="H473" t="s">
        <v>1525</v>
      </c>
      <c r="I473">
        <v>2310924.5</v>
      </c>
      <c r="J473" s="123">
        <v>0</v>
      </c>
      <c r="K473" s="123">
        <v>0</v>
      </c>
      <c r="L473" s="123">
        <v>46148</v>
      </c>
      <c r="M473">
        <v>0</v>
      </c>
      <c r="N473">
        <v>0</v>
      </c>
      <c r="O473">
        <v>0</v>
      </c>
      <c r="P473" s="216">
        <v>285</v>
      </c>
      <c r="Q473" s="217" t="s">
        <v>23</v>
      </c>
      <c r="R473" s="217" t="s">
        <v>582</v>
      </c>
      <c r="S473" s="218">
        <v>0.84466691605655209</v>
      </c>
      <c r="T473" t="s">
        <v>550</v>
      </c>
      <c r="U473" t="s">
        <v>51</v>
      </c>
      <c r="V473" s="219">
        <v>0</v>
      </c>
      <c r="W473" s="219">
        <v>0</v>
      </c>
    </row>
    <row r="474" spans="1:23" ht="15" customHeight="1" x14ac:dyDescent="0.25">
      <c r="A474" t="s">
        <v>1526</v>
      </c>
      <c r="B474" t="s">
        <v>575</v>
      </c>
      <c r="C474">
        <v>13000</v>
      </c>
      <c r="D474" t="s">
        <v>1524</v>
      </c>
      <c r="E474" t="s">
        <v>208</v>
      </c>
      <c r="F474" t="s">
        <v>580</v>
      </c>
      <c r="G474" s="30">
        <v>46149</v>
      </c>
      <c r="H474" t="s">
        <v>1525</v>
      </c>
      <c r="I474">
        <v>2310924.5</v>
      </c>
      <c r="J474" s="123">
        <v>0</v>
      </c>
      <c r="K474" s="123">
        <v>0</v>
      </c>
      <c r="L474" s="123">
        <v>46147</v>
      </c>
      <c r="M474">
        <v>0</v>
      </c>
      <c r="N474">
        <v>0</v>
      </c>
      <c r="O474">
        <v>0</v>
      </c>
      <c r="P474" s="216">
        <v>13000</v>
      </c>
      <c r="Q474" s="217" t="s">
        <v>23</v>
      </c>
      <c r="R474" s="217" t="s">
        <v>582</v>
      </c>
      <c r="S474" s="218">
        <v>0.84466691605655209</v>
      </c>
      <c r="T474" t="s">
        <v>550</v>
      </c>
      <c r="U474" t="s">
        <v>51</v>
      </c>
      <c r="V474" s="219">
        <v>0</v>
      </c>
      <c r="W474" s="219">
        <v>0</v>
      </c>
    </row>
    <row r="475" spans="1:23" ht="15" customHeight="1" x14ac:dyDescent="0.25">
      <c r="A475" t="s">
        <v>1527</v>
      </c>
      <c r="B475" t="s">
        <v>575</v>
      </c>
      <c r="C475">
        <v>75780</v>
      </c>
      <c r="D475" t="s">
        <v>1524</v>
      </c>
      <c r="E475" t="s">
        <v>208</v>
      </c>
      <c r="F475" t="s">
        <v>580</v>
      </c>
      <c r="G475" s="30">
        <v>46149</v>
      </c>
      <c r="H475" t="s">
        <v>1525</v>
      </c>
      <c r="I475">
        <v>2310924.5</v>
      </c>
      <c r="J475" s="123">
        <v>0</v>
      </c>
      <c r="K475" s="123">
        <v>0</v>
      </c>
      <c r="L475" s="123">
        <v>46148</v>
      </c>
      <c r="M475">
        <v>0</v>
      </c>
      <c r="N475">
        <v>0</v>
      </c>
      <c r="O475">
        <v>0</v>
      </c>
      <c r="P475" s="216">
        <v>75780</v>
      </c>
      <c r="Q475" s="217" t="s">
        <v>23</v>
      </c>
      <c r="R475" s="217" t="s">
        <v>582</v>
      </c>
      <c r="S475" s="218">
        <v>0.84466691605655209</v>
      </c>
      <c r="T475" t="s">
        <v>550</v>
      </c>
      <c r="U475" t="s">
        <v>51</v>
      </c>
      <c r="V475" s="219">
        <v>0</v>
      </c>
      <c r="W475" s="219">
        <v>0</v>
      </c>
    </row>
    <row r="476" spans="1:23" ht="15" customHeight="1" x14ac:dyDescent="0.25">
      <c r="A476" t="s">
        <v>1528</v>
      </c>
      <c r="B476" t="s">
        <v>575</v>
      </c>
      <c r="C476">
        <v>155642</v>
      </c>
      <c r="D476" t="s">
        <v>1529</v>
      </c>
      <c r="E476" t="s">
        <v>208</v>
      </c>
      <c r="F476" t="s">
        <v>554</v>
      </c>
      <c r="G476" s="30">
        <v>46147</v>
      </c>
      <c r="H476" t="s">
        <v>1530</v>
      </c>
      <c r="I476">
        <v>1549060.5</v>
      </c>
      <c r="J476" s="123">
        <v>0</v>
      </c>
      <c r="K476" s="123">
        <v>0</v>
      </c>
      <c r="L476" s="123">
        <v>46147</v>
      </c>
      <c r="M476">
        <v>0</v>
      </c>
      <c r="N476">
        <v>0</v>
      </c>
      <c r="O476">
        <v>0</v>
      </c>
      <c r="P476" s="216">
        <v>155642</v>
      </c>
      <c r="Q476" s="217" t="s">
        <v>23</v>
      </c>
      <c r="R476" s="217" t="s">
        <v>554</v>
      </c>
      <c r="S476" s="218">
        <v>0.9005115574263689</v>
      </c>
      <c r="T476" t="s">
        <v>550</v>
      </c>
      <c r="U476" t="s">
        <v>51</v>
      </c>
      <c r="V476" s="219" t="s">
        <v>6096</v>
      </c>
      <c r="W476" s="219" t="s">
        <v>67</v>
      </c>
    </row>
    <row r="477" spans="1:23" ht="15" customHeight="1" x14ac:dyDescent="0.25">
      <c r="A477" t="s">
        <v>1531</v>
      </c>
      <c r="B477" t="s">
        <v>546</v>
      </c>
      <c r="C477">
        <v>1135</v>
      </c>
      <c r="D477" t="s">
        <v>1532</v>
      </c>
      <c r="E477" t="s">
        <v>163</v>
      </c>
      <c r="F477" t="s">
        <v>554</v>
      </c>
      <c r="G477" s="30">
        <v>46146</v>
      </c>
      <c r="H477" t="s">
        <v>1533</v>
      </c>
      <c r="I477">
        <v>2336624</v>
      </c>
      <c r="J477" s="123">
        <v>0</v>
      </c>
      <c r="K477" s="123">
        <v>0</v>
      </c>
      <c r="L477" s="123">
        <v>0</v>
      </c>
      <c r="M477">
        <v>0</v>
      </c>
      <c r="N477">
        <v>0</v>
      </c>
      <c r="O477">
        <v>0</v>
      </c>
      <c r="P477" s="216">
        <v>1135</v>
      </c>
      <c r="Q477" s="217" t="s">
        <v>15</v>
      </c>
      <c r="R477" s="217" t="s">
        <v>554</v>
      </c>
      <c r="S477" s="218">
        <v>0.59999888756537689</v>
      </c>
      <c r="T477" t="s">
        <v>550</v>
      </c>
      <c r="U477" t="s">
        <v>51</v>
      </c>
      <c r="V477" s="219" t="s">
        <v>6097</v>
      </c>
      <c r="W477" s="219" t="s">
        <v>67</v>
      </c>
    </row>
    <row r="478" spans="1:23" ht="15" customHeight="1" x14ac:dyDescent="0.25">
      <c r="A478" t="s">
        <v>1534</v>
      </c>
      <c r="B478" t="s">
        <v>546</v>
      </c>
      <c r="C478">
        <v>8678</v>
      </c>
      <c r="D478" t="s">
        <v>1535</v>
      </c>
      <c r="E478" t="s">
        <v>163</v>
      </c>
      <c r="F478" t="s">
        <v>554</v>
      </c>
      <c r="G478" s="30">
        <v>46143</v>
      </c>
      <c r="H478" t="s">
        <v>1536</v>
      </c>
      <c r="I478">
        <v>4845368.12</v>
      </c>
      <c r="J478" s="123">
        <v>0</v>
      </c>
      <c r="K478" s="123">
        <v>0</v>
      </c>
      <c r="L478" s="123">
        <v>0</v>
      </c>
      <c r="M478">
        <v>8678</v>
      </c>
      <c r="N478">
        <v>0</v>
      </c>
      <c r="O478">
        <v>0</v>
      </c>
      <c r="P478" s="216">
        <v>0</v>
      </c>
      <c r="Q478" s="217" t="s">
        <v>15</v>
      </c>
      <c r="R478" s="217" t="s">
        <v>554</v>
      </c>
      <c r="S478" s="218">
        <v>0.60000065343887887</v>
      </c>
      <c r="T478" t="s">
        <v>550</v>
      </c>
      <c r="U478" t="s">
        <v>51</v>
      </c>
      <c r="V478" s="219" t="s">
        <v>6098</v>
      </c>
      <c r="W478" s="219" t="s">
        <v>67</v>
      </c>
    </row>
    <row r="479" spans="1:23" ht="15" customHeight="1" x14ac:dyDescent="0.25">
      <c r="A479" t="s">
        <v>1537</v>
      </c>
      <c r="B479" t="s">
        <v>546</v>
      </c>
      <c r="C479">
        <v>4758.6099999999997</v>
      </c>
      <c r="D479" t="s">
        <v>1538</v>
      </c>
      <c r="E479" t="s">
        <v>163</v>
      </c>
      <c r="F479" t="s">
        <v>554</v>
      </c>
      <c r="G479" s="30">
        <v>46147</v>
      </c>
      <c r="H479" t="s">
        <v>1539</v>
      </c>
      <c r="I479">
        <v>3068329</v>
      </c>
      <c r="J479" s="123">
        <v>0</v>
      </c>
      <c r="K479" s="123">
        <v>0</v>
      </c>
      <c r="L479" s="123">
        <v>0</v>
      </c>
      <c r="M479">
        <v>4758.6099999999997</v>
      </c>
      <c r="N479">
        <v>0</v>
      </c>
      <c r="O479">
        <v>0</v>
      </c>
      <c r="P479" s="216">
        <v>0</v>
      </c>
      <c r="Q479" s="217" t="s">
        <v>15</v>
      </c>
      <c r="R479" s="217" t="s">
        <v>554</v>
      </c>
      <c r="S479" s="218">
        <v>0.59999974031058201</v>
      </c>
      <c r="T479" t="s">
        <v>550</v>
      </c>
      <c r="U479" t="s">
        <v>51</v>
      </c>
      <c r="V479" s="219" t="s">
        <v>6099</v>
      </c>
      <c r="W479" s="219" t="s">
        <v>67</v>
      </c>
    </row>
    <row r="480" spans="1:23" ht="15" customHeight="1" x14ac:dyDescent="0.25">
      <c r="A480" t="s">
        <v>1540</v>
      </c>
      <c r="B480" t="s">
        <v>575</v>
      </c>
      <c r="C480">
        <v>8850</v>
      </c>
      <c r="D480" t="s">
        <v>1541</v>
      </c>
      <c r="E480" t="s">
        <v>228</v>
      </c>
      <c r="F480" t="s">
        <v>554</v>
      </c>
      <c r="G480" s="30">
        <v>46146</v>
      </c>
      <c r="H480" t="s">
        <v>1542</v>
      </c>
      <c r="I480">
        <v>2519357.75</v>
      </c>
      <c r="J480" s="123">
        <v>0</v>
      </c>
      <c r="K480" s="123">
        <v>0</v>
      </c>
      <c r="L480" s="123">
        <v>46136</v>
      </c>
      <c r="M480">
        <v>0</v>
      </c>
      <c r="N480">
        <v>0</v>
      </c>
      <c r="O480">
        <v>0</v>
      </c>
      <c r="P480" s="216">
        <v>8850</v>
      </c>
      <c r="Q480" s="217" t="s">
        <v>20</v>
      </c>
      <c r="R480" s="217" t="s">
        <v>554</v>
      </c>
      <c r="S480" s="218">
        <v>0.60469305646962346</v>
      </c>
      <c r="T480" t="s">
        <v>550</v>
      </c>
      <c r="U480" t="s">
        <v>51</v>
      </c>
      <c r="V480" s="219" t="s">
        <v>6100</v>
      </c>
      <c r="W480" s="219" t="s">
        <v>67</v>
      </c>
    </row>
    <row r="481" spans="1:23" ht="15" customHeight="1" x14ac:dyDescent="0.25">
      <c r="A481" t="s">
        <v>1543</v>
      </c>
      <c r="B481" t="s">
        <v>546</v>
      </c>
      <c r="C481">
        <v>20286</v>
      </c>
      <c r="D481" t="s">
        <v>1544</v>
      </c>
      <c r="E481" t="s">
        <v>151</v>
      </c>
      <c r="F481" t="s">
        <v>554</v>
      </c>
      <c r="G481" s="30">
        <v>46146</v>
      </c>
      <c r="H481" t="s">
        <v>1545</v>
      </c>
      <c r="I481">
        <v>1336009.5</v>
      </c>
      <c r="J481" s="123">
        <v>0</v>
      </c>
      <c r="K481" s="123">
        <v>0</v>
      </c>
      <c r="L481" s="123">
        <v>0</v>
      </c>
      <c r="M481">
        <v>20286</v>
      </c>
      <c r="N481">
        <v>0</v>
      </c>
      <c r="O481">
        <v>0</v>
      </c>
      <c r="P481" s="216">
        <v>0</v>
      </c>
      <c r="Q481" s="217" t="s">
        <v>25</v>
      </c>
      <c r="R481" s="217" t="s">
        <v>554</v>
      </c>
      <c r="S481" s="218">
        <v>0.59992886821632341</v>
      </c>
      <c r="T481" t="s">
        <v>550</v>
      </c>
      <c r="U481" t="s">
        <v>51</v>
      </c>
      <c r="V481" s="219" t="s">
        <v>6101</v>
      </c>
      <c r="W481" s="219" t="s">
        <v>67</v>
      </c>
    </row>
    <row r="482" spans="1:23" ht="15" customHeight="1" x14ac:dyDescent="0.25">
      <c r="A482" t="s">
        <v>1546</v>
      </c>
      <c r="B482" t="s">
        <v>64</v>
      </c>
      <c r="C482">
        <v>379465</v>
      </c>
      <c r="D482" t="s">
        <v>1547</v>
      </c>
      <c r="E482" t="s">
        <v>1548</v>
      </c>
      <c r="F482" t="s">
        <v>554</v>
      </c>
      <c r="G482" s="30">
        <v>46143</v>
      </c>
      <c r="H482" t="s">
        <v>1549</v>
      </c>
      <c r="I482">
        <v>4610316.72</v>
      </c>
      <c r="J482" s="123">
        <v>0</v>
      </c>
      <c r="K482" s="123">
        <v>46143</v>
      </c>
      <c r="L482" s="123">
        <v>0</v>
      </c>
      <c r="M482">
        <v>0</v>
      </c>
      <c r="N482">
        <v>0</v>
      </c>
      <c r="O482" t="s">
        <v>556</v>
      </c>
      <c r="P482" s="216">
        <v>379465</v>
      </c>
      <c r="Q482" s="217" t="s">
        <v>15</v>
      </c>
      <c r="R482" s="217" t="s">
        <v>554</v>
      </c>
      <c r="S482" s="218">
        <v>1.0016004959372762</v>
      </c>
      <c r="T482" t="s">
        <v>550</v>
      </c>
      <c r="U482" t="s">
        <v>51</v>
      </c>
      <c r="V482" s="219" t="s">
        <v>6102</v>
      </c>
      <c r="W482" s="219" t="s">
        <v>67</v>
      </c>
    </row>
    <row r="483" spans="1:23" ht="15" customHeight="1" x14ac:dyDescent="0.25">
      <c r="A483" t="s">
        <v>1550</v>
      </c>
      <c r="B483" t="s">
        <v>546</v>
      </c>
      <c r="C483">
        <v>5728.81</v>
      </c>
      <c r="D483" t="s">
        <v>1551</v>
      </c>
      <c r="E483" t="s">
        <v>163</v>
      </c>
      <c r="F483" t="s">
        <v>554</v>
      </c>
      <c r="G483" s="30">
        <v>46143</v>
      </c>
      <c r="H483" t="s">
        <v>1552</v>
      </c>
      <c r="I483">
        <v>4049437.75</v>
      </c>
      <c r="J483" s="123">
        <v>0</v>
      </c>
      <c r="K483" s="123">
        <v>0</v>
      </c>
      <c r="L483" s="123">
        <v>0</v>
      </c>
      <c r="M483">
        <v>5728.81</v>
      </c>
      <c r="N483">
        <v>0</v>
      </c>
      <c r="O483">
        <v>0</v>
      </c>
      <c r="P483" s="216">
        <v>0</v>
      </c>
      <c r="Q483" s="217" t="s">
        <v>15</v>
      </c>
      <c r="R483" s="217" t="s">
        <v>554</v>
      </c>
      <c r="S483" s="218">
        <v>0.60000002468644209</v>
      </c>
      <c r="T483" t="s">
        <v>550</v>
      </c>
      <c r="U483" t="s">
        <v>51</v>
      </c>
      <c r="V483" s="219" t="s">
        <v>6103</v>
      </c>
      <c r="W483" s="219" t="s">
        <v>67</v>
      </c>
    </row>
    <row r="484" spans="1:23" ht="15" customHeight="1" x14ac:dyDescent="0.25">
      <c r="A484" t="s">
        <v>1553</v>
      </c>
      <c r="B484" t="s">
        <v>64</v>
      </c>
      <c r="C484">
        <v>1170652</v>
      </c>
      <c r="D484" t="s">
        <v>1554</v>
      </c>
      <c r="E484" t="s">
        <v>163</v>
      </c>
      <c r="F484" t="s">
        <v>554</v>
      </c>
      <c r="G484" s="30">
        <v>46147</v>
      </c>
      <c r="H484" t="s">
        <v>1555</v>
      </c>
      <c r="I484">
        <v>2949747.5</v>
      </c>
      <c r="J484" s="123">
        <v>0</v>
      </c>
      <c r="K484" s="123">
        <v>46146</v>
      </c>
      <c r="L484" s="123">
        <v>0</v>
      </c>
      <c r="M484">
        <v>0</v>
      </c>
      <c r="N484">
        <v>0</v>
      </c>
      <c r="O484" t="s">
        <v>556</v>
      </c>
      <c r="P484" s="216">
        <v>1170652</v>
      </c>
      <c r="Q484" s="217" t="s">
        <v>15</v>
      </c>
      <c r="R484" s="217" t="s">
        <v>554</v>
      </c>
      <c r="S484" s="218">
        <v>0.99999960134943211</v>
      </c>
      <c r="T484" t="s">
        <v>550</v>
      </c>
      <c r="U484" t="s">
        <v>51</v>
      </c>
      <c r="V484" s="219" t="s">
        <v>6104</v>
      </c>
      <c r="W484" s="219" t="s">
        <v>67</v>
      </c>
    </row>
    <row r="485" spans="1:23" ht="15" customHeight="1" x14ac:dyDescent="0.25">
      <c r="A485" t="s">
        <v>1556</v>
      </c>
      <c r="B485" t="s">
        <v>546</v>
      </c>
      <c r="C485">
        <v>23413</v>
      </c>
      <c r="D485" t="s">
        <v>1554</v>
      </c>
      <c r="E485" t="s">
        <v>163</v>
      </c>
      <c r="F485" t="s">
        <v>554</v>
      </c>
      <c r="G485" s="30">
        <v>46147</v>
      </c>
      <c r="H485" t="s">
        <v>1555</v>
      </c>
      <c r="I485">
        <v>2949747.5</v>
      </c>
      <c r="J485" s="123">
        <v>0</v>
      </c>
      <c r="K485" s="123">
        <v>0</v>
      </c>
      <c r="L485" s="123">
        <v>0</v>
      </c>
      <c r="M485">
        <v>23413</v>
      </c>
      <c r="N485">
        <v>0</v>
      </c>
      <c r="O485">
        <v>0</v>
      </c>
      <c r="P485" s="216">
        <v>0</v>
      </c>
      <c r="Q485" s="217" t="s">
        <v>15</v>
      </c>
      <c r="R485" s="217" t="s">
        <v>554</v>
      </c>
      <c r="S485" s="218">
        <v>0.99999960134943211</v>
      </c>
      <c r="T485" t="s">
        <v>550</v>
      </c>
      <c r="U485" t="s">
        <v>51</v>
      </c>
      <c r="V485" s="219" t="s">
        <v>6105</v>
      </c>
      <c r="W485" s="219" t="s">
        <v>67</v>
      </c>
    </row>
    <row r="486" spans="1:23" ht="15" customHeight="1" x14ac:dyDescent="0.25">
      <c r="A486" t="s">
        <v>1557</v>
      </c>
      <c r="B486" t="s">
        <v>546</v>
      </c>
      <c r="C486">
        <v>12108</v>
      </c>
      <c r="D486" t="s">
        <v>1554</v>
      </c>
      <c r="E486" t="s">
        <v>1558</v>
      </c>
      <c r="F486" t="s">
        <v>554</v>
      </c>
      <c r="G486" s="30">
        <v>46147</v>
      </c>
      <c r="H486" t="s">
        <v>1555</v>
      </c>
      <c r="I486">
        <v>2949747.5</v>
      </c>
      <c r="J486" s="123">
        <v>0</v>
      </c>
      <c r="K486" s="123">
        <v>0</v>
      </c>
      <c r="L486" s="123">
        <v>0</v>
      </c>
      <c r="M486">
        <v>12108</v>
      </c>
      <c r="N486">
        <v>0</v>
      </c>
      <c r="O486">
        <v>0</v>
      </c>
      <c r="P486" s="216">
        <v>0</v>
      </c>
      <c r="Q486" s="217" t="s">
        <v>15</v>
      </c>
      <c r="R486" s="217" t="s">
        <v>554</v>
      </c>
      <c r="S486" s="218">
        <v>0.99999960134943211</v>
      </c>
      <c r="T486" t="s">
        <v>550</v>
      </c>
      <c r="U486" t="s">
        <v>51</v>
      </c>
      <c r="V486" s="219" t="s">
        <v>6106</v>
      </c>
      <c r="W486" s="219" t="s">
        <v>67</v>
      </c>
    </row>
    <row r="487" spans="1:23" ht="15" customHeight="1" x14ac:dyDescent="0.25">
      <c r="A487" t="s">
        <v>1559</v>
      </c>
      <c r="B487" t="s">
        <v>546</v>
      </c>
      <c r="C487">
        <v>1410</v>
      </c>
      <c r="D487" t="s">
        <v>1554</v>
      </c>
      <c r="E487" t="s">
        <v>1560</v>
      </c>
      <c r="F487" t="s">
        <v>554</v>
      </c>
      <c r="G487" s="30">
        <v>46147</v>
      </c>
      <c r="H487" t="s">
        <v>1555</v>
      </c>
      <c r="I487">
        <v>2949747.5</v>
      </c>
      <c r="J487" s="123">
        <v>0</v>
      </c>
      <c r="K487" s="123">
        <v>0</v>
      </c>
      <c r="L487" s="123">
        <v>0</v>
      </c>
      <c r="M487">
        <v>1410</v>
      </c>
      <c r="N487">
        <v>0</v>
      </c>
      <c r="O487">
        <v>0</v>
      </c>
      <c r="P487" s="216">
        <v>0</v>
      </c>
      <c r="Q487" s="217" t="s">
        <v>15</v>
      </c>
      <c r="R487" s="217" t="s">
        <v>554</v>
      </c>
      <c r="S487" s="218">
        <v>0.99999960134943211</v>
      </c>
      <c r="T487" t="s">
        <v>550</v>
      </c>
      <c r="U487" t="s">
        <v>51</v>
      </c>
      <c r="V487" s="219" t="s">
        <v>6107</v>
      </c>
      <c r="W487" s="219" t="s">
        <v>67</v>
      </c>
    </row>
    <row r="488" spans="1:23" ht="15" customHeight="1" x14ac:dyDescent="0.25">
      <c r="A488" t="s">
        <v>1561</v>
      </c>
      <c r="B488" t="s">
        <v>64</v>
      </c>
      <c r="C488">
        <v>299933</v>
      </c>
      <c r="D488" t="s">
        <v>1562</v>
      </c>
      <c r="E488" t="s">
        <v>163</v>
      </c>
      <c r="F488" t="s">
        <v>554</v>
      </c>
      <c r="G488" s="30">
        <v>46148</v>
      </c>
      <c r="H488" t="s">
        <v>1563</v>
      </c>
      <c r="I488">
        <v>2987583.5</v>
      </c>
      <c r="J488" s="123">
        <v>0</v>
      </c>
      <c r="K488" s="123">
        <v>46152</v>
      </c>
      <c r="L488" s="123">
        <v>0</v>
      </c>
      <c r="M488">
        <v>0</v>
      </c>
      <c r="N488">
        <v>0</v>
      </c>
      <c r="O488" t="s">
        <v>556</v>
      </c>
      <c r="P488" s="216">
        <v>299933</v>
      </c>
      <c r="Q488" s="217" t="s">
        <v>15</v>
      </c>
      <c r="R488" s="217" t="s">
        <v>554</v>
      </c>
      <c r="S488" s="218">
        <v>0.5046812972626229</v>
      </c>
      <c r="T488" t="s">
        <v>550</v>
      </c>
      <c r="U488" t="s">
        <v>51</v>
      </c>
      <c r="V488" s="219" t="s">
        <v>6108</v>
      </c>
      <c r="W488" s="219" t="s">
        <v>68</v>
      </c>
    </row>
    <row r="489" spans="1:23" ht="15" customHeight="1" x14ac:dyDescent="0.25">
      <c r="A489" t="s">
        <v>1564</v>
      </c>
      <c r="B489" t="s">
        <v>64</v>
      </c>
      <c r="C489">
        <v>299933</v>
      </c>
      <c r="D489" t="s">
        <v>1565</v>
      </c>
      <c r="E489" t="s">
        <v>163</v>
      </c>
      <c r="F489" t="s">
        <v>554</v>
      </c>
      <c r="G489" s="30">
        <v>46148</v>
      </c>
      <c r="H489" t="s">
        <v>1566</v>
      </c>
      <c r="I489">
        <v>2987583.5</v>
      </c>
      <c r="J489" s="123">
        <v>0</v>
      </c>
      <c r="K489" s="123">
        <v>46152</v>
      </c>
      <c r="L489" s="123">
        <v>0</v>
      </c>
      <c r="M489">
        <v>0</v>
      </c>
      <c r="N489">
        <v>0</v>
      </c>
      <c r="O489" t="s">
        <v>556</v>
      </c>
      <c r="P489" s="216">
        <v>299933</v>
      </c>
      <c r="Q489" s="217" t="s">
        <v>15</v>
      </c>
      <c r="R489" s="217" t="s">
        <v>554</v>
      </c>
      <c r="S489" s="218">
        <v>0.5044452446228842</v>
      </c>
      <c r="T489" t="s">
        <v>550</v>
      </c>
      <c r="U489" t="s">
        <v>51</v>
      </c>
      <c r="V489" s="219" t="s">
        <v>6109</v>
      </c>
      <c r="W489" s="219" t="s">
        <v>68</v>
      </c>
    </row>
    <row r="490" spans="1:23" ht="15" customHeight="1" x14ac:dyDescent="0.25">
      <c r="A490" t="s">
        <v>1567</v>
      </c>
      <c r="B490" t="s">
        <v>575</v>
      </c>
      <c r="C490">
        <v>1000</v>
      </c>
      <c r="D490" t="s">
        <v>1568</v>
      </c>
      <c r="E490" t="s">
        <v>163</v>
      </c>
      <c r="F490" t="s">
        <v>554</v>
      </c>
      <c r="G490" s="30">
        <v>46147</v>
      </c>
      <c r="H490" t="s">
        <v>1569</v>
      </c>
      <c r="I490">
        <v>4104909.5</v>
      </c>
      <c r="J490" s="123">
        <v>0</v>
      </c>
      <c r="K490" s="123">
        <v>0</v>
      </c>
      <c r="L490" s="123">
        <v>46146</v>
      </c>
      <c r="M490">
        <v>1000</v>
      </c>
      <c r="N490">
        <v>0</v>
      </c>
      <c r="O490">
        <v>0</v>
      </c>
      <c r="P490" s="216">
        <v>0</v>
      </c>
      <c r="Q490" s="217" t="s">
        <v>15</v>
      </c>
      <c r="R490" s="217" t="s">
        <v>554</v>
      </c>
      <c r="S490" s="218">
        <v>0.60028384454412331</v>
      </c>
      <c r="T490" t="s">
        <v>550</v>
      </c>
      <c r="U490" t="s">
        <v>51</v>
      </c>
      <c r="V490" s="219" t="s">
        <v>6110</v>
      </c>
      <c r="W490" s="219" t="s">
        <v>67</v>
      </c>
    </row>
    <row r="491" spans="1:23" ht="15" customHeight="1" x14ac:dyDescent="0.25">
      <c r="A491" t="s">
        <v>1570</v>
      </c>
      <c r="B491" t="s">
        <v>575</v>
      </c>
      <c r="C491">
        <v>1000</v>
      </c>
      <c r="D491" t="s">
        <v>1568</v>
      </c>
      <c r="E491" t="s">
        <v>163</v>
      </c>
      <c r="F491" t="s">
        <v>585</v>
      </c>
      <c r="G491" s="30">
        <v>46147</v>
      </c>
      <c r="H491" t="s">
        <v>1569</v>
      </c>
      <c r="I491">
        <v>4104909.5</v>
      </c>
      <c r="J491" s="123">
        <v>0</v>
      </c>
      <c r="K491" s="123">
        <v>0</v>
      </c>
      <c r="L491" s="123">
        <v>46146</v>
      </c>
      <c r="M491">
        <v>0</v>
      </c>
      <c r="N491">
        <v>0</v>
      </c>
      <c r="O491">
        <v>0</v>
      </c>
      <c r="P491" s="216">
        <v>1000</v>
      </c>
      <c r="Q491" s="217" t="s">
        <v>15</v>
      </c>
      <c r="R491" s="217" t="s">
        <v>61</v>
      </c>
      <c r="S491" s="218">
        <v>0.60028384454412331</v>
      </c>
      <c r="T491" t="s">
        <v>550</v>
      </c>
      <c r="U491" t="s">
        <v>51</v>
      </c>
      <c r="V491" s="219">
        <v>0</v>
      </c>
      <c r="W491" s="219">
        <v>0</v>
      </c>
    </row>
    <row r="492" spans="1:23" ht="15" customHeight="1" x14ac:dyDescent="0.25">
      <c r="A492" t="s">
        <v>1571</v>
      </c>
      <c r="B492" t="s">
        <v>64</v>
      </c>
      <c r="C492">
        <v>299932</v>
      </c>
      <c r="D492" t="s">
        <v>1572</v>
      </c>
      <c r="E492" t="s">
        <v>163</v>
      </c>
      <c r="F492" t="s">
        <v>554</v>
      </c>
      <c r="G492" s="30">
        <v>46148</v>
      </c>
      <c r="H492" t="s">
        <v>1573</v>
      </c>
      <c r="I492">
        <v>2987583.5</v>
      </c>
      <c r="J492" s="123">
        <v>0</v>
      </c>
      <c r="K492" s="123">
        <v>46152</v>
      </c>
      <c r="L492" s="123">
        <v>0</v>
      </c>
      <c r="M492">
        <v>0</v>
      </c>
      <c r="N492">
        <v>0</v>
      </c>
      <c r="O492" t="s">
        <v>556</v>
      </c>
      <c r="P492" s="216">
        <v>299932</v>
      </c>
      <c r="Q492" s="217" t="s">
        <v>15</v>
      </c>
      <c r="R492" s="217" t="s">
        <v>554</v>
      </c>
      <c r="S492" s="218">
        <v>0.50324314322093833</v>
      </c>
      <c r="T492" t="s">
        <v>550</v>
      </c>
      <c r="U492" t="s">
        <v>51</v>
      </c>
      <c r="V492" s="219" t="s">
        <v>6111</v>
      </c>
      <c r="W492" s="219" t="s">
        <v>68</v>
      </c>
    </row>
    <row r="493" spans="1:23" ht="15" customHeight="1" x14ac:dyDescent="0.25">
      <c r="A493" t="s">
        <v>1574</v>
      </c>
      <c r="B493" t="s">
        <v>64</v>
      </c>
      <c r="C493">
        <v>299933</v>
      </c>
      <c r="D493" t="s">
        <v>1575</v>
      </c>
      <c r="E493" t="s">
        <v>163</v>
      </c>
      <c r="F493" t="s">
        <v>554</v>
      </c>
      <c r="G493" s="30">
        <v>46148</v>
      </c>
      <c r="H493" t="s">
        <v>1576</v>
      </c>
      <c r="I493">
        <v>2987583.5</v>
      </c>
      <c r="J493" s="123">
        <v>0</v>
      </c>
      <c r="K493" s="123">
        <v>46152</v>
      </c>
      <c r="L493" s="123">
        <v>0</v>
      </c>
      <c r="M493">
        <v>0</v>
      </c>
      <c r="N493">
        <v>0</v>
      </c>
      <c r="O493" t="s">
        <v>556</v>
      </c>
      <c r="P493" s="216">
        <v>299933</v>
      </c>
      <c r="Q493" s="217" t="s">
        <v>15</v>
      </c>
      <c r="R493" s="217" t="s">
        <v>554</v>
      </c>
      <c r="S493" s="218">
        <v>0.50348953149885756</v>
      </c>
      <c r="T493" t="s">
        <v>550</v>
      </c>
      <c r="U493" t="s">
        <v>51</v>
      </c>
      <c r="V493" s="219" t="s">
        <v>6112</v>
      </c>
      <c r="W493" s="219" t="s">
        <v>68</v>
      </c>
    </row>
    <row r="494" spans="1:23" ht="15" customHeight="1" x14ac:dyDescent="0.25">
      <c r="A494" t="s">
        <v>1577</v>
      </c>
      <c r="B494" t="s">
        <v>64</v>
      </c>
      <c r="C494">
        <v>299933</v>
      </c>
      <c r="D494" t="s">
        <v>1578</v>
      </c>
      <c r="E494" t="s">
        <v>163</v>
      </c>
      <c r="F494" t="s">
        <v>554</v>
      </c>
      <c r="G494" s="30">
        <v>46148</v>
      </c>
      <c r="H494" t="s">
        <v>1579</v>
      </c>
      <c r="I494">
        <v>2987583.5</v>
      </c>
      <c r="J494" s="123">
        <v>0</v>
      </c>
      <c r="K494" s="123">
        <v>46152</v>
      </c>
      <c r="L494" s="123">
        <v>0</v>
      </c>
      <c r="M494">
        <v>0</v>
      </c>
      <c r="N494">
        <v>0</v>
      </c>
      <c r="O494" t="s">
        <v>556</v>
      </c>
      <c r="P494" s="216">
        <v>299933</v>
      </c>
      <c r="Q494" s="217" t="s">
        <v>15</v>
      </c>
      <c r="R494" s="217" t="s">
        <v>554</v>
      </c>
      <c r="S494" s="218">
        <v>0.50349886691398849</v>
      </c>
      <c r="T494" t="s">
        <v>550</v>
      </c>
      <c r="U494" t="s">
        <v>51</v>
      </c>
      <c r="V494" s="219" t="s">
        <v>6113</v>
      </c>
      <c r="W494" s="219" t="s">
        <v>68</v>
      </c>
    </row>
    <row r="495" spans="1:23" ht="15" customHeight="1" x14ac:dyDescent="0.25">
      <c r="A495" t="s">
        <v>1580</v>
      </c>
      <c r="B495" t="s">
        <v>64</v>
      </c>
      <c r="C495">
        <v>299933</v>
      </c>
      <c r="D495" t="s">
        <v>1581</v>
      </c>
      <c r="E495" t="s">
        <v>163</v>
      </c>
      <c r="F495" t="s">
        <v>554</v>
      </c>
      <c r="G495" s="30">
        <v>46148</v>
      </c>
      <c r="H495" t="s">
        <v>1582</v>
      </c>
      <c r="I495">
        <v>2987583.5</v>
      </c>
      <c r="J495" s="123">
        <v>0</v>
      </c>
      <c r="K495" s="123">
        <v>46152</v>
      </c>
      <c r="L495" s="123">
        <v>0</v>
      </c>
      <c r="M495">
        <v>0</v>
      </c>
      <c r="N495">
        <v>0</v>
      </c>
      <c r="O495" t="s">
        <v>556</v>
      </c>
      <c r="P495" s="216">
        <v>299933</v>
      </c>
      <c r="Q495" s="217" t="s">
        <v>15</v>
      </c>
      <c r="R495" s="217" t="s">
        <v>554</v>
      </c>
      <c r="S495" s="218">
        <v>0.50868035571932546</v>
      </c>
      <c r="T495" t="s">
        <v>550</v>
      </c>
      <c r="U495" t="s">
        <v>51</v>
      </c>
      <c r="V495" s="219" t="s">
        <v>6114</v>
      </c>
      <c r="W495" s="219" t="s">
        <v>68</v>
      </c>
    </row>
    <row r="496" spans="1:23" ht="15" customHeight="1" x14ac:dyDescent="0.25">
      <c r="A496" t="s">
        <v>1583</v>
      </c>
      <c r="B496" t="s">
        <v>546</v>
      </c>
      <c r="C496">
        <v>5784.29</v>
      </c>
      <c r="D496" t="s">
        <v>1584</v>
      </c>
      <c r="E496" t="s">
        <v>163</v>
      </c>
      <c r="F496" t="s">
        <v>554</v>
      </c>
      <c r="G496" s="30">
        <v>46143</v>
      </c>
      <c r="H496" t="s">
        <v>1585</v>
      </c>
      <c r="I496">
        <v>4104909.5</v>
      </c>
      <c r="J496" s="123">
        <v>0</v>
      </c>
      <c r="K496" s="123">
        <v>0</v>
      </c>
      <c r="L496" s="123">
        <v>0</v>
      </c>
      <c r="M496">
        <v>5784.29</v>
      </c>
      <c r="N496">
        <v>0</v>
      </c>
      <c r="O496">
        <v>0</v>
      </c>
      <c r="P496" s="216">
        <v>0</v>
      </c>
      <c r="Q496" s="217" t="s">
        <v>15</v>
      </c>
      <c r="R496" s="217" t="s">
        <v>554</v>
      </c>
      <c r="S496" s="218">
        <v>0.60099598251173747</v>
      </c>
      <c r="T496" t="s">
        <v>550</v>
      </c>
      <c r="U496" t="s">
        <v>51</v>
      </c>
      <c r="V496" s="219" t="s">
        <v>6115</v>
      </c>
      <c r="W496" s="219" t="s">
        <v>67</v>
      </c>
    </row>
    <row r="497" spans="1:23" ht="15" customHeight="1" x14ac:dyDescent="0.25">
      <c r="A497" t="s">
        <v>1586</v>
      </c>
      <c r="B497" t="s">
        <v>64</v>
      </c>
      <c r="C497">
        <v>299933</v>
      </c>
      <c r="D497" t="s">
        <v>1587</v>
      </c>
      <c r="E497" t="s">
        <v>163</v>
      </c>
      <c r="F497" t="s">
        <v>554</v>
      </c>
      <c r="G497" s="30">
        <v>46148</v>
      </c>
      <c r="H497" t="s">
        <v>1588</v>
      </c>
      <c r="I497">
        <v>2987583.5</v>
      </c>
      <c r="J497" s="123">
        <v>0</v>
      </c>
      <c r="K497" s="123">
        <v>46152</v>
      </c>
      <c r="L497" s="123">
        <v>0</v>
      </c>
      <c r="M497">
        <v>0</v>
      </c>
      <c r="N497">
        <v>0</v>
      </c>
      <c r="O497" t="s">
        <v>556</v>
      </c>
      <c r="P497" s="216">
        <v>299933</v>
      </c>
      <c r="Q497" s="217" t="s">
        <v>15</v>
      </c>
      <c r="R497" s="217" t="s">
        <v>554</v>
      </c>
      <c r="S497" s="218">
        <v>0.50348953149885756</v>
      </c>
      <c r="T497" t="s">
        <v>550</v>
      </c>
      <c r="U497" t="s">
        <v>51</v>
      </c>
      <c r="V497" s="219" t="s">
        <v>6116</v>
      </c>
      <c r="W497" s="219" t="s">
        <v>68</v>
      </c>
    </row>
    <row r="498" spans="1:23" ht="15" customHeight="1" x14ac:dyDescent="0.25">
      <c r="A498" t="s">
        <v>1589</v>
      </c>
      <c r="B498" t="s">
        <v>64</v>
      </c>
      <c r="C498">
        <v>299933</v>
      </c>
      <c r="D498" t="s">
        <v>1590</v>
      </c>
      <c r="E498" t="s">
        <v>163</v>
      </c>
      <c r="F498" t="s">
        <v>554</v>
      </c>
      <c r="G498" s="30">
        <v>46148</v>
      </c>
      <c r="H498" t="s">
        <v>1591</v>
      </c>
      <c r="I498">
        <v>2987583.5</v>
      </c>
      <c r="J498" s="123">
        <v>0</v>
      </c>
      <c r="K498" s="123">
        <v>46152</v>
      </c>
      <c r="L498" s="123">
        <v>0</v>
      </c>
      <c r="M498">
        <v>0</v>
      </c>
      <c r="N498">
        <v>0</v>
      </c>
      <c r="O498" t="s">
        <v>556</v>
      </c>
      <c r="P498" s="216">
        <v>299933</v>
      </c>
      <c r="Q498" s="217" t="s">
        <v>15</v>
      </c>
      <c r="R498" s="217" t="s">
        <v>554</v>
      </c>
      <c r="S498" s="218">
        <v>0.50326714857413202</v>
      </c>
      <c r="T498" t="s">
        <v>550</v>
      </c>
      <c r="U498" t="s">
        <v>51</v>
      </c>
      <c r="V498" s="219" t="s">
        <v>6117</v>
      </c>
      <c r="W498" s="219" t="s">
        <v>68</v>
      </c>
    </row>
    <row r="499" spans="1:23" ht="15" customHeight="1" x14ac:dyDescent="0.25">
      <c r="A499" t="s">
        <v>1592</v>
      </c>
      <c r="B499" t="s">
        <v>603</v>
      </c>
      <c r="C499">
        <v>1652249</v>
      </c>
      <c r="D499" t="s">
        <v>1593</v>
      </c>
      <c r="E499" t="s">
        <v>605</v>
      </c>
      <c r="F499" t="s">
        <v>554</v>
      </c>
      <c r="G499" s="30">
        <v>46143</v>
      </c>
      <c r="H499" t="s">
        <v>1594</v>
      </c>
      <c r="I499">
        <v>4353235</v>
      </c>
      <c r="J499" s="123">
        <v>46143</v>
      </c>
      <c r="K499" s="123">
        <v>0</v>
      </c>
      <c r="L499" s="123">
        <v>0</v>
      </c>
      <c r="M499">
        <v>0</v>
      </c>
      <c r="N499">
        <v>0</v>
      </c>
      <c r="O499">
        <v>0</v>
      </c>
      <c r="P499" s="216">
        <v>1652249</v>
      </c>
      <c r="Q499" s="217" t="s">
        <v>48</v>
      </c>
      <c r="R499" s="217" t="s">
        <v>554</v>
      </c>
      <c r="S499" s="218">
        <v>0.98752752965334556</v>
      </c>
      <c r="T499" t="s">
        <v>550</v>
      </c>
      <c r="U499" t="s">
        <v>51</v>
      </c>
      <c r="V499" s="219" t="s">
        <v>6118</v>
      </c>
      <c r="W499" s="219" t="s">
        <v>67</v>
      </c>
    </row>
    <row r="500" spans="1:23" ht="15" customHeight="1" x14ac:dyDescent="0.25">
      <c r="A500" t="s">
        <v>1595</v>
      </c>
      <c r="B500" t="s">
        <v>64</v>
      </c>
      <c r="C500">
        <v>299933</v>
      </c>
      <c r="D500" t="s">
        <v>1596</v>
      </c>
      <c r="E500" t="s">
        <v>163</v>
      </c>
      <c r="F500" t="s">
        <v>554</v>
      </c>
      <c r="G500" s="30">
        <v>46148</v>
      </c>
      <c r="H500" t="s">
        <v>1597</v>
      </c>
      <c r="I500">
        <v>2987583.5</v>
      </c>
      <c r="J500" s="123">
        <v>0</v>
      </c>
      <c r="K500" s="123">
        <v>46152</v>
      </c>
      <c r="L500" s="123">
        <v>0</v>
      </c>
      <c r="M500">
        <v>0</v>
      </c>
      <c r="N500">
        <v>0</v>
      </c>
      <c r="O500" t="s">
        <v>556</v>
      </c>
      <c r="P500" s="216">
        <v>299933</v>
      </c>
      <c r="Q500" s="217" t="s">
        <v>15</v>
      </c>
      <c r="R500" s="217" t="s">
        <v>554</v>
      </c>
      <c r="S500" s="218">
        <v>0.5079922022611042</v>
      </c>
      <c r="T500" t="s">
        <v>550</v>
      </c>
      <c r="U500" t="s">
        <v>51</v>
      </c>
      <c r="V500" s="219" t="s">
        <v>6119</v>
      </c>
      <c r="W500" s="219" t="s">
        <v>68</v>
      </c>
    </row>
    <row r="501" spans="1:23" ht="15" customHeight="1" x14ac:dyDescent="0.25">
      <c r="A501" t="s">
        <v>1598</v>
      </c>
      <c r="B501" t="s">
        <v>64</v>
      </c>
      <c r="C501">
        <v>299933</v>
      </c>
      <c r="D501" t="s">
        <v>1599</v>
      </c>
      <c r="E501" t="s">
        <v>163</v>
      </c>
      <c r="F501" t="s">
        <v>554</v>
      </c>
      <c r="G501" s="30">
        <v>46148</v>
      </c>
      <c r="H501" t="s">
        <v>1600</v>
      </c>
      <c r="I501">
        <v>2987583.5</v>
      </c>
      <c r="J501" s="123">
        <v>0</v>
      </c>
      <c r="K501" s="123">
        <v>46152</v>
      </c>
      <c r="L501" s="123">
        <v>0</v>
      </c>
      <c r="M501">
        <v>0</v>
      </c>
      <c r="N501">
        <v>0</v>
      </c>
      <c r="O501" t="s">
        <v>556</v>
      </c>
      <c r="P501" s="216">
        <v>299933</v>
      </c>
      <c r="Q501" s="217" t="s">
        <v>15</v>
      </c>
      <c r="R501" s="217" t="s">
        <v>554</v>
      </c>
      <c r="S501" s="218">
        <v>0.50630782664534191</v>
      </c>
      <c r="T501" t="s">
        <v>550</v>
      </c>
      <c r="U501" t="s">
        <v>51</v>
      </c>
      <c r="V501" s="219" t="s">
        <v>6120</v>
      </c>
      <c r="W501" s="219" t="s">
        <v>68</v>
      </c>
    </row>
    <row r="502" spans="1:23" ht="15" customHeight="1" x14ac:dyDescent="0.25">
      <c r="A502" t="s">
        <v>1601</v>
      </c>
      <c r="B502" t="s">
        <v>546</v>
      </c>
      <c r="C502">
        <v>31316</v>
      </c>
      <c r="D502" t="s">
        <v>1602</v>
      </c>
      <c r="E502" t="s">
        <v>283</v>
      </c>
      <c r="F502" t="s">
        <v>548</v>
      </c>
      <c r="G502" s="30">
        <v>46148</v>
      </c>
      <c r="H502" t="s">
        <v>1603</v>
      </c>
      <c r="I502">
        <v>1746381.5</v>
      </c>
      <c r="J502" s="123">
        <v>0</v>
      </c>
      <c r="K502" s="123">
        <v>0</v>
      </c>
      <c r="L502" s="123">
        <v>0</v>
      </c>
      <c r="M502">
        <v>2934</v>
      </c>
      <c r="N502">
        <v>0</v>
      </c>
      <c r="O502">
        <v>0</v>
      </c>
      <c r="P502" s="216">
        <v>28382</v>
      </c>
      <c r="Q502" s="217" t="s">
        <v>40</v>
      </c>
      <c r="R502" s="217" t="s">
        <v>62</v>
      </c>
      <c r="S502" s="218">
        <v>0.60000022813152587</v>
      </c>
      <c r="T502" t="s">
        <v>550</v>
      </c>
      <c r="U502" t="s">
        <v>51</v>
      </c>
      <c r="V502" s="219">
        <v>0</v>
      </c>
      <c r="W502" s="219">
        <v>0</v>
      </c>
    </row>
    <row r="503" spans="1:23" ht="15" customHeight="1" x14ac:dyDescent="0.25">
      <c r="A503" t="s">
        <v>1604</v>
      </c>
      <c r="B503" t="s">
        <v>546</v>
      </c>
      <c r="C503">
        <v>1410</v>
      </c>
      <c r="D503" t="s">
        <v>1602</v>
      </c>
      <c r="E503" t="s">
        <v>1558</v>
      </c>
      <c r="F503" t="s">
        <v>548</v>
      </c>
      <c r="G503" s="30">
        <v>46148</v>
      </c>
      <c r="H503" t="s">
        <v>1603</v>
      </c>
      <c r="I503">
        <v>1746381.5</v>
      </c>
      <c r="J503" s="123">
        <v>0</v>
      </c>
      <c r="K503" s="123">
        <v>0</v>
      </c>
      <c r="L503" s="123">
        <v>0</v>
      </c>
      <c r="M503">
        <v>1410</v>
      </c>
      <c r="N503">
        <v>0</v>
      </c>
      <c r="O503">
        <v>0</v>
      </c>
      <c r="P503" s="216">
        <v>0</v>
      </c>
      <c r="Q503" s="217" t="s">
        <v>15</v>
      </c>
      <c r="R503" s="217" t="s">
        <v>62</v>
      </c>
      <c r="S503" s="218">
        <v>0.60000022813152587</v>
      </c>
      <c r="T503" t="s">
        <v>550</v>
      </c>
      <c r="U503" t="s">
        <v>51</v>
      </c>
      <c r="V503" s="219">
        <v>0</v>
      </c>
      <c r="W503" s="219">
        <v>0</v>
      </c>
    </row>
    <row r="504" spans="1:23" ht="15" customHeight="1" x14ac:dyDescent="0.25">
      <c r="A504" t="s">
        <v>1605</v>
      </c>
      <c r="B504" t="s">
        <v>546</v>
      </c>
      <c r="C504">
        <v>6894</v>
      </c>
      <c r="D504" t="s">
        <v>1602</v>
      </c>
      <c r="E504" t="s">
        <v>1558</v>
      </c>
      <c r="F504" t="s">
        <v>548</v>
      </c>
      <c r="G504" s="30">
        <v>46148</v>
      </c>
      <c r="H504" t="s">
        <v>1603</v>
      </c>
      <c r="I504">
        <v>1746381.5</v>
      </c>
      <c r="J504" s="123">
        <v>0</v>
      </c>
      <c r="K504" s="123">
        <v>0</v>
      </c>
      <c r="L504" s="123">
        <v>0</v>
      </c>
      <c r="M504">
        <v>6894</v>
      </c>
      <c r="N504">
        <v>0</v>
      </c>
      <c r="O504">
        <v>0</v>
      </c>
      <c r="P504" s="216">
        <v>0</v>
      </c>
      <c r="Q504" s="217" t="s">
        <v>15</v>
      </c>
      <c r="R504" s="217" t="s">
        <v>62</v>
      </c>
      <c r="S504" s="218">
        <v>0.60000022813152587</v>
      </c>
      <c r="T504" t="s">
        <v>550</v>
      </c>
      <c r="U504" t="s">
        <v>51</v>
      </c>
      <c r="V504" s="219">
        <v>0</v>
      </c>
      <c r="W504" s="219">
        <v>0</v>
      </c>
    </row>
    <row r="505" spans="1:23" ht="15" customHeight="1" x14ac:dyDescent="0.25">
      <c r="A505" t="s">
        <v>1606</v>
      </c>
      <c r="B505" t="s">
        <v>546</v>
      </c>
      <c r="C505">
        <v>31316</v>
      </c>
      <c r="D505" t="s">
        <v>1602</v>
      </c>
      <c r="E505" t="s">
        <v>283</v>
      </c>
      <c r="F505" t="s">
        <v>554</v>
      </c>
      <c r="G505" s="30">
        <v>46148</v>
      </c>
      <c r="H505" t="s">
        <v>1603</v>
      </c>
      <c r="I505">
        <v>1746381.5</v>
      </c>
      <c r="J505" s="123">
        <v>0</v>
      </c>
      <c r="K505" s="123">
        <v>0</v>
      </c>
      <c r="L505" s="123">
        <v>0</v>
      </c>
      <c r="M505">
        <v>2934</v>
      </c>
      <c r="N505">
        <v>0</v>
      </c>
      <c r="O505">
        <v>0</v>
      </c>
      <c r="P505" s="216">
        <v>28382</v>
      </c>
      <c r="Q505" s="217" t="s">
        <v>40</v>
      </c>
      <c r="R505" s="217" t="s">
        <v>554</v>
      </c>
      <c r="S505" s="218">
        <v>0.60000022813152587</v>
      </c>
      <c r="T505" t="s">
        <v>550</v>
      </c>
      <c r="U505" t="s">
        <v>51</v>
      </c>
      <c r="V505" s="219" t="s">
        <v>6121</v>
      </c>
      <c r="W505" s="219" t="s">
        <v>67</v>
      </c>
    </row>
    <row r="506" spans="1:23" ht="15" customHeight="1" x14ac:dyDescent="0.25">
      <c r="A506" t="s">
        <v>1607</v>
      </c>
      <c r="B506" t="s">
        <v>64</v>
      </c>
      <c r="C506">
        <v>299933</v>
      </c>
      <c r="D506" t="s">
        <v>1608</v>
      </c>
      <c r="E506" t="s">
        <v>163</v>
      </c>
      <c r="F506" t="s">
        <v>554</v>
      </c>
      <c r="G506" s="30">
        <v>46148</v>
      </c>
      <c r="H506" t="s">
        <v>1609</v>
      </c>
      <c r="I506">
        <v>2987583.5</v>
      </c>
      <c r="J506" s="123">
        <v>0</v>
      </c>
      <c r="K506" s="123">
        <v>46152</v>
      </c>
      <c r="L506" s="123">
        <v>0</v>
      </c>
      <c r="M506">
        <v>0</v>
      </c>
      <c r="N506">
        <v>0</v>
      </c>
      <c r="O506" t="s">
        <v>556</v>
      </c>
      <c r="P506" s="216">
        <v>299933</v>
      </c>
      <c r="Q506" s="217" t="s">
        <v>15</v>
      </c>
      <c r="R506" s="217" t="s">
        <v>554</v>
      </c>
      <c r="S506" s="218">
        <v>0.50630782664534191</v>
      </c>
      <c r="T506" t="s">
        <v>550</v>
      </c>
      <c r="U506" t="s">
        <v>51</v>
      </c>
      <c r="V506" s="219" t="s">
        <v>6122</v>
      </c>
      <c r="W506" s="219" t="s">
        <v>68</v>
      </c>
    </row>
    <row r="507" spans="1:23" ht="15" customHeight="1" x14ac:dyDescent="0.25">
      <c r="A507" t="s">
        <v>1610</v>
      </c>
      <c r="B507" t="s">
        <v>575</v>
      </c>
      <c r="C507">
        <v>295999</v>
      </c>
      <c r="D507" t="s">
        <v>1611</v>
      </c>
      <c r="E507" t="s">
        <v>288</v>
      </c>
      <c r="F507" t="s">
        <v>683</v>
      </c>
      <c r="G507" s="30">
        <v>46143</v>
      </c>
      <c r="H507" t="s">
        <v>1612</v>
      </c>
      <c r="I507">
        <v>2949747.5</v>
      </c>
      <c r="J507" s="123">
        <v>0</v>
      </c>
      <c r="K507" s="123">
        <v>0</v>
      </c>
      <c r="L507" s="123">
        <v>46142</v>
      </c>
      <c r="M507">
        <v>0</v>
      </c>
      <c r="N507">
        <v>0</v>
      </c>
      <c r="O507">
        <v>0</v>
      </c>
      <c r="P507" s="216">
        <v>295999</v>
      </c>
      <c r="Q507" s="217" t="s">
        <v>48</v>
      </c>
      <c r="R507" s="217" t="s">
        <v>62</v>
      </c>
      <c r="S507" s="218">
        <v>0.70000032939347767</v>
      </c>
      <c r="T507" t="s">
        <v>550</v>
      </c>
      <c r="U507" t="s">
        <v>51</v>
      </c>
      <c r="V507" s="219">
        <v>0</v>
      </c>
      <c r="W507" s="219">
        <v>0</v>
      </c>
    </row>
    <row r="508" spans="1:23" ht="15" customHeight="1" x14ac:dyDescent="0.25">
      <c r="A508" t="s">
        <v>1613</v>
      </c>
      <c r="B508" t="s">
        <v>603</v>
      </c>
      <c r="C508">
        <v>300000</v>
      </c>
      <c r="D508" t="s">
        <v>1614</v>
      </c>
      <c r="E508" t="s">
        <v>605</v>
      </c>
      <c r="F508" t="s">
        <v>554</v>
      </c>
      <c r="G508" s="30">
        <v>46143</v>
      </c>
      <c r="H508" t="s">
        <v>1615</v>
      </c>
      <c r="I508">
        <v>2949747.5</v>
      </c>
      <c r="J508" s="123">
        <v>46143</v>
      </c>
      <c r="K508" s="123">
        <v>0</v>
      </c>
      <c r="L508" s="123">
        <v>0</v>
      </c>
      <c r="M508">
        <v>0</v>
      </c>
      <c r="N508">
        <v>0</v>
      </c>
      <c r="O508">
        <v>0</v>
      </c>
      <c r="P508" s="216">
        <v>300000</v>
      </c>
      <c r="Q508" s="217" t="s">
        <v>48</v>
      </c>
      <c r="R508" s="217" t="s">
        <v>554</v>
      </c>
      <c r="S508" s="218">
        <v>0.70135185617025353</v>
      </c>
      <c r="T508" t="s">
        <v>550</v>
      </c>
      <c r="U508" t="s">
        <v>51</v>
      </c>
      <c r="V508" s="219" t="s">
        <v>6123</v>
      </c>
      <c r="W508" s="219" t="s">
        <v>67</v>
      </c>
    </row>
    <row r="509" spans="1:23" ht="15" customHeight="1" x14ac:dyDescent="0.25">
      <c r="A509" t="s">
        <v>1616</v>
      </c>
      <c r="B509" t="s">
        <v>546</v>
      </c>
      <c r="C509">
        <v>799</v>
      </c>
      <c r="D509" t="s">
        <v>1617</v>
      </c>
      <c r="E509" t="s">
        <v>163</v>
      </c>
      <c r="F509" t="s">
        <v>548</v>
      </c>
      <c r="G509" s="30">
        <v>46149</v>
      </c>
      <c r="H509" t="s">
        <v>1618</v>
      </c>
      <c r="I509">
        <v>1746381.5</v>
      </c>
      <c r="J509" s="123">
        <v>0</v>
      </c>
      <c r="K509" s="123">
        <v>0</v>
      </c>
      <c r="L509" s="123">
        <v>0</v>
      </c>
      <c r="M509">
        <v>798</v>
      </c>
      <c r="N509">
        <v>0</v>
      </c>
      <c r="O509">
        <v>0</v>
      </c>
      <c r="P509" s="216">
        <v>1</v>
      </c>
      <c r="Q509" s="217" t="s">
        <v>15</v>
      </c>
      <c r="R509" s="217" t="s">
        <v>62</v>
      </c>
      <c r="S509" s="218">
        <v>0.59999960076982983</v>
      </c>
      <c r="T509" t="s">
        <v>550</v>
      </c>
      <c r="U509" t="s">
        <v>51</v>
      </c>
      <c r="V509" s="219">
        <v>0</v>
      </c>
      <c r="W509" s="219">
        <v>0</v>
      </c>
    </row>
    <row r="510" spans="1:23" ht="15" customHeight="1" x14ac:dyDescent="0.25">
      <c r="A510" t="s">
        <v>1619</v>
      </c>
      <c r="B510" t="s">
        <v>546</v>
      </c>
      <c r="C510">
        <v>4341</v>
      </c>
      <c r="D510" t="s">
        <v>1620</v>
      </c>
      <c r="E510" t="s">
        <v>157</v>
      </c>
      <c r="F510" t="s">
        <v>548</v>
      </c>
      <c r="G510" s="30">
        <v>46149</v>
      </c>
      <c r="H510" t="s">
        <v>1621</v>
      </c>
      <c r="I510">
        <v>1661762.5</v>
      </c>
      <c r="J510" s="123">
        <v>0</v>
      </c>
      <c r="K510" s="123">
        <v>0</v>
      </c>
      <c r="L510" s="123">
        <v>0</v>
      </c>
      <c r="M510">
        <v>4341</v>
      </c>
      <c r="N510">
        <v>0</v>
      </c>
      <c r="O510">
        <v>0</v>
      </c>
      <c r="P510" s="216">
        <v>0</v>
      </c>
      <c r="Q510" s="217" t="s">
        <v>14</v>
      </c>
      <c r="R510" s="217" t="s">
        <v>62</v>
      </c>
      <c r="S510" s="218">
        <v>0.6032507387644882</v>
      </c>
      <c r="T510" t="s">
        <v>550</v>
      </c>
      <c r="U510" t="s">
        <v>51</v>
      </c>
      <c r="V510" s="219">
        <v>0</v>
      </c>
      <c r="W510" s="219">
        <v>0</v>
      </c>
    </row>
    <row r="511" spans="1:23" ht="15" customHeight="1" x14ac:dyDescent="0.25">
      <c r="A511" t="s">
        <v>1622</v>
      </c>
      <c r="B511" t="s">
        <v>546</v>
      </c>
      <c r="C511">
        <v>1910</v>
      </c>
      <c r="D511" t="s">
        <v>1623</v>
      </c>
      <c r="E511" t="s">
        <v>157</v>
      </c>
      <c r="F511" t="s">
        <v>554</v>
      </c>
      <c r="G511" s="30">
        <v>46143</v>
      </c>
      <c r="H511" t="s">
        <v>1624</v>
      </c>
      <c r="I511">
        <v>1918635</v>
      </c>
      <c r="J511" s="123">
        <v>0</v>
      </c>
      <c r="K511" s="123">
        <v>0</v>
      </c>
      <c r="L511" s="123">
        <v>0</v>
      </c>
      <c r="M511">
        <v>0</v>
      </c>
      <c r="N511">
        <v>0</v>
      </c>
      <c r="O511">
        <v>0</v>
      </c>
      <c r="P511" s="216">
        <v>1910</v>
      </c>
      <c r="Q511" s="217" t="s">
        <v>14</v>
      </c>
      <c r="R511" s="217" t="s">
        <v>554</v>
      </c>
      <c r="S511" s="218">
        <v>1.0009938095042348</v>
      </c>
      <c r="T511" t="s">
        <v>550</v>
      </c>
      <c r="U511" t="s">
        <v>51</v>
      </c>
      <c r="V511" s="219" t="s">
        <v>6124</v>
      </c>
      <c r="W511" s="219" t="s">
        <v>67</v>
      </c>
    </row>
    <row r="512" spans="1:23" ht="15" customHeight="1" x14ac:dyDescent="0.25">
      <c r="A512" t="s">
        <v>1625</v>
      </c>
      <c r="B512" t="s">
        <v>546</v>
      </c>
      <c r="C512">
        <v>155027</v>
      </c>
      <c r="D512" t="s">
        <v>1626</v>
      </c>
      <c r="E512" t="s">
        <v>553</v>
      </c>
      <c r="F512" t="s">
        <v>554</v>
      </c>
      <c r="G512" s="30">
        <v>46148</v>
      </c>
      <c r="H512" t="s">
        <v>1627</v>
      </c>
      <c r="I512">
        <v>1550291.65</v>
      </c>
      <c r="J512" s="123">
        <v>46148</v>
      </c>
      <c r="K512" s="123">
        <v>0</v>
      </c>
      <c r="L512" s="123">
        <v>46148</v>
      </c>
      <c r="M512">
        <v>0</v>
      </c>
      <c r="N512">
        <v>0</v>
      </c>
      <c r="O512" t="s">
        <v>556</v>
      </c>
      <c r="P512" s="216">
        <v>155027</v>
      </c>
      <c r="Q512" s="217" t="s">
        <v>40</v>
      </c>
      <c r="R512" s="217" t="s">
        <v>554</v>
      </c>
      <c r="S512" s="218">
        <v>0.76486781459548192</v>
      </c>
      <c r="T512" t="s">
        <v>550</v>
      </c>
      <c r="U512" t="s">
        <v>51</v>
      </c>
      <c r="V512" s="219" t="s">
        <v>6125</v>
      </c>
      <c r="W512" s="219" t="s">
        <v>67</v>
      </c>
    </row>
    <row r="513" spans="1:23" ht="15" customHeight="1" x14ac:dyDescent="0.25">
      <c r="A513" t="s">
        <v>1628</v>
      </c>
      <c r="B513" t="s">
        <v>546</v>
      </c>
      <c r="C513">
        <v>155027</v>
      </c>
      <c r="D513" t="s">
        <v>1626</v>
      </c>
      <c r="E513" t="s">
        <v>553</v>
      </c>
      <c r="F513" t="s">
        <v>548</v>
      </c>
      <c r="G513" s="30">
        <v>46148</v>
      </c>
      <c r="H513" t="s">
        <v>1627</v>
      </c>
      <c r="I513">
        <v>1550291.65</v>
      </c>
      <c r="J513" s="123">
        <v>46148</v>
      </c>
      <c r="K513" s="123">
        <v>0</v>
      </c>
      <c r="L513" s="123">
        <v>46148</v>
      </c>
      <c r="M513">
        <v>0</v>
      </c>
      <c r="N513">
        <v>0</v>
      </c>
      <c r="O513" t="s">
        <v>556</v>
      </c>
      <c r="P513" s="216">
        <v>155027</v>
      </c>
      <c r="Q513" s="217" t="s">
        <v>40</v>
      </c>
      <c r="R513" s="217" t="s">
        <v>62</v>
      </c>
      <c r="S513" s="218">
        <v>0.76486781459548192</v>
      </c>
      <c r="T513" t="s">
        <v>550</v>
      </c>
      <c r="U513" t="s">
        <v>51</v>
      </c>
      <c r="V513" s="219">
        <v>0</v>
      </c>
      <c r="W513" s="219">
        <v>0</v>
      </c>
    </row>
    <row r="514" spans="1:23" ht="15" customHeight="1" x14ac:dyDescent="0.25">
      <c r="A514" t="s">
        <v>1629</v>
      </c>
      <c r="B514" t="s">
        <v>546</v>
      </c>
      <c r="C514">
        <v>155027</v>
      </c>
      <c r="D514" t="s">
        <v>1626</v>
      </c>
      <c r="E514" t="s">
        <v>553</v>
      </c>
      <c r="F514" t="s">
        <v>548</v>
      </c>
      <c r="G514" s="30">
        <v>46149</v>
      </c>
      <c r="H514" t="s">
        <v>1627</v>
      </c>
      <c r="I514">
        <v>1550291.65</v>
      </c>
      <c r="J514" s="123">
        <v>46149</v>
      </c>
      <c r="K514" s="123">
        <v>0</v>
      </c>
      <c r="L514" s="123">
        <v>46149</v>
      </c>
      <c r="M514">
        <v>0</v>
      </c>
      <c r="N514">
        <v>0</v>
      </c>
      <c r="O514" t="s">
        <v>556</v>
      </c>
      <c r="P514" s="216">
        <v>155027</v>
      </c>
      <c r="Q514" s="217" t="s">
        <v>40</v>
      </c>
      <c r="R514" s="217" t="s">
        <v>62</v>
      </c>
      <c r="S514" s="218">
        <v>0.76486781459548192</v>
      </c>
      <c r="T514" t="s">
        <v>550</v>
      </c>
      <c r="U514" t="s">
        <v>51</v>
      </c>
      <c r="V514" s="219">
        <v>0</v>
      </c>
      <c r="W514" s="219">
        <v>0</v>
      </c>
    </row>
    <row r="515" spans="1:23" ht="15" customHeight="1" x14ac:dyDescent="0.25">
      <c r="A515" t="s">
        <v>1630</v>
      </c>
      <c r="B515" t="s">
        <v>546</v>
      </c>
      <c r="C515">
        <v>100000</v>
      </c>
      <c r="D515" t="s">
        <v>1626</v>
      </c>
      <c r="E515" t="s">
        <v>553</v>
      </c>
      <c r="F515" t="s">
        <v>554</v>
      </c>
      <c r="G515" s="30">
        <v>46149</v>
      </c>
      <c r="H515" t="s">
        <v>1627</v>
      </c>
      <c r="I515">
        <v>1550291.65</v>
      </c>
      <c r="J515" s="123">
        <v>46149</v>
      </c>
      <c r="K515" s="123">
        <v>0</v>
      </c>
      <c r="L515" s="123">
        <v>46149</v>
      </c>
      <c r="M515">
        <v>0</v>
      </c>
      <c r="N515">
        <v>0</v>
      </c>
      <c r="O515" t="s">
        <v>556</v>
      </c>
      <c r="P515" s="216">
        <v>100000</v>
      </c>
      <c r="Q515" s="217" t="s">
        <v>40</v>
      </c>
      <c r="R515" s="217" t="s">
        <v>554</v>
      </c>
      <c r="S515" s="218">
        <v>0.76486781459548192</v>
      </c>
      <c r="T515" t="s">
        <v>550</v>
      </c>
      <c r="U515" t="s">
        <v>51</v>
      </c>
      <c r="V515" s="219" t="s">
        <v>6126</v>
      </c>
      <c r="W515" s="219" t="s">
        <v>67</v>
      </c>
    </row>
    <row r="516" spans="1:23" ht="15" customHeight="1" x14ac:dyDescent="0.25">
      <c r="A516" t="s">
        <v>1631</v>
      </c>
      <c r="B516" t="s">
        <v>546</v>
      </c>
      <c r="C516">
        <v>100000</v>
      </c>
      <c r="D516" t="s">
        <v>1626</v>
      </c>
      <c r="E516" t="s">
        <v>553</v>
      </c>
      <c r="F516" t="s">
        <v>548</v>
      </c>
      <c r="G516" s="30">
        <v>46149</v>
      </c>
      <c r="H516" t="s">
        <v>1627</v>
      </c>
      <c r="I516">
        <v>1550291.65</v>
      </c>
      <c r="J516" s="123">
        <v>46149</v>
      </c>
      <c r="K516" s="123">
        <v>0</v>
      </c>
      <c r="L516" s="123">
        <v>46149</v>
      </c>
      <c r="M516">
        <v>0</v>
      </c>
      <c r="N516">
        <v>0</v>
      </c>
      <c r="O516" t="s">
        <v>556</v>
      </c>
      <c r="P516" s="216">
        <v>100000</v>
      </c>
      <c r="Q516" s="217" t="s">
        <v>40</v>
      </c>
      <c r="R516" s="217" t="s">
        <v>62</v>
      </c>
      <c r="S516" s="218">
        <v>0.76486781459548192</v>
      </c>
      <c r="T516" t="s">
        <v>550</v>
      </c>
      <c r="U516" t="s">
        <v>51</v>
      </c>
      <c r="V516" s="219">
        <v>0</v>
      </c>
      <c r="W516" s="219">
        <v>0</v>
      </c>
    </row>
    <row r="517" spans="1:23" ht="15" customHeight="1" x14ac:dyDescent="0.25">
      <c r="A517" t="s">
        <v>1632</v>
      </c>
      <c r="B517" t="s">
        <v>546</v>
      </c>
      <c r="C517">
        <v>155027</v>
      </c>
      <c r="D517" t="s">
        <v>1626</v>
      </c>
      <c r="E517" t="s">
        <v>553</v>
      </c>
      <c r="F517" t="s">
        <v>548</v>
      </c>
      <c r="G517" s="30">
        <v>46149</v>
      </c>
      <c r="H517" t="s">
        <v>1627</v>
      </c>
      <c r="I517">
        <v>1550291.65</v>
      </c>
      <c r="J517" s="123">
        <v>46149</v>
      </c>
      <c r="K517" s="123">
        <v>0</v>
      </c>
      <c r="L517" s="123">
        <v>46149</v>
      </c>
      <c r="M517">
        <v>0</v>
      </c>
      <c r="N517">
        <v>0</v>
      </c>
      <c r="O517" t="s">
        <v>556</v>
      </c>
      <c r="P517" s="216">
        <v>155027</v>
      </c>
      <c r="Q517" s="217" t="s">
        <v>40</v>
      </c>
      <c r="R517" s="217" t="s">
        <v>62</v>
      </c>
      <c r="S517" s="218">
        <v>0.76486781459548192</v>
      </c>
      <c r="T517" t="s">
        <v>550</v>
      </c>
      <c r="U517" t="s">
        <v>51</v>
      </c>
      <c r="V517" s="219">
        <v>0</v>
      </c>
      <c r="W517" s="219">
        <v>0</v>
      </c>
    </row>
    <row r="518" spans="1:23" ht="15" customHeight="1" x14ac:dyDescent="0.25">
      <c r="A518" t="s">
        <v>1633</v>
      </c>
      <c r="B518" t="s">
        <v>546</v>
      </c>
      <c r="C518">
        <v>6205</v>
      </c>
      <c r="D518" t="s">
        <v>1634</v>
      </c>
      <c r="E518" t="s">
        <v>157</v>
      </c>
      <c r="F518" t="s">
        <v>548</v>
      </c>
      <c r="G518" s="30">
        <v>46146</v>
      </c>
      <c r="H518" t="s">
        <v>1635</v>
      </c>
      <c r="I518">
        <v>2964433.83</v>
      </c>
      <c r="J518" s="123">
        <v>0</v>
      </c>
      <c r="K518" s="123">
        <v>0</v>
      </c>
      <c r="L518" s="123">
        <v>0</v>
      </c>
      <c r="M518">
        <v>6205</v>
      </c>
      <c r="N518">
        <v>0</v>
      </c>
      <c r="O518">
        <v>0</v>
      </c>
      <c r="P518" s="216">
        <v>0</v>
      </c>
      <c r="Q518" s="217" t="s">
        <v>14</v>
      </c>
      <c r="R518" s="217" t="s">
        <v>62</v>
      </c>
      <c r="S518" s="218">
        <v>0.99999985522431223</v>
      </c>
      <c r="T518" t="s">
        <v>550</v>
      </c>
      <c r="U518" t="s">
        <v>51</v>
      </c>
      <c r="V518" s="219">
        <v>0</v>
      </c>
      <c r="W518" s="219">
        <v>0</v>
      </c>
    </row>
    <row r="519" spans="1:23" ht="15" customHeight="1" x14ac:dyDescent="0.25">
      <c r="A519" t="s">
        <v>1636</v>
      </c>
      <c r="B519" t="s">
        <v>546</v>
      </c>
      <c r="C519">
        <v>6206</v>
      </c>
      <c r="D519" t="s">
        <v>1634</v>
      </c>
      <c r="E519" t="s">
        <v>157</v>
      </c>
      <c r="F519" t="s">
        <v>554</v>
      </c>
      <c r="G519" s="30">
        <v>46148</v>
      </c>
      <c r="H519" t="s">
        <v>1635</v>
      </c>
      <c r="I519">
        <v>2964433.83</v>
      </c>
      <c r="J519" s="123">
        <v>0</v>
      </c>
      <c r="K519" s="123">
        <v>0</v>
      </c>
      <c r="L519" s="123">
        <v>0</v>
      </c>
      <c r="M519">
        <v>6206</v>
      </c>
      <c r="N519">
        <v>0</v>
      </c>
      <c r="O519">
        <v>0</v>
      </c>
      <c r="P519" s="216">
        <v>0</v>
      </c>
      <c r="Q519" s="217" t="s">
        <v>14</v>
      </c>
      <c r="R519" s="217" t="s">
        <v>554</v>
      </c>
      <c r="S519" s="218">
        <v>0.99999985522431223</v>
      </c>
      <c r="T519" t="s">
        <v>550</v>
      </c>
      <c r="U519" t="s">
        <v>51</v>
      </c>
      <c r="V519" s="219" t="s">
        <v>6127</v>
      </c>
      <c r="W519" s="219" t="s">
        <v>67</v>
      </c>
    </row>
    <row r="520" spans="1:23" ht="15" customHeight="1" x14ac:dyDescent="0.25">
      <c r="A520" t="s">
        <v>1637</v>
      </c>
      <c r="B520" t="s">
        <v>64</v>
      </c>
      <c r="C520">
        <v>1098763</v>
      </c>
      <c r="D520" t="s">
        <v>1638</v>
      </c>
      <c r="E520" t="s">
        <v>1639</v>
      </c>
      <c r="F520" t="s">
        <v>554</v>
      </c>
      <c r="G520" s="30">
        <v>46149</v>
      </c>
      <c r="H520" t="s">
        <v>1640</v>
      </c>
      <c r="I520">
        <v>2732008.5</v>
      </c>
      <c r="J520" s="123">
        <v>0</v>
      </c>
      <c r="K520" s="123">
        <v>46140</v>
      </c>
      <c r="L520" s="123">
        <v>0</v>
      </c>
      <c r="M520">
        <v>0</v>
      </c>
      <c r="N520">
        <v>0</v>
      </c>
      <c r="O520" t="s">
        <v>556</v>
      </c>
      <c r="P520" s="216">
        <v>1098763</v>
      </c>
      <c r="Q520" s="217" t="s">
        <v>14</v>
      </c>
      <c r="R520" s="217" t="s">
        <v>554</v>
      </c>
      <c r="S520" s="218">
        <v>0.60969739596160266</v>
      </c>
      <c r="T520" t="s">
        <v>550</v>
      </c>
      <c r="U520" t="s">
        <v>51</v>
      </c>
      <c r="V520" s="219" t="s">
        <v>6128</v>
      </c>
      <c r="W520" s="219" t="s">
        <v>71</v>
      </c>
    </row>
    <row r="521" spans="1:23" ht="15" customHeight="1" x14ac:dyDescent="0.25">
      <c r="A521" t="s">
        <v>1641</v>
      </c>
      <c r="B521" t="s">
        <v>546</v>
      </c>
      <c r="C521">
        <v>133877</v>
      </c>
      <c r="D521" t="s">
        <v>1642</v>
      </c>
      <c r="E521" t="s">
        <v>283</v>
      </c>
      <c r="F521" t="s">
        <v>548</v>
      </c>
      <c r="G521" s="30">
        <v>46144</v>
      </c>
      <c r="H521" t="s">
        <v>1643</v>
      </c>
      <c r="I521">
        <v>1338363.75</v>
      </c>
      <c r="J521" s="123">
        <v>0</v>
      </c>
      <c r="K521" s="123">
        <v>0</v>
      </c>
      <c r="L521" s="123">
        <v>0</v>
      </c>
      <c r="M521">
        <v>0</v>
      </c>
      <c r="N521">
        <v>0</v>
      </c>
      <c r="O521">
        <v>0</v>
      </c>
      <c r="P521" s="216">
        <v>133877</v>
      </c>
      <c r="Q521" s="217" t="s">
        <v>40</v>
      </c>
      <c r="R521" s="217" t="s">
        <v>62</v>
      </c>
      <c r="S521" s="218">
        <v>0.60000287578423472</v>
      </c>
      <c r="T521" t="s">
        <v>550</v>
      </c>
      <c r="U521" t="s">
        <v>51</v>
      </c>
      <c r="V521" s="219">
        <v>0</v>
      </c>
      <c r="W521" s="219">
        <v>0</v>
      </c>
    </row>
    <row r="522" spans="1:23" ht="15" customHeight="1" x14ac:dyDescent="0.25">
      <c r="A522" t="s">
        <v>1644</v>
      </c>
      <c r="B522" t="s">
        <v>575</v>
      </c>
      <c r="C522">
        <v>100000</v>
      </c>
      <c r="D522" t="s">
        <v>1645</v>
      </c>
      <c r="E522" t="s">
        <v>157</v>
      </c>
      <c r="F522" t="s">
        <v>554</v>
      </c>
      <c r="G522" s="30">
        <v>46148</v>
      </c>
      <c r="H522" t="s">
        <v>1646</v>
      </c>
      <c r="I522">
        <v>2593496.5</v>
      </c>
      <c r="J522" s="123">
        <v>0</v>
      </c>
      <c r="K522" s="123">
        <v>0</v>
      </c>
      <c r="L522" s="123">
        <v>46147</v>
      </c>
      <c r="M522">
        <v>0</v>
      </c>
      <c r="N522">
        <v>0</v>
      </c>
      <c r="O522">
        <v>0</v>
      </c>
      <c r="P522" s="216">
        <v>100000</v>
      </c>
      <c r="Q522" s="217" t="s">
        <v>14</v>
      </c>
      <c r="R522" s="217" t="s">
        <v>554</v>
      </c>
      <c r="S522" s="218">
        <v>0.60026389469537966</v>
      </c>
      <c r="T522" t="s">
        <v>550</v>
      </c>
      <c r="U522" t="s">
        <v>51</v>
      </c>
      <c r="V522" s="219" t="s">
        <v>6129</v>
      </c>
      <c r="W522" s="219" t="s">
        <v>67</v>
      </c>
    </row>
    <row r="523" spans="1:23" ht="15" customHeight="1" x14ac:dyDescent="0.25">
      <c r="A523" t="s">
        <v>1647</v>
      </c>
      <c r="B523" t="s">
        <v>546</v>
      </c>
      <c r="C523">
        <v>20000</v>
      </c>
      <c r="D523" t="s">
        <v>1648</v>
      </c>
      <c r="E523" t="s">
        <v>157</v>
      </c>
      <c r="F523" t="s">
        <v>554</v>
      </c>
      <c r="G523" s="30">
        <v>46143</v>
      </c>
      <c r="H523" t="s">
        <v>1649</v>
      </c>
      <c r="I523">
        <v>2365095.5</v>
      </c>
      <c r="J523" s="123">
        <v>0</v>
      </c>
      <c r="K523" s="123">
        <v>0</v>
      </c>
      <c r="L523" s="123">
        <v>0</v>
      </c>
      <c r="M523">
        <v>0</v>
      </c>
      <c r="N523">
        <v>0</v>
      </c>
      <c r="O523">
        <v>0</v>
      </c>
      <c r="P523" s="216">
        <v>20000</v>
      </c>
      <c r="Q523" s="217" t="s">
        <v>14</v>
      </c>
      <c r="R523" s="217" t="s">
        <v>554</v>
      </c>
      <c r="S523" s="218">
        <v>0.60104337633127713</v>
      </c>
      <c r="T523" t="s">
        <v>550</v>
      </c>
      <c r="U523" t="s">
        <v>51</v>
      </c>
      <c r="V523" s="219" t="s">
        <v>6130</v>
      </c>
      <c r="W523" s="219" t="s">
        <v>67</v>
      </c>
    </row>
    <row r="524" spans="1:23" ht="15" customHeight="1" x14ac:dyDescent="0.25">
      <c r="A524" t="s">
        <v>1650</v>
      </c>
      <c r="B524" t="s">
        <v>546</v>
      </c>
      <c r="C524">
        <v>20000</v>
      </c>
      <c r="D524" t="s">
        <v>1648</v>
      </c>
      <c r="E524" t="s">
        <v>157</v>
      </c>
      <c r="F524" t="s">
        <v>554</v>
      </c>
      <c r="G524" s="30">
        <v>46143</v>
      </c>
      <c r="H524" t="s">
        <v>1649</v>
      </c>
      <c r="I524">
        <v>2365095.5</v>
      </c>
      <c r="J524" s="123">
        <v>0</v>
      </c>
      <c r="K524" s="123">
        <v>0</v>
      </c>
      <c r="L524" s="123">
        <v>0</v>
      </c>
      <c r="M524">
        <v>0</v>
      </c>
      <c r="N524">
        <v>0</v>
      </c>
      <c r="O524">
        <v>0</v>
      </c>
      <c r="P524" s="216">
        <v>20000</v>
      </c>
      <c r="Q524" s="217" t="s">
        <v>14</v>
      </c>
      <c r="R524" s="217" t="s">
        <v>554</v>
      </c>
      <c r="S524" s="218">
        <v>0.60104337633127713</v>
      </c>
      <c r="T524" t="s">
        <v>550</v>
      </c>
      <c r="U524" t="s">
        <v>51</v>
      </c>
      <c r="V524" s="219" t="s">
        <v>6131</v>
      </c>
      <c r="W524" s="219" t="s">
        <v>67</v>
      </c>
    </row>
    <row r="525" spans="1:23" ht="15" customHeight="1" x14ac:dyDescent="0.25">
      <c r="A525" t="s">
        <v>1651</v>
      </c>
      <c r="B525" t="s">
        <v>546</v>
      </c>
      <c r="C525">
        <v>6000</v>
      </c>
      <c r="D525" t="s">
        <v>1648</v>
      </c>
      <c r="E525" t="s">
        <v>157</v>
      </c>
      <c r="F525" t="s">
        <v>554</v>
      </c>
      <c r="G525" s="30">
        <v>46146</v>
      </c>
      <c r="H525" t="s">
        <v>1649</v>
      </c>
      <c r="I525">
        <v>2365095.5</v>
      </c>
      <c r="J525" s="123">
        <v>0</v>
      </c>
      <c r="K525" s="123">
        <v>0</v>
      </c>
      <c r="L525" s="123">
        <v>0</v>
      </c>
      <c r="M525">
        <v>0</v>
      </c>
      <c r="N525">
        <v>0</v>
      </c>
      <c r="O525">
        <v>0</v>
      </c>
      <c r="P525" s="216">
        <v>6000</v>
      </c>
      <c r="Q525" s="217" t="s">
        <v>14</v>
      </c>
      <c r="R525" s="217" t="s">
        <v>554</v>
      </c>
      <c r="S525" s="218">
        <v>0.60104337633127713</v>
      </c>
      <c r="T525" t="s">
        <v>550</v>
      </c>
      <c r="U525" t="s">
        <v>51</v>
      </c>
      <c r="V525" s="219" t="s">
        <v>6132</v>
      </c>
      <c r="W525" s="219" t="s">
        <v>67</v>
      </c>
    </row>
    <row r="526" spans="1:23" ht="15" customHeight="1" x14ac:dyDescent="0.25">
      <c r="A526" t="s">
        <v>1652</v>
      </c>
      <c r="B526" t="s">
        <v>546</v>
      </c>
      <c r="C526">
        <v>14000</v>
      </c>
      <c r="D526" t="s">
        <v>1648</v>
      </c>
      <c r="E526" t="s">
        <v>157</v>
      </c>
      <c r="F526" t="s">
        <v>554</v>
      </c>
      <c r="G526" s="30">
        <v>46146</v>
      </c>
      <c r="H526" t="s">
        <v>1649</v>
      </c>
      <c r="I526">
        <v>2365095.5</v>
      </c>
      <c r="J526" s="123">
        <v>0</v>
      </c>
      <c r="K526" s="123">
        <v>0</v>
      </c>
      <c r="L526" s="123">
        <v>0</v>
      </c>
      <c r="M526">
        <v>0</v>
      </c>
      <c r="N526">
        <v>0</v>
      </c>
      <c r="O526">
        <v>0</v>
      </c>
      <c r="P526" s="216">
        <v>14000</v>
      </c>
      <c r="Q526" s="217" t="s">
        <v>14</v>
      </c>
      <c r="R526" s="217" t="s">
        <v>554</v>
      </c>
      <c r="S526" s="218">
        <v>0.60104337633127713</v>
      </c>
      <c r="T526" t="s">
        <v>550</v>
      </c>
      <c r="U526" t="s">
        <v>51</v>
      </c>
      <c r="V526" s="219" t="s">
        <v>6133</v>
      </c>
      <c r="W526" s="219" t="s">
        <v>67</v>
      </c>
    </row>
    <row r="527" spans="1:23" ht="15" customHeight="1" x14ac:dyDescent="0.25">
      <c r="A527" t="s">
        <v>1653</v>
      </c>
      <c r="B527" t="s">
        <v>546</v>
      </c>
      <c r="C527">
        <v>13000</v>
      </c>
      <c r="D527" t="s">
        <v>1648</v>
      </c>
      <c r="E527" t="s">
        <v>157</v>
      </c>
      <c r="F527" t="s">
        <v>554</v>
      </c>
      <c r="G527" s="30">
        <v>46146</v>
      </c>
      <c r="H527" t="s">
        <v>1649</v>
      </c>
      <c r="I527">
        <v>2365095.5</v>
      </c>
      <c r="J527" s="123">
        <v>0</v>
      </c>
      <c r="K527" s="123">
        <v>0</v>
      </c>
      <c r="L527" s="123">
        <v>0</v>
      </c>
      <c r="M527">
        <v>0</v>
      </c>
      <c r="N527">
        <v>0</v>
      </c>
      <c r="O527">
        <v>0</v>
      </c>
      <c r="P527" s="216">
        <v>13000</v>
      </c>
      <c r="Q527" s="217" t="s">
        <v>14</v>
      </c>
      <c r="R527" s="217" t="s">
        <v>554</v>
      </c>
      <c r="S527" s="218">
        <v>0.60104337633127713</v>
      </c>
      <c r="T527" t="s">
        <v>550</v>
      </c>
      <c r="U527" t="s">
        <v>51</v>
      </c>
      <c r="V527" s="219" t="s">
        <v>6134</v>
      </c>
      <c r="W527" s="219" t="s">
        <v>67</v>
      </c>
    </row>
    <row r="528" spans="1:23" ht="15" customHeight="1" x14ac:dyDescent="0.25">
      <c r="A528" t="s">
        <v>1654</v>
      </c>
      <c r="B528" t="s">
        <v>546</v>
      </c>
      <c r="C528">
        <v>27000</v>
      </c>
      <c r="D528" t="s">
        <v>1648</v>
      </c>
      <c r="E528" t="s">
        <v>157</v>
      </c>
      <c r="F528" t="s">
        <v>554</v>
      </c>
      <c r="G528" s="30">
        <v>46146</v>
      </c>
      <c r="H528" t="s">
        <v>1649</v>
      </c>
      <c r="I528">
        <v>2365095.5</v>
      </c>
      <c r="J528" s="123">
        <v>0</v>
      </c>
      <c r="K528" s="123">
        <v>0</v>
      </c>
      <c r="L528" s="123">
        <v>0</v>
      </c>
      <c r="M528">
        <v>0</v>
      </c>
      <c r="N528">
        <v>0</v>
      </c>
      <c r="O528">
        <v>0</v>
      </c>
      <c r="P528" s="216">
        <v>27000</v>
      </c>
      <c r="Q528" s="217" t="s">
        <v>14</v>
      </c>
      <c r="R528" s="217" t="s">
        <v>554</v>
      </c>
      <c r="S528" s="218">
        <v>0.60104337633127713</v>
      </c>
      <c r="T528" t="s">
        <v>550</v>
      </c>
      <c r="U528" t="s">
        <v>51</v>
      </c>
      <c r="V528" s="219" t="s">
        <v>6135</v>
      </c>
      <c r="W528" s="219" t="s">
        <v>67</v>
      </c>
    </row>
    <row r="529" spans="1:23" ht="15" customHeight="1" x14ac:dyDescent="0.25">
      <c r="A529" t="s">
        <v>1655</v>
      </c>
      <c r="B529" t="s">
        <v>546</v>
      </c>
      <c r="C529">
        <v>20000</v>
      </c>
      <c r="D529" t="s">
        <v>1648</v>
      </c>
      <c r="E529" t="s">
        <v>157</v>
      </c>
      <c r="F529" t="s">
        <v>554</v>
      </c>
      <c r="G529" s="30">
        <v>46147</v>
      </c>
      <c r="H529" t="s">
        <v>1649</v>
      </c>
      <c r="I529">
        <v>2365095.5</v>
      </c>
      <c r="J529" s="123">
        <v>0</v>
      </c>
      <c r="K529" s="123">
        <v>0</v>
      </c>
      <c r="L529" s="123">
        <v>0</v>
      </c>
      <c r="M529">
        <v>0</v>
      </c>
      <c r="N529">
        <v>0</v>
      </c>
      <c r="O529">
        <v>0</v>
      </c>
      <c r="P529" s="216">
        <v>20000</v>
      </c>
      <c r="Q529" s="217" t="s">
        <v>14</v>
      </c>
      <c r="R529" s="217" t="s">
        <v>554</v>
      </c>
      <c r="S529" s="218">
        <v>0.60104337633127713</v>
      </c>
      <c r="T529" t="s">
        <v>550</v>
      </c>
      <c r="U529" t="s">
        <v>51</v>
      </c>
      <c r="V529" s="219" t="s">
        <v>6136</v>
      </c>
      <c r="W529" s="219" t="s">
        <v>67</v>
      </c>
    </row>
    <row r="530" spans="1:23" ht="15" customHeight="1" x14ac:dyDescent="0.25">
      <c r="A530" t="s">
        <v>1656</v>
      </c>
      <c r="B530" t="s">
        <v>546</v>
      </c>
      <c r="C530">
        <v>20000</v>
      </c>
      <c r="D530" t="s">
        <v>1648</v>
      </c>
      <c r="E530" t="s">
        <v>157</v>
      </c>
      <c r="F530" t="s">
        <v>554</v>
      </c>
      <c r="G530" s="30">
        <v>46147</v>
      </c>
      <c r="H530" t="s">
        <v>1649</v>
      </c>
      <c r="I530">
        <v>2365095.5</v>
      </c>
      <c r="J530" s="123">
        <v>0</v>
      </c>
      <c r="K530" s="123">
        <v>0</v>
      </c>
      <c r="L530" s="123">
        <v>0</v>
      </c>
      <c r="M530">
        <v>0</v>
      </c>
      <c r="N530">
        <v>0</v>
      </c>
      <c r="O530">
        <v>0</v>
      </c>
      <c r="P530" s="216">
        <v>20000</v>
      </c>
      <c r="Q530" s="217" t="s">
        <v>14</v>
      </c>
      <c r="R530" s="217" t="s">
        <v>554</v>
      </c>
      <c r="S530" s="218">
        <v>0.60104337633127713</v>
      </c>
      <c r="T530" t="s">
        <v>550</v>
      </c>
      <c r="U530" t="s">
        <v>51</v>
      </c>
      <c r="V530" s="219" t="s">
        <v>6137</v>
      </c>
      <c r="W530" s="219" t="s">
        <v>67</v>
      </c>
    </row>
    <row r="531" spans="1:23" ht="15" customHeight="1" x14ac:dyDescent="0.25">
      <c r="A531" t="s">
        <v>1657</v>
      </c>
      <c r="B531" t="s">
        <v>546</v>
      </c>
      <c r="C531">
        <v>20000</v>
      </c>
      <c r="D531" t="s">
        <v>1648</v>
      </c>
      <c r="E531" t="s">
        <v>157</v>
      </c>
      <c r="F531" t="s">
        <v>554</v>
      </c>
      <c r="G531" s="30">
        <v>46147</v>
      </c>
      <c r="H531" t="s">
        <v>1649</v>
      </c>
      <c r="I531">
        <v>2365095.5</v>
      </c>
      <c r="J531" s="123">
        <v>0</v>
      </c>
      <c r="K531" s="123">
        <v>0</v>
      </c>
      <c r="L531" s="123">
        <v>0</v>
      </c>
      <c r="M531">
        <v>0</v>
      </c>
      <c r="N531">
        <v>0</v>
      </c>
      <c r="O531">
        <v>0</v>
      </c>
      <c r="P531" s="216">
        <v>20000</v>
      </c>
      <c r="Q531" s="217" t="s">
        <v>14</v>
      </c>
      <c r="R531" s="217" t="s">
        <v>554</v>
      </c>
      <c r="S531" s="218">
        <v>0.60104337633127713</v>
      </c>
      <c r="T531" t="s">
        <v>550</v>
      </c>
      <c r="U531" t="s">
        <v>51</v>
      </c>
      <c r="V531" s="219" t="s">
        <v>6138</v>
      </c>
      <c r="W531" s="219" t="s">
        <v>67</v>
      </c>
    </row>
    <row r="532" spans="1:23" ht="15" customHeight="1" x14ac:dyDescent="0.25">
      <c r="A532" t="s">
        <v>1658</v>
      </c>
      <c r="B532" t="s">
        <v>546</v>
      </c>
      <c r="C532">
        <v>20000</v>
      </c>
      <c r="D532" t="s">
        <v>1648</v>
      </c>
      <c r="E532" t="s">
        <v>157</v>
      </c>
      <c r="F532" t="s">
        <v>554</v>
      </c>
      <c r="G532" s="30">
        <v>46149</v>
      </c>
      <c r="H532" t="s">
        <v>1649</v>
      </c>
      <c r="I532">
        <v>2365095.5</v>
      </c>
      <c r="J532" s="123">
        <v>0</v>
      </c>
      <c r="K532" s="123">
        <v>0</v>
      </c>
      <c r="L532" s="123">
        <v>0</v>
      </c>
      <c r="M532">
        <v>0</v>
      </c>
      <c r="N532">
        <v>0</v>
      </c>
      <c r="O532">
        <v>0</v>
      </c>
      <c r="P532" s="216">
        <v>20000</v>
      </c>
      <c r="Q532" s="217" t="s">
        <v>14</v>
      </c>
      <c r="R532" s="217" t="s">
        <v>554</v>
      </c>
      <c r="S532" s="218">
        <v>0.60104337633127713</v>
      </c>
      <c r="T532" t="s">
        <v>550</v>
      </c>
      <c r="U532" t="s">
        <v>51</v>
      </c>
      <c r="V532" s="219" t="s">
        <v>6139</v>
      </c>
      <c r="W532" s="219" t="s">
        <v>67</v>
      </c>
    </row>
    <row r="533" spans="1:23" ht="15" customHeight="1" x14ac:dyDescent="0.25">
      <c r="A533" t="s">
        <v>1659</v>
      </c>
      <c r="B533" t="s">
        <v>546</v>
      </c>
      <c r="C533">
        <v>20000</v>
      </c>
      <c r="D533" t="s">
        <v>1648</v>
      </c>
      <c r="E533" t="s">
        <v>157</v>
      </c>
      <c r="F533" t="s">
        <v>554</v>
      </c>
      <c r="G533" s="30">
        <v>46149</v>
      </c>
      <c r="H533" t="s">
        <v>1649</v>
      </c>
      <c r="I533">
        <v>2365095.5</v>
      </c>
      <c r="J533" s="123">
        <v>0</v>
      </c>
      <c r="K533" s="123">
        <v>0</v>
      </c>
      <c r="L533" s="123">
        <v>0</v>
      </c>
      <c r="M533">
        <v>0</v>
      </c>
      <c r="N533">
        <v>0</v>
      </c>
      <c r="O533">
        <v>0</v>
      </c>
      <c r="P533" s="216">
        <v>20000</v>
      </c>
      <c r="Q533" s="217" t="s">
        <v>14</v>
      </c>
      <c r="R533" s="217" t="s">
        <v>554</v>
      </c>
      <c r="S533" s="218">
        <v>0.60104337633127713</v>
      </c>
      <c r="T533" t="s">
        <v>550</v>
      </c>
      <c r="U533" t="s">
        <v>51</v>
      </c>
      <c r="V533" s="219" t="s">
        <v>6140</v>
      </c>
      <c r="W533" s="219" t="s">
        <v>67</v>
      </c>
    </row>
    <row r="534" spans="1:23" ht="15" customHeight="1" x14ac:dyDescent="0.25">
      <c r="A534" t="s">
        <v>1660</v>
      </c>
      <c r="B534" t="s">
        <v>595</v>
      </c>
      <c r="C534">
        <v>200000</v>
      </c>
      <c r="D534" t="s">
        <v>1661</v>
      </c>
      <c r="E534" t="s">
        <v>553</v>
      </c>
      <c r="F534" t="s">
        <v>585</v>
      </c>
      <c r="G534" s="30">
        <v>46143</v>
      </c>
      <c r="H534" t="s">
        <v>1662</v>
      </c>
      <c r="I534">
        <v>2369868.5</v>
      </c>
      <c r="J534" s="123">
        <v>46143</v>
      </c>
      <c r="K534" s="123">
        <v>0</v>
      </c>
      <c r="L534" s="123">
        <v>46143</v>
      </c>
      <c r="M534">
        <v>0</v>
      </c>
      <c r="N534">
        <v>0</v>
      </c>
      <c r="O534" t="s">
        <v>556</v>
      </c>
      <c r="P534" s="216">
        <v>200000</v>
      </c>
      <c r="Q534" s="217" t="s">
        <v>40</v>
      </c>
      <c r="R534" s="217" t="s">
        <v>61</v>
      </c>
      <c r="S534" s="218">
        <v>0.76455767141111763</v>
      </c>
      <c r="T534" t="s">
        <v>550</v>
      </c>
      <c r="U534" t="s">
        <v>51</v>
      </c>
      <c r="V534" s="219">
        <v>0</v>
      </c>
      <c r="W534" s="219">
        <v>0</v>
      </c>
    </row>
    <row r="535" spans="1:23" ht="15" customHeight="1" x14ac:dyDescent="0.25">
      <c r="A535" t="s">
        <v>1663</v>
      </c>
      <c r="B535" t="s">
        <v>595</v>
      </c>
      <c r="C535">
        <v>200000</v>
      </c>
      <c r="D535" t="s">
        <v>1661</v>
      </c>
      <c r="E535" t="s">
        <v>283</v>
      </c>
      <c r="F535" t="s">
        <v>554</v>
      </c>
      <c r="G535" s="30">
        <v>46146</v>
      </c>
      <c r="H535" t="s">
        <v>1662</v>
      </c>
      <c r="I535">
        <v>2369868.5</v>
      </c>
      <c r="J535" s="123">
        <v>0</v>
      </c>
      <c r="K535" s="123">
        <v>0</v>
      </c>
      <c r="L535" s="123">
        <v>46142</v>
      </c>
      <c r="M535">
        <v>0</v>
      </c>
      <c r="N535">
        <v>0</v>
      </c>
      <c r="O535">
        <v>0</v>
      </c>
      <c r="P535" s="216">
        <v>200000</v>
      </c>
      <c r="Q535" s="217" t="s">
        <v>40</v>
      </c>
      <c r="R535" s="217" t="s">
        <v>554</v>
      </c>
      <c r="S535" s="218">
        <v>0.76455767141111763</v>
      </c>
      <c r="T535" t="s">
        <v>550</v>
      </c>
      <c r="U535" t="s">
        <v>51</v>
      </c>
      <c r="V535" s="219" t="s">
        <v>6141</v>
      </c>
      <c r="W535" s="219" t="s">
        <v>67</v>
      </c>
    </row>
    <row r="536" spans="1:23" ht="15" customHeight="1" x14ac:dyDescent="0.25">
      <c r="A536" t="s">
        <v>1664</v>
      </c>
      <c r="B536" t="s">
        <v>546</v>
      </c>
      <c r="C536">
        <v>7524</v>
      </c>
      <c r="D536" t="s">
        <v>1665</v>
      </c>
      <c r="E536" t="s">
        <v>157</v>
      </c>
      <c r="F536" t="s">
        <v>548</v>
      </c>
      <c r="G536" s="30">
        <v>46144</v>
      </c>
      <c r="H536" t="s">
        <v>1666</v>
      </c>
      <c r="I536">
        <v>2681034.5</v>
      </c>
      <c r="J536" s="123">
        <v>0</v>
      </c>
      <c r="K536" s="123">
        <v>0</v>
      </c>
      <c r="L536" s="123">
        <v>0</v>
      </c>
      <c r="M536">
        <v>0</v>
      </c>
      <c r="N536">
        <v>0</v>
      </c>
      <c r="O536">
        <v>0</v>
      </c>
      <c r="P536" s="216">
        <v>7524</v>
      </c>
      <c r="Q536" s="217" t="s">
        <v>14</v>
      </c>
      <c r="R536" s="217" t="s">
        <v>62</v>
      </c>
      <c r="S536" s="218">
        <v>0.60558273630185921</v>
      </c>
      <c r="T536" t="s">
        <v>550</v>
      </c>
      <c r="U536" t="s">
        <v>51</v>
      </c>
      <c r="V536" s="219">
        <v>0</v>
      </c>
      <c r="W536" s="219">
        <v>0</v>
      </c>
    </row>
    <row r="537" spans="1:23" ht="15" customHeight="1" x14ac:dyDescent="0.25">
      <c r="A537" t="s">
        <v>1667</v>
      </c>
      <c r="B537" t="s">
        <v>546</v>
      </c>
      <c r="C537">
        <v>4983</v>
      </c>
      <c r="D537" t="s">
        <v>1668</v>
      </c>
      <c r="E537" t="s">
        <v>157</v>
      </c>
      <c r="F537" t="s">
        <v>554</v>
      </c>
      <c r="G537" s="30">
        <v>46148</v>
      </c>
      <c r="H537" t="s">
        <v>1669</v>
      </c>
      <c r="I537">
        <v>1651880.5</v>
      </c>
      <c r="J537" s="123">
        <v>0</v>
      </c>
      <c r="K537" s="123">
        <v>0</v>
      </c>
      <c r="L537" s="123">
        <v>0</v>
      </c>
      <c r="M537">
        <v>0</v>
      </c>
      <c r="N537">
        <v>0</v>
      </c>
      <c r="O537">
        <v>0</v>
      </c>
      <c r="P537" s="216">
        <v>4983</v>
      </c>
      <c r="Q537" s="217" t="s">
        <v>14</v>
      </c>
      <c r="R537" s="217" t="s">
        <v>554</v>
      </c>
      <c r="S537" s="218">
        <v>0.59999827387577132</v>
      </c>
      <c r="T537" t="s">
        <v>550</v>
      </c>
      <c r="U537" t="s">
        <v>51</v>
      </c>
      <c r="V537" s="219" t="s">
        <v>6142</v>
      </c>
      <c r="W537" s="219" t="s">
        <v>67</v>
      </c>
    </row>
    <row r="538" spans="1:23" ht="15" customHeight="1" x14ac:dyDescent="0.25">
      <c r="A538" t="s">
        <v>1670</v>
      </c>
      <c r="B538" t="s">
        <v>595</v>
      </c>
      <c r="C538">
        <v>236789</v>
      </c>
      <c r="D538" t="s">
        <v>1671</v>
      </c>
      <c r="E538" t="s">
        <v>157</v>
      </c>
      <c r="F538" t="s">
        <v>580</v>
      </c>
      <c r="G538" s="30">
        <v>46149</v>
      </c>
      <c r="H538" t="s">
        <v>1672</v>
      </c>
      <c r="I538">
        <v>2369665</v>
      </c>
      <c r="J538" s="123">
        <v>0</v>
      </c>
      <c r="K538" s="123">
        <v>0</v>
      </c>
      <c r="L538" s="123">
        <v>46049</v>
      </c>
      <c r="M538">
        <v>0</v>
      </c>
      <c r="N538">
        <v>0</v>
      </c>
      <c r="O538">
        <v>0</v>
      </c>
      <c r="P538" s="216">
        <v>236789</v>
      </c>
      <c r="Q538" s="217" t="s">
        <v>14</v>
      </c>
      <c r="R538" s="217" t="s">
        <v>582</v>
      </c>
      <c r="S538" s="218">
        <v>0.49698853704713353</v>
      </c>
      <c r="T538" t="s">
        <v>550</v>
      </c>
      <c r="U538" t="s">
        <v>51</v>
      </c>
      <c r="V538" s="219">
        <v>0</v>
      </c>
      <c r="W538" s="219">
        <v>0</v>
      </c>
    </row>
    <row r="539" spans="1:23" ht="15" customHeight="1" x14ac:dyDescent="0.25">
      <c r="A539" t="s">
        <v>1673</v>
      </c>
      <c r="B539" t="s">
        <v>546</v>
      </c>
      <c r="C539">
        <v>236346</v>
      </c>
      <c r="D539" t="s">
        <v>1674</v>
      </c>
      <c r="E539" t="s">
        <v>283</v>
      </c>
      <c r="F539" t="s">
        <v>554</v>
      </c>
      <c r="G539" s="30">
        <v>46146</v>
      </c>
      <c r="H539" t="s">
        <v>1675</v>
      </c>
      <c r="I539">
        <v>2375640.5</v>
      </c>
      <c r="J539" s="123">
        <v>0</v>
      </c>
      <c r="K539" s="123">
        <v>0</v>
      </c>
      <c r="L539" s="123">
        <v>0</v>
      </c>
      <c r="M539">
        <v>0</v>
      </c>
      <c r="N539">
        <v>0</v>
      </c>
      <c r="O539">
        <v>0</v>
      </c>
      <c r="P539" s="216">
        <v>236346</v>
      </c>
      <c r="Q539" s="217" t="s">
        <v>40</v>
      </c>
      <c r="R539" s="217" t="s">
        <v>554</v>
      </c>
      <c r="S539" s="218">
        <v>0.70000002945335205</v>
      </c>
      <c r="T539" t="s">
        <v>550</v>
      </c>
      <c r="U539" t="s">
        <v>51</v>
      </c>
      <c r="V539" s="219" t="s">
        <v>6143</v>
      </c>
      <c r="W539" s="219" t="s">
        <v>67</v>
      </c>
    </row>
    <row r="540" spans="1:23" ht="15" customHeight="1" x14ac:dyDescent="0.25">
      <c r="A540" t="s">
        <v>1676</v>
      </c>
      <c r="B540" t="s">
        <v>546</v>
      </c>
      <c r="C540">
        <v>330</v>
      </c>
      <c r="D540" t="s">
        <v>1674</v>
      </c>
      <c r="E540" t="s">
        <v>1560</v>
      </c>
      <c r="F540" t="s">
        <v>554</v>
      </c>
      <c r="G540" s="30">
        <v>46146</v>
      </c>
      <c r="H540" t="s">
        <v>1675</v>
      </c>
      <c r="I540">
        <v>2375640.5</v>
      </c>
      <c r="J540" s="123">
        <v>0</v>
      </c>
      <c r="K540" s="123">
        <v>0</v>
      </c>
      <c r="L540" s="123">
        <v>0</v>
      </c>
      <c r="M540">
        <v>330</v>
      </c>
      <c r="N540">
        <v>0</v>
      </c>
      <c r="O540">
        <v>0</v>
      </c>
      <c r="P540" s="216">
        <v>0</v>
      </c>
      <c r="Q540" s="217" t="s">
        <v>40</v>
      </c>
      <c r="R540" s="217" t="s">
        <v>554</v>
      </c>
      <c r="S540" s="218">
        <v>0.70000002945335205</v>
      </c>
      <c r="T540" t="s">
        <v>550</v>
      </c>
      <c r="U540" t="s">
        <v>51</v>
      </c>
      <c r="V540" s="219" t="s">
        <v>6144</v>
      </c>
      <c r="W540" s="219" t="s">
        <v>67</v>
      </c>
    </row>
    <row r="541" spans="1:23" ht="15" customHeight="1" x14ac:dyDescent="0.25">
      <c r="A541" t="s">
        <v>1677</v>
      </c>
      <c r="B541" t="s">
        <v>546</v>
      </c>
      <c r="C541">
        <v>5000</v>
      </c>
      <c r="D541" t="s">
        <v>1674</v>
      </c>
      <c r="E541" t="s">
        <v>1560</v>
      </c>
      <c r="F541" t="s">
        <v>554</v>
      </c>
      <c r="G541" s="30">
        <v>46146</v>
      </c>
      <c r="H541" t="s">
        <v>1675</v>
      </c>
      <c r="I541">
        <v>2375640.5</v>
      </c>
      <c r="J541" s="123">
        <v>0</v>
      </c>
      <c r="K541" s="123">
        <v>0</v>
      </c>
      <c r="L541" s="123">
        <v>0</v>
      </c>
      <c r="M541">
        <v>5000</v>
      </c>
      <c r="N541">
        <v>0</v>
      </c>
      <c r="O541">
        <v>0</v>
      </c>
      <c r="P541" s="216">
        <v>0</v>
      </c>
      <c r="Q541" s="217" t="s">
        <v>40</v>
      </c>
      <c r="R541" s="217" t="s">
        <v>554</v>
      </c>
      <c r="S541" s="218">
        <v>0.70000002945335205</v>
      </c>
      <c r="T541" t="s">
        <v>550</v>
      </c>
      <c r="U541" t="s">
        <v>51</v>
      </c>
      <c r="V541" s="219" t="s">
        <v>6145</v>
      </c>
      <c r="W541" s="219" t="s">
        <v>67</v>
      </c>
    </row>
    <row r="542" spans="1:23" ht="15" customHeight="1" x14ac:dyDescent="0.25">
      <c r="A542" t="s">
        <v>1678</v>
      </c>
      <c r="B542" t="s">
        <v>546</v>
      </c>
      <c r="C542">
        <v>83000</v>
      </c>
      <c r="D542" t="s">
        <v>1679</v>
      </c>
      <c r="E542" t="s">
        <v>553</v>
      </c>
      <c r="F542" t="s">
        <v>554</v>
      </c>
      <c r="G542" s="30">
        <v>46145</v>
      </c>
      <c r="H542" t="s">
        <v>1680</v>
      </c>
      <c r="I542">
        <v>2365299</v>
      </c>
      <c r="J542" s="123">
        <v>46145</v>
      </c>
      <c r="K542" s="123">
        <v>0</v>
      </c>
      <c r="L542" s="123">
        <v>46145</v>
      </c>
      <c r="M542">
        <v>0</v>
      </c>
      <c r="N542">
        <v>0</v>
      </c>
      <c r="O542" t="s">
        <v>556</v>
      </c>
      <c r="P542" s="216">
        <v>83000</v>
      </c>
      <c r="Q542" s="217" t="s">
        <v>14</v>
      </c>
      <c r="R542" s="217" t="s">
        <v>554</v>
      </c>
      <c r="S542" s="218">
        <v>0.57531816725842366</v>
      </c>
      <c r="T542" t="s">
        <v>550</v>
      </c>
      <c r="U542" t="s">
        <v>51</v>
      </c>
      <c r="V542" s="219" t="s">
        <v>6146</v>
      </c>
      <c r="W542" s="219" t="s">
        <v>67</v>
      </c>
    </row>
    <row r="543" spans="1:23" ht="15" customHeight="1" x14ac:dyDescent="0.25">
      <c r="A543" t="s">
        <v>1681</v>
      </c>
      <c r="B543" t="s">
        <v>575</v>
      </c>
      <c r="C543">
        <v>170413</v>
      </c>
      <c r="D543" t="s">
        <v>1682</v>
      </c>
      <c r="E543" t="s">
        <v>157</v>
      </c>
      <c r="F543" t="s">
        <v>554</v>
      </c>
      <c r="G543" s="30">
        <v>46146</v>
      </c>
      <c r="H543" t="s">
        <v>1683</v>
      </c>
      <c r="I543">
        <v>1674509</v>
      </c>
      <c r="J543" s="123">
        <v>0</v>
      </c>
      <c r="K543" s="123">
        <v>0</v>
      </c>
      <c r="L543" s="123">
        <v>46138</v>
      </c>
      <c r="M543">
        <v>0</v>
      </c>
      <c r="N543">
        <v>0</v>
      </c>
      <c r="O543">
        <v>0</v>
      </c>
      <c r="P543" s="216">
        <v>170413</v>
      </c>
      <c r="Q543" s="217" t="s">
        <v>14</v>
      </c>
      <c r="R543" s="217" t="s">
        <v>554</v>
      </c>
      <c r="S543" s="218">
        <v>0.59999953128550587</v>
      </c>
      <c r="T543" t="s">
        <v>550</v>
      </c>
      <c r="U543" t="s">
        <v>51</v>
      </c>
      <c r="V543" s="219" t="s">
        <v>6147</v>
      </c>
      <c r="W543" s="219" t="s">
        <v>67</v>
      </c>
    </row>
    <row r="544" spans="1:23" ht="15" customHeight="1" x14ac:dyDescent="0.25">
      <c r="A544" t="s">
        <v>1684</v>
      </c>
      <c r="B544" t="s">
        <v>546</v>
      </c>
      <c r="C544">
        <v>1514</v>
      </c>
      <c r="D544" t="s">
        <v>1682</v>
      </c>
      <c r="E544" t="s">
        <v>283</v>
      </c>
      <c r="F544" t="s">
        <v>554</v>
      </c>
      <c r="G544" s="30">
        <v>46148</v>
      </c>
      <c r="H544" t="s">
        <v>1683</v>
      </c>
      <c r="I544">
        <v>1674509</v>
      </c>
      <c r="J544" s="123">
        <v>0</v>
      </c>
      <c r="K544" s="123">
        <v>0</v>
      </c>
      <c r="L544" s="123">
        <v>0</v>
      </c>
      <c r="M544">
        <v>1514</v>
      </c>
      <c r="N544">
        <v>0</v>
      </c>
      <c r="O544">
        <v>0</v>
      </c>
      <c r="P544" s="216">
        <v>0</v>
      </c>
      <c r="Q544" s="217" t="s">
        <v>40</v>
      </c>
      <c r="R544" s="217" t="s">
        <v>554</v>
      </c>
      <c r="S544" s="218">
        <v>0.59999953128550587</v>
      </c>
      <c r="T544" t="s">
        <v>550</v>
      </c>
      <c r="U544" t="s">
        <v>51</v>
      </c>
      <c r="V544" s="219" t="s">
        <v>6148</v>
      </c>
      <c r="W544" s="219" t="s">
        <v>67</v>
      </c>
    </row>
    <row r="545" spans="1:23" ht="15" customHeight="1" x14ac:dyDescent="0.25">
      <c r="A545" t="s">
        <v>1685</v>
      </c>
      <c r="B545" t="s">
        <v>64</v>
      </c>
      <c r="C545">
        <v>897155</v>
      </c>
      <c r="D545" t="s">
        <v>1686</v>
      </c>
      <c r="E545" t="s">
        <v>283</v>
      </c>
      <c r="F545" t="s">
        <v>554</v>
      </c>
      <c r="G545" s="30">
        <v>46149</v>
      </c>
      <c r="H545" t="s">
        <v>1687</v>
      </c>
      <c r="I545">
        <v>2369665</v>
      </c>
      <c r="J545" s="123">
        <v>0</v>
      </c>
      <c r="K545" s="123">
        <v>46146</v>
      </c>
      <c r="L545" s="123">
        <v>0</v>
      </c>
      <c r="M545">
        <v>0</v>
      </c>
      <c r="N545">
        <v>0</v>
      </c>
      <c r="O545" t="s">
        <v>556</v>
      </c>
      <c r="P545" s="216">
        <v>897155</v>
      </c>
      <c r="Q545" s="217" t="s">
        <v>40</v>
      </c>
      <c r="R545" s="217" t="s">
        <v>554</v>
      </c>
      <c r="S545" s="218">
        <v>0.60000032096099098</v>
      </c>
      <c r="T545" t="s">
        <v>550</v>
      </c>
      <c r="U545" t="s">
        <v>51</v>
      </c>
      <c r="V545" s="219" t="s">
        <v>6149</v>
      </c>
      <c r="W545" s="219" t="s">
        <v>71</v>
      </c>
    </row>
    <row r="546" spans="1:23" ht="15" customHeight="1" x14ac:dyDescent="0.25">
      <c r="A546" t="s">
        <v>1688</v>
      </c>
      <c r="B546" t="s">
        <v>575</v>
      </c>
      <c r="C546">
        <v>175050</v>
      </c>
      <c r="D546" t="s">
        <v>1689</v>
      </c>
      <c r="E546" t="s">
        <v>157</v>
      </c>
      <c r="F546" t="s">
        <v>580</v>
      </c>
      <c r="G546" s="30">
        <v>46149</v>
      </c>
      <c r="H546" t="s">
        <v>1690</v>
      </c>
      <c r="I546">
        <v>2719148.5</v>
      </c>
      <c r="J546" s="123">
        <v>0</v>
      </c>
      <c r="K546" s="123">
        <v>0</v>
      </c>
      <c r="L546" s="123">
        <v>46146</v>
      </c>
      <c r="M546">
        <v>0</v>
      </c>
      <c r="N546">
        <v>0</v>
      </c>
      <c r="O546">
        <v>0</v>
      </c>
      <c r="P546" s="216">
        <v>175050</v>
      </c>
      <c r="Q546" s="217" t="s">
        <v>14</v>
      </c>
      <c r="R546" s="217" t="s">
        <v>582</v>
      </c>
      <c r="S546" s="218">
        <v>0.50000011754634499</v>
      </c>
      <c r="T546" t="s">
        <v>550</v>
      </c>
      <c r="U546" t="s">
        <v>51</v>
      </c>
      <c r="V546" s="219">
        <v>0</v>
      </c>
      <c r="W546" s="219">
        <v>0</v>
      </c>
    </row>
    <row r="547" spans="1:23" ht="15" customHeight="1" x14ac:dyDescent="0.25">
      <c r="A547" t="s">
        <v>1691</v>
      </c>
      <c r="B547" t="s">
        <v>575</v>
      </c>
      <c r="C547">
        <v>99700</v>
      </c>
      <c r="D547" t="s">
        <v>1689</v>
      </c>
      <c r="E547" t="s">
        <v>157</v>
      </c>
      <c r="F547" t="s">
        <v>580</v>
      </c>
      <c r="G547" s="30">
        <v>46149</v>
      </c>
      <c r="H547" t="s">
        <v>1690</v>
      </c>
      <c r="I547">
        <v>2719148.5</v>
      </c>
      <c r="J547" s="123">
        <v>0</v>
      </c>
      <c r="K547" s="123">
        <v>0</v>
      </c>
      <c r="L547" s="123">
        <v>46148</v>
      </c>
      <c r="M547">
        <v>0</v>
      </c>
      <c r="N547">
        <v>0</v>
      </c>
      <c r="O547">
        <v>0</v>
      </c>
      <c r="P547" s="216">
        <v>99700</v>
      </c>
      <c r="Q547" s="217" t="s">
        <v>14</v>
      </c>
      <c r="R547" s="217" t="s">
        <v>582</v>
      </c>
      <c r="S547" s="218">
        <v>0.50000011754634499</v>
      </c>
      <c r="T547" t="s">
        <v>550</v>
      </c>
      <c r="U547" t="s">
        <v>51</v>
      </c>
      <c r="V547" s="219">
        <v>0</v>
      </c>
      <c r="W547" s="219">
        <v>0</v>
      </c>
    </row>
    <row r="548" spans="1:23" ht="15" customHeight="1" x14ac:dyDescent="0.25">
      <c r="A548" t="s">
        <v>1692</v>
      </c>
      <c r="B548" t="s">
        <v>64</v>
      </c>
      <c r="C548">
        <v>243731</v>
      </c>
      <c r="D548" t="s">
        <v>1693</v>
      </c>
      <c r="E548" t="s">
        <v>163</v>
      </c>
      <c r="F548" t="s">
        <v>554</v>
      </c>
      <c r="G548" s="30">
        <v>46148</v>
      </c>
      <c r="H548" t="s">
        <v>1694</v>
      </c>
      <c r="I548">
        <v>2435987.5</v>
      </c>
      <c r="J548" s="123">
        <v>0</v>
      </c>
      <c r="K548" s="123">
        <v>46152</v>
      </c>
      <c r="L548" s="123">
        <v>0</v>
      </c>
      <c r="M548">
        <v>0</v>
      </c>
      <c r="N548">
        <v>0</v>
      </c>
      <c r="O548" t="s">
        <v>556</v>
      </c>
      <c r="P548" s="216">
        <v>243731</v>
      </c>
      <c r="Q548" s="217" t="s">
        <v>15</v>
      </c>
      <c r="R548" s="217" t="s">
        <v>554</v>
      </c>
      <c r="S548" s="218">
        <v>0.50007603817610868</v>
      </c>
      <c r="T548" t="s">
        <v>550</v>
      </c>
      <c r="U548" t="s">
        <v>51</v>
      </c>
      <c r="V548" s="219" t="s">
        <v>6150</v>
      </c>
      <c r="W548" s="219" t="s">
        <v>68</v>
      </c>
    </row>
    <row r="549" spans="1:23" ht="15" customHeight="1" x14ac:dyDescent="0.25">
      <c r="A549" t="s">
        <v>1695</v>
      </c>
      <c r="B549" t="s">
        <v>64</v>
      </c>
      <c r="C549">
        <v>243101</v>
      </c>
      <c r="D549" t="s">
        <v>1696</v>
      </c>
      <c r="E549" t="s">
        <v>163</v>
      </c>
      <c r="F549" t="s">
        <v>554</v>
      </c>
      <c r="G549" s="30">
        <v>46148</v>
      </c>
      <c r="H549" t="s">
        <v>1697</v>
      </c>
      <c r="I549">
        <v>2435987.5</v>
      </c>
      <c r="J549" s="123">
        <v>0</v>
      </c>
      <c r="K549" s="123">
        <v>46152</v>
      </c>
      <c r="L549" s="123">
        <v>0</v>
      </c>
      <c r="M549">
        <v>0</v>
      </c>
      <c r="N549">
        <v>0</v>
      </c>
      <c r="O549" t="s">
        <v>556</v>
      </c>
      <c r="P549" s="216">
        <v>243101</v>
      </c>
      <c r="Q549" s="217" t="s">
        <v>15</v>
      </c>
      <c r="R549" s="217" t="s">
        <v>554</v>
      </c>
      <c r="S549" s="218">
        <v>0.5044689472816043</v>
      </c>
      <c r="T549" t="s">
        <v>550</v>
      </c>
      <c r="U549" t="s">
        <v>51</v>
      </c>
      <c r="V549" s="219" t="s">
        <v>6151</v>
      </c>
      <c r="W549" s="219" t="s">
        <v>68</v>
      </c>
    </row>
    <row r="550" spans="1:23" ht="15" customHeight="1" x14ac:dyDescent="0.25">
      <c r="A550" t="s">
        <v>1698</v>
      </c>
      <c r="B550" t="s">
        <v>546</v>
      </c>
      <c r="C550">
        <v>519804</v>
      </c>
      <c r="D550" t="s">
        <v>1699</v>
      </c>
      <c r="E550" t="s">
        <v>1700</v>
      </c>
      <c r="F550" t="s">
        <v>548</v>
      </c>
      <c r="G550" s="30">
        <v>46146</v>
      </c>
      <c r="H550" t="s">
        <v>1701</v>
      </c>
      <c r="I550">
        <v>1372612.5</v>
      </c>
      <c r="J550" s="123">
        <v>0</v>
      </c>
      <c r="K550" s="123">
        <v>0</v>
      </c>
      <c r="L550" s="123">
        <v>0</v>
      </c>
      <c r="M550">
        <v>0</v>
      </c>
      <c r="N550">
        <v>0</v>
      </c>
      <c r="O550">
        <v>0</v>
      </c>
      <c r="P550" s="216">
        <v>519804</v>
      </c>
      <c r="Q550" s="217" t="s">
        <v>47</v>
      </c>
      <c r="R550" s="217" t="s">
        <v>62</v>
      </c>
      <c r="S550" s="218">
        <v>0.97858767940786873</v>
      </c>
      <c r="T550" t="s">
        <v>550</v>
      </c>
      <c r="U550" t="s">
        <v>51</v>
      </c>
      <c r="V550" s="219">
        <v>0</v>
      </c>
      <c r="W550" s="219">
        <v>0</v>
      </c>
    </row>
    <row r="551" spans="1:23" ht="15" customHeight="1" x14ac:dyDescent="0.25">
      <c r="A551" t="s">
        <v>1702</v>
      </c>
      <c r="B551" t="s">
        <v>546</v>
      </c>
      <c r="C551">
        <v>1410</v>
      </c>
      <c r="D551" t="s">
        <v>1699</v>
      </c>
      <c r="E551" t="s">
        <v>1558</v>
      </c>
      <c r="F551" t="s">
        <v>554</v>
      </c>
      <c r="G551" s="30">
        <v>46146</v>
      </c>
      <c r="H551" t="s">
        <v>1701</v>
      </c>
      <c r="I551">
        <v>1372612.5</v>
      </c>
      <c r="J551" s="123">
        <v>0</v>
      </c>
      <c r="K551" s="123">
        <v>0</v>
      </c>
      <c r="L551" s="123">
        <v>0</v>
      </c>
      <c r="M551">
        <v>1410</v>
      </c>
      <c r="N551">
        <v>0</v>
      </c>
      <c r="O551">
        <v>0</v>
      </c>
      <c r="P551" s="216">
        <v>0</v>
      </c>
      <c r="Q551" s="217" t="s">
        <v>47</v>
      </c>
      <c r="R551" s="217" t="s">
        <v>554</v>
      </c>
      <c r="S551" s="218">
        <v>0.97858767940786873</v>
      </c>
      <c r="T551" t="s">
        <v>550</v>
      </c>
      <c r="U551" t="s">
        <v>51</v>
      </c>
      <c r="V551" s="219" t="s">
        <v>6152</v>
      </c>
      <c r="W551" s="219" t="s">
        <v>67</v>
      </c>
    </row>
    <row r="552" spans="1:23" ht="15" customHeight="1" x14ac:dyDescent="0.25">
      <c r="A552" t="s">
        <v>1703</v>
      </c>
      <c r="B552" t="s">
        <v>64</v>
      </c>
      <c r="C552">
        <v>519804</v>
      </c>
      <c r="D552" t="s">
        <v>1699</v>
      </c>
      <c r="E552" t="s">
        <v>1704</v>
      </c>
      <c r="F552" t="s">
        <v>554</v>
      </c>
      <c r="G552" s="30">
        <v>46146</v>
      </c>
      <c r="H552" t="s">
        <v>1701</v>
      </c>
      <c r="I552">
        <v>1372612.5</v>
      </c>
      <c r="J552" s="123">
        <v>0</v>
      </c>
      <c r="K552" s="123">
        <v>46146</v>
      </c>
      <c r="L552" s="123">
        <v>0</v>
      </c>
      <c r="M552">
        <v>0</v>
      </c>
      <c r="N552">
        <v>0</v>
      </c>
      <c r="O552" t="s">
        <v>556</v>
      </c>
      <c r="P552" s="216">
        <v>519804</v>
      </c>
      <c r="Q552" s="217" t="s">
        <v>47</v>
      </c>
      <c r="R552" s="217" t="s">
        <v>554</v>
      </c>
      <c r="S552" s="218">
        <v>0.97858767940786873</v>
      </c>
      <c r="T552" t="s">
        <v>550</v>
      </c>
      <c r="U552" t="s">
        <v>51</v>
      </c>
      <c r="V552" s="219" t="s">
        <v>6153</v>
      </c>
      <c r="W552" s="219" t="s">
        <v>67</v>
      </c>
    </row>
    <row r="553" spans="1:23" ht="15" customHeight="1" x14ac:dyDescent="0.25">
      <c r="A553" t="s">
        <v>1705</v>
      </c>
      <c r="B553" t="s">
        <v>575</v>
      </c>
      <c r="C553">
        <v>12510</v>
      </c>
      <c r="D553" t="s">
        <v>1706</v>
      </c>
      <c r="E553" t="s">
        <v>228</v>
      </c>
      <c r="F553" t="s">
        <v>554</v>
      </c>
      <c r="G553" s="30">
        <v>46146</v>
      </c>
      <c r="H553" t="s">
        <v>1707</v>
      </c>
      <c r="I553">
        <v>2559456.5</v>
      </c>
      <c r="J553" s="123">
        <v>0</v>
      </c>
      <c r="K553" s="123">
        <v>0</v>
      </c>
      <c r="L553" s="123">
        <v>46136</v>
      </c>
      <c r="M553">
        <v>0</v>
      </c>
      <c r="N553">
        <v>0</v>
      </c>
      <c r="O553">
        <v>0</v>
      </c>
      <c r="P553" s="216">
        <v>12510</v>
      </c>
      <c r="Q553" s="217" t="s">
        <v>20</v>
      </c>
      <c r="R553" s="217" t="s">
        <v>554</v>
      </c>
      <c r="S553" s="218">
        <v>0.60461159282252164</v>
      </c>
      <c r="T553" t="s">
        <v>550</v>
      </c>
      <c r="U553" t="s">
        <v>51</v>
      </c>
      <c r="V553" s="219" t="s">
        <v>6154</v>
      </c>
      <c r="W553" s="219" t="s">
        <v>67</v>
      </c>
    </row>
    <row r="554" spans="1:23" ht="15" customHeight="1" x14ac:dyDescent="0.25">
      <c r="A554" t="s">
        <v>1708</v>
      </c>
      <c r="B554" t="s">
        <v>595</v>
      </c>
      <c r="C554">
        <v>4538</v>
      </c>
      <c r="D554" t="s">
        <v>1709</v>
      </c>
      <c r="E554" t="s">
        <v>228</v>
      </c>
      <c r="F554" t="s">
        <v>585</v>
      </c>
      <c r="G554" s="30">
        <v>46148</v>
      </c>
      <c r="H554" t="s">
        <v>1710</v>
      </c>
      <c r="I554">
        <v>4353031.5</v>
      </c>
      <c r="J554" s="123">
        <v>0</v>
      </c>
      <c r="K554" s="123">
        <v>0</v>
      </c>
      <c r="L554" s="123">
        <v>46147</v>
      </c>
      <c r="M554">
        <v>0</v>
      </c>
      <c r="N554">
        <v>0</v>
      </c>
      <c r="O554">
        <v>0</v>
      </c>
      <c r="P554" s="216">
        <v>4538</v>
      </c>
      <c r="Q554" s="217" t="s">
        <v>20</v>
      </c>
      <c r="R554" s="217" t="s">
        <v>61</v>
      </c>
      <c r="S554" s="218">
        <v>0.59999941457703199</v>
      </c>
      <c r="T554" t="s">
        <v>550</v>
      </c>
      <c r="U554" t="s">
        <v>51</v>
      </c>
      <c r="V554" s="219">
        <v>0</v>
      </c>
      <c r="W554" s="219">
        <v>0</v>
      </c>
    </row>
    <row r="555" spans="1:23" ht="15" customHeight="1" x14ac:dyDescent="0.25">
      <c r="A555" t="s">
        <v>1711</v>
      </c>
      <c r="B555" t="s">
        <v>575</v>
      </c>
      <c r="C555">
        <v>4538</v>
      </c>
      <c r="D555" t="s">
        <v>1709</v>
      </c>
      <c r="E555" t="s">
        <v>228</v>
      </c>
      <c r="F555" t="s">
        <v>554</v>
      </c>
      <c r="G555" s="30">
        <v>46148</v>
      </c>
      <c r="H555" t="s">
        <v>1710</v>
      </c>
      <c r="I555">
        <v>4353031.5</v>
      </c>
      <c r="J555" s="123">
        <v>0</v>
      </c>
      <c r="K555" s="123">
        <v>0</v>
      </c>
      <c r="L555" s="123">
        <v>46147</v>
      </c>
      <c r="M555">
        <v>0</v>
      </c>
      <c r="N555">
        <v>0</v>
      </c>
      <c r="O555">
        <v>0</v>
      </c>
      <c r="P555" s="216">
        <v>4538</v>
      </c>
      <c r="Q555" s="217" t="s">
        <v>20</v>
      </c>
      <c r="R555" s="217" t="s">
        <v>554</v>
      </c>
      <c r="S555" s="218">
        <v>0.59999941457703199</v>
      </c>
      <c r="T555" t="s">
        <v>550</v>
      </c>
      <c r="U555" t="s">
        <v>51</v>
      </c>
      <c r="V555" s="219" t="s">
        <v>6155</v>
      </c>
      <c r="W555" s="219" t="s">
        <v>67</v>
      </c>
    </row>
    <row r="556" spans="1:23" ht="15" customHeight="1" x14ac:dyDescent="0.25">
      <c r="A556" t="s">
        <v>1712</v>
      </c>
      <c r="B556" t="s">
        <v>546</v>
      </c>
      <c r="C556">
        <v>200000</v>
      </c>
      <c r="D556" t="s">
        <v>1713</v>
      </c>
      <c r="E556" t="s">
        <v>228</v>
      </c>
      <c r="F556" t="s">
        <v>548</v>
      </c>
      <c r="G556" s="30">
        <v>46149</v>
      </c>
      <c r="H556" t="s">
        <v>1714</v>
      </c>
      <c r="I556">
        <v>2831706.5</v>
      </c>
      <c r="J556" s="123">
        <v>0</v>
      </c>
      <c r="K556" s="123">
        <v>0</v>
      </c>
      <c r="L556" s="123">
        <v>0</v>
      </c>
      <c r="M556">
        <v>0</v>
      </c>
      <c r="N556">
        <v>0</v>
      </c>
      <c r="O556">
        <v>0</v>
      </c>
      <c r="P556" s="216">
        <v>200000</v>
      </c>
      <c r="Q556" s="217" t="s">
        <v>20</v>
      </c>
      <c r="R556" s="217" t="s">
        <v>62</v>
      </c>
      <c r="S556" s="218">
        <v>0.75208648959403801</v>
      </c>
      <c r="T556" t="s">
        <v>550</v>
      </c>
      <c r="U556" t="s">
        <v>51</v>
      </c>
      <c r="V556" s="219">
        <v>0</v>
      </c>
      <c r="W556" s="219">
        <v>0</v>
      </c>
    </row>
    <row r="557" spans="1:23" ht="15" customHeight="1" x14ac:dyDescent="0.25">
      <c r="A557" t="s">
        <v>1715</v>
      </c>
      <c r="B557" t="s">
        <v>575</v>
      </c>
      <c r="C557">
        <v>239760</v>
      </c>
      <c r="D557" t="s">
        <v>1716</v>
      </c>
      <c r="E557" t="s">
        <v>228</v>
      </c>
      <c r="F557" t="s">
        <v>554</v>
      </c>
      <c r="G557" s="30">
        <v>46147</v>
      </c>
      <c r="H557" t="s">
        <v>1717</v>
      </c>
      <c r="I557">
        <v>2449624.5</v>
      </c>
      <c r="J557" s="123">
        <v>0</v>
      </c>
      <c r="K557" s="123">
        <v>0</v>
      </c>
      <c r="L557" s="123">
        <v>46143</v>
      </c>
      <c r="M557">
        <v>0</v>
      </c>
      <c r="N557">
        <v>0</v>
      </c>
      <c r="O557">
        <v>0</v>
      </c>
      <c r="P557" s="216">
        <v>239760</v>
      </c>
      <c r="Q557" s="217" t="s">
        <v>20</v>
      </c>
      <c r="R557" s="217" t="s">
        <v>554</v>
      </c>
      <c r="S557" s="218">
        <v>1.0000009379481059</v>
      </c>
      <c r="T557" t="s">
        <v>550</v>
      </c>
      <c r="U557" t="s">
        <v>51</v>
      </c>
      <c r="V557" s="219" t="s">
        <v>6156</v>
      </c>
      <c r="W557" s="219" t="s">
        <v>67</v>
      </c>
    </row>
    <row r="558" spans="1:23" ht="15" customHeight="1" x14ac:dyDescent="0.25">
      <c r="A558" t="s">
        <v>1718</v>
      </c>
      <c r="B558" t="s">
        <v>575</v>
      </c>
      <c r="C558">
        <v>250000</v>
      </c>
      <c r="D558" t="s">
        <v>1716</v>
      </c>
      <c r="E558" t="s">
        <v>228</v>
      </c>
      <c r="F558" t="s">
        <v>554</v>
      </c>
      <c r="G558" s="30">
        <v>46147</v>
      </c>
      <c r="H558" t="s">
        <v>1717</v>
      </c>
      <c r="I558">
        <v>2449624.5</v>
      </c>
      <c r="J558" s="123">
        <v>0</v>
      </c>
      <c r="K558" s="123">
        <v>0</v>
      </c>
      <c r="L558" s="123">
        <v>46142</v>
      </c>
      <c r="M558">
        <v>0</v>
      </c>
      <c r="N558">
        <v>0</v>
      </c>
      <c r="O558">
        <v>0</v>
      </c>
      <c r="P558" s="216">
        <v>250000</v>
      </c>
      <c r="Q558" s="217" t="s">
        <v>20</v>
      </c>
      <c r="R558" s="217" t="s">
        <v>554</v>
      </c>
      <c r="S558" s="218">
        <v>1.0000009379481059</v>
      </c>
      <c r="T558" t="s">
        <v>550</v>
      </c>
      <c r="U558" t="s">
        <v>51</v>
      </c>
      <c r="V558" s="219" t="s">
        <v>6157</v>
      </c>
      <c r="W558" s="219" t="s">
        <v>67</v>
      </c>
    </row>
    <row r="559" spans="1:23" ht="15" customHeight="1" x14ac:dyDescent="0.25">
      <c r="A559" t="s">
        <v>1719</v>
      </c>
      <c r="B559" t="s">
        <v>575</v>
      </c>
      <c r="C559">
        <v>250000</v>
      </c>
      <c r="D559" t="s">
        <v>1716</v>
      </c>
      <c r="E559" t="s">
        <v>228</v>
      </c>
      <c r="F559" t="s">
        <v>554</v>
      </c>
      <c r="G559" s="30">
        <v>46147</v>
      </c>
      <c r="H559" t="s">
        <v>1717</v>
      </c>
      <c r="I559">
        <v>2449624.5</v>
      </c>
      <c r="J559" s="123">
        <v>0</v>
      </c>
      <c r="K559" s="123">
        <v>0</v>
      </c>
      <c r="L559" s="123">
        <v>46141</v>
      </c>
      <c r="M559">
        <v>0</v>
      </c>
      <c r="N559">
        <v>0</v>
      </c>
      <c r="O559">
        <v>0</v>
      </c>
      <c r="P559" s="216">
        <v>250000</v>
      </c>
      <c r="Q559" s="217" t="s">
        <v>20</v>
      </c>
      <c r="R559" s="217" t="s">
        <v>554</v>
      </c>
      <c r="S559" s="218">
        <v>1.0000009379481059</v>
      </c>
      <c r="T559" t="s">
        <v>550</v>
      </c>
      <c r="U559" t="s">
        <v>51</v>
      </c>
      <c r="V559" s="219" t="s">
        <v>6158</v>
      </c>
      <c r="W559" s="219" t="s">
        <v>67</v>
      </c>
    </row>
    <row r="560" spans="1:23" ht="15" customHeight="1" x14ac:dyDescent="0.25">
      <c r="A560" t="s">
        <v>1720</v>
      </c>
      <c r="B560" t="s">
        <v>575</v>
      </c>
      <c r="C560">
        <v>250000</v>
      </c>
      <c r="D560" t="s">
        <v>1716</v>
      </c>
      <c r="E560" t="s">
        <v>228</v>
      </c>
      <c r="F560" t="s">
        <v>554</v>
      </c>
      <c r="G560" s="30">
        <v>46147</v>
      </c>
      <c r="H560" t="s">
        <v>1717</v>
      </c>
      <c r="I560">
        <v>2449624.5</v>
      </c>
      <c r="J560" s="123">
        <v>0</v>
      </c>
      <c r="K560" s="123">
        <v>0</v>
      </c>
      <c r="L560" s="123">
        <v>46141</v>
      </c>
      <c r="M560">
        <v>0</v>
      </c>
      <c r="N560">
        <v>0</v>
      </c>
      <c r="O560">
        <v>0</v>
      </c>
      <c r="P560" s="216">
        <v>250000</v>
      </c>
      <c r="Q560" s="217" t="s">
        <v>20</v>
      </c>
      <c r="R560" s="217" t="s">
        <v>554</v>
      </c>
      <c r="S560" s="218">
        <v>1.0000009379481059</v>
      </c>
      <c r="T560" t="s">
        <v>550</v>
      </c>
      <c r="U560" t="s">
        <v>51</v>
      </c>
      <c r="V560" s="219" t="s">
        <v>6159</v>
      </c>
      <c r="W560" s="219" t="s">
        <v>67</v>
      </c>
    </row>
    <row r="561" spans="1:23" ht="15" customHeight="1" x14ac:dyDescent="0.25">
      <c r="A561" t="s">
        <v>1721</v>
      </c>
      <c r="B561" t="s">
        <v>575</v>
      </c>
      <c r="C561">
        <v>39527</v>
      </c>
      <c r="D561" t="s">
        <v>1722</v>
      </c>
      <c r="E561" t="s">
        <v>228</v>
      </c>
      <c r="F561" t="s">
        <v>554</v>
      </c>
      <c r="G561" s="30">
        <v>46143</v>
      </c>
      <c r="H561" t="s">
        <v>1723</v>
      </c>
      <c r="I561">
        <v>2942684.75</v>
      </c>
      <c r="J561" s="123">
        <v>0</v>
      </c>
      <c r="K561" s="123">
        <v>0</v>
      </c>
      <c r="L561" s="123">
        <v>46135</v>
      </c>
      <c r="M561">
        <v>39527</v>
      </c>
      <c r="N561">
        <v>0</v>
      </c>
      <c r="O561">
        <v>0</v>
      </c>
      <c r="P561" s="216">
        <v>0</v>
      </c>
      <c r="Q561" s="217" t="s">
        <v>20</v>
      </c>
      <c r="R561" s="217" t="s">
        <v>554</v>
      </c>
      <c r="S561" s="218">
        <v>0.99999997291523024</v>
      </c>
      <c r="T561" t="s">
        <v>550</v>
      </c>
      <c r="U561" t="s">
        <v>51</v>
      </c>
      <c r="V561" s="219" t="s">
        <v>6160</v>
      </c>
      <c r="W561" s="219" t="s">
        <v>67</v>
      </c>
    </row>
    <row r="562" spans="1:23" ht="15" customHeight="1" x14ac:dyDescent="0.25">
      <c r="A562" t="s">
        <v>1724</v>
      </c>
      <c r="B562" t="s">
        <v>546</v>
      </c>
      <c r="C562">
        <v>1055</v>
      </c>
      <c r="D562" t="s">
        <v>1725</v>
      </c>
      <c r="E562" t="s">
        <v>228</v>
      </c>
      <c r="F562" t="s">
        <v>548</v>
      </c>
      <c r="G562" s="30">
        <v>46147</v>
      </c>
      <c r="H562" t="s">
        <v>1726</v>
      </c>
      <c r="I562">
        <v>2515445</v>
      </c>
      <c r="J562" s="123">
        <v>0</v>
      </c>
      <c r="K562" s="123">
        <v>0</v>
      </c>
      <c r="L562" s="123">
        <v>0</v>
      </c>
      <c r="M562">
        <v>1055</v>
      </c>
      <c r="N562">
        <v>0</v>
      </c>
      <c r="O562">
        <v>0</v>
      </c>
      <c r="P562" s="216">
        <v>0</v>
      </c>
      <c r="Q562" s="217" t="s">
        <v>20</v>
      </c>
      <c r="R562" s="217" t="s">
        <v>62</v>
      </c>
      <c r="S562" s="218">
        <v>0.59999992049705242</v>
      </c>
      <c r="T562" t="s">
        <v>550</v>
      </c>
      <c r="U562" t="s">
        <v>51</v>
      </c>
      <c r="V562" s="219">
        <v>0</v>
      </c>
      <c r="W562" s="219">
        <v>0</v>
      </c>
    </row>
    <row r="563" spans="1:23" ht="15" customHeight="1" x14ac:dyDescent="0.25">
      <c r="A563" t="s">
        <v>1727</v>
      </c>
      <c r="B563" t="s">
        <v>575</v>
      </c>
      <c r="C563">
        <v>251563</v>
      </c>
      <c r="D563" t="s">
        <v>1728</v>
      </c>
      <c r="E563" t="s">
        <v>228</v>
      </c>
      <c r="F563" t="s">
        <v>580</v>
      </c>
      <c r="G563" s="30">
        <v>46146</v>
      </c>
      <c r="H563" t="s">
        <v>1729</v>
      </c>
      <c r="I563">
        <v>2515445</v>
      </c>
      <c r="J563" s="123">
        <v>0</v>
      </c>
      <c r="K563" s="123">
        <v>0</v>
      </c>
      <c r="L563" s="123">
        <v>46127</v>
      </c>
      <c r="M563">
        <v>0</v>
      </c>
      <c r="N563">
        <v>0</v>
      </c>
      <c r="O563">
        <v>0</v>
      </c>
      <c r="P563" s="216">
        <v>251563</v>
      </c>
      <c r="Q563" s="217" t="s">
        <v>20</v>
      </c>
      <c r="R563" s="217" t="s">
        <v>582</v>
      </c>
      <c r="S563" s="218">
        <v>0.49831130174151211</v>
      </c>
      <c r="T563" t="s">
        <v>550</v>
      </c>
      <c r="U563" t="s">
        <v>51</v>
      </c>
      <c r="V563" s="219">
        <v>0</v>
      </c>
      <c r="W563" s="219">
        <v>0</v>
      </c>
    </row>
    <row r="564" spans="1:23" ht="15" customHeight="1" x14ac:dyDescent="0.25">
      <c r="A564" t="s">
        <v>1730</v>
      </c>
      <c r="B564" t="s">
        <v>546</v>
      </c>
      <c r="C564">
        <v>100000</v>
      </c>
      <c r="D564" t="s">
        <v>1731</v>
      </c>
      <c r="E564" t="s">
        <v>553</v>
      </c>
      <c r="F564" t="s">
        <v>554</v>
      </c>
      <c r="G564" s="30">
        <v>46149</v>
      </c>
      <c r="H564" t="s">
        <v>1732</v>
      </c>
      <c r="I564">
        <v>3135935</v>
      </c>
      <c r="J564" s="123">
        <v>46149</v>
      </c>
      <c r="K564" s="123">
        <v>0</v>
      </c>
      <c r="L564" s="123">
        <v>46149</v>
      </c>
      <c r="M564">
        <v>0</v>
      </c>
      <c r="N564">
        <v>0</v>
      </c>
      <c r="O564" t="s">
        <v>556</v>
      </c>
      <c r="P564" s="216">
        <v>100000</v>
      </c>
      <c r="Q564" s="217" t="s">
        <v>20</v>
      </c>
      <c r="R564" s="217" t="s">
        <v>554</v>
      </c>
      <c r="S564" s="218">
        <v>0.99999993638079898</v>
      </c>
      <c r="T564" t="s">
        <v>550</v>
      </c>
      <c r="U564" t="s">
        <v>51</v>
      </c>
      <c r="V564" s="219" t="s">
        <v>6161</v>
      </c>
      <c r="W564" s="219" t="s">
        <v>67</v>
      </c>
    </row>
    <row r="565" spans="1:23" ht="15" customHeight="1" x14ac:dyDescent="0.25">
      <c r="A565" t="s">
        <v>1733</v>
      </c>
      <c r="B565" t="s">
        <v>546</v>
      </c>
      <c r="C565">
        <v>200000</v>
      </c>
      <c r="D565" t="s">
        <v>1731</v>
      </c>
      <c r="E565" t="s">
        <v>553</v>
      </c>
      <c r="F565" t="s">
        <v>554</v>
      </c>
      <c r="G565" s="30">
        <v>46149</v>
      </c>
      <c r="H565" t="s">
        <v>1732</v>
      </c>
      <c r="I565">
        <v>3135935</v>
      </c>
      <c r="J565" s="123">
        <v>46149</v>
      </c>
      <c r="K565" s="123">
        <v>0</v>
      </c>
      <c r="L565" s="123">
        <v>46149</v>
      </c>
      <c r="M565">
        <v>0</v>
      </c>
      <c r="N565">
        <v>0</v>
      </c>
      <c r="O565" t="s">
        <v>556</v>
      </c>
      <c r="P565" s="216">
        <v>200000</v>
      </c>
      <c r="Q565" s="217" t="s">
        <v>20</v>
      </c>
      <c r="R565" s="217" t="s">
        <v>554</v>
      </c>
      <c r="S565" s="218">
        <v>0.99999993638079898</v>
      </c>
      <c r="T565" t="s">
        <v>550</v>
      </c>
      <c r="U565" t="s">
        <v>51</v>
      </c>
      <c r="V565" s="219" t="s">
        <v>6162</v>
      </c>
      <c r="W565" s="219" t="s">
        <v>67</v>
      </c>
    </row>
    <row r="566" spans="1:23" ht="15" customHeight="1" x14ac:dyDescent="0.25">
      <c r="A566" t="s">
        <v>1734</v>
      </c>
      <c r="B566" t="s">
        <v>546</v>
      </c>
      <c r="C566">
        <v>1557479.2</v>
      </c>
      <c r="D566" t="s">
        <v>1731</v>
      </c>
      <c r="E566" t="s">
        <v>553</v>
      </c>
      <c r="F566" t="s">
        <v>548</v>
      </c>
      <c r="G566" s="30">
        <v>46149</v>
      </c>
      <c r="H566" t="s">
        <v>1732</v>
      </c>
      <c r="I566">
        <v>3135935</v>
      </c>
      <c r="J566" s="123">
        <v>46149</v>
      </c>
      <c r="K566" s="123">
        <v>0</v>
      </c>
      <c r="L566" s="123">
        <v>46149</v>
      </c>
      <c r="M566">
        <v>0</v>
      </c>
      <c r="N566">
        <v>0</v>
      </c>
      <c r="O566" t="s">
        <v>556</v>
      </c>
      <c r="P566" s="216">
        <v>1557479.2</v>
      </c>
      <c r="Q566" s="217" t="s">
        <v>20</v>
      </c>
      <c r="R566" s="217" t="s">
        <v>62</v>
      </c>
      <c r="S566" s="218">
        <v>0.99999993638079898</v>
      </c>
      <c r="T566" t="s">
        <v>550</v>
      </c>
      <c r="U566" t="s">
        <v>51</v>
      </c>
      <c r="V566" s="219">
        <v>0</v>
      </c>
      <c r="W566" s="219">
        <v>0</v>
      </c>
    </row>
    <row r="567" spans="1:23" ht="15" customHeight="1" x14ac:dyDescent="0.25">
      <c r="A567" t="s">
        <v>1735</v>
      </c>
      <c r="B567" t="s">
        <v>546</v>
      </c>
      <c r="C567">
        <v>200000</v>
      </c>
      <c r="D567" t="s">
        <v>1731</v>
      </c>
      <c r="E567" t="s">
        <v>553</v>
      </c>
      <c r="F567" t="s">
        <v>554</v>
      </c>
      <c r="G567" s="30">
        <v>46149</v>
      </c>
      <c r="H567" t="s">
        <v>1732</v>
      </c>
      <c r="I567">
        <v>3135935</v>
      </c>
      <c r="J567" s="123">
        <v>46149</v>
      </c>
      <c r="K567" s="123">
        <v>0</v>
      </c>
      <c r="L567" s="123">
        <v>46149</v>
      </c>
      <c r="M567">
        <v>0</v>
      </c>
      <c r="N567">
        <v>0</v>
      </c>
      <c r="O567" t="s">
        <v>556</v>
      </c>
      <c r="P567" s="216">
        <v>200000</v>
      </c>
      <c r="Q567" s="217" t="s">
        <v>20</v>
      </c>
      <c r="R567" s="217" t="s">
        <v>554</v>
      </c>
      <c r="S567" s="218">
        <v>0.99999993638079898</v>
      </c>
      <c r="T567" t="s">
        <v>550</v>
      </c>
      <c r="U567" t="s">
        <v>51</v>
      </c>
      <c r="V567" s="219" t="s">
        <v>6163</v>
      </c>
      <c r="W567" s="219" t="s">
        <v>67</v>
      </c>
    </row>
    <row r="568" spans="1:23" ht="15" customHeight="1" x14ac:dyDescent="0.25">
      <c r="A568" t="s">
        <v>1736</v>
      </c>
      <c r="B568" t="s">
        <v>546</v>
      </c>
      <c r="C568">
        <v>30759</v>
      </c>
      <c r="D568" t="s">
        <v>1731</v>
      </c>
      <c r="E568" t="s">
        <v>553</v>
      </c>
      <c r="F568" t="s">
        <v>554</v>
      </c>
      <c r="G568" s="30">
        <v>46149</v>
      </c>
      <c r="H568" t="s">
        <v>1732</v>
      </c>
      <c r="I568">
        <v>3135935</v>
      </c>
      <c r="J568" s="123">
        <v>46149</v>
      </c>
      <c r="K568" s="123">
        <v>0</v>
      </c>
      <c r="L568" s="123">
        <v>46149</v>
      </c>
      <c r="M568">
        <v>0</v>
      </c>
      <c r="N568">
        <v>0</v>
      </c>
      <c r="O568" t="s">
        <v>556</v>
      </c>
      <c r="P568" s="216">
        <v>30759</v>
      </c>
      <c r="Q568" s="217" t="s">
        <v>20</v>
      </c>
      <c r="R568" s="217" t="s">
        <v>554</v>
      </c>
      <c r="S568" s="218">
        <v>0.99999993638079898</v>
      </c>
      <c r="T568" t="s">
        <v>550</v>
      </c>
      <c r="U568" t="s">
        <v>51</v>
      </c>
      <c r="V568" s="219" t="s">
        <v>6164</v>
      </c>
      <c r="W568" s="219" t="s">
        <v>67</v>
      </c>
    </row>
    <row r="569" spans="1:23" ht="15" customHeight="1" x14ac:dyDescent="0.25">
      <c r="A569" t="s">
        <v>1737</v>
      </c>
      <c r="B569" t="s">
        <v>575</v>
      </c>
      <c r="C569">
        <v>150000</v>
      </c>
      <c r="D569" t="s">
        <v>1738</v>
      </c>
      <c r="E569" t="s">
        <v>1700</v>
      </c>
      <c r="F569" t="s">
        <v>580</v>
      </c>
      <c r="G569" s="30">
        <v>46144</v>
      </c>
      <c r="H569" t="s">
        <v>1739</v>
      </c>
      <c r="I569">
        <v>4353438.5</v>
      </c>
      <c r="J569" s="123">
        <v>0</v>
      </c>
      <c r="K569" s="123">
        <v>0</v>
      </c>
      <c r="L569" s="123">
        <v>46144</v>
      </c>
      <c r="M569">
        <v>0</v>
      </c>
      <c r="N569">
        <v>0</v>
      </c>
      <c r="O569">
        <v>0</v>
      </c>
      <c r="P569" s="216">
        <v>150000</v>
      </c>
      <c r="Q569" s="217" t="s">
        <v>47</v>
      </c>
      <c r="R569" s="217" t="s">
        <v>582</v>
      </c>
      <c r="S569" s="218">
        <v>0.62400571466275745</v>
      </c>
      <c r="T569" t="s">
        <v>550</v>
      </c>
      <c r="U569" t="s">
        <v>51</v>
      </c>
      <c r="V569" s="219">
        <v>0</v>
      </c>
      <c r="W569" s="219">
        <v>0</v>
      </c>
    </row>
    <row r="570" spans="1:23" ht="15" customHeight="1" x14ac:dyDescent="0.25">
      <c r="A570" t="s">
        <v>1740</v>
      </c>
      <c r="B570" t="s">
        <v>575</v>
      </c>
      <c r="C570">
        <v>150000</v>
      </c>
      <c r="D570" t="s">
        <v>1741</v>
      </c>
      <c r="E570" t="s">
        <v>228</v>
      </c>
      <c r="F570" t="s">
        <v>580</v>
      </c>
      <c r="G570" s="30">
        <v>46149</v>
      </c>
      <c r="H570" t="s">
        <v>1742</v>
      </c>
      <c r="I570">
        <v>3135935</v>
      </c>
      <c r="J570" s="123">
        <v>0</v>
      </c>
      <c r="K570" s="123">
        <v>0</v>
      </c>
      <c r="L570" s="123">
        <v>46149</v>
      </c>
      <c r="M570">
        <v>0</v>
      </c>
      <c r="N570">
        <v>0</v>
      </c>
      <c r="O570">
        <v>0</v>
      </c>
      <c r="P570" s="216">
        <v>150000</v>
      </c>
      <c r="Q570" s="217" t="s">
        <v>20</v>
      </c>
      <c r="R570" s="217" t="s">
        <v>582</v>
      </c>
      <c r="S570" s="218">
        <v>0.60000009542880139</v>
      </c>
      <c r="T570" t="s">
        <v>550</v>
      </c>
      <c r="U570" t="s">
        <v>51</v>
      </c>
      <c r="V570" s="219">
        <v>0</v>
      </c>
      <c r="W570" s="219">
        <v>0</v>
      </c>
    </row>
    <row r="571" spans="1:23" ht="15" customHeight="1" x14ac:dyDescent="0.25">
      <c r="A571" t="s">
        <v>1743</v>
      </c>
      <c r="B571" t="s">
        <v>575</v>
      </c>
      <c r="C571">
        <v>100000</v>
      </c>
      <c r="D571" t="s">
        <v>1741</v>
      </c>
      <c r="E571" t="s">
        <v>228</v>
      </c>
      <c r="F571" t="s">
        <v>580</v>
      </c>
      <c r="G571" s="30">
        <v>46149</v>
      </c>
      <c r="H571" t="s">
        <v>1742</v>
      </c>
      <c r="I571">
        <v>3135935</v>
      </c>
      <c r="J571" s="123">
        <v>0</v>
      </c>
      <c r="K571" s="123">
        <v>0</v>
      </c>
      <c r="L571" s="123">
        <v>46149</v>
      </c>
      <c r="M571">
        <v>0</v>
      </c>
      <c r="N571">
        <v>0</v>
      </c>
      <c r="O571">
        <v>0</v>
      </c>
      <c r="P571" s="216">
        <v>100000</v>
      </c>
      <c r="Q571" s="217" t="s">
        <v>20</v>
      </c>
      <c r="R571" s="217" t="s">
        <v>582</v>
      </c>
      <c r="S571" s="218">
        <v>0.60000009542880139</v>
      </c>
      <c r="T571" t="s">
        <v>550</v>
      </c>
      <c r="U571" t="s">
        <v>51</v>
      </c>
      <c r="V571" s="219">
        <v>0</v>
      </c>
      <c r="W571" s="219">
        <v>0</v>
      </c>
    </row>
    <row r="572" spans="1:23" ht="15" customHeight="1" x14ac:dyDescent="0.25">
      <c r="A572" t="s">
        <v>1744</v>
      </c>
      <c r="B572" t="s">
        <v>575</v>
      </c>
      <c r="C572">
        <v>200000</v>
      </c>
      <c r="D572" t="s">
        <v>1741</v>
      </c>
      <c r="E572" t="s">
        <v>228</v>
      </c>
      <c r="F572" t="s">
        <v>580</v>
      </c>
      <c r="G572" s="30">
        <v>46149</v>
      </c>
      <c r="H572" t="s">
        <v>1742</v>
      </c>
      <c r="I572">
        <v>3135935</v>
      </c>
      <c r="J572" s="123">
        <v>0</v>
      </c>
      <c r="K572" s="123">
        <v>0</v>
      </c>
      <c r="L572" s="123">
        <v>46148</v>
      </c>
      <c r="M572">
        <v>0</v>
      </c>
      <c r="N572">
        <v>0</v>
      </c>
      <c r="O572">
        <v>0</v>
      </c>
      <c r="P572" s="216">
        <v>200000</v>
      </c>
      <c r="Q572" s="217" t="s">
        <v>20</v>
      </c>
      <c r="R572" s="217" t="s">
        <v>582</v>
      </c>
      <c r="S572" s="218">
        <v>0.60000009542880139</v>
      </c>
      <c r="T572" t="s">
        <v>550</v>
      </c>
      <c r="U572" t="s">
        <v>51</v>
      </c>
      <c r="V572" s="219">
        <v>0</v>
      </c>
      <c r="W572" s="219">
        <v>0</v>
      </c>
    </row>
    <row r="573" spans="1:23" ht="15" customHeight="1" x14ac:dyDescent="0.25">
      <c r="A573" t="s">
        <v>1745</v>
      </c>
      <c r="B573" t="s">
        <v>575</v>
      </c>
      <c r="C573">
        <v>100000</v>
      </c>
      <c r="D573" t="s">
        <v>1741</v>
      </c>
      <c r="E573" t="s">
        <v>228</v>
      </c>
      <c r="F573" t="s">
        <v>580</v>
      </c>
      <c r="G573" s="30">
        <v>46149</v>
      </c>
      <c r="H573" t="s">
        <v>1742</v>
      </c>
      <c r="I573">
        <v>3135935</v>
      </c>
      <c r="J573" s="123">
        <v>0</v>
      </c>
      <c r="K573" s="123">
        <v>0</v>
      </c>
      <c r="L573" s="123">
        <v>46148</v>
      </c>
      <c r="M573">
        <v>0</v>
      </c>
      <c r="N573">
        <v>0</v>
      </c>
      <c r="O573">
        <v>0</v>
      </c>
      <c r="P573" s="216">
        <v>100000</v>
      </c>
      <c r="Q573" s="217" t="s">
        <v>20</v>
      </c>
      <c r="R573" s="217" t="s">
        <v>582</v>
      </c>
      <c r="S573" s="218">
        <v>0.60000009542880139</v>
      </c>
      <c r="T573" t="s">
        <v>550</v>
      </c>
      <c r="U573" t="s">
        <v>51</v>
      </c>
      <c r="V573" s="219">
        <v>0</v>
      </c>
      <c r="W573" s="219">
        <v>0</v>
      </c>
    </row>
    <row r="574" spans="1:23" ht="15" customHeight="1" x14ac:dyDescent="0.25">
      <c r="A574" t="s">
        <v>1746</v>
      </c>
      <c r="B574" t="s">
        <v>575</v>
      </c>
      <c r="C574">
        <v>200000</v>
      </c>
      <c r="D574" t="s">
        <v>1741</v>
      </c>
      <c r="E574" t="s">
        <v>228</v>
      </c>
      <c r="F574" t="s">
        <v>580</v>
      </c>
      <c r="G574" s="30">
        <v>46149</v>
      </c>
      <c r="H574" t="s">
        <v>1742</v>
      </c>
      <c r="I574">
        <v>3135935</v>
      </c>
      <c r="J574" s="123">
        <v>0</v>
      </c>
      <c r="K574" s="123">
        <v>0</v>
      </c>
      <c r="L574" s="123">
        <v>46148</v>
      </c>
      <c r="M574">
        <v>0</v>
      </c>
      <c r="N574">
        <v>0</v>
      </c>
      <c r="O574">
        <v>0</v>
      </c>
      <c r="P574" s="216">
        <v>200000</v>
      </c>
      <c r="Q574" s="217" t="s">
        <v>20</v>
      </c>
      <c r="R574" s="217" t="s">
        <v>582</v>
      </c>
      <c r="S574" s="218">
        <v>0.60000009542880139</v>
      </c>
      <c r="T574" t="s">
        <v>550</v>
      </c>
      <c r="U574" t="s">
        <v>51</v>
      </c>
      <c r="V574" s="219">
        <v>0</v>
      </c>
      <c r="W574" s="219">
        <v>0</v>
      </c>
    </row>
    <row r="575" spans="1:23" ht="15" customHeight="1" x14ac:dyDescent="0.25">
      <c r="A575" t="s">
        <v>1747</v>
      </c>
      <c r="B575" t="s">
        <v>575</v>
      </c>
      <c r="C575">
        <v>100000</v>
      </c>
      <c r="D575" t="s">
        <v>1741</v>
      </c>
      <c r="E575" t="s">
        <v>228</v>
      </c>
      <c r="F575" t="s">
        <v>580</v>
      </c>
      <c r="G575" s="30">
        <v>46149</v>
      </c>
      <c r="H575" t="s">
        <v>1742</v>
      </c>
      <c r="I575">
        <v>3135935</v>
      </c>
      <c r="J575" s="123">
        <v>0</v>
      </c>
      <c r="K575" s="123">
        <v>0</v>
      </c>
      <c r="L575" s="123">
        <v>46144</v>
      </c>
      <c r="M575">
        <v>0</v>
      </c>
      <c r="N575">
        <v>0</v>
      </c>
      <c r="O575">
        <v>0</v>
      </c>
      <c r="P575" s="216">
        <v>100000</v>
      </c>
      <c r="Q575" s="217" t="s">
        <v>20</v>
      </c>
      <c r="R575" s="217" t="s">
        <v>582</v>
      </c>
      <c r="S575" s="218">
        <v>0.60000009542880139</v>
      </c>
      <c r="T575" t="s">
        <v>550</v>
      </c>
      <c r="U575" t="s">
        <v>51</v>
      </c>
      <c r="V575" s="219">
        <v>0</v>
      </c>
      <c r="W575" s="219">
        <v>0</v>
      </c>
    </row>
    <row r="576" spans="1:23" ht="15" customHeight="1" x14ac:dyDescent="0.25">
      <c r="A576" t="s">
        <v>1748</v>
      </c>
      <c r="B576" t="s">
        <v>575</v>
      </c>
      <c r="C576">
        <v>214370</v>
      </c>
      <c r="D576" t="s">
        <v>1741</v>
      </c>
      <c r="E576" t="s">
        <v>228</v>
      </c>
      <c r="F576" t="s">
        <v>580</v>
      </c>
      <c r="G576" s="30">
        <v>46149</v>
      </c>
      <c r="H576" t="s">
        <v>1742</v>
      </c>
      <c r="I576">
        <v>3135935</v>
      </c>
      <c r="J576" s="123">
        <v>0</v>
      </c>
      <c r="K576" s="123">
        <v>0</v>
      </c>
      <c r="L576" s="123">
        <v>46143</v>
      </c>
      <c r="M576">
        <v>0</v>
      </c>
      <c r="N576">
        <v>0</v>
      </c>
      <c r="O576">
        <v>0</v>
      </c>
      <c r="P576" s="216">
        <v>214370</v>
      </c>
      <c r="Q576" s="217" t="s">
        <v>20</v>
      </c>
      <c r="R576" s="217" t="s">
        <v>582</v>
      </c>
      <c r="S576" s="218">
        <v>0.60000009542880139</v>
      </c>
      <c r="T576" t="s">
        <v>550</v>
      </c>
      <c r="U576" t="s">
        <v>51</v>
      </c>
      <c r="V576" s="219">
        <v>0</v>
      </c>
      <c r="W576" s="219">
        <v>0</v>
      </c>
    </row>
    <row r="577" spans="1:23" ht="15" customHeight="1" x14ac:dyDescent="0.25">
      <c r="A577" t="s">
        <v>1749</v>
      </c>
      <c r="B577" t="s">
        <v>575</v>
      </c>
      <c r="C577">
        <v>100000</v>
      </c>
      <c r="D577" t="s">
        <v>1750</v>
      </c>
      <c r="E577" t="s">
        <v>1700</v>
      </c>
      <c r="F577" t="s">
        <v>580</v>
      </c>
      <c r="G577" s="30">
        <v>46144</v>
      </c>
      <c r="H577" t="s">
        <v>1751</v>
      </c>
      <c r="I577">
        <v>3135935</v>
      </c>
      <c r="J577" s="123">
        <v>0</v>
      </c>
      <c r="K577" s="123">
        <v>0</v>
      </c>
      <c r="L577" s="123">
        <v>46144</v>
      </c>
      <c r="M577">
        <v>0</v>
      </c>
      <c r="N577">
        <v>0</v>
      </c>
      <c r="O577">
        <v>0</v>
      </c>
      <c r="P577" s="216">
        <v>100000</v>
      </c>
      <c r="Q577" s="217" t="s">
        <v>47</v>
      </c>
      <c r="R577" s="217" t="s">
        <v>582</v>
      </c>
      <c r="S577" s="218">
        <v>0.66857221017875401</v>
      </c>
      <c r="T577" t="s">
        <v>550</v>
      </c>
      <c r="U577" t="s">
        <v>51</v>
      </c>
      <c r="V577" s="219">
        <v>0</v>
      </c>
      <c r="W577" s="219">
        <v>0</v>
      </c>
    </row>
    <row r="578" spans="1:23" ht="15" customHeight="1" x14ac:dyDescent="0.25">
      <c r="A578" t="s">
        <v>1752</v>
      </c>
      <c r="B578" t="s">
        <v>575</v>
      </c>
      <c r="C578">
        <v>114375</v>
      </c>
      <c r="D578" t="s">
        <v>1750</v>
      </c>
      <c r="E578" t="s">
        <v>1700</v>
      </c>
      <c r="F578" t="s">
        <v>554</v>
      </c>
      <c r="G578" s="30">
        <v>46148</v>
      </c>
      <c r="H578" t="s">
        <v>1751</v>
      </c>
      <c r="I578">
        <v>3135935</v>
      </c>
      <c r="J578" s="123">
        <v>0</v>
      </c>
      <c r="K578" s="123">
        <v>0</v>
      </c>
      <c r="L578" s="123">
        <v>46148</v>
      </c>
      <c r="M578">
        <v>0</v>
      </c>
      <c r="N578">
        <v>0</v>
      </c>
      <c r="O578">
        <v>0</v>
      </c>
      <c r="P578" s="216">
        <v>114375</v>
      </c>
      <c r="Q578" s="217" t="s">
        <v>47</v>
      </c>
      <c r="R578" s="217" t="s">
        <v>554</v>
      </c>
      <c r="S578" s="218">
        <v>0.66857221017875401</v>
      </c>
      <c r="T578" t="s">
        <v>550</v>
      </c>
      <c r="U578" t="s">
        <v>51</v>
      </c>
      <c r="V578" s="219" t="s">
        <v>6165</v>
      </c>
      <c r="W578" s="219" t="s">
        <v>67</v>
      </c>
    </row>
    <row r="579" spans="1:23" ht="15" customHeight="1" x14ac:dyDescent="0.25">
      <c r="A579" t="s">
        <v>1753</v>
      </c>
      <c r="B579" t="s">
        <v>603</v>
      </c>
      <c r="C579">
        <v>1116366</v>
      </c>
      <c r="D579" t="s">
        <v>1754</v>
      </c>
      <c r="E579" t="s">
        <v>605</v>
      </c>
      <c r="F579" t="s">
        <v>554</v>
      </c>
      <c r="G579" s="30">
        <v>46149</v>
      </c>
      <c r="H579" t="s">
        <v>1755</v>
      </c>
      <c r="I579">
        <v>2942484</v>
      </c>
      <c r="J579" s="123">
        <v>46149</v>
      </c>
      <c r="K579" s="123">
        <v>0</v>
      </c>
      <c r="L579" s="123">
        <v>0</v>
      </c>
      <c r="M579">
        <v>0</v>
      </c>
      <c r="N579">
        <v>0</v>
      </c>
      <c r="O579">
        <v>0</v>
      </c>
      <c r="P579" s="216">
        <v>1116366</v>
      </c>
      <c r="Q579" s="217" t="s">
        <v>47</v>
      </c>
      <c r="R579" s="217" t="s">
        <v>554</v>
      </c>
      <c r="S579" s="218">
        <v>0.97788138437419558</v>
      </c>
      <c r="T579" t="s">
        <v>550</v>
      </c>
      <c r="U579" t="s">
        <v>51</v>
      </c>
      <c r="V579" s="219" t="s">
        <v>6166</v>
      </c>
      <c r="W579" s="219" t="s">
        <v>67</v>
      </c>
    </row>
    <row r="580" spans="1:23" ht="15" customHeight="1" x14ac:dyDescent="0.25">
      <c r="A580" t="s">
        <v>1756</v>
      </c>
      <c r="B580" t="s">
        <v>575</v>
      </c>
      <c r="C580">
        <v>27948</v>
      </c>
      <c r="D580" t="s">
        <v>1757</v>
      </c>
      <c r="E580" t="s">
        <v>228</v>
      </c>
      <c r="F580" t="s">
        <v>554</v>
      </c>
      <c r="G580" s="30">
        <v>46147</v>
      </c>
      <c r="H580" t="s">
        <v>1758</v>
      </c>
      <c r="I580">
        <v>4353438.5</v>
      </c>
      <c r="J580" s="123">
        <v>0</v>
      </c>
      <c r="K580" s="123">
        <v>0</v>
      </c>
      <c r="L580" s="123">
        <v>46145</v>
      </c>
      <c r="M580">
        <v>0</v>
      </c>
      <c r="N580">
        <v>0</v>
      </c>
      <c r="O580">
        <v>0</v>
      </c>
      <c r="P580" s="216">
        <v>27948</v>
      </c>
      <c r="Q580" s="217" t="s">
        <v>20</v>
      </c>
      <c r="R580" s="217" t="s">
        <v>554</v>
      </c>
      <c r="S580" s="218">
        <v>0.60529518585563591</v>
      </c>
      <c r="T580" t="s">
        <v>550</v>
      </c>
      <c r="U580" t="s">
        <v>51</v>
      </c>
      <c r="V580" s="219" t="s">
        <v>6167</v>
      </c>
      <c r="W580" s="219" t="s">
        <v>67</v>
      </c>
    </row>
    <row r="581" spans="1:23" ht="15" customHeight="1" x14ac:dyDescent="0.25">
      <c r="A581" t="s">
        <v>1759</v>
      </c>
      <c r="B581" t="s">
        <v>575</v>
      </c>
      <c r="C581">
        <v>12091</v>
      </c>
      <c r="D581" t="s">
        <v>1760</v>
      </c>
      <c r="E581" t="s">
        <v>1558</v>
      </c>
      <c r="F581" t="s">
        <v>554</v>
      </c>
      <c r="G581" s="30">
        <v>46143</v>
      </c>
      <c r="H581" t="s">
        <v>1761</v>
      </c>
      <c r="I581">
        <v>2942484</v>
      </c>
      <c r="J581" s="123">
        <v>0</v>
      </c>
      <c r="K581" s="123">
        <v>0</v>
      </c>
      <c r="L581" s="123">
        <v>46143</v>
      </c>
      <c r="M581">
        <v>12091</v>
      </c>
      <c r="N581">
        <v>0</v>
      </c>
      <c r="O581">
        <v>0</v>
      </c>
      <c r="P581" s="216">
        <v>0</v>
      </c>
      <c r="Q581" s="217" t="s">
        <v>47</v>
      </c>
      <c r="R581" s="217" t="s">
        <v>554</v>
      </c>
      <c r="S581" s="218">
        <v>0.60310451622031602</v>
      </c>
      <c r="T581" t="s">
        <v>550</v>
      </c>
      <c r="U581" t="s">
        <v>51</v>
      </c>
      <c r="V581" s="219" t="s">
        <v>6168</v>
      </c>
      <c r="W581" s="219" t="s">
        <v>67</v>
      </c>
    </row>
    <row r="582" spans="1:23" ht="15" customHeight="1" x14ac:dyDescent="0.25">
      <c r="A582" t="s">
        <v>1762</v>
      </c>
      <c r="B582" t="s">
        <v>546</v>
      </c>
      <c r="C582">
        <v>1410</v>
      </c>
      <c r="D582" t="s">
        <v>1760</v>
      </c>
      <c r="E582" t="s">
        <v>1763</v>
      </c>
      <c r="F582" t="s">
        <v>554</v>
      </c>
      <c r="G582" s="30">
        <v>46143</v>
      </c>
      <c r="H582" t="s">
        <v>1761</v>
      </c>
      <c r="I582">
        <v>2942484</v>
      </c>
      <c r="J582" s="123">
        <v>0</v>
      </c>
      <c r="K582" s="123">
        <v>0</v>
      </c>
      <c r="L582" s="123">
        <v>0</v>
      </c>
      <c r="M582">
        <v>1410</v>
      </c>
      <c r="N582">
        <v>0</v>
      </c>
      <c r="O582">
        <v>0</v>
      </c>
      <c r="P582" s="216">
        <v>0</v>
      </c>
      <c r="Q582" s="217" t="s">
        <v>47</v>
      </c>
      <c r="R582" s="217" t="s">
        <v>554</v>
      </c>
      <c r="S582" s="218">
        <v>0.60310451622031602</v>
      </c>
      <c r="T582" t="s">
        <v>550</v>
      </c>
      <c r="U582" t="s">
        <v>51</v>
      </c>
      <c r="V582" s="219" t="s">
        <v>6169</v>
      </c>
      <c r="W582" s="219" t="s">
        <v>67</v>
      </c>
    </row>
    <row r="583" spans="1:23" ht="15" customHeight="1" x14ac:dyDescent="0.25">
      <c r="A583" t="s">
        <v>1764</v>
      </c>
      <c r="B583" t="s">
        <v>546</v>
      </c>
      <c r="C583">
        <v>871442</v>
      </c>
      <c r="D583" t="s">
        <v>1765</v>
      </c>
      <c r="E583" t="s">
        <v>228</v>
      </c>
      <c r="F583" t="s">
        <v>548</v>
      </c>
      <c r="G583" s="30">
        <v>46146</v>
      </c>
      <c r="H583" t="s">
        <v>1766</v>
      </c>
      <c r="I583">
        <v>4353438.5</v>
      </c>
      <c r="J583" s="123">
        <v>0</v>
      </c>
      <c r="K583" s="123">
        <v>0</v>
      </c>
      <c r="L583" s="123">
        <v>0</v>
      </c>
      <c r="M583">
        <v>0</v>
      </c>
      <c r="N583">
        <v>0</v>
      </c>
      <c r="O583">
        <v>0</v>
      </c>
      <c r="P583" s="216">
        <v>871442</v>
      </c>
      <c r="Q583" s="217" t="s">
        <v>20</v>
      </c>
      <c r="R583" s="217" t="s">
        <v>62</v>
      </c>
      <c r="S583" s="218">
        <v>0.69999982787160364</v>
      </c>
      <c r="T583" t="s">
        <v>550</v>
      </c>
      <c r="U583" t="s">
        <v>51</v>
      </c>
      <c r="V583" s="219">
        <v>0</v>
      </c>
      <c r="W583" s="219">
        <v>0</v>
      </c>
    </row>
    <row r="584" spans="1:23" ht="15" customHeight="1" x14ac:dyDescent="0.25">
      <c r="A584" t="s">
        <v>1767</v>
      </c>
      <c r="B584" t="s">
        <v>546</v>
      </c>
      <c r="C584">
        <v>6639</v>
      </c>
      <c r="D584" t="s">
        <v>1765</v>
      </c>
      <c r="E584" t="s">
        <v>228</v>
      </c>
      <c r="F584" t="s">
        <v>554</v>
      </c>
      <c r="G584" s="30">
        <v>46146</v>
      </c>
      <c r="H584" t="s">
        <v>1766</v>
      </c>
      <c r="I584">
        <v>4353438.5</v>
      </c>
      <c r="J584" s="123">
        <v>0</v>
      </c>
      <c r="K584" s="123">
        <v>0</v>
      </c>
      <c r="L584" s="123">
        <v>0</v>
      </c>
      <c r="M584">
        <v>6639</v>
      </c>
      <c r="N584">
        <v>0</v>
      </c>
      <c r="O584">
        <v>0</v>
      </c>
      <c r="P584" s="216">
        <v>0</v>
      </c>
      <c r="Q584" s="217" t="s">
        <v>20</v>
      </c>
      <c r="R584" s="217" t="s">
        <v>554</v>
      </c>
      <c r="S584" s="218">
        <v>0.69999982787160364</v>
      </c>
      <c r="T584" t="s">
        <v>550</v>
      </c>
      <c r="U584" t="s">
        <v>51</v>
      </c>
      <c r="V584" s="219" t="s">
        <v>6170</v>
      </c>
      <c r="W584" s="219" t="s">
        <v>67</v>
      </c>
    </row>
    <row r="585" spans="1:23" ht="15" customHeight="1" x14ac:dyDescent="0.25">
      <c r="A585" t="s">
        <v>1768</v>
      </c>
      <c r="B585" t="s">
        <v>546</v>
      </c>
      <c r="C585">
        <v>871442</v>
      </c>
      <c r="D585" t="s">
        <v>1765</v>
      </c>
      <c r="E585" t="s">
        <v>228</v>
      </c>
      <c r="F585" t="s">
        <v>554</v>
      </c>
      <c r="G585" s="30">
        <v>46146</v>
      </c>
      <c r="H585" t="s">
        <v>1766</v>
      </c>
      <c r="I585">
        <v>4353438.5</v>
      </c>
      <c r="J585" s="123">
        <v>0</v>
      </c>
      <c r="K585" s="123">
        <v>0</v>
      </c>
      <c r="L585" s="123">
        <v>0</v>
      </c>
      <c r="M585">
        <v>0</v>
      </c>
      <c r="N585">
        <v>0</v>
      </c>
      <c r="O585">
        <v>0</v>
      </c>
      <c r="P585" s="216">
        <v>871442</v>
      </c>
      <c r="Q585" s="217" t="s">
        <v>20</v>
      </c>
      <c r="R585" s="217" t="s">
        <v>554</v>
      </c>
      <c r="S585" s="218">
        <v>0.69999982787160364</v>
      </c>
      <c r="T585" t="s">
        <v>550</v>
      </c>
      <c r="U585" t="s">
        <v>51</v>
      </c>
      <c r="V585" s="219" t="s">
        <v>6171</v>
      </c>
      <c r="W585" s="219" t="s">
        <v>67</v>
      </c>
    </row>
    <row r="586" spans="1:23" ht="15" customHeight="1" x14ac:dyDescent="0.25">
      <c r="A586" t="s">
        <v>1769</v>
      </c>
      <c r="B586" t="s">
        <v>546</v>
      </c>
      <c r="C586">
        <v>871442</v>
      </c>
      <c r="D586" t="s">
        <v>1765</v>
      </c>
      <c r="E586" t="s">
        <v>228</v>
      </c>
      <c r="F586" t="s">
        <v>548</v>
      </c>
      <c r="G586" s="30">
        <v>46146</v>
      </c>
      <c r="H586" t="s">
        <v>1766</v>
      </c>
      <c r="I586">
        <v>4353438.5</v>
      </c>
      <c r="J586" s="123">
        <v>0</v>
      </c>
      <c r="K586" s="123">
        <v>0</v>
      </c>
      <c r="L586" s="123">
        <v>0</v>
      </c>
      <c r="M586">
        <v>0</v>
      </c>
      <c r="N586">
        <v>0</v>
      </c>
      <c r="O586">
        <v>0</v>
      </c>
      <c r="P586" s="216">
        <v>871442</v>
      </c>
      <c r="Q586" s="217" t="s">
        <v>20</v>
      </c>
      <c r="R586" s="217" t="s">
        <v>62</v>
      </c>
      <c r="S586" s="218">
        <v>0.69999982787160364</v>
      </c>
      <c r="T586" t="s">
        <v>550</v>
      </c>
      <c r="U586" t="s">
        <v>51</v>
      </c>
      <c r="V586" s="219">
        <v>0</v>
      </c>
      <c r="W586" s="219">
        <v>0</v>
      </c>
    </row>
    <row r="587" spans="1:23" ht="15" customHeight="1" x14ac:dyDescent="0.25">
      <c r="A587" t="s">
        <v>1770</v>
      </c>
      <c r="B587" t="s">
        <v>546</v>
      </c>
      <c r="C587">
        <v>871442</v>
      </c>
      <c r="D587" t="s">
        <v>1765</v>
      </c>
      <c r="E587" t="s">
        <v>228</v>
      </c>
      <c r="F587" t="s">
        <v>548</v>
      </c>
      <c r="G587" s="30">
        <v>46146</v>
      </c>
      <c r="H587" t="s">
        <v>1766</v>
      </c>
      <c r="I587">
        <v>4353438.5</v>
      </c>
      <c r="J587" s="123">
        <v>0</v>
      </c>
      <c r="K587" s="123">
        <v>0</v>
      </c>
      <c r="L587" s="123">
        <v>0</v>
      </c>
      <c r="M587">
        <v>0</v>
      </c>
      <c r="N587">
        <v>0</v>
      </c>
      <c r="O587">
        <v>0</v>
      </c>
      <c r="P587" s="216">
        <v>871442</v>
      </c>
      <c r="Q587" s="217" t="s">
        <v>20</v>
      </c>
      <c r="R587" s="217" t="s">
        <v>62</v>
      </c>
      <c r="S587" s="218">
        <v>0.69999982787160364</v>
      </c>
      <c r="T587" t="s">
        <v>550</v>
      </c>
      <c r="U587" t="s">
        <v>51</v>
      </c>
      <c r="V587" s="219">
        <v>0</v>
      </c>
      <c r="W587" s="219">
        <v>0</v>
      </c>
    </row>
    <row r="588" spans="1:23" ht="15" customHeight="1" x14ac:dyDescent="0.25">
      <c r="A588" t="s">
        <v>1771</v>
      </c>
      <c r="B588" t="s">
        <v>575</v>
      </c>
      <c r="C588">
        <v>14310</v>
      </c>
      <c r="D588" t="s">
        <v>1772</v>
      </c>
      <c r="E588" t="s">
        <v>228</v>
      </c>
      <c r="F588" t="s">
        <v>554</v>
      </c>
      <c r="G588" s="30">
        <v>46146</v>
      </c>
      <c r="H588" t="s">
        <v>1773</v>
      </c>
      <c r="I588">
        <v>3144500.5</v>
      </c>
      <c r="J588" s="123">
        <v>0</v>
      </c>
      <c r="K588" s="123">
        <v>0</v>
      </c>
      <c r="L588" s="123">
        <v>46136</v>
      </c>
      <c r="M588">
        <v>0</v>
      </c>
      <c r="N588">
        <v>0</v>
      </c>
      <c r="O588">
        <v>0</v>
      </c>
      <c r="P588" s="216">
        <v>14310</v>
      </c>
      <c r="Q588" s="217" t="s">
        <v>20</v>
      </c>
      <c r="R588" s="217" t="s">
        <v>554</v>
      </c>
      <c r="S588" s="218">
        <v>0.60421437273553669</v>
      </c>
      <c r="T588" t="s">
        <v>550</v>
      </c>
      <c r="U588" t="s">
        <v>51</v>
      </c>
      <c r="V588" s="219" t="s">
        <v>6172</v>
      </c>
      <c r="W588" s="219" t="s">
        <v>67</v>
      </c>
    </row>
    <row r="589" spans="1:23" ht="15" customHeight="1" x14ac:dyDescent="0.25">
      <c r="A589" t="s">
        <v>1774</v>
      </c>
      <c r="B589" t="s">
        <v>546</v>
      </c>
      <c r="C589">
        <v>6281.99</v>
      </c>
      <c r="D589" t="s">
        <v>1775</v>
      </c>
      <c r="E589" t="s">
        <v>228</v>
      </c>
      <c r="F589" t="s">
        <v>554</v>
      </c>
      <c r="G589" s="30">
        <v>46143</v>
      </c>
      <c r="H589" t="s">
        <v>1776</v>
      </c>
      <c r="I589">
        <v>4353438.5</v>
      </c>
      <c r="J589" s="123">
        <v>0</v>
      </c>
      <c r="K589" s="123">
        <v>0</v>
      </c>
      <c r="L589" s="123">
        <v>0</v>
      </c>
      <c r="M589">
        <v>6281.99</v>
      </c>
      <c r="N589">
        <v>0</v>
      </c>
      <c r="O589">
        <v>0</v>
      </c>
      <c r="P589" s="216">
        <v>0</v>
      </c>
      <c r="Q589" s="217" t="s">
        <v>20</v>
      </c>
      <c r="R589" s="217" t="s">
        <v>554</v>
      </c>
      <c r="S589" s="218">
        <v>0.60445192884212096</v>
      </c>
      <c r="T589" t="s">
        <v>550</v>
      </c>
      <c r="U589" t="s">
        <v>51</v>
      </c>
      <c r="V589" s="219" t="s">
        <v>6173</v>
      </c>
      <c r="W589" s="219" t="s">
        <v>67</v>
      </c>
    </row>
    <row r="590" spans="1:23" ht="15" customHeight="1" x14ac:dyDescent="0.25">
      <c r="A590" t="s">
        <v>1777</v>
      </c>
      <c r="B590" t="s">
        <v>546</v>
      </c>
      <c r="C590">
        <v>171</v>
      </c>
      <c r="D590" t="s">
        <v>1778</v>
      </c>
      <c r="E590" t="s">
        <v>157</v>
      </c>
      <c r="F590" t="s">
        <v>548</v>
      </c>
      <c r="G590" s="30">
        <v>46147</v>
      </c>
      <c r="H590" t="s">
        <v>1779</v>
      </c>
      <c r="I590">
        <v>1889875</v>
      </c>
      <c r="J590" s="123">
        <v>0</v>
      </c>
      <c r="K590" s="123">
        <v>0</v>
      </c>
      <c r="L590" s="123">
        <v>0</v>
      </c>
      <c r="M590">
        <v>0</v>
      </c>
      <c r="N590">
        <v>0</v>
      </c>
      <c r="O590">
        <v>0</v>
      </c>
      <c r="P590" s="216">
        <v>171</v>
      </c>
      <c r="Q590" s="217" t="s">
        <v>14</v>
      </c>
      <c r="R590" s="217" t="s">
        <v>62</v>
      </c>
      <c r="S590" s="218">
        <v>1.0498499213243948</v>
      </c>
      <c r="T590" t="s">
        <v>550</v>
      </c>
      <c r="U590" t="s">
        <v>51</v>
      </c>
      <c r="V590" s="219">
        <v>0</v>
      </c>
      <c r="W590" s="219">
        <v>0</v>
      </c>
    </row>
    <row r="591" spans="1:23" ht="15" customHeight="1" x14ac:dyDescent="0.25">
      <c r="A591" t="s">
        <v>1780</v>
      </c>
      <c r="B591" t="s">
        <v>546</v>
      </c>
      <c r="C591">
        <v>5545</v>
      </c>
      <c r="D591" t="s">
        <v>1781</v>
      </c>
      <c r="E591" t="s">
        <v>157</v>
      </c>
      <c r="F591" t="s">
        <v>554</v>
      </c>
      <c r="G591" s="30">
        <v>46149</v>
      </c>
      <c r="H591" t="s">
        <v>1782</v>
      </c>
      <c r="I591">
        <v>1889875</v>
      </c>
      <c r="J591" s="123">
        <v>0</v>
      </c>
      <c r="K591" s="123">
        <v>0</v>
      </c>
      <c r="L591" s="123">
        <v>0</v>
      </c>
      <c r="M591">
        <v>5545</v>
      </c>
      <c r="N591">
        <v>0</v>
      </c>
      <c r="O591">
        <v>0</v>
      </c>
      <c r="P591" s="216">
        <v>0</v>
      </c>
      <c r="Q591" s="217" t="s">
        <v>14</v>
      </c>
      <c r="R591" s="217" t="s">
        <v>554</v>
      </c>
      <c r="S591" s="218">
        <v>1.050000132227908</v>
      </c>
      <c r="T591" t="s">
        <v>550</v>
      </c>
      <c r="U591" t="s">
        <v>51</v>
      </c>
      <c r="V591" s="219" t="s">
        <v>6174</v>
      </c>
      <c r="W591" s="219" t="s">
        <v>67</v>
      </c>
    </row>
    <row r="592" spans="1:23" ht="15" customHeight="1" x14ac:dyDescent="0.25">
      <c r="A592" t="s">
        <v>1783</v>
      </c>
      <c r="B592" t="s">
        <v>546</v>
      </c>
      <c r="C592">
        <v>282</v>
      </c>
      <c r="D592" t="s">
        <v>1781</v>
      </c>
      <c r="E592" t="s">
        <v>157</v>
      </c>
      <c r="F592" t="s">
        <v>554</v>
      </c>
      <c r="G592" s="30">
        <v>46149</v>
      </c>
      <c r="H592" t="s">
        <v>1782</v>
      </c>
      <c r="I592">
        <v>1889875</v>
      </c>
      <c r="J592" s="123">
        <v>0</v>
      </c>
      <c r="K592" s="123">
        <v>0</v>
      </c>
      <c r="L592" s="123">
        <v>0</v>
      </c>
      <c r="M592">
        <v>0</v>
      </c>
      <c r="N592">
        <v>0</v>
      </c>
      <c r="O592">
        <v>0</v>
      </c>
      <c r="P592" s="216">
        <v>282</v>
      </c>
      <c r="Q592" s="217" t="s">
        <v>14</v>
      </c>
      <c r="R592" s="217" t="s">
        <v>554</v>
      </c>
      <c r="S592" s="218">
        <v>1.050000132227908</v>
      </c>
      <c r="T592" t="s">
        <v>550</v>
      </c>
      <c r="U592" t="s">
        <v>51</v>
      </c>
      <c r="V592" s="219" t="s">
        <v>6175</v>
      </c>
      <c r="W592" s="219" t="s">
        <v>67</v>
      </c>
    </row>
    <row r="593" spans="1:23" ht="15" customHeight="1" x14ac:dyDescent="0.25">
      <c r="A593" t="s">
        <v>1784</v>
      </c>
      <c r="B593" t="s">
        <v>546</v>
      </c>
      <c r="C593">
        <v>250000</v>
      </c>
      <c r="D593" t="s">
        <v>1785</v>
      </c>
      <c r="E593" t="s">
        <v>553</v>
      </c>
      <c r="F593" t="s">
        <v>548</v>
      </c>
      <c r="G593" s="30">
        <v>46146</v>
      </c>
      <c r="H593" t="s">
        <v>1786</v>
      </c>
      <c r="I593">
        <v>1989908.28</v>
      </c>
      <c r="J593" s="123">
        <v>46146</v>
      </c>
      <c r="K593" s="123">
        <v>0</v>
      </c>
      <c r="L593" s="123">
        <v>46146</v>
      </c>
      <c r="M593">
        <v>0</v>
      </c>
      <c r="N593">
        <v>0</v>
      </c>
      <c r="O593" t="s">
        <v>556</v>
      </c>
      <c r="P593" s="216">
        <v>250000</v>
      </c>
      <c r="Q593" s="217" t="s">
        <v>39</v>
      </c>
      <c r="R593" s="217" t="s">
        <v>62</v>
      </c>
      <c r="S593" s="218">
        <v>0.79470659823577394</v>
      </c>
      <c r="T593" t="s">
        <v>550</v>
      </c>
      <c r="U593" t="s">
        <v>51</v>
      </c>
      <c r="V593" s="219">
        <v>0</v>
      </c>
      <c r="W593" s="219">
        <v>0</v>
      </c>
    </row>
    <row r="594" spans="1:23" ht="15" customHeight="1" x14ac:dyDescent="0.25">
      <c r="A594" t="s">
        <v>1787</v>
      </c>
      <c r="B594" t="s">
        <v>595</v>
      </c>
      <c r="C594">
        <v>257370</v>
      </c>
      <c r="D594" t="s">
        <v>1785</v>
      </c>
      <c r="E594" t="s">
        <v>278</v>
      </c>
      <c r="F594" t="s">
        <v>554</v>
      </c>
      <c r="G594" s="30">
        <v>46147</v>
      </c>
      <c r="H594" t="s">
        <v>1786</v>
      </c>
      <c r="I594">
        <v>1989908.28</v>
      </c>
      <c r="J594" s="123">
        <v>0</v>
      </c>
      <c r="K594" s="123">
        <v>0</v>
      </c>
      <c r="L594" s="123">
        <v>46146</v>
      </c>
      <c r="M594">
        <v>0</v>
      </c>
      <c r="N594">
        <v>0</v>
      </c>
      <c r="O594">
        <v>0</v>
      </c>
      <c r="P594" s="216">
        <v>257370</v>
      </c>
      <c r="Q594" s="217" t="s">
        <v>39</v>
      </c>
      <c r="R594" s="217" t="s">
        <v>554</v>
      </c>
      <c r="S594" s="218">
        <v>0.79470659823577394</v>
      </c>
      <c r="T594" t="s">
        <v>550</v>
      </c>
      <c r="U594" t="s">
        <v>51</v>
      </c>
      <c r="V594" s="219" t="s">
        <v>6176</v>
      </c>
      <c r="W594" s="219" t="s">
        <v>67</v>
      </c>
    </row>
    <row r="595" spans="1:23" ht="15" customHeight="1" x14ac:dyDescent="0.25">
      <c r="A595" t="s">
        <v>1788</v>
      </c>
      <c r="B595" t="s">
        <v>595</v>
      </c>
      <c r="C595">
        <v>487353</v>
      </c>
      <c r="D595" t="s">
        <v>1789</v>
      </c>
      <c r="E595" t="s">
        <v>278</v>
      </c>
      <c r="F595" t="s">
        <v>580</v>
      </c>
      <c r="G595" s="30">
        <v>46149</v>
      </c>
      <c r="H595" t="s">
        <v>1790</v>
      </c>
      <c r="I595">
        <v>1239101.6000000001</v>
      </c>
      <c r="J595" s="123">
        <v>0</v>
      </c>
      <c r="K595" s="123">
        <v>0</v>
      </c>
      <c r="L595" s="123">
        <v>46148</v>
      </c>
      <c r="M595">
        <v>0</v>
      </c>
      <c r="N595">
        <v>0</v>
      </c>
      <c r="O595">
        <v>0</v>
      </c>
      <c r="P595" s="216">
        <v>487353</v>
      </c>
      <c r="Q595" s="217" t="s">
        <v>39</v>
      </c>
      <c r="R595" s="217" t="s">
        <v>582</v>
      </c>
      <c r="S595" s="218">
        <v>0.60210365316290437</v>
      </c>
      <c r="T595" t="s">
        <v>550</v>
      </c>
      <c r="U595" t="s">
        <v>51</v>
      </c>
      <c r="V595" s="219">
        <v>0</v>
      </c>
      <c r="W595" s="219">
        <v>0</v>
      </c>
    </row>
    <row r="596" spans="1:23" ht="15" customHeight="1" x14ac:dyDescent="0.25">
      <c r="A596" t="s">
        <v>1791</v>
      </c>
      <c r="B596" t="s">
        <v>546</v>
      </c>
      <c r="C596">
        <v>201478</v>
      </c>
      <c r="D596" t="s">
        <v>1792</v>
      </c>
      <c r="E596" t="s">
        <v>278</v>
      </c>
      <c r="F596" t="s">
        <v>548</v>
      </c>
      <c r="G596" s="30">
        <v>46143</v>
      </c>
      <c r="H596" t="s">
        <v>1793</v>
      </c>
      <c r="I596">
        <v>2014774.96</v>
      </c>
      <c r="J596" s="123">
        <v>0</v>
      </c>
      <c r="K596" s="123">
        <v>0</v>
      </c>
      <c r="L596" s="123">
        <v>0</v>
      </c>
      <c r="M596">
        <v>0</v>
      </c>
      <c r="N596">
        <v>0</v>
      </c>
      <c r="O596">
        <v>0</v>
      </c>
      <c r="P596" s="216">
        <v>201478</v>
      </c>
      <c r="Q596" s="217" t="s">
        <v>39</v>
      </c>
      <c r="R596" s="217" t="s">
        <v>62</v>
      </c>
      <c r="S596" s="218">
        <v>0.700537155772474</v>
      </c>
      <c r="T596" t="s">
        <v>550</v>
      </c>
      <c r="U596" t="s">
        <v>51</v>
      </c>
      <c r="V596" s="219">
        <v>0</v>
      </c>
      <c r="W596" s="219">
        <v>0</v>
      </c>
    </row>
    <row r="597" spans="1:23" ht="15" customHeight="1" x14ac:dyDescent="0.25">
      <c r="A597" t="s">
        <v>1794</v>
      </c>
      <c r="B597" t="s">
        <v>546</v>
      </c>
      <c r="C597">
        <v>5000</v>
      </c>
      <c r="D597" t="s">
        <v>1792</v>
      </c>
      <c r="E597" t="s">
        <v>1795</v>
      </c>
      <c r="F597" t="s">
        <v>548</v>
      </c>
      <c r="G597" s="30">
        <v>46147</v>
      </c>
      <c r="H597" t="s">
        <v>1793</v>
      </c>
      <c r="I597">
        <v>2014774.96</v>
      </c>
      <c r="J597" s="123">
        <v>0</v>
      </c>
      <c r="K597" s="123">
        <v>0</v>
      </c>
      <c r="L597" s="123">
        <v>0</v>
      </c>
      <c r="M597">
        <v>5000</v>
      </c>
      <c r="N597">
        <v>0</v>
      </c>
      <c r="O597">
        <v>0</v>
      </c>
      <c r="P597" s="216">
        <v>0</v>
      </c>
      <c r="Q597" s="217" t="s">
        <v>39</v>
      </c>
      <c r="R597" s="217" t="s">
        <v>62</v>
      </c>
      <c r="S597" s="218">
        <v>0.700537155772474</v>
      </c>
      <c r="T597" t="s">
        <v>550</v>
      </c>
      <c r="U597" t="s">
        <v>51</v>
      </c>
      <c r="V597" s="219">
        <v>0</v>
      </c>
      <c r="W597" s="219">
        <v>0</v>
      </c>
    </row>
    <row r="598" spans="1:23" ht="15" customHeight="1" x14ac:dyDescent="0.25">
      <c r="A598" t="s">
        <v>1796</v>
      </c>
      <c r="B598" t="s">
        <v>546</v>
      </c>
      <c r="C598">
        <v>201478</v>
      </c>
      <c r="D598" t="s">
        <v>1792</v>
      </c>
      <c r="E598" t="s">
        <v>278</v>
      </c>
      <c r="F598" t="s">
        <v>554</v>
      </c>
      <c r="G598" s="30">
        <v>46147</v>
      </c>
      <c r="H598" t="s">
        <v>1793</v>
      </c>
      <c r="I598">
        <v>2014774.96</v>
      </c>
      <c r="J598" s="123">
        <v>0</v>
      </c>
      <c r="K598" s="123">
        <v>0</v>
      </c>
      <c r="L598" s="123">
        <v>0</v>
      </c>
      <c r="M598">
        <v>0</v>
      </c>
      <c r="N598">
        <v>0</v>
      </c>
      <c r="O598">
        <v>0</v>
      </c>
      <c r="P598" s="216">
        <v>201478</v>
      </c>
      <c r="Q598" s="217" t="s">
        <v>39</v>
      </c>
      <c r="R598" s="217" t="s">
        <v>554</v>
      </c>
      <c r="S598" s="218">
        <v>0.700537155772474</v>
      </c>
      <c r="T598" t="s">
        <v>550</v>
      </c>
      <c r="U598" t="s">
        <v>51</v>
      </c>
      <c r="V598" s="219" t="s">
        <v>6177</v>
      </c>
      <c r="W598" s="219" t="s">
        <v>67</v>
      </c>
    </row>
    <row r="599" spans="1:23" ht="15" customHeight="1" x14ac:dyDescent="0.25">
      <c r="A599" t="s">
        <v>1797</v>
      </c>
      <c r="B599" t="s">
        <v>546</v>
      </c>
      <c r="C599">
        <v>5000</v>
      </c>
      <c r="D599" t="s">
        <v>1792</v>
      </c>
      <c r="E599" t="s">
        <v>1558</v>
      </c>
      <c r="F599" t="s">
        <v>554</v>
      </c>
      <c r="G599" s="30">
        <v>46148</v>
      </c>
      <c r="H599" t="s">
        <v>1793</v>
      </c>
      <c r="I599">
        <v>2014774.96</v>
      </c>
      <c r="J599" s="123">
        <v>0</v>
      </c>
      <c r="K599" s="123">
        <v>0</v>
      </c>
      <c r="L599" s="123">
        <v>0</v>
      </c>
      <c r="M599">
        <v>5000</v>
      </c>
      <c r="N599">
        <v>0</v>
      </c>
      <c r="O599">
        <v>0</v>
      </c>
      <c r="P599" s="216">
        <v>0</v>
      </c>
      <c r="Q599" s="217" t="s">
        <v>39</v>
      </c>
      <c r="R599" s="217" t="s">
        <v>554</v>
      </c>
      <c r="S599" s="218">
        <v>0.700537155772474</v>
      </c>
      <c r="T599" t="s">
        <v>550</v>
      </c>
      <c r="U599" t="s">
        <v>51</v>
      </c>
      <c r="V599" s="219" t="s">
        <v>6178</v>
      </c>
      <c r="W599" s="219" t="s">
        <v>67</v>
      </c>
    </row>
    <row r="600" spans="1:23" ht="15" customHeight="1" x14ac:dyDescent="0.25">
      <c r="A600" t="s">
        <v>1798</v>
      </c>
      <c r="B600" t="s">
        <v>575</v>
      </c>
      <c r="C600">
        <v>52000</v>
      </c>
      <c r="D600" t="s">
        <v>1799</v>
      </c>
      <c r="E600" t="s">
        <v>243</v>
      </c>
      <c r="F600" t="s">
        <v>580</v>
      </c>
      <c r="G600" s="30">
        <v>46147</v>
      </c>
      <c r="H600" t="s">
        <v>1800</v>
      </c>
      <c r="I600">
        <v>1571165.75</v>
      </c>
      <c r="J600" s="123">
        <v>0</v>
      </c>
      <c r="K600" s="123">
        <v>0</v>
      </c>
      <c r="L600" s="123">
        <v>46142</v>
      </c>
      <c r="M600">
        <v>0</v>
      </c>
      <c r="N600">
        <v>0</v>
      </c>
      <c r="O600">
        <v>0</v>
      </c>
      <c r="P600" s="216">
        <v>52000</v>
      </c>
      <c r="Q600" s="217" t="s">
        <v>21</v>
      </c>
      <c r="R600" s="217" t="s">
        <v>582</v>
      </c>
      <c r="S600" s="218">
        <v>0.56561456061930715</v>
      </c>
      <c r="T600" t="s">
        <v>550</v>
      </c>
      <c r="U600" t="s">
        <v>51</v>
      </c>
      <c r="V600" s="219">
        <v>0</v>
      </c>
      <c r="W600" s="219">
        <v>0</v>
      </c>
    </row>
    <row r="601" spans="1:23" ht="15" customHeight="1" x14ac:dyDescent="0.25">
      <c r="A601" t="s">
        <v>1801</v>
      </c>
      <c r="B601" t="s">
        <v>575</v>
      </c>
      <c r="C601">
        <v>100000</v>
      </c>
      <c r="D601" t="s">
        <v>1799</v>
      </c>
      <c r="E601" t="s">
        <v>243</v>
      </c>
      <c r="F601" t="s">
        <v>554</v>
      </c>
      <c r="G601" s="30">
        <v>46147</v>
      </c>
      <c r="H601" t="s">
        <v>1800</v>
      </c>
      <c r="I601">
        <v>1571165.75</v>
      </c>
      <c r="J601" s="123">
        <v>0</v>
      </c>
      <c r="K601" s="123">
        <v>0</v>
      </c>
      <c r="L601" s="123">
        <v>46142</v>
      </c>
      <c r="M601">
        <v>0</v>
      </c>
      <c r="N601">
        <v>0</v>
      </c>
      <c r="O601">
        <v>0</v>
      </c>
      <c r="P601" s="216">
        <v>100000</v>
      </c>
      <c r="Q601" s="217" t="s">
        <v>21</v>
      </c>
      <c r="R601" s="217" t="s">
        <v>554</v>
      </c>
      <c r="S601" s="218">
        <v>0.56561456061930715</v>
      </c>
      <c r="T601" t="s">
        <v>550</v>
      </c>
      <c r="U601" t="s">
        <v>51</v>
      </c>
      <c r="V601" s="219" t="s">
        <v>6179</v>
      </c>
      <c r="W601" s="219" t="s">
        <v>67</v>
      </c>
    </row>
    <row r="602" spans="1:23" ht="15" customHeight="1" x14ac:dyDescent="0.25">
      <c r="A602" t="s">
        <v>1802</v>
      </c>
      <c r="B602" t="s">
        <v>650</v>
      </c>
      <c r="C602">
        <v>49000</v>
      </c>
      <c r="D602" t="s">
        <v>1803</v>
      </c>
      <c r="E602" t="s">
        <v>278</v>
      </c>
      <c r="F602" t="s">
        <v>580</v>
      </c>
      <c r="G602" s="30">
        <v>46149</v>
      </c>
      <c r="H602" t="s">
        <v>1804</v>
      </c>
      <c r="I602">
        <v>1644044.16</v>
      </c>
      <c r="J602" s="123">
        <v>0</v>
      </c>
      <c r="K602" s="123">
        <v>0</v>
      </c>
      <c r="L602" s="123">
        <v>0</v>
      </c>
      <c r="M602">
        <v>0</v>
      </c>
      <c r="N602">
        <v>0</v>
      </c>
      <c r="O602">
        <v>0</v>
      </c>
      <c r="P602" s="216">
        <v>49000</v>
      </c>
      <c r="Q602" s="217" t="s">
        <v>39</v>
      </c>
      <c r="R602" s="217" t="s">
        <v>582</v>
      </c>
      <c r="S602" s="218">
        <v>0.60183981311061618</v>
      </c>
      <c r="T602" t="s">
        <v>550</v>
      </c>
      <c r="U602" t="s">
        <v>51</v>
      </c>
      <c r="V602" s="219">
        <v>0</v>
      </c>
      <c r="W602" s="219">
        <v>0</v>
      </c>
    </row>
    <row r="603" spans="1:23" ht="15" customHeight="1" x14ac:dyDescent="0.25">
      <c r="A603" t="s">
        <v>1805</v>
      </c>
      <c r="B603" t="s">
        <v>650</v>
      </c>
      <c r="C603">
        <v>45000</v>
      </c>
      <c r="D603" t="s">
        <v>1803</v>
      </c>
      <c r="E603" t="s">
        <v>278</v>
      </c>
      <c r="F603" t="s">
        <v>580</v>
      </c>
      <c r="G603" s="30">
        <v>46149</v>
      </c>
      <c r="H603" t="s">
        <v>1804</v>
      </c>
      <c r="I603">
        <v>1644044.16</v>
      </c>
      <c r="J603" s="123">
        <v>0</v>
      </c>
      <c r="K603" s="123">
        <v>0</v>
      </c>
      <c r="L603" s="123">
        <v>0</v>
      </c>
      <c r="M603">
        <v>0</v>
      </c>
      <c r="N603">
        <v>0</v>
      </c>
      <c r="O603">
        <v>0</v>
      </c>
      <c r="P603" s="216">
        <v>45000</v>
      </c>
      <c r="Q603" s="217" t="s">
        <v>39</v>
      </c>
      <c r="R603" s="217" t="s">
        <v>582</v>
      </c>
      <c r="S603" s="218">
        <v>0.60183981311061618</v>
      </c>
      <c r="T603" t="s">
        <v>550</v>
      </c>
      <c r="U603" t="s">
        <v>51</v>
      </c>
      <c r="V603" s="219">
        <v>0</v>
      </c>
      <c r="W603" s="219">
        <v>0</v>
      </c>
    </row>
    <row r="604" spans="1:23" ht="15" customHeight="1" x14ac:dyDescent="0.25">
      <c r="A604" t="s">
        <v>1806</v>
      </c>
      <c r="B604" t="s">
        <v>546</v>
      </c>
      <c r="C604">
        <v>306930</v>
      </c>
      <c r="D604" t="s">
        <v>1807</v>
      </c>
      <c r="E604" t="s">
        <v>278</v>
      </c>
      <c r="F604" t="s">
        <v>548</v>
      </c>
      <c r="G604" s="30">
        <v>46148</v>
      </c>
      <c r="H604" t="s">
        <v>1808</v>
      </c>
      <c r="I604">
        <v>1534651.08</v>
      </c>
      <c r="J604" s="123">
        <v>0</v>
      </c>
      <c r="K604" s="123">
        <v>0</v>
      </c>
      <c r="L604" s="123">
        <v>0</v>
      </c>
      <c r="M604">
        <v>0</v>
      </c>
      <c r="N604">
        <v>0</v>
      </c>
      <c r="O604">
        <v>0</v>
      </c>
      <c r="P604" s="216">
        <v>306930</v>
      </c>
      <c r="Q604" s="217" t="s">
        <v>39</v>
      </c>
      <c r="R604" s="217" t="s">
        <v>62</v>
      </c>
      <c r="S604" s="218">
        <v>0.60208510718931629</v>
      </c>
      <c r="T604" t="s">
        <v>550</v>
      </c>
      <c r="U604" t="s">
        <v>51</v>
      </c>
      <c r="V604" s="219">
        <v>0</v>
      </c>
      <c r="W604" s="219">
        <v>0</v>
      </c>
    </row>
    <row r="605" spans="1:23" ht="15" customHeight="1" x14ac:dyDescent="0.25">
      <c r="A605" t="s">
        <v>1809</v>
      </c>
      <c r="B605" t="s">
        <v>546</v>
      </c>
      <c r="C605">
        <v>306930</v>
      </c>
      <c r="D605" t="s">
        <v>1807</v>
      </c>
      <c r="E605" t="s">
        <v>278</v>
      </c>
      <c r="F605" t="s">
        <v>548</v>
      </c>
      <c r="G605" s="30">
        <v>46148</v>
      </c>
      <c r="H605" t="s">
        <v>1808</v>
      </c>
      <c r="I605">
        <v>1534651.08</v>
      </c>
      <c r="J605" s="123">
        <v>0</v>
      </c>
      <c r="K605" s="123">
        <v>0</v>
      </c>
      <c r="L605" s="123">
        <v>0</v>
      </c>
      <c r="M605">
        <v>0</v>
      </c>
      <c r="N605">
        <v>0</v>
      </c>
      <c r="O605">
        <v>0</v>
      </c>
      <c r="P605" s="216">
        <v>306930</v>
      </c>
      <c r="Q605" s="217" t="s">
        <v>39</v>
      </c>
      <c r="R605" s="217" t="s">
        <v>62</v>
      </c>
      <c r="S605" s="218">
        <v>0.60208510718931629</v>
      </c>
      <c r="T605" t="s">
        <v>550</v>
      </c>
      <c r="U605" t="s">
        <v>51</v>
      </c>
      <c r="V605" s="219">
        <v>0</v>
      </c>
      <c r="W605" s="219">
        <v>0</v>
      </c>
    </row>
    <row r="606" spans="1:23" ht="15" customHeight="1" x14ac:dyDescent="0.25">
      <c r="A606" t="s">
        <v>1810</v>
      </c>
      <c r="B606" t="s">
        <v>575</v>
      </c>
      <c r="C606">
        <v>306930</v>
      </c>
      <c r="D606" t="s">
        <v>1807</v>
      </c>
      <c r="E606" t="s">
        <v>278</v>
      </c>
      <c r="F606" t="s">
        <v>580</v>
      </c>
      <c r="G606" s="30">
        <v>46149</v>
      </c>
      <c r="H606" t="s">
        <v>1808</v>
      </c>
      <c r="I606">
        <v>1534651.08</v>
      </c>
      <c r="J606" s="123">
        <v>0</v>
      </c>
      <c r="K606" s="123">
        <v>0</v>
      </c>
      <c r="L606" s="123">
        <v>46148</v>
      </c>
      <c r="M606">
        <v>0</v>
      </c>
      <c r="N606">
        <v>0</v>
      </c>
      <c r="O606">
        <v>0</v>
      </c>
      <c r="P606" s="216">
        <v>306930</v>
      </c>
      <c r="Q606" s="217" t="s">
        <v>39</v>
      </c>
      <c r="R606" s="217" t="s">
        <v>582</v>
      </c>
      <c r="S606" s="218">
        <v>0.60208510718931629</v>
      </c>
      <c r="T606" t="s">
        <v>550</v>
      </c>
      <c r="U606" t="s">
        <v>51</v>
      </c>
      <c r="V606" s="219">
        <v>0</v>
      </c>
      <c r="W606" s="219">
        <v>0</v>
      </c>
    </row>
    <row r="607" spans="1:23" ht="15" customHeight="1" x14ac:dyDescent="0.25">
      <c r="A607" t="s">
        <v>1811</v>
      </c>
      <c r="B607" t="s">
        <v>546</v>
      </c>
      <c r="C607">
        <v>27651.919999999998</v>
      </c>
      <c r="D607" t="s">
        <v>1812</v>
      </c>
      <c r="E607" t="s">
        <v>1813</v>
      </c>
      <c r="F607" t="s">
        <v>554</v>
      </c>
      <c r="G607" s="30">
        <v>46143</v>
      </c>
      <c r="H607" t="s">
        <v>1814</v>
      </c>
      <c r="I607">
        <v>2662548</v>
      </c>
      <c r="J607" s="123">
        <v>0</v>
      </c>
      <c r="K607" s="123">
        <v>0</v>
      </c>
      <c r="L607" s="123">
        <v>0</v>
      </c>
      <c r="M607">
        <v>0</v>
      </c>
      <c r="N607">
        <v>27651.919999999998</v>
      </c>
      <c r="O607">
        <v>0</v>
      </c>
      <c r="P607" s="216">
        <v>0</v>
      </c>
      <c r="Q607" s="217" t="s">
        <v>24</v>
      </c>
      <c r="R607" s="217" t="s">
        <v>554</v>
      </c>
      <c r="S607" s="218">
        <v>0.13004648179112641</v>
      </c>
      <c r="T607" t="s">
        <v>550</v>
      </c>
      <c r="U607" t="s">
        <v>51</v>
      </c>
      <c r="V607" s="219" t="s">
        <v>6180</v>
      </c>
      <c r="W607" s="219" t="s">
        <v>67</v>
      </c>
    </row>
    <row r="608" spans="1:23" ht="15" customHeight="1" x14ac:dyDescent="0.25">
      <c r="A608" t="s">
        <v>1815</v>
      </c>
      <c r="B608" t="s">
        <v>546</v>
      </c>
      <c r="C608">
        <v>80000</v>
      </c>
      <c r="D608" t="s">
        <v>1812</v>
      </c>
      <c r="E608" t="s">
        <v>1813</v>
      </c>
      <c r="F608" t="s">
        <v>554</v>
      </c>
      <c r="G608" s="30">
        <v>46143</v>
      </c>
      <c r="H608" t="s">
        <v>1814</v>
      </c>
      <c r="I608">
        <v>2662548</v>
      </c>
      <c r="J608" s="123">
        <v>0</v>
      </c>
      <c r="K608" s="123">
        <v>0</v>
      </c>
      <c r="L608" s="123">
        <v>0</v>
      </c>
      <c r="M608">
        <v>0</v>
      </c>
      <c r="N608">
        <v>80000</v>
      </c>
      <c r="O608">
        <v>0</v>
      </c>
      <c r="P608" s="216">
        <v>0</v>
      </c>
      <c r="Q608" s="217" t="s">
        <v>24</v>
      </c>
      <c r="R608" s="217" t="s">
        <v>554</v>
      </c>
      <c r="S608" s="218">
        <v>0.13004648179112641</v>
      </c>
      <c r="T608" t="s">
        <v>550</v>
      </c>
      <c r="U608" t="s">
        <v>51</v>
      </c>
      <c r="V608" s="219" t="s">
        <v>6181</v>
      </c>
      <c r="W608" s="219" t="s">
        <v>67</v>
      </c>
    </row>
    <row r="609" spans="1:23" ht="15" customHeight="1" x14ac:dyDescent="0.25">
      <c r="A609" t="s">
        <v>1816</v>
      </c>
      <c r="B609" t="s">
        <v>668</v>
      </c>
      <c r="C609">
        <v>66000</v>
      </c>
      <c r="D609" t="s">
        <v>1817</v>
      </c>
      <c r="E609" t="s">
        <v>278</v>
      </c>
      <c r="F609" t="s">
        <v>554</v>
      </c>
      <c r="G609" s="30">
        <v>46148</v>
      </c>
      <c r="H609" t="s">
        <v>1818</v>
      </c>
      <c r="I609">
        <v>2498822.62</v>
      </c>
      <c r="J609" s="123">
        <v>46140</v>
      </c>
      <c r="K609" s="123">
        <v>0</v>
      </c>
      <c r="L609" s="123">
        <v>46140</v>
      </c>
      <c r="M609">
        <v>0</v>
      </c>
      <c r="N609">
        <v>0</v>
      </c>
      <c r="O609">
        <v>0</v>
      </c>
      <c r="P609" s="216">
        <v>66000</v>
      </c>
      <c r="Q609" s="217" t="s">
        <v>39</v>
      </c>
      <c r="R609" s="217" t="s">
        <v>554</v>
      </c>
      <c r="S609" s="218">
        <v>0.69955556725848578</v>
      </c>
      <c r="T609" t="s">
        <v>550</v>
      </c>
      <c r="U609" t="s">
        <v>51</v>
      </c>
      <c r="V609" s="219" t="s">
        <v>6182</v>
      </c>
      <c r="W609" s="219" t="s">
        <v>67</v>
      </c>
    </row>
    <row r="610" spans="1:23" ht="15" customHeight="1" x14ac:dyDescent="0.25">
      <c r="A610" t="s">
        <v>1819</v>
      </c>
      <c r="B610" t="s">
        <v>668</v>
      </c>
      <c r="C610">
        <v>32500</v>
      </c>
      <c r="D610" t="s">
        <v>1817</v>
      </c>
      <c r="E610" t="s">
        <v>278</v>
      </c>
      <c r="F610" t="s">
        <v>554</v>
      </c>
      <c r="G610" s="30">
        <v>46148</v>
      </c>
      <c r="H610" t="s">
        <v>1818</v>
      </c>
      <c r="I610">
        <v>2498822.62</v>
      </c>
      <c r="J610" s="123">
        <v>46140</v>
      </c>
      <c r="K610" s="123">
        <v>0</v>
      </c>
      <c r="L610" s="123">
        <v>46140</v>
      </c>
      <c r="M610">
        <v>0</v>
      </c>
      <c r="N610">
        <v>0</v>
      </c>
      <c r="O610">
        <v>0</v>
      </c>
      <c r="P610" s="216">
        <v>32500</v>
      </c>
      <c r="Q610" s="217" t="s">
        <v>39</v>
      </c>
      <c r="R610" s="217" t="s">
        <v>554</v>
      </c>
      <c r="S610" s="218">
        <v>0.69955556725848578</v>
      </c>
      <c r="T610" t="s">
        <v>550</v>
      </c>
      <c r="U610" t="s">
        <v>51</v>
      </c>
      <c r="V610" s="219" t="s">
        <v>6183</v>
      </c>
      <c r="W610" s="219" t="s">
        <v>67</v>
      </c>
    </row>
    <row r="611" spans="1:23" ht="15" customHeight="1" x14ac:dyDescent="0.25">
      <c r="A611" t="s">
        <v>1820</v>
      </c>
      <c r="B611" t="s">
        <v>668</v>
      </c>
      <c r="C611">
        <v>44000</v>
      </c>
      <c r="D611" t="s">
        <v>1817</v>
      </c>
      <c r="E611" t="s">
        <v>278</v>
      </c>
      <c r="F611" t="s">
        <v>554</v>
      </c>
      <c r="G611" s="30">
        <v>46148</v>
      </c>
      <c r="H611" t="s">
        <v>1818</v>
      </c>
      <c r="I611">
        <v>2498822.62</v>
      </c>
      <c r="J611" s="123">
        <v>46142</v>
      </c>
      <c r="K611" s="123">
        <v>0</v>
      </c>
      <c r="L611" s="123">
        <v>46142</v>
      </c>
      <c r="M611">
        <v>0</v>
      </c>
      <c r="N611">
        <v>0</v>
      </c>
      <c r="O611">
        <v>0</v>
      </c>
      <c r="P611" s="216">
        <v>44000</v>
      </c>
      <c r="Q611" s="217" t="s">
        <v>39</v>
      </c>
      <c r="R611" s="217" t="s">
        <v>554</v>
      </c>
      <c r="S611" s="218">
        <v>0.69955556725848578</v>
      </c>
      <c r="T611" t="s">
        <v>550</v>
      </c>
      <c r="U611" t="s">
        <v>51</v>
      </c>
      <c r="V611" s="219" t="s">
        <v>6184</v>
      </c>
      <c r="W611" s="219" t="s">
        <v>67</v>
      </c>
    </row>
    <row r="612" spans="1:23" ht="15" customHeight="1" x14ac:dyDescent="0.25">
      <c r="A612" t="s">
        <v>1821</v>
      </c>
      <c r="B612" t="s">
        <v>668</v>
      </c>
      <c r="C612">
        <v>56000</v>
      </c>
      <c r="D612" t="s">
        <v>1817</v>
      </c>
      <c r="E612" t="s">
        <v>278</v>
      </c>
      <c r="F612" t="s">
        <v>554</v>
      </c>
      <c r="G612" s="30">
        <v>46148</v>
      </c>
      <c r="H612" t="s">
        <v>1818</v>
      </c>
      <c r="I612">
        <v>2498822.62</v>
      </c>
      <c r="J612" s="123">
        <v>46142</v>
      </c>
      <c r="K612" s="123">
        <v>0</v>
      </c>
      <c r="L612" s="123">
        <v>46142</v>
      </c>
      <c r="M612">
        <v>0</v>
      </c>
      <c r="N612">
        <v>0</v>
      </c>
      <c r="O612">
        <v>0</v>
      </c>
      <c r="P612" s="216">
        <v>56000</v>
      </c>
      <c r="Q612" s="217" t="s">
        <v>39</v>
      </c>
      <c r="R612" s="217" t="s">
        <v>554</v>
      </c>
      <c r="S612" s="218">
        <v>0.69955556725848578</v>
      </c>
      <c r="T612" t="s">
        <v>550</v>
      </c>
      <c r="U612" t="s">
        <v>51</v>
      </c>
      <c r="V612" s="219" t="s">
        <v>6185</v>
      </c>
      <c r="W612" s="219" t="s">
        <v>67</v>
      </c>
    </row>
    <row r="613" spans="1:23" ht="15" customHeight="1" x14ac:dyDescent="0.25">
      <c r="A613" t="s">
        <v>1822</v>
      </c>
      <c r="B613" t="s">
        <v>668</v>
      </c>
      <c r="C613">
        <v>19000</v>
      </c>
      <c r="D613" t="s">
        <v>1817</v>
      </c>
      <c r="E613" t="s">
        <v>278</v>
      </c>
      <c r="F613" t="s">
        <v>554</v>
      </c>
      <c r="G613" s="30">
        <v>46148</v>
      </c>
      <c r="H613" t="s">
        <v>1818</v>
      </c>
      <c r="I613">
        <v>2498822.62</v>
      </c>
      <c r="J613" s="123">
        <v>46144</v>
      </c>
      <c r="K613" s="123">
        <v>0</v>
      </c>
      <c r="L613" s="123">
        <v>46144</v>
      </c>
      <c r="M613">
        <v>0</v>
      </c>
      <c r="N613">
        <v>0</v>
      </c>
      <c r="O613">
        <v>0</v>
      </c>
      <c r="P613" s="216">
        <v>19000</v>
      </c>
      <c r="Q613" s="217" t="s">
        <v>39</v>
      </c>
      <c r="R613" s="217" t="s">
        <v>554</v>
      </c>
      <c r="S613" s="218">
        <v>0.69955556725848578</v>
      </c>
      <c r="T613" t="s">
        <v>550</v>
      </c>
      <c r="U613" t="s">
        <v>51</v>
      </c>
      <c r="V613" s="219" t="s">
        <v>6186</v>
      </c>
      <c r="W613" s="219" t="s">
        <v>67</v>
      </c>
    </row>
    <row r="614" spans="1:23" ht="15" customHeight="1" x14ac:dyDescent="0.25">
      <c r="A614" t="s">
        <v>1823</v>
      </c>
      <c r="B614" t="s">
        <v>668</v>
      </c>
      <c r="C614">
        <v>30000</v>
      </c>
      <c r="D614" t="s">
        <v>1817</v>
      </c>
      <c r="E614" t="s">
        <v>278</v>
      </c>
      <c r="F614" t="s">
        <v>554</v>
      </c>
      <c r="G614" s="30">
        <v>46148</v>
      </c>
      <c r="H614" t="s">
        <v>1818</v>
      </c>
      <c r="I614">
        <v>2498822.62</v>
      </c>
      <c r="J614" s="123">
        <v>46144</v>
      </c>
      <c r="K614" s="123">
        <v>0</v>
      </c>
      <c r="L614" s="123">
        <v>46144</v>
      </c>
      <c r="M614">
        <v>0</v>
      </c>
      <c r="N614">
        <v>0</v>
      </c>
      <c r="O614">
        <v>0</v>
      </c>
      <c r="P614" s="216">
        <v>30000</v>
      </c>
      <c r="Q614" s="217" t="s">
        <v>39</v>
      </c>
      <c r="R614" s="217" t="s">
        <v>554</v>
      </c>
      <c r="S614" s="218">
        <v>0.69955556725848578</v>
      </c>
      <c r="T614" t="s">
        <v>550</v>
      </c>
      <c r="U614" t="s">
        <v>51</v>
      </c>
      <c r="V614" s="219" t="s">
        <v>6187</v>
      </c>
      <c r="W614" s="219" t="s">
        <v>67</v>
      </c>
    </row>
    <row r="615" spans="1:23" ht="15" customHeight="1" x14ac:dyDescent="0.25">
      <c r="A615" t="s">
        <v>1824</v>
      </c>
      <c r="B615" t="s">
        <v>668</v>
      </c>
      <c r="C615">
        <v>1100</v>
      </c>
      <c r="D615" t="s">
        <v>1817</v>
      </c>
      <c r="E615" t="s">
        <v>278</v>
      </c>
      <c r="F615" t="s">
        <v>580</v>
      </c>
      <c r="G615" s="30">
        <v>46148</v>
      </c>
      <c r="H615" t="s">
        <v>1818</v>
      </c>
      <c r="I615">
        <v>2498822.62</v>
      </c>
      <c r="J615" s="123">
        <v>46144</v>
      </c>
      <c r="K615" s="123">
        <v>0</v>
      </c>
      <c r="L615" s="123">
        <v>46144</v>
      </c>
      <c r="M615">
        <v>0</v>
      </c>
      <c r="N615">
        <v>0</v>
      </c>
      <c r="O615">
        <v>0</v>
      </c>
      <c r="P615" s="216">
        <v>1100</v>
      </c>
      <c r="Q615" s="217" t="s">
        <v>39</v>
      </c>
      <c r="R615" s="217" t="s">
        <v>582</v>
      </c>
      <c r="S615" s="218">
        <v>0.69955556725848578</v>
      </c>
      <c r="T615" t="s">
        <v>550</v>
      </c>
      <c r="U615" t="s">
        <v>51</v>
      </c>
      <c r="V615" s="219">
        <v>0</v>
      </c>
      <c r="W615" s="219">
        <v>0</v>
      </c>
    </row>
    <row r="616" spans="1:23" ht="15" customHeight="1" x14ac:dyDescent="0.25">
      <c r="A616" t="s">
        <v>1825</v>
      </c>
      <c r="B616" t="s">
        <v>668</v>
      </c>
      <c r="C616">
        <v>1000</v>
      </c>
      <c r="D616" t="s">
        <v>1817</v>
      </c>
      <c r="E616" t="s">
        <v>278</v>
      </c>
      <c r="F616" t="s">
        <v>683</v>
      </c>
      <c r="G616" s="30">
        <v>46148</v>
      </c>
      <c r="H616" t="s">
        <v>1818</v>
      </c>
      <c r="I616">
        <v>2498822.62</v>
      </c>
      <c r="J616" s="123">
        <v>46144</v>
      </c>
      <c r="K616" s="123">
        <v>0</v>
      </c>
      <c r="L616" s="123">
        <v>46144</v>
      </c>
      <c r="M616">
        <v>0</v>
      </c>
      <c r="N616">
        <v>0</v>
      </c>
      <c r="O616">
        <v>0</v>
      </c>
      <c r="P616" s="216">
        <v>1000</v>
      </c>
      <c r="Q616" s="217" t="s">
        <v>39</v>
      </c>
      <c r="R616" s="217" t="s">
        <v>62</v>
      </c>
      <c r="S616" s="218">
        <v>0.69955556725848578</v>
      </c>
      <c r="T616" t="s">
        <v>550</v>
      </c>
      <c r="U616" t="s">
        <v>51</v>
      </c>
      <c r="V616" s="219">
        <v>0</v>
      </c>
      <c r="W616" s="219">
        <v>0</v>
      </c>
    </row>
    <row r="617" spans="1:23" ht="15" customHeight="1" x14ac:dyDescent="0.25">
      <c r="A617" t="s">
        <v>1826</v>
      </c>
      <c r="B617" t="s">
        <v>64</v>
      </c>
      <c r="C617">
        <v>936899</v>
      </c>
      <c r="D617" t="s">
        <v>1827</v>
      </c>
      <c r="E617" t="s">
        <v>278</v>
      </c>
      <c r="F617" t="s">
        <v>554</v>
      </c>
      <c r="G617" s="30">
        <v>46147</v>
      </c>
      <c r="H617" t="s">
        <v>1828</v>
      </c>
      <c r="I617">
        <v>2379715.25</v>
      </c>
      <c r="J617" s="123">
        <v>0</v>
      </c>
      <c r="K617" s="123">
        <v>46143</v>
      </c>
      <c r="L617" s="123">
        <v>0</v>
      </c>
      <c r="M617">
        <v>0</v>
      </c>
      <c r="N617">
        <v>0</v>
      </c>
      <c r="O617" t="s">
        <v>556</v>
      </c>
      <c r="P617" s="216">
        <v>936899</v>
      </c>
      <c r="Q617" s="217" t="s">
        <v>39</v>
      </c>
      <c r="R617" s="217" t="s">
        <v>554</v>
      </c>
      <c r="S617" s="218">
        <v>0.99629477098152808</v>
      </c>
      <c r="T617" t="s">
        <v>550</v>
      </c>
      <c r="U617" t="s">
        <v>51</v>
      </c>
      <c r="V617" s="219" t="s">
        <v>6188</v>
      </c>
      <c r="W617" s="219" t="s">
        <v>67</v>
      </c>
    </row>
    <row r="618" spans="1:23" ht="15" customHeight="1" x14ac:dyDescent="0.25">
      <c r="A618" t="s">
        <v>1829</v>
      </c>
      <c r="B618" t="s">
        <v>546</v>
      </c>
      <c r="C618">
        <v>2412</v>
      </c>
      <c r="D618" t="s">
        <v>1827</v>
      </c>
      <c r="E618" t="s">
        <v>278</v>
      </c>
      <c r="F618" t="s">
        <v>554</v>
      </c>
      <c r="G618" s="30">
        <v>46147</v>
      </c>
      <c r="H618" t="s">
        <v>1828</v>
      </c>
      <c r="I618">
        <v>2379715.25</v>
      </c>
      <c r="J618" s="123">
        <v>0</v>
      </c>
      <c r="K618" s="123">
        <v>0</v>
      </c>
      <c r="L618" s="123">
        <v>0</v>
      </c>
      <c r="M618">
        <v>2412</v>
      </c>
      <c r="N618">
        <v>0</v>
      </c>
      <c r="O618">
        <v>0</v>
      </c>
      <c r="P618" s="216">
        <v>0</v>
      </c>
      <c r="Q618" s="217" t="s">
        <v>39</v>
      </c>
      <c r="R618" s="217" t="s">
        <v>554</v>
      </c>
      <c r="S618" s="218">
        <v>0.99629477098152808</v>
      </c>
      <c r="T618" t="s">
        <v>550</v>
      </c>
      <c r="U618" t="s">
        <v>51</v>
      </c>
      <c r="V618" s="219" t="s">
        <v>6189</v>
      </c>
      <c r="W618" s="219" t="s">
        <v>67</v>
      </c>
    </row>
    <row r="619" spans="1:23" ht="15" customHeight="1" x14ac:dyDescent="0.25">
      <c r="A619" t="s">
        <v>1830</v>
      </c>
      <c r="B619" t="s">
        <v>546</v>
      </c>
      <c r="C619">
        <v>5000</v>
      </c>
      <c r="D619" t="s">
        <v>1831</v>
      </c>
      <c r="E619" t="s">
        <v>1795</v>
      </c>
      <c r="F619" t="s">
        <v>548</v>
      </c>
      <c r="G619" s="30">
        <v>46143</v>
      </c>
      <c r="H619" t="s">
        <v>1832</v>
      </c>
      <c r="I619">
        <v>2000997</v>
      </c>
      <c r="J619" s="123">
        <v>0</v>
      </c>
      <c r="K619" s="123">
        <v>0</v>
      </c>
      <c r="L619" s="123">
        <v>0</v>
      </c>
      <c r="M619">
        <v>5000</v>
      </c>
      <c r="N619">
        <v>0</v>
      </c>
      <c r="O619">
        <v>0</v>
      </c>
      <c r="P619" s="216">
        <v>0</v>
      </c>
      <c r="Q619" s="217" t="s">
        <v>39</v>
      </c>
      <c r="R619" s="217" t="s">
        <v>62</v>
      </c>
      <c r="S619" s="218">
        <v>0.70000211894370656</v>
      </c>
      <c r="T619" t="s">
        <v>550</v>
      </c>
      <c r="U619" t="s">
        <v>51</v>
      </c>
      <c r="V619" s="219">
        <v>0</v>
      </c>
      <c r="W619" s="219">
        <v>0</v>
      </c>
    </row>
    <row r="620" spans="1:23" ht="15" customHeight="1" x14ac:dyDescent="0.25">
      <c r="A620" t="s">
        <v>1833</v>
      </c>
      <c r="B620" t="s">
        <v>603</v>
      </c>
      <c r="C620">
        <v>200100</v>
      </c>
      <c r="D620" t="s">
        <v>1831</v>
      </c>
      <c r="E620" t="s">
        <v>605</v>
      </c>
      <c r="F620" t="s">
        <v>554</v>
      </c>
      <c r="G620" s="30">
        <v>46143</v>
      </c>
      <c r="H620" t="s">
        <v>1832</v>
      </c>
      <c r="I620">
        <v>2000997</v>
      </c>
      <c r="J620" s="123">
        <v>46143</v>
      </c>
      <c r="K620" s="123">
        <v>0</v>
      </c>
      <c r="L620" s="123">
        <v>0</v>
      </c>
      <c r="M620">
        <v>0</v>
      </c>
      <c r="N620">
        <v>0</v>
      </c>
      <c r="O620">
        <v>0</v>
      </c>
      <c r="P620" s="216">
        <v>200100</v>
      </c>
      <c r="Q620" s="217" t="s">
        <v>39</v>
      </c>
      <c r="R620" s="217" t="s">
        <v>554</v>
      </c>
      <c r="S620" s="218">
        <v>0.70000211894370656</v>
      </c>
      <c r="T620" t="s">
        <v>550</v>
      </c>
      <c r="U620" t="s">
        <v>51</v>
      </c>
      <c r="V620" s="219" t="s">
        <v>6190</v>
      </c>
      <c r="W620" s="219" t="s">
        <v>67</v>
      </c>
    </row>
    <row r="621" spans="1:23" ht="15" customHeight="1" x14ac:dyDescent="0.25">
      <c r="A621" t="s">
        <v>1834</v>
      </c>
      <c r="B621" t="s">
        <v>546</v>
      </c>
      <c r="C621">
        <v>5000</v>
      </c>
      <c r="D621" t="s">
        <v>1831</v>
      </c>
      <c r="E621" t="s">
        <v>1795</v>
      </c>
      <c r="F621" t="s">
        <v>554</v>
      </c>
      <c r="G621" s="30">
        <v>46143</v>
      </c>
      <c r="H621" t="s">
        <v>1832</v>
      </c>
      <c r="I621">
        <v>2000997</v>
      </c>
      <c r="J621" s="123">
        <v>0</v>
      </c>
      <c r="K621" s="123">
        <v>0</v>
      </c>
      <c r="L621" s="123">
        <v>0</v>
      </c>
      <c r="M621">
        <v>5000</v>
      </c>
      <c r="N621">
        <v>0</v>
      </c>
      <c r="O621">
        <v>0</v>
      </c>
      <c r="P621" s="216">
        <v>0</v>
      </c>
      <c r="Q621" s="217" t="s">
        <v>39</v>
      </c>
      <c r="R621" s="217" t="s">
        <v>554</v>
      </c>
      <c r="S621" s="218">
        <v>0.70000211894370656</v>
      </c>
      <c r="T621" t="s">
        <v>550</v>
      </c>
      <c r="U621" t="s">
        <v>51</v>
      </c>
      <c r="V621" s="219" t="s">
        <v>6191</v>
      </c>
      <c r="W621" s="219" t="s">
        <v>67</v>
      </c>
    </row>
    <row r="622" spans="1:23" ht="15" customHeight="1" x14ac:dyDescent="0.25">
      <c r="A622" t="s">
        <v>1835</v>
      </c>
      <c r="B622" t="s">
        <v>603</v>
      </c>
      <c r="C622">
        <v>183500</v>
      </c>
      <c r="D622" t="s">
        <v>1836</v>
      </c>
      <c r="E622" t="s">
        <v>605</v>
      </c>
      <c r="F622" t="s">
        <v>554</v>
      </c>
      <c r="G622" s="30">
        <v>46149</v>
      </c>
      <c r="H622" t="s">
        <v>1837</v>
      </c>
      <c r="I622">
        <v>2530011.12</v>
      </c>
      <c r="J622" s="123">
        <v>46149</v>
      </c>
      <c r="K622" s="123">
        <v>0</v>
      </c>
      <c r="L622" s="123">
        <v>0</v>
      </c>
      <c r="M622">
        <v>0</v>
      </c>
      <c r="N622">
        <v>0</v>
      </c>
      <c r="O622">
        <v>0</v>
      </c>
      <c r="P622" s="216">
        <v>183500</v>
      </c>
      <c r="Q622" s="217" t="s">
        <v>39</v>
      </c>
      <c r="R622" s="217" t="s">
        <v>554</v>
      </c>
      <c r="S622" s="218">
        <v>0.81197549440019845</v>
      </c>
      <c r="T622" t="s">
        <v>550</v>
      </c>
      <c r="U622" t="s">
        <v>51</v>
      </c>
      <c r="V622" s="219" t="s">
        <v>6192</v>
      </c>
      <c r="W622" s="219" t="s">
        <v>67</v>
      </c>
    </row>
    <row r="623" spans="1:23" ht="15" customHeight="1" x14ac:dyDescent="0.25">
      <c r="A623" t="s">
        <v>1838</v>
      </c>
      <c r="B623" t="s">
        <v>575</v>
      </c>
      <c r="C623">
        <v>102620</v>
      </c>
      <c r="D623" t="s">
        <v>1839</v>
      </c>
      <c r="E623" t="s">
        <v>278</v>
      </c>
      <c r="F623" t="s">
        <v>554</v>
      </c>
      <c r="G623" s="30">
        <v>46144</v>
      </c>
      <c r="H623" t="s">
        <v>1840</v>
      </c>
      <c r="I623">
        <v>2026195.08</v>
      </c>
      <c r="J623" s="123">
        <v>0</v>
      </c>
      <c r="K623" s="123">
        <v>0</v>
      </c>
      <c r="L623" s="123">
        <v>46143</v>
      </c>
      <c r="M623">
        <v>0</v>
      </c>
      <c r="N623">
        <v>0</v>
      </c>
      <c r="O623">
        <v>0</v>
      </c>
      <c r="P623" s="216">
        <v>102620</v>
      </c>
      <c r="Q623" s="217" t="s">
        <v>39</v>
      </c>
      <c r="R623" s="217" t="s">
        <v>554</v>
      </c>
      <c r="S623" s="218">
        <v>0.65103415412498189</v>
      </c>
      <c r="T623" t="s">
        <v>550</v>
      </c>
      <c r="U623" t="s">
        <v>51</v>
      </c>
      <c r="V623" s="219" t="s">
        <v>6193</v>
      </c>
      <c r="W623" s="219" t="s">
        <v>67</v>
      </c>
    </row>
    <row r="624" spans="1:23" ht="15" customHeight="1" x14ac:dyDescent="0.25">
      <c r="A624" t="s">
        <v>1841</v>
      </c>
      <c r="B624" t="s">
        <v>603</v>
      </c>
      <c r="C624">
        <v>356470</v>
      </c>
      <c r="D624" t="s">
        <v>1842</v>
      </c>
      <c r="E624" t="s">
        <v>605</v>
      </c>
      <c r="F624" t="s">
        <v>554</v>
      </c>
      <c r="G624" s="30">
        <v>46149</v>
      </c>
      <c r="H624" t="s">
        <v>1843</v>
      </c>
      <c r="I624">
        <v>1296696.25</v>
      </c>
      <c r="J624" s="123">
        <v>46149</v>
      </c>
      <c r="K624" s="123">
        <v>0</v>
      </c>
      <c r="L624" s="123">
        <v>0</v>
      </c>
      <c r="M624">
        <v>0</v>
      </c>
      <c r="N624">
        <v>0</v>
      </c>
      <c r="O624">
        <v>0</v>
      </c>
      <c r="P624" s="216">
        <v>356470</v>
      </c>
      <c r="Q624" s="217" t="s">
        <v>39</v>
      </c>
      <c r="R624" s="217" t="s">
        <v>554</v>
      </c>
      <c r="S624" s="218">
        <v>0.99570581776572575</v>
      </c>
      <c r="T624" t="s">
        <v>550</v>
      </c>
      <c r="U624" t="s">
        <v>51</v>
      </c>
      <c r="V624" s="219" t="s">
        <v>6194</v>
      </c>
      <c r="W624" s="219" t="s">
        <v>67</v>
      </c>
    </row>
    <row r="625" spans="1:23" ht="15" customHeight="1" x14ac:dyDescent="0.25">
      <c r="A625" t="s">
        <v>1844</v>
      </c>
      <c r="B625" t="s">
        <v>575</v>
      </c>
      <c r="C625">
        <v>201380</v>
      </c>
      <c r="D625" t="s">
        <v>1845</v>
      </c>
      <c r="E625" t="s">
        <v>278</v>
      </c>
      <c r="F625" t="s">
        <v>554</v>
      </c>
      <c r="G625" s="30">
        <v>46147</v>
      </c>
      <c r="H625" t="s">
        <v>1846</v>
      </c>
      <c r="I625">
        <v>2013803.04</v>
      </c>
      <c r="J625" s="123">
        <v>0</v>
      </c>
      <c r="K625" s="123">
        <v>0</v>
      </c>
      <c r="L625" s="123">
        <v>46146</v>
      </c>
      <c r="M625">
        <v>0</v>
      </c>
      <c r="N625">
        <v>0</v>
      </c>
      <c r="O625">
        <v>0</v>
      </c>
      <c r="P625" s="216">
        <v>201380</v>
      </c>
      <c r="Q625" s="217" t="s">
        <v>39</v>
      </c>
      <c r="R625" s="217" t="s">
        <v>554</v>
      </c>
      <c r="S625" s="218">
        <v>0.70591157713219055</v>
      </c>
      <c r="T625" t="s">
        <v>550</v>
      </c>
      <c r="U625" t="s">
        <v>51</v>
      </c>
      <c r="V625" s="219" t="s">
        <v>6195</v>
      </c>
      <c r="W625" s="219" t="s">
        <v>67</v>
      </c>
    </row>
    <row r="626" spans="1:23" ht="15" customHeight="1" x14ac:dyDescent="0.25">
      <c r="A626" t="s">
        <v>1847</v>
      </c>
      <c r="B626" t="s">
        <v>575</v>
      </c>
      <c r="C626">
        <v>129693</v>
      </c>
      <c r="D626" t="s">
        <v>1848</v>
      </c>
      <c r="E626" t="s">
        <v>278</v>
      </c>
      <c r="F626" t="s">
        <v>580</v>
      </c>
      <c r="G626" s="30">
        <v>46148</v>
      </c>
      <c r="H626" t="s">
        <v>1849</v>
      </c>
      <c r="I626">
        <v>1296930</v>
      </c>
      <c r="J626" s="123">
        <v>0</v>
      </c>
      <c r="K626" s="123">
        <v>0</v>
      </c>
      <c r="L626" s="123">
        <v>46148</v>
      </c>
      <c r="M626">
        <v>0</v>
      </c>
      <c r="N626">
        <v>0</v>
      </c>
      <c r="O626">
        <v>0</v>
      </c>
      <c r="P626" s="216">
        <v>129693</v>
      </c>
      <c r="Q626" s="217" t="s">
        <v>39</v>
      </c>
      <c r="R626" s="217" t="s">
        <v>582</v>
      </c>
      <c r="S626" s="218">
        <v>0.60033309430732573</v>
      </c>
      <c r="T626" t="s">
        <v>550</v>
      </c>
      <c r="U626" t="s">
        <v>51</v>
      </c>
      <c r="V626" s="219">
        <v>0</v>
      </c>
      <c r="W626" s="219">
        <v>0</v>
      </c>
    </row>
    <row r="627" spans="1:23" ht="15" customHeight="1" x14ac:dyDescent="0.25">
      <c r="A627" t="s">
        <v>1850</v>
      </c>
      <c r="B627" t="s">
        <v>546</v>
      </c>
      <c r="C627">
        <v>5000</v>
      </c>
      <c r="D627" t="s">
        <v>1848</v>
      </c>
      <c r="E627" t="s">
        <v>1795</v>
      </c>
      <c r="F627" t="s">
        <v>548</v>
      </c>
      <c r="G627" s="30">
        <v>46148</v>
      </c>
      <c r="H627" t="s">
        <v>1849</v>
      </c>
      <c r="I627">
        <v>1296930</v>
      </c>
      <c r="J627" s="123">
        <v>0</v>
      </c>
      <c r="K627" s="123">
        <v>0</v>
      </c>
      <c r="L627" s="123">
        <v>0</v>
      </c>
      <c r="M627">
        <v>5000</v>
      </c>
      <c r="N627">
        <v>0</v>
      </c>
      <c r="O627">
        <v>0</v>
      </c>
      <c r="P627" s="216">
        <v>0</v>
      </c>
      <c r="Q627" s="217" t="s">
        <v>39</v>
      </c>
      <c r="R627" s="217" t="s">
        <v>62</v>
      </c>
      <c r="S627" s="218">
        <v>0.60033309430732573</v>
      </c>
      <c r="T627" t="s">
        <v>550</v>
      </c>
      <c r="U627" t="s">
        <v>51</v>
      </c>
      <c r="V627" s="219">
        <v>0</v>
      </c>
      <c r="W627" s="219">
        <v>0</v>
      </c>
    </row>
    <row r="628" spans="1:23" ht="15" customHeight="1" x14ac:dyDescent="0.25">
      <c r="A628" t="s">
        <v>1851</v>
      </c>
      <c r="B628" t="s">
        <v>546</v>
      </c>
      <c r="C628">
        <v>5000</v>
      </c>
      <c r="D628" t="s">
        <v>1848</v>
      </c>
      <c r="E628" t="s">
        <v>1795</v>
      </c>
      <c r="F628" t="s">
        <v>554</v>
      </c>
      <c r="G628" s="30">
        <v>46148</v>
      </c>
      <c r="H628" t="s">
        <v>1849</v>
      </c>
      <c r="I628">
        <v>1296930</v>
      </c>
      <c r="J628" s="123">
        <v>0</v>
      </c>
      <c r="K628" s="123">
        <v>0</v>
      </c>
      <c r="L628" s="123">
        <v>0</v>
      </c>
      <c r="M628">
        <v>5000</v>
      </c>
      <c r="N628">
        <v>0</v>
      </c>
      <c r="O628">
        <v>0</v>
      </c>
      <c r="P628" s="216">
        <v>0</v>
      </c>
      <c r="Q628" s="217" t="s">
        <v>39</v>
      </c>
      <c r="R628" s="217" t="s">
        <v>554</v>
      </c>
      <c r="S628" s="218">
        <v>0.60033309430732573</v>
      </c>
      <c r="T628" t="s">
        <v>550</v>
      </c>
      <c r="U628" t="s">
        <v>51</v>
      </c>
      <c r="V628" s="219" t="s">
        <v>6196</v>
      </c>
      <c r="W628" s="219" t="s">
        <v>67</v>
      </c>
    </row>
    <row r="629" spans="1:23" ht="15" customHeight="1" x14ac:dyDescent="0.25">
      <c r="A629" t="s">
        <v>1852</v>
      </c>
      <c r="B629" t="s">
        <v>668</v>
      </c>
      <c r="C629">
        <v>600</v>
      </c>
      <c r="D629" t="s">
        <v>1853</v>
      </c>
      <c r="E629" t="s">
        <v>238</v>
      </c>
      <c r="F629" t="s">
        <v>554</v>
      </c>
      <c r="G629" s="30">
        <v>46146</v>
      </c>
      <c r="H629" t="s">
        <v>1854</v>
      </c>
      <c r="I629">
        <v>1532540.75</v>
      </c>
      <c r="J629" s="123">
        <v>45707</v>
      </c>
      <c r="K629" s="123">
        <v>0</v>
      </c>
      <c r="L629" s="123">
        <v>45707</v>
      </c>
      <c r="M629">
        <v>0</v>
      </c>
      <c r="N629">
        <v>0</v>
      </c>
      <c r="O629">
        <v>0</v>
      </c>
      <c r="P629" s="216">
        <v>600</v>
      </c>
      <c r="Q629" s="217" t="s">
        <v>19</v>
      </c>
      <c r="R629" s="217" t="s">
        <v>554</v>
      </c>
      <c r="S629" s="218">
        <v>0.89293107540533589</v>
      </c>
      <c r="T629" t="s">
        <v>550</v>
      </c>
      <c r="U629" t="s">
        <v>51</v>
      </c>
      <c r="V629" s="219" t="s">
        <v>6197</v>
      </c>
      <c r="W629" s="219" t="s">
        <v>67</v>
      </c>
    </row>
    <row r="630" spans="1:23" ht="15" customHeight="1" x14ac:dyDescent="0.25">
      <c r="A630" t="s">
        <v>1855</v>
      </c>
      <c r="B630" t="s">
        <v>668</v>
      </c>
      <c r="C630">
        <v>33700</v>
      </c>
      <c r="D630" t="s">
        <v>1853</v>
      </c>
      <c r="E630" t="s">
        <v>238</v>
      </c>
      <c r="F630" t="s">
        <v>554</v>
      </c>
      <c r="G630" s="30">
        <v>46146</v>
      </c>
      <c r="H630" t="s">
        <v>1854</v>
      </c>
      <c r="I630">
        <v>1532540.75</v>
      </c>
      <c r="J630" s="123">
        <v>45707</v>
      </c>
      <c r="K630" s="123">
        <v>0</v>
      </c>
      <c r="L630" s="123">
        <v>45707</v>
      </c>
      <c r="M630">
        <v>0</v>
      </c>
      <c r="N630">
        <v>0</v>
      </c>
      <c r="O630">
        <v>0</v>
      </c>
      <c r="P630" s="216">
        <v>33700</v>
      </c>
      <c r="Q630" s="217" t="s">
        <v>19</v>
      </c>
      <c r="R630" s="217" t="s">
        <v>554</v>
      </c>
      <c r="S630" s="218">
        <v>0.89293107540533589</v>
      </c>
      <c r="T630" t="s">
        <v>550</v>
      </c>
      <c r="U630" t="s">
        <v>51</v>
      </c>
      <c r="V630" s="219" t="s">
        <v>6198</v>
      </c>
      <c r="W630" s="219" t="s">
        <v>67</v>
      </c>
    </row>
    <row r="631" spans="1:23" ht="15" customHeight="1" x14ac:dyDescent="0.25">
      <c r="A631" t="s">
        <v>1856</v>
      </c>
      <c r="B631" t="s">
        <v>668</v>
      </c>
      <c r="C631">
        <v>23460</v>
      </c>
      <c r="D631" t="s">
        <v>1853</v>
      </c>
      <c r="E631" t="s">
        <v>238</v>
      </c>
      <c r="F631" t="s">
        <v>683</v>
      </c>
      <c r="G631" s="30">
        <v>46146</v>
      </c>
      <c r="H631" t="s">
        <v>1854</v>
      </c>
      <c r="I631">
        <v>1532540.75</v>
      </c>
      <c r="J631" s="123">
        <v>45958</v>
      </c>
      <c r="K631" s="123">
        <v>0</v>
      </c>
      <c r="L631" s="123">
        <v>45958</v>
      </c>
      <c r="M631">
        <v>0</v>
      </c>
      <c r="N631">
        <v>0</v>
      </c>
      <c r="O631">
        <v>0</v>
      </c>
      <c r="P631" s="216">
        <v>23460</v>
      </c>
      <c r="Q631" s="217" t="s">
        <v>19</v>
      </c>
      <c r="R631" s="217" t="s">
        <v>62</v>
      </c>
      <c r="S631" s="218">
        <v>0.89293107540533589</v>
      </c>
      <c r="T631" t="s">
        <v>550</v>
      </c>
      <c r="U631" t="s">
        <v>51</v>
      </c>
      <c r="V631" s="219">
        <v>0</v>
      </c>
      <c r="W631" s="219">
        <v>0</v>
      </c>
    </row>
    <row r="632" spans="1:23" ht="15" customHeight="1" x14ac:dyDescent="0.25">
      <c r="A632" t="s">
        <v>1857</v>
      </c>
      <c r="B632" t="s">
        <v>595</v>
      </c>
      <c r="C632">
        <v>9000</v>
      </c>
      <c r="D632" t="s">
        <v>1853</v>
      </c>
      <c r="E632" t="s">
        <v>238</v>
      </c>
      <c r="F632" t="s">
        <v>683</v>
      </c>
      <c r="G632" s="30">
        <v>46147</v>
      </c>
      <c r="H632" t="s">
        <v>1854</v>
      </c>
      <c r="I632">
        <v>1532540.75</v>
      </c>
      <c r="J632" s="123">
        <v>0</v>
      </c>
      <c r="K632" s="123">
        <v>0</v>
      </c>
      <c r="L632" s="123">
        <v>45569</v>
      </c>
      <c r="M632">
        <v>0</v>
      </c>
      <c r="N632">
        <v>0</v>
      </c>
      <c r="O632">
        <v>0</v>
      </c>
      <c r="P632" s="216">
        <v>9000</v>
      </c>
      <c r="Q632" s="217" t="s">
        <v>19</v>
      </c>
      <c r="R632" s="217" t="s">
        <v>62</v>
      </c>
      <c r="S632" s="218">
        <v>0.89293107540533589</v>
      </c>
      <c r="T632" t="s">
        <v>550</v>
      </c>
      <c r="U632" t="s">
        <v>51</v>
      </c>
      <c r="V632" s="219">
        <v>0</v>
      </c>
      <c r="W632" s="219">
        <v>0</v>
      </c>
    </row>
    <row r="633" spans="1:23" ht="15" customHeight="1" x14ac:dyDescent="0.25">
      <c r="A633" t="s">
        <v>1858</v>
      </c>
      <c r="B633" t="s">
        <v>603</v>
      </c>
      <c r="C633">
        <v>418000</v>
      </c>
      <c r="D633" t="s">
        <v>1853</v>
      </c>
      <c r="E633" t="s">
        <v>605</v>
      </c>
      <c r="F633" t="s">
        <v>554</v>
      </c>
      <c r="G633" s="30">
        <v>46147</v>
      </c>
      <c r="H633" t="s">
        <v>1854</v>
      </c>
      <c r="I633">
        <v>1532540.75</v>
      </c>
      <c r="J633" s="123">
        <v>46147</v>
      </c>
      <c r="K633" s="123">
        <v>0</v>
      </c>
      <c r="L633" s="123">
        <v>0</v>
      </c>
      <c r="M633">
        <v>0</v>
      </c>
      <c r="N633">
        <v>0</v>
      </c>
      <c r="O633">
        <v>0</v>
      </c>
      <c r="P633" s="216">
        <v>418000</v>
      </c>
      <c r="Q633" s="217" t="s">
        <v>39</v>
      </c>
      <c r="R633" s="217" t="s">
        <v>554</v>
      </c>
      <c r="S633" s="218">
        <v>0.89293107540533589</v>
      </c>
      <c r="T633" t="s">
        <v>550</v>
      </c>
      <c r="U633" t="s">
        <v>51</v>
      </c>
      <c r="V633" s="219" t="s">
        <v>6199</v>
      </c>
      <c r="W633" s="219" t="s">
        <v>67</v>
      </c>
    </row>
    <row r="634" spans="1:23" ht="15" customHeight="1" x14ac:dyDescent="0.25">
      <c r="A634" t="s">
        <v>1859</v>
      </c>
      <c r="B634" t="s">
        <v>546</v>
      </c>
      <c r="C634">
        <v>867071</v>
      </c>
      <c r="D634" t="s">
        <v>1860</v>
      </c>
      <c r="E634" t="s">
        <v>553</v>
      </c>
      <c r="F634" t="s">
        <v>548</v>
      </c>
      <c r="G634" s="30">
        <v>46149</v>
      </c>
      <c r="H634" t="s">
        <v>1861</v>
      </c>
      <c r="I634">
        <v>2907612</v>
      </c>
      <c r="J634" s="123">
        <v>46149</v>
      </c>
      <c r="K634" s="123">
        <v>0</v>
      </c>
      <c r="L634" s="123">
        <v>46149</v>
      </c>
      <c r="M634">
        <v>0</v>
      </c>
      <c r="N634">
        <v>0</v>
      </c>
      <c r="O634" t="s">
        <v>556</v>
      </c>
      <c r="P634" s="216">
        <v>867071</v>
      </c>
      <c r="Q634" s="217" t="s">
        <v>48</v>
      </c>
      <c r="R634" s="217" t="s">
        <v>62</v>
      </c>
      <c r="S634" s="218">
        <v>0.70120343429591014</v>
      </c>
      <c r="T634" t="s">
        <v>550</v>
      </c>
      <c r="U634" t="s">
        <v>51</v>
      </c>
      <c r="V634" s="219">
        <v>0</v>
      </c>
      <c r="W634" s="219">
        <v>0</v>
      </c>
    </row>
    <row r="635" spans="1:23" ht="15" customHeight="1" x14ac:dyDescent="0.25">
      <c r="A635" t="s">
        <v>1862</v>
      </c>
      <c r="B635" t="s">
        <v>668</v>
      </c>
      <c r="C635">
        <v>670558</v>
      </c>
      <c r="D635" t="s">
        <v>1863</v>
      </c>
      <c r="E635" t="s">
        <v>288</v>
      </c>
      <c r="F635" t="s">
        <v>580</v>
      </c>
      <c r="G635" s="30">
        <v>46148</v>
      </c>
      <c r="H635" t="s">
        <v>1864</v>
      </c>
      <c r="I635">
        <v>2235206</v>
      </c>
      <c r="J635" s="123">
        <v>46147</v>
      </c>
      <c r="K635" s="123">
        <v>0</v>
      </c>
      <c r="L635" s="123">
        <v>46147</v>
      </c>
      <c r="M635">
        <v>0</v>
      </c>
      <c r="N635">
        <v>0</v>
      </c>
      <c r="O635">
        <v>0</v>
      </c>
      <c r="P635" s="216">
        <v>670558</v>
      </c>
      <c r="Q635" s="217" t="s">
        <v>48</v>
      </c>
      <c r="R635" s="217" t="s">
        <v>582</v>
      </c>
      <c r="S635" s="218">
        <v>0.70000003131702404</v>
      </c>
      <c r="T635" t="s">
        <v>550</v>
      </c>
      <c r="U635" t="s">
        <v>51</v>
      </c>
      <c r="V635" s="219">
        <v>0</v>
      </c>
      <c r="W635" s="219">
        <v>0</v>
      </c>
    </row>
    <row r="636" spans="1:23" ht="15" customHeight="1" x14ac:dyDescent="0.25">
      <c r="A636" t="s">
        <v>1865</v>
      </c>
      <c r="B636" t="s">
        <v>575</v>
      </c>
      <c r="C636">
        <v>670557.73</v>
      </c>
      <c r="D636" t="s">
        <v>1863</v>
      </c>
      <c r="E636" t="s">
        <v>553</v>
      </c>
      <c r="F636" t="s">
        <v>580</v>
      </c>
      <c r="G636" s="30">
        <v>46149</v>
      </c>
      <c r="H636" t="s">
        <v>1864</v>
      </c>
      <c r="I636">
        <v>2235206</v>
      </c>
      <c r="J636" s="123">
        <v>46149</v>
      </c>
      <c r="K636" s="123">
        <v>0</v>
      </c>
      <c r="L636" s="123">
        <v>46147</v>
      </c>
      <c r="M636">
        <v>0</v>
      </c>
      <c r="N636">
        <v>0</v>
      </c>
      <c r="O636" t="s">
        <v>556</v>
      </c>
      <c r="P636" s="216">
        <v>670557.73</v>
      </c>
      <c r="Q636" s="217" t="s">
        <v>48</v>
      </c>
      <c r="R636" s="217" t="s">
        <v>582</v>
      </c>
      <c r="S636" s="218">
        <v>0.70000003131702404</v>
      </c>
      <c r="T636" t="s">
        <v>550</v>
      </c>
      <c r="U636" t="s">
        <v>51</v>
      </c>
      <c r="V636" s="219">
        <v>0</v>
      </c>
      <c r="W636" s="219">
        <v>0</v>
      </c>
    </row>
    <row r="637" spans="1:23" ht="15" customHeight="1" x14ac:dyDescent="0.25">
      <c r="A637" t="s">
        <v>1866</v>
      </c>
      <c r="B637" t="s">
        <v>546</v>
      </c>
      <c r="C637">
        <v>100000</v>
      </c>
      <c r="D637" t="s">
        <v>1867</v>
      </c>
      <c r="E637" t="s">
        <v>553</v>
      </c>
      <c r="F637" t="s">
        <v>554</v>
      </c>
      <c r="G637" s="30">
        <v>46146</v>
      </c>
      <c r="H637" t="s">
        <v>1868</v>
      </c>
      <c r="I637">
        <v>3944685</v>
      </c>
      <c r="J637" s="123">
        <v>46146</v>
      </c>
      <c r="K637" s="123">
        <v>0</v>
      </c>
      <c r="L637" s="123">
        <v>46146</v>
      </c>
      <c r="M637">
        <v>0</v>
      </c>
      <c r="N637">
        <v>0</v>
      </c>
      <c r="O637" t="s">
        <v>556</v>
      </c>
      <c r="P637" s="216">
        <v>100000</v>
      </c>
      <c r="Q637" s="217" t="s">
        <v>48</v>
      </c>
      <c r="R637" s="217" t="s">
        <v>554</v>
      </c>
      <c r="S637" s="218">
        <v>0.73942814191754225</v>
      </c>
      <c r="T637" t="s">
        <v>550</v>
      </c>
      <c r="U637" t="s">
        <v>51</v>
      </c>
      <c r="V637" s="219" t="s">
        <v>6200</v>
      </c>
      <c r="W637" s="219" t="s">
        <v>67</v>
      </c>
    </row>
    <row r="638" spans="1:23" ht="15" customHeight="1" x14ac:dyDescent="0.25">
      <c r="A638" t="s">
        <v>1869</v>
      </c>
      <c r="B638" t="s">
        <v>546</v>
      </c>
      <c r="C638">
        <v>100000</v>
      </c>
      <c r="D638" t="s">
        <v>1867</v>
      </c>
      <c r="E638" t="s">
        <v>553</v>
      </c>
      <c r="F638" t="s">
        <v>554</v>
      </c>
      <c r="G638" s="30">
        <v>46146</v>
      </c>
      <c r="H638" t="s">
        <v>1868</v>
      </c>
      <c r="I638">
        <v>3944685</v>
      </c>
      <c r="J638" s="123">
        <v>46146</v>
      </c>
      <c r="K638" s="123">
        <v>0</v>
      </c>
      <c r="L638" s="123">
        <v>46146</v>
      </c>
      <c r="M638">
        <v>0</v>
      </c>
      <c r="N638">
        <v>0</v>
      </c>
      <c r="O638" t="s">
        <v>556</v>
      </c>
      <c r="P638" s="216">
        <v>100000</v>
      </c>
      <c r="Q638" s="217" t="s">
        <v>48</v>
      </c>
      <c r="R638" s="217" t="s">
        <v>554</v>
      </c>
      <c r="S638" s="218">
        <v>0.73942814191754225</v>
      </c>
      <c r="T638" t="s">
        <v>550</v>
      </c>
      <c r="U638" t="s">
        <v>51</v>
      </c>
      <c r="V638" s="219" t="s">
        <v>6201</v>
      </c>
      <c r="W638" s="219" t="s">
        <v>67</v>
      </c>
    </row>
    <row r="639" spans="1:23" ht="15" customHeight="1" x14ac:dyDescent="0.25">
      <c r="A639" t="s">
        <v>1870</v>
      </c>
      <c r="B639" t="s">
        <v>546</v>
      </c>
      <c r="C639">
        <v>100000</v>
      </c>
      <c r="D639" t="s">
        <v>1867</v>
      </c>
      <c r="E639" t="s">
        <v>553</v>
      </c>
      <c r="F639" t="s">
        <v>548</v>
      </c>
      <c r="G639" s="30">
        <v>46147</v>
      </c>
      <c r="H639" t="s">
        <v>1868</v>
      </c>
      <c r="I639">
        <v>3944685</v>
      </c>
      <c r="J639" s="123">
        <v>46147</v>
      </c>
      <c r="K639" s="123">
        <v>0</v>
      </c>
      <c r="L639" s="123">
        <v>46147</v>
      </c>
      <c r="M639">
        <v>0</v>
      </c>
      <c r="N639">
        <v>0</v>
      </c>
      <c r="O639" t="s">
        <v>556</v>
      </c>
      <c r="P639" s="216">
        <v>100000</v>
      </c>
      <c r="Q639" s="217" t="s">
        <v>48</v>
      </c>
      <c r="R639" s="217" t="s">
        <v>62</v>
      </c>
      <c r="S639" s="218">
        <v>0.73942814191754225</v>
      </c>
      <c r="T639" t="s">
        <v>550</v>
      </c>
      <c r="U639" t="s">
        <v>51</v>
      </c>
      <c r="V639" s="219">
        <v>0</v>
      </c>
      <c r="W639" s="219">
        <v>0</v>
      </c>
    </row>
    <row r="640" spans="1:23" ht="15" customHeight="1" x14ac:dyDescent="0.25">
      <c r="A640" t="s">
        <v>1871</v>
      </c>
      <c r="B640" t="s">
        <v>546</v>
      </c>
      <c r="C640">
        <v>50000</v>
      </c>
      <c r="D640" t="s">
        <v>1867</v>
      </c>
      <c r="E640" t="s">
        <v>553</v>
      </c>
      <c r="F640" t="s">
        <v>548</v>
      </c>
      <c r="G640" s="30">
        <v>46148</v>
      </c>
      <c r="H640" t="s">
        <v>1868</v>
      </c>
      <c r="I640">
        <v>3944685</v>
      </c>
      <c r="J640" s="123">
        <v>46148</v>
      </c>
      <c r="K640" s="123">
        <v>0</v>
      </c>
      <c r="L640" s="123">
        <v>46148</v>
      </c>
      <c r="M640">
        <v>0</v>
      </c>
      <c r="N640">
        <v>0</v>
      </c>
      <c r="O640" t="s">
        <v>556</v>
      </c>
      <c r="P640" s="216">
        <v>50000</v>
      </c>
      <c r="Q640" s="217" t="s">
        <v>48</v>
      </c>
      <c r="R640" s="217" t="s">
        <v>62</v>
      </c>
      <c r="S640" s="218">
        <v>0.73942814191754225</v>
      </c>
      <c r="T640" t="s">
        <v>550</v>
      </c>
      <c r="U640" t="s">
        <v>51</v>
      </c>
      <c r="V640" s="219">
        <v>0</v>
      </c>
      <c r="W640" s="219">
        <v>0</v>
      </c>
    </row>
    <row r="641" spans="1:23" ht="15" customHeight="1" x14ac:dyDescent="0.25">
      <c r="A641" t="s">
        <v>1872</v>
      </c>
      <c r="B641" t="s">
        <v>546</v>
      </c>
      <c r="C641">
        <v>50000</v>
      </c>
      <c r="D641" t="s">
        <v>1867</v>
      </c>
      <c r="E641" t="s">
        <v>553</v>
      </c>
      <c r="F641" t="s">
        <v>554</v>
      </c>
      <c r="G641" s="30">
        <v>46148</v>
      </c>
      <c r="H641" t="s">
        <v>1868</v>
      </c>
      <c r="I641">
        <v>3944685</v>
      </c>
      <c r="J641" s="123">
        <v>46148</v>
      </c>
      <c r="K641" s="123">
        <v>0</v>
      </c>
      <c r="L641" s="123">
        <v>46148</v>
      </c>
      <c r="M641">
        <v>0</v>
      </c>
      <c r="N641">
        <v>0</v>
      </c>
      <c r="O641" t="s">
        <v>556</v>
      </c>
      <c r="P641" s="216">
        <v>50000</v>
      </c>
      <c r="Q641" s="217" t="s">
        <v>48</v>
      </c>
      <c r="R641" s="217" t="s">
        <v>554</v>
      </c>
      <c r="S641" s="218">
        <v>0.73942814191754225</v>
      </c>
      <c r="T641" t="s">
        <v>550</v>
      </c>
      <c r="U641" t="s">
        <v>51</v>
      </c>
      <c r="V641" s="219" t="s">
        <v>6202</v>
      </c>
      <c r="W641" s="219" t="s">
        <v>67</v>
      </c>
    </row>
    <row r="642" spans="1:23" ht="15" customHeight="1" x14ac:dyDescent="0.25">
      <c r="A642" t="s">
        <v>1873</v>
      </c>
      <c r="B642" t="s">
        <v>546</v>
      </c>
      <c r="C642">
        <v>100000</v>
      </c>
      <c r="D642" t="s">
        <v>1867</v>
      </c>
      <c r="E642" t="s">
        <v>553</v>
      </c>
      <c r="F642" t="s">
        <v>548</v>
      </c>
      <c r="G642" s="30">
        <v>46147</v>
      </c>
      <c r="H642" t="s">
        <v>1868</v>
      </c>
      <c r="I642">
        <v>3944685</v>
      </c>
      <c r="J642" s="123">
        <v>46147</v>
      </c>
      <c r="K642" s="123">
        <v>0</v>
      </c>
      <c r="L642" s="123">
        <v>46147</v>
      </c>
      <c r="M642">
        <v>0</v>
      </c>
      <c r="N642">
        <v>0</v>
      </c>
      <c r="O642" t="s">
        <v>556</v>
      </c>
      <c r="P642" s="216">
        <v>100000</v>
      </c>
      <c r="Q642" s="217" t="s">
        <v>48</v>
      </c>
      <c r="R642" s="217" t="s">
        <v>62</v>
      </c>
      <c r="S642" s="218">
        <v>0.73942814191754225</v>
      </c>
      <c r="T642" t="s">
        <v>550</v>
      </c>
      <c r="U642" t="s">
        <v>51</v>
      </c>
      <c r="V642" s="219">
        <v>0</v>
      </c>
      <c r="W642" s="219">
        <v>0</v>
      </c>
    </row>
    <row r="643" spans="1:23" ht="15" customHeight="1" x14ac:dyDescent="0.25">
      <c r="A643" t="s">
        <v>1874</v>
      </c>
      <c r="B643" t="s">
        <v>546</v>
      </c>
      <c r="C643">
        <v>150000</v>
      </c>
      <c r="D643" t="s">
        <v>1867</v>
      </c>
      <c r="E643" t="s">
        <v>553</v>
      </c>
      <c r="F643" t="s">
        <v>548</v>
      </c>
      <c r="G643" s="30">
        <v>46147</v>
      </c>
      <c r="H643" t="s">
        <v>1868</v>
      </c>
      <c r="I643">
        <v>3944685</v>
      </c>
      <c r="J643" s="123">
        <v>46147</v>
      </c>
      <c r="K643" s="123">
        <v>0</v>
      </c>
      <c r="L643" s="123">
        <v>46147</v>
      </c>
      <c r="M643">
        <v>0</v>
      </c>
      <c r="N643">
        <v>0</v>
      </c>
      <c r="O643" t="s">
        <v>556</v>
      </c>
      <c r="P643" s="216">
        <v>150000</v>
      </c>
      <c r="Q643" s="217" t="s">
        <v>48</v>
      </c>
      <c r="R643" s="217" t="s">
        <v>62</v>
      </c>
      <c r="S643" s="218">
        <v>0.73942814191754225</v>
      </c>
      <c r="T643" t="s">
        <v>550</v>
      </c>
      <c r="U643" t="s">
        <v>51</v>
      </c>
      <c r="V643" s="219">
        <v>0</v>
      </c>
      <c r="W643" s="219">
        <v>0</v>
      </c>
    </row>
    <row r="644" spans="1:23" ht="15" customHeight="1" x14ac:dyDescent="0.25">
      <c r="A644" t="s">
        <v>1875</v>
      </c>
      <c r="B644" t="s">
        <v>546</v>
      </c>
      <c r="C644">
        <v>200000</v>
      </c>
      <c r="D644" t="s">
        <v>1867</v>
      </c>
      <c r="E644" t="s">
        <v>553</v>
      </c>
      <c r="F644" t="s">
        <v>548</v>
      </c>
      <c r="G644" s="30">
        <v>46147</v>
      </c>
      <c r="H644" t="s">
        <v>1868</v>
      </c>
      <c r="I644">
        <v>3944685</v>
      </c>
      <c r="J644" s="123">
        <v>46147</v>
      </c>
      <c r="K644" s="123">
        <v>0</v>
      </c>
      <c r="L644" s="123">
        <v>46147</v>
      </c>
      <c r="M644">
        <v>0</v>
      </c>
      <c r="N644">
        <v>0</v>
      </c>
      <c r="O644" t="s">
        <v>556</v>
      </c>
      <c r="P644" s="216">
        <v>200000</v>
      </c>
      <c r="Q644" s="217" t="s">
        <v>48</v>
      </c>
      <c r="R644" s="217" t="s">
        <v>62</v>
      </c>
      <c r="S644" s="218">
        <v>0.73942814191754225</v>
      </c>
      <c r="T644" t="s">
        <v>550</v>
      </c>
      <c r="U644" t="s">
        <v>51</v>
      </c>
      <c r="V644" s="219">
        <v>0</v>
      </c>
      <c r="W644" s="219">
        <v>0</v>
      </c>
    </row>
    <row r="645" spans="1:23" ht="15" customHeight="1" x14ac:dyDescent="0.25">
      <c r="A645" t="s">
        <v>1876</v>
      </c>
      <c r="B645" t="s">
        <v>546</v>
      </c>
      <c r="C645">
        <v>50000</v>
      </c>
      <c r="D645" t="s">
        <v>1867</v>
      </c>
      <c r="E645" t="s">
        <v>553</v>
      </c>
      <c r="F645" t="s">
        <v>548</v>
      </c>
      <c r="G645" s="30">
        <v>46148</v>
      </c>
      <c r="H645" t="s">
        <v>1868</v>
      </c>
      <c r="I645">
        <v>3944685</v>
      </c>
      <c r="J645" s="123">
        <v>46148</v>
      </c>
      <c r="K645" s="123">
        <v>0</v>
      </c>
      <c r="L645" s="123">
        <v>46148</v>
      </c>
      <c r="M645">
        <v>0</v>
      </c>
      <c r="N645">
        <v>0</v>
      </c>
      <c r="O645" t="s">
        <v>556</v>
      </c>
      <c r="P645" s="216">
        <v>50000</v>
      </c>
      <c r="Q645" s="217" t="s">
        <v>48</v>
      </c>
      <c r="R645" s="217" t="s">
        <v>62</v>
      </c>
      <c r="S645" s="218">
        <v>0.73942814191754225</v>
      </c>
      <c r="T645" t="s">
        <v>550</v>
      </c>
      <c r="U645" t="s">
        <v>51</v>
      </c>
      <c r="V645" s="219">
        <v>0</v>
      </c>
      <c r="W645" s="219">
        <v>0</v>
      </c>
    </row>
    <row r="646" spans="1:23" ht="15" customHeight="1" x14ac:dyDescent="0.25">
      <c r="A646" t="s">
        <v>1877</v>
      </c>
      <c r="B646" t="s">
        <v>546</v>
      </c>
      <c r="C646">
        <v>50000</v>
      </c>
      <c r="D646" t="s">
        <v>1867</v>
      </c>
      <c r="E646" t="s">
        <v>553</v>
      </c>
      <c r="F646" t="s">
        <v>554</v>
      </c>
      <c r="G646" s="30">
        <v>46148</v>
      </c>
      <c r="H646" t="s">
        <v>1868</v>
      </c>
      <c r="I646">
        <v>3944685</v>
      </c>
      <c r="J646" s="123">
        <v>46148</v>
      </c>
      <c r="K646" s="123">
        <v>0</v>
      </c>
      <c r="L646" s="123">
        <v>46148</v>
      </c>
      <c r="M646">
        <v>0</v>
      </c>
      <c r="N646">
        <v>0</v>
      </c>
      <c r="O646" t="s">
        <v>556</v>
      </c>
      <c r="P646" s="216">
        <v>50000</v>
      </c>
      <c r="Q646" s="217" t="s">
        <v>48</v>
      </c>
      <c r="R646" s="217" t="s">
        <v>554</v>
      </c>
      <c r="S646" s="218">
        <v>0.73942814191754225</v>
      </c>
      <c r="T646" t="s">
        <v>550</v>
      </c>
      <c r="U646" t="s">
        <v>51</v>
      </c>
      <c r="V646" s="219" t="s">
        <v>6203</v>
      </c>
      <c r="W646" s="219" t="s">
        <v>67</v>
      </c>
    </row>
    <row r="647" spans="1:23" ht="15" customHeight="1" x14ac:dyDescent="0.25">
      <c r="A647" t="s">
        <v>1878</v>
      </c>
      <c r="B647" t="s">
        <v>546</v>
      </c>
      <c r="C647">
        <v>50000</v>
      </c>
      <c r="D647" t="s">
        <v>1867</v>
      </c>
      <c r="E647" t="s">
        <v>553</v>
      </c>
      <c r="F647" t="s">
        <v>554</v>
      </c>
      <c r="G647" s="30">
        <v>46148</v>
      </c>
      <c r="H647" t="s">
        <v>1868</v>
      </c>
      <c r="I647">
        <v>3944685</v>
      </c>
      <c r="J647" s="123">
        <v>46148</v>
      </c>
      <c r="K647" s="123">
        <v>0</v>
      </c>
      <c r="L647" s="123">
        <v>46148</v>
      </c>
      <c r="M647">
        <v>0</v>
      </c>
      <c r="N647">
        <v>0</v>
      </c>
      <c r="O647" t="s">
        <v>556</v>
      </c>
      <c r="P647" s="216">
        <v>50000</v>
      </c>
      <c r="Q647" s="217" t="s">
        <v>48</v>
      </c>
      <c r="R647" s="217" t="s">
        <v>554</v>
      </c>
      <c r="S647" s="218">
        <v>0.73942814191754225</v>
      </c>
      <c r="T647" t="s">
        <v>550</v>
      </c>
      <c r="U647" t="s">
        <v>51</v>
      </c>
      <c r="V647" s="219" t="s">
        <v>6204</v>
      </c>
      <c r="W647" s="219" t="s">
        <v>67</v>
      </c>
    </row>
    <row r="648" spans="1:23" ht="15" customHeight="1" x14ac:dyDescent="0.25">
      <c r="A648" t="s">
        <v>1879</v>
      </c>
      <c r="B648" t="s">
        <v>546</v>
      </c>
      <c r="C648">
        <v>50000</v>
      </c>
      <c r="D648" t="s">
        <v>1867</v>
      </c>
      <c r="E648" t="s">
        <v>553</v>
      </c>
      <c r="F648" t="s">
        <v>548</v>
      </c>
      <c r="G648" s="30">
        <v>46148</v>
      </c>
      <c r="H648" t="s">
        <v>1868</v>
      </c>
      <c r="I648">
        <v>3944685</v>
      </c>
      <c r="J648" s="123">
        <v>46148</v>
      </c>
      <c r="K648" s="123">
        <v>0</v>
      </c>
      <c r="L648" s="123">
        <v>46148</v>
      </c>
      <c r="M648">
        <v>0</v>
      </c>
      <c r="N648">
        <v>0</v>
      </c>
      <c r="O648" t="s">
        <v>556</v>
      </c>
      <c r="P648" s="216">
        <v>50000</v>
      </c>
      <c r="Q648" s="217" t="s">
        <v>48</v>
      </c>
      <c r="R648" s="217" t="s">
        <v>62</v>
      </c>
      <c r="S648" s="218">
        <v>0.73942814191754225</v>
      </c>
      <c r="T648" t="s">
        <v>550</v>
      </c>
      <c r="U648" t="s">
        <v>51</v>
      </c>
      <c r="V648" s="219">
        <v>0</v>
      </c>
      <c r="W648" s="219">
        <v>0</v>
      </c>
    </row>
    <row r="649" spans="1:23" ht="15" customHeight="1" x14ac:dyDescent="0.25">
      <c r="A649" t="s">
        <v>1880</v>
      </c>
      <c r="B649" t="s">
        <v>546</v>
      </c>
      <c r="C649">
        <v>15000</v>
      </c>
      <c r="D649" t="s">
        <v>1867</v>
      </c>
      <c r="E649" t="s">
        <v>553</v>
      </c>
      <c r="F649" t="s">
        <v>554</v>
      </c>
      <c r="G649" s="30">
        <v>46148</v>
      </c>
      <c r="H649" t="s">
        <v>1868</v>
      </c>
      <c r="I649">
        <v>3944685</v>
      </c>
      <c r="J649" s="123">
        <v>46148</v>
      </c>
      <c r="K649" s="123">
        <v>0</v>
      </c>
      <c r="L649" s="123">
        <v>46148</v>
      </c>
      <c r="M649">
        <v>0</v>
      </c>
      <c r="N649">
        <v>0</v>
      </c>
      <c r="O649" t="s">
        <v>556</v>
      </c>
      <c r="P649" s="216">
        <v>15000</v>
      </c>
      <c r="Q649" s="217" t="s">
        <v>48</v>
      </c>
      <c r="R649" s="217" t="s">
        <v>554</v>
      </c>
      <c r="S649" s="218">
        <v>0.73942814191754225</v>
      </c>
      <c r="T649" t="s">
        <v>550</v>
      </c>
      <c r="U649" t="s">
        <v>51</v>
      </c>
      <c r="V649" s="219" t="s">
        <v>6205</v>
      </c>
      <c r="W649" s="219" t="s">
        <v>67</v>
      </c>
    </row>
    <row r="650" spans="1:23" ht="15" customHeight="1" x14ac:dyDescent="0.25">
      <c r="A650" t="s">
        <v>1881</v>
      </c>
      <c r="B650" t="s">
        <v>546</v>
      </c>
      <c r="C650">
        <v>5000</v>
      </c>
      <c r="D650" t="s">
        <v>1867</v>
      </c>
      <c r="E650" t="s">
        <v>553</v>
      </c>
      <c r="F650" t="s">
        <v>554</v>
      </c>
      <c r="G650" s="30">
        <v>46148</v>
      </c>
      <c r="H650" t="s">
        <v>1868</v>
      </c>
      <c r="I650">
        <v>3944685</v>
      </c>
      <c r="J650" s="123">
        <v>46148</v>
      </c>
      <c r="K650" s="123">
        <v>0</v>
      </c>
      <c r="L650" s="123">
        <v>46148</v>
      </c>
      <c r="M650">
        <v>0</v>
      </c>
      <c r="N650">
        <v>0</v>
      </c>
      <c r="O650" t="s">
        <v>556</v>
      </c>
      <c r="P650" s="216">
        <v>5000</v>
      </c>
      <c r="Q650" s="217" t="s">
        <v>48</v>
      </c>
      <c r="R650" s="217" t="s">
        <v>554</v>
      </c>
      <c r="S650" s="218">
        <v>0.73942814191754225</v>
      </c>
      <c r="T650" t="s">
        <v>550</v>
      </c>
      <c r="U650" t="s">
        <v>51</v>
      </c>
      <c r="V650" s="219" t="s">
        <v>6206</v>
      </c>
      <c r="W650" s="219" t="s">
        <v>67</v>
      </c>
    </row>
    <row r="651" spans="1:23" ht="15" customHeight="1" x14ac:dyDescent="0.25">
      <c r="A651" t="s">
        <v>1882</v>
      </c>
      <c r="B651" t="s">
        <v>546</v>
      </c>
      <c r="C651">
        <v>5000</v>
      </c>
      <c r="D651" t="s">
        <v>1867</v>
      </c>
      <c r="E651" t="s">
        <v>553</v>
      </c>
      <c r="F651" t="s">
        <v>548</v>
      </c>
      <c r="G651" s="30">
        <v>46148</v>
      </c>
      <c r="H651" t="s">
        <v>1868</v>
      </c>
      <c r="I651">
        <v>3944685</v>
      </c>
      <c r="J651" s="123">
        <v>46148</v>
      </c>
      <c r="K651" s="123">
        <v>0</v>
      </c>
      <c r="L651" s="123">
        <v>46148</v>
      </c>
      <c r="M651">
        <v>0</v>
      </c>
      <c r="N651">
        <v>0</v>
      </c>
      <c r="O651" t="s">
        <v>556</v>
      </c>
      <c r="P651" s="216">
        <v>5000</v>
      </c>
      <c r="Q651" s="217" t="s">
        <v>48</v>
      </c>
      <c r="R651" s="217" t="s">
        <v>62</v>
      </c>
      <c r="S651" s="218">
        <v>0.73942814191754225</v>
      </c>
      <c r="T651" t="s">
        <v>550</v>
      </c>
      <c r="U651" t="s">
        <v>51</v>
      </c>
      <c r="V651" s="219">
        <v>0</v>
      </c>
      <c r="W651" s="219">
        <v>0</v>
      </c>
    </row>
    <row r="652" spans="1:23" ht="15" customHeight="1" x14ac:dyDescent="0.25">
      <c r="A652" t="s">
        <v>1883</v>
      </c>
      <c r="B652" t="s">
        <v>546</v>
      </c>
      <c r="C652">
        <v>10000</v>
      </c>
      <c r="D652" t="s">
        <v>1867</v>
      </c>
      <c r="E652" t="s">
        <v>553</v>
      </c>
      <c r="F652" t="s">
        <v>554</v>
      </c>
      <c r="G652" s="30">
        <v>46148</v>
      </c>
      <c r="H652" t="s">
        <v>1868</v>
      </c>
      <c r="I652">
        <v>3944685</v>
      </c>
      <c r="J652" s="123">
        <v>46148</v>
      </c>
      <c r="K652" s="123">
        <v>0</v>
      </c>
      <c r="L652" s="123">
        <v>46148</v>
      </c>
      <c r="M652">
        <v>0</v>
      </c>
      <c r="N652">
        <v>0</v>
      </c>
      <c r="O652" t="s">
        <v>556</v>
      </c>
      <c r="P652" s="216">
        <v>10000</v>
      </c>
      <c r="Q652" s="217" t="s">
        <v>48</v>
      </c>
      <c r="R652" s="217" t="s">
        <v>554</v>
      </c>
      <c r="S652" s="218">
        <v>0.73942814191754225</v>
      </c>
      <c r="T652" t="s">
        <v>550</v>
      </c>
      <c r="U652" t="s">
        <v>51</v>
      </c>
      <c r="V652" s="219" t="s">
        <v>6207</v>
      </c>
      <c r="W652" s="219" t="s">
        <v>67</v>
      </c>
    </row>
    <row r="653" spans="1:23" ht="15" customHeight="1" x14ac:dyDescent="0.25">
      <c r="A653" t="s">
        <v>1884</v>
      </c>
      <c r="B653" t="s">
        <v>546</v>
      </c>
      <c r="C653">
        <v>20000</v>
      </c>
      <c r="D653" t="s">
        <v>1867</v>
      </c>
      <c r="E653" t="s">
        <v>553</v>
      </c>
      <c r="F653" t="s">
        <v>548</v>
      </c>
      <c r="G653" s="30">
        <v>46148</v>
      </c>
      <c r="H653" t="s">
        <v>1868</v>
      </c>
      <c r="I653">
        <v>3944685</v>
      </c>
      <c r="J653" s="123">
        <v>46148</v>
      </c>
      <c r="K653" s="123">
        <v>0</v>
      </c>
      <c r="L653" s="123">
        <v>46148</v>
      </c>
      <c r="M653">
        <v>0</v>
      </c>
      <c r="N653">
        <v>0</v>
      </c>
      <c r="O653" t="s">
        <v>556</v>
      </c>
      <c r="P653" s="216">
        <v>20000</v>
      </c>
      <c r="Q653" s="217" t="s">
        <v>48</v>
      </c>
      <c r="R653" s="217" t="s">
        <v>62</v>
      </c>
      <c r="S653" s="218">
        <v>0.73942814191754225</v>
      </c>
      <c r="T653" t="s">
        <v>550</v>
      </c>
      <c r="U653" t="s">
        <v>51</v>
      </c>
      <c r="V653" s="219">
        <v>0</v>
      </c>
      <c r="W653" s="219">
        <v>0</v>
      </c>
    </row>
    <row r="654" spans="1:23" ht="15" customHeight="1" x14ac:dyDescent="0.25">
      <c r="A654" t="s">
        <v>1885</v>
      </c>
      <c r="B654" t="s">
        <v>546</v>
      </c>
      <c r="C654">
        <v>10000</v>
      </c>
      <c r="D654" t="s">
        <v>1867</v>
      </c>
      <c r="E654" t="s">
        <v>553</v>
      </c>
      <c r="F654" t="s">
        <v>1886</v>
      </c>
      <c r="G654" s="30">
        <v>46149</v>
      </c>
      <c r="H654" t="s">
        <v>1868</v>
      </c>
      <c r="I654">
        <v>3944685</v>
      </c>
      <c r="J654" s="123">
        <v>46149</v>
      </c>
      <c r="K654" s="123">
        <v>0</v>
      </c>
      <c r="L654" s="123">
        <v>46149</v>
      </c>
      <c r="M654">
        <v>0</v>
      </c>
      <c r="N654">
        <v>0</v>
      </c>
      <c r="O654" t="s">
        <v>556</v>
      </c>
      <c r="P654" s="216">
        <v>10000</v>
      </c>
      <c r="Q654" s="217" t="s">
        <v>48</v>
      </c>
      <c r="R654" s="217" t="s">
        <v>582</v>
      </c>
      <c r="S654" s="218">
        <v>0.73942814191754225</v>
      </c>
      <c r="T654" t="s">
        <v>550</v>
      </c>
      <c r="U654" t="s">
        <v>51</v>
      </c>
      <c r="V654" s="219">
        <v>0</v>
      </c>
      <c r="W654" s="219">
        <v>0</v>
      </c>
    </row>
    <row r="655" spans="1:23" ht="15" customHeight="1" x14ac:dyDescent="0.25">
      <c r="A655" t="s">
        <v>1887</v>
      </c>
      <c r="B655" t="s">
        <v>546</v>
      </c>
      <c r="C655">
        <v>20000</v>
      </c>
      <c r="D655" t="s">
        <v>1867</v>
      </c>
      <c r="E655" t="s">
        <v>553</v>
      </c>
      <c r="F655" t="s">
        <v>554</v>
      </c>
      <c r="G655" s="30">
        <v>46149</v>
      </c>
      <c r="H655" t="s">
        <v>1868</v>
      </c>
      <c r="I655">
        <v>3944685</v>
      </c>
      <c r="J655" s="123">
        <v>46149</v>
      </c>
      <c r="K655" s="123">
        <v>0</v>
      </c>
      <c r="L655" s="123">
        <v>46149</v>
      </c>
      <c r="M655">
        <v>0</v>
      </c>
      <c r="N655">
        <v>0</v>
      </c>
      <c r="O655" t="s">
        <v>556</v>
      </c>
      <c r="P655" s="216">
        <v>20000</v>
      </c>
      <c r="Q655" s="217" t="s">
        <v>48</v>
      </c>
      <c r="R655" s="217" t="s">
        <v>554</v>
      </c>
      <c r="S655" s="218">
        <v>0.73942814191754225</v>
      </c>
      <c r="T655" t="s">
        <v>550</v>
      </c>
      <c r="U655" t="s">
        <v>51</v>
      </c>
      <c r="V655" s="219" t="s">
        <v>6208</v>
      </c>
      <c r="W655" s="219" t="s">
        <v>67</v>
      </c>
    </row>
    <row r="656" spans="1:23" ht="15" customHeight="1" x14ac:dyDescent="0.25">
      <c r="A656" t="s">
        <v>1888</v>
      </c>
      <c r="B656" t="s">
        <v>546</v>
      </c>
      <c r="C656">
        <v>10000</v>
      </c>
      <c r="D656" t="s">
        <v>1867</v>
      </c>
      <c r="E656" t="s">
        <v>553</v>
      </c>
      <c r="F656" t="s">
        <v>554</v>
      </c>
      <c r="G656" s="30">
        <v>46149</v>
      </c>
      <c r="H656" t="s">
        <v>1868</v>
      </c>
      <c r="I656">
        <v>3944685</v>
      </c>
      <c r="J656" s="123">
        <v>46149</v>
      </c>
      <c r="K656" s="123">
        <v>0</v>
      </c>
      <c r="L656" s="123">
        <v>46149</v>
      </c>
      <c r="M656">
        <v>0</v>
      </c>
      <c r="N656">
        <v>0</v>
      </c>
      <c r="O656" t="s">
        <v>556</v>
      </c>
      <c r="P656" s="216">
        <v>10000</v>
      </c>
      <c r="Q656" s="217" t="s">
        <v>48</v>
      </c>
      <c r="R656" s="217" t="s">
        <v>554</v>
      </c>
      <c r="S656" s="218">
        <v>0.73942814191754225</v>
      </c>
      <c r="T656" t="s">
        <v>550</v>
      </c>
      <c r="U656" t="s">
        <v>51</v>
      </c>
      <c r="V656" s="219" t="s">
        <v>6209</v>
      </c>
      <c r="W656" s="219" t="s">
        <v>67</v>
      </c>
    </row>
    <row r="657" spans="1:23" ht="15" customHeight="1" x14ac:dyDescent="0.25">
      <c r="A657" t="s">
        <v>1889</v>
      </c>
      <c r="B657" t="s">
        <v>546</v>
      </c>
      <c r="C657">
        <v>40000</v>
      </c>
      <c r="D657" t="s">
        <v>1867</v>
      </c>
      <c r="E657" t="s">
        <v>553</v>
      </c>
      <c r="F657" t="s">
        <v>1886</v>
      </c>
      <c r="G657" s="30">
        <v>46149</v>
      </c>
      <c r="H657" t="s">
        <v>1868</v>
      </c>
      <c r="I657">
        <v>3944685</v>
      </c>
      <c r="J657" s="123">
        <v>46149</v>
      </c>
      <c r="K657" s="123">
        <v>0</v>
      </c>
      <c r="L657" s="123">
        <v>46149</v>
      </c>
      <c r="M657">
        <v>0</v>
      </c>
      <c r="N657">
        <v>0</v>
      </c>
      <c r="O657" t="s">
        <v>556</v>
      </c>
      <c r="P657" s="216">
        <v>40000</v>
      </c>
      <c r="Q657" s="217" t="s">
        <v>48</v>
      </c>
      <c r="R657" s="217" t="s">
        <v>582</v>
      </c>
      <c r="S657" s="218">
        <v>0.73942814191754225</v>
      </c>
      <c r="T657" t="s">
        <v>550</v>
      </c>
      <c r="U657" t="s">
        <v>51</v>
      </c>
      <c r="V657" s="219">
        <v>0</v>
      </c>
      <c r="W657" s="219">
        <v>0</v>
      </c>
    </row>
    <row r="658" spans="1:23" ht="15" customHeight="1" x14ac:dyDescent="0.25">
      <c r="A658" t="s">
        <v>1890</v>
      </c>
      <c r="B658" t="s">
        <v>546</v>
      </c>
      <c r="C658">
        <v>40000</v>
      </c>
      <c r="D658" t="s">
        <v>1867</v>
      </c>
      <c r="E658" t="s">
        <v>553</v>
      </c>
      <c r="F658" t="s">
        <v>1886</v>
      </c>
      <c r="G658" s="30">
        <v>46149</v>
      </c>
      <c r="H658" t="s">
        <v>1868</v>
      </c>
      <c r="I658">
        <v>3944685</v>
      </c>
      <c r="J658" s="123">
        <v>46149</v>
      </c>
      <c r="K658" s="123">
        <v>0</v>
      </c>
      <c r="L658" s="123">
        <v>46149</v>
      </c>
      <c r="M658">
        <v>0</v>
      </c>
      <c r="N658">
        <v>0</v>
      </c>
      <c r="O658" t="s">
        <v>556</v>
      </c>
      <c r="P658" s="216">
        <v>40000</v>
      </c>
      <c r="Q658" s="217" t="s">
        <v>48</v>
      </c>
      <c r="R658" s="217" t="s">
        <v>582</v>
      </c>
      <c r="S658" s="218">
        <v>0.73942814191754225</v>
      </c>
      <c r="T658" t="s">
        <v>550</v>
      </c>
      <c r="U658" t="s">
        <v>51</v>
      </c>
      <c r="V658" s="219">
        <v>0</v>
      </c>
      <c r="W658" s="219">
        <v>0</v>
      </c>
    </row>
    <row r="659" spans="1:23" ht="15" customHeight="1" x14ac:dyDescent="0.25">
      <c r="A659" t="s">
        <v>1891</v>
      </c>
      <c r="B659" t="s">
        <v>546</v>
      </c>
      <c r="C659">
        <v>40000</v>
      </c>
      <c r="D659" t="s">
        <v>1867</v>
      </c>
      <c r="E659" t="s">
        <v>553</v>
      </c>
      <c r="F659" t="s">
        <v>554</v>
      </c>
      <c r="G659" s="30">
        <v>46149</v>
      </c>
      <c r="H659" t="s">
        <v>1868</v>
      </c>
      <c r="I659">
        <v>3944685</v>
      </c>
      <c r="J659" s="123">
        <v>46149</v>
      </c>
      <c r="K659" s="123">
        <v>0</v>
      </c>
      <c r="L659" s="123">
        <v>46149</v>
      </c>
      <c r="M659">
        <v>0</v>
      </c>
      <c r="N659">
        <v>0</v>
      </c>
      <c r="O659" t="s">
        <v>556</v>
      </c>
      <c r="P659" s="216">
        <v>40000</v>
      </c>
      <c r="Q659" s="217" t="s">
        <v>48</v>
      </c>
      <c r="R659" s="217" t="s">
        <v>554</v>
      </c>
      <c r="S659" s="218">
        <v>0.73942814191754225</v>
      </c>
      <c r="T659" t="s">
        <v>550</v>
      </c>
      <c r="U659" t="s">
        <v>51</v>
      </c>
      <c r="V659" s="219" t="s">
        <v>6210</v>
      </c>
      <c r="W659" s="219" t="s">
        <v>67</v>
      </c>
    </row>
    <row r="660" spans="1:23" ht="15" customHeight="1" x14ac:dyDescent="0.25">
      <c r="A660" t="s">
        <v>1892</v>
      </c>
      <c r="B660" t="s">
        <v>546</v>
      </c>
      <c r="C660">
        <v>100000</v>
      </c>
      <c r="D660" t="s">
        <v>1867</v>
      </c>
      <c r="E660" t="s">
        <v>553</v>
      </c>
      <c r="F660" t="s">
        <v>554</v>
      </c>
      <c r="G660" s="30">
        <v>46149</v>
      </c>
      <c r="H660" t="s">
        <v>1868</v>
      </c>
      <c r="I660">
        <v>3944685</v>
      </c>
      <c r="J660" s="123">
        <v>46149</v>
      </c>
      <c r="K660" s="123">
        <v>0</v>
      </c>
      <c r="L660" s="123">
        <v>46149</v>
      </c>
      <c r="M660">
        <v>0</v>
      </c>
      <c r="N660">
        <v>0</v>
      </c>
      <c r="O660" t="s">
        <v>556</v>
      </c>
      <c r="P660" s="216">
        <v>100000</v>
      </c>
      <c r="Q660" s="217" t="s">
        <v>48</v>
      </c>
      <c r="R660" s="217" t="s">
        <v>554</v>
      </c>
      <c r="S660" s="218">
        <v>0.73942814191754225</v>
      </c>
      <c r="T660" t="s">
        <v>550</v>
      </c>
      <c r="U660" t="s">
        <v>51</v>
      </c>
      <c r="V660" s="219" t="s">
        <v>6211</v>
      </c>
      <c r="W660" s="219" t="s">
        <v>67</v>
      </c>
    </row>
    <row r="661" spans="1:23" ht="15" customHeight="1" x14ac:dyDescent="0.25">
      <c r="A661" t="s">
        <v>1893</v>
      </c>
      <c r="B661" t="s">
        <v>546</v>
      </c>
      <c r="C661">
        <v>1577874.9</v>
      </c>
      <c r="D661" t="s">
        <v>1894</v>
      </c>
      <c r="E661" t="s">
        <v>553</v>
      </c>
      <c r="F661" t="s">
        <v>548</v>
      </c>
      <c r="G661" s="30">
        <v>46147</v>
      </c>
      <c r="H661" t="s">
        <v>1895</v>
      </c>
      <c r="I661">
        <v>3944685</v>
      </c>
      <c r="J661" s="123">
        <v>46147</v>
      </c>
      <c r="K661" s="123">
        <v>0</v>
      </c>
      <c r="L661" s="123">
        <v>46147</v>
      </c>
      <c r="M661">
        <v>0</v>
      </c>
      <c r="N661">
        <v>0</v>
      </c>
      <c r="O661" t="s">
        <v>556</v>
      </c>
      <c r="P661" s="216">
        <v>1577874.9</v>
      </c>
      <c r="Q661" s="217" t="s">
        <v>48</v>
      </c>
      <c r="R661" s="217" t="s">
        <v>62</v>
      </c>
      <c r="S661" s="218">
        <v>0.7774539918903538</v>
      </c>
      <c r="T661" t="s">
        <v>550</v>
      </c>
      <c r="U661" t="s">
        <v>51</v>
      </c>
      <c r="V661" s="219">
        <v>0</v>
      </c>
      <c r="W661" s="219">
        <v>0</v>
      </c>
    </row>
    <row r="662" spans="1:23" ht="15" customHeight="1" x14ac:dyDescent="0.25">
      <c r="A662" t="s">
        <v>1896</v>
      </c>
      <c r="B662" t="s">
        <v>546</v>
      </c>
      <c r="C662">
        <v>125000</v>
      </c>
      <c r="D662" t="s">
        <v>1894</v>
      </c>
      <c r="E662" t="s">
        <v>553</v>
      </c>
      <c r="F662" t="s">
        <v>548</v>
      </c>
      <c r="G662" s="30">
        <v>46147</v>
      </c>
      <c r="H662" t="s">
        <v>1895</v>
      </c>
      <c r="I662">
        <v>3944685</v>
      </c>
      <c r="J662" s="123">
        <v>46147</v>
      </c>
      <c r="K662" s="123">
        <v>0</v>
      </c>
      <c r="L662" s="123">
        <v>46147</v>
      </c>
      <c r="M662">
        <v>0</v>
      </c>
      <c r="N662">
        <v>0</v>
      </c>
      <c r="O662" t="s">
        <v>556</v>
      </c>
      <c r="P662" s="216">
        <v>125000</v>
      </c>
      <c r="Q662" s="217" t="s">
        <v>48</v>
      </c>
      <c r="R662" s="217" t="s">
        <v>62</v>
      </c>
      <c r="S662" s="218">
        <v>0.7774539918903538</v>
      </c>
      <c r="T662" t="s">
        <v>550</v>
      </c>
      <c r="U662" t="s">
        <v>51</v>
      </c>
      <c r="V662" s="219">
        <v>0</v>
      </c>
      <c r="W662" s="219">
        <v>0</v>
      </c>
    </row>
    <row r="663" spans="1:23" ht="15" customHeight="1" x14ac:dyDescent="0.25">
      <c r="A663" t="s">
        <v>1897</v>
      </c>
      <c r="B663" t="s">
        <v>546</v>
      </c>
      <c r="C663">
        <v>125000</v>
      </c>
      <c r="D663" t="s">
        <v>1894</v>
      </c>
      <c r="E663" t="s">
        <v>553</v>
      </c>
      <c r="F663" t="s">
        <v>554</v>
      </c>
      <c r="G663" s="30">
        <v>46147</v>
      </c>
      <c r="H663" t="s">
        <v>1895</v>
      </c>
      <c r="I663">
        <v>3944685</v>
      </c>
      <c r="J663" s="123">
        <v>46147</v>
      </c>
      <c r="K663" s="123">
        <v>0</v>
      </c>
      <c r="L663" s="123">
        <v>46147</v>
      </c>
      <c r="M663">
        <v>0</v>
      </c>
      <c r="N663">
        <v>0</v>
      </c>
      <c r="O663" t="s">
        <v>556</v>
      </c>
      <c r="P663" s="216">
        <v>125000</v>
      </c>
      <c r="Q663" s="217" t="s">
        <v>48</v>
      </c>
      <c r="R663" s="217" t="s">
        <v>554</v>
      </c>
      <c r="S663" s="218">
        <v>0.7774539918903538</v>
      </c>
      <c r="T663" t="s">
        <v>550</v>
      </c>
      <c r="U663" t="s">
        <v>51</v>
      </c>
      <c r="V663" s="219" t="s">
        <v>6212</v>
      </c>
      <c r="W663" s="219" t="s">
        <v>67</v>
      </c>
    </row>
    <row r="664" spans="1:23" ht="15" customHeight="1" x14ac:dyDescent="0.25">
      <c r="A664" t="s">
        <v>1898</v>
      </c>
      <c r="B664" t="s">
        <v>546</v>
      </c>
      <c r="C664">
        <v>1452874.9</v>
      </c>
      <c r="D664" t="s">
        <v>1894</v>
      </c>
      <c r="E664" t="s">
        <v>553</v>
      </c>
      <c r="F664" t="s">
        <v>548</v>
      </c>
      <c r="G664" s="30">
        <v>46147</v>
      </c>
      <c r="H664" t="s">
        <v>1895</v>
      </c>
      <c r="I664">
        <v>3944685</v>
      </c>
      <c r="J664" s="123">
        <v>46147</v>
      </c>
      <c r="K664" s="123">
        <v>0</v>
      </c>
      <c r="L664" s="123">
        <v>46147</v>
      </c>
      <c r="M664">
        <v>0</v>
      </c>
      <c r="N664">
        <v>0</v>
      </c>
      <c r="O664" t="s">
        <v>556</v>
      </c>
      <c r="P664" s="216">
        <v>1452874.9</v>
      </c>
      <c r="Q664" s="217" t="s">
        <v>48</v>
      </c>
      <c r="R664" s="217" t="s">
        <v>62</v>
      </c>
      <c r="S664" s="218">
        <v>0.7774539918903538</v>
      </c>
      <c r="T664" t="s">
        <v>550</v>
      </c>
      <c r="U664" t="s">
        <v>51</v>
      </c>
      <c r="V664" s="219">
        <v>0</v>
      </c>
      <c r="W664" s="219">
        <v>0</v>
      </c>
    </row>
    <row r="665" spans="1:23" ht="15" customHeight="1" x14ac:dyDescent="0.25">
      <c r="A665" t="s">
        <v>1899</v>
      </c>
      <c r="B665" t="s">
        <v>546</v>
      </c>
      <c r="C665">
        <v>25000</v>
      </c>
      <c r="D665" t="s">
        <v>1894</v>
      </c>
      <c r="E665" t="s">
        <v>553</v>
      </c>
      <c r="F665" t="s">
        <v>554</v>
      </c>
      <c r="G665" s="30">
        <v>46147</v>
      </c>
      <c r="H665" t="s">
        <v>1895</v>
      </c>
      <c r="I665">
        <v>3944685</v>
      </c>
      <c r="J665" s="123">
        <v>46147</v>
      </c>
      <c r="K665" s="123">
        <v>0</v>
      </c>
      <c r="L665" s="123">
        <v>46147</v>
      </c>
      <c r="M665">
        <v>0</v>
      </c>
      <c r="N665">
        <v>0</v>
      </c>
      <c r="O665" t="s">
        <v>556</v>
      </c>
      <c r="P665" s="216">
        <v>25000</v>
      </c>
      <c r="Q665" s="217" t="s">
        <v>48</v>
      </c>
      <c r="R665" s="217" t="s">
        <v>554</v>
      </c>
      <c r="S665" s="218">
        <v>0.7774539918903538</v>
      </c>
      <c r="T665" t="s">
        <v>550</v>
      </c>
      <c r="U665" t="s">
        <v>51</v>
      </c>
      <c r="V665" s="219" t="s">
        <v>6213</v>
      </c>
      <c r="W665" s="219" t="s">
        <v>67</v>
      </c>
    </row>
    <row r="666" spans="1:23" ht="15" customHeight="1" x14ac:dyDescent="0.25">
      <c r="A666" t="s">
        <v>1900</v>
      </c>
      <c r="B666" t="s">
        <v>546</v>
      </c>
      <c r="C666">
        <v>25000</v>
      </c>
      <c r="D666" t="s">
        <v>1894</v>
      </c>
      <c r="E666" t="s">
        <v>553</v>
      </c>
      <c r="F666" t="s">
        <v>548</v>
      </c>
      <c r="G666" s="30">
        <v>46147</v>
      </c>
      <c r="H666" t="s">
        <v>1895</v>
      </c>
      <c r="I666">
        <v>3944685</v>
      </c>
      <c r="J666" s="123">
        <v>46147</v>
      </c>
      <c r="K666" s="123">
        <v>0</v>
      </c>
      <c r="L666" s="123">
        <v>46147</v>
      </c>
      <c r="M666">
        <v>0</v>
      </c>
      <c r="N666">
        <v>0</v>
      </c>
      <c r="O666" t="s">
        <v>556</v>
      </c>
      <c r="P666" s="216">
        <v>25000</v>
      </c>
      <c r="Q666" s="217" t="s">
        <v>48</v>
      </c>
      <c r="R666" s="217" t="s">
        <v>62</v>
      </c>
      <c r="S666" s="218">
        <v>0.7774539918903538</v>
      </c>
      <c r="T666" t="s">
        <v>550</v>
      </c>
      <c r="U666" t="s">
        <v>51</v>
      </c>
      <c r="V666" s="219">
        <v>0</v>
      </c>
      <c r="W666" s="219">
        <v>0</v>
      </c>
    </row>
    <row r="667" spans="1:23" ht="15" customHeight="1" x14ac:dyDescent="0.25">
      <c r="A667" t="s">
        <v>1901</v>
      </c>
      <c r="B667" t="s">
        <v>546</v>
      </c>
      <c r="C667">
        <v>50000</v>
      </c>
      <c r="D667" t="s">
        <v>1894</v>
      </c>
      <c r="E667" t="s">
        <v>553</v>
      </c>
      <c r="F667" t="s">
        <v>554</v>
      </c>
      <c r="G667" s="30">
        <v>46147</v>
      </c>
      <c r="H667" t="s">
        <v>1895</v>
      </c>
      <c r="I667">
        <v>3944685</v>
      </c>
      <c r="J667" s="123">
        <v>46147</v>
      </c>
      <c r="K667" s="123">
        <v>0</v>
      </c>
      <c r="L667" s="123">
        <v>46147</v>
      </c>
      <c r="M667">
        <v>0</v>
      </c>
      <c r="N667">
        <v>0</v>
      </c>
      <c r="O667" t="s">
        <v>556</v>
      </c>
      <c r="P667" s="216">
        <v>50000</v>
      </c>
      <c r="Q667" s="217" t="s">
        <v>48</v>
      </c>
      <c r="R667" s="217" t="s">
        <v>554</v>
      </c>
      <c r="S667" s="218">
        <v>0.7774539918903538</v>
      </c>
      <c r="T667" t="s">
        <v>550</v>
      </c>
      <c r="U667" t="s">
        <v>51</v>
      </c>
      <c r="V667" s="219" t="s">
        <v>6214</v>
      </c>
      <c r="W667" s="219" t="s">
        <v>67</v>
      </c>
    </row>
    <row r="668" spans="1:23" ht="15" customHeight="1" x14ac:dyDescent="0.25">
      <c r="A668" t="s">
        <v>1902</v>
      </c>
      <c r="B668" t="s">
        <v>546</v>
      </c>
      <c r="C668">
        <v>50000</v>
      </c>
      <c r="D668" t="s">
        <v>1894</v>
      </c>
      <c r="E668" t="s">
        <v>553</v>
      </c>
      <c r="F668" t="s">
        <v>554</v>
      </c>
      <c r="G668" s="30">
        <v>46147</v>
      </c>
      <c r="H668" t="s">
        <v>1895</v>
      </c>
      <c r="I668">
        <v>3944685</v>
      </c>
      <c r="J668" s="123">
        <v>46147</v>
      </c>
      <c r="K668" s="123">
        <v>0</v>
      </c>
      <c r="L668" s="123">
        <v>46147</v>
      </c>
      <c r="M668">
        <v>0</v>
      </c>
      <c r="N668">
        <v>0</v>
      </c>
      <c r="O668" t="s">
        <v>556</v>
      </c>
      <c r="P668" s="216">
        <v>50000</v>
      </c>
      <c r="Q668" s="217" t="s">
        <v>48</v>
      </c>
      <c r="R668" s="217" t="s">
        <v>554</v>
      </c>
      <c r="S668" s="218">
        <v>0.7774539918903538</v>
      </c>
      <c r="T668" t="s">
        <v>550</v>
      </c>
      <c r="U668" t="s">
        <v>51</v>
      </c>
      <c r="V668" s="219" t="s">
        <v>6215</v>
      </c>
      <c r="W668" s="219" t="s">
        <v>67</v>
      </c>
    </row>
    <row r="669" spans="1:23" ht="15" customHeight="1" x14ac:dyDescent="0.25">
      <c r="A669" t="s">
        <v>1903</v>
      </c>
      <c r="B669" t="s">
        <v>546</v>
      </c>
      <c r="C669">
        <v>100000</v>
      </c>
      <c r="D669" t="s">
        <v>1894</v>
      </c>
      <c r="E669" t="s">
        <v>553</v>
      </c>
      <c r="F669" t="s">
        <v>548</v>
      </c>
      <c r="G669" s="30">
        <v>46147</v>
      </c>
      <c r="H669" t="s">
        <v>1895</v>
      </c>
      <c r="I669">
        <v>3944685</v>
      </c>
      <c r="J669" s="123">
        <v>46147</v>
      </c>
      <c r="K669" s="123">
        <v>0</v>
      </c>
      <c r="L669" s="123">
        <v>46147</v>
      </c>
      <c r="M669">
        <v>0</v>
      </c>
      <c r="N669">
        <v>0</v>
      </c>
      <c r="O669" t="s">
        <v>556</v>
      </c>
      <c r="P669" s="216">
        <v>100000</v>
      </c>
      <c r="Q669" s="217" t="s">
        <v>48</v>
      </c>
      <c r="R669" s="217" t="s">
        <v>62</v>
      </c>
      <c r="S669" s="218">
        <v>0.7774539918903538</v>
      </c>
      <c r="T669" t="s">
        <v>550</v>
      </c>
      <c r="U669" t="s">
        <v>51</v>
      </c>
      <c r="V669" s="219">
        <v>0</v>
      </c>
      <c r="W669" s="219">
        <v>0</v>
      </c>
    </row>
    <row r="670" spans="1:23" ht="15" customHeight="1" x14ac:dyDescent="0.25">
      <c r="A670" t="s">
        <v>1904</v>
      </c>
      <c r="B670" t="s">
        <v>546</v>
      </c>
      <c r="C670">
        <v>100000</v>
      </c>
      <c r="D670" t="s">
        <v>1894</v>
      </c>
      <c r="E670" t="s">
        <v>553</v>
      </c>
      <c r="F670" t="s">
        <v>548</v>
      </c>
      <c r="G670" s="30">
        <v>46147</v>
      </c>
      <c r="H670" t="s">
        <v>1895</v>
      </c>
      <c r="I670">
        <v>3944685</v>
      </c>
      <c r="J670" s="123">
        <v>46147</v>
      </c>
      <c r="K670" s="123">
        <v>0</v>
      </c>
      <c r="L670" s="123">
        <v>46147</v>
      </c>
      <c r="M670">
        <v>0</v>
      </c>
      <c r="N670">
        <v>0</v>
      </c>
      <c r="O670" t="s">
        <v>556</v>
      </c>
      <c r="P670" s="216">
        <v>100000</v>
      </c>
      <c r="Q670" s="217" t="s">
        <v>48</v>
      </c>
      <c r="R670" s="217" t="s">
        <v>62</v>
      </c>
      <c r="S670" s="218">
        <v>0.7774539918903538</v>
      </c>
      <c r="T670" t="s">
        <v>550</v>
      </c>
      <c r="U670" t="s">
        <v>51</v>
      </c>
      <c r="V670" s="219">
        <v>0</v>
      </c>
      <c r="W670" s="219">
        <v>0</v>
      </c>
    </row>
    <row r="671" spans="1:23" ht="15" customHeight="1" x14ac:dyDescent="0.25">
      <c r="A671" t="s">
        <v>1905</v>
      </c>
      <c r="B671" t="s">
        <v>546</v>
      </c>
      <c r="C671">
        <v>50000</v>
      </c>
      <c r="D671" t="s">
        <v>1894</v>
      </c>
      <c r="E671" t="s">
        <v>553</v>
      </c>
      <c r="F671" t="s">
        <v>554</v>
      </c>
      <c r="G671" s="30">
        <v>46148</v>
      </c>
      <c r="H671" t="s">
        <v>1895</v>
      </c>
      <c r="I671">
        <v>3944685</v>
      </c>
      <c r="J671" s="123">
        <v>46148</v>
      </c>
      <c r="K671" s="123">
        <v>0</v>
      </c>
      <c r="L671" s="123">
        <v>46148</v>
      </c>
      <c r="M671">
        <v>0</v>
      </c>
      <c r="N671">
        <v>0</v>
      </c>
      <c r="O671" t="s">
        <v>556</v>
      </c>
      <c r="P671" s="216">
        <v>50000</v>
      </c>
      <c r="Q671" s="217" t="s">
        <v>48</v>
      </c>
      <c r="R671" s="217" t="s">
        <v>554</v>
      </c>
      <c r="S671" s="218">
        <v>0.7774539918903538</v>
      </c>
      <c r="T671" t="s">
        <v>550</v>
      </c>
      <c r="U671" t="s">
        <v>51</v>
      </c>
      <c r="V671" s="219" t="s">
        <v>6216</v>
      </c>
      <c r="W671" s="219" t="s">
        <v>67</v>
      </c>
    </row>
    <row r="672" spans="1:23" ht="15" customHeight="1" x14ac:dyDescent="0.25">
      <c r="A672" t="s">
        <v>1906</v>
      </c>
      <c r="B672" t="s">
        <v>546</v>
      </c>
      <c r="C672">
        <v>50000</v>
      </c>
      <c r="D672" t="s">
        <v>1894</v>
      </c>
      <c r="E672" t="s">
        <v>553</v>
      </c>
      <c r="F672" t="s">
        <v>548</v>
      </c>
      <c r="G672" s="30">
        <v>46148</v>
      </c>
      <c r="H672" t="s">
        <v>1895</v>
      </c>
      <c r="I672">
        <v>3944685</v>
      </c>
      <c r="J672" s="123">
        <v>46148</v>
      </c>
      <c r="K672" s="123">
        <v>0</v>
      </c>
      <c r="L672" s="123">
        <v>46148</v>
      </c>
      <c r="M672">
        <v>0</v>
      </c>
      <c r="N672">
        <v>0</v>
      </c>
      <c r="O672" t="s">
        <v>556</v>
      </c>
      <c r="P672" s="216">
        <v>50000</v>
      </c>
      <c r="Q672" s="217" t="s">
        <v>48</v>
      </c>
      <c r="R672" s="217" t="s">
        <v>62</v>
      </c>
      <c r="S672" s="218">
        <v>0.7774539918903538</v>
      </c>
      <c r="T672" t="s">
        <v>550</v>
      </c>
      <c r="U672" t="s">
        <v>51</v>
      </c>
      <c r="V672" s="219">
        <v>0</v>
      </c>
      <c r="W672" s="219">
        <v>0</v>
      </c>
    </row>
    <row r="673" spans="1:23" ht="15" customHeight="1" x14ac:dyDescent="0.25">
      <c r="A673" t="s">
        <v>1907</v>
      </c>
      <c r="B673" t="s">
        <v>546</v>
      </c>
      <c r="C673">
        <v>50000</v>
      </c>
      <c r="D673" t="s">
        <v>1894</v>
      </c>
      <c r="E673" t="s">
        <v>553</v>
      </c>
      <c r="F673" t="s">
        <v>554</v>
      </c>
      <c r="G673" s="30">
        <v>46148</v>
      </c>
      <c r="H673" t="s">
        <v>1895</v>
      </c>
      <c r="I673">
        <v>3944685</v>
      </c>
      <c r="J673" s="123">
        <v>46148</v>
      </c>
      <c r="K673" s="123">
        <v>0</v>
      </c>
      <c r="L673" s="123">
        <v>46148</v>
      </c>
      <c r="M673">
        <v>0</v>
      </c>
      <c r="N673">
        <v>0</v>
      </c>
      <c r="O673" t="s">
        <v>556</v>
      </c>
      <c r="P673" s="216">
        <v>50000</v>
      </c>
      <c r="Q673" s="217" t="s">
        <v>48</v>
      </c>
      <c r="R673" s="217" t="s">
        <v>554</v>
      </c>
      <c r="S673" s="218">
        <v>0.7774539918903538</v>
      </c>
      <c r="T673" t="s">
        <v>550</v>
      </c>
      <c r="U673" t="s">
        <v>51</v>
      </c>
      <c r="V673" s="219" t="s">
        <v>6217</v>
      </c>
      <c r="W673" s="219" t="s">
        <v>67</v>
      </c>
    </row>
    <row r="674" spans="1:23" ht="15" customHeight="1" x14ac:dyDescent="0.25">
      <c r="A674" t="s">
        <v>1908</v>
      </c>
      <c r="B674" t="s">
        <v>546</v>
      </c>
      <c r="C674">
        <v>125000</v>
      </c>
      <c r="D674" t="s">
        <v>1894</v>
      </c>
      <c r="E674" t="s">
        <v>553</v>
      </c>
      <c r="F674" t="s">
        <v>554</v>
      </c>
      <c r="G674" s="30">
        <v>46148</v>
      </c>
      <c r="H674" t="s">
        <v>1895</v>
      </c>
      <c r="I674">
        <v>3944685</v>
      </c>
      <c r="J674" s="123">
        <v>46148</v>
      </c>
      <c r="K674" s="123">
        <v>0</v>
      </c>
      <c r="L674" s="123">
        <v>46148</v>
      </c>
      <c r="M674">
        <v>0</v>
      </c>
      <c r="N674">
        <v>0</v>
      </c>
      <c r="O674" t="s">
        <v>556</v>
      </c>
      <c r="P674" s="216">
        <v>125000</v>
      </c>
      <c r="Q674" s="217" t="s">
        <v>48</v>
      </c>
      <c r="R674" s="217" t="s">
        <v>554</v>
      </c>
      <c r="S674" s="218">
        <v>0.7774539918903538</v>
      </c>
      <c r="T674" t="s">
        <v>550</v>
      </c>
      <c r="U674" t="s">
        <v>51</v>
      </c>
      <c r="V674" s="219" t="s">
        <v>6218</v>
      </c>
      <c r="W674" s="219" t="s">
        <v>67</v>
      </c>
    </row>
    <row r="675" spans="1:23" ht="15" customHeight="1" x14ac:dyDescent="0.25">
      <c r="A675" t="s">
        <v>1909</v>
      </c>
      <c r="B675" t="s">
        <v>546</v>
      </c>
      <c r="C675">
        <v>125000</v>
      </c>
      <c r="D675" t="s">
        <v>1894</v>
      </c>
      <c r="E675" t="s">
        <v>553</v>
      </c>
      <c r="F675" t="s">
        <v>554</v>
      </c>
      <c r="G675" s="30">
        <v>46149</v>
      </c>
      <c r="H675" t="s">
        <v>1895</v>
      </c>
      <c r="I675">
        <v>3944685</v>
      </c>
      <c r="J675" s="123">
        <v>46149</v>
      </c>
      <c r="K675" s="123">
        <v>0</v>
      </c>
      <c r="L675" s="123">
        <v>46149</v>
      </c>
      <c r="M675">
        <v>0</v>
      </c>
      <c r="N675">
        <v>0</v>
      </c>
      <c r="O675" t="s">
        <v>556</v>
      </c>
      <c r="P675" s="216">
        <v>125000</v>
      </c>
      <c r="Q675" s="217" t="s">
        <v>48</v>
      </c>
      <c r="R675" s="217" t="s">
        <v>554</v>
      </c>
      <c r="S675" s="218">
        <v>0.7774539918903538</v>
      </c>
      <c r="T675" t="s">
        <v>550</v>
      </c>
      <c r="U675" t="s">
        <v>51</v>
      </c>
      <c r="V675" s="219" t="s">
        <v>6219</v>
      </c>
      <c r="W675" s="219" t="s">
        <v>67</v>
      </c>
    </row>
    <row r="676" spans="1:23" ht="15" customHeight="1" x14ac:dyDescent="0.25">
      <c r="A676" t="s">
        <v>1910</v>
      </c>
      <c r="B676" t="s">
        <v>546</v>
      </c>
      <c r="C676">
        <v>50000</v>
      </c>
      <c r="D676" t="s">
        <v>1894</v>
      </c>
      <c r="E676" t="s">
        <v>553</v>
      </c>
      <c r="F676" t="s">
        <v>548</v>
      </c>
      <c r="G676" s="30">
        <v>46149</v>
      </c>
      <c r="H676" t="s">
        <v>1895</v>
      </c>
      <c r="I676">
        <v>3944685</v>
      </c>
      <c r="J676" s="123">
        <v>46149</v>
      </c>
      <c r="K676" s="123">
        <v>0</v>
      </c>
      <c r="L676" s="123">
        <v>46149</v>
      </c>
      <c r="M676">
        <v>0</v>
      </c>
      <c r="N676">
        <v>0</v>
      </c>
      <c r="O676" t="s">
        <v>556</v>
      </c>
      <c r="P676" s="216">
        <v>50000</v>
      </c>
      <c r="Q676" s="217" t="s">
        <v>48</v>
      </c>
      <c r="R676" s="217" t="s">
        <v>62</v>
      </c>
      <c r="S676" s="218">
        <v>0.7774539918903538</v>
      </c>
      <c r="T676" t="s">
        <v>550</v>
      </c>
      <c r="U676" t="s">
        <v>51</v>
      </c>
      <c r="V676" s="219">
        <v>0</v>
      </c>
      <c r="W676" s="219">
        <v>0</v>
      </c>
    </row>
    <row r="677" spans="1:23" ht="15" customHeight="1" x14ac:dyDescent="0.25">
      <c r="A677" t="s">
        <v>1911</v>
      </c>
      <c r="B677" t="s">
        <v>546</v>
      </c>
      <c r="C677">
        <v>100000</v>
      </c>
      <c r="D677" t="s">
        <v>1894</v>
      </c>
      <c r="E677" t="s">
        <v>553</v>
      </c>
      <c r="F677" t="s">
        <v>554</v>
      </c>
      <c r="G677" s="30">
        <v>46149</v>
      </c>
      <c r="H677" t="s">
        <v>1895</v>
      </c>
      <c r="I677">
        <v>3944685</v>
      </c>
      <c r="J677" s="123">
        <v>46149</v>
      </c>
      <c r="K677" s="123">
        <v>0</v>
      </c>
      <c r="L677" s="123">
        <v>46149</v>
      </c>
      <c r="M677">
        <v>0</v>
      </c>
      <c r="N677">
        <v>0</v>
      </c>
      <c r="O677" t="s">
        <v>556</v>
      </c>
      <c r="P677" s="216">
        <v>100000</v>
      </c>
      <c r="Q677" s="217" t="s">
        <v>48</v>
      </c>
      <c r="R677" s="217" t="s">
        <v>554</v>
      </c>
      <c r="S677" s="218">
        <v>0.7774539918903538</v>
      </c>
      <c r="T677" t="s">
        <v>550</v>
      </c>
      <c r="U677" t="s">
        <v>51</v>
      </c>
      <c r="V677" s="219" t="s">
        <v>6220</v>
      </c>
      <c r="W677" s="219" t="s">
        <v>67</v>
      </c>
    </row>
    <row r="678" spans="1:23" ht="15" customHeight="1" x14ac:dyDescent="0.25">
      <c r="A678" t="s">
        <v>1912</v>
      </c>
      <c r="B678" t="s">
        <v>575</v>
      </c>
      <c r="C678">
        <v>383282</v>
      </c>
      <c r="D678" t="s">
        <v>1913</v>
      </c>
      <c r="E678" t="s">
        <v>288</v>
      </c>
      <c r="F678" t="s">
        <v>554</v>
      </c>
      <c r="G678" s="30">
        <v>46146</v>
      </c>
      <c r="H678" t="s">
        <v>1914</v>
      </c>
      <c r="I678">
        <v>2235206</v>
      </c>
      <c r="J678" s="123">
        <v>0</v>
      </c>
      <c r="K678" s="123">
        <v>0</v>
      </c>
      <c r="L678" s="123">
        <v>46143</v>
      </c>
      <c r="M678">
        <v>0</v>
      </c>
      <c r="N678">
        <v>0</v>
      </c>
      <c r="O678">
        <v>0</v>
      </c>
      <c r="P678" s="216">
        <v>383282</v>
      </c>
      <c r="Q678" s="217" t="s">
        <v>48</v>
      </c>
      <c r="R678" s="217" t="s">
        <v>554</v>
      </c>
      <c r="S678" s="218">
        <v>0.99999846993968344</v>
      </c>
      <c r="T678" t="s">
        <v>550</v>
      </c>
      <c r="U678" t="s">
        <v>51</v>
      </c>
      <c r="V678" s="219" t="s">
        <v>6221</v>
      </c>
      <c r="W678" s="219" t="s">
        <v>67</v>
      </c>
    </row>
    <row r="679" spans="1:23" ht="15" customHeight="1" x14ac:dyDescent="0.25">
      <c r="A679" t="s">
        <v>1915</v>
      </c>
      <c r="B679" t="s">
        <v>575</v>
      </c>
      <c r="C679">
        <v>411263</v>
      </c>
      <c r="D679" t="s">
        <v>1916</v>
      </c>
      <c r="E679" t="s">
        <v>288</v>
      </c>
      <c r="F679" t="s">
        <v>554</v>
      </c>
      <c r="G679" s="30">
        <v>46148</v>
      </c>
      <c r="H679" t="s">
        <v>1917</v>
      </c>
      <c r="I679">
        <v>5677802</v>
      </c>
      <c r="J679" s="123">
        <v>0</v>
      </c>
      <c r="K679" s="123">
        <v>0</v>
      </c>
      <c r="L679" s="123">
        <v>46148</v>
      </c>
      <c r="M679">
        <v>5933</v>
      </c>
      <c r="N679">
        <v>0</v>
      </c>
      <c r="O679">
        <v>0</v>
      </c>
      <c r="P679" s="216">
        <v>405330</v>
      </c>
      <c r="Q679" s="217" t="s">
        <v>48</v>
      </c>
      <c r="R679" s="217" t="s">
        <v>554</v>
      </c>
      <c r="S679" s="218">
        <v>0.99999979393434291</v>
      </c>
      <c r="T679" t="s">
        <v>550</v>
      </c>
      <c r="U679" t="s">
        <v>51</v>
      </c>
      <c r="V679" s="219" t="s">
        <v>6222</v>
      </c>
      <c r="W679" s="219" t="s">
        <v>67</v>
      </c>
    </row>
    <row r="680" spans="1:23" ht="15" customHeight="1" x14ac:dyDescent="0.25">
      <c r="A680" t="s">
        <v>1918</v>
      </c>
      <c r="B680" t="s">
        <v>575</v>
      </c>
      <c r="C680">
        <v>1000000</v>
      </c>
      <c r="D680" t="s">
        <v>1919</v>
      </c>
      <c r="E680" t="s">
        <v>218</v>
      </c>
      <c r="F680" t="s">
        <v>554</v>
      </c>
      <c r="G680" s="30">
        <v>46148</v>
      </c>
      <c r="H680" t="s">
        <v>1920</v>
      </c>
      <c r="I680">
        <v>2907612</v>
      </c>
      <c r="J680" s="123">
        <v>0</v>
      </c>
      <c r="K680" s="123">
        <v>0</v>
      </c>
      <c r="L680" s="123">
        <v>46147</v>
      </c>
      <c r="M680">
        <v>0</v>
      </c>
      <c r="N680">
        <v>0</v>
      </c>
      <c r="O680">
        <v>0</v>
      </c>
      <c r="P680" s="216">
        <v>1000000</v>
      </c>
      <c r="Q680" s="217" t="s">
        <v>13</v>
      </c>
      <c r="R680" s="217" t="s">
        <v>554</v>
      </c>
      <c r="S680" s="218">
        <v>0.6000000275139874</v>
      </c>
      <c r="T680" t="s">
        <v>550</v>
      </c>
      <c r="U680" t="s">
        <v>51</v>
      </c>
      <c r="V680" s="219" t="s">
        <v>6223</v>
      </c>
      <c r="W680" s="219" t="s">
        <v>67</v>
      </c>
    </row>
    <row r="681" spans="1:23" ht="15" customHeight="1" x14ac:dyDescent="0.25">
      <c r="A681" t="s">
        <v>1921</v>
      </c>
      <c r="B681" t="s">
        <v>575</v>
      </c>
      <c r="C681">
        <v>165274</v>
      </c>
      <c r="D681" t="s">
        <v>1919</v>
      </c>
      <c r="E681" t="s">
        <v>218</v>
      </c>
      <c r="F681" t="s">
        <v>554</v>
      </c>
      <c r="G681" s="30">
        <v>46148</v>
      </c>
      <c r="H681" t="s">
        <v>1920</v>
      </c>
      <c r="I681">
        <v>2907612</v>
      </c>
      <c r="J681" s="123">
        <v>0</v>
      </c>
      <c r="K681" s="123">
        <v>0</v>
      </c>
      <c r="L681" s="123">
        <v>46148</v>
      </c>
      <c r="M681">
        <v>0</v>
      </c>
      <c r="N681">
        <v>0</v>
      </c>
      <c r="O681">
        <v>0</v>
      </c>
      <c r="P681" s="216">
        <v>165274</v>
      </c>
      <c r="Q681" s="217" t="s">
        <v>13</v>
      </c>
      <c r="R681" s="217" t="s">
        <v>554</v>
      </c>
      <c r="S681" s="218">
        <v>0.6000000275139874</v>
      </c>
      <c r="T681" t="s">
        <v>550</v>
      </c>
      <c r="U681" t="s">
        <v>51</v>
      </c>
      <c r="V681" s="219" t="s">
        <v>6224</v>
      </c>
      <c r="W681" s="219" t="s">
        <v>67</v>
      </c>
    </row>
    <row r="682" spans="1:23" ht="15" customHeight="1" x14ac:dyDescent="0.25">
      <c r="A682" t="s">
        <v>1922</v>
      </c>
      <c r="B682" t="s">
        <v>546</v>
      </c>
      <c r="C682">
        <v>242642</v>
      </c>
      <c r="D682" t="s">
        <v>1923</v>
      </c>
      <c r="E682" t="s">
        <v>218</v>
      </c>
      <c r="F682" t="s">
        <v>554</v>
      </c>
      <c r="G682" s="30">
        <v>46146</v>
      </c>
      <c r="H682" t="s">
        <v>1924</v>
      </c>
      <c r="I682">
        <v>1711786</v>
      </c>
      <c r="J682" s="123">
        <v>0</v>
      </c>
      <c r="K682" s="123">
        <v>0</v>
      </c>
      <c r="L682" s="123">
        <v>0</v>
      </c>
      <c r="M682">
        <v>242642</v>
      </c>
      <c r="N682">
        <v>0</v>
      </c>
      <c r="O682">
        <v>0</v>
      </c>
      <c r="P682" s="216">
        <v>0</v>
      </c>
      <c r="Q682" s="217" t="s">
        <v>13</v>
      </c>
      <c r="R682" s="217" t="s">
        <v>554</v>
      </c>
      <c r="S682" s="218">
        <v>0.59999995326518618</v>
      </c>
      <c r="T682" t="s">
        <v>550</v>
      </c>
      <c r="U682" t="s">
        <v>51</v>
      </c>
      <c r="V682" s="219" t="s">
        <v>6225</v>
      </c>
      <c r="W682" s="219" t="s">
        <v>67</v>
      </c>
    </row>
    <row r="683" spans="1:23" ht="15" customHeight="1" x14ac:dyDescent="0.25">
      <c r="A683" t="s">
        <v>1925</v>
      </c>
      <c r="B683" t="s">
        <v>546</v>
      </c>
      <c r="C683">
        <v>2750</v>
      </c>
      <c r="D683" t="s">
        <v>1923</v>
      </c>
      <c r="E683" t="s">
        <v>218</v>
      </c>
      <c r="F683" t="s">
        <v>554</v>
      </c>
      <c r="G683" s="30">
        <v>46146</v>
      </c>
      <c r="H683" t="s">
        <v>1924</v>
      </c>
      <c r="I683">
        <v>1711786</v>
      </c>
      <c r="J683" s="123">
        <v>0</v>
      </c>
      <c r="K683" s="123">
        <v>0</v>
      </c>
      <c r="L683" s="123">
        <v>0</v>
      </c>
      <c r="M683">
        <v>0</v>
      </c>
      <c r="N683">
        <v>0</v>
      </c>
      <c r="O683">
        <v>0</v>
      </c>
      <c r="P683" s="216">
        <v>2750</v>
      </c>
      <c r="Q683" s="217" t="s">
        <v>13</v>
      </c>
      <c r="R683" s="217" t="s">
        <v>554</v>
      </c>
      <c r="S683" s="218">
        <v>0.59999995326518618</v>
      </c>
      <c r="T683" t="s">
        <v>550</v>
      </c>
      <c r="U683" t="s">
        <v>51</v>
      </c>
      <c r="V683" s="219" t="s">
        <v>6226</v>
      </c>
      <c r="W683" s="219" t="s">
        <v>67</v>
      </c>
    </row>
    <row r="684" spans="1:23" ht="15" customHeight="1" x14ac:dyDescent="0.25">
      <c r="A684" t="s">
        <v>1926</v>
      </c>
      <c r="B684" t="s">
        <v>546</v>
      </c>
      <c r="C684">
        <v>222410</v>
      </c>
      <c r="D684" t="s">
        <v>1927</v>
      </c>
      <c r="E684" t="s">
        <v>218</v>
      </c>
      <c r="F684" t="s">
        <v>554</v>
      </c>
      <c r="G684" s="30">
        <v>46143</v>
      </c>
      <c r="H684" t="s">
        <v>1928</v>
      </c>
      <c r="I684">
        <v>1568541</v>
      </c>
      <c r="J684" s="123">
        <v>0</v>
      </c>
      <c r="K684" s="123">
        <v>0</v>
      </c>
      <c r="L684" s="123">
        <v>0</v>
      </c>
      <c r="M684">
        <v>222410</v>
      </c>
      <c r="N684">
        <v>0</v>
      </c>
      <c r="O684">
        <v>0</v>
      </c>
      <c r="P684" s="216">
        <v>0</v>
      </c>
      <c r="Q684" s="217" t="s">
        <v>13</v>
      </c>
      <c r="R684" s="217" t="s">
        <v>554</v>
      </c>
      <c r="S684" s="218">
        <v>0.59999969398313469</v>
      </c>
      <c r="T684" t="s">
        <v>550</v>
      </c>
      <c r="U684" t="s">
        <v>51</v>
      </c>
      <c r="V684" s="219" t="s">
        <v>6227</v>
      </c>
      <c r="W684" s="219" t="s">
        <v>67</v>
      </c>
    </row>
    <row r="685" spans="1:23" ht="15" customHeight="1" x14ac:dyDescent="0.25">
      <c r="A685" t="s">
        <v>1929</v>
      </c>
      <c r="B685" t="s">
        <v>546</v>
      </c>
      <c r="C685">
        <v>100000</v>
      </c>
      <c r="D685" t="s">
        <v>1930</v>
      </c>
      <c r="E685" t="s">
        <v>1931</v>
      </c>
      <c r="F685" t="s">
        <v>554</v>
      </c>
      <c r="G685" s="30">
        <v>46147</v>
      </c>
      <c r="H685" t="s">
        <v>1932</v>
      </c>
      <c r="I685">
        <v>5147446.1500000004</v>
      </c>
      <c r="J685" s="123">
        <v>0</v>
      </c>
      <c r="K685" s="123">
        <v>0</v>
      </c>
      <c r="L685" s="123">
        <v>0</v>
      </c>
      <c r="M685">
        <v>0</v>
      </c>
      <c r="N685">
        <v>0</v>
      </c>
      <c r="O685">
        <v>0</v>
      </c>
      <c r="P685" s="216">
        <v>100000</v>
      </c>
      <c r="Q685" s="217" t="s">
        <v>23</v>
      </c>
      <c r="R685" s="217" t="s">
        <v>554</v>
      </c>
      <c r="S685" s="218">
        <v>0.89999994269002692</v>
      </c>
      <c r="T685" t="s">
        <v>550</v>
      </c>
      <c r="U685" t="s">
        <v>51</v>
      </c>
      <c r="V685" s="219" t="s">
        <v>6228</v>
      </c>
      <c r="W685" s="219" t="s">
        <v>67</v>
      </c>
    </row>
    <row r="686" spans="1:23" ht="15" customHeight="1" x14ac:dyDescent="0.25">
      <c r="A686" t="s">
        <v>1933</v>
      </c>
      <c r="B686" t="s">
        <v>546</v>
      </c>
      <c r="C686">
        <v>107355</v>
      </c>
      <c r="D686" t="s">
        <v>1930</v>
      </c>
      <c r="E686" t="s">
        <v>1931</v>
      </c>
      <c r="F686" t="s">
        <v>554</v>
      </c>
      <c r="G686" s="30">
        <v>46148</v>
      </c>
      <c r="H686" t="s">
        <v>1932</v>
      </c>
      <c r="I686">
        <v>5147446.1500000004</v>
      </c>
      <c r="J686" s="123">
        <v>0</v>
      </c>
      <c r="K686" s="123">
        <v>0</v>
      </c>
      <c r="L686" s="123">
        <v>0</v>
      </c>
      <c r="M686">
        <v>0</v>
      </c>
      <c r="N686">
        <v>0</v>
      </c>
      <c r="O686">
        <v>0</v>
      </c>
      <c r="P686" s="216">
        <v>107355</v>
      </c>
      <c r="Q686" s="217" t="s">
        <v>23</v>
      </c>
      <c r="R686" s="217" t="s">
        <v>554</v>
      </c>
      <c r="S686" s="218">
        <v>0.89999994269002692</v>
      </c>
      <c r="T686" t="s">
        <v>550</v>
      </c>
      <c r="U686" t="s">
        <v>51</v>
      </c>
      <c r="V686" s="219" t="s">
        <v>6229</v>
      </c>
      <c r="W686" s="219" t="s">
        <v>67</v>
      </c>
    </row>
    <row r="687" spans="1:23" ht="15" customHeight="1" x14ac:dyDescent="0.25">
      <c r="A687" t="s">
        <v>1934</v>
      </c>
      <c r="B687" t="s">
        <v>575</v>
      </c>
      <c r="C687">
        <v>295000</v>
      </c>
      <c r="D687" t="s">
        <v>1935</v>
      </c>
      <c r="E687" t="s">
        <v>208</v>
      </c>
      <c r="F687" t="s">
        <v>554</v>
      </c>
      <c r="G687" s="30">
        <v>46145</v>
      </c>
      <c r="H687" t="s">
        <v>1936</v>
      </c>
      <c r="I687">
        <v>4002239.25</v>
      </c>
      <c r="J687" s="123">
        <v>0</v>
      </c>
      <c r="K687" s="123">
        <v>0</v>
      </c>
      <c r="L687" s="123">
        <v>45961</v>
      </c>
      <c r="M687">
        <v>0</v>
      </c>
      <c r="N687">
        <v>0</v>
      </c>
      <c r="O687">
        <v>0</v>
      </c>
      <c r="P687" s="216">
        <v>295000</v>
      </c>
      <c r="Q687" s="217" t="s">
        <v>23</v>
      </c>
      <c r="R687" s="217" t="s">
        <v>554</v>
      </c>
      <c r="S687" s="218">
        <v>0.60000005247062627</v>
      </c>
      <c r="T687" t="s">
        <v>550</v>
      </c>
      <c r="U687" t="s">
        <v>51</v>
      </c>
      <c r="V687" s="219" t="s">
        <v>6230</v>
      </c>
      <c r="W687" s="219" t="s">
        <v>67</v>
      </c>
    </row>
    <row r="688" spans="1:23" ht="15" customHeight="1" x14ac:dyDescent="0.25">
      <c r="A688" t="s">
        <v>1937</v>
      </c>
      <c r="B688" t="s">
        <v>595</v>
      </c>
      <c r="C688">
        <v>250000</v>
      </c>
      <c r="D688" t="s">
        <v>1938</v>
      </c>
      <c r="E688" t="s">
        <v>321</v>
      </c>
      <c r="F688" t="s">
        <v>585</v>
      </c>
      <c r="G688" s="30">
        <v>46147</v>
      </c>
      <c r="H688" t="s">
        <v>1939</v>
      </c>
      <c r="I688">
        <v>4780289.8</v>
      </c>
      <c r="J688" s="123">
        <v>0</v>
      </c>
      <c r="K688" s="123">
        <v>0</v>
      </c>
      <c r="L688" s="123">
        <v>46147</v>
      </c>
      <c r="M688">
        <v>0</v>
      </c>
      <c r="N688">
        <v>0</v>
      </c>
      <c r="O688">
        <v>0</v>
      </c>
      <c r="P688" s="216">
        <v>250000</v>
      </c>
      <c r="Q688" s="217" t="s">
        <v>43</v>
      </c>
      <c r="R688" s="217" t="s">
        <v>61</v>
      </c>
      <c r="S688" s="218">
        <v>0.61129332577284334</v>
      </c>
      <c r="T688" t="s">
        <v>550</v>
      </c>
      <c r="U688" t="s">
        <v>51</v>
      </c>
      <c r="V688" s="219">
        <v>0</v>
      </c>
      <c r="W688" s="219">
        <v>0</v>
      </c>
    </row>
    <row r="689" spans="1:23" ht="15" customHeight="1" x14ac:dyDescent="0.25">
      <c r="A689" t="s">
        <v>1940</v>
      </c>
      <c r="B689" t="s">
        <v>668</v>
      </c>
      <c r="C689">
        <v>9700</v>
      </c>
      <c r="D689" t="s">
        <v>1941</v>
      </c>
      <c r="E689" t="s">
        <v>203</v>
      </c>
      <c r="F689" t="s">
        <v>580</v>
      </c>
      <c r="G689" s="30">
        <v>46149</v>
      </c>
      <c r="H689" t="s">
        <v>1942</v>
      </c>
      <c r="I689">
        <v>1140305.6000000001</v>
      </c>
      <c r="J689" s="123">
        <v>46146</v>
      </c>
      <c r="K689" s="123">
        <v>0</v>
      </c>
      <c r="L689" s="123">
        <v>46146</v>
      </c>
      <c r="M689">
        <v>0</v>
      </c>
      <c r="N689">
        <v>0</v>
      </c>
      <c r="O689">
        <v>0</v>
      </c>
      <c r="P689" s="216">
        <v>9700</v>
      </c>
      <c r="Q689" s="217" t="s">
        <v>22</v>
      </c>
      <c r="R689" s="217" t="s">
        <v>582</v>
      </c>
      <c r="S689" s="218">
        <v>0.5319843908510139</v>
      </c>
      <c r="T689" t="s">
        <v>550</v>
      </c>
      <c r="U689" t="s">
        <v>51</v>
      </c>
      <c r="V689" s="219">
        <v>0</v>
      </c>
      <c r="W689" s="219">
        <v>0</v>
      </c>
    </row>
    <row r="690" spans="1:23" ht="15" customHeight="1" x14ac:dyDescent="0.25">
      <c r="A690" t="s">
        <v>1943</v>
      </c>
      <c r="B690" t="s">
        <v>668</v>
      </c>
      <c r="C690">
        <v>9800</v>
      </c>
      <c r="D690" t="s">
        <v>1941</v>
      </c>
      <c r="E690" t="s">
        <v>203</v>
      </c>
      <c r="F690" t="s">
        <v>580</v>
      </c>
      <c r="G690" s="30">
        <v>46149</v>
      </c>
      <c r="H690" t="s">
        <v>1942</v>
      </c>
      <c r="I690">
        <v>1140305.6000000001</v>
      </c>
      <c r="J690" s="123">
        <v>46146</v>
      </c>
      <c r="K690" s="123">
        <v>0</v>
      </c>
      <c r="L690" s="123">
        <v>46146</v>
      </c>
      <c r="M690">
        <v>0</v>
      </c>
      <c r="N690">
        <v>0</v>
      </c>
      <c r="O690">
        <v>0</v>
      </c>
      <c r="P690" s="216">
        <v>9800</v>
      </c>
      <c r="Q690" s="217" t="s">
        <v>22</v>
      </c>
      <c r="R690" s="217" t="s">
        <v>582</v>
      </c>
      <c r="S690" s="218">
        <v>0.5319843908510139</v>
      </c>
      <c r="T690" t="s">
        <v>550</v>
      </c>
      <c r="U690" t="s">
        <v>51</v>
      </c>
      <c r="V690" s="219">
        <v>0</v>
      </c>
      <c r="W690" s="219">
        <v>0</v>
      </c>
    </row>
    <row r="691" spans="1:23" ht="15" customHeight="1" x14ac:dyDescent="0.25">
      <c r="A691" t="s">
        <v>1944</v>
      </c>
      <c r="B691" t="s">
        <v>668</v>
      </c>
      <c r="C691">
        <v>33100</v>
      </c>
      <c r="D691" t="s">
        <v>1941</v>
      </c>
      <c r="E691" t="s">
        <v>203</v>
      </c>
      <c r="F691" t="s">
        <v>580</v>
      </c>
      <c r="G691" s="30">
        <v>46149</v>
      </c>
      <c r="H691" t="s">
        <v>1942</v>
      </c>
      <c r="I691">
        <v>1140305.6000000001</v>
      </c>
      <c r="J691" s="123">
        <v>46146</v>
      </c>
      <c r="K691" s="123">
        <v>0</v>
      </c>
      <c r="L691" s="123">
        <v>46146</v>
      </c>
      <c r="M691">
        <v>0</v>
      </c>
      <c r="N691">
        <v>0</v>
      </c>
      <c r="O691">
        <v>0</v>
      </c>
      <c r="P691" s="216">
        <v>33100</v>
      </c>
      <c r="Q691" s="217" t="s">
        <v>22</v>
      </c>
      <c r="R691" s="217" t="s">
        <v>582</v>
      </c>
      <c r="S691" s="218">
        <v>0.5319843908510139</v>
      </c>
      <c r="T691" t="s">
        <v>550</v>
      </c>
      <c r="U691" t="s">
        <v>51</v>
      </c>
      <c r="V691" s="219">
        <v>0</v>
      </c>
      <c r="W691" s="219">
        <v>0</v>
      </c>
    </row>
    <row r="692" spans="1:23" ht="15" customHeight="1" x14ac:dyDescent="0.25">
      <c r="A692" t="s">
        <v>1945</v>
      </c>
      <c r="B692" t="s">
        <v>668</v>
      </c>
      <c r="C692">
        <v>25000</v>
      </c>
      <c r="D692" t="s">
        <v>1941</v>
      </c>
      <c r="E692" t="s">
        <v>203</v>
      </c>
      <c r="F692" t="s">
        <v>580</v>
      </c>
      <c r="G692" s="30">
        <v>46149</v>
      </c>
      <c r="H692" t="s">
        <v>1942</v>
      </c>
      <c r="I692">
        <v>1140305.6000000001</v>
      </c>
      <c r="J692" s="123">
        <v>46146</v>
      </c>
      <c r="K692" s="123">
        <v>0</v>
      </c>
      <c r="L692" s="123">
        <v>46146</v>
      </c>
      <c r="M692">
        <v>0</v>
      </c>
      <c r="N692">
        <v>0</v>
      </c>
      <c r="O692">
        <v>0</v>
      </c>
      <c r="P692" s="216">
        <v>25000</v>
      </c>
      <c r="Q692" s="217" t="s">
        <v>22</v>
      </c>
      <c r="R692" s="217" t="s">
        <v>582</v>
      </c>
      <c r="S692" s="218">
        <v>0.5319843908510139</v>
      </c>
      <c r="T692" t="s">
        <v>550</v>
      </c>
      <c r="U692" t="s">
        <v>51</v>
      </c>
      <c r="V692" s="219">
        <v>0</v>
      </c>
      <c r="W692" s="219">
        <v>0</v>
      </c>
    </row>
    <row r="693" spans="1:23" ht="15" customHeight="1" x14ac:dyDescent="0.25">
      <c r="A693" t="s">
        <v>1946</v>
      </c>
      <c r="B693" t="s">
        <v>595</v>
      </c>
      <c r="C693">
        <v>145297</v>
      </c>
      <c r="D693" t="s">
        <v>1947</v>
      </c>
      <c r="E693" t="s">
        <v>203</v>
      </c>
      <c r="F693" t="s">
        <v>554</v>
      </c>
      <c r="G693" s="30">
        <v>46147</v>
      </c>
      <c r="H693" t="s">
        <v>1948</v>
      </c>
      <c r="I693">
        <v>1454172.45</v>
      </c>
      <c r="J693" s="123">
        <v>0</v>
      </c>
      <c r="K693" s="123">
        <v>0</v>
      </c>
      <c r="L693" s="123">
        <v>46144</v>
      </c>
      <c r="M693">
        <v>0</v>
      </c>
      <c r="N693">
        <v>0</v>
      </c>
      <c r="O693">
        <v>0</v>
      </c>
      <c r="P693" s="216">
        <v>145297</v>
      </c>
      <c r="Q693" s="217" t="s">
        <v>22</v>
      </c>
      <c r="R693" s="217" t="s">
        <v>554</v>
      </c>
      <c r="S693" s="218">
        <v>0.49952665517765793</v>
      </c>
      <c r="T693" t="s">
        <v>550</v>
      </c>
      <c r="U693" t="s">
        <v>51</v>
      </c>
      <c r="V693" s="219" t="s">
        <v>6231</v>
      </c>
      <c r="W693" s="219" t="s">
        <v>67</v>
      </c>
    </row>
    <row r="694" spans="1:23" ht="15" customHeight="1" x14ac:dyDescent="0.25">
      <c r="A694" t="s">
        <v>1949</v>
      </c>
      <c r="B694" t="s">
        <v>546</v>
      </c>
      <c r="C694">
        <v>5569</v>
      </c>
      <c r="D694" t="s">
        <v>1950</v>
      </c>
      <c r="E694" t="s">
        <v>203</v>
      </c>
      <c r="F694" t="s">
        <v>554</v>
      </c>
      <c r="G694" s="30">
        <v>46146</v>
      </c>
      <c r="H694" t="s">
        <v>1951</v>
      </c>
      <c r="I694">
        <v>1417962</v>
      </c>
      <c r="J694" s="123">
        <v>0</v>
      </c>
      <c r="K694" s="123">
        <v>0</v>
      </c>
      <c r="L694" s="123">
        <v>0</v>
      </c>
      <c r="M694">
        <v>5569</v>
      </c>
      <c r="N694">
        <v>0</v>
      </c>
      <c r="O694">
        <v>0</v>
      </c>
      <c r="P694" s="216">
        <v>0</v>
      </c>
      <c r="Q694" s="217" t="s">
        <v>22</v>
      </c>
      <c r="R694" s="217" t="s">
        <v>554</v>
      </c>
      <c r="S694" s="218">
        <v>0.60000375186359012</v>
      </c>
      <c r="T694" t="s">
        <v>550</v>
      </c>
      <c r="U694" t="s">
        <v>51</v>
      </c>
      <c r="V694" s="219" t="s">
        <v>6232</v>
      </c>
      <c r="W694" s="219" t="s">
        <v>67</v>
      </c>
    </row>
    <row r="695" spans="1:23" ht="15" customHeight="1" x14ac:dyDescent="0.25">
      <c r="A695" t="s">
        <v>1952</v>
      </c>
      <c r="B695" t="s">
        <v>603</v>
      </c>
      <c r="C695">
        <v>405126</v>
      </c>
      <c r="D695" t="s">
        <v>1953</v>
      </c>
      <c r="E695" t="s">
        <v>605</v>
      </c>
      <c r="F695" t="s">
        <v>554</v>
      </c>
      <c r="G695" s="30">
        <v>46148</v>
      </c>
      <c r="H695" t="s">
        <v>1954</v>
      </c>
      <c r="I695">
        <v>1398595.5</v>
      </c>
      <c r="J695" s="123">
        <v>0</v>
      </c>
      <c r="K695" s="123">
        <v>0</v>
      </c>
      <c r="L695" s="123">
        <v>0</v>
      </c>
      <c r="M695">
        <v>0</v>
      </c>
      <c r="N695">
        <v>0</v>
      </c>
      <c r="O695">
        <v>0</v>
      </c>
      <c r="P695" s="216">
        <v>405126</v>
      </c>
      <c r="Q695" s="217" t="s">
        <v>46</v>
      </c>
      <c r="R695" s="217" t="s">
        <v>554</v>
      </c>
      <c r="S695" s="218">
        <v>0.99692954825036972</v>
      </c>
      <c r="T695" t="s">
        <v>550</v>
      </c>
      <c r="U695" t="s">
        <v>51</v>
      </c>
      <c r="V695" s="219" t="s">
        <v>6233</v>
      </c>
      <c r="W695" s="219" t="s">
        <v>67</v>
      </c>
    </row>
    <row r="696" spans="1:23" ht="15" customHeight="1" x14ac:dyDescent="0.25">
      <c r="A696" t="s">
        <v>1955</v>
      </c>
      <c r="B696" t="s">
        <v>546</v>
      </c>
      <c r="C696">
        <v>50000</v>
      </c>
      <c r="D696" t="s">
        <v>1956</v>
      </c>
      <c r="E696" t="s">
        <v>343</v>
      </c>
      <c r="F696" t="s">
        <v>554</v>
      </c>
      <c r="G696" s="30">
        <v>46147</v>
      </c>
      <c r="H696" t="s">
        <v>1957</v>
      </c>
      <c r="I696">
        <v>1719860</v>
      </c>
      <c r="J696" s="123">
        <v>0</v>
      </c>
      <c r="K696" s="123">
        <v>0</v>
      </c>
      <c r="L696" s="123">
        <v>0</v>
      </c>
      <c r="M696">
        <v>0</v>
      </c>
      <c r="N696">
        <v>0</v>
      </c>
      <c r="O696">
        <v>0</v>
      </c>
      <c r="P696" s="216">
        <v>50000</v>
      </c>
      <c r="Q696" s="217" t="s">
        <v>344</v>
      </c>
      <c r="R696" s="217" t="s">
        <v>554</v>
      </c>
      <c r="S696" s="218">
        <v>0.68821124975288683</v>
      </c>
      <c r="T696" t="s">
        <v>550</v>
      </c>
      <c r="U696" t="s">
        <v>51</v>
      </c>
      <c r="V696" s="219" t="s">
        <v>6234</v>
      </c>
      <c r="W696" s="219" t="s">
        <v>67</v>
      </c>
    </row>
    <row r="697" spans="1:23" ht="15" customHeight="1" x14ac:dyDescent="0.25">
      <c r="A697" t="s">
        <v>1958</v>
      </c>
      <c r="B697" t="s">
        <v>546</v>
      </c>
      <c r="C697">
        <v>50000</v>
      </c>
      <c r="D697" t="s">
        <v>1956</v>
      </c>
      <c r="E697" t="s">
        <v>288</v>
      </c>
      <c r="F697" t="s">
        <v>548</v>
      </c>
      <c r="G697" s="30">
        <v>46147</v>
      </c>
      <c r="H697" t="s">
        <v>1957</v>
      </c>
      <c r="I697">
        <v>1719860</v>
      </c>
      <c r="J697" s="123">
        <v>0</v>
      </c>
      <c r="K697" s="123">
        <v>0</v>
      </c>
      <c r="L697" s="123">
        <v>0</v>
      </c>
      <c r="M697">
        <v>0</v>
      </c>
      <c r="N697">
        <v>0</v>
      </c>
      <c r="O697">
        <v>0</v>
      </c>
      <c r="P697" s="216">
        <v>50000</v>
      </c>
      <c r="Q697" s="217" t="s">
        <v>48</v>
      </c>
      <c r="R697" s="217" t="s">
        <v>62</v>
      </c>
      <c r="S697" s="218">
        <v>0.68821124975288683</v>
      </c>
      <c r="T697" t="s">
        <v>550</v>
      </c>
      <c r="U697" t="s">
        <v>51</v>
      </c>
      <c r="V697" s="219">
        <v>0</v>
      </c>
      <c r="W697" s="219">
        <v>0</v>
      </c>
    </row>
    <row r="698" spans="1:23" ht="15" customHeight="1" x14ac:dyDescent="0.25">
      <c r="A698" t="s">
        <v>1959</v>
      </c>
      <c r="B698" t="s">
        <v>575</v>
      </c>
      <c r="C698">
        <v>200000</v>
      </c>
      <c r="D698" t="s">
        <v>1960</v>
      </c>
      <c r="E698" t="s">
        <v>288</v>
      </c>
      <c r="F698" t="s">
        <v>554</v>
      </c>
      <c r="G698" s="30">
        <v>46146</v>
      </c>
      <c r="H698" t="s">
        <v>1961</v>
      </c>
      <c r="I698">
        <v>2605318</v>
      </c>
      <c r="J698" s="123">
        <v>0</v>
      </c>
      <c r="K698" s="123">
        <v>0</v>
      </c>
      <c r="L698" s="123">
        <v>46144</v>
      </c>
      <c r="M698">
        <v>0</v>
      </c>
      <c r="N698">
        <v>0</v>
      </c>
      <c r="O698">
        <v>0</v>
      </c>
      <c r="P698" s="216">
        <v>200000</v>
      </c>
      <c r="Q698" s="217" t="s">
        <v>48</v>
      </c>
      <c r="R698" s="217" t="s">
        <v>554</v>
      </c>
      <c r="S698" s="218">
        <v>0.90831530354451928</v>
      </c>
      <c r="T698" t="s">
        <v>550</v>
      </c>
      <c r="U698" t="s">
        <v>51</v>
      </c>
      <c r="V698" s="219" t="s">
        <v>6235</v>
      </c>
      <c r="W698" s="219" t="s">
        <v>67</v>
      </c>
    </row>
    <row r="699" spans="1:23" ht="15" customHeight="1" x14ac:dyDescent="0.25">
      <c r="A699" t="s">
        <v>1962</v>
      </c>
      <c r="B699" t="s">
        <v>575</v>
      </c>
      <c r="C699">
        <v>200000</v>
      </c>
      <c r="D699" t="s">
        <v>1960</v>
      </c>
      <c r="E699" t="s">
        <v>288</v>
      </c>
      <c r="F699" t="s">
        <v>554</v>
      </c>
      <c r="G699" s="30">
        <v>46146</v>
      </c>
      <c r="H699" t="s">
        <v>1961</v>
      </c>
      <c r="I699">
        <v>2605318</v>
      </c>
      <c r="J699" s="123">
        <v>0</v>
      </c>
      <c r="K699" s="123">
        <v>0</v>
      </c>
      <c r="L699" s="123">
        <v>46146</v>
      </c>
      <c r="M699">
        <v>0</v>
      </c>
      <c r="N699">
        <v>0</v>
      </c>
      <c r="O699">
        <v>0</v>
      </c>
      <c r="P699" s="216">
        <v>200000</v>
      </c>
      <c r="Q699" s="217" t="s">
        <v>48</v>
      </c>
      <c r="R699" s="217" t="s">
        <v>554</v>
      </c>
      <c r="S699" s="218">
        <v>0.90831530354451928</v>
      </c>
      <c r="T699" t="s">
        <v>550</v>
      </c>
      <c r="U699" t="s">
        <v>51</v>
      </c>
      <c r="V699" s="219" t="s">
        <v>6236</v>
      </c>
      <c r="W699" s="219" t="s">
        <v>67</v>
      </c>
    </row>
    <row r="700" spans="1:23" ht="15" customHeight="1" x14ac:dyDescent="0.25">
      <c r="A700" t="s">
        <v>1963</v>
      </c>
      <c r="B700" t="s">
        <v>575</v>
      </c>
      <c r="C700">
        <v>200000</v>
      </c>
      <c r="D700" t="s">
        <v>1960</v>
      </c>
      <c r="E700" t="s">
        <v>288</v>
      </c>
      <c r="F700" t="s">
        <v>554</v>
      </c>
      <c r="G700" s="30">
        <v>46146</v>
      </c>
      <c r="H700" t="s">
        <v>1961</v>
      </c>
      <c r="I700">
        <v>2605318</v>
      </c>
      <c r="J700" s="123">
        <v>0</v>
      </c>
      <c r="K700" s="123">
        <v>0</v>
      </c>
      <c r="L700" s="123">
        <v>46146</v>
      </c>
      <c r="M700">
        <v>0</v>
      </c>
      <c r="N700">
        <v>0</v>
      </c>
      <c r="O700">
        <v>0</v>
      </c>
      <c r="P700" s="216">
        <v>200000</v>
      </c>
      <c r="Q700" s="217" t="s">
        <v>48</v>
      </c>
      <c r="R700" s="217" t="s">
        <v>554</v>
      </c>
      <c r="S700" s="218">
        <v>0.90831530354451928</v>
      </c>
      <c r="T700" t="s">
        <v>550</v>
      </c>
      <c r="U700" t="s">
        <v>51</v>
      </c>
      <c r="V700" s="219" t="s">
        <v>6237</v>
      </c>
      <c r="W700" s="219" t="s">
        <v>67</v>
      </c>
    </row>
    <row r="701" spans="1:23" ht="15" customHeight="1" x14ac:dyDescent="0.25">
      <c r="A701" t="s">
        <v>1964</v>
      </c>
      <c r="B701" t="s">
        <v>575</v>
      </c>
      <c r="C701">
        <v>200000</v>
      </c>
      <c r="D701" t="s">
        <v>1960</v>
      </c>
      <c r="E701" t="s">
        <v>288</v>
      </c>
      <c r="F701" t="s">
        <v>554</v>
      </c>
      <c r="G701" s="30">
        <v>46148</v>
      </c>
      <c r="H701" t="s">
        <v>1961</v>
      </c>
      <c r="I701">
        <v>2605318</v>
      </c>
      <c r="J701" s="123">
        <v>0</v>
      </c>
      <c r="K701" s="123">
        <v>0</v>
      </c>
      <c r="L701" s="123">
        <v>46148</v>
      </c>
      <c r="M701">
        <v>0</v>
      </c>
      <c r="N701">
        <v>0</v>
      </c>
      <c r="O701">
        <v>0</v>
      </c>
      <c r="P701" s="216">
        <v>200000</v>
      </c>
      <c r="Q701" s="217" t="s">
        <v>48</v>
      </c>
      <c r="R701" s="217" t="s">
        <v>554</v>
      </c>
      <c r="S701" s="218">
        <v>0.90831530354451928</v>
      </c>
      <c r="T701" t="s">
        <v>550</v>
      </c>
      <c r="U701" t="s">
        <v>51</v>
      </c>
      <c r="V701" s="219" t="s">
        <v>6238</v>
      </c>
      <c r="W701" s="219" t="s">
        <v>67</v>
      </c>
    </row>
    <row r="702" spans="1:23" ht="15" customHeight="1" x14ac:dyDescent="0.25">
      <c r="A702" t="s">
        <v>1965</v>
      </c>
      <c r="B702" t="s">
        <v>575</v>
      </c>
      <c r="C702">
        <v>200000</v>
      </c>
      <c r="D702" t="s">
        <v>1966</v>
      </c>
      <c r="E702" t="s">
        <v>288</v>
      </c>
      <c r="F702" t="s">
        <v>554</v>
      </c>
      <c r="G702" s="30">
        <v>46147</v>
      </c>
      <c r="H702" t="s">
        <v>1967</v>
      </c>
      <c r="I702">
        <v>2605318</v>
      </c>
      <c r="J702" s="123">
        <v>0</v>
      </c>
      <c r="K702" s="123">
        <v>0</v>
      </c>
      <c r="L702" s="123">
        <v>46147</v>
      </c>
      <c r="M702">
        <v>0</v>
      </c>
      <c r="N702">
        <v>0</v>
      </c>
      <c r="O702">
        <v>0</v>
      </c>
      <c r="P702" s="216">
        <v>200000</v>
      </c>
      <c r="Q702" s="217" t="s">
        <v>48</v>
      </c>
      <c r="R702" s="217" t="s">
        <v>554</v>
      </c>
      <c r="S702" s="218">
        <v>0.67653162493023888</v>
      </c>
      <c r="T702" t="s">
        <v>550</v>
      </c>
      <c r="U702" t="s">
        <v>51</v>
      </c>
      <c r="V702" s="219" t="s">
        <v>6239</v>
      </c>
      <c r="W702" s="219" t="s">
        <v>67</v>
      </c>
    </row>
    <row r="703" spans="1:23" ht="15" customHeight="1" x14ac:dyDescent="0.25">
      <c r="A703" t="s">
        <v>1968</v>
      </c>
      <c r="B703" t="s">
        <v>575</v>
      </c>
      <c r="C703">
        <v>1141604</v>
      </c>
      <c r="D703" t="s">
        <v>1969</v>
      </c>
      <c r="E703" t="s">
        <v>288</v>
      </c>
      <c r="F703" t="s">
        <v>554</v>
      </c>
      <c r="G703" s="30">
        <v>46143</v>
      </c>
      <c r="H703" t="s">
        <v>1970</v>
      </c>
      <c r="I703">
        <v>2854009</v>
      </c>
      <c r="J703" s="123">
        <v>0</v>
      </c>
      <c r="K703" s="123">
        <v>0</v>
      </c>
      <c r="L703" s="123">
        <v>46143</v>
      </c>
      <c r="M703">
        <v>0</v>
      </c>
      <c r="N703">
        <v>0</v>
      </c>
      <c r="O703">
        <v>0</v>
      </c>
      <c r="P703" s="216">
        <v>1141604</v>
      </c>
      <c r="Q703" s="217" t="s">
        <v>48</v>
      </c>
      <c r="R703" s="217" t="s">
        <v>554</v>
      </c>
      <c r="S703" s="218">
        <v>1.0010713035593088</v>
      </c>
      <c r="T703" t="s">
        <v>550</v>
      </c>
      <c r="U703" t="s">
        <v>51</v>
      </c>
      <c r="V703" s="219" t="s">
        <v>6240</v>
      </c>
      <c r="W703" s="219" t="s">
        <v>67</v>
      </c>
    </row>
    <row r="704" spans="1:23" ht="15" customHeight="1" x14ac:dyDescent="0.25">
      <c r="A704" t="s">
        <v>1971</v>
      </c>
      <c r="B704" t="s">
        <v>575</v>
      </c>
      <c r="C704">
        <v>300000</v>
      </c>
      <c r="D704" t="s">
        <v>1972</v>
      </c>
      <c r="E704" t="s">
        <v>288</v>
      </c>
      <c r="F704" t="s">
        <v>580</v>
      </c>
      <c r="G704" s="30">
        <v>46149</v>
      </c>
      <c r="H704" t="s">
        <v>1973</v>
      </c>
      <c r="I704">
        <v>3524804</v>
      </c>
      <c r="J704" s="123">
        <v>0</v>
      </c>
      <c r="K704" s="123">
        <v>0</v>
      </c>
      <c r="L704" s="123">
        <v>46142</v>
      </c>
      <c r="M704">
        <v>0</v>
      </c>
      <c r="N704">
        <v>0</v>
      </c>
      <c r="O704">
        <v>0</v>
      </c>
      <c r="P704" s="216">
        <v>300000</v>
      </c>
      <c r="Q704" s="217" t="s">
        <v>48</v>
      </c>
      <c r="R704" s="217" t="s">
        <v>582</v>
      </c>
      <c r="S704" s="218">
        <v>0.86010546969420154</v>
      </c>
      <c r="T704" t="s">
        <v>550</v>
      </c>
      <c r="U704" t="s">
        <v>51</v>
      </c>
      <c r="V704" s="219">
        <v>0</v>
      </c>
      <c r="W704" s="219">
        <v>0</v>
      </c>
    </row>
    <row r="705" spans="1:23" ht="15" customHeight="1" x14ac:dyDescent="0.25">
      <c r="A705" t="s">
        <v>1974</v>
      </c>
      <c r="B705" t="s">
        <v>595</v>
      </c>
      <c r="C705">
        <v>843498</v>
      </c>
      <c r="D705" t="s">
        <v>1975</v>
      </c>
      <c r="E705" t="s">
        <v>178</v>
      </c>
      <c r="F705" t="s">
        <v>580</v>
      </c>
      <c r="G705" s="30">
        <v>46149</v>
      </c>
      <c r="H705" t="s">
        <v>1976</v>
      </c>
      <c r="I705">
        <v>8434975.5</v>
      </c>
      <c r="J705" s="123">
        <v>0</v>
      </c>
      <c r="K705" s="123">
        <v>0</v>
      </c>
      <c r="L705" s="123">
        <v>46148</v>
      </c>
      <c r="M705">
        <v>0</v>
      </c>
      <c r="N705">
        <v>0</v>
      </c>
      <c r="O705">
        <v>0</v>
      </c>
      <c r="P705" s="216">
        <v>843498</v>
      </c>
      <c r="Q705" s="217" t="s">
        <v>32</v>
      </c>
      <c r="R705" s="217" t="s">
        <v>582</v>
      </c>
      <c r="S705" s="218">
        <v>0.69998472787502464</v>
      </c>
      <c r="T705" t="s">
        <v>550</v>
      </c>
      <c r="U705" t="s">
        <v>51</v>
      </c>
      <c r="V705" s="219">
        <v>0</v>
      </c>
      <c r="W705" s="219">
        <v>0</v>
      </c>
    </row>
    <row r="706" spans="1:23" ht="15" customHeight="1" x14ac:dyDescent="0.25">
      <c r="A706" t="s">
        <v>1977</v>
      </c>
      <c r="B706" t="s">
        <v>546</v>
      </c>
      <c r="C706">
        <v>534890</v>
      </c>
      <c r="D706" t="s">
        <v>1978</v>
      </c>
      <c r="E706" t="s">
        <v>178</v>
      </c>
      <c r="F706" t="s">
        <v>548</v>
      </c>
      <c r="G706" s="30">
        <v>46148</v>
      </c>
      <c r="H706" t="s">
        <v>1979</v>
      </c>
      <c r="I706">
        <v>8329068</v>
      </c>
      <c r="J706" s="123">
        <v>0</v>
      </c>
      <c r="K706" s="123">
        <v>0</v>
      </c>
      <c r="L706" s="123">
        <v>0</v>
      </c>
      <c r="M706">
        <v>0</v>
      </c>
      <c r="N706">
        <v>0</v>
      </c>
      <c r="O706">
        <v>0</v>
      </c>
      <c r="P706" s="216">
        <v>534890</v>
      </c>
      <c r="Q706" s="217" t="s">
        <v>32</v>
      </c>
      <c r="R706" s="217" t="s">
        <v>62</v>
      </c>
      <c r="S706" s="218">
        <v>0.7357018355792232</v>
      </c>
      <c r="T706" t="s">
        <v>550</v>
      </c>
      <c r="U706" t="s">
        <v>51</v>
      </c>
      <c r="V706" s="219">
        <v>0</v>
      </c>
      <c r="W706" s="219">
        <v>0</v>
      </c>
    </row>
    <row r="707" spans="1:23" ht="15" customHeight="1" x14ac:dyDescent="0.25">
      <c r="A707" t="s">
        <v>1980</v>
      </c>
      <c r="B707" t="s">
        <v>595</v>
      </c>
      <c r="C707">
        <v>262718.5</v>
      </c>
      <c r="D707" t="s">
        <v>1981</v>
      </c>
      <c r="E707" t="s">
        <v>178</v>
      </c>
      <c r="F707" t="s">
        <v>585</v>
      </c>
      <c r="G707" s="30">
        <v>46146</v>
      </c>
      <c r="H707" t="s">
        <v>1982</v>
      </c>
      <c r="I707">
        <v>5254355</v>
      </c>
      <c r="J707" s="123">
        <v>0</v>
      </c>
      <c r="K707" s="123">
        <v>0</v>
      </c>
      <c r="L707" s="123">
        <v>46122</v>
      </c>
      <c r="M707">
        <v>0</v>
      </c>
      <c r="N707">
        <v>0</v>
      </c>
      <c r="O707">
        <v>0</v>
      </c>
      <c r="P707" s="216">
        <v>262718.5</v>
      </c>
      <c r="Q707" s="217" t="s">
        <v>32</v>
      </c>
      <c r="R707" s="217" t="s">
        <v>61</v>
      </c>
      <c r="S707" s="218">
        <v>0.74998106713383472</v>
      </c>
      <c r="T707" t="s">
        <v>550</v>
      </c>
      <c r="U707" t="s">
        <v>51</v>
      </c>
      <c r="V707" s="219">
        <v>0</v>
      </c>
      <c r="W707" s="219">
        <v>0</v>
      </c>
    </row>
    <row r="708" spans="1:23" ht="15" customHeight="1" x14ac:dyDescent="0.25">
      <c r="A708" t="s">
        <v>1983</v>
      </c>
      <c r="B708" t="s">
        <v>595</v>
      </c>
      <c r="C708">
        <v>183625</v>
      </c>
      <c r="D708" t="s">
        <v>1984</v>
      </c>
      <c r="E708" t="s">
        <v>278</v>
      </c>
      <c r="F708" t="s">
        <v>554</v>
      </c>
      <c r="G708" s="30">
        <v>46143</v>
      </c>
      <c r="H708" t="s">
        <v>1985</v>
      </c>
      <c r="I708">
        <v>4313790</v>
      </c>
      <c r="J708" s="123">
        <v>0</v>
      </c>
      <c r="K708" s="123">
        <v>0</v>
      </c>
      <c r="L708" s="123">
        <v>46143</v>
      </c>
      <c r="M708">
        <v>0</v>
      </c>
      <c r="N708">
        <v>0</v>
      </c>
      <c r="O708">
        <v>0</v>
      </c>
      <c r="P708" s="216">
        <v>183625</v>
      </c>
      <c r="Q708" s="217" t="s">
        <v>39</v>
      </c>
      <c r="R708" s="217" t="s">
        <v>554</v>
      </c>
      <c r="S708" s="218">
        <v>0.97646810577241816</v>
      </c>
      <c r="T708" t="s">
        <v>550</v>
      </c>
      <c r="U708" t="s">
        <v>51</v>
      </c>
      <c r="V708" s="219" t="s">
        <v>6241</v>
      </c>
      <c r="W708" s="219" t="s">
        <v>67</v>
      </c>
    </row>
    <row r="709" spans="1:23" ht="15" customHeight="1" x14ac:dyDescent="0.25">
      <c r="A709" t="s">
        <v>1986</v>
      </c>
      <c r="B709" t="s">
        <v>595</v>
      </c>
      <c r="C709">
        <v>183625</v>
      </c>
      <c r="D709" t="s">
        <v>1984</v>
      </c>
      <c r="E709" t="s">
        <v>278</v>
      </c>
      <c r="F709" t="s">
        <v>554</v>
      </c>
      <c r="G709" s="30">
        <v>46143</v>
      </c>
      <c r="H709" t="s">
        <v>1985</v>
      </c>
      <c r="I709">
        <v>4313790</v>
      </c>
      <c r="J709" s="123">
        <v>0</v>
      </c>
      <c r="K709" s="123">
        <v>0</v>
      </c>
      <c r="L709" s="123">
        <v>46142</v>
      </c>
      <c r="M709">
        <v>0</v>
      </c>
      <c r="N709">
        <v>0</v>
      </c>
      <c r="O709">
        <v>0</v>
      </c>
      <c r="P709" s="216">
        <v>183625</v>
      </c>
      <c r="Q709" s="217" t="s">
        <v>39</v>
      </c>
      <c r="R709" s="217" t="s">
        <v>554</v>
      </c>
      <c r="S709" s="218">
        <v>0.97646810577241816</v>
      </c>
      <c r="T709" t="s">
        <v>550</v>
      </c>
      <c r="U709" t="s">
        <v>51</v>
      </c>
      <c r="V709" s="219" t="s">
        <v>6242</v>
      </c>
      <c r="W709" s="219" t="s">
        <v>67</v>
      </c>
    </row>
    <row r="710" spans="1:23" ht="15" customHeight="1" x14ac:dyDescent="0.25">
      <c r="A710" t="s">
        <v>1987</v>
      </c>
      <c r="B710" t="s">
        <v>595</v>
      </c>
      <c r="C710">
        <v>183625</v>
      </c>
      <c r="D710" t="s">
        <v>1984</v>
      </c>
      <c r="E710" t="s">
        <v>278</v>
      </c>
      <c r="F710" t="s">
        <v>554</v>
      </c>
      <c r="G710" s="30">
        <v>46147</v>
      </c>
      <c r="H710" t="s">
        <v>1985</v>
      </c>
      <c r="I710">
        <v>4313790</v>
      </c>
      <c r="J710" s="123">
        <v>0</v>
      </c>
      <c r="K710" s="123">
        <v>0</v>
      </c>
      <c r="L710" s="123">
        <v>46146</v>
      </c>
      <c r="M710">
        <v>0</v>
      </c>
      <c r="N710">
        <v>0</v>
      </c>
      <c r="O710">
        <v>0</v>
      </c>
      <c r="P710" s="216">
        <v>183625</v>
      </c>
      <c r="Q710" s="217" t="s">
        <v>39</v>
      </c>
      <c r="R710" s="217" t="s">
        <v>554</v>
      </c>
      <c r="S710" s="218">
        <v>0.97646810577241816</v>
      </c>
      <c r="T710" t="s">
        <v>550</v>
      </c>
      <c r="U710" t="s">
        <v>51</v>
      </c>
      <c r="V710" s="219" t="s">
        <v>6243</v>
      </c>
      <c r="W710" s="219" t="s">
        <v>67</v>
      </c>
    </row>
    <row r="711" spans="1:23" ht="15" customHeight="1" x14ac:dyDescent="0.25">
      <c r="A711" t="s">
        <v>1988</v>
      </c>
      <c r="B711" t="s">
        <v>595</v>
      </c>
      <c r="C711">
        <v>183625</v>
      </c>
      <c r="D711" t="s">
        <v>1984</v>
      </c>
      <c r="E711" t="s">
        <v>278</v>
      </c>
      <c r="F711" t="s">
        <v>554</v>
      </c>
      <c r="G711" s="30">
        <v>46148</v>
      </c>
      <c r="H711" t="s">
        <v>1985</v>
      </c>
      <c r="I711">
        <v>4313790</v>
      </c>
      <c r="J711" s="123">
        <v>0</v>
      </c>
      <c r="K711" s="123">
        <v>0</v>
      </c>
      <c r="L711" s="123">
        <v>46147</v>
      </c>
      <c r="M711">
        <v>0</v>
      </c>
      <c r="N711">
        <v>0</v>
      </c>
      <c r="O711">
        <v>0</v>
      </c>
      <c r="P711" s="216">
        <v>183625</v>
      </c>
      <c r="Q711" s="217" t="s">
        <v>39</v>
      </c>
      <c r="R711" s="217" t="s">
        <v>554</v>
      </c>
      <c r="S711" s="218">
        <v>0.97646810577241816</v>
      </c>
      <c r="T711" t="s">
        <v>550</v>
      </c>
      <c r="U711" t="s">
        <v>51</v>
      </c>
      <c r="V711" s="219" t="s">
        <v>6244</v>
      </c>
      <c r="W711" s="219" t="s">
        <v>67</v>
      </c>
    </row>
    <row r="712" spans="1:23" ht="15" customHeight="1" x14ac:dyDescent="0.25">
      <c r="A712" t="s">
        <v>1989</v>
      </c>
      <c r="B712" t="s">
        <v>603</v>
      </c>
      <c r="C712">
        <v>500000</v>
      </c>
      <c r="D712" t="s">
        <v>1990</v>
      </c>
      <c r="E712" t="s">
        <v>605</v>
      </c>
      <c r="F712" t="s">
        <v>554</v>
      </c>
      <c r="G712" s="30">
        <v>46146</v>
      </c>
      <c r="H712" t="s">
        <v>1991</v>
      </c>
      <c r="I712">
        <v>11187895.5</v>
      </c>
      <c r="J712" s="123">
        <v>46147</v>
      </c>
      <c r="K712" s="123">
        <v>0</v>
      </c>
      <c r="L712" s="123">
        <v>0</v>
      </c>
      <c r="M712">
        <v>0</v>
      </c>
      <c r="N712">
        <v>0</v>
      </c>
      <c r="O712">
        <v>0</v>
      </c>
      <c r="P712" s="216">
        <v>500000</v>
      </c>
      <c r="Q712" s="217" t="s">
        <v>32</v>
      </c>
      <c r="R712" s="217" t="s">
        <v>554</v>
      </c>
      <c r="S712" s="218">
        <v>0.79999996424707398</v>
      </c>
      <c r="T712" t="s">
        <v>550</v>
      </c>
      <c r="U712" t="s">
        <v>51</v>
      </c>
      <c r="V712" s="219" t="s">
        <v>6245</v>
      </c>
      <c r="W712" s="219" t="s">
        <v>67</v>
      </c>
    </row>
    <row r="713" spans="1:23" ht="15" customHeight="1" x14ac:dyDescent="0.25">
      <c r="A713" t="s">
        <v>1992</v>
      </c>
      <c r="B713" t="s">
        <v>64</v>
      </c>
      <c r="C713">
        <v>406346</v>
      </c>
      <c r="D713" t="s">
        <v>1993</v>
      </c>
      <c r="E713" t="s">
        <v>178</v>
      </c>
      <c r="F713" t="s">
        <v>554</v>
      </c>
      <c r="G713" s="30">
        <v>46147</v>
      </c>
      <c r="H713" t="s">
        <v>1994</v>
      </c>
      <c r="I713">
        <v>4063455</v>
      </c>
      <c r="J713" s="123">
        <v>0</v>
      </c>
      <c r="K713" s="123">
        <v>46146</v>
      </c>
      <c r="L713" s="123">
        <v>0</v>
      </c>
      <c r="M713">
        <v>0</v>
      </c>
      <c r="N713">
        <v>0</v>
      </c>
      <c r="O713" t="s">
        <v>556</v>
      </c>
      <c r="P713" s="216">
        <v>406346</v>
      </c>
      <c r="Q713" s="217" t="s">
        <v>32</v>
      </c>
      <c r="R713" s="217" t="s">
        <v>554</v>
      </c>
      <c r="S713" s="218">
        <v>0.60000012304799732</v>
      </c>
      <c r="T713" t="s">
        <v>550</v>
      </c>
      <c r="U713" t="s">
        <v>51</v>
      </c>
      <c r="V713" s="219" t="s">
        <v>6246</v>
      </c>
      <c r="W713" s="219" t="s">
        <v>67</v>
      </c>
    </row>
    <row r="714" spans="1:23" ht="15" customHeight="1" x14ac:dyDescent="0.25">
      <c r="A714" t="s">
        <v>1995</v>
      </c>
      <c r="B714" t="s">
        <v>668</v>
      </c>
      <c r="C714">
        <v>331210</v>
      </c>
      <c r="D714" t="s">
        <v>1996</v>
      </c>
      <c r="E714" t="s">
        <v>178</v>
      </c>
      <c r="F714" t="s">
        <v>580</v>
      </c>
      <c r="G714" s="30">
        <v>46149</v>
      </c>
      <c r="H714" t="s">
        <v>1997</v>
      </c>
      <c r="I714">
        <v>6784685</v>
      </c>
      <c r="J714" s="123">
        <v>46148</v>
      </c>
      <c r="K714" s="123">
        <v>0</v>
      </c>
      <c r="L714" s="123">
        <v>46148</v>
      </c>
      <c r="M714">
        <v>0</v>
      </c>
      <c r="N714">
        <v>0</v>
      </c>
      <c r="O714">
        <v>0</v>
      </c>
      <c r="P714" s="216">
        <v>331210</v>
      </c>
      <c r="Q714" s="217" t="s">
        <v>32</v>
      </c>
      <c r="R714" s="217" t="s">
        <v>582</v>
      </c>
      <c r="S714" s="218">
        <v>0.60236530656913323</v>
      </c>
      <c r="T714" t="s">
        <v>550</v>
      </c>
      <c r="U714" t="s">
        <v>51</v>
      </c>
      <c r="V714" s="219">
        <v>0</v>
      </c>
      <c r="W714" s="219">
        <v>0</v>
      </c>
    </row>
    <row r="715" spans="1:23" ht="15" customHeight="1" x14ac:dyDescent="0.25">
      <c r="A715" t="s">
        <v>1998</v>
      </c>
      <c r="B715" t="s">
        <v>575</v>
      </c>
      <c r="C715">
        <v>20000</v>
      </c>
      <c r="D715" t="s">
        <v>1999</v>
      </c>
      <c r="E715" t="s">
        <v>321</v>
      </c>
      <c r="F715" t="s">
        <v>554</v>
      </c>
      <c r="G715" s="30">
        <v>46147</v>
      </c>
      <c r="H715" t="s">
        <v>2000</v>
      </c>
      <c r="I715">
        <v>1517579.1</v>
      </c>
      <c r="J715" s="123">
        <v>0</v>
      </c>
      <c r="K715" s="123">
        <v>0</v>
      </c>
      <c r="L715" s="123">
        <v>46144</v>
      </c>
      <c r="M715">
        <v>0</v>
      </c>
      <c r="N715">
        <v>0</v>
      </c>
      <c r="O715">
        <v>0</v>
      </c>
      <c r="P715" s="216">
        <v>20000</v>
      </c>
      <c r="Q715" s="217" t="s">
        <v>43</v>
      </c>
      <c r="R715" s="217" t="s">
        <v>554</v>
      </c>
      <c r="S715" s="218">
        <v>0.74390708200976152</v>
      </c>
      <c r="T715" t="s">
        <v>550</v>
      </c>
      <c r="U715" t="s">
        <v>51</v>
      </c>
      <c r="V715" s="219" t="s">
        <v>6247</v>
      </c>
      <c r="W715" s="219" t="s">
        <v>67</v>
      </c>
    </row>
    <row r="716" spans="1:23" ht="15" customHeight="1" x14ac:dyDescent="0.25">
      <c r="A716" t="s">
        <v>2001</v>
      </c>
      <c r="B716" t="s">
        <v>575</v>
      </c>
      <c r="C716">
        <v>15000</v>
      </c>
      <c r="D716" t="s">
        <v>1999</v>
      </c>
      <c r="E716" t="s">
        <v>321</v>
      </c>
      <c r="F716" t="s">
        <v>554</v>
      </c>
      <c r="G716" s="30">
        <v>46147</v>
      </c>
      <c r="H716" t="s">
        <v>2000</v>
      </c>
      <c r="I716">
        <v>1517579.1</v>
      </c>
      <c r="J716" s="123">
        <v>0</v>
      </c>
      <c r="K716" s="123">
        <v>0</v>
      </c>
      <c r="L716" s="123">
        <v>46146</v>
      </c>
      <c r="M716">
        <v>0</v>
      </c>
      <c r="N716">
        <v>0</v>
      </c>
      <c r="O716">
        <v>0</v>
      </c>
      <c r="P716" s="216">
        <v>15000</v>
      </c>
      <c r="Q716" s="217" t="s">
        <v>43</v>
      </c>
      <c r="R716" s="217" t="s">
        <v>554</v>
      </c>
      <c r="S716" s="218">
        <v>0.74390708200976152</v>
      </c>
      <c r="T716" t="s">
        <v>550</v>
      </c>
      <c r="U716" t="s">
        <v>51</v>
      </c>
      <c r="V716" s="219" t="s">
        <v>6248</v>
      </c>
      <c r="W716" s="219" t="s">
        <v>67</v>
      </c>
    </row>
    <row r="717" spans="1:23" ht="15" customHeight="1" x14ac:dyDescent="0.25">
      <c r="A717" t="s">
        <v>2002</v>
      </c>
      <c r="B717" t="s">
        <v>546</v>
      </c>
      <c r="C717">
        <v>50000</v>
      </c>
      <c r="D717" t="s">
        <v>2003</v>
      </c>
      <c r="E717" t="s">
        <v>208</v>
      </c>
      <c r="F717" t="s">
        <v>548</v>
      </c>
      <c r="G717" s="30">
        <v>46147</v>
      </c>
      <c r="H717" t="s">
        <v>2004</v>
      </c>
      <c r="I717">
        <v>2219022</v>
      </c>
      <c r="J717" s="123">
        <v>0</v>
      </c>
      <c r="K717" s="123">
        <v>0</v>
      </c>
      <c r="L717" s="123">
        <v>0</v>
      </c>
      <c r="M717">
        <v>0</v>
      </c>
      <c r="N717">
        <v>0</v>
      </c>
      <c r="O717">
        <v>0</v>
      </c>
      <c r="P717" s="216">
        <v>50000</v>
      </c>
      <c r="Q717" s="217" t="s">
        <v>23</v>
      </c>
      <c r="R717" s="217" t="s">
        <v>62</v>
      </c>
      <c r="S717" s="218">
        <v>0.55105624009135556</v>
      </c>
      <c r="T717" t="s">
        <v>550</v>
      </c>
      <c r="U717" t="s">
        <v>51</v>
      </c>
      <c r="V717" s="219">
        <v>0</v>
      </c>
      <c r="W717" s="219">
        <v>0</v>
      </c>
    </row>
    <row r="718" spans="1:23" ht="15" customHeight="1" x14ac:dyDescent="0.25">
      <c r="A718" t="s">
        <v>2005</v>
      </c>
      <c r="B718" t="s">
        <v>546</v>
      </c>
      <c r="C718">
        <v>6000</v>
      </c>
      <c r="D718" t="s">
        <v>2003</v>
      </c>
      <c r="E718" t="s">
        <v>208</v>
      </c>
      <c r="F718" t="s">
        <v>554</v>
      </c>
      <c r="G718" s="30">
        <v>46148</v>
      </c>
      <c r="H718" t="s">
        <v>2004</v>
      </c>
      <c r="I718">
        <v>2219022</v>
      </c>
      <c r="J718" s="123">
        <v>0</v>
      </c>
      <c r="K718" s="123">
        <v>0</v>
      </c>
      <c r="L718" s="123">
        <v>0</v>
      </c>
      <c r="M718">
        <v>0</v>
      </c>
      <c r="N718">
        <v>0</v>
      </c>
      <c r="O718">
        <v>0</v>
      </c>
      <c r="P718" s="216">
        <v>6000</v>
      </c>
      <c r="Q718" s="217" t="s">
        <v>23</v>
      </c>
      <c r="R718" s="217" t="s">
        <v>554</v>
      </c>
      <c r="S718" s="218">
        <v>0.55105624009135556</v>
      </c>
      <c r="T718" t="s">
        <v>550</v>
      </c>
      <c r="U718" t="s">
        <v>51</v>
      </c>
      <c r="V718" s="219" t="s">
        <v>6249</v>
      </c>
      <c r="W718" s="219" t="s">
        <v>67</v>
      </c>
    </row>
    <row r="719" spans="1:23" ht="15" customHeight="1" x14ac:dyDescent="0.25">
      <c r="A719" t="s">
        <v>2006</v>
      </c>
      <c r="B719" t="s">
        <v>546</v>
      </c>
      <c r="C719">
        <v>10000</v>
      </c>
      <c r="D719" t="s">
        <v>2003</v>
      </c>
      <c r="E719" t="s">
        <v>208</v>
      </c>
      <c r="F719" t="s">
        <v>548</v>
      </c>
      <c r="G719" s="30">
        <v>46148</v>
      </c>
      <c r="H719" t="s">
        <v>2004</v>
      </c>
      <c r="I719">
        <v>2219022</v>
      </c>
      <c r="J719" s="123">
        <v>0</v>
      </c>
      <c r="K719" s="123">
        <v>0</v>
      </c>
      <c r="L719" s="123">
        <v>0</v>
      </c>
      <c r="M719">
        <v>0</v>
      </c>
      <c r="N719">
        <v>0</v>
      </c>
      <c r="O719">
        <v>0</v>
      </c>
      <c r="P719" s="216">
        <v>10000</v>
      </c>
      <c r="Q719" s="217" t="s">
        <v>23</v>
      </c>
      <c r="R719" s="217" t="s">
        <v>62</v>
      </c>
      <c r="S719" s="218">
        <v>0.55105624009135556</v>
      </c>
      <c r="T719" t="s">
        <v>550</v>
      </c>
      <c r="U719" t="s">
        <v>51</v>
      </c>
      <c r="V719" s="219">
        <v>0</v>
      </c>
      <c r="W719" s="219">
        <v>0</v>
      </c>
    </row>
    <row r="720" spans="1:23" ht="15" customHeight="1" x14ac:dyDescent="0.25">
      <c r="A720" t="s">
        <v>2007</v>
      </c>
      <c r="B720" t="s">
        <v>546</v>
      </c>
      <c r="C720">
        <v>20000</v>
      </c>
      <c r="D720" t="s">
        <v>2003</v>
      </c>
      <c r="E720" t="s">
        <v>208</v>
      </c>
      <c r="F720" t="s">
        <v>548</v>
      </c>
      <c r="G720" s="30">
        <v>46148</v>
      </c>
      <c r="H720" t="s">
        <v>2004</v>
      </c>
      <c r="I720">
        <v>2219022</v>
      </c>
      <c r="J720" s="123">
        <v>0</v>
      </c>
      <c r="K720" s="123">
        <v>0</v>
      </c>
      <c r="L720" s="123">
        <v>0</v>
      </c>
      <c r="M720">
        <v>0</v>
      </c>
      <c r="N720">
        <v>0</v>
      </c>
      <c r="O720">
        <v>0</v>
      </c>
      <c r="P720" s="216">
        <v>20000</v>
      </c>
      <c r="Q720" s="217" t="s">
        <v>23</v>
      </c>
      <c r="R720" s="217" t="s">
        <v>62</v>
      </c>
      <c r="S720" s="218">
        <v>0.55105624009135556</v>
      </c>
      <c r="T720" t="s">
        <v>550</v>
      </c>
      <c r="U720" t="s">
        <v>51</v>
      </c>
      <c r="V720" s="219">
        <v>0</v>
      </c>
      <c r="W720" s="219">
        <v>0</v>
      </c>
    </row>
    <row r="721" spans="1:23" ht="15" customHeight="1" x14ac:dyDescent="0.25">
      <c r="A721" t="s">
        <v>2008</v>
      </c>
      <c r="B721" t="s">
        <v>546</v>
      </c>
      <c r="C721">
        <v>30000</v>
      </c>
      <c r="D721" t="s">
        <v>2003</v>
      </c>
      <c r="E721" t="s">
        <v>208</v>
      </c>
      <c r="F721" t="s">
        <v>554</v>
      </c>
      <c r="G721" s="30">
        <v>46148</v>
      </c>
      <c r="H721" t="s">
        <v>2004</v>
      </c>
      <c r="I721">
        <v>2219022</v>
      </c>
      <c r="J721" s="123">
        <v>0</v>
      </c>
      <c r="K721" s="123">
        <v>0</v>
      </c>
      <c r="L721" s="123">
        <v>0</v>
      </c>
      <c r="M721">
        <v>0</v>
      </c>
      <c r="N721">
        <v>0</v>
      </c>
      <c r="O721">
        <v>0</v>
      </c>
      <c r="P721" s="216">
        <v>30000</v>
      </c>
      <c r="Q721" s="217" t="s">
        <v>23</v>
      </c>
      <c r="R721" s="217" t="s">
        <v>554</v>
      </c>
      <c r="S721" s="218">
        <v>0.55105624009135556</v>
      </c>
      <c r="T721" t="s">
        <v>550</v>
      </c>
      <c r="U721" t="s">
        <v>51</v>
      </c>
      <c r="V721" s="219" t="s">
        <v>6250</v>
      </c>
      <c r="W721" s="219" t="s">
        <v>67</v>
      </c>
    </row>
    <row r="722" spans="1:23" ht="15" customHeight="1" x14ac:dyDescent="0.25">
      <c r="A722" t="s">
        <v>2009</v>
      </c>
      <c r="B722" t="s">
        <v>546</v>
      </c>
      <c r="C722">
        <v>36000</v>
      </c>
      <c r="D722" t="s">
        <v>2003</v>
      </c>
      <c r="E722" t="s">
        <v>208</v>
      </c>
      <c r="F722" t="s">
        <v>554</v>
      </c>
      <c r="G722" s="30">
        <v>46149</v>
      </c>
      <c r="H722" t="s">
        <v>2004</v>
      </c>
      <c r="I722">
        <v>2219022</v>
      </c>
      <c r="J722" s="123">
        <v>0</v>
      </c>
      <c r="K722" s="123">
        <v>0</v>
      </c>
      <c r="L722" s="123">
        <v>0</v>
      </c>
      <c r="M722">
        <v>0</v>
      </c>
      <c r="N722">
        <v>0</v>
      </c>
      <c r="O722">
        <v>0</v>
      </c>
      <c r="P722" s="216">
        <v>36000</v>
      </c>
      <c r="Q722" s="217" t="s">
        <v>23</v>
      </c>
      <c r="R722" s="217" t="s">
        <v>554</v>
      </c>
      <c r="S722" s="218">
        <v>0.55105624009135556</v>
      </c>
      <c r="T722" t="s">
        <v>550</v>
      </c>
      <c r="U722" t="s">
        <v>51</v>
      </c>
      <c r="V722" s="219" t="s">
        <v>6251</v>
      </c>
      <c r="W722" s="219" t="s">
        <v>67</v>
      </c>
    </row>
    <row r="723" spans="1:23" ht="15" customHeight="1" x14ac:dyDescent="0.25">
      <c r="A723" t="s">
        <v>2010</v>
      </c>
      <c r="B723" t="s">
        <v>546</v>
      </c>
      <c r="C723">
        <v>163215</v>
      </c>
      <c r="D723" t="s">
        <v>2011</v>
      </c>
      <c r="E723" t="s">
        <v>316</v>
      </c>
      <c r="F723" t="s">
        <v>554</v>
      </c>
      <c r="G723" s="30">
        <v>46144</v>
      </c>
      <c r="H723" t="s">
        <v>2012</v>
      </c>
      <c r="I723">
        <v>1912432</v>
      </c>
      <c r="J723" s="123">
        <v>0</v>
      </c>
      <c r="K723" s="123">
        <v>0</v>
      </c>
      <c r="L723" s="123">
        <v>0</v>
      </c>
      <c r="M723">
        <v>0</v>
      </c>
      <c r="N723">
        <v>0</v>
      </c>
      <c r="O723">
        <v>0</v>
      </c>
      <c r="P723" s="216">
        <v>163215</v>
      </c>
      <c r="Q723" s="217" t="s">
        <v>46</v>
      </c>
      <c r="R723" s="217" t="s">
        <v>554</v>
      </c>
      <c r="S723" s="218">
        <v>0.98378960402252214</v>
      </c>
      <c r="T723" t="s">
        <v>550</v>
      </c>
      <c r="U723" t="s">
        <v>51</v>
      </c>
      <c r="V723" s="219" t="s">
        <v>6252</v>
      </c>
      <c r="W723" s="219" t="s">
        <v>67</v>
      </c>
    </row>
    <row r="724" spans="1:23" ht="15" customHeight="1" x14ac:dyDescent="0.25">
      <c r="A724" t="s">
        <v>2013</v>
      </c>
      <c r="B724" t="s">
        <v>546</v>
      </c>
      <c r="C724">
        <v>100000</v>
      </c>
      <c r="D724" t="s">
        <v>2011</v>
      </c>
      <c r="E724" t="s">
        <v>316</v>
      </c>
      <c r="F724" t="s">
        <v>554</v>
      </c>
      <c r="G724" s="30">
        <v>46146</v>
      </c>
      <c r="H724" t="s">
        <v>2012</v>
      </c>
      <c r="I724">
        <v>1912432</v>
      </c>
      <c r="J724" s="123">
        <v>0</v>
      </c>
      <c r="K724" s="123">
        <v>0</v>
      </c>
      <c r="L724" s="123">
        <v>0</v>
      </c>
      <c r="M724">
        <v>0</v>
      </c>
      <c r="N724">
        <v>0</v>
      </c>
      <c r="O724">
        <v>0</v>
      </c>
      <c r="P724" s="216">
        <v>100000</v>
      </c>
      <c r="Q724" s="217" t="s">
        <v>46</v>
      </c>
      <c r="R724" s="217" t="s">
        <v>554</v>
      </c>
      <c r="S724" s="218">
        <v>0.98378960402252214</v>
      </c>
      <c r="T724" t="s">
        <v>550</v>
      </c>
      <c r="U724" t="s">
        <v>51</v>
      </c>
      <c r="V724" s="219" t="s">
        <v>6253</v>
      </c>
      <c r="W724" s="219" t="s">
        <v>67</v>
      </c>
    </row>
    <row r="725" spans="1:23" ht="15" customHeight="1" x14ac:dyDescent="0.25">
      <c r="A725" t="s">
        <v>2014</v>
      </c>
      <c r="B725" t="s">
        <v>546</v>
      </c>
      <c r="C725">
        <v>16293.95</v>
      </c>
      <c r="D725" t="s">
        <v>2015</v>
      </c>
      <c r="E725" t="s">
        <v>553</v>
      </c>
      <c r="F725" t="s">
        <v>554</v>
      </c>
      <c r="G725" s="30">
        <v>46143</v>
      </c>
      <c r="H725" t="s">
        <v>2016</v>
      </c>
      <c r="I725">
        <v>2312976.6</v>
      </c>
      <c r="J725" s="123">
        <v>46143</v>
      </c>
      <c r="K725" s="123">
        <v>0</v>
      </c>
      <c r="L725" s="123">
        <v>46143</v>
      </c>
      <c r="M725">
        <v>0</v>
      </c>
      <c r="N725">
        <v>0</v>
      </c>
      <c r="O725" t="s">
        <v>556</v>
      </c>
      <c r="P725" s="216">
        <v>16293.95</v>
      </c>
      <c r="Q725" s="217" t="s">
        <v>28</v>
      </c>
      <c r="R725" s="217" t="s">
        <v>554</v>
      </c>
      <c r="S725" s="218">
        <v>0.7135299225554631</v>
      </c>
      <c r="T725" t="s">
        <v>550</v>
      </c>
      <c r="U725" t="s">
        <v>51</v>
      </c>
      <c r="V725" s="219" t="s">
        <v>6254</v>
      </c>
      <c r="W725" s="219" t="s">
        <v>67</v>
      </c>
    </row>
    <row r="726" spans="1:23" ht="15" customHeight="1" x14ac:dyDescent="0.25">
      <c r="A726" t="s">
        <v>2017</v>
      </c>
      <c r="B726" t="s">
        <v>546</v>
      </c>
      <c r="C726">
        <v>5000</v>
      </c>
      <c r="D726" t="s">
        <v>2015</v>
      </c>
      <c r="E726" t="s">
        <v>553</v>
      </c>
      <c r="F726" t="s">
        <v>554</v>
      </c>
      <c r="G726" s="30">
        <v>46143</v>
      </c>
      <c r="H726" t="s">
        <v>2016</v>
      </c>
      <c r="I726">
        <v>2312976.6</v>
      </c>
      <c r="J726" s="123">
        <v>46143</v>
      </c>
      <c r="K726" s="123">
        <v>0</v>
      </c>
      <c r="L726" s="123">
        <v>46143</v>
      </c>
      <c r="M726">
        <v>0</v>
      </c>
      <c r="N726">
        <v>0</v>
      </c>
      <c r="O726" t="s">
        <v>556</v>
      </c>
      <c r="P726" s="216">
        <v>5000</v>
      </c>
      <c r="Q726" s="217" t="s">
        <v>28</v>
      </c>
      <c r="R726" s="217" t="s">
        <v>554</v>
      </c>
      <c r="S726" s="218">
        <v>0.7135299225554631</v>
      </c>
      <c r="T726" t="s">
        <v>550</v>
      </c>
      <c r="U726" t="s">
        <v>51</v>
      </c>
      <c r="V726" s="219" t="s">
        <v>6255</v>
      </c>
      <c r="W726" s="219" t="s">
        <v>67</v>
      </c>
    </row>
    <row r="727" spans="1:23" ht="15" customHeight="1" x14ac:dyDescent="0.25">
      <c r="A727" t="s">
        <v>2018</v>
      </c>
      <c r="B727" t="s">
        <v>546</v>
      </c>
      <c r="C727">
        <v>10000</v>
      </c>
      <c r="D727" t="s">
        <v>2015</v>
      </c>
      <c r="E727" t="s">
        <v>553</v>
      </c>
      <c r="F727" t="s">
        <v>554</v>
      </c>
      <c r="G727" s="30">
        <v>46143</v>
      </c>
      <c r="H727" t="s">
        <v>2016</v>
      </c>
      <c r="I727">
        <v>2312976.6</v>
      </c>
      <c r="J727" s="123">
        <v>46143</v>
      </c>
      <c r="K727" s="123">
        <v>0</v>
      </c>
      <c r="L727" s="123">
        <v>46143</v>
      </c>
      <c r="M727">
        <v>0</v>
      </c>
      <c r="N727">
        <v>0</v>
      </c>
      <c r="O727" t="s">
        <v>556</v>
      </c>
      <c r="P727" s="216">
        <v>10000</v>
      </c>
      <c r="Q727" s="217" t="s">
        <v>28</v>
      </c>
      <c r="R727" s="217" t="s">
        <v>554</v>
      </c>
      <c r="S727" s="218">
        <v>0.7135299225554631</v>
      </c>
      <c r="T727" t="s">
        <v>550</v>
      </c>
      <c r="U727" t="s">
        <v>51</v>
      </c>
      <c r="V727" s="219" t="s">
        <v>6256</v>
      </c>
      <c r="W727" s="219" t="s">
        <v>67</v>
      </c>
    </row>
    <row r="728" spans="1:23" ht="15" customHeight="1" x14ac:dyDescent="0.25">
      <c r="A728" t="s">
        <v>2019</v>
      </c>
      <c r="B728" t="s">
        <v>575</v>
      </c>
      <c r="C728">
        <v>209999</v>
      </c>
      <c r="D728" t="s">
        <v>2020</v>
      </c>
      <c r="E728" t="s">
        <v>316</v>
      </c>
      <c r="F728" t="s">
        <v>554</v>
      </c>
      <c r="G728" s="30">
        <v>46143</v>
      </c>
      <c r="H728" t="s">
        <v>2021</v>
      </c>
      <c r="I728">
        <v>3030217.6</v>
      </c>
      <c r="J728" s="123">
        <v>0</v>
      </c>
      <c r="K728" s="123">
        <v>0</v>
      </c>
      <c r="L728" s="123">
        <v>46142</v>
      </c>
      <c r="M728">
        <v>0</v>
      </c>
      <c r="N728">
        <v>0</v>
      </c>
      <c r="O728">
        <v>0</v>
      </c>
      <c r="P728" s="216">
        <v>209999</v>
      </c>
      <c r="Q728" s="217" t="s">
        <v>46</v>
      </c>
      <c r="R728" s="217" t="s">
        <v>554</v>
      </c>
      <c r="S728" s="218">
        <v>0.99174970470767509</v>
      </c>
      <c r="T728" t="s">
        <v>550</v>
      </c>
      <c r="U728" t="s">
        <v>51</v>
      </c>
      <c r="V728" s="219" t="s">
        <v>6257</v>
      </c>
      <c r="W728" s="219" t="s">
        <v>67</v>
      </c>
    </row>
    <row r="729" spans="1:23" ht="15" customHeight="1" x14ac:dyDescent="0.25">
      <c r="A729" t="s">
        <v>2022</v>
      </c>
      <c r="B729" t="s">
        <v>575</v>
      </c>
      <c r="C729">
        <v>413255</v>
      </c>
      <c r="D729" t="s">
        <v>2023</v>
      </c>
      <c r="E729" t="s">
        <v>238</v>
      </c>
      <c r="F729" t="s">
        <v>585</v>
      </c>
      <c r="G729" s="30">
        <v>46145</v>
      </c>
      <c r="H729" t="s">
        <v>2024</v>
      </c>
      <c r="I729">
        <v>4132545.3</v>
      </c>
      <c r="J729" s="123">
        <v>0</v>
      </c>
      <c r="K729" s="123">
        <v>0</v>
      </c>
      <c r="L729" s="123">
        <v>46141</v>
      </c>
      <c r="M729">
        <v>0</v>
      </c>
      <c r="N729">
        <v>0</v>
      </c>
      <c r="O729">
        <v>0</v>
      </c>
      <c r="P729" s="216">
        <v>413255</v>
      </c>
      <c r="Q729" s="217" t="s">
        <v>19</v>
      </c>
      <c r="R729" s="217" t="s">
        <v>61</v>
      </c>
      <c r="S729" s="218">
        <v>0.40000021294382426</v>
      </c>
      <c r="T729" t="s">
        <v>550</v>
      </c>
      <c r="U729" t="s">
        <v>51</v>
      </c>
      <c r="V729" s="219">
        <v>0</v>
      </c>
      <c r="W729" s="219">
        <v>0</v>
      </c>
    </row>
    <row r="730" spans="1:23" ht="15" customHeight="1" x14ac:dyDescent="0.25">
      <c r="A730" t="s">
        <v>2025</v>
      </c>
      <c r="B730" t="s">
        <v>546</v>
      </c>
      <c r="C730">
        <v>269713</v>
      </c>
      <c r="D730" t="s">
        <v>2026</v>
      </c>
      <c r="E730" t="s">
        <v>553</v>
      </c>
      <c r="F730" t="s">
        <v>548</v>
      </c>
      <c r="G730" s="30">
        <v>46143</v>
      </c>
      <c r="H730" t="s">
        <v>2027</v>
      </c>
      <c r="I730">
        <v>2697126</v>
      </c>
      <c r="J730" s="123">
        <v>46143</v>
      </c>
      <c r="K730" s="123">
        <v>0</v>
      </c>
      <c r="L730" s="123">
        <v>46143</v>
      </c>
      <c r="M730">
        <v>0</v>
      </c>
      <c r="N730">
        <v>0</v>
      </c>
      <c r="O730" t="s">
        <v>556</v>
      </c>
      <c r="P730" s="216">
        <v>269713</v>
      </c>
      <c r="Q730" s="217" t="s">
        <v>28</v>
      </c>
      <c r="R730" s="217" t="s">
        <v>62</v>
      </c>
      <c r="S730" s="218">
        <v>0.59999569912566186</v>
      </c>
      <c r="T730" t="s">
        <v>550</v>
      </c>
      <c r="U730" t="s">
        <v>51</v>
      </c>
      <c r="V730" s="219">
        <v>0</v>
      </c>
      <c r="W730" s="219">
        <v>0</v>
      </c>
    </row>
    <row r="731" spans="1:23" ht="15" customHeight="1" x14ac:dyDescent="0.25">
      <c r="A731" t="s">
        <v>2028</v>
      </c>
      <c r="B731" t="s">
        <v>546</v>
      </c>
      <c r="C731">
        <v>269713</v>
      </c>
      <c r="D731" t="s">
        <v>2026</v>
      </c>
      <c r="E731" t="s">
        <v>553</v>
      </c>
      <c r="F731" t="s">
        <v>548</v>
      </c>
      <c r="G731" s="30">
        <v>46144</v>
      </c>
      <c r="H731" t="s">
        <v>2027</v>
      </c>
      <c r="I731">
        <v>2697126</v>
      </c>
      <c r="J731" s="123">
        <v>46144</v>
      </c>
      <c r="K731" s="123">
        <v>0</v>
      </c>
      <c r="L731" s="123">
        <v>46144</v>
      </c>
      <c r="M731">
        <v>0</v>
      </c>
      <c r="N731">
        <v>0</v>
      </c>
      <c r="O731" t="s">
        <v>556</v>
      </c>
      <c r="P731" s="216">
        <v>269713</v>
      </c>
      <c r="Q731" s="217" t="s">
        <v>28</v>
      </c>
      <c r="R731" s="217" t="s">
        <v>62</v>
      </c>
      <c r="S731" s="218">
        <v>0.59999569912566186</v>
      </c>
      <c r="T731" t="s">
        <v>550</v>
      </c>
      <c r="U731" t="s">
        <v>51</v>
      </c>
      <c r="V731" s="219">
        <v>0</v>
      </c>
      <c r="W731" s="219">
        <v>0</v>
      </c>
    </row>
    <row r="732" spans="1:23" ht="15" customHeight="1" x14ac:dyDescent="0.25">
      <c r="A732" t="s">
        <v>2029</v>
      </c>
      <c r="B732" t="s">
        <v>546</v>
      </c>
      <c r="C732">
        <v>269713</v>
      </c>
      <c r="D732" t="s">
        <v>2026</v>
      </c>
      <c r="E732" t="s">
        <v>553</v>
      </c>
      <c r="F732" t="s">
        <v>548</v>
      </c>
      <c r="G732" s="30">
        <v>46144</v>
      </c>
      <c r="H732" t="s">
        <v>2027</v>
      </c>
      <c r="I732">
        <v>2697126</v>
      </c>
      <c r="J732" s="123">
        <v>46144</v>
      </c>
      <c r="K732" s="123">
        <v>0</v>
      </c>
      <c r="L732" s="123">
        <v>46144</v>
      </c>
      <c r="M732">
        <v>0</v>
      </c>
      <c r="N732">
        <v>0</v>
      </c>
      <c r="O732" t="s">
        <v>556</v>
      </c>
      <c r="P732" s="216">
        <v>269713</v>
      </c>
      <c r="Q732" s="217" t="s">
        <v>28</v>
      </c>
      <c r="R732" s="217" t="s">
        <v>62</v>
      </c>
      <c r="S732" s="218">
        <v>0.59999569912566186</v>
      </c>
      <c r="T732" t="s">
        <v>550</v>
      </c>
      <c r="U732" t="s">
        <v>51</v>
      </c>
      <c r="V732" s="219">
        <v>0</v>
      </c>
      <c r="W732" s="219">
        <v>0</v>
      </c>
    </row>
    <row r="733" spans="1:23" ht="15" customHeight="1" x14ac:dyDescent="0.25">
      <c r="A733" t="s">
        <v>2030</v>
      </c>
      <c r="B733" t="s">
        <v>575</v>
      </c>
      <c r="C733">
        <v>269700</v>
      </c>
      <c r="D733" t="s">
        <v>2026</v>
      </c>
      <c r="E733" t="s">
        <v>613</v>
      </c>
      <c r="F733" t="s">
        <v>554</v>
      </c>
      <c r="G733" s="30">
        <v>46148</v>
      </c>
      <c r="H733" t="s">
        <v>2027</v>
      </c>
      <c r="I733">
        <v>2697126</v>
      </c>
      <c r="J733" s="123">
        <v>0</v>
      </c>
      <c r="K733" s="123">
        <v>0</v>
      </c>
      <c r="L733" s="123">
        <v>46146</v>
      </c>
      <c r="M733">
        <v>0</v>
      </c>
      <c r="N733">
        <v>0</v>
      </c>
      <c r="O733">
        <v>0</v>
      </c>
      <c r="P733" s="216">
        <v>269700</v>
      </c>
      <c r="Q733" s="217" t="s">
        <v>28</v>
      </c>
      <c r="R733" s="217" t="s">
        <v>554</v>
      </c>
      <c r="S733" s="218">
        <v>0.59999569912566186</v>
      </c>
      <c r="T733" t="s">
        <v>550</v>
      </c>
      <c r="U733" t="s">
        <v>51</v>
      </c>
      <c r="V733" s="219" t="s">
        <v>6258</v>
      </c>
      <c r="W733" s="219" t="s">
        <v>67</v>
      </c>
    </row>
    <row r="734" spans="1:23" ht="15" customHeight="1" x14ac:dyDescent="0.25">
      <c r="A734" t="s">
        <v>2031</v>
      </c>
      <c r="B734" t="s">
        <v>546</v>
      </c>
      <c r="C734">
        <v>94954</v>
      </c>
      <c r="D734" t="s">
        <v>2032</v>
      </c>
      <c r="E734" t="s">
        <v>238</v>
      </c>
      <c r="F734" t="s">
        <v>554</v>
      </c>
      <c r="G734" s="30">
        <v>46143</v>
      </c>
      <c r="H734" t="s">
        <v>2033</v>
      </c>
      <c r="I734">
        <v>1580796</v>
      </c>
      <c r="J734" s="123">
        <v>0</v>
      </c>
      <c r="K734" s="123">
        <v>0</v>
      </c>
      <c r="L734" s="123">
        <v>0</v>
      </c>
      <c r="M734">
        <v>0</v>
      </c>
      <c r="N734">
        <v>0</v>
      </c>
      <c r="O734">
        <v>0</v>
      </c>
      <c r="P734" s="216">
        <v>94954</v>
      </c>
      <c r="Q734" s="217" t="s">
        <v>19</v>
      </c>
      <c r="R734" s="217" t="s">
        <v>554</v>
      </c>
      <c r="S734" s="218">
        <v>0.76006834531463896</v>
      </c>
      <c r="T734" t="s">
        <v>550</v>
      </c>
      <c r="U734" t="s">
        <v>51</v>
      </c>
      <c r="V734" s="219" t="s">
        <v>6259</v>
      </c>
      <c r="W734" s="219" t="s">
        <v>67</v>
      </c>
    </row>
    <row r="735" spans="1:23" ht="15" customHeight="1" x14ac:dyDescent="0.25">
      <c r="A735" t="s">
        <v>2034</v>
      </c>
      <c r="B735" t="s">
        <v>546</v>
      </c>
      <c r="C735">
        <v>94954</v>
      </c>
      <c r="D735" t="s">
        <v>2032</v>
      </c>
      <c r="E735" t="s">
        <v>238</v>
      </c>
      <c r="F735" t="s">
        <v>548</v>
      </c>
      <c r="G735" s="30">
        <v>46143</v>
      </c>
      <c r="H735" t="s">
        <v>2033</v>
      </c>
      <c r="I735">
        <v>1580796</v>
      </c>
      <c r="J735" s="123">
        <v>0</v>
      </c>
      <c r="K735" s="123">
        <v>0</v>
      </c>
      <c r="L735" s="123">
        <v>0</v>
      </c>
      <c r="M735">
        <v>0</v>
      </c>
      <c r="N735">
        <v>0</v>
      </c>
      <c r="O735">
        <v>0</v>
      </c>
      <c r="P735" s="216">
        <v>94954</v>
      </c>
      <c r="Q735" s="217" t="s">
        <v>19</v>
      </c>
      <c r="R735" s="217" t="s">
        <v>62</v>
      </c>
      <c r="S735" s="218">
        <v>0.76006834531463896</v>
      </c>
      <c r="T735" t="s">
        <v>550</v>
      </c>
      <c r="U735" t="s">
        <v>51</v>
      </c>
      <c r="V735" s="219">
        <v>0</v>
      </c>
      <c r="W735" s="219">
        <v>0</v>
      </c>
    </row>
    <row r="736" spans="1:23" ht="15" customHeight="1" x14ac:dyDescent="0.25">
      <c r="A736" t="s">
        <v>2035</v>
      </c>
      <c r="B736" t="s">
        <v>546</v>
      </c>
      <c r="C736">
        <v>209315</v>
      </c>
      <c r="D736" t="s">
        <v>2036</v>
      </c>
      <c r="E736" t="s">
        <v>553</v>
      </c>
      <c r="F736" t="s">
        <v>548</v>
      </c>
      <c r="G736" s="30">
        <v>46143</v>
      </c>
      <c r="H736" t="s">
        <v>2037</v>
      </c>
      <c r="I736">
        <v>2093124.75</v>
      </c>
      <c r="J736" s="123">
        <v>46143</v>
      </c>
      <c r="K736" s="123">
        <v>0</v>
      </c>
      <c r="L736" s="123">
        <v>46143</v>
      </c>
      <c r="M736">
        <v>0</v>
      </c>
      <c r="N736">
        <v>0</v>
      </c>
      <c r="O736" t="s">
        <v>556</v>
      </c>
      <c r="P736" s="216">
        <v>209315</v>
      </c>
      <c r="Q736" s="217" t="s">
        <v>28</v>
      </c>
      <c r="R736" s="217" t="s">
        <v>62</v>
      </c>
      <c r="S736" s="218">
        <v>0.70000127799358347</v>
      </c>
      <c r="T736" t="s">
        <v>550</v>
      </c>
      <c r="U736" t="s">
        <v>51</v>
      </c>
      <c r="V736" s="219">
        <v>0</v>
      </c>
      <c r="W736" s="219">
        <v>0</v>
      </c>
    </row>
    <row r="737" spans="1:23" ht="15" customHeight="1" x14ac:dyDescent="0.25">
      <c r="A737" t="s">
        <v>2038</v>
      </c>
      <c r="B737" t="s">
        <v>546</v>
      </c>
      <c r="C737">
        <v>209315</v>
      </c>
      <c r="D737" t="s">
        <v>2036</v>
      </c>
      <c r="E737" t="s">
        <v>553</v>
      </c>
      <c r="F737" t="s">
        <v>548</v>
      </c>
      <c r="G737" s="30">
        <v>46143</v>
      </c>
      <c r="H737" t="s">
        <v>2037</v>
      </c>
      <c r="I737">
        <v>2093124.75</v>
      </c>
      <c r="J737" s="123">
        <v>46143</v>
      </c>
      <c r="K737" s="123">
        <v>0</v>
      </c>
      <c r="L737" s="123">
        <v>46143</v>
      </c>
      <c r="M737">
        <v>0</v>
      </c>
      <c r="N737">
        <v>0</v>
      </c>
      <c r="O737" t="s">
        <v>556</v>
      </c>
      <c r="P737" s="216">
        <v>209315</v>
      </c>
      <c r="Q737" s="217" t="s">
        <v>28</v>
      </c>
      <c r="R737" s="217" t="s">
        <v>62</v>
      </c>
      <c r="S737" s="218">
        <v>0.70000127799358347</v>
      </c>
      <c r="T737" t="s">
        <v>550</v>
      </c>
      <c r="U737" t="s">
        <v>51</v>
      </c>
      <c r="V737" s="219">
        <v>0</v>
      </c>
      <c r="W737" s="219">
        <v>0</v>
      </c>
    </row>
    <row r="738" spans="1:23" ht="15" customHeight="1" x14ac:dyDescent="0.25">
      <c r="A738" t="s">
        <v>2039</v>
      </c>
      <c r="B738" t="s">
        <v>546</v>
      </c>
      <c r="C738">
        <v>209315</v>
      </c>
      <c r="D738" t="s">
        <v>2036</v>
      </c>
      <c r="E738" t="s">
        <v>553</v>
      </c>
      <c r="F738" t="s">
        <v>548</v>
      </c>
      <c r="G738" s="30">
        <v>46143</v>
      </c>
      <c r="H738" t="s">
        <v>2037</v>
      </c>
      <c r="I738">
        <v>2093124.75</v>
      </c>
      <c r="J738" s="123">
        <v>46143</v>
      </c>
      <c r="K738" s="123">
        <v>0</v>
      </c>
      <c r="L738" s="123">
        <v>46143</v>
      </c>
      <c r="M738">
        <v>0</v>
      </c>
      <c r="N738">
        <v>0</v>
      </c>
      <c r="O738" t="s">
        <v>556</v>
      </c>
      <c r="P738" s="216">
        <v>209315</v>
      </c>
      <c r="Q738" s="217" t="s">
        <v>28</v>
      </c>
      <c r="R738" s="217" t="s">
        <v>62</v>
      </c>
      <c r="S738" s="218">
        <v>0.70000127799358347</v>
      </c>
      <c r="T738" t="s">
        <v>550</v>
      </c>
      <c r="U738" t="s">
        <v>51</v>
      </c>
      <c r="V738" s="219">
        <v>0</v>
      </c>
      <c r="W738" s="219">
        <v>0</v>
      </c>
    </row>
    <row r="739" spans="1:23" ht="15" customHeight="1" x14ac:dyDescent="0.25">
      <c r="A739" t="s">
        <v>2040</v>
      </c>
      <c r="B739" t="s">
        <v>546</v>
      </c>
      <c r="C739">
        <v>209315</v>
      </c>
      <c r="D739" t="s">
        <v>2036</v>
      </c>
      <c r="E739" t="s">
        <v>553</v>
      </c>
      <c r="F739" t="s">
        <v>554</v>
      </c>
      <c r="G739" s="30">
        <v>46143</v>
      </c>
      <c r="H739" t="s">
        <v>2037</v>
      </c>
      <c r="I739">
        <v>2093124.75</v>
      </c>
      <c r="J739" s="123">
        <v>46143</v>
      </c>
      <c r="K739" s="123">
        <v>0</v>
      </c>
      <c r="L739" s="123">
        <v>46143</v>
      </c>
      <c r="M739">
        <v>0</v>
      </c>
      <c r="N739">
        <v>0</v>
      </c>
      <c r="O739" t="s">
        <v>556</v>
      </c>
      <c r="P739" s="216">
        <v>209315</v>
      </c>
      <c r="Q739" s="217" t="s">
        <v>28</v>
      </c>
      <c r="R739" s="217" t="s">
        <v>554</v>
      </c>
      <c r="S739" s="218">
        <v>0.70000127799358347</v>
      </c>
      <c r="T739" t="s">
        <v>550</v>
      </c>
      <c r="U739" t="s">
        <v>51</v>
      </c>
      <c r="V739" s="219" t="s">
        <v>6260</v>
      </c>
      <c r="W739" s="219" t="s">
        <v>67</v>
      </c>
    </row>
    <row r="740" spans="1:23" ht="15" customHeight="1" x14ac:dyDescent="0.25">
      <c r="A740" t="s">
        <v>2041</v>
      </c>
      <c r="B740" t="s">
        <v>546</v>
      </c>
      <c r="C740">
        <v>209315</v>
      </c>
      <c r="D740" t="s">
        <v>2036</v>
      </c>
      <c r="E740" t="s">
        <v>553</v>
      </c>
      <c r="F740" t="s">
        <v>548</v>
      </c>
      <c r="G740" s="30">
        <v>46143</v>
      </c>
      <c r="H740" t="s">
        <v>2037</v>
      </c>
      <c r="I740">
        <v>2093124.75</v>
      </c>
      <c r="J740" s="123">
        <v>46143</v>
      </c>
      <c r="K740" s="123">
        <v>0</v>
      </c>
      <c r="L740" s="123">
        <v>46143</v>
      </c>
      <c r="M740">
        <v>0</v>
      </c>
      <c r="N740">
        <v>0</v>
      </c>
      <c r="O740" t="s">
        <v>556</v>
      </c>
      <c r="P740" s="216">
        <v>209315</v>
      </c>
      <c r="Q740" s="217" t="s">
        <v>28</v>
      </c>
      <c r="R740" s="217" t="s">
        <v>62</v>
      </c>
      <c r="S740" s="218">
        <v>0.70000127799358347</v>
      </c>
      <c r="T740" t="s">
        <v>550</v>
      </c>
      <c r="U740" t="s">
        <v>51</v>
      </c>
      <c r="V740" s="219">
        <v>0</v>
      </c>
      <c r="W740" s="219">
        <v>0</v>
      </c>
    </row>
    <row r="741" spans="1:23" ht="15" customHeight="1" x14ac:dyDescent="0.25">
      <c r="A741" t="s">
        <v>2042</v>
      </c>
      <c r="B741" t="s">
        <v>64</v>
      </c>
      <c r="C741">
        <v>679221.7</v>
      </c>
      <c r="D741" t="s">
        <v>2043</v>
      </c>
      <c r="E741" t="s">
        <v>238</v>
      </c>
      <c r="F741" t="s">
        <v>554</v>
      </c>
      <c r="G741" s="30">
        <v>46147</v>
      </c>
      <c r="H741" t="s">
        <v>2044</v>
      </c>
      <c r="I741">
        <v>1795943.5</v>
      </c>
      <c r="J741" s="123">
        <v>0</v>
      </c>
      <c r="K741" s="123">
        <v>46147</v>
      </c>
      <c r="L741" s="123">
        <v>0</v>
      </c>
      <c r="M741">
        <v>0</v>
      </c>
      <c r="N741">
        <v>0</v>
      </c>
      <c r="O741" t="s">
        <v>556</v>
      </c>
      <c r="P741" s="216">
        <v>679221.7</v>
      </c>
      <c r="Q741" s="217" t="s">
        <v>19</v>
      </c>
      <c r="R741" s="217" t="s">
        <v>554</v>
      </c>
      <c r="S741" s="218">
        <v>0.32180230057348685</v>
      </c>
      <c r="T741" t="s">
        <v>550</v>
      </c>
      <c r="U741" t="s">
        <v>51</v>
      </c>
      <c r="V741" s="219" t="s">
        <v>6261</v>
      </c>
      <c r="W741" s="219" t="s">
        <v>71</v>
      </c>
    </row>
    <row r="742" spans="1:23" ht="15" customHeight="1" x14ac:dyDescent="0.25">
      <c r="A742" t="s">
        <v>2045</v>
      </c>
      <c r="B742" t="s">
        <v>595</v>
      </c>
      <c r="C742">
        <v>100</v>
      </c>
      <c r="D742" t="s">
        <v>2046</v>
      </c>
      <c r="E742" t="s">
        <v>238</v>
      </c>
      <c r="F742" t="s">
        <v>580</v>
      </c>
      <c r="G742" s="30">
        <v>46146</v>
      </c>
      <c r="H742" t="s">
        <v>2047</v>
      </c>
      <c r="I742">
        <v>2697731.5</v>
      </c>
      <c r="J742" s="123">
        <v>0</v>
      </c>
      <c r="K742" s="123">
        <v>0</v>
      </c>
      <c r="L742" s="123">
        <v>46144</v>
      </c>
      <c r="M742">
        <v>0</v>
      </c>
      <c r="N742">
        <v>0</v>
      </c>
      <c r="O742">
        <v>0</v>
      </c>
      <c r="P742" s="216">
        <v>100</v>
      </c>
      <c r="Q742" s="217" t="s">
        <v>19</v>
      </c>
      <c r="R742" s="217" t="s">
        <v>582</v>
      </c>
      <c r="S742" s="218">
        <v>0.70035880145967089</v>
      </c>
      <c r="T742" t="s">
        <v>550</v>
      </c>
      <c r="U742" t="s">
        <v>51</v>
      </c>
      <c r="V742" s="219">
        <v>0</v>
      </c>
      <c r="W742" s="219">
        <v>0</v>
      </c>
    </row>
    <row r="743" spans="1:23" ht="15" customHeight="1" x14ac:dyDescent="0.25">
      <c r="A743" t="s">
        <v>2048</v>
      </c>
      <c r="B743" t="s">
        <v>603</v>
      </c>
      <c r="C743">
        <v>275800</v>
      </c>
      <c r="D743" t="s">
        <v>2049</v>
      </c>
      <c r="E743" t="s">
        <v>605</v>
      </c>
      <c r="F743" t="s">
        <v>554</v>
      </c>
      <c r="G743" s="30">
        <v>46149</v>
      </c>
      <c r="H743" t="s">
        <v>2050</v>
      </c>
      <c r="I743">
        <v>1809084.55</v>
      </c>
      <c r="J743" s="123">
        <v>46149</v>
      </c>
      <c r="K743" s="123">
        <v>0</v>
      </c>
      <c r="L743" s="123">
        <v>0</v>
      </c>
      <c r="M743">
        <v>0</v>
      </c>
      <c r="N743">
        <v>0</v>
      </c>
      <c r="O743">
        <v>0</v>
      </c>
      <c r="P743" s="216">
        <v>275800</v>
      </c>
      <c r="Q743" s="217" t="s">
        <v>46</v>
      </c>
      <c r="R743" s="217" t="s">
        <v>554</v>
      </c>
      <c r="S743" s="218">
        <v>0.85200168228732043</v>
      </c>
      <c r="T743" t="s">
        <v>550</v>
      </c>
      <c r="U743" t="s">
        <v>51</v>
      </c>
      <c r="V743" s="219" t="s">
        <v>6262</v>
      </c>
      <c r="W743" s="219" t="s">
        <v>67</v>
      </c>
    </row>
    <row r="744" spans="1:23" ht="15" customHeight="1" x14ac:dyDescent="0.25">
      <c r="A744" t="s">
        <v>2051</v>
      </c>
      <c r="B744" t="s">
        <v>575</v>
      </c>
      <c r="C744">
        <v>217500</v>
      </c>
      <c r="D744" t="s">
        <v>2052</v>
      </c>
      <c r="E744" t="s">
        <v>613</v>
      </c>
      <c r="F744" t="s">
        <v>554</v>
      </c>
      <c r="G744" s="30">
        <v>46148</v>
      </c>
      <c r="H744" t="s">
        <v>2053</v>
      </c>
      <c r="I744">
        <v>2738709.7</v>
      </c>
      <c r="J744" s="123">
        <v>0</v>
      </c>
      <c r="K744" s="123">
        <v>0</v>
      </c>
      <c r="L744" s="123">
        <v>46141</v>
      </c>
      <c r="M744">
        <v>0</v>
      </c>
      <c r="N744">
        <v>0</v>
      </c>
      <c r="O744">
        <v>0</v>
      </c>
      <c r="P744" s="216">
        <v>217500</v>
      </c>
      <c r="Q744" s="217" t="s">
        <v>28</v>
      </c>
      <c r="R744" s="217" t="s">
        <v>554</v>
      </c>
      <c r="S744" s="218">
        <v>0.78087271170069605</v>
      </c>
      <c r="T744" t="s">
        <v>550</v>
      </c>
      <c r="U744" t="s">
        <v>51</v>
      </c>
      <c r="V744" s="219" t="s">
        <v>6263</v>
      </c>
      <c r="W744" s="219" t="s">
        <v>67</v>
      </c>
    </row>
    <row r="745" spans="1:23" ht="15" customHeight="1" x14ac:dyDescent="0.25">
      <c r="A745" t="s">
        <v>2054</v>
      </c>
      <c r="B745" t="s">
        <v>575</v>
      </c>
      <c r="C745">
        <v>56372</v>
      </c>
      <c r="D745" t="s">
        <v>2052</v>
      </c>
      <c r="E745" t="s">
        <v>613</v>
      </c>
      <c r="F745" t="s">
        <v>580</v>
      </c>
      <c r="G745" s="30">
        <v>46149</v>
      </c>
      <c r="H745" t="s">
        <v>2053</v>
      </c>
      <c r="I745">
        <v>2738709.7</v>
      </c>
      <c r="J745" s="123">
        <v>0</v>
      </c>
      <c r="K745" s="123">
        <v>0</v>
      </c>
      <c r="L745" s="123">
        <v>46149</v>
      </c>
      <c r="M745">
        <v>0</v>
      </c>
      <c r="N745">
        <v>0</v>
      </c>
      <c r="O745">
        <v>0</v>
      </c>
      <c r="P745" s="216">
        <v>56372</v>
      </c>
      <c r="Q745" s="217" t="s">
        <v>28</v>
      </c>
      <c r="R745" s="217" t="s">
        <v>582</v>
      </c>
      <c r="S745" s="218">
        <v>0.78087271170069605</v>
      </c>
      <c r="T745" t="s">
        <v>550</v>
      </c>
      <c r="U745" t="s">
        <v>51</v>
      </c>
      <c r="V745" s="219">
        <v>0</v>
      </c>
      <c r="W745" s="219">
        <v>0</v>
      </c>
    </row>
    <row r="746" spans="1:23" ht="15" customHeight="1" x14ac:dyDescent="0.25">
      <c r="A746" t="s">
        <v>2055</v>
      </c>
      <c r="B746" t="s">
        <v>575</v>
      </c>
      <c r="C746">
        <v>207874</v>
      </c>
      <c r="D746" t="s">
        <v>2056</v>
      </c>
      <c r="E746" t="s">
        <v>613</v>
      </c>
      <c r="F746" t="s">
        <v>580</v>
      </c>
      <c r="G746" s="30">
        <v>46149</v>
      </c>
      <c r="H746" t="s">
        <v>2057</v>
      </c>
      <c r="I746">
        <v>2078743.9</v>
      </c>
      <c r="J746" s="123">
        <v>0</v>
      </c>
      <c r="K746" s="123">
        <v>0</v>
      </c>
      <c r="L746" s="123">
        <v>46148</v>
      </c>
      <c r="M746">
        <v>0</v>
      </c>
      <c r="N746">
        <v>0</v>
      </c>
      <c r="O746">
        <v>0</v>
      </c>
      <c r="P746" s="216">
        <v>207874</v>
      </c>
      <c r="Q746" s="217" t="s">
        <v>28</v>
      </c>
      <c r="R746" s="217" t="s">
        <v>582</v>
      </c>
      <c r="S746" s="218">
        <v>0.70000012988612981</v>
      </c>
      <c r="T746" t="s">
        <v>550</v>
      </c>
      <c r="U746" t="s">
        <v>51</v>
      </c>
      <c r="V746" s="219">
        <v>0</v>
      </c>
      <c r="W746" s="219">
        <v>0</v>
      </c>
    </row>
    <row r="747" spans="1:23" ht="15" customHeight="1" x14ac:dyDescent="0.25">
      <c r="A747" t="s">
        <v>2058</v>
      </c>
      <c r="B747" t="s">
        <v>575</v>
      </c>
      <c r="C747">
        <v>205178</v>
      </c>
      <c r="D747" t="s">
        <v>2059</v>
      </c>
      <c r="E747" t="s">
        <v>613</v>
      </c>
      <c r="F747" t="s">
        <v>554</v>
      </c>
      <c r="G747" s="30">
        <v>46147</v>
      </c>
      <c r="H747" t="s">
        <v>2060</v>
      </c>
      <c r="I747">
        <v>2051775</v>
      </c>
      <c r="J747" s="123">
        <v>0</v>
      </c>
      <c r="K747" s="123">
        <v>0</v>
      </c>
      <c r="L747" s="123">
        <v>46146</v>
      </c>
      <c r="M747">
        <v>0</v>
      </c>
      <c r="N747">
        <v>0</v>
      </c>
      <c r="O747">
        <v>0</v>
      </c>
      <c r="P747" s="216">
        <v>205178</v>
      </c>
      <c r="Q747" s="217" t="s">
        <v>28</v>
      </c>
      <c r="R747" s="217" t="s">
        <v>554</v>
      </c>
      <c r="S747" s="218">
        <v>0.800002436914379</v>
      </c>
      <c r="T747" t="s">
        <v>550</v>
      </c>
      <c r="U747" t="s">
        <v>51</v>
      </c>
      <c r="V747" s="219" t="s">
        <v>6264</v>
      </c>
      <c r="W747" s="219" t="s">
        <v>67</v>
      </c>
    </row>
    <row r="748" spans="1:23" ht="15" customHeight="1" x14ac:dyDescent="0.25">
      <c r="A748" t="s">
        <v>2061</v>
      </c>
      <c r="B748" t="s">
        <v>575</v>
      </c>
      <c r="C748">
        <v>216953</v>
      </c>
      <c r="D748" t="s">
        <v>2062</v>
      </c>
      <c r="E748" t="s">
        <v>613</v>
      </c>
      <c r="F748" t="s">
        <v>554</v>
      </c>
      <c r="G748" s="30">
        <v>46148</v>
      </c>
      <c r="H748" t="s">
        <v>2063</v>
      </c>
      <c r="I748">
        <v>2172610.5</v>
      </c>
      <c r="J748" s="123">
        <v>0</v>
      </c>
      <c r="K748" s="123">
        <v>0</v>
      </c>
      <c r="L748" s="123">
        <v>46147</v>
      </c>
      <c r="M748">
        <v>0</v>
      </c>
      <c r="N748">
        <v>0</v>
      </c>
      <c r="O748">
        <v>0</v>
      </c>
      <c r="P748" s="216">
        <v>216953</v>
      </c>
      <c r="Q748" s="217" t="s">
        <v>28</v>
      </c>
      <c r="R748" s="217" t="s">
        <v>554</v>
      </c>
      <c r="S748" s="218">
        <v>0.80000021632961826</v>
      </c>
      <c r="T748" t="s">
        <v>550</v>
      </c>
      <c r="U748" t="s">
        <v>51</v>
      </c>
      <c r="V748" s="219" t="s">
        <v>6265</v>
      </c>
      <c r="W748" s="219" t="s">
        <v>67</v>
      </c>
    </row>
    <row r="749" spans="1:23" ht="15" customHeight="1" x14ac:dyDescent="0.25">
      <c r="A749" t="s">
        <v>2064</v>
      </c>
      <c r="B749" t="s">
        <v>595</v>
      </c>
      <c r="C749">
        <v>200000</v>
      </c>
      <c r="D749" t="s">
        <v>2065</v>
      </c>
      <c r="E749" t="s">
        <v>613</v>
      </c>
      <c r="F749" t="s">
        <v>1257</v>
      </c>
      <c r="G749" s="30">
        <v>46147</v>
      </c>
      <c r="H749" t="s">
        <v>2066</v>
      </c>
      <c r="I749">
        <v>1861648.75</v>
      </c>
      <c r="J749" s="123">
        <v>0</v>
      </c>
      <c r="K749" s="123">
        <v>0</v>
      </c>
      <c r="L749" s="123">
        <v>46147</v>
      </c>
      <c r="M749">
        <v>0</v>
      </c>
      <c r="N749">
        <v>0</v>
      </c>
      <c r="O749">
        <v>0</v>
      </c>
      <c r="P749" s="216">
        <v>200000</v>
      </c>
      <c r="Q749" s="217" t="s">
        <v>28</v>
      </c>
      <c r="R749" s="217" t="s">
        <v>582</v>
      </c>
      <c r="S749" s="218">
        <v>0.51139152323981629</v>
      </c>
      <c r="T749" t="s">
        <v>550</v>
      </c>
      <c r="U749" t="s">
        <v>51</v>
      </c>
      <c r="V749" s="219">
        <v>0</v>
      </c>
      <c r="W749" s="219">
        <v>0</v>
      </c>
    </row>
    <row r="750" spans="1:23" ht="15" customHeight="1" x14ac:dyDescent="0.25">
      <c r="A750" t="s">
        <v>2067</v>
      </c>
      <c r="B750" t="s">
        <v>575</v>
      </c>
      <c r="C750">
        <v>282750</v>
      </c>
      <c r="D750" t="s">
        <v>2068</v>
      </c>
      <c r="E750" t="s">
        <v>613</v>
      </c>
      <c r="F750" t="s">
        <v>554</v>
      </c>
      <c r="G750" s="30">
        <v>46144</v>
      </c>
      <c r="H750" t="s">
        <v>2069</v>
      </c>
      <c r="I750">
        <v>2827495.8</v>
      </c>
      <c r="J750" s="123">
        <v>0</v>
      </c>
      <c r="K750" s="123">
        <v>0</v>
      </c>
      <c r="L750" s="123">
        <v>46143</v>
      </c>
      <c r="M750">
        <v>0</v>
      </c>
      <c r="N750">
        <v>0</v>
      </c>
      <c r="O750">
        <v>0</v>
      </c>
      <c r="P750" s="216">
        <v>282750</v>
      </c>
      <c r="Q750" s="217" t="s">
        <v>28</v>
      </c>
      <c r="R750" s="217" t="s">
        <v>554</v>
      </c>
      <c r="S750" s="218">
        <v>0.80000037489003528</v>
      </c>
      <c r="T750" t="s">
        <v>550</v>
      </c>
      <c r="U750" t="s">
        <v>51</v>
      </c>
      <c r="V750" s="219" t="s">
        <v>6266</v>
      </c>
      <c r="W750" s="219" t="s">
        <v>67</v>
      </c>
    </row>
    <row r="751" spans="1:23" ht="15" customHeight="1" x14ac:dyDescent="0.25">
      <c r="A751" t="s">
        <v>2070</v>
      </c>
      <c r="B751" t="s">
        <v>575</v>
      </c>
      <c r="C751">
        <v>286747</v>
      </c>
      <c r="D751" t="s">
        <v>2071</v>
      </c>
      <c r="E751" t="s">
        <v>613</v>
      </c>
      <c r="F751" t="s">
        <v>580</v>
      </c>
      <c r="G751" s="30">
        <v>46149</v>
      </c>
      <c r="H751" t="s">
        <v>2072</v>
      </c>
      <c r="I751">
        <v>2867470.8</v>
      </c>
      <c r="J751" s="123">
        <v>0</v>
      </c>
      <c r="K751" s="123">
        <v>0</v>
      </c>
      <c r="L751" s="123">
        <v>46148</v>
      </c>
      <c r="M751">
        <v>0</v>
      </c>
      <c r="N751">
        <v>0</v>
      </c>
      <c r="O751">
        <v>0</v>
      </c>
      <c r="P751" s="216">
        <v>286747</v>
      </c>
      <c r="Q751" s="217" t="s">
        <v>28</v>
      </c>
      <c r="R751" s="217" t="s">
        <v>582</v>
      </c>
      <c r="S751" s="218">
        <v>0.69999986050424645</v>
      </c>
      <c r="T751" t="s">
        <v>550</v>
      </c>
      <c r="U751" t="s">
        <v>51</v>
      </c>
      <c r="V751" s="219">
        <v>0</v>
      </c>
      <c r="W751" s="219">
        <v>0</v>
      </c>
    </row>
    <row r="752" spans="1:23" ht="15" customHeight="1" x14ac:dyDescent="0.25">
      <c r="A752" t="s">
        <v>2073</v>
      </c>
      <c r="B752" t="s">
        <v>575</v>
      </c>
      <c r="C752">
        <v>190107</v>
      </c>
      <c r="D752" t="s">
        <v>2074</v>
      </c>
      <c r="E752" t="s">
        <v>238</v>
      </c>
      <c r="F752" t="s">
        <v>554</v>
      </c>
      <c r="G752" s="30">
        <v>46143</v>
      </c>
      <c r="H752" t="s">
        <v>2075</v>
      </c>
      <c r="I752">
        <v>1901071.9</v>
      </c>
      <c r="J752" s="123">
        <v>0</v>
      </c>
      <c r="K752" s="123">
        <v>0</v>
      </c>
      <c r="L752" s="123">
        <v>46142</v>
      </c>
      <c r="M752">
        <v>0</v>
      </c>
      <c r="N752">
        <v>0</v>
      </c>
      <c r="O752">
        <v>0</v>
      </c>
      <c r="P752" s="216">
        <v>190107</v>
      </c>
      <c r="Q752" s="217" t="s">
        <v>19</v>
      </c>
      <c r="R752" s="217" t="s">
        <v>554</v>
      </c>
      <c r="S752" s="218">
        <v>0.80778323008193431</v>
      </c>
      <c r="T752" t="s">
        <v>550</v>
      </c>
      <c r="U752" t="s">
        <v>51</v>
      </c>
      <c r="V752" s="219" t="s">
        <v>6267</v>
      </c>
      <c r="W752" s="219" t="s">
        <v>67</v>
      </c>
    </row>
    <row r="753" spans="1:23" ht="15" customHeight="1" x14ac:dyDescent="0.25">
      <c r="A753" t="s">
        <v>2076</v>
      </c>
      <c r="B753" t="s">
        <v>575</v>
      </c>
      <c r="C753">
        <v>190107</v>
      </c>
      <c r="D753" t="s">
        <v>2074</v>
      </c>
      <c r="E753" t="s">
        <v>613</v>
      </c>
      <c r="F753" t="s">
        <v>683</v>
      </c>
      <c r="G753" s="30">
        <v>46144</v>
      </c>
      <c r="H753" t="s">
        <v>2075</v>
      </c>
      <c r="I753">
        <v>1901071.9</v>
      </c>
      <c r="J753" s="123">
        <v>0</v>
      </c>
      <c r="K753" s="123">
        <v>0</v>
      </c>
      <c r="L753" s="123">
        <v>46143</v>
      </c>
      <c r="M753">
        <v>0</v>
      </c>
      <c r="N753">
        <v>0</v>
      </c>
      <c r="O753">
        <v>0</v>
      </c>
      <c r="P753" s="216">
        <v>190107</v>
      </c>
      <c r="Q753" s="217" t="s">
        <v>28</v>
      </c>
      <c r="R753" s="217" t="s">
        <v>62</v>
      </c>
      <c r="S753" s="218">
        <v>0.80778323008193431</v>
      </c>
      <c r="T753" t="s">
        <v>550</v>
      </c>
      <c r="U753" t="s">
        <v>51</v>
      </c>
      <c r="V753" s="219">
        <v>0</v>
      </c>
      <c r="W753" s="219">
        <v>0</v>
      </c>
    </row>
    <row r="754" spans="1:23" ht="15" customHeight="1" x14ac:dyDescent="0.25">
      <c r="A754" t="s">
        <v>2077</v>
      </c>
      <c r="B754" t="s">
        <v>575</v>
      </c>
      <c r="C754">
        <v>214504</v>
      </c>
      <c r="D754" t="s">
        <v>2078</v>
      </c>
      <c r="E754" t="s">
        <v>238</v>
      </c>
      <c r="F754" t="s">
        <v>554</v>
      </c>
      <c r="G754" s="30">
        <v>46143</v>
      </c>
      <c r="H754" t="s">
        <v>2079</v>
      </c>
      <c r="I754">
        <v>2145037.5</v>
      </c>
      <c r="J754" s="123">
        <v>0</v>
      </c>
      <c r="K754" s="123">
        <v>0</v>
      </c>
      <c r="L754" s="123">
        <v>46142</v>
      </c>
      <c r="M754">
        <v>0</v>
      </c>
      <c r="N754">
        <v>0</v>
      </c>
      <c r="O754">
        <v>0</v>
      </c>
      <c r="P754" s="216">
        <v>214504</v>
      </c>
      <c r="Q754" s="217" t="s">
        <v>19</v>
      </c>
      <c r="R754" s="217" t="s">
        <v>554</v>
      </c>
      <c r="S754" s="218">
        <v>0.80486891254814896</v>
      </c>
      <c r="T754" t="s">
        <v>550</v>
      </c>
      <c r="U754" t="s">
        <v>51</v>
      </c>
      <c r="V754" s="219" t="s">
        <v>6268</v>
      </c>
      <c r="W754" s="219" t="s">
        <v>67</v>
      </c>
    </row>
    <row r="755" spans="1:23" ht="15" customHeight="1" x14ac:dyDescent="0.25">
      <c r="A755" t="s">
        <v>2080</v>
      </c>
      <c r="B755" t="s">
        <v>575</v>
      </c>
      <c r="C755">
        <v>282750</v>
      </c>
      <c r="D755" t="s">
        <v>2078</v>
      </c>
      <c r="E755" t="s">
        <v>238</v>
      </c>
      <c r="F755" t="s">
        <v>585</v>
      </c>
      <c r="G755" s="30">
        <v>46143</v>
      </c>
      <c r="H755" t="s">
        <v>2079</v>
      </c>
      <c r="I755">
        <v>2145037.5</v>
      </c>
      <c r="J755" s="123">
        <v>0</v>
      </c>
      <c r="K755" s="123">
        <v>0</v>
      </c>
      <c r="L755" s="123">
        <v>46142</v>
      </c>
      <c r="M755">
        <v>0</v>
      </c>
      <c r="N755">
        <v>0</v>
      </c>
      <c r="O755">
        <v>0</v>
      </c>
      <c r="P755" s="216">
        <v>282750</v>
      </c>
      <c r="Q755" s="217" t="s">
        <v>19</v>
      </c>
      <c r="R755" s="217" t="s">
        <v>61</v>
      </c>
      <c r="S755" s="218">
        <v>0.80486891254814896</v>
      </c>
      <c r="T755" t="s">
        <v>550</v>
      </c>
      <c r="U755" t="s">
        <v>51</v>
      </c>
      <c r="V755" s="219">
        <v>0</v>
      </c>
      <c r="W755" s="219">
        <v>0</v>
      </c>
    </row>
    <row r="756" spans="1:23" ht="15" customHeight="1" x14ac:dyDescent="0.25">
      <c r="A756" t="s">
        <v>2081</v>
      </c>
      <c r="B756" t="s">
        <v>575</v>
      </c>
      <c r="C756">
        <v>214504</v>
      </c>
      <c r="D756" t="s">
        <v>2078</v>
      </c>
      <c r="E756" t="s">
        <v>613</v>
      </c>
      <c r="F756" t="s">
        <v>683</v>
      </c>
      <c r="G756" s="30">
        <v>46144</v>
      </c>
      <c r="H756" t="s">
        <v>2079</v>
      </c>
      <c r="I756">
        <v>2145037.5</v>
      </c>
      <c r="J756" s="123">
        <v>0</v>
      </c>
      <c r="K756" s="123">
        <v>0</v>
      </c>
      <c r="L756" s="123">
        <v>46143</v>
      </c>
      <c r="M756">
        <v>0</v>
      </c>
      <c r="N756">
        <v>0</v>
      </c>
      <c r="O756">
        <v>0</v>
      </c>
      <c r="P756" s="216">
        <v>214504</v>
      </c>
      <c r="Q756" s="217" t="s">
        <v>28</v>
      </c>
      <c r="R756" s="217" t="s">
        <v>62</v>
      </c>
      <c r="S756" s="218">
        <v>0.80486891254814896</v>
      </c>
      <c r="T756" t="s">
        <v>550</v>
      </c>
      <c r="U756" t="s">
        <v>51</v>
      </c>
      <c r="V756" s="219">
        <v>0</v>
      </c>
      <c r="W756" s="219">
        <v>0</v>
      </c>
    </row>
    <row r="757" spans="1:23" ht="15" customHeight="1" x14ac:dyDescent="0.25">
      <c r="A757" t="s">
        <v>2082</v>
      </c>
      <c r="B757" t="s">
        <v>546</v>
      </c>
      <c r="C757">
        <v>286748</v>
      </c>
      <c r="D757" t="s">
        <v>2083</v>
      </c>
      <c r="E757" t="s">
        <v>613</v>
      </c>
      <c r="F757" t="s">
        <v>548</v>
      </c>
      <c r="G757" s="30">
        <v>46147</v>
      </c>
      <c r="H757" t="s">
        <v>2084</v>
      </c>
      <c r="I757">
        <v>2867470.8</v>
      </c>
      <c r="J757" s="123">
        <v>0</v>
      </c>
      <c r="K757" s="123">
        <v>0</v>
      </c>
      <c r="L757" s="123">
        <v>0</v>
      </c>
      <c r="M757">
        <v>0</v>
      </c>
      <c r="N757">
        <v>0</v>
      </c>
      <c r="O757">
        <v>0</v>
      </c>
      <c r="P757" s="216">
        <v>286748</v>
      </c>
      <c r="Q757" s="217" t="s">
        <v>28</v>
      </c>
      <c r="R757" s="217" t="s">
        <v>62</v>
      </c>
      <c r="S757" s="218">
        <v>0.49999968613455459</v>
      </c>
      <c r="T757" t="s">
        <v>550</v>
      </c>
      <c r="U757" t="s">
        <v>51</v>
      </c>
      <c r="V757" s="219">
        <v>0</v>
      </c>
      <c r="W757" s="219">
        <v>0</v>
      </c>
    </row>
    <row r="758" spans="1:23" ht="15" customHeight="1" x14ac:dyDescent="0.25">
      <c r="A758" t="s">
        <v>2085</v>
      </c>
      <c r="B758" t="s">
        <v>575</v>
      </c>
      <c r="C758">
        <v>209576</v>
      </c>
      <c r="D758" t="s">
        <v>2086</v>
      </c>
      <c r="E758" t="s">
        <v>613</v>
      </c>
      <c r="F758" t="s">
        <v>554</v>
      </c>
      <c r="G758" s="30">
        <v>46144</v>
      </c>
      <c r="H758" t="s">
        <v>2087</v>
      </c>
      <c r="I758">
        <v>2160581.25</v>
      </c>
      <c r="J758" s="123">
        <v>0</v>
      </c>
      <c r="K758" s="123">
        <v>0</v>
      </c>
      <c r="L758" s="123">
        <v>46144</v>
      </c>
      <c r="M758">
        <v>0</v>
      </c>
      <c r="N758">
        <v>0</v>
      </c>
      <c r="O758">
        <v>0</v>
      </c>
      <c r="P758" s="216">
        <v>209576</v>
      </c>
      <c r="Q758" s="217" t="s">
        <v>28</v>
      </c>
      <c r="R758" s="217" t="s">
        <v>554</v>
      </c>
      <c r="S758" s="218">
        <v>0.79927136445781066</v>
      </c>
      <c r="T758" t="s">
        <v>550</v>
      </c>
      <c r="U758" t="s">
        <v>51</v>
      </c>
      <c r="V758" s="219" t="s">
        <v>6269</v>
      </c>
      <c r="W758" s="219" t="s">
        <v>67</v>
      </c>
    </row>
    <row r="759" spans="1:23" ht="15" customHeight="1" x14ac:dyDescent="0.25">
      <c r="A759" t="s">
        <v>2088</v>
      </c>
      <c r="B759" t="s">
        <v>575</v>
      </c>
      <c r="C759">
        <v>209430</v>
      </c>
      <c r="D759" t="s">
        <v>2089</v>
      </c>
      <c r="E759" t="s">
        <v>316</v>
      </c>
      <c r="F759" t="s">
        <v>580</v>
      </c>
      <c r="G759" s="30">
        <v>46149</v>
      </c>
      <c r="H759" t="s">
        <v>2090</v>
      </c>
      <c r="I759">
        <v>2094296</v>
      </c>
      <c r="J759" s="123">
        <v>0</v>
      </c>
      <c r="K759" s="123">
        <v>0</v>
      </c>
      <c r="L759" s="123">
        <v>46147</v>
      </c>
      <c r="M759">
        <v>0</v>
      </c>
      <c r="N759">
        <v>0</v>
      </c>
      <c r="O759">
        <v>0</v>
      </c>
      <c r="P759" s="216">
        <v>209430</v>
      </c>
      <c r="Q759" s="217" t="s">
        <v>46</v>
      </c>
      <c r="R759" s="217" t="s">
        <v>582</v>
      </c>
      <c r="S759" s="218">
        <v>0.6999999474763734</v>
      </c>
      <c r="T759" t="s">
        <v>550</v>
      </c>
      <c r="U759" t="s">
        <v>51</v>
      </c>
      <c r="V759" s="219">
        <v>0</v>
      </c>
      <c r="W759" s="219">
        <v>0</v>
      </c>
    </row>
    <row r="760" spans="1:23" ht="15" customHeight="1" x14ac:dyDescent="0.25">
      <c r="A760" t="s">
        <v>2091</v>
      </c>
      <c r="B760" t="s">
        <v>575</v>
      </c>
      <c r="C760">
        <v>214718</v>
      </c>
      <c r="D760" t="s">
        <v>2092</v>
      </c>
      <c r="E760" t="s">
        <v>613</v>
      </c>
      <c r="F760" t="s">
        <v>554</v>
      </c>
      <c r="G760" s="30">
        <v>46147</v>
      </c>
      <c r="H760" t="s">
        <v>2093</v>
      </c>
      <c r="I760">
        <v>2147178</v>
      </c>
      <c r="J760" s="123">
        <v>0</v>
      </c>
      <c r="K760" s="123">
        <v>0</v>
      </c>
      <c r="L760" s="123">
        <v>46147</v>
      </c>
      <c r="M760">
        <v>0</v>
      </c>
      <c r="N760">
        <v>0</v>
      </c>
      <c r="O760">
        <v>0</v>
      </c>
      <c r="P760" s="216">
        <v>214718</v>
      </c>
      <c r="Q760" s="217" t="s">
        <v>28</v>
      </c>
      <c r="R760" s="217" t="s">
        <v>554</v>
      </c>
      <c r="S760" s="218">
        <v>0.80000067064764346</v>
      </c>
      <c r="T760" t="s">
        <v>550</v>
      </c>
      <c r="U760" t="s">
        <v>51</v>
      </c>
      <c r="V760" s="219" t="s">
        <v>6270</v>
      </c>
      <c r="W760" s="219" t="s">
        <v>67</v>
      </c>
    </row>
    <row r="761" spans="1:23" ht="15" customHeight="1" x14ac:dyDescent="0.25">
      <c r="A761" t="s">
        <v>2094</v>
      </c>
      <c r="B761" t="s">
        <v>575</v>
      </c>
      <c r="C761">
        <v>376077.2</v>
      </c>
      <c r="D761" t="s">
        <v>2095</v>
      </c>
      <c r="E761" t="s">
        <v>613</v>
      </c>
      <c r="F761" t="s">
        <v>585</v>
      </c>
      <c r="G761" s="30">
        <v>46148</v>
      </c>
      <c r="H761" t="s">
        <v>2096</v>
      </c>
      <c r="I761">
        <v>3760772</v>
      </c>
      <c r="J761" s="123">
        <v>0</v>
      </c>
      <c r="K761" s="123">
        <v>0</v>
      </c>
      <c r="L761" s="123">
        <v>46147</v>
      </c>
      <c r="M761">
        <v>0</v>
      </c>
      <c r="N761">
        <v>0</v>
      </c>
      <c r="O761">
        <v>0</v>
      </c>
      <c r="P761" s="216">
        <v>376077.2</v>
      </c>
      <c r="Q761" s="217" t="s">
        <v>28</v>
      </c>
      <c r="R761" s="217" t="s">
        <v>61</v>
      </c>
      <c r="S761" s="218">
        <v>0.40020836147748862</v>
      </c>
      <c r="T761" t="s">
        <v>550</v>
      </c>
      <c r="U761" t="s">
        <v>51</v>
      </c>
      <c r="V761" s="219">
        <v>0</v>
      </c>
      <c r="W761" s="219">
        <v>0</v>
      </c>
    </row>
    <row r="762" spans="1:23" ht="15" customHeight="1" x14ac:dyDescent="0.25">
      <c r="A762" t="s">
        <v>2097</v>
      </c>
      <c r="B762" t="s">
        <v>546</v>
      </c>
      <c r="C762">
        <v>39999</v>
      </c>
      <c r="D762" t="s">
        <v>2098</v>
      </c>
      <c r="E762" t="s">
        <v>553</v>
      </c>
      <c r="F762" t="s">
        <v>554</v>
      </c>
      <c r="G762" s="30">
        <v>46145</v>
      </c>
      <c r="H762" t="s">
        <v>2099</v>
      </c>
      <c r="I762">
        <v>2312977</v>
      </c>
      <c r="J762" s="123">
        <v>46145</v>
      </c>
      <c r="K762" s="123">
        <v>0</v>
      </c>
      <c r="L762" s="123">
        <v>46145</v>
      </c>
      <c r="M762">
        <v>0</v>
      </c>
      <c r="N762">
        <v>0</v>
      </c>
      <c r="O762" t="s">
        <v>556</v>
      </c>
      <c r="P762" s="216">
        <v>39999</v>
      </c>
      <c r="Q762" s="217" t="s">
        <v>28</v>
      </c>
      <c r="R762" s="217" t="s">
        <v>554</v>
      </c>
      <c r="S762" s="218">
        <v>0.78270744286820715</v>
      </c>
      <c r="T762" t="s">
        <v>550</v>
      </c>
      <c r="U762" t="s">
        <v>51</v>
      </c>
      <c r="V762" s="219" t="s">
        <v>6271</v>
      </c>
      <c r="W762" s="219" t="s">
        <v>67</v>
      </c>
    </row>
    <row r="763" spans="1:23" ht="15" customHeight="1" x14ac:dyDescent="0.25">
      <c r="A763" t="s">
        <v>2100</v>
      </c>
      <c r="B763" t="s">
        <v>546</v>
      </c>
      <c r="C763">
        <v>79999</v>
      </c>
      <c r="D763" t="s">
        <v>2098</v>
      </c>
      <c r="E763" t="s">
        <v>553</v>
      </c>
      <c r="F763" t="s">
        <v>548</v>
      </c>
      <c r="G763" s="30">
        <v>46145</v>
      </c>
      <c r="H763" t="s">
        <v>2099</v>
      </c>
      <c r="I763">
        <v>2312977</v>
      </c>
      <c r="J763" s="123">
        <v>46145</v>
      </c>
      <c r="K763" s="123">
        <v>0</v>
      </c>
      <c r="L763" s="123">
        <v>46145</v>
      </c>
      <c r="M763">
        <v>0</v>
      </c>
      <c r="N763">
        <v>0</v>
      </c>
      <c r="O763" t="s">
        <v>556</v>
      </c>
      <c r="P763" s="216">
        <v>79999</v>
      </c>
      <c r="Q763" s="217" t="s">
        <v>28</v>
      </c>
      <c r="R763" s="217" t="s">
        <v>62</v>
      </c>
      <c r="S763" s="218">
        <v>0.78270744286820715</v>
      </c>
      <c r="T763" t="s">
        <v>550</v>
      </c>
      <c r="U763" t="s">
        <v>51</v>
      </c>
      <c r="V763" s="219">
        <v>0</v>
      </c>
      <c r="W763" s="219">
        <v>0</v>
      </c>
    </row>
    <row r="764" spans="1:23" ht="15" customHeight="1" x14ac:dyDescent="0.25">
      <c r="A764" t="s">
        <v>2101</v>
      </c>
      <c r="B764" t="s">
        <v>546</v>
      </c>
      <c r="C764">
        <v>313778.12</v>
      </c>
      <c r="D764" t="s">
        <v>2102</v>
      </c>
      <c r="E764" t="s">
        <v>553</v>
      </c>
      <c r="F764" t="s">
        <v>554</v>
      </c>
      <c r="G764" s="30">
        <v>46147</v>
      </c>
      <c r="H764" t="s">
        <v>2103</v>
      </c>
      <c r="I764">
        <v>3137778</v>
      </c>
      <c r="J764" s="123">
        <v>46147</v>
      </c>
      <c r="K764" s="123">
        <v>0</v>
      </c>
      <c r="L764" s="123">
        <v>46147</v>
      </c>
      <c r="M764">
        <v>0</v>
      </c>
      <c r="N764">
        <v>0</v>
      </c>
      <c r="O764" t="s">
        <v>556</v>
      </c>
      <c r="P764" s="216">
        <v>313778.12</v>
      </c>
      <c r="Q764" s="217" t="s">
        <v>28</v>
      </c>
      <c r="R764" s="217" t="s">
        <v>554</v>
      </c>
      <c r="S764" s="218">
        <v>0.80000008923510979</v>
      </c>
      <c r="T764" t="s">
        <v>550</v>
      </c>
      <c r="U764" t="s">
        <v>51</v>
      </c>
      <c r="V764" s="219" t="s">
        <v>6272</v>
      </c>
      <c r="W764" s="219" t="s">
        <v>67</v>
      </c>
    </row>
    <row r="765" spans="1:23" ht="15" customHeight="1" x14ac:dyDescent="0.25">
      <c r="A765" t="s">
        <v>2104</v>
      </c>
      <c r="B765" t="s">
        <v>603</v>
      </c>
      <c r="C765">
        <v>257531</v>
      </c>
      <c r="D765" t="s">
        <v>2105</v>
      </c>
      <c r="E765" t="s">
        <v>605</v>
      </c>
      <c r="F765" t="s">
        <v>554</v>
      </c>
      <c r="G765" s="30">
        <v>46149</v>
      </c>
      <c r="H765" t="s">
        <v>2106</v>
      </c>
      <c r="I765">
        <v>2575308.75</v>
      </c>
      <c r="J765" s="123">
        <v>46149</v>
      </c>
      <c r="K765" s="123">
        <v>0</v>
      </c>
      <c r="L765" s="123">
        <v>0</v>
      </c>
      <c r="M765">
        <v>0</v>
      </c>
      <c r="N765">
        <v>0</v>
      </c>
      <c r="O765">
        <v>0</v>
      </c>
      <c r="P765" s="216">
        <v>257531</v>
      </c>
      <c r="Q765" s="217" t="s">
        <v>22</v>
      </c>
      <c r="R765" s="217" t="s">
        <v>554</v>
      </c>
      <c r="S765" s="218">
        <v>0.60011872362876884</v>
      </c>
      <c r="T765" t="s">
        <v>550</v>
      </c>
      <c r="U765" t="s">
        <v>51</v>
      </c>
      <c r="V765" s="219" t="s">
        <v>6273</v>
      </c>
      <c r="W765" s="219" t="s">
        <v>67</v>
      </c>
    </row>
    <row r="766" spans="1:23" ht="15" customHeight="1" x14ac:dyDescent="0.25">
      <c r="A766" t="s">
        <v>2107</v>
      </c>
      <c r="B766" t="s">
        <v>575</v>
      </c>
      <c r="C766">
        <v>4600</v>
      </c>
      <c r="D766" t="s">
        <v>2108</v>
      </c>
      <c r="E766" t="s">
        <v>278</v>
      </c>
      <c r="F766" t="s">
        <v>554</v>
      </c>
      <c r="G766" s="30">
        <v>46143</v>
      </c>
      <c r="H766" t="s">
        <v>2109</v>
      </c>
      <c r="I766">
        <v>1684025.1</v>
      </c>
      <c r="J766" s="123">
        <v>0</v>
      </c>
      <c r="K766" s="123">
        <v>0</v>
      </c>
      <c r="L766" s="123">
        <v>46142</v>
      </c>
      <c r="M766">
        <v>0</v>
      </c>
      <c r="N766">
        <v>0</v>
      </c>
      <c r="O766">
        <v>0</v>
      </c>
      <c r="P766" s="216">
        <v>4600</v>
      </c>
      <c r="Q766" s="217" t="s">
        <v>39</v>
      </c>
      <c r="R766" s="217" t="s">
        <v>554</v>
      </c>
      <c r="S766" s="218">
        <v>0.6554240195113481</v>
      </c>
      <c r="T766" t="s">
        <v>550</v>
      </c>
      <c r="U766" t="s">
        <v>51</v>
      </c>
      <c r="V766" s="219" t="s">
        <v>6274</v>
      </c>
      <c r="W766" s="219" t="s">
        <v>67</v>
      </c>
    </row>
    <row r="767" spans="1:23" ht="15" customHeight="1" x14ac:dyDescent="0.25">
      <c r="A767" t="s">
        <v>2110</v>
      </c>
      <c r="B767" t="s">
        <v>575</v>
      </c>
      <c r="C767">
        <v>15000</v>
      </c>
      <c r="D767" t="s">
        <v>2108</v>
      </c>
      <c r="E767" t="s">
        <v>278</v>
      </c>
      <c r="F767" t="s">
        <v>554</v>
      </c>
      <c r="G767" s="30">
        <v>46143</v>
      </c>
      <c r="H767" t="s">
        <v>2109</v>
      </c>
      <c r="I767">
        <v>1684025.1</v>
      </c>
      <c r="J767" s="123">
        <v>0</v>
      </c>
      <c r="K767" s="123">
        <v>0</v>
      </c>
      <c r="L767" s="123">
        <v>46142</v>
      </c>
      <c r="M767">
        <v>0</v>
      </c>
      <c r="N767">
        <v>0</v>
      </c>
      <c r="O767">
        <v>0</v>
      </c>
      <c r="P767" s="216">
        <v>15000</v>
      </c>
      <c r="Q767" s="217" t="s">
        <v>39</v>
      </c>
      <c r="R767" s="217" t="s">
        <v>554</v>
      </c>
      <c r="S767" s="218">
        <v>0.6554240195113481</v>
      </c>
      <c r="T767" t="s">
        <v>550</v>
      </c>
      <c r="U767" t="s">
        <v>51</v>
      </c>
      <c r="V767" s="219" t="s">
        <v>6275</v>
      </c>
      <c r="W767" s="219" t="s">
        <v>67</v>
      </c>
    </row>
    <row r="768" spans="1:23" ht="15" customHeight="1" x14ac:dyDescent="0.25">
      <c r="A768" t="s">
        <v>2111</v>
      </c>
      <c r="B768" t="s">
        <v>575</v>
      </c>
      <c r="C768">
        <v>240566</v>
      </c>
      <c r="D768" t="s">
        <v>2112</v>
      </c>
      <c r="E768" t="s">
        <v>141</v>
      </c>
      <c r="F768" t="s">
        <v>554</v>
      </c>
      <c r="G768" s="30">
        <v>46148</v>
      </c>
      <c r="H768" t="s">
        <v>2113</v>
      </c>
      <c r="I768">
        <v>2405656.5</v>
      </c>
      <c r="J768" s="123">
        <v>0</v>
      </c>
      <c r="K768" s="123">
        <v>0</v>
      </c>
      <c r="L768" s="123">
        <v>46148</v>
      </c>
      <c r="M768">
        <v>0</v>
      </c>
      <c r="N768">
        <v>0</v>
      </c>
      <c r="O768">
        <v>0</v>
      </c>
      <c r="P768" s="216">
        <v>240566</v>
      </c>
      <c r="Q768" s="217" t="s">
        <v>34</v>
      </c>
      <c r="R768" s="217" t="s">
        <v>554</v>
      </c>
      <c r="S768" s="218">
        <v>0.60062096978517088</v>
      </c>
      <c r="T768" t="s">
        <v>550</v>
      </c>
      <c r="U768" t="s">
        <v>51</v>
      </c>
      <c r="V768" s="219" t="s">
        <v>6276</v>
      </c>
      <c r="W768" s="219" t="s">
        <v>67</v>
      </c>
    </row>
    <row r="769" spans="1:23" ht="15" customHeight="1" x14ac:dyDescent="0.25">
      <c r="A769" t="s">
        <v>2114</v>
      </c>
      <c r="B769" t="s">
        <v>595</v>
      </c>
      <c r="C769">
        <v>58420.97</v>
      </c>
      <c r="D769" t="s">
        <v>2115</v>
      </c>
      <c r="E769" t="s">
        <v>178</v>
      </c>
      <c r="F769" t="s">
        <v>554</v>
      </c>
      <c r="G769" s="30">
        <v>46149</v>
      </c>
      <c r="H769" t="s">
        <v>2116</v>
      </c>
      <c r="I769">
        <v>1603647.5</v>
      </c>
      <c r="J769" s="123">
        <v>0</v>
      </c>
      <c r="K769" s="123">
        <v>0</v>
      </c>
      <c r="L769" s="123">
        <v>46141</v>
      </c>
      <c r="M769">
        <v>0</v>
      </c>
      <c r="N769">
        <v>0</v>
      </c>
      <c r="O769">
        <v>0</v>
      </c>
      <c r="P769" s="216">
        <v>58420.97</v>
      </c>
      <c r="Q769" s="217" t="s">
        <v>32</v>
      </c>
      <c r="R769" s="217" t="s">
        <v>554</v>
      </c>
      <c r="S769" s="218">
        <v>0.49902177380004026</v>
      </c>
      <c r="T769" t="s">
        <v>550</v>
      </c>
      <c r="U769" t="s">
        <v>51</v>
      </c>
      <c r="V769" s="219">
        <v>0</v>
      </c>
      <c r="W769" s="219" t="s">
        <v>72</v>
      </c>
    </row>
    <row r="770" spans="1:23" ht="15" customHeight="1" x14ac:dyDescent="0.25">
      <c r="A770" t="s">
        <v>2117</v>
      </c>
      <c r="B770" t="s">
        <v>546</v>
      </c>
      <c r="C770">
        <v>161934</v>
      </c>
      <c r="D770" t="s">
        <v>2118</v>
      </c>
      <c r="E770" t="s">
        <v>178</v>
      </c>
      <c r="F770" t="s">
        <v>548</v>
      </c>
      <c r="G770" s="30">
        <v>46149</v>
      </c>
      <c r="H770" t="s">
        <v>2119</v>
      </c>
      <c r="I770">
        <v>1603647.5</v>
      </c>
      <c r="J770" s="123">
        <v>0</v>
      </c>
      <c r="K770" s="123">
        <v>0</v>
      </c>
      <c r="L770" s="123">
        <v>0</v>
      </c>
      <c r="M770">
        <v>0</v>
      </c>
      <c r="N770">
        <v>0</v>
      </c>
      <c r="O770">
        <v>0</v>
      </c>
      <c r="P770" s="216">
        <v>161934</v>
      </c>
      <c r="Q770" s="217" t="s">
        <v>32</v>
      </c>
      <c r="R770" s="217" t="s">
        <v>62</v>
      </c>
      <c r="S770" s="218">
        <v>0.4990214620108222</v>
      </c>
      <c r="T770" t="s">
        <v>550</v>
      </c>
      <c r="U770" t="s">
        <v>51</v>
      </c>
      <c r="V770" s="219">
        <v>0</v>
      </c>
      <c r="W770" s="219">
        <v>0</v>
      </c>
    </row>
    <row r="771" spans="1:23" ht="15" customHeight="1" x14ac:dyDescent="0.25">
      <c r="A771" t="s">
        <v>2120</v>
      </c>
      <c r="B771" t="s">
        <v>595</v>
      </c>
      <c r="C771">
        <v>161934</v>
      </c>
      <c r="D771" t="s">
        <v>2121</v>
      </c>
      <c r="E771" t="s">
        <v>178</v>
      </c>
      <c r="F771" t="s">
        <v>554</v>
      </c>
      <c r="G771" s="30">
        <v>46143</v>
      </c>
      <c r="H771" t="s">
        <v>2122</v>
      </c>
      <c r="I771">
        <v>1603647.5</v>
      </c>
      <c r="J771" s="123">
        <v>0</v>
      </c>
      <c r="K771" s="123">
        <v>0</v>
      </c>
      <c r="L771" s="123">
        <v>46141</v>
      </c>
      <c r="M771">
        <v>0</v>
      </c>
      <c r="N771">
        <v>0</v>
      </c>
      <c r="O771">
        <v>0</v>
      </c>
      <c r="P771" s="216">
        <v>161934</v>
      </c>
      <c r="Q771" s="217" t="s">
        <v>32</v>
      </c>
      <c r="R771" s="217" t="s">
        <v>554</v>
      </c>
      <c r="S771" s="218">
        <v>0.49902169897062792</v>
      </c>
      <c r="T771" t="s">
        <v>550</v>
      </c>
      <c r="U771" t="s">
        <v>51</v>
      </c>
      <c r="V771" s="219">
        <v>0</v>
      </c>
      <c r="W771" s="219" t="s">
        <v>72</v>
      </c>
    </row>
    <row r="772" spans="1:23" ht="15" customHeight="1" x14ac:dyDescent="0.25">
      <c r="A772" t="s">
        <v>2123</v>
      </c>
      <c r="B772" t="s">
        <v>595</v>
      </c>
      <c r="C772">
        <v>163976</v>
      </c>
      <c r="D772" t="s">
        <v>2124</v>
      </c>
      <c r="E772" t="s">
        <v>178</v>
      </c>
      <c r="F772" t="s">
        <v>554</v>
      </c>
      <c r="G772" s="30">
        <v>46143</v>
      </c>
      <c r="H772" t="s">
        <v>2125</v>
      </c>
      <c r="I772">
        <v>1593435</v>
      </c>
      <c r="J772" s="123">
        <v>0</v>
      </c>
      <c r="K772" s="123">
        <v>0</v>
      </c>
      <c r="L772" s="123">
        <v>46141</v>
      </c>
      <c r="M772">
        <v>0</v>
      </c>
      <c r="N772">
        <v>0</v>
      </c>
      <c r="O772">
        <v>0</v>
      </c>
      <c r="P772" s="216">
        <v>163976</v>
      </c>
      <c r="Q772" s="217" t="s">
        <v>32</v>
      </c>
      <c r="R772" s="217" t="s">
        <v>554</v>
      </c>
      <c r="S772" s="218">
        <v>0.49709300975565368</v>
      </c>
      <c r="T772" t="s">
        <v>550</v>
      </c>
      <c r="U772" t="s">
        <v>51</v>
      </c>
      <c r="V772" s="219">
        <v>0</v>
      </c>
      <c r="W772" s="219" t="s">
        <v>72</v>
      </c>
    </row>
    <row r="773" spans="1:23" ht="15" customHeight="1" x14ac:dyDescent="0.25">
      <c r="A773" t="s">
        <v>2126</v>
      </c>
      <c r="B773" t="s">
        <v>575</v>
      </c>
      <c r="C773">
        <v>240566</v>
      </c>
      <c r="D773" t="s">
        <v>2127</v>
      </c>
      <c r="E773" t="s">
        <v>141</v>
      </c>
      <c r="F773" t="s">
        <v>554</v>
      </c>
      <c r="G773" s="30">
        <v>46143</v>
      </c>
      <c r="H773" t="s">
        <v>2128</v>
      </c>
      <c r="I773">
        <v>2405656.5</v>
      </c>
      <c r="J773" s="123">
        <v>0</v>
      </c>
      <c r="K773" s="123">
        <v>0</v>
      </c>
      <c r="L773" s="123">
        <v>46142</v>
      </c>
      <c r="M773">
        <v>0</v>
      </c>
      <c r="N773">
        <v>0</v>
      </c>
      <c r="O773">
        <v>0</v>
      </c>
      <c r="P773" s="216">
        <v>240566</v>
      </c>
      <c r="Q773" s="217" t="s">
        <v>34</v>
      </c>
      <c r="R773" s="217" t="s">
        <v>554</v>
      </c>
      <c r="S773" s="218">
        <v>0.60000056949111402</v>
      </c>
      <c r="T773" t="s">
        <v>550</v>
      </c>
      <c r="U773" t="s">
        <v>51</v>
      </c>
      <c r="V773" s="219" t="s">
        <v>6277</v>
      </c>
      <c r="W773" s="219" t="s">
        <v>67</v>
      </c>
    </row>
    <row r="774" spans="1:23" ht="15" customHeight="1" x14ac:dyDescent="0.25">
      <c r="A774" t="s">
        <v>2129</v>
      </c>
      <c r="B774" t="s">
        <v>546</v>
      </c>
      <c r="C774">
        <v>163671</v>
      </c>
      <c r="D774" t="s">
        <v>2130</v>
      </c>
      <c r="E774" t="s">
        <v>178</v>
      </c>
      <c r="F774" t="s">
        <v>548</v>
      </c>
      <c r="G774" s="30">
        <v>46149</v>
      </c>
      <c r="H774" t="s">
        <v>2131</v>
      </c>
      <c r="I774">
        <v>1594955</v>
      </c>
      <c r="J774" s="123">
        <v>0</v>
      </c>
      <c r="K774" s="123">
        <v>0</v>
      </c>
      <c r="L774" s="123">
        <v>0</v>
      </c>
      <c r="M774">
        <v>0</v>
      </c>
      <c r="N774">
        <v>0</v>
      </c>
      <c r="O774">
        <v>0</v>
      </c>
      <c r="P774" s="216">
        <v>163671</v>
      </c>
      <c r="Q774" s="217" t="s">
        <v>32</v>
      </c>
      <c r="R774" s="217" t="s">
        <v>62</v>
      </c>
      <c r="S774" s="218">
        <v>0.49738205780100381</v>
      </c>
      <c r="T774" t="s">
        <v>550</v>
      </c>
      <c r="U774" t="s">
        <v>51</v>
      </c>
      <c r="V774" s="219">
        <v>0</v>
      </c>
      <c r="W774" s="219">
        <v>0</v>
      </c>
    </row>
    <row r="775" spans="1:23" ht="15" customHeight="1" x14ac:dyDescent="0.25">
      <c r="A775" t="s">
        <v>2132</v>
      </c>
      <c r="B775" t="s">
        <v>595</v>
      </c>
      <c r="C775">
        <v>164706.12</v>
      </c>
      <c r="D775" t="s">
        <v>2133</v>
      </c>
      <c r="E775" t="s">
        <v>238</v>
      </c>
      <c r="F775" t="s">
        <v>554</v>
      </c>
      <c r="G775" s="30">
        <v>46146</v>
      </c>
      <c r="H775" t="s">
        <v>2134</v>
      </c>
      <c r="I775">
        <v>1605028.4</v>
      </c>
      <c r="J775" s="123">
        <v>0</v>
      </c>
      <c r="K775" s="123">
        <v>0</v>
      </c>
      <c r="L775" s="123">
        <v>46141</v>
      </c>
      <c r="M775">
        <v>0</v>
      </c>
      <c r="N775">
        <v>0</v>
      </c>
      <c r="O775">
        <v>0</v>
      </c>
      <c r="P775" s="216">
        <v>164706.12</v>
      </c>
      <c r="Q775" s="217" t="s">
        <v>19</v>
      </c>
      <c r="R775" s="217" t="s">
        <v>554</v>
      </c>
      <c r="S775" s="218">
        <v>0.60000000000000009</v>
      </c>
      <c r="T775" t="s">
        <v>550</v>
      </c>
      <c r="U775" t="s">
        <v>51</v>
      </c>
      <c r="V775" s="219" t="s">
        <v>6278</v>
      </c>
      <c r="W775" s="219" t="s">
        <v>67</v>
      </c>
    </row>
    <row r="776" spans="1:23" ht="15" customHeight="1" x14ac:dyDescent="0.25">
      <c r="A776" t="s">
        <v>2135</v>
      </c>
      <c r="B776" t="s">
        <v>595</v>
      </c>
      <c r="C776">
        <v>164706.12</v>
      </c>
      <c r="D776" t="s">
        <v>2133</v>
      </c>
      <c r="E776" t="s">
        <v>238</v>
      </c>
      <c r="F776" t="s">
        <v>585</v>
      </c>
      <c r="G776" s="30">
        <v>46146</v>
      </c>
      <c r="H776" t="s">
        <v>2134</v>
      </c>
      <c r="I776">
        <v>1605028.4</v>
      </c>
      <c r="J776" s="123">
        <v>0</v>
      </c>
      <c r="K776" s="123">
        <v>0</v>
      </c>
      <c r="L776" s="123">
        <v>46141</v>
      </c>
      <c r="M776">
        <v>0</v>
      </c>
      <c r="N776">
        <v>0</v>
      </c>
      <c r="O776">
        <v>0</v>
      </c>
      <c r="P776" s="216">
        <v>164706.12</v>
      </c>
      <c r="Q776" s="217" t="s">
        <v>19</v>
      </c>
      <c r="R776" s="217" t="s">
        <v>61</v>
      </c>
      <c r="S776" s="218">
        <v>0.60000000000000009</v>
      </c>
      <c r="T776" t="s">
        <v>550</v>
      </c>
      <c r="U776" t="s">
        <v>51</v>
      </c>
      <c r="V776" s="219">
        <v>0</v>
      </c>
      <c r="W776" s="219">
        <v>0</v>
      </c>
    </row>
    <row r="777" spans="1:23" ht="15" customHeight="1" x14ac:dyDescent="0.25">
      <c r="A777" t="s">
        <v>2136</v>
      </c>
      <c r="B777" t="s">
        <v>546</v>
      </c>
      <c r="C777">
        <v>66459</v>
      </c>
      <c r="D777" t="s">
        <v>2137</v>
      </c>
      <c r="E777" t="s">
        <v>553</v>
      </c>
      <c r="F777" t="s">
        <v>554</v>
      </c>
      <c r="G777" s="30">
        <v>46146</v>
      </c>
      <c r="H777" t="s">
        <v>2138</v>
      </c>
      <c r="I777">
        <v>1635759.95</v>
      </c>
      <c r="J777" s="123">
        <v>46146</v>
      </c>
      <c r="K777" s="123">
        <v>0</v>
      </c>
      <c r="L777" s="123">
        <v>46146</v>
      </c>
      <c r="M777">
        <v>0</v>
      </c>
      <c r="N777">
        <v>0</v>
      </c>
      <c r="O777" t="s">
        <v>556</v>
      </c>
      <c r="P777" s="216">
        <v>66459</v>
      </c>
      <c r="Q777" s="217" t="s">
        <v>32</v>
      </c>
      <c r="R777" s="217" t="s">
        <v>554</v>
      </c>
      <c r="S777" s="218">
        <v>0.59780874326945099</v>
      </c>
      <c r="T777" t="s">
        <v>550</v>
      </c>
      <c r="U777" t="s">
        <v>51</v>
      </c>
      <c r="V777" s="219" t="s">
        <v>6279</v>
      </c>
      <c r="W777" s="219" t="s">
        <v>67</v>
      </c>
    </row>
    <row r="778" spans="1:23" ht="15" customHeight="1" x14ac:dyDescent="0.25">
      <c r="A778" t="s">
        <v>2139</v>
      </c>
      <c r="B778" t="s">
        <v>546</v>
      </c>
      <c r="C778">
        <v>41255</v>
      </c>
      <c r="D778" t="s">
        <v>2137</v>
      </c>
      <c r="E778" t="s">
        <v>553</v>
      </c>
      <c r="F778" t="s">
        <v>554</v>
      </c>
      <c r="G778" s="30">
        <v>46147</v>
      </c>
      <c r="H778" t="s">
        <v>2138</v>
      </c>
      <c r="I778">
        <v>1635759.95</v>
      </c>
      <c r="J778" s="123">
        <v>46147</v>
      </c>
      <c r="K778" s="123">
        <v>0</v>
      </c>
      <c r="L778" s="123">
        <v>46147</v>
      </c>
      <c r="M778">
        <v>0</v>
      </c>
      <c r="N778">
        <v>0</v>
      </c>
      <c r="O778" t="s">
        <v>556</v>
      </c>
      <c r="P778" s="216">
        <v>41255</v>
      </c>
      <c r="Q778" s="217" t="s">
        <v>32</v>
      </c>
      <c r="R778" s="217" t="s">
        <v>554</v>
      </c>
      <c r="S778" s="218">
        <v>0.59780874326945099</v>
      </c>
      <c r="T778" t="s">
        <v>550</v>
      </c>
      <c r="U778" t="s">
        <v>51</v>
      </c>
      <c r="V778" s="219" t="s">
        <v>6280</v>
      </c>
      <c r="W778" s="219" t="s">
        <v>67</v>
      </c>
    </row>
    <row r="779" spans="1:23" ht="15" customHeight="1" x14ac:dyDescent="0.25">
      <c r="A779" t="s">
        <v>2140</v>
      </c>
      <c r="B779" t="s">
        <v>595</v>
      </c>
      <c r="C779">
        <v>165000.9</v>
      </c>
      <c r="D779" t="s">
        <v>2141</v>
      </c>
      <c r="E779" t="s">
        <v>238</v>
      </c>
      <c r="F779" t="s">
        <v>554</v>
      </c>
      <c r="G779" s="30">
        <v>46146</v>
      </c>
      <c r="H779" t="s">
        <v>2142</v>
      </c>
      <c r="I779">
        <v>1634032.4</v>
      </c>
      <c r="J779" s="123">
        <v>0</v>
      </c>
      <c r="K779" s="123">
        <v>0</v>
      </c>
      <c r="L779" s="123">
        <v>46141</v>
      </c>
      <c r="M779">
        <v>0</v>
      </c>
      <c r="N779">
        <v>0</v>
      </c>
      <c r="O779">
        <v>0</v>
      </c>
      <c r="P779" s="216">
        <v>165000.9</v>
      </c>
      <c r="Q779" s="217" t="s">
        <v>19</v>
      </c>
      <c r="R779" s="217" t="s">
        <v>554</v>
      </c>
      <c r="S779" s="218">
        <v>0.6</v>
      </c>
      <c r="T779" t="s">
        <v>550</v>
      </c>
      <c r="U779" t="s">
        <v>51</v>
      </c>
      <c r="V779" s="219" t="s">
        <v>6281</v>
      </c>
      <c r="W779" s="219" t="s">
        <v>67</v>
      </c>
    </row>
    <row r="780" spans="1:23" ht="15" customHeight="1" x14ac:dyDescent="0.25">
      <c r="A780" t="s">
        <v>2143</v>
      </c>
      <c r="B780" t="s">
        <v>595</v>
      </c>
      <c r="C780">
        <v>166773.17000000001</v>
      </c>
      <c r="D780" t="s">
        <v>2144</v>
      </c>
      <c r="E780" t="s">
        <v>238</v>
      </c>
      <c r="F780" t="s">
        <v>554</v>
      </c>
      <c r="G780" s="30">
        <v>46146</v>
      </c>
      <c r="H780" t="s">
        <v>2145</v>
      </c>
      <c r="I780">
        <v>1625175.2</v>
      </c>
      <c r="J780" s="123">
        <v>0</v>
      </c>
      <c r="K780" s="123">
        <v>0</v>
      </c>
      <c r="L780" s="123">
        <v>46141</v>
      </c>
      <c r="M780">
        <v>0</v>
      </c>
      <c r="N780">
        <v>0</v>
      </c>
      <c r="O780">
        <v>0</v>
      </c>
      <c r="P780" s="216">
        <v>166773.17000000001</v>
      </c>
      <c r="Q780" s="217" t="s">
        <v>19</v>
      </c>
      <c r="R780" s="217" t="s">
        <v>554</v>
      </c>
      <c r="S780" s="218">
        <v>0.6</v>
      </c>
      <c r="T780" t="s">
        <v>550</v>
      </c>
      <c r="U780" t="s">
        <v>51</v>
      </c>
      <c r="V780" s="219" t="s">
        <v>6282</v>
      </c>
      <c r="W780" s="219" t="s">
        <v>67</v>
      </c>
    </row>
    <row r="781" spans="1:23" ht="15" customHeight="1" x14ac:dyDescent="0.25">
      <c r="A781" t="s">
        <v>2146</v>
      </c>
      <c r="B781" t="s">
        <v>546</v>
      </c>
      <c r="C781">
        <v>166774</v>
      </c>
      <c r="D781" t="s">
        <v>2147</v>
      </c>
      <c r="E781" t="s">
        <v>178</v>
      </c>
      <c r="F781" t="s">
        <v>548</v>
      </c>
      <c r="G781" s="30">
        <v>46149</v>
      </c>
      <c r="H781" t="s">
        <v>2148</v>
      </c>
      <c r="I781">
        <v>1625175.2</v>
      </c>
      <c r="J781" s="123">
        <v>0</v>
      </c>
      <c r="K781" s="123">
        <v>0</v>
      </c>
      <c r="L781" s="123">
        <v>0</v>
      </c>
      <c r="M781">
        <v>0</v>
      </c>
      <c r="N781">
        <v>0</v>
      </c>
      <c r="O781">
        <v>0</v>
      </c>
      <c r="P781" s="216">
        <v>166774</v>
      </c>
      <c r="Q781" s="217" t="s">
        <v>32</v>
      </c>
      <c r="R781" s="217" t="s">
        <v>62</v>
      </c>
      <c r="S781" s="218">
        <v>0.49738134694647074</v>
      </c>
      <c r="T781" t="s">
        <v>550</v>
      </c>
      <c r="U781" t="s">
        <v>51</v>
      </c>
      <c r="V781" s="219">
        <v>0</v>
      </c>
      <c r="W781" s="219">
        <v>0</v>
      </c>
    </row>
    <row r="782" spans="1:23" ht="15" customHeight="1" x14ac:dyDescent="0.25">
      <c r="A782" t="s">
        <v>2149</v>
      </c>
      <c r="B782" t="s">
        <v>595</v>
      </c>
      <c r="C782">
        <v>166773</v>
      </c>
      <c r="D782" t="s">
        <v>2150</v>
      </c>
      <c r="E782" t="s">
        <v>178</v>
      </c>
      <c r="F782" t="s">
        <v>554</v>
      </c>
      <c r="G782" s="30">
        <v>46143</v>
      </c>
      <c r="H782" t="s">
        <v>2151</v>
      </c>
      <c r="I782">
        <v>1625175.2</v>
      </c>
      <c r="J782" s="123">
        <v>0</v>
      </c>
      <c r="K782" s="123">
        <v>0</v>
      </c>
      <c r="L782" s="123">
        <v>46141</v>
      </c>
      <c r="M782">
        <v>0</v>
      </c>
      <c r="N782">
        <v>0</v>
      </c>
      <c r="O782">
        <v>0</v>
      </c>
      <c r="P782" s="216">
        <v>166773</v>
      </c>
      <c r="Q782" s="217" t="s">
        <v>32</v>
      </c>
      <c r="R782" s="217" t="s">
        <v>554</v>
      </c>
      <c r="S782" s="218">
        <v>0.49738134694647074</v>
      </c>
      <c r="T782" t="s">
        <v>550</v>
      </c>
      <c r="U782" t="s">
        <v>51</v>
      </c>
      <c r="V782" s="219">
        <v>0</v>
      </c>
      <c r="W782" s="219" t="s">
        <v>72</v>
      </c>
    </row>
    <row r="783" spans="1:23" ht="15" customHeight="1" x14ac:dyDescent="0.25">
      <c r="A783" t="s">
        <v>2152</v>
      </c>
      <c r="B783" t="s">
        <v>575</v>
      </c>
      <c r="C783">
        <v>154502</v>
      </c>
      <c r="D783" t="s">
        <v>2153</v>
      </c>
      <c r="E783" t="s">
        <v>213</v>
      </c>
      <c r="F783" t="s">
        <v>585</v>
      </c>
      <c r="G783" s="30">
        <v>46146</v>
      </c>
      <c r="H783" t="s">
        <v>2154</v>
      </c>
      <c r="I783">
        <v>2545011</v>
      </c>
      <c r="J783" s="123">
        <v>0</v>
      </c>
      <c r="K783" s="123">
        <v>0</v>
      </c>
      <c r="L783" s="123">
        <v>46144</v>
      </c>
      <c r="M783">
        <v>0</v>
      </c>
      <c r="N783">
        <v>0</v>
      </c>
      <c r="O783">
        <v>0</v>
      </c>
      <c r="P783" s="216">
        <v>154502</v>
      </c>
      <c r="Q783" s="217" t="s">
        <v>18</v>
      </c>
      <c r="R783" s="217" t="s">
        <v>61</v>
      </c>
      <c r="S783" s="218">
        <v>0.49999992141487798</v>
      </c>
      <c r="T783" t="s">
        <v>550</v>
      </c>
      <c r="U783" t="s">
        <v>51</v>
      </c>
      <c r="V783" s="219">
        <v>0</v>
      </c>
      <c r="W783" s="219">
        <v>0</v>
      </c>
    </row>
    <row r="784" spans="1:23" ht="15" customHeight="1" x14ac:dyDescent="0.25">
      <c r="A784" t="s">
        <v>2155</v>
      </c>
      <c r="B784" t="s">
        <v>575</v>
      </c>
      <c r="C784">
        <v>154502</v>
      </c>
      <c r="D784" t="s">
        <v>2153</v>
      </c>
      <c r="E784" t="s">
        <v>213</v>
      </c>
      <c r="F784" t="s">
        <v>554</v>
      </c>
      <c r="G784" s="30">
        <v>46148</v>
      </c>
      <c r="H784" t="s">
        <v>2154</v>
      </c>
      <c r="I784">
        <v>2545011</v>
      </c>
      <c r="J784" s="123">
        <v>0</v>
      </c>
      <c r="K784" s="123">
        <v>0</v>
      </c>
      <c r="L784" s="123">
        <v>46144</v>
      </c>
      <c r="M784">
        <v>0</v>
      </c>
      <c r="N784">
        <v>0</v>
      </c>
      <c r="O784">
        <v>0</v>
      </c>
      <c r="P784" s="216">
        <v>154502</v>
      </c>
      <c r="Q784" s="217" t="s">
        <v>18</v>
      </c>
      <c r="R784" s="217" t="s">
        <v>554</v>
      </c>
      <c r="S784" s="218">
        <v>0.49999992141487798</v>
      </c>
      <c r="T784" t="s">
        <v>550</v>
      </c>
      <c r="U784" t="s">
        <v>51</v>
      </c>
      <c r="V784" s="219" t="s">
        <v>6283</v>
      </c>
      <c r="W784" s="219" t="s">
        <v>67</v>
      </c>
    </row>
    <row r="785" spans="1:23" ht="15" customHeight="1" x14ac:dyDescent="0.25">
      <c r="A785" t="s">
        <v>2156</v>
      </c>
      <c r="B785" t="s">
        <v>64</v>
      </c>
      <c r="C785">
        <v>491314</v>
      </c>
      <c r="D785" t="s">
        <v>2157</v>
      </c>
      <c r="E785" t="s">
        <v>243</v>
      </c>
      <c r="F785" t="s">
        <v>554</v>
      </c>
      <c r="G785" s="30">
        <v>46148</v>
      </c>
      <c r="H785" t="s">
        <v>2158</v>
      </c>
      <c r="I785">
        <v>4913137</v>
      </c>
      <c r="J785" s="123">
        <v>0</v>
      </c>
      <c r="K785" s="123">
        <v>46136</v>
      </c>
      <c r="L785" s="123">
        <v>0</v>
      </c>
      <c r="M785">
        <v>0</v>
      </c>
      <c r="N785">
        <v>0</v>
      </c>
      <c r="O785" t="s">
        <v>556</v>
      </c>
      <c r="P785" s="216">
        <v>491314</v>
      </c>
      <c r="Q785" s="217" t="s">
        <v>21</v>
      </c>
      <c r="R785" s="217" t="s">
        <v>554</v>
      </c>
      <c r="S785" s="218">
        <v>0.50000030530392292</v>
      </c>
      <c r="T785" t="s">
        <v>550</v>
      </c>
      <c r="U785" t="s">
        <v>51</v>
      </c>
      <c r="V785" s="219" t="s">
        <v>6284</v>
      </c>
      <c r="W785" s="219" t="s">
        <v>71</v>
      </c>
    </row>
    <row r="786" spans="1:23" ht="15" customHeight="1" x14ac:dyDescent="0.25">
      <c r="A786" t="s">
        <v>2159</v>
      </c>
      <c r="B786" t="s">
        <v>575</v>
      </c>
      <c r="C786">
        <v>200000</v>
      </c>
      <c r="D786" t="s">
        <v>2160</v>
      </c>
      <c r="E786" t="s">
        <v>273</v>
      </c>
      <c r="F786" t="s">
        <v>554</v>
      </c>
      <c r="G786" s="30">
        <v>46144</v>
      </c>
      <c r="H786" t="s">
        <v>2161</v>
      </c>
      <c r="I786">
        <v>2417869.5</v>
      </c>
      <c r="J786" s="123">
        <v>0</v>
      </c>
      <c r="K786" s="123">
        <v>0</v>
      </c>
      <c r="L786" s="123">
        <v>46143</v>
      </c>
      <c r="M786">
        <v>0</v>
      </c>
      <c r="N786">
        <v>0</v>
      </c>
      <c r="O786">
        <v>0</v>
      </c>
      <c r="P786" s="216">
        <v>200000</v>
      </c>
      <c r="Q786" s="217" t="s">
        <v>38</v>
      </c>
      <c r="R786" s="217" t="s">
        <v>554</v>
      </c>
      <c r="S786" s="218">
        <v>0.78783003797351348</v>
      </c>
      <c r="T786" t="s">
        <v>550</v>
      </c>
      <c r="U786" t="s">
        <v>51</v>
      </c>
      <c r="V786" s="219" t="s">
        <v>6285</v>
      </c>
      <c r="W786" s="219" t="s">
        <v>67</v>
      </c>
    </row>
    <row r="787" spans="1:23" ht="15" customHeight="1" x14ac:dyDescent="0.25">
      <c r="A787" t="s">
        <v>2162</v>
      </c>
      <c r="B787" t="s">
        <v>575</v>
      </c>
      <c r="C787">
        <v>50000</v>
      </c>
      <c r="D787" t="s">
        <v>2160</v>
      </c>
      <c r="E787" t="s">
        <v>273</v>
      </c>
      <c r="F787" t="s">
        <v>554</v>
      </c>
      <c r="G787" s="30">
        <v>46146</v>
      </c>
      <c r="H787" t="s">
        <v>2161</v>
      </c>
      <c r="I787">
        <v>2417869.5</v>
      </c>
      <c r="J787" s="123">
        <v>0</v>
      </c>
      <c r="K787" s="123">
        <v>0</v>
      </c>
      <c r="L787" s="123">
        <v>46144</v>
      </c>
      <c r="M787">
        <v>0</v>
      </c>
      <c r="N787">
        <v>0</v>
      </c>
      <c r="O787">
        <v>0</v>
      </c>
      <c r="P787" s="216">
        <v>50000</v>
      </c>
      <c r="Q787" s="217" t="s">
        <v>38</v>
      </c>
      <c r="R787" s="217" t="s">
        <v>554</v>
      </c>
      <c r="S787" s="218">
        <v>0.78783003797351348</v>
      </c>
      <c r="T787" t="s">
        <v>550</v>
      </c>
      <c r="U787" t="s">
        <v>51</v>
      </c>
      <c r="V787" s="219" t="s">
        <v>6286</v>
      </c>
      <c r="W787" s="219" t="s">
        <v>67</v>
      </c>
    </row>
    <row r="788" spans="1:23" ht="15" customHeight="1" x14ac:dyDescent="0.25">
      <c r="A788" t="s">
        <v>2163</v>
      </c>
      <c r="B788" t="s">
        <v>595</v>
      </c>
      <c r="C788">
        <v>367100</v>
      </c>
      <c r="D788" t="s">
        <v>2164</v>
      </c>
      <c r="E788" t="s">
        <v>273</v>
      </c>
      <c r="F788" t="s">
        <v>554</v>
      </c>
      <c r="G788" s="30">
        <v>46146</v>
      </c>
      <c r="H788" t="s">
        <v>2165</v>
      </c>
      <c r="I788">
        <v>2407029</v>
      </c>
      <c r="J788" s="123">
        <v>0</v>
      </c>
      <c r="K788" s="123">
        <v>0</v>
      </c>
      <c r="L788" s="123">
        <v>46145</v>
      </c>
      <c r="M788">
        <v>0</v>
      </c>
      <c r="N788">
        <v>0</v>
      </c>
      <c r="O788">
        <v>0</v>
      </c>
      <c r="P788" s="216">
        <v>367100</v>
      </c>
      <c r="Q788" s="217" t="s">
        <v>38</v>
      </c>
      <c r="R788" s="217" t="s">
        <v>554</v>
      </c>
      <c r="S788" s="218">
        <v>0.94207108846632104</v>
      </c>
      <c r="T788" t="s">
        <v>550</v>
      </c>
      <c r="U788" t="s">
        <v>51</v>
      </c>
      <c r="V788" s="219" t="s">
        <v>6287</v>
      </c>
      <c r="W788" s="219" t="s">
        <v>67</v>
      </c>
    </row>
    <row r="789" spans="1:23" ht="15" customHeight="1" x14ac:dyDescent="0.25">
      <c r="A789" t="s">
        <v>2166</v>
      </c>
      <c r="B789" t="s">
        <v>575</v>
      </c>
      <c r="C789">
        <v>80000</v>
      </c>
      <c r="D789" t="s">
        <v>2167</v>
      </c>
      <c r="E789" t="s">
        <v>183</v>
      </c>
      <c r="F789" t="s">
        <v>585</v>
      </c>
      <c r="G789" s="30">
        <v>46143</v>
      </c>
      <c r="H789" t="s">
        <v>2168</v>
      </c>
      <c r="I789">
        <v>8176287.9400000004</v>
      </c>
      <c r="J789" s="123">
        <v>0</v>
      </c>
      <c r="K789" s="123">
        <v>0</v>
      </c>
      <c r="L789" s="123">
        <v>46142</v>
      </c>
      <c r="M789">
        <v>0</v>
      </c>
      <c r="N789">
        <v>0</v>
      </c>
      <c r="O789">
        <v>0</v>
      </c>
      <c r="P789" s="216">
        <v>80000</v>
      </c>
      <c r="Q789" s="217" t="s">
        <v>33</v>
      </c>
      <c r="R789" s="217" t="s">
        <v>61</v>
      </c>
      <c r="S789" s="218">
        <v>0.52162368929487579</v>
      </c>
      <c r="T789" t="s">
        <v>550</v>
      </c>
      <c r="U789" t="s">
        <v>51</v>
      </c>
      <c r="V789" s="219">
        <v>0</v>
      </c>
      <c r="W789" s="219">
        <v>0</v>
      </c>
    </row>
    <row r="790" spans="1:23" ht="15" customHeight="1" x14ac:dyDescent="0.25">
      <c r="A790" t="s">
        <v>2169</v>
      </c>
      <c r="B790" t="s">
        <v>575</v>
      </c>
      <c r="C790">
        <v>75000</v>
      </c>
      <c r="D790" t="s">
        <v>2167</v>
      </c>
      <c r="E790" t="s">
        <v>183</v>
      </c>
      <c r="F790" t="s">
        <v>554</v>
      </c>
      <c r="G790" s="30">
        <v>46148</v>
      </c>
      <c r="H790" t="s">
        <v>2168</v>
      </c>
      <c r="I790">
        <v>8176287.9400000004</v>
      </c>
      <c r="J790" s="123">
        <v>0</v>
      </c>
      <c r="K790" s="123">
        <v>0</v>
      </c>
      <c r="L790" s="123">
        <v>46147</v>
      </c>
      <c r="M790">
        <v>0</v>
      </c>
      <c r="N790">
        <v>0</v>
      </c>
      <c r="O790">
        <v>0</v>
      </c>
      <c r="P790" s="216">
        <v>75000</v>
      </c>
      <c r="Q790" s="217" t="s">
        <v>33</v>
      </c>
      <c r="R790" s="217" t="s">
        <v>554</v>
      </c>
      <c r="S790" s="218">
        <v>0.52162368929487579</v>
      </c>
      <c r="T790" t="s">
        <v>550</v>
      </c>
      <c r="U790" t="s">
        <v>51</v>
      </c>
      <c r="V790" s="219" t="s">
        <v>6288</v>
      </c>
      <c r="W790" s="219" t="s">
        <v>67</v>
      </c>
    </row>
    <row r="791" spans="1:23" ht="15" customHeight="1" x14ac:dyDescent="0.25">
      <c r="A791" t="s">
        <v>2170</v>
      </c>
      <c r="B791" t="s">
        <v>668</v>
      </c>
      <c r="C791">
        <v>30000</v>
      </c>
      <c r="D791" t="s">
        <v>2171</v>
      </c>
      <c r="E791" t="s">
        <v>278</v>
      </c>
      <c r="F791" t="s">
        <v>580</v>
      </c>
      <c r="G791" s="30">
        <v>46149</v>
      </c>
      <c r="H791" t="s">
        <v>2172</v>
      </c>
      <c r="I791">
        <v>9573185.7599999998</v>
      </c>
      <c r="J791" s="123">
        <v>46127</v>
      </c>
      <c r="K791" s="123">
        <v>0</v>
      </c>
      <c r="L791" s="123">
        <v>46127</v>
      </c>
      <c r="M791">
        <v>0</v>
      </c>
      <c r="N791">
        <v>0</v>
      </c>
      <c r="O791">
        <v>0</v>
      </c>
      <c r="P791" s="216">
        <v>30000</v>
      </c>
      <c r="Q791" s="217" t="s">
        <v>39</v>
      </c>
      <c r="R791" s="217" t="s">
        <v>582</v>
      </c>
      <c r="S791" s="218">
        <v>0.98948895461525033</v>
      </c>
      <c r="T791" t="s">
        <v>550</v>
      </c>
      <c r="U791" t="s">
        <v>51</v>
      </c>
      <c r="V791" s="219">
        <v>0</v>
      </c>
      <c r="W791" s="219">
        <v>0</v>
      </c>
    </row>
    <row r="792" spans="1:23" ht="15" customHeight="1" x14ac:dyDescent="0.25">
      <c r="A792" t="s">
        <v>2173</v>
      </c>
      <c r="B792" t="s">
        <v>668</v>
      </c>
      <c r="C792">
        <v>10000</v>
      </c>
      <c r="D792" t="s">
        <v>2171</v>
      </c>
      <c r="E792" t="s">
        <v>278</v>
      </c>
      <c r="F792" t="s">
        <v>580</v>
      </c>
      <c r="G792" s="30">
        <v>46149</v>
      </c>
      <c r="H792" t="s">
        <v>2172</v>
      </c>
      <c r="I792">
        <v>9573185.7599999998</v>
      </c>
      <c r="J792" s="123">
        <v>46127</v>
      </c>
      <c r="K792" s="123">
        <v>0</v>
      </c>
      <c r="L792" s="123">
        <v>46127</v>
      </c>
      <c r="M792">
        <v>0</v>
      </c>
      <c r="N792">
        <v>0</v>
      </c>
      <c r="O792">
        <v>0</v>
      </c>
      <c r="P792" s="216">
        <v>10000</v>
      </c>
      <c r="Q792" s="217" t="s">
        <v>39</v>
      </c>
      <c r="R792" s="217" t="s">
        <v>582</v>
      </c>
      <c r="S792" s="218">
        <v>0.98948895461525033</v>
      </c>
      <c r="T792" t="s">
        <v>550</v>
      </c>
      <c r="U792" t="s">
        <v>51</v>
      </c>
      <c r="V792" s="219">
        <v>0</v>
      </c>
      <c r="W792" s="219">
        <v>0</v>
      </c>
    </row>
    <row r="793" spans="1:23" ht="15" customHeight="1" x14ac:dyDescent="0.25">
      <c r="A793" t="s">
        <v>2174</v>
      </c>
      <c r="B793" t="s">
        <v>668</v>
      </c>
      <c r="C793">
        <v>60000</v>
      </c>
      <c r="D793" t="s">
        <v>2171</v>
      </c>
      <c r="E793" t="s">
        <v>278</v>
      </c>
      <c r="F793" t="s">
        <v>580</v>
      </c>
      <c r="G793" s="30">
        <v>46149</v>
      </c>
      <c r="H793" t="s">
        <v>2172</v>
      </c>
      <c r="I793">
        <v>9573185.7599999998</v>
      </c>
      <c r="J793" s="123">
        <v>46127</v>
      </c>
      <c r="K793" s="123">
        <v>0</v>
      </c>
      <c r="L793" s="123">
        <v>46127</v>
      </c>
      <c r="M793">
        <v>0</v>
      </c>
      <c r="N793">
        <v>0</v>
      </c>
      <c r="O793">
        <v>0</v>
      </c>
      <c r="P793" s="216">
        <v>60000</v>
      </c>
      <c r="Q793" s="217" t="s">
        <v>39</v>
      </c>
      <c r="R793" s="217" t="s">
        <v>582</v>
      </c>
      <c r="S793" s="218">
        <v>0.98948895461525033</v>
      </c>
      <c r="T793" t="s">
        <v>550</v>
      </c>
      <c r="U793" t="s">
        <v>51</v>
      </c>
      <c r="V793" s="219">
        <v>0</v>
      </c>
      <c r="W793" s="219">
        <v>0</v>
      </c>
    </row>
    <row r="794" spans="1:23" ht="15" customHeight="1" x14ac:dyDescent="0.25">
      <c r="A794" t="s">
        <v>2175</v>
      </c>
      <c r="B794" t="s">
        <v>595</v>
      </c>
      <c r="C794">
        <v>13600</v>
      </c>
      <c r="D794" t="s">
        <v>2176</v>
      </c>
      <c r="E794" t="s">
        <v>183</v>
      </c>
      <c r="F794" t="s">
        <v>585</v>
      </c>
      <c r="G794" s="30">
        <v>46148</v>
      </c>
      <c r="H794" t="s">
        <v>2177</v>
      </c>
      <c r="I794">
        <v>8541625.1799999997</v>
      </c>
      <c r="J794" s="123">
        <v>0</v>
      </c>
      <c r="K794" s="123">
        <v>0</v>
      </c>
      <c r="L794" s="123">
        <v>46139</v>
      </c>
      <c r="M794">
        <v>0</v>
      </c>
      <c r="N794">
        <v>0</v>
      </c>
      <c r="O794">
        <v>0</v>
      </c>
      <c r="P794" s="216">
        <v>13600</v>
      </c>
      <c r="Q794" s="217" t="s">
        <v>33</v>
      </c>
      <c r="R794" s="217" t="s">
        <v>61</v>
      </c>
      <c r="S794" s="218">
        <v>0.7942941041109931</v>
      </c>
      <c r="T794" t="s">
        <v>550</v>
      </c>
      <c r="U794" t="s">
        <v>51</v>
      </c>
      <c r="V794" s="219">
        <v>0</v>
      </c>
      <c r="W794" s="219">
        <v>0</v>
      </c>
    </row>
    <row r="795" spans="1:23" ht="15" customHeight="1" x14ac:dyDescent="0.25">
      <c r="A795" t="s">
        <v>2178</v>
      </c>
      <c r="B795" t="s">
        <v>64</v>
      </c>
      <c r="C795">
        <v>930746</v>
      </c>
      <c r="D795" t="s">
        <v>2179</v>
      </c>
      <c r="E795" t="s">
        <v>183</v>
      </c>
      <c r="F795" t="s">
        <v>554</v>
      </c>
      <c r="G795" s="30">
        <v>46148</v>
      </c>
      <c r="H795" t="s">
        <v>2180</v>
      </c>
      <c r="I795">
        <v>9307464.0999999996</v>
      </c>
      <c r="J795" s="123">
        <v>0</v>
      </c>
      <c r="K795" s="123">
        <v>46166</v>
      </c>
      <c r="L795" s="123">
        <v>0</v>
      </c>
      <c r="M795">
        <v>0</v>
      </c>
      <c r="N795">
        <v>0</v>
      </c>
      <c r="O795" t="s">
        <v>556</v>
      </c>
      <c r="P795" s="216">
        <v>930746</v>
      </c>
      <c r="Q795" s="217" t="s">
        <v>33</v>
      </c>
      <c r="R795" s="217" t="s">
        <v>554</v>
      </c>
      <c r="S795" s="218">
        <v>0.49999993016357708</v>
      </c>
      <c r="T795" t="s">
        <v>550</v>
      </c>
      <c r="U795" t="s">
        <v>51</v>
      </c>
      <c r="V795" s="219" t="s">
        <v>6289</v>
      </c>
      <c r="W795" s="219" t="s">
        <v>68</v>
      </c>
    </row>
    <row r="796" spans="1:23" ht="15" customHeight="1" x14ac:dyDescent="0.25">
      <c r="A796" t="s">
        <v>2181</v>
      </c>
      <c r="B796" t="s">
        <v>575</v>
      </c>
      <c r="C796">
        <v>200000</v>
      </c>
      <c r="D796" t="s">
        <v>2182</v>
      </c>
      <c r="E796" t="s">
        <v>203</v>
      </c>
      <c r="F796" t="s">
        <v>554</v>
      </c>
      <c r="G796" s="30">
        <v>46148</v>
      </c>
      <c r="H796" t="s">
        <v>2183</v>
      </c>
      <c r="I796">
        <v>4990769.25</v>
      </c>
      <c r="J796" s="123">
        <v>0</v>
      </c>
      <c r="K796" s="123">
        <v>0</v>
      </c>
      <c r="L796" s="123">
        <v>46146</v>
      </c>
      <c r="M796">
        <v>0</v>
      </c>
      <c r="N796">
        <v>0</v>
      </c>
      <c r="O796">
        <v>0</v>
      </c>
      <c r="P796" s="216">
        <v>200000</v>
      </c>
      <c r="Q796" s="217" t="s">
        <v>22</v>
      </c>
      <c r="R796" s="217" t="s">
        <v>554</v>
      </c>
      <c r="S796" s="218">
        <v>0.40000006011097389</v>
      </c>
      <c r="T796" t="s">
        <v>550</v>
      </c>
      <c r="U796" t="s">
        <v>51</v>
      </c>
      <c r="V796" s="219" t="s">
        <v>6290</v>
      </c>
      <c r="W796" s="219" t="s">
        <v>67</v>
      </c>
    </row>
    <row r="797" spans="1:23" ht="15" customHeight="1" x14ac:dyDescent="0.25">
      <c r="A797" t="s">
        <v>2184</v>
      </c>
      <c r="B797" t="s">
        <v>546</v>
      </c>
      <c r="C797">
        <v>100000</v>
      </c>
      <c r="D797" t="s">
        <v>2185</v>
      </c>
      <c r="E797" t="s">
        <v>2186</v>
      </c>
      <c r="F797" t="s">
        <v>548</v>
      </c>
      <c r="G797" s="30">
        <v>46143</v>
      </c>
      <c r="H797" t="s">
        <v>2187</v>
      </c>
      <c r="I797">
        <v>4885587.5</v>
      </c>
      <c r="J797" s="123">
        <v>0</v>
      </c>
      <c r="K797" s="123">
        <v>0</v>
      </c>
      <c r="L797" s="123">
        <v>0</v>
      </c>
      <c r="M797">
        <v>0</v>
      </c>
      <c r="N797">
        <v>0</v>
      </c>
      <c r="O797">
        <v>0</v>
      </c>
      <c r="P797" s="216">
        <v>100000</v>
      </c>
      <c r="Q797" s="217" t="s">
        <v>22</v>
      </c>
      <c r="R797" s="217" t="s">
        <v>62</v>
      </c>
      <c r="S797" s="218">
        <v>0.34892794367105284</v>
      </c>
      <c r="T797" t="s">
        <v>550</v>
      </c>
      <c r="U797" t="s">
        <v>51</v>
      </c>
      <c r="V797" s="219">
        <v>0</v>
      </c>
      <c r="W797" s="219">
        <v>0</v>
      </c>
    </row>
    <row r="798" spans="1:23" ht="15" customHeight="1" x14ac:dyDescent="0.25">
      <c r="A798" t="s">
        <v>2188</v>
      </c>
      <c r="B798" t="s">
        <v>546</v>
      </c>
      <c r="C798">
        <v>239000</v>
      </c>
      <c r="D798" t="s">
        <v>2185</v>
      </c>
      <c r="E798" t="s">
        <v>2186</v>
      </c>
      <c r="F798" t="s">
        <v>548</v>
      </c>
      <c r="G798" s="30">
        <v>46143</v>
      </c>
      <c r="H798" t="s">
        <v>2187</v>
      </c>
      <c r="I798">
        <v>4885587.5</v>
      </c>
      <c r="J798" s="123">
        <v>0</v>
      </c>
      <c r="K798" s="123">
        <v>0</v>
      </c>
      <c r="L798" s="123">
        <v>0</v>
      </c>
      <c r="M798">
        <v>0</v>
      </c>
      <c r="N798">
        <v>0</v>
      </c>
      <c r="O798">
        <v>0</v>
      </c>
      <c r="P798" s="216">
        <v>239000</v>
      </c>
      <c r="Q798" s="217" t="s">
        <v>22</v>
      </c>
      <c r="R798" s="217" t="s">
        <v>62</v>
      </c>
      <c r="S798" s="218">
        <v>0.34892794367105284</v>
      </c>
      <c r="T798" t="s">
        <v>550</v>
      </c>
      <c r="U798" t="s">
        <v>51</v>
      </c>
      <c r="V798" s="219">
        <v>0</v>
      </c>
      <c r="W798" s="219">
        <v>0</v>
      </c>
    </row>
    <row r="799" spans="1:23" ht="15" customHeight="1" x14ac:dyDescent="0.25">
      <c r="A799" t="s">
        <v>2189</v>
      </c>
      <c r="B799" t="s">
        <v>546</v>
      </c>
      <c r="C799">
        <v>100000</v>
      </c>
      <c r="D799" t="s">
        <v>2185</v>
      </c>
      <c r="E799" t="s">
        <v>2186</v>
      </c>
      <c r="F799" t="s">
        <v>548</v>
      </c>
      <c r="G799" s="30">
        <v>46143</v>
      </c>
      <c r="H799" t="s">
        <v>2187</v>
      </c>
      <c r="I799">
        <v>4885587.5</v>
      </c>
      <c r="J799" s="123">
        <v>0</v>
      </c>
      <c r="K799" s="123">
        <v>0</v>
      </c>
      <c r="L799" s="123">
        <v>0</v>
      </c>
      <c r="M799">
        <v>0</v>
      </c>
      <c r="N799">
        <v>0</v>
      </c>
      <c r="O799">
        <v>0</v>
      </c>
      <c r="P799" s="216">
        <v>100000</v>
      </c>
      <c r="Q799" s="217" t="s">
        <v>22</v>
      </c>
      <c r="R799" s="217" t="s">
        <v>62</v>
      </c>
      <c r="S799" s="218">
        <v>0.34892794367105284</v>
      </c>
      <c r="T799" t="s">
        <v>550</v>
      </c>
      <c r="U799" t="s">
        <v>51</v>
      </c>
      <c r="V799" s="219">
        <v>0</v>
      </c>
      <c r="W799" s="219">
        <v>0</v>
      </c>
    </row>
    <row r="800" spans="1:23" ht="15" customHeight="1" x14ac:dyDescent="0.25">
      <c r="A800" t="s">
        <v>2190</v>
      </c>
      <c r="B800" t="s">
        <v>546</v>
      </c>
      <c r="C800">
        <v>39000</v>
      </c>
      <c r="D800" t="s">
        <v>2185</v>
      </c>
      <c r="E800" t="s">
        <v>2186</v>
      </c>
      <c r="F800" t="s">
        <v>554</v>
      </c>
      <c r="G800" s="30">
        <v>46143</v>
      </c>
      <c r="H800" t="s">
        <v>2187</v>
      </c>
      <c r="I800">
        <v>4885587.5</v>
      </c>
      <c r="J800" s="123">
        <v>0</v>
      </c>
      <c r="K800" s="123">
        <v>0</v>
      </c>
      <c r="L800" s="123">
        <v>0</v>
      </c>
      <c r="M800">
        <v>0</v>
      </c>
      <c r="N800">
        <v>0</v>
      </c>
      <c r="O800">
        <v>0</v>
      </c>
      <c r="P800" s="216">
        <v>39000</v>
      </c>
      <c r="Q800" s="217" t="s">
        <v>22</v>
      </c>
      <c r="R800" s="217" t="s">
        <v>554</v>
      </c>
      <c r="S800" s="218">
        <v>0.34892794367105284</v>
      </c>
      <c r="T800" t="s">
        <v>550</v>
      </c>
      <c r="U800" t="s">
        <v>51</v>
      </c>
      <c r="V800" s="219" t="s">
        <v>6291</v>
      </c>
      <c r="W800" s="219" t="s">
        <v>67</v>
      </c>
    </row>
    <row r="801" spans="1:23" ht="15" customHeight="1" x14ac:dyDescent="0.25">
      <c r="A801" t="s">
        <v>2191</v>
      </c>
      <c r="B801" t="s">
        <v>546</v>
      </c>
      <c r="C801">
        <v>50000</v>
      </c>
      <c r="D801" t="s">
        <v>2185</v>
      </c>
      <c r="E801" t="s">
        <v>2186</v>
      </c>
      <c r="F801" t="s">
        <v>554</v>
      </c>
      <c r="G801" s="30">
        <v>46143</v>
      </c>
      <c r="H801" t="s">
        <v>2187</v>
      </c>
      <c r="I801">
        <v>4885587.5</v>
      </c>
      <c r="J801" s="123">
        <v>0</v>
      </c>
      <c r="K801" s="123">
        <v>0</v>
      </c>
      <c r="L801" s="123">
        <v>0</v>
      </c>
      <c r="M801">
        <v>0</v>
      </c>
      <c r="N801">
        <v>0</v>
      </c>
      <c r="O801">
        <v>0</v>
      </c>
      <c r="P801" s="216">
        <v>50000</v>
      </c>
      <c r="Q801" s="217" t="s">
        <v>22</v>
      </c>
      <c r="R801" s="217" t="s">
        <v>554</v>
      </c>
      <c r="S801" s="218">
        <v>0.34892794367105284</v>
      </c>
      <c r="T801" t="s">
        <v>550</v>
      </c>
      <c r="U801" t="s">
        <v>51</v>
      </c>
      <c r="V801" s="219" t="s">
        <v>6292</v>
      </c>
      <c r="W801" s="219" t="s">
        <v>67</v>
      </c>
    </row>
    <row r="802" spans="1:23" ht="15" customHeight="1" x14ac:dyDescent="0.25">
      <c r="A802" t="s">
        <v>2192</v>
      </c>
      <c r="B802" t="s">
        <v>546</v>
      </c>
      <c r="C802">
        <v>50000</v>
      </c>
      <c r="D802" t="s">
        <v>2185</v>
      </c>
      <c r="E802" t="s">
        <v>2186</v>
      </c>
      <c r="F802" t="s">
        <v>554</v>
      </c>
      <c r="G802" s="30">
        <v>46143</v>
      </c>
      <c r="H802" t="s">
        <v>2187</v>
      </c>
      <c r="I802">
        <v>4885587.5</v>
      </c>
      <c r="J802" s="123">
        <v>0</v>
      </c>
      <c r="K802" s="123">
        <v>0</v>
      </c>
      <c r="L802" s="123">
        <v>0</v>
      </c>
      <c r="M802">
        <v>0</v>
      </c>
      <c r="N802">
        <v>0</v>
      </c>
      <c r="O802">
        <v>0</v>
      </c>
      <c r="P802" s="216">
        <v>50000</v>
      </c>
      <c r="Q802" s="217" t="s">
        <v>22</v>
      </c>
      <c r="R802" s="217" t="s">
        <v>554</v>
      </c>
      <c r="S802" s="218">
        <v>0.34892794367105284</v>
      </c>
      <c r="T802" t="s">
        <v>550</v>
      </c>
      <c r="U802" t="s">
        <v>51</v>
      </c>
      <c r="V802" s="219" t="s">
        <v>6293</v>
      </c>
      <c r="W802" s="219" t="s">
        <v>67</v>
      </c>
    </row>
    <row r="803" spans="1:23" ht="15" customHeight="1" x14ac:dyDescent="0.25">
      <c r="A803" t="s">
        <v>2193</v>
      </c>
      <c r="B803" t="s">
        <v>546</v>
      </c>
      <c r="C803">
        <v>50000</v>
      </c>
      <c r="D803" t="s">
        <v>2185</v>
      </c>
      <c r="E803" t="s">
        <v>2186</v>
      </c>
      <c r="F803" t="s">
        <v>554</v>
      </c>
      <c r="G803" s="30">
        <v>46143</v>
      </c>
      <c r="H803" t="s">
        <v>2187</v>
      </c>
      <c r="I803">
        <v>4885587.5</v>
      </c>
      <c r="J803" s="123">
        <v>0</v>
      </c>
      <c r="K803" s="123">
        <v>0</v>
      </c>
      <c r="L803" s="123">
        <v>0</v>
      </c>
      <c r="M803">
        <v>0</v>
      </c>
      <c r="N803">
        <v>0</v>
      </c>
      <c r="O803">
        <v>0</v>
      </c>
      <c r="P803" s="216">
        <v>50000</v>
      </c>
      <c r="Q803" s="217" t="s">
        <v>22</v>
      </c>
      <c r="R803" s="217" t="s">
        <v>554</v>
      </c>
      <c r="S803" s="218">
        <v>0.34892794367105284</v>
      </c>
      <c r="T803" t="s">
        <v>550</v>
      </c>
      <c r="U803" t="s">
        <v>51</v>
      </c>
      <c r="V803" s="219" t="s">
        <v>6294</v>
      </c>
      <c r="W803" s="219" t="s">
        <v>67</v>
      </c>
    </row>
    <row r="804" spans="1:23" ht="15" customHeight="1" x14ac:dyDescent="0.25">
      <c r="A804" t="s">
        <v>2194</v>
      </c>
      <c r="B804" t="s">
        <v>546</v>
      </c>
      <c r="C804">
        <v>50000</v>
      </c>
      <c r="D804" t="s">
        <v>2185</v>
      </c>
      <c r="E804" t="s">
        <v>2186</v>
      </c>
      <c r="F804" t="s">
        <v>554</v>
      </c>
      <c r="G804" s="30">
        <v>46143</v>
      </c>
      <c r="H804" t="s">
        <v>2187</v>
      </c>
      <c r="I804">
        <v>4885587.5</v>
      </c>
      <c r="J804" s="123">
        <v>0</v>
      </c>
      <c r="K804" s="123">
        <v>0</v>
      </c>
      <c r="L804" s="123">
        <v>0</v>
      </c>
      <c r="M804">
        <v>0</v>
      </c>
      <c r="N804">
        <v>0</v>
      </c>
      <c r="O804">
        <v>0</v>
      </c>
      <c r="P804" s="216">
        <v>50000</v>
      </c>
      <c r="Q804" s="217" t="s">
        <v>22</v>
      </c>
      <c r="R804" s="217" t="s">
        <v>554</v>
      </c>
      <c r="S804" s="218">
        <v>0.34892794367105284</v>
      </c>
      <c r="T804" t="s">
        <v>550</v>
      </c>
      <c r="U804" t="s">
        <v>51</v>
      </c>
      <c r="V804" s="219" t="s">
        <v>6295</v>
      </c>
      <c r="W804" s="219" t="s">
        <v>67</v>
      </c>
    </row>
    <row r="805" spans="1:23" ht="15" customHeight="1" x14ac:dyDescent="0.25">
      <c r="A805" t="s">
        <v>2195</v>
      </c>
      <c r="B805" t="s">
        <v>575</v>
      </c>
      <c r="C805">
        <v>250000</v>
      </c>
      <c r="D805" t="s">
        <v>2196</v>
      </c>
      <c r="E805" t="s">
        <v>203</v>
      </c>
      <c r="F805" t="s">
        <v>580</v>
      </c>
      <c r="G805" s="30">
        <v>46149</v>
      </c>
      <c r="H805" t="s">
        <v>2197</v>
      </c>
      <c r="I805">
        <v>4071433.5</v>
      </c>
      <c r="J805" s="123">
        <v>0</v>
      </c>
      <c r="K805" s="123">
        <v>0</v>
      </c>
      <c r="L805" s="123">
        <v>46147</v>
      </c>
      <c r="M805">
        <v>0</v>
      </c>
      <c r="N805">
        <v>0</v>
      </c>
      <c r="O805">
        <v>0</v>
      </c>
      <c r="P805" s="216">
        <v>250000</v>
      </c>
      <c r="Q805" s="217" t="s">
        <v>22</v>
      </c>
      <c r="R805" s="217" t="s">
        <v>582</v>
      </c>
      <c r="S805" s="218">
        <v>0.29999998771931313</v>
      </c>
      <c r="T805" t="s">
        <v>550</v>
      </c>
      <c r="U805" t="s">
        <v>51</v>
      </c>
      <c r="V805" s="219">
        <v>0</v>
      </c>
      <c r="W805" s="219">
        <v>0</v>
      </c>
    </row>
    <row r="806" spans="1:23" ht="15" customHeight="1" x14ac:dyDescent="0.25">
      <c r="A806" t="s">
        <v>2198</v>
      </c>
      <c r="B806" t="s">
        <v>575</v>
      </c>
      <c r="C806">
        <v>157143</v>
      </c>
      <c r="D806" t="s">
        <v>2196</v>
      </c>
      <c r="E806" t="s">
        <v>203</v>
      </c>
      <c r="F806" t="s">
        <v>580</v>
      </c>
      <c r="G806" s="30">
        <v>46149</v>
      </c>
      <c r="H806" t="s">
        <v>2197</v>
      </c>
      <c r="I806">
        <v>4071433.5</v>
      </c>
      <c r="J806" s="123">
        <v>0</v>
      </c>
      <c r="K806" s="123">
        <v>0</v>
      </c>
      <c r="L806" s="123">
        <v>46147</v>
      </c>
      <c r="M806">
        <v>0</v>
      </c>
      <c r="N806">
        <v>0</v>
      </c>
      <c r="O806">
        <v>0</v>
      </c>
      <c r="P806" s="216">
        <v>157143</v>
      </c>
      <c r="Q806" s="217" t="s">
        <v>22</v>
      </c>
      <c r="R806" s="217" t="s">
        <v>582</v>
      </c>
      <c r="S806" s="218">
        <v>0.29999998771931313</v>
      </c>
      <c r="T806" t="s">
        <v>550</v>
      </c>
      <c r="U806" t="s">
        <v>51</v>
      </c>
      <c r="V806" s="219">
        <v>0</v>
      </c>
      <c r="W806" s="219">
        <v>0</v>
      </c>
    </row>
    <row r="807" spans="1:23" ht="15" customHeight="1" x14ac:dyDescent="0.25">
      <c r="A807" t="s">
        <v>2199</v>
      </c>
      <c r="B807" t="s">
        <v>546</v>
      </c>
      <c r="C807">
        <v>25000</v>
      </c>
      <c r="D807" t="s">
        <v>2200</v>
      </c>
      <c r="E807" t="s">
        <v>141</v>
      </c>
      <c r="F807" t="s">
        <v>554</v>
      </c>
      <c r="G807" s="30">
        <v>46147</v>
      </c>
      <c r="H807" t="s">
        <v>2201</v>
      </c>
      <c r="I807">
        <v>1791622.8</v>
      </c>
      <c r="J807" s="123">
        <v>0</v>
      </c>
      <c r="K807" s="123">
        <v>0</v>
      </c>
      <c r="L807" s="123">
        <v>0</v>
      </c>
      <c r="M807">
        <v>0</v>
      </c>
      <c r="N807">
        <v>0</v>
      </c>
      <c r="O807">
        <v>0</v>
      </c>
      <c r="P807" s="216">
        <v>25000</v>
      </c>
      <c r="Q807" s="217" t="s">
        <v>34</v>
      </c>
      <c r="R807" s="217" t="s">
        <v>554</v>
      </c>
      <c r="S807" s="218">
        <v>0.59443603591131167</v>
      </c>
      <c r="T807" t="s">
        <v>550</v>
      </c>
      <c r="U807" t="s">
        <v>51</v>
      </c>
      <c r="V807" s="219" t="s">
        <v>6296</v>
      </c>
      <c r="W807" s="219" t="s">
        <v>67</v>
      </c>
    </row>
    <row r="808" spans="1:23" ht="15" customHeight="1" x14ac:dyDescent="0.25">
      <c r="A808" t="s">
        <v>2202</v>
      </c>
      <c r="B808" t="s">
        <v>546</v>
      </c>
      <c r="C808">
        <v>50000</v>
      </c>
      <c r="D808" t="s">
        <v>2200</v>
      </c>
      <c r="E808" t="s">
        <v>141</v>
      </c>
      <c r="F808" t="s">
        <v>554</v>
      </c>
      <c r="G808" s="30">
        <v>46147</v>
      </c>
      <c r="H808" t="s">
        <v>2201</v>
      </c>
      <c r="I808">
        <v>1791622.8</v>
      </c>
      <c r="J808" s="123">
        <v>0</v>
      </c>
      <c r="K808" s="123">
        <v>0</v>
      </c>
      <c r="L808" s="123">
        <v>0</v>
      </c>
      <c r="M808">
        <v>0</v>
      </c>
      <c r="N808">
        <v>0</v>
      </c>
      <c r="O808">
        <v>0</v>
      </c>
      <c r="P808" s="216">
        <v>50000</v>
      </c>
      <c r="Q808" s="217" t="s">
        <v>34</v>
      </c>
      <c r="R808" s="217" t="s">
        <v>554</v>
      </c>
      <c r="S808" s="218">
        <v>0.59443603591131167</v>
      </c>
      <c r="T808" t="s">
        <v>550</v>
      </c>
      <c r="U808" t="s">
        <v>51</v>
      </c>
      <c r="V808" s="219" t="s">
        <v>6297</v>
      </c>
      <c r="W808" s="219" t="s">
        <v>67</v>
      </c>
    </row>
    <row r="809" spans="1:23" ht="15" customHeight="1" x14ac:dyDescent="0.25">
      <c r="A809" t="s">
        <v>2203</v>
      </c>
      <c r="B809" t="s">
        <v>546</v>
      </c>
      <c r="C809">
        <v>80000</v>
      </c>
      <c r="D809" t="s">
        <v>2200</v>
      </c>
      <c r="E809" t="s">
        <v>141</v>
      </c>
      <c r="F809" t="s">
        <v>554</v>
      </c>
      <c r="G809" s="30">
        <v>46147</v>
      </c>
      <c r="H809" t="s">
        <v>2201</v>
      </c>
      <c r="I809">
        <v>1791622.8</v>
      </c>
      <c r="J809" s="123">
        <v>0</v>
      </c>
      <c r="K809" s="123">
        <v>0</v>
      </c>
      <c r="L809" s="123">
        <v>0</v>
      </c>
      <c r="M809">
        <v>0</v>
      </c>
      <c r="N809">
        <v>0</v>
      </c>
      <c r="O809">
        <v>0</v>
      </c>
      <c r="P809" s="216">
        <v>80000</v>
      </c>
      <c r="Q809" s="217" t="s">
        <v>34</v>
      </c>
      <c r="R809" s="217" t="s">
        <v>554</v>
      </c>
      <c r="S809" s="218">
        <v>0.59443603591131167</v>
      </c>
      <c r="T809" t="s">
        <v>550</v>
      </c>
      <c r="U809" t="s">
        <v>51</v>
      </c>
      <c r="V809" s="219" t="s">
        <v>6298</v>
      </c>
      <c r="W809" s="219" t="s">
        <v>67</v>
      </c>
    </row>
    <row r="810" spans="1:23" ht="15" customHeight="1" x14ac:dyDescent="0.25">
      <c r="A810" t="s">
        <v>2204</v>
      </c>
      <c r="B810" t="s">
        <v>650</v>
      </c>
      <c r="C810">
        <v>5712</v>
      </c>
      <c r="D810" t="s">
        <v>2200</v>
      </c>
      <c r="E810" t="s">
        <v>141</v>
      </c>
      <c r="F810" t="s">
        <v>554</v>
      </c>
      <c r="G810" s="30">
        <v>46147</v>
      </c>
      <c r="H810" t="s">
        <v>2201</v>
      </c>
      <c r="I810">
        <v>1791622.8</v>
      </c>
      <c r="J810" s="123">
        <v>46147</v>
      </c>
      <c r="K810" s="123">
        <v>0</v>
      </c>
      <c r="L810" s="123">
        <v>0</v>
      </c>
      <c r="M810">
        <v>0</v>
      </c>
      <c r="N810">
        <v>0</v>
      </c>
      <c r="O810">
        <v>0</v>
      </c>
      <c r="P810" s="216">
        <v>5712</v>
      </c>
      <c r="Q810" s="217" t="s">
        <v>34</v>
      </c>
      <c r="R810" s="217" t="s">
        <v>554</v>
      </c>
      <c r="S810" s="218">
        <v>0.59443603591131167</v>
      </c>
      <c r="T810" t="s">
        <v>550</v>
      </c>
      <c r="U810" t="s">
        <v>51</v>
      </c>
      <c r="V810" s="219" t="s">
        <v>6299</v>
      </c>
      <c r="W810" s="219" t="s">
        <v>67</v>
      </c>
    </row>
    <row r="811" spans="1:23" ht="15" customHeight="1" x14ac:dyDescent="0.25">
      <c r="A811" t="s">
        <v>2205</v>
      </c>
      <c r="B811" t="s">
        <v>650</v>
      </c>
      <c r="C811">
        <v>9000</v>
      </c>
      <c r="D811" t="s">
        <v>2200</v>
      </c>
      <c r="E811" t="s">
        <v>141</v>
      </c>
      <c r="F811" t="s">
        <v>554</v>
      </c>
      <c r="G811" s="30">
        <v>46147</v>
      </c>
      <c r="H811" t="s">
        <v>2201</v>
      </c>
      <c r="I811">
        <v>1791622.8</v>
      </c>
      <c r="J811" s="123">
        <v>46147</v>
      </c>
      <c r="K811" s="123">
        <v>0</v>
      </c>
      <c r="L811" s="123">
        <v>0</v>
      </c>
      <c r="M811">
        <v>0</v>
      </c>
      <c r="N811">
        <v>0</v>
      </c>
      <c r="O811">
        <v>0</v>
      </c>
      <c r="P811" s="216">
        <v>9000</v>
      </c>
      <c r="Q811" s="217" t="s">
        <v>34</v>
      </c>
      <c r="R811" s="217" t="s">
        <v>554</v>
      </c>
      <c r="S811" s="218">
        <v>0.59443603591131167</v>
      </c>
      <c r="T811" t="s">
        <v>550</v>
      </c>
      <c r="U811" t="s">
        <v>51</v>
      </c>
      <c r="V811" s="219" t="s">
        <v>6300</v>
      </c>
      <c r="W811" s="219" t="s">
        <v>67</v>
      </c>
    </row>
    <row r="812" spans="1:23" ht="15" customHeight="1" x14ac:dyDescent="0.25">
      <c r="A812" t="s">
        <v>2206</v>
      </c>
      <c r="B812" t="s">
        <v>546</v>
      </c>
      <c r="C812">
        <v>475876</v>
      </c>
      <c r="D812" t="s">
        <v>2207</v>
      </c>
      <c r="E812" t="s">
        <v>553</v>
      </c>
      <c r="F812" t="s">
        <v>548</v>
      </c>
      <c r="G812" s="30">
        <v>46143</v>
      </c>
      <c r="H812" t="s">
        <v>2208</v>
      </c>
      <c r="I812">
        <v>4758722</v>
      </c>
      <c r="J812" s="123">
        <v>46143</v>
      </c>
      <c r="K812" s="123">
        <v>0</v>
      </c>
      <c r="L812" s="123">
        <v>46143</v>
      </c>
      <c r="M812">
        <v>0</v>
      </c>
      <c r="N812">
        <v>0</v>
      </c>
      <c r="O812" t="s">
        <v>556</v>
      </c>
      <c r="P812" s="216">
        <v>475876</v>
      </c>
      <c r="Q812" s="217" t="s">
        <v>32</v>
      </c>
      <c r="R812" s="217" t="s">
        <v>62</v>
      </c>
      <c r="S812" s="218">
        <v>0.44202813276337638</v>
      </c>
      <c r="T812" t="s">
        <v>550</v>
      </c>
      <c r="U812" t="s">
        <v>51</v>
      </c>
      <c r="V812" s="219">
        <v>0</v>
      </c>
      <c r="W812" s="219">
        <v>0</v>
      </c>
    </row>
    <row r="813" spans="1:23" ht="15" customHeight="1" x14ac:dyDescent="0.25">
      <c r="A813" t="s">
        <v>2209</v>
      </c>
      <c r="B813" t="s">
        <v>575</v>
      </c>
      <c r="C813">
        <v>200000</v>
      </c>
      <c r="D813" t="s">
        <v>2207</v>
      </c>
      <c r="E813" t="s">
        <v>2210</v>
      </c>
      <c r="F813" t="s">
        <v>554</v>
      </c>
      <c r="G813" s="30">
        <v>46144</v>
      </c>
      <c r="H813" t="s">
        <v>2208</v>
      </c>
      <c r="I813">
        <v>4758722</v>
      </c>
      <c r="J813" s="123">
        <v>0</v>
      </c>
      <c r="K813" s="123">
        <v>0</v>
      </c>
      <c r="L813" s="123">
        <v>46143</v>
      </c>
      <c r="M813">
        <v>0</v>
      </c>
      <c r="N813">
        <v>0</v>
      </c>
      <c r="O813">
        <v>0</v>
      </c>
      <c r="P813" s="216">
        <v>200000</v>
      </c>
      <c r="Q813" s="217" t="s">
        <v>32</v>
      </c>
      <c r="R813" s="217" t="s">
        <v>554</v>
      </c>
      <c r="S813" s="218">
        <v>0.44202813276337638</v>
      </c>
      <c r="T813" t="s">
        <v>550</v>
      </c>
      <c r="U813" t="s">
        <v>51</v>
      </c>
      <c r="V813" s="219" t="s">
        <v>6301</v>
      </c>
      <c r="W813" s="219" t="s">
        <v>67</v>
      </c>
    </row>
    <row r="814" spans="1:23" ht="15" customHeight="1" x14ac:dyDescent="0.25">
      <c r="A814" t="s">
        <v>2211</v>
      </c>
      <c r="B814" t="s">
        <v>546</v>
      </c>
      <c r="C814">
        <v>500933</v>
      </c>
      <c r="D814" t="s">
        <v>2212</v>
      </c>
      <c r="E814" t="s">
        <v>331</v>
      </c>
      <c r="F814" t="s">
        <v>554</v>
      </c>
      <c r="G814" s="30">
        <v>46148</v>
      </c>
      <c r="H814" t="s">
        <v>2213</v>
      </c>
      <c r="I814">
        <v>4950812.9000000004</v>
      </c>
      <c r="J814" s="123">
        <v>0</v>
      </c>
      <c r="K814" s="123">
        <v>0</v>
      </c>
      <c r="L814" s="123">
        <v>0</v>
      </c>
      <c r="M814">
        <v>5852</v>
      </c>
      <c r="N814">
        <v>0</v>
      </c>
      <c r="O814">
        <v>0</v>
      </c>
      <c r="P814" s="216">
        <v>495081</v>
      </c>
      <c r="Q814" s="217" t="s">
        <v>332</v>
      </c>
      <c r="R814" s="217" t="s">
        <v>554</v>
      </c>
      <c r="S814" s="218">
        <v>0.60000001615896237</v>
      </c>
      <c r="T814" t="s">
        <v>550</v>
      </c>
      <c r="U814" t="s">
        <v>51</v>
      </c>
      <c r="V814" s="219" t="s">
        <v>6302</v>
      </c>
      <c r="W814" s="219" t="s">
        <v>67</v>
      </c>
    </row>
    <row r="815" spans="1:23" ht="15" customHeight="1" x14ac:dyDescent="0.25">
      <c r="A815" t="s">
        <v>2214</v>
      </c>
      <c r="B815" t="s">
        <v>546</v>
      </c>
      <c r="C815">
        <v>50000</v>
      </c>
      <c r="D815" t="s">
        <v>2215</v>
      </c>
      <c r="E815" t="s">
        <v>613</v>
      </c>
      <c r="F815" t="s">
        <v>554</v>
      </c>
      <c r="G815" s="30">
        <v>46147</v>
      </c>
      <c r="H815" t="s">
        <v>2216</v>
      </c>
      <c r="I815">
        <v>2129493.75</v>
      </c>
      <c r="J815" s="123">
        <v>0</v>
      </c>
      <c r="K815" s="123">
        <v>0</v>
      </c>
      <c r="L815" s="123">
        <v>0</v>
      </c>
      <c r="M815">
        <v>0</v>
      </c>
      <c r="N815">
        <v>0</v>
      </c>
      <c r="O815">
        <v>0</v>
      </c>
      <c r="P815" s="216">
        <v>50000</v>
      </c>
      <c r="Q815" s="217" t="s">
        <v>28</v>
      </c>
      <c r="R815" s="217" t="s">
        <v>554</v>
      </c>
      <c r="S815" s="218">
        <v>0.50212356810157344</v>
      </c>
      <c r="T815" t="s">
        <v>550</v>
      </c>
      <c r="U815" t="s">
        <v>51</v>
      </c>
      <c r="V815" s="219" t="s">
        <v>6303</v>
      </c>
      <c r="W815" s="219" t="s">
        <v>67</v>
      </c>
    </row>
    <row r="816" spans="1:23" ht="15" customHeight="1" x14ac:dyDescent="0.25">
      <c r="A816" t="s">
        <v>2217</v>
      </c>
      <c r="B816" t="s">
        <v>546</v>
      </c>
      <c r="C816">
        <v>130478</v>
      </c>
      <c r="D816" t="s">
        <v>2215</v>
      </c>
      <c r="E816" t="s">
        <v>613</v>
      </c>
      <c r="F816" t="s">
        <v>548</v>
      </c>
      <c r="G816" s="30">
        <v>46147</v>
      </c>
      <c r="H816" t="s">
        <v>2216</v>
      </c>
      <c r="I816">
        <v>2129493.75</v>
      </c>
      <c r="J816" s="123">
        <v>0</v>
      </c>
      <c r="K816" s="123">
        <v>0</v>
      </c>
      <c r="L816" s="123">
        <v>0</v>
      </c>
      <c r="M816">
        <v>0</v>
      </c>
      <c r="N816">
        <v>0</v>
      </c>
      <c r="O816">
        <v>0</v>
      </c>
      <c r="P816" s="216">
        <v>130478</v>
      </c>
      <c r="Q816" s="217" t="s">
        <v>28</v>
      </c>
      <c r="R816" s="217" t="s">
        <v>62</v>
      </c>
      <c r="S816" s="218">
        <v>0.50212356810157344</v>
      </c>
      <c r="T816" t="s">
        <v>550</v>
      </c>
      <c r="U816" t="s">
        <v>51</v>
      </c>
      <c r="V816" s="219">
        <v>0</v>
      </c>
      <c r="W816" s="219">
        <v>0</v>
      </c>
    </row>
    <row r="817" spans="1:23" ht="15" customHeight="1" x14ac:dyDescent="0.25">
      <c r="A817" t="s">
        <v>2218</v>
      </c>
      <c r="B817" t="s">
        <v>575</v>
      </c>
      <c r="C817">
        <v>85000</v>
      </c>
      <c r="D817" t="s">
        <v>2215</v>
      </c>
      <c r="E817" t="s">
        <v>613</v>
      </c>
      <c r="F817" t="s">
        <v>554</v>
      </c>
      <c r="G817" s="30">
        <v>46148</v>
      </c>
      <c r="H817" t="s">
        <v>2216</v>
      </c>
      <c r="I817">
        <v>2129493.75</v>
      </c>
      <c r="J817" s="123">
        <v>0</v>
      </c>
      <c r="K817" s="123">
        <v>0</v>
      </c>
      <c r="L817" s="123">
        <v>46147</v>
      </c>
      <c r="M817">
        <v>0</v>
      </c>
      <c r="N817">
        <v>0</v>
      </c>
      <c r="O817">
        <v>0</v>
      </c>
      <c r="P817" s="216">
        <v>85000</v>
      </c>
      <c r="Q817" s="217" t="s">
        <v>28</v>
      </c>
      <c r="R817" s="217" t="s">
        <v>554</v>
      </c>
      <c r="S817" s="218">
        <v>0.50212356810157344</v>
      </c>
      <c r="T817" t="s">
        <v>550</v>
      </c>
      <c r="U817" t="s">
        <v>51</v>
      </c>
      <c r="V817" s="219" t="s">
        <v>6304</v>
      </c>
      <c r="W817" s="219" t="s">
        <v>67</v>
      </c>
    </row>
    <row r="818" spans="1:23" ht="15" customHeight="1" x14ac:dyDescent="0.25">
      <c r="A818" t="s">
        <v>2219</v>
      </c>
      <c r="B818" t="s">
        <v>595</v>
      </c>
      <c r="C818">
        <v>171505</v>
      </c>
      <c r="D818" t="s">
        <v>2220</v>
      </c>
      <c r="E818" t="s">
        <v>183</v>
      </c>
      <c r="F818" t="s">
        <v>554</v>
      </c>
      <c r="G818" s="30">
        <v>46147</v>
      </c>
      <c r="H818" t="s">
        <v>2221</v>
      </c>
      <c r="I818">
        <v>1715049</v>
      </c>
      <c r="J818" s="123">
        <v>0</v>
      </c>
      <c r="K818" s="123">
        <v>0</v>
      </c>
      <c r="L818" s="123">
        <v>46146</v>
      </c>
      <c r="M818">
        <v>0</v>
      </c>
      <c r="N818">
        <v>0</v>
      </c>
      <c r="O818">
        <v>0</v>
      </c>
      <c r="P818" s="216">
        <v>171505</v>
      </c>
      <c r="Q818" s="217" t="s">
        <v>33</v>
      </c>
      <c r="R818" s="217" t="s">
        <v>554</v>
      </c>
      <c r="S818" s="218">
        <v>0.6028241991919765</v>
      </c>
      <c r="T818" t="s">
        <v>550</v>
      </c>
      <c r="U818" t="s">
        <v>51</v>
      </c>
      <c r="V818" s="219">
        <v>0</v>
      </c>
      <c r="W818" s="219" t="s">
        <v>72</v>
      </c>
    </row>
    <row r="819" spans="1:23" ht="15" customHeight="1" x14ac:dyDescent="0.25">
      <c r="A819" t="s">
        <v>2222</v>
      </c>
      <c r="B819" t="s">
        <v>546</v>
      </c>
      <c r="C819">
        <v>168008</v>
      </c>
      <c r="D819" t="s">
        <v>2223</v>
      </c>
      <c r="E819" t="s">
        <v>553</v>
      </c>
      <c r="F819" t="s">
        <v>554</v>
      </c>
      <c r="G819" s="30">
        <v>46146</v>
      </c>
      <c r="H819" t="s">
        <v>2224</v>
      </c>
      <c r="I819">
        <v>1866742.5</v>
      </c>
      <c r="J819" s="123">
        <v>46146</v>
      </c>
      <c r="K819" s="123">
        <v>0</v>
      </c>
      <c r="L819" s="123">
        <v>46146</v>
      </c>
      <c r="M819">
        <v>0</v>
      </c>
      <c r="N819">
        <v>0</v>
      </c>
      <c r="O819" t="s">
        <v>556</v>
      </c>
      <c r="P819" s="216">
        <v>168008</v>
      </c>
      <c r="Q819" s="217" t="s">
        <v>34</v>
      </c>
      <c r="R819" s="217" t="s">
        <v>554</v>
      </c>
      <c r="S819" s="218">
        <v>0.4000005356925232</v>
      </c>
      <c r="T819" t="s">
        <v>550</v>
      </c>
      <c r="U819" t="s">
        <v>51</v>
      </c>
      <c r="V819" s="219" t="s">
        <v>6305</v>
      </c>
      <c r="W819" s="219" t="s">
        <v>67</v>
      </c>
    </row>
    <row r="820" spans="1:23" ht="15" customHeight="1" x14ac:dyDescent="0.25">
      <c r="A820" t="s">
        <v>2225</v>
      </c>
      <c r="B820" t="s">
        <v>575</v>
      </c>
      <c r="C820">
        <v>32772</v>
      </c>
      <c r="D820" t="s">
        <v>2226</v>
      </c>
      <c r="E820" t="s">
        <v>203</v>
      </c>
      <c r="F820" t="s">
        <v>554</v>
      </c>
      <c r="G820" s="30">
        <v>46147</v>
      </c>
      <c r="H820" t="s">
        <v>2227</v>
      </c>
      <c r="I820">
        <v>2827717.1</v>
      </c>
      <c r="J820" s="123">
        <v>0</v>
      </c>
      <c r="K820" s="123">
        <v>0</v>
      </c>
      <c r="L820" s="123">
        <v>46144</v>
      </c>
      <c r="M820">
        <v>0</v>
      </c>
      <c r="N820">
        <v>0</v>
      </c>
      <c r="O820">
        <v>0</v>
      </c>
      <c r="P820" s="216">
        <v>32772</v>
      </c>
      <c r="Q820" s="217" t="s">
        <v>22</v>
      </c>
      <c r="R820" s="217" t="s">
        <v>554</v>
      </c>
      <c r="S820" s="218">
        <v>0.6000010821450279</v>
      </c>
      <c r="T820" t="s">
        <v>550</v>
      </c>
      <c r="U820" t="s">
        <v>51</v>
      </c>
      <c r="V820" s="219" t="s">
        <v>6306</v>
      </c>
      <c r="W820" s="219" t="s">
        <v>67</v>
      </c>
    </row>
    <row r="821" spans="1:23" ht="15" customHeight="1" x14ac:dyDescent="0.25">
      <c r="A821" t="s">
        <v>2228</v>
      </c>
      <c r="B821" t="s">
        <v>575</v>
      </c>
      <c r="C821">
        <v>250000</v>
      </c>
      <c r="D821" t="s">
        <v>2226</v>
      </c>
      <c r="E821" t="s">
        <v>203</v>
      </c>
      <c r="F821" t="s">
        <v>554</v>
      </c>
      <c r="G821" s="30">
        <v>46147</v>
      </c>
      <c r="H821" t="s">
        <v>2227</v>
      </c>
      <c r="I821">
        <v>2827717.1</v>
      </c>
      <c r="J821" s="123">
        <v>0</v>
      </c>
      <c r="K821" s="123">
        <v>0</v>
      </c>
      <c r="L821" s="123">
        <v>46144</v>
      </c>
      <c r="M821">
        <v>0</v>
      </c>
      <c r="N821">
        <v>0</v>
      </c>
      <c r="O821">
        <v>0</v>
      </c>
      <c r="P821" s="216">
        <v>250000</v>
      </c>
      <c r="Q821" s="217" t="s">
        <v>22</v>
      </c>
      <c r="R821" s="217" t="s">
        <v>554</v>
      </c>
      <c r="S821" s="218">
        <v>0.6000010821450279</v>
      </c>
      <c r="T821" t="s">
        <v>550</v>
      </c>
      <c r="U821" t="s">
        <v>51</v>
      </c>
      <c r="V821" s="219" t="s">
        <v>6307</v>
      </c>
      <c r="W821" s="219" t="s">
        <v>67</v>
      </c>
    </row>
    <row r="822" spans="1:23" ht="15" customHeight="1" x14ac:dyDescent="0.25">
      <c r="A822" t="s">
        <v>2229</v>
      </c>
      <c r="B822" t="s">
        <v>64</v>
      </c>
      <c r="C822">
        <v>180407</v>
      </c>
      <c r="D822" t="s">
        <v>2230</v>
      </c>
      <c r="E822" t="s">
        <v>203</v>
      </c>
      <c r="F822" t="s">
        <v>554</v>
      </c>
      <c r="G822" s="30">
        <v>46146</v>
      </c>
      <c r="H822" t="s">
        <v>2231</v>
      </c>
      <c r="I822">
        <v>1804071.5</v>
      </c>
      <c r="J822" s="123">
        <v>0</v>
      </c>
      <c r="K822" s="123">
        <v>46146</v>
      </c>
      <c r="L822" s="123">
        <v>0</v>
      </c>
      <c r="M822">
        <v>0</v>
      </c>
      <c r="N822">
        <v>0</v>
      </c>
      <c r="O822" t="s">
        <v>556</v>
      </c>
      <c r="P822" s="216">
        <v>180407</v>
      </c>
      <c r="Q822" s="217" t="s">
        <v>22</v>
      </c>
      <c r="R822" s="217" t="s">
        <v>554</v>
      </c>
      <c r="S822" s="218">
        <v>0.59999957873066556</v>
      </c>
      <c r="T822" t="s">
        <v>550</v>
      </c>
      <c r="U822" t="s">
        <v>51</v>
      </c>
      <c r="V822" s="219" t="s">
        <v>6308</v>
      </c>
      <c r="W822" s="219" t="s">
        <v>67</v>
      </c>
    </row>
    <row r="823" spans="1:23" ht="15" customHeight="1" x14ac:dyDescent="0.25">
      <c r="A823" t="s">
        <v>2232</v>
      </c>
      <c r="B823" t="s">
        <v>575</v>
      </c>
      <c r="C823">
        <v>185671</v>
      </c>
      <c r="D823" t="s">
        <v>2233</v>
      </c>
      <c r="E823" t="s">
        <v>203</v>
      </c>
      <c r="F823" t="s">
        <v>554</v>
      </c>
      <c r="G823" s="30">
        <v>46148</v>
      </c>
      <c r="H823" t="s">
        <v>2234</v>
      </c>
      <c r="I823">
        <v>1904714</v>
      </c>
      <c r="J823" s="123">
        <v>0</v>
      </c>
      <c r="K823" s="123">
        <v>0</v>
      </c>
      <c r="L823" s="123">
        <v>46147</v>
      </c>
      <c r="M823">
        <v>0</v>
      </c>
      <c r="N823">
        <v>0</v>
      </c>
      <c r="O823">
        <v>0</v>
      </c>
      <c r="P823" s="216">
        <v>185671</v>
      </c>
      <c r="Q823" s="217" t="s">
        <v>22</v>
      </c>
      <c r="R823" s="217" t="s">
        <v>554</v>
      </c>
      <c r="S823" s="218">
        <v>0.60000000525013197</v>
      </c>
      <c r="T823" t="s">
        <v>550</v>
      </c>
      <c r="U823" t="s">
        <v>51</v>
      </c>
      <c r="V823" s="219" t="s">
        <v>6309</v>
      </c>
      <c r="W823" s="219" t="s">
        <v>67</v>
      </c>
    </row>
    <row r="824" spans="1:23" ht="15" customHeight="1" x14ac:dyDescent="0.25">
      <c r="A824" t="s">
        <v>2235</v>
      </c>
      <c r="B824" t="s">
        <v>575</v>
      </c>
      <c r="C824">
        <v>185671</v>
      </c>
      <c r="D824" t="s">
        <v>2233</v>
      </c>
      <c r="E824" t="s">
        <v>203</v>
      </c>
      <c r="F824" t="s">
        <v>683</v>
      </c>
      <c r="G824" s="30">
        <v>46148</v>
      </c>
      <c r="H824" t="s">
        <v>2234</v>
      </c>
      <c r="I824">
        <v>1904714</v>
      </c>
      <c r="J824" s="123">
        <v>0</v>
      </c>
      <c r="K824" s="123">
        <v>0</v>
      </c>
      <c r="L824" s="123">
        <v>46147</v>
      </c>
      <c r="M824">
        <v>0</v>
      </c>
      <c r="N824">
        <v>0</v>
      </c>
      <c r="O824">
        <v>0</v>
      </c>
      <c r="P824" s="216">
        <v>185671</v>
      </c>
      <c r="Q824" s="217" t="s">
        <v>22</v>
      </c>
      <c r="R824" s="217" t="s">
        <v>62</v>
      </c>
      <c r="S824" s="218">
        <v>0.60000000525013197</v>
      </c>
      <c r="T824" t="s">
        <v>550</v>
      </c>
      <c r="U824" t="s">
        <v>51</v>
      </c>
      <c r="V824" s="219">
        <v>0</v>
      </c>
      <c r="W824" s="219">
        <v>0</v>
      </c>
    </row>
    <row r="825" spans="1:23" ht="15" customHeight="1" x14ac:dyDescent="0.25">
      <c r="A825" t="s">
        <v>2236</v>
      </c>
      <c r="B825" t="s">
        <v>546</v>
      </c>
      <c r="C825">
        <v>20000</v>
      </c>
      <c r="D825" t="s">
        <v>2237</v>
      </c>
      <c r="E825" t="s">
        <v>553</v>
      </c>
      <c r="F825" t="s">
        <v>554</v>
      </c>
      <c r="G825" s="30">
        <v>46146</v>
      </c>
      <c r="H825" t="s">
        <v>2238</v>
      </c>
      <c r="I825">
        <v>2332162</v>
      </c>
      <c r="J825" s="123">
        <v>46146</v>
      </c>
      <c r="K825" s="123">
        <v>0</v>
      </c>
      <c r="L825" s="123">
        <v>46146</v>
      </c>
      <c r="M825">
        <v>0</v>
      </c>
      <c r="N825">
        <v>0</v>
      </c>
      <c r="O825" t="s">
        <v>556</v>
      </c>
      <c r="P825" s="216">
        <v>20000</v>
      </c>
      <c r="Q825" s="217" t="s">
        <v>25</v>
      </c>
      <c r="R825" s="217" t="s">
        <v>554</v>
      </c>
      <c r="S825" s="218">
        <v>0.27356590151113003</v>
      </c>
      <c r="T825" t="s">
        <v>550</v>
      </c>
      <c r="U825" t="s">
        <v>51</v>
      </c>
      <c r="V825" s="219" t="s">
        <v>6310</v>
      </c>
      <c r="W825" s="219" t="s">
        <v>67</v>
      </c>
    </row>
    <row r="826" spans="1:23" ht="15" customHeight="1" x14ac:dyDescent="0.25">
      <c r="A826" t="s">
        <v>2239</v>
      </c>
      <c r="B826" t="s">
        <v>575</v>
      </c>
      <c r="C826">
        <v>11800.15</v>
      </c>
      <c r="D826" t="s">
        <v>2240</v>
      </c>
      <c r="E826" t="s">
        <v>151</v>
      </c>
      <c r="F826" t="s">
        <v>554</v>
      </c>
      <c r="G826" s="30">
        <v>46146</v>
      </c>
      <c r="H826" t="s">
        <v>2241</v>
      </c>
      <c r="I826">
        <v>1686199</v>
      </c>
      <c r="J826" s="123">
        <v>0</v>
      </c>
      <c r="K826" s="123">
        <v>0</v>
      </c>
      <c r="L826" s="123">
        <v>46143</v>
      </c>
      <c r="M826">
        <v>0</v>
      </c>
      <c r="N826">
        <v>0</v>
      </c>
      <c r="O826">
        <v>0</v>
      </c>
      <c r="P826" s="216">
        <v>11800.15</v>
      </c>
      <c r="Q826" s="217" t="s">
        <v>25</v>
      </c>
      <c r="R826" s="217" t="s">
        <v>554</v>
      </c>
      <c r="S826" s="218">
        <v>0.60027535895822492</v>
      </c>
      <c r="T826" t="s">
        <v>550</v>
      </c>
      <c r="U826" t="s">
        <v>51</v>
      </c>
      <c r="V826" s="219" t="s">
        <v>6311</v>
      </c>
      <c r="W826" s="219" t="s">
        <v>67</v>
      </c>
    </row>
    <row r="827" spans="1:23" ht="15" customHeight="1" x14ac:dyDescent="0.25">
      <c r="A827" t="s">
        <v>2242</v>
      </c>
      <c r="B827" t="s">
        <v>575</v>
      </c>
      <c r="C827">
        <v>201500</v>
      </c>
      <c r="D827" t="s">
        <v>2243</v>
      </c>
      <c r="E827" t="s">
        <v>183</v>
      </c>
      <c r="F827" t="s">
        <v>585</v>
      </c>
      <c r="G827" s="30">
        <v>46148</v>
      </c>
      <c r="H827" t="s">
        <v>2244</v>
      </c>
      <c r="I827">
        <v>9631931.1300000008</v>
      </c>
      <c r="J827" s="123">
        <v>0</v>
      </c>
      <c r="K827" s="123">
        <v>0</v>
      </c>
      <c r="L827" s="123">
        <v>46147</v>
      </c>
      <c r="M827">
        <v>0</v>
      </c>
      <c r="N827">
        <v>0</v>
      </c>
      <c r="O827">
        <v>0</v>
      </c>
      <c r="P827" s="216">
        <v>201500</v>
      </c>
      <c r="Q827" s="217" t="s">
        <v>33</v>
      </c>
      <c r="R827" s="217" t="s">
        <v>61</v>
      </c>
      <c r="S827" s="218">
        <v>0.72374832273120704</v>
      </c>
      <c r="T827" t="s">
        <v>550</v>
      </c>
      <c r="U827" t="s">
        <v>51</v>
      </c>
      <c r="V827" s="219">
        <v>0</v>
      </c>
      <c r="W827" s="219">
        <v>0</v>
      </c>
    </row>
    <row r="828" spans="1:23" ht="15" customHeight="1" x14ac:dyDescent="0.25">
      <c r="A828" t="s">
        <v>2245</v>
      </c>
      <c r="B828" t="s">
        <v>603</v>
      </c>
      <c r="C828">
        <v>159785</v>
      </c>
      <c r="D828" t="s">
        <v>2246</v>
      </c>
      <c r="E828" t="s">
        <v>605</v>
      </c>
      <c r="F828" t="s">
        <v>554</v>
      </c>
      <c r="G828" s="30">
        <v>46146</v>
      </c>
      <c r="H828" t="s">
        <v>2247</v>
      </c>
      <c r="I828">
        <v>1619509</v>
      </c>
      <c r="J828" s="123">
        <v>46146</v>
      </c>
      <c r="K828" s="123">
        <v>0</v>
      </c>
      <c r="L828" s="123">
        <v>0</v>
      </c>
      <c r="M828">
        <v>0</v>
      </c>
      <c r="N828">
        <v>0</v>
      </c>
      <c r="O828">
        <v>0</v>
      </c>
      <c r="P828" s="216">
        <v>159785</v>
      </c>
      <c r="Q828" s="217" t="s">
        <v>24</v>
      </c>
      <c r="R828" s="217" t="s">
        <v>554</v>
      </c>
      <c r="S828" s="218">
        <v>0.40000024698843911</v>
      </c>
      <c r="T828" t="s">
        <v>550</v>
      </c>
      <c r="U828" t="s">
        <v>51</v>
      </c>
      <c r="V828" s="219" t="s">
        <v>6312</v>
      </c>
      <c r="W828" s="219" t="s">
        <v>67</v>
      </c>
    </row>
    <row r="829" spans="1:23" ht="15" customHeight="1" x14ac:dyDescent="0.25">
      <c r="A829" t="s">
        <v>2248</v>
      </c>
      <c r="B829" t="s">
        <v>603</v>
      </c>
      <c r="C829">
        <v>19666</v>
      </c>
      <c r="D829" t="s">
        <v>2249</v>
      </c>
      <c r="E829" t="s">
        <v>605</v>
      </c>
      <c r="F829" t="s">
        <v>554</v>
      </c>
      <c r="G829" s="30">
        <v>46143</v>
      </c>
      <c r="H829" t="s">
        <v>2250</v>
      </c>
      <c r="I829">
        <v>1628539</v>
      </c>
      <c r="J829" s="123">
        <v>46146</v>
      </c>
      <c r="K829" s="123">
        <v>0</v>
      </c>
      <c r="L829" s="123">
        <v>0</v>
      </c>
      <c r="M829">
        <v>0</v>
      </c>
      <c r="N829">
        <v>0</v>
      </c>
      <c r="O829">
        <v>0</v>
      </c>
      <c r="P829" s="216">
        <v>19666</v>
      </c>
      <c r="Q829" s="217" t="s">
        <v>43</v>
      </c>
      <c r="R829" s="217" t="s">
        <v>554</v>
      </c>
      <c r="S829" s="218">
        <v>0.9861633279890748</v>
      </c>
      <c r="T829" t="s">
        <v>550</v>
      </c>
      <c r="U829" t="s">
        <v>51</v>
      </c>
      <c r="V829" s="219" t="s">
        <v>6313</v>
      </c>
      <c r="W829" s="219" t="s">
        <v>67</v>
      </c>
    </row>
    <row r="830" spans="1:23" ht="15" customHeight="1" x14ac:dyDescent="0.25">
      <c r="A830" t="s">
        <v>2251</v>
      </c>
      <c r="B830" t="s">
        <v>603</v>
      </c>
      <c r="C830">
        <v>440000</v>
      </c>
      <c r="D830" t="s">
        <v>2249</v>
      </c>
      <c r="E830" t="s">
        <v>605</v>
      </c>
      <c r="F830" t="s">
        <v>554</v>
      </c>
      <c r="G830" s="30">
        <v>46143</v>
      </c>
      <c r="H830" t="s">
        <v>2250</v>
      </c>
      <c r="I830">
        <v>1628539</v>
      </c>
      <c r="J830" s="123">
        <v>46143</v>
      </c>
      <c r="K830" s="123">
        <v>0</v>
      </c>
      <c r="L830" s="123">
        <v>0</v>
      </c>
      <c r="M830">
        <v>0</v>
      </c>
      <c r="N830">
        <v>0</v>
      </c>
      <c r="O830">
        <v>0</v>
      </c>
      <c r="P830" s="216">
        <v>440000</v>
      </c>
      <c r="Q830" s="217" t="s">
        <v>43</v>
      </c>
      <c r="R830" s="217" t="s">
        <v>554</v>
      </c>
      <c r="S830" s="218">
        <v>0.9861633279890748</v>
      </c>
      <c r="T830" t="s">
        <v>550</v>
      </c>
      <c r="U830" t="s">
        <v>51</v>
      </c>
      <c r="V830" s="219" t="s">
        <v>6314</v>
      </c>
      <c r="W830" s="219" t="s">
        <v>67</v>
      </c>
    </row>
    <row r="831" spans="1:23" ht="15" customHeight="1" x14ac:dyDescent="0.25">
      <c r="A831" t="s">
        <v>2252</v>
      </c>
      <c r="B831" t="s">
        <v>546</v>
      </c>
      <c r="C831">
        <v>36119.919999999998</v>
      </c>
      <c r="D831" t="s">
        <v>2253</v>
      </c>
      <c r="E831" t="s">
        <v>553</v>
      </c>
      <c r="F831" t="s">
        <v>554</v>
      </c>
      <c r="G831" s="30">
        <v>46148</v>
      </c>
      <c r="H831" t="s">
        <v>2254</v>
      </c>
      <c r="I831">
        <v>1661197.95</v>
      </c>
      <c r="J831" s="123">
        <v>46148</v>
      </c>
      <c r="K831" s="123">
        <v>0</v>
      </c>
      <c r="L831" s="123">
        <v>46148</v>
      </c>
      <c r="M831">
        <v>0</v>
      </c>
      <c r="N831">
        <v>0</v>
      </c>
      <c r="O831" t="s">
        <v>556</v>
      </c>
      <c r="P831" s="216">
        <v>36119.919999999998</v>
      </c>
      <c r="Q831" s="217" t="s">
        <v>24</v>
      </c>
      <c r="R831" s="217" t="s">
        <v>554</v>
      </c>
      <c r="S831" s="218">
        <v>0.49999941307416135</v>
      </c>
      <c r="T831" t="s">
        <v>550</v>
      </c>
      <c r="U831" t="s">
        <v>51</v>
      </c>
      <c r="V831" s="219" t="s">
        <v>6315</v>
      </c>
      <c r="W831" s="219" t="s">
        <v>67</v>
      </c>
    </row>
    <row r="832" spans="1:23" ht="15" customHeight="1" x14ac:dyDescent="0.25">
      <c r="A832" t="s">
        <v>2255</v>
      </c>
      <c r="B832" t="s">
        <v>546</v>
      </c>
      <c r="C832">
        <v>10000</v>
      </c>
      <c r="D832" t="s">
        <v>2256</v>
      </c>
      <c r="E832" t="s">
        <v>553</v>
      </c>
      <c r="F832" t="s">
        <v>554</v>
      </c>
      <c r="G832" s="30">
        <v>46144</v>
      </c>
      <c r="H832" t="s">
        <v>2257</v>
      </c>
      <c r="I832">
        <v>1672550.1</v>
      </c>
      <c r="J832" s="123">
        <v>46144</v>
      </c>
      <c r="K832" s="123">
        <v>0</v>
      </c>
      <c r="L832" s="123">
        <v>46144</v>
      </c>
      <c r="M832">
        <v>0</v>
      </c>
      <c r="N832">
        <v>0</v>
      </c>
      <c r="O832" t="s">
        <v>556</v>
      </c>
      <c r="P832" s="216">
        <v>10000</v>
      </c>
      <c r="Q832" s="217" t="s">
        <v>24</v>
      </c>
      <c r="R832" s="217" t="s">
        <v>554</v>
      </c>
      <c r="S832" s="218">
        <v>0.65213281204551066</v>
      </c>
      <c r="T832" t="s">
        <v>550</v>
      </c>
      <c r="U832" t="s">
        <v>51</v>
      </c>
      <c r="V832" s="219" t="s">
        <v>6316</v>
      </c>
      <c r="W832" s="219" t="s">
        <v>67</v>
      </c>
    </row>
    <row r="833" spans="1:23" ht="15" customHeight="1" x14ac:dyDescent="0.25">
      <c r="A833" t="s">
        <v>2258</v>
      </c>
      <c r="B833" t="s">
        <v>546</v>
      </c>
      <c r="C833">
        <v>25000</v>
      </c>
      <c r="D833" t="s">
        <v>2256</v>
      </c>
      <c r="E833" t="s">
        <v>553</v>
      </c>
      <c r="F833" t="s">
        <v>554</v>
      </c>
      <c r="G833" s="30">
        <v>46146</v>
      </c>
      <c r="H833" t="s">
        <v>2257</v>
      </c>
      <c r="I833">
        <v>1672550.1</v>
      </c>
      <c r="J833" s="123">
        <v>46146</v>
      </c>
      <c r="K833" s="123">
        <v>0</v>
      </c>
      <c r="L833" s="123">
        <v>46146</v>
      </c>
      <c r="M833">
        <v>0</v>
      </c>
      <c r="N833">
        <v>0</v>
      </c>
      <c r="O833" t="s">
        <v>556</v>
      </c>
      <c r="P833" s="216">
        <v>25000</v>
      </c>
      <c r="Q833" s="217" t="s">
        <v>24</v>
      </c>
      <c r="R833" s="217" t="s">
        <v>554</v>
      </c>
      <c r="S833" s="218">
        <v>0.65213281204551066</v>
      </c>
      <c r="T833" t="s">
        <v>550</v>
      </c>
      <c r="U833" t="s">
        <v>51</v>
      </c>
      <c r="V833" s="219" t="s">
        <v>6317</v>
      </c>
      <c r="W833" s="219" t="s">
        <v>67</v>
      </c>
    </row>
    <row r="834" spans="1:23" ht="15" customHeight="1" x14ac:dyDescent="0.25">
      <c r="A834" t="s">
        <v>2259</v>
      </c>
      <c r="B834" t="s">
        <v>546</v>
      </c>
      <c r="C834">
        <v>155060.20000000001</v>
      </c>
      <c r="D834" t="s">
        <v>2256</v>
      </c>
      <c r="E834" t="s">
        <v>553</v>
      </c>
      <c r="F834" t="s">
        <v>548</v>
      </c>
      <c r="G834" s="30">
        <v>46146</v>
      </c>
      <c r="H834" t="s">
        <v>2257</v>
      </c>
      <c r="I834">
        <v>1672550.1</v>
      </c>
      <c r="J834" s="123">
        <v>46146</v>
      </c>
      <c r="K834" s="123">
        <v>0</v>
      </c>
      <c r="L834" s="123">
        <v>46146</v>
      </c>
      <c r="M834">
        <v>0</v>
      </c>
      <c r="N834">
        <v>0</v>
      </c>
      <c r="O834" t="s">
        <v>556</v>
      </c>
      <c r="P834" s="216">
        <v>155060.20000000001</v>
      </c>
      <c r="Q834" s="217" t="s">
        <v>24</v>
      </c>
      <c r="R834" s="217" t="s">
        <v>62</v>
      </c>
      <c r="S834" s="218">
        <v>0.65213281204551066</v>
      </c>
      <c r="T834" t="s">
        <v>550</v>
      </c>
      <c r="U834" t="s">
        <v>51</v>
      </c>
      <c r="V834" s="219">
        <v>0</v>
      </c>
      <c r="W834" s="219">
        <v>0</v>
      </c>
    </row>
    <row r="835" spans="1:23" ht="15" customHeight="1" x14ac:dyDescent="0.25">
      <c r="A835" t="s">
        <v>2260</v>
      </c>
      <c r="B835" t="s">
        <v>546</v>
      </c>
      <c r="C835">
        <v>40000</v>
      </c>
      <c r="D835" t="s">
        <v>2256</v>
      </c>
      <c r="E835" t="s">
        <v>553</v>
      </c>
      <c r="F835" t="s">
        <v>554</v>
      </c>
      <c r="G835" s="30">
        <v>46148</v>
      </c>
      <c r="H835" t="s">
        <v>2257</v>
      </c>
      <c r="I835">
        <v>1672550.1</v>
      </c>
      <c r="J835" s="123">
        <v>46148</v>
      </c>
      <c r="K835" s="123">
        <v>0</v>
      </c>
      <c r="L835" s="123">
        <v>46148</v>
      </c>
      <c r="M835">
        <v>0</v>
      </c>
      <c r="N835">
        <v>0</v>
      </c>
      <c r="O835" t="s">
        <v>556</v>
      </c>
      <c r="P835" s="216">
        <v>40000</v>
      </c>
      <c r="Q835" s="217" t="s">
        <v>24</v>
      </c>
      <c r="R835" s="217" t="s">
        <v>554</v>
      </c>
      <c r="S835" s="218">
        <v>0.65213281204551066</v>
      </c>
      <c r="T835" t="s">
        <v>550</v>
      </c>
      <c r="U835" t="s">
        <v>51</v>
      </c>
      <c r="V835" s="219" t="s">
        <v>6318</v>
      </c>
      <c r="W835" s="219" t="s">
        <v>67</v>
      </c>
    </row>
    <row r="836" spans="1:23" ht="15" customHeight="1" x14ac:dyDescent="0.25">
      <c r="A836" t="s">
        <v>2261</v>
      </c>
      <c r="B836" t="s">
        <v>546</v>
      </c>
      <c r="C836">
        <v>30835</v>
      </c>
      <c r="D836" t="s">
        <v>2262</v>
      </c>
      <c r="E836" t="s">
        <v>238</v>
      </c>
      <c r="F836" t="s">
        <v>554</v>
      </c>
      <c r="G836" s="30">
        <v>46143</v>
      </c>
      <c r="H836" t="s">
        <v>2263</v>
      </c>
      <c r="I836">
        <v>1694420.1</v>
      </c>
      <c r="J836" s="123">
        <v>0</v>
      </c>
      <c r="K836" s="123">
        <v>0</v>
      </c>
      <c r="L836" s="123">
        <v>0</v>
      </c>
      <c r="M836">
        <v>0</v>
      </c>
      <c r="N836">
        <v>0</v>
      </c>
      <c r="O836">
        <v>0</v>
      </c>
      <c r="P836" s="216">
        <v>30835</v>
      </c>
      <c r="Q836" s="217" t="s">
        <v>19</v>
      </c>
      <c r="R836" s="217" t="s">
        <v>554</v>
      </c>
      <c r="S836" s="218">
        <v>0.7211465444726487</v>
      </c>
      <c r="T836" t="s">
        <v>550</v>
      </c>
      <c r="U836" t="s">
        <v>51</v>
      </c>
      <c r="V836" s="219" t="s">
        <v>6319</v>
      </c>
      <c r="W836" s="219" t="s">
        <v>67</v>
      </c>
    </row>
    <row r="837" spans="1:23" ht="15" customHeight="1" x14ac:dyDescent="0.25">
      <c r="A837" t="s">
        <v>2264</v>
      </c>
      <c r="B837" t="s">
        <v>546</v>
      </c>
      <c r="C837">
        <v>49000</v>
      </c>
      <c r="D837" t="s">
        <v>2262</v>
      </c>
      <c r="E837" t="s">
        <v>238</v>
      </c>
      <c r="F837" t="s">
        <v>554</v>
      </c>
      <c r="G837" s="30">
        <v>46143</v>
      </c>
      <c r="H837" t="s">
        <v>2263</v>
      </c>
      <c r="I837">
        <v>1694420.1</v>
      </c>
      <c r="J837" s="123">
        <v>0</v>
      </c>
      <c r="K837" s="123">
        <v>0</v>
      </c>
      <c r="L837" s="123">
        <v>0</v>
      </c>
      <c r="M837">
        <v>0</v>
      </c>
      <c r="N837">
        <v>0</v>
      </c>
      <c r="O837">
        <v>0</v>
      </c>
      <c r="P837" s="216">
        <v>49000</v>
      </c>
      <c r="Q837" s="217" t="s">
        <v>19</v>
      </c>
      <c r="R837" s="217" t="s">
        <v>554</v>
      </c>
      <c r="S837" s="218">
        <v>0.7211465444726487</v>
      </c>
      <c r="T837" t="s">
        <v>550</v>
      </c>
      <c r="U837" t="s">
        <v>51</v>
      </c>
      <c r="V837" s="219" t="s">
        <v>6320</v>
      </c>
      <c r="W837" s="219" t="s">
        <v>67</v>
      </c>
    </row>
    <row r="838" spans="1:23" ht="15" customHeight="1" x14ac:dyDescent="0.25">
      <c r="A838" t="s">
        <v>2265</v>
      </c>
      <c r="B838" t="s">
        <v>595</v>
      </c>
      <c r="C838">
        <v>282338</v>
      </c>
      <c r="D838" t="s">
        <v>2266</v>
      </c>
      <c r="E838" t="s">
        <v>238</v>
      </c>
      <c r="F838" t="s">
        <v>585</v>
      </c>
      <c r="G838" s="30">
        <v>46148</v>
      </c>
      <c r="H838" t="s">
        <v>2267</v>
      </c>
      <c r="I838">
        <v>2846035.9</v>
      </c>
      <c r="J838" s="123">
        <v>0</v>
      </c>
      <c r="K838" s="123">
        <v>0</v>
      </c>
      <c r="L838" s="123">
        <v>46142</v>
      </c>
      <c r="M838">
        <v>0</v>
      </c>
      <c r="N838">
        <v>0</v>
      </c>
      <c r="O838">
        <v>0</v>
      </c>
      <c r="P838" s="216">
        <v>282338</v>
      </c>
      <c r="Q838" s="217" t="s">
        <v>19</v>
      </c>
      <c r="R838" s="217" t="s">
        <v>61</v>
      </c>
      <c r="S838" s="218">
        <v>0.40079595974175869</v>
      </c>
      <c r="T838" t="s">
        <v>550</v>
      </c>
      <c r="U838" t="s">
        <v>51</v>
      </c>
      <c r="V838" s="219">
        <v>0</v>
      </c>
      <c r="W838" s="219">
        <v>0</v>
      </c>
    </row>
    <row r="839" spans="1:23" ht="15" customHeight="1" x14ac:dyDescent="0.25">
      <c r="A839" t="s">
        <v>2268</v>
      </c>
      <c r="B839" t="s">
        <v>575</v>
      </c>
      <c r="C839">
        <v>291447</v>
      </c>
      <c r="D839" t="s">
        <v>2269</v>
      </c>
      <c r="E839" t="s">
        <v>218</v>
      </c>
      <c r="F839" t="s">
        <v>554</v>
      </c>
      <c r="G839" s="30">
        <v>46146</v>
      </c>
      <c r="H839" t="s">
        <v>2270</v>
      </c>
      <c r="I839">
        <v>3004470.3</v>
      </c>
      <c r="J839" s="123">
        <v>0</v>
      </c>
      <c r="K839" s="123">
        <v>0</v>
      </c>
      <c r="L839" s="123">
        <v>46143</v>
      </c>
      <c r="M839">
        <v>0</v>
      </c>
      <c r="N839">
        <v>0</v>
      </c>
      <c r="O839">
        <v>0</v>
      </c>
      <c r="P839" s="216">
        <v>291447</v>
      </c>
      <c r="Q839" s="217" t="s">
        <v>13</v>
      </c>
      <c r="R839" s="217" t="s">
        <v>554</v>
      </c>
      <c r="S839" s="218">
        <v>0.49999995007439418</v>
      </c>
      <c r="T839" t="s">
        <v>550</v>
      </c>
      <c r="U839" t="s">
        <v>51</v>
      </c>
      <c r="V839" s="219" t="s">
        <v>6321</v>
      </c>
      <c r="W839" s="219" t="s">
        <v>67</v>
      </c>
    </row>
    <row r="840" spans="1:23" ht="15" customHeight="1" x14ac:dyDescent="0.25">
      <c r="A840" t="s">
        <v>2271</v>
      </c>
      <c r="B840" t="s">
        <v>575</v>
      </c>
      <c r="C840">
        <v>500000</v>
      </c>
      <c r="D840" t="s">
        <v>2272</v>
      </c>
      <c r="E840" t="s">
        <v>273</v>
      </c>
      <c r="F840" t="s">
        <v>554</v>
      </c>
      <c r="G840" s="30">
        <v>46146</v>
      </c>
      <c r="H840" t="s">
        <v>2273</v>
      </c>
      <c r="I840">
        <v>3008871.45</v>
      </c>
      <c r="J840" s="123">
        <v>0</v>
      </c>
      <c r="K840" s="123">
        <v>0</v>
      </c>
      <c r="L840" s="123">
        <v>46145</v>
      </c>
      <c r="M840">
        <v>0</v>
      </c>
      <c r="N840">
        <v>0</v>
      </c>
      <c r="O840">
        <v>0</v>
      </c>
      <c r="P840" s="216">
        <v>500000</v>
      </c>
      <c r="Q840" s="217" t="s">
        <v>38</v>
      </c>
      <c r="R840" s="217" t="s">
        <v>554</v>
      </c>
      <c r="S840" s="218">
        <v>0.97496283864171063</v>
      </c>
      <c r="T840" t="s">
        <v>550</v>
      </c>
      <c r="U840" t="s">
        <v>51</v>
      </c>
      <c r="V840" s="219" t="s">
        <v>6322</v>
      </c>
      <c r="W840" s="219" t="s">
        <v>67</v>
      </c>
    </row>
    <row r="841" spans="1:23" ht="15" customHeight="1" x14ac:dyDescent="0.25">
      <c r="A841" t="s">
        <v>2274</v>
      </c>
      <c r="B841" t="s">
        <v>575</v>
      </c>
      <c r="C841">
        <v>500000</v>
      </c>
      <c r="D841" t="s">
        <v>2272</v>
      </c>
      <c r="E841" t="s">
        <v>273</v>
      </c>
      <c r="F841" t="s">
        <v>554</v>
      </c>
      <c r="G841" s="30">
        <v>46146</v>
      </c>
      <c r="H841" t="s">
        <v>2273</v>
      </c>
      <c r="I841">
        <v>3008871.45</v>
      </c>
      <c r="J841" s="123">
        <v>0</v>
      </c>
      <c r="K841" s="123">
        <v>0</v>
      </c>
      <c r="L841" s="123">
        <v>46146</v>
      </c>
      <c r="M841">
        <v>0</v>
      </c>
      <c r="N841">
        <v>0</v>
      </c>
      <c r="O841">
        <v>0</v>
      </c>
      <c r="P841" s="216">
        <v>500000</v>
      </c>
      <c r="Q841" s="217" t="s">
        <v>38</v>
      </c>
      <c r="R841" s="217" t="s">
        <v>554</v>
      </c>
      <c r="S841" s="218">
        <v>0.97496283864171063</v>
      </c>
      <c r="T841" t="s">
        <v>550</v>
      </c>
      <c r="U841" t="s">
        <v>51</v>
      </c>
      <c r="V841" s="219" t="s">
        <v>6323</v>
      </c>
      <c r="W841" s="219" t="s">
        <v>67</v>
      </c>
    </row>
    <row r="842" spans="1:23" ht="15" customHeight="1" x14ac:dyDescent="0.25">
      <c r="A842" t="s">
        <v>2275</v>
      </c>
      <c r="B842" t="s">
        <v>575</v>
      </c>
      <c r="C842">
        <v>90629</v>
      </c>
      <c r="D842" t="s">
        <v>2272</v>
      </c>
      <c r="E842" t="s">
        <v>273</v>
      </c>
      <c r="F842" t="s">
        <v>554</v>
      </c>
      <c r="G842" s="30">
        <v>46147</v>
      </c>
      <c r="H842" t="s">
        <v>2273</v>
      </c>
      <c r="I842">
        <v>3008871.45</v>
      </c>
      <c r="J842" s="123">
        <v>0</v>
      </c>
      <c r="K842" s="123">
        <v>0</v>
      </c>
      <c r="L842" s="123">
        <v>46147</v>
      </c>
      <c r="M842">
        <v>0</v>
      </c>
      <c r="N842">
        <v>0</v>
      </c>
      <c r="O842">
        <v>0</v>
      </c>
      <c r="P842" s="216">
        <v>90629</v>
      </c>
      <c r="Q842" s="217" t="s">
        <v>38</v>
      </c>
      <c r="R842" s="217" t="s">
        <v>554</v>
      </c>
      <c r="S842" s="218">
        <v>0.97496283864171063</v>
      </c>
      <c r="T842" t="s">
        <v>550</v>
      </c>
      <c r="U842" t="s">
        <v>51</v>
      </c>
      <c r="V842" s="219" t="s">
        <v>6324</v>
      </c>
      <c r="W842" s="219" t="s">
        <v>67</v>
      </c>
    </row>
    <row r="843" spans="1:23" ht="15" customHeight="1" x14ac:dyDescent="0.25">
      <c r="A843" t="s">
        <v>2276</v>
      </c>
      <c r="B843" t="s">
        <v>546</v>
      </c>
      <c r="C843">
        <v>43000</v>
      </c>
      <c r="D843" t="s">
        <v>2277</v>
      </c>
      <c r="E843" t="s">
        <v>553</v>
      </c>
      <c r="F843" t="s">
        <v>554</v>
      </c>
      <c r="G843" s="30">
        <v>46144</v>
      </c>
      <c r="H843" t="s">
        <v>2278</v>
      </c>
      <c r="I843">
        <v>2889068.6</v>
      </c>
      <c r="J843" s="123">
        <v>46144</v>
      </c>
      <c r="K843" s="123">
        <v>0</v>
      </c>
      <c r="L843" s="123">
        <v>46144</v>
      </c>
      <c r="M843">
        <v>0</v>
      </c>
      <c r="N843">
        <v>0</v>
      </c>
      <c r="O843" t="s">
        <v>556</v>
      </c>
      <c r="P843" s="216">
        <v>43000</v>
      </c>
      <c r="Q843" s="217" t="s">
        <v>24</v>
      </c>
      <c r="R843" s="217" t="s">
        <v>554</v>
      </c>
      <c r="S843" s="218">
        <v>0.61488357874229782</v>
      </c>
      <c r="T843" t="s">
        <v>550</v>
      </c>
      <c r="U843" t="s">
        <v>51</v>
      </c>
      <c r="V843" s="219" t="s">
        <v>6325</v>
      </c>
      <c r="W843" s="219" t="s">
        <v>67</v>
      </c>
    </row>
    <row r="844" spans="1:23" ht="15" customHeight="1" x14ac:dyDescent="0.25">
      <c r="A844" t="s">
        <v>2279</v>
      </c>
      <c r="B844" t="s">
        <v>546</v>
      </c>
      <c r="C844">
        <v>288902.15999999997</v>
      </c>
      <c r="D844" t="s">
        <v>2277</v>
      </c>
      <c r="E844" t="s">
        <v>553</v>
      </c>
      <c r="F844" t="s">
        <v>548</v>
      </c>
      <c r="G844" s="30">
        <v>46144</v>
      </c>
      <c r="H844" t="s">
        <v>2278</v>
      </c>
      <c r="I844">
        <v>2889068.6</v>
      </c>
      <c r="J844" s="123">
        <v>46144</v>
      </c>
      <c r="K844" s="123">
        <v>0</v>
      </c>
      <c r="L844" s="123">
        <v>46144</v>
      </c>
      <c r="M844">
        <v>0</v>
      </c>
      <c r="N844">
        <v>0</v>
      </c>
      <c r="O844" t="s">
        <v>556</v>
      </c>
      <c r="P844" s="216">
        <v>288902.15999999997</v>
      </c>
      <c r="Q844" s="217" t="s">
        <v>24</v>
      </c>
      <c r="R844" s="217" t="s">
        <v>62</v>
      </c>
      <c r="S844" s="218">
        <v>0.61488357874229782</v>
      </c>
      <c r="T844" t="s">
        <v>550</v>
      </c>
      <c r="U844" t="s">
        <v>51</v>
      </c>
      <c r="V844" s="219">
        <v>0</v>
      </c>
      <c r="W844" s="219">
        <v>0</v>
      </c>
    </row>
    <row r="845" spans="1:23" ht="15" customHeight="1" x14ac:dyDescent="0.25">
      <c r="A845" t="s">
        <v>2280</v>
      </c>
      <c r="B845" t="s">
        <v>595</v>
      </c>
      <c r="C845">
        <v>187659</v>
      </c>
      <c r="D845" t="s">
        <v>2281</v>
      </c>
      <c r="E845" t="s">
        <v>321</v>
      </c>
      <c r="F845" t="s">
        <v>554</v>
      </c>
      <c r="G845" s="30">
        <v>46146</v>
      </c>
      <c r="H845" t="s">
        <v>2282</v>
      </c>
      <c r="I845">
        <v>1876602</v>
      </c>
      <c r="J845" s="123">
        <v>0</v>
      </c>
      <c r="K845" s="123">
        <v>0</v>
      </c>
      <c r="L845" s="123">
        <v>46145</v>
      </c>
      <c r="M845">
        <v>0</v>
      </c>
      <c r="N845">
        <v>0</v>
      </c>
      <c r="O845">
        <v>0</v>
      </c>
      <c r="P845" s="216">
        <v>187659</v>
      </c>
      <c r="Q845" s="217" t="s">
        <v>43</v>
      </c>
      <c r="R845" s="217" t="s">
        <v>554</v>
      </c>
      <c r="S845" s="218">
        <v>0.79953980652264034</v>
      </c>
      <c r="T845" t="s">
        <v>550</v>
      </c>
      <c r="U845" t="s">
        <v>51</v>
      </c>
      <c r="V845" s="219" t="s">
        <v>6326</v>
      </c>
      <c r="W845" s="219" t="s">
        <v>67</v>
      </c>
    </row>
    <row r="846" spans="1:23" ht="15" customHeight="1" x14ac:dyDescent="0.25">
      <c r="A846" t="s">
        <v>2283</v>
      </c>
      <c r="B846" t="s">
        <v>575</v>
      </c>
      <c r="C846">
        <v>250000</v>
      </c>
      <c r="D846" t="s">
        <v>2284</v>
      </c>
      <c r="E846" t="s">
        <v>157</v>
      </c>
      <c r="F846" t="s">
        <v>580</v>
      </c>
      <c r="G846" s="30">
        <v>46148</v>
      </c>
      <c r="H846" t="s">
        <v>2285</v>
      </c>
      <c r="I846">
        <v>4739345</v>
      </c>
      <c r="J846" s="123">
        <v>0</v>
      </c>
      <c r="K846" s="123">
        <v>0</v>
      </c>
      <c r="L846" s="123">
        <v>46148</v>
      </c>
      <c r="M846">
        <v>0</v>
      </c>
      <c r="N846">
        <v>0</v>
      </c>
      <c r="O846">
        <v>0</v>
      </c>
      <c r="P846" s="216">
        <v>250000</v>
      </c>
      <c r="Q846" s="217" t="s">
        <v>14</v>
      </c>
      <c r="R846" s="217" t="s">
        <v>582</v>
      </c>
      <c r="S846" s="218">
        <v>0.30000031649943187</v>
      </c>
      <c r="T846" t="s">
        <v>550</v>
      </c>
      <c r="U846" t="s">
        <v>51</v>
      </c>
      <c r="V846" s="219">
        <v>0</v>
      </c>
      <c r="W846" s="219">
        <v>0</v>
      </c>
    </row>
    <row r="847" spans="1:23" ht="15" customHeight="1" x14ac:dyDescent="0.25">
      <c r="A847" t="s">
        <v>2286</v>
      </c>
      <c r="B847" t="s">
        <v>575</v>
      </c>
      <c r="C847">
        <v>1412362</v>
      </c>
      <c r="D847" t="s">
        <v>2287</v>
      </c>
      <c r="E847" t="s">
        <v>278</v>
      </c>
      <c r="F847" t="s">
        <v>554</v>
      </c>
      <c r="G847" s="30">
        <v>46147</v>
      </c>
      <c r="H847" t="s">
        <v>2288</v>
      </c>
      <c r="I847">
        <v>2429151.25</v>
      </c>
      <c r="J847" s="123">
        <v>0</v>
      </c>
      <c r="K847" s="123">
        <v>0</v>
      </c>
      <c r="L847" s="123">
        <v>46147</v>
      </c>
      <c r="M847">
        <v>0</v>
      </c>
      <c r="N847">
        <v>0</v>
      </c>
      <c r="O847">
        <v>0</v>
      </c>
      <c r="P847" s="216">
        <v>1412362</v>
      </c>
      <c r="Q847" s="217" t="s">
        <v>39</v>
      </c>
      <c r="R847" s="217" t="s">
        <v>554</v>
      </c>
      <c r="S847" s="218">
        <v>0.98565144512924008</v>
      </c>
      <c r="T847" t="s">
        <v>550</v>
      </c>
      <c r="U847" t="s">
        <v>51</v>
      </c>
      <c r="V847" s="219" t="s">
        <v>6327</v>
      </c>
      <c r="W847" s="219" t="s">
        <v>67</v>
      </c>
    </row>
    <row r="848" spans="1:23" ht="15" customHeight="1" x14ac:dyDescent="0.25">
      <c r="A848" t="s">
        <v>2289</v>
      </c>
      <c r="B848" t="s">
        <v>575</v>
      </c>
      <c r="C848">
        <v>232641.56</v>
      </c>
      <c r="D848" t="s">
        <v>2287</v>
      </c>
      <c r="E848" t="s">
        <v>553</v>
      </c>
      <c r="F848" t="s">
        <v>683</v>
      </c>
      <c r="G848" s="30">
        <v>46147</v>
      </c>
      <c r="H848" t="s">
        <v>2288</v>
      </c>
      <c r="I848">
        <v>2429151.25</v>
      </c>
      <c r="J848" s="123">
        <v>46147</v>
      </c>
      <c r="K848" s="123">
        <v>0</v>
      </c>
      <c r="L848" s="123">
        <v>46147</v>
      </c>
      <c r="M848">
        <v>0</v>
      </c>
      <c r="N848">
        <v>0</v>
      </c>
      <c r="O848" t="s">
        <v>556</v>
      </c>
      <c r="P848" s="216">
        <v>232641.56</v>
      </c>
      <c r="Q848" s="217" t="s">
        <v>14</v>
      </c>
      <c r="R848" s="217" t="s">
        <v>62</v>
      </c>
      <c r="S848" s="218">
        <v>0.98565144512924008</v>
      </c>
      <c r="T848" t="s">
        <v>550</v>
      </c>
      <c r="U848" t="s">
        <v>51</v>
      </c>
      <c r="V848" s="219">
        <v>0</v>
      </c>
      <c r="W848" s="219">
        <v>0</v>
      </c>
    </row>
    <row r="849" spans="1:23" ht="15" customHeight="1" x14ac:dyDescent="0.25">
      <c r="A849" t="s">
        <v>2290</v>
      </c>
      <c r="B849" t="s">
        <v>546</v>
      </c>
      <c r="C849">
        <v>279888.71000000002</v>
      </c>
      <c r="D849" t="s">
        <v>2291</v>
      </c>
      <c r="E849" t="s">
        <v>553</v>
      </c>
      <c r="F849" t="s">
        <v>548</v>
      </c>
      <c r="G849" s="30">
        <v>46146</v>
      </c>
      <c r="H849" t="s">
        <v>2292</v>
      </c>
      <c r="I849">
        <v>2779324.8</v>
      </c>
      <c r="J849" s="123">
        <v>46146</v>
      </c>
      <c r="K849" s="123">
        <v>0</v>
      </c>
      <c r="L849" s="123">
        <v>46146</v>
      </c>
      <c r="M849">
        <v>0</v>
      </c>
      <c r="N849">
        <v>0</v>
      </c>
      <c r="O849" t="s">
        <v>556</v>
      </c>
      <c r="P849" s="216">
        <v>279888.71000000002</v>
      </c>
      <c r="Q849" s="217" t="s">
        <v>24</v>
      </c>
      <c r="R849" s="217" t="s">
        <v>62</v>
      </c>
      <c r="S849" s="218">
        <v>0.59797879326662362</v>
      </c>
      <c r="T849" t="s">
        <v>550</v>
      </c>
      <c r="U849" t="s">
        <v>51</v>
      </c>
      <c r="V849" s="219">
        <v>0</v>
      </c>
      <c r="W849" s="219">
        <v>0</v>
      </c>
    </row>
    <row r="850" spans="1:23" ht="15" customHeight="1" x14ac:dyDescent="0.25">
      <c r="A850" t="s">
        <v>2293</v>
      </c>
      <c r="B850" t="s">
        <v>595</v>
      </c>
      <c r="C850">
        <v>289393</v>
      </c>
      <c r="D850" t="s">
        <v>2294</v>
      </c>
      <c r="E850" t="s">
        <v>233</v>
      </c>
      <c r="F850" t="s">
        <v>554</v>
      </c>
      <c r="G850" s="30">
        <v>46147</v>
      </c>
      <c r="H850" t="s">
        <v>2295</v>
      </c>
      <c r="I850">
        <v>2883478.5</v>
      </c>
      <c r="J850" s="123">
        <v>0</v>
      </c>
      <c r="K850" s="123">
        <v>0</v>
      </c>
      <c r="L850" s="123">
        <v>46142</v>
      </c>
      <c r="M850">
        <v>0</v>
      </c>
      <c r="N850">
        <v>0</v>
      </c>
      <c r="O850">
        <v>0</v>
      </c>
      <c r="P850" s="216">
        <v>289393</v>
      </c>
      <c r="Q850" s="217" t="s">
        <v>24</v>
      </c>
      <c r="R850" s="217" t="s">
        <v>554</v>
      </c>
      <c r="S850" s="218">
        <v>0.70202202305305894</v>
      </c>
      <c r="T850" t="s">
        <v>550</v>
      </c>
      <c r="U850" t="s">
        <v>51</v>
      </c>
      <c r="V850" s="219" t="s">
        <v>6328</v>
      </c>
      <c r="W850" s="219" t="s">
        <v>67</v>
      </c>
    </row>
    <row r="851" spans="1:23" ht="15" customHeight="1" x14ac:dyDescent="0.25">
      <c r="A851" t="s">
        <v>2296</v>
      </c>
      <c r="B851" t="s">
        <v>575</v>
      </c>
      <c r="C851">
        <v>788997</v>
      </c>
      <c r="D851" t="s">
        <v>2297</v>
      </c>
      <c r="E851" t="s">
        <v>141</v>
      </c>
      <c r="F851" t="s">
        <v>554</v>
      </c>
      <c r="G851" s="30">
        <v>46144</v>
      </c>
      <c r="H851" t="s">
        <v>2298</v>
      </c>
      <c r="I851">
        <v>7889973</v>
      </c>
      <c r="J851" s="123">
        <v>0</v>
      </c>
      <c r="K851" s="123">
        <v>0</v>
      </c>
      <c r="L851" s="123">
        <v>46143</v>
      </c>
      <c r="M851">
        <v>0</v>
      </c>
      <c r="N851">
        <v>0</v>
      </c>
      <c r="O851">
        <v>0</v>
      </c>
      <c r="P851" s="216">
        <v>788997</v>
      </c>
      <c r="Q851" s="217" t="s">
        <v>34</v>
      </c>
      <c r="R851" s="217" t="s">
        <v>554</v>
      </c>
      <c r="S851" s="218">
        <v>0.70000565654660674</v>
      </c>
      <c r="T851" t="s">
        <v>550</v>
      </c>
      <c r="U851" t="s">
        <v>51</v>
      </c>
      <c r="V851" s="219" t="s">
        <v>6329</v>
      </c>
      <c r="W851" s="219" t="s">
        <v>67</v>
      </c>
    </row>
    <row r="852" spans="1:23" ht="15" customHeight="1" x14ac:dyDescent="0.25">
      <c r="A852" t="s">
        <v>2299</v>
      </c>
      <c r="B852" t="s">
        <v>575</v>
      </c>
      <c r="C852">
        <v>311540.12</v>
      </c>
      <c r="D852" t="s">
        <v>2300</v>
      </c>
      <c r="E852" t="s">
        <v>553</v>
      </c>
      <c r="F852" t="s">
        <v>683</v>
      </c>
      <c r="G852" s="30">
        <v>46147</v>
      </c>
      <c r="H852" t="s">
        <v>2301</v>
      </c>
      <c r="I852">
        <v>3109628</v>
      </c>
      <c r="J852" s="123">
        <v>46147</v>
      </c>
      <c r="K852" s="123">
        <v>0</v>
      </c>
      <c r="L852" s="123">
        <v>46147</v>
      </c>
      <c r="M852">
        <v>0</v>
      </c>
      <c r="N852">
        <v>0</v>
      </c>
      <c r="O852" t="s">
        <v>556</v>
      </c>
      <c r="P852" s="216">
        <v>311540.12</v>
      </c>
      <c r="Q852" s="217" t="s">
        <v>34</v>
      </c>
      <c r="R852" s="217" t="s">
        <v>62</v>
      </c>
      <c r="S852" s="218">
        <v>0.59981415140331895</v>
      </c>
      <c r="T852" t="s">
        <v>550</v>
      </c>
      <c r="U852" t="s">
        <v>51</v>
      </c>
      <c r="V852" s="219">
        <v>0</v>
      </c>
      <c r="W852" s="219">
        <v>0</v>
      </c>
    </row>
    <row r="853" spans="1:23" ht="15" customHeight="1" x14ac:dyDescent="0.25">
      <c r="A853" t="s">
        <v>2302</v>
      </c>
      <c r="B853" t="s">
        <v>575</v>
      </c>
      <c r="C853">
        <v>80000</v>
      </c>
      <c r="D853" t="s">
        <v>2303</v>
      </c>
      <c r="E853" t="s">
        <v>141</v>
      </c>
      <c r="F853" t="s">
        <v>554</v>
      </c>
      <c r="G853" s="30">
        <v>46147</v>
      </c>
      <c r="H853" t="s">
        <v>2304</v>
      </c>
      <c r="I853">
        <v>6847984</v>
      </c>
      <c r="J853" s="123">
        <v>0</v>
      </c>
      <c r="K853" s="123">
        <v>0</v>
      </c>
      <c r="L853" s="123">
        <v>46147</v>
      </c>
      <c r="M853">
        <v>0</v>
      </c>
      <c r="N853">
        <v>0</v>
      </c>
      <c r="O853">
        <v>0</v>
      </c>
      <c r="P853" s="216">
        <v>80000</v>
      </c>
      <c r="Q853" s="217" t="s">
        <v>34</v>
      </c>
      <c r="R853" s="217" t="s">
        <v>554</v>
      </c>
      <c r="S853" s="218">
        <v>0.67435116670833339</v>
      </c>
      <c r="T853" t="s">
        <v>550</v>
      </c>
      <c r="U853" t="s">
        <v>51</v>
      </c>
      <c r="V853" s="219" t="s">
        <v>6330</v>
      </c>
      <c r="W853" s="219" t="s">
        <v>67</v>
      </c>
    </row>
    <row r="854" spans="1:23" ht="15" customHeight="1" x14ac:dyDescent="0.25">
      <c r="A854" t="s">
        <v>2305</v>
      </c>
      <c r="B854" t="s">
        <v>64</v>
      </c>
      <c r="C854">
        <v>684798.4</v>
      </c>
      <c r="D854" t="s">
        <v>2306</v>
      </c>
      <c r="E854" t="s">
        <v>1126</v>
      </c>
      <c r="F854" t="s">
        <v>554</v>
      </c>
      <c r="G854" s="30">
        <v>46146</v>
      </c>
      <c r="H854" t="s">
        <v>2307</v>
      </c>
      <c r="I854">
        <v>6847984</v>
      </c>
      <c r="J854" s="123">
        <v>0</v>
      </c>
      <c r="K854" s="123">
        <v>46143</v>
      </c>
      <c r="L854" s="123">
        <v>0</v>
      </c>
      <c r="M854">
        <v>0</v>
      </c>
      <c r="N854">
        <v>0</v>
      </c>
      <c r="O854">
        <v>0</v>
      </c>
      <c r="P854" s="216">
        <v>684798.4</v>
      </c>
      <c r="Q854" s="217" t="s">
        <v>34</v>
      </c>
      <c r="R854" s="217" t="s">
        <v>554</v>
      </c>
      <c r="S854" s="218">
        <v>0.59999937353825594</v>
      </c>
      <c r="T854" t="s">
        <v>550</v>
      </c>
      <c r="U854" t="s">
        <v>51</v>
      </c>
      <c r="V854" s="219" t="s">
        <v>6331</v>
      </c>
      <c r="W854" s="219" t="s">
        <v>71</v>
      </c>
    </row>
    <row r="855" spans="1:23" ht="15" customHeight="1" x14ac:dyDescent="0.25">
      <c r="A855" t="s">
        <v>2308</v>
      </c>
      <c r="B855" t="s">
        <v>546</v>
      </c>
      <c r="C855">
        <v>45000</v>
      </c>
      <c r="D855" t="s">
        <v>2309</v>
      </c>
      <c r="E855" t="s">
        <v>553</v>
      </c>
      <c r="F855" t="s">
        <v>554</v>
      </c>
      <c r="G855" s="30">
        <v>46143</v>
      </c>
      <c r="H855" t="s">
        <v>2310</v>
      </c>
      <c r="I855">
        <v>6829862</v>
      </c>
      <c r="J855" s="123">
        <v>46143</v>
      </c>
      <c r="K855" s="123">
        <v>0</v>
      </c>
      <c r="L855" s="123">
        <v>46143</v>
      </c>
      <c r="M855">
        <v>0</v>
      </c>
      <c r="N855">
        <v>0</v>
      </c>
      <c r="O855" t="s">
        <v>556</v>
      </c>
      <c r="P855" s="216">
        <v>45000</v>
      </c>
      <c r="Q855" s="217" t="s">
        <v>34</v>
      </c>
      <c r="R855" s="217" t="s">
        <v>554</v>
      </c>
      <c r="S855" s="218">
        <v>0.66476980061969038</v>
      </c>
      <c r="T855" t="s">
        <v>550</v>
      </c>
      <c r="U855" t="s">
        <v>51</v>
      </c>
      <c r="V855" s="219" t="s">
        <v>6332</v>
      </c>
      <c r="W855" s="219" t="s">
        <v>67</v>
      </c>
    </row>
    <row r="856" spans="1:23" ht="15" customHeight="1" x14ac:dyDescent="0.25">
      <c r="A856" t="s">
        <v>2311</v>
      </c>
      <c r="B856" t="s">
        <v>546</v>
      </c>
      <c r="C856">
        <v>45000</v>
      </c>
      <c r="D856" t="s">
        <v>2309</v>
      </c>
      <c r="E856" t="s">
        <v>553</v>
      </c>
      <c r="F856" t="s">
        <v>548</v>
      </c>
      <c r="G856" s="30">
        <v>46143</v>
      </c>
      <c r="H856" t="s">
        <v>2310</v>
      </c>
      <c r="I856">
        <v>6829862</v>
      </c>
      <c r="J856" s="123">
        <v>46143</v>
      </c>
      <c r="K856" s="123">
        <v>0</v>
      </c>
      <c r="L856" s="123">
        <v>46143</v>
      </c>
      <c r="M856">
        <v>0</v>
      </c>
      <c r="N856">
        <v>0</v>
      </c>
      <c r="O856" t="s">
        <v>556</v>
      </c>
      <c r="P856" s="216">
        <v>45000</v>
      </c>
      <c r="Q856" s="217" t="s">
        <v>34</v>
      </c>
      <c r="R856" s="217" t="s">
        <v>62</v>
      </c>
      <c r="S856" s="218">
        <v>0.66476980061969038</v>
      </c>
      <c r="T856" t="s">
        <v>550</v>
      </c>
      <c r="U856" t="s">
        <v>51</v>
      </c>
      <c r="V856" s="219">
        <v>0</v>
      </c>
      <c r="W856" s="219">
        <v>0</v>
      </c>
    </row>
    <row r="857" spans="1:23" ht="15" customHeight="1" x14ac:dyDescent="0.25">
      <c r="A857" t="s">
        <v>2312</v>
      </c>
      <c r="B857" t="s">
        <v>546</v>
      </c>
      <c r="C857">
        <v>45000</v>
      </c>
      <c r="D857" t="s">
        <v>2309</v>
      </c>
      <c r="E857" t="s">
        <v>553</v>
      </c>
      <c r="F857" t="s">
        <v>548</v>
      </c>
      <c r="G857" s="30">
        <v>46143</v>
      </c>
      <c r="H857" t="s">
        <v>2310</v>
      </c>
      <c r="I857">
        <v>6829862</v>
      </c>
      <c r="J857" s="123">
        <v>46143</v>
      </c>
      <c r="K857" s="123">
        <v>0</v>
      </c>
      <c r="L857" s="123">
        <v>46143</v>
      </c>
      <c r="M857">
        <v>0</v>
      </c>
      <c r="N857">
        <v>0</v>
      </c>
      <c r="O857" t="s">
        <v>556</v>
      </c>
      <c r="P857" s="216">
        <v>45000</v>
      </c>
      <c r="Q857" s="217" t="s">
        <v>34</v>
      </c>
      <c r="R857" s="217" t="s">
        <v>62</v>
      </c>
      <c r="S857" s="218">
        <v>0.66476980061969038</v>
      </c>
      <c r="T857" t="s">
        <v>550</v>
      </c>
      <c r="U857" t="s">
        <v>51</v>
      </c>
      <c r="V857" s="219">
        <v>0</v>
      </c>
      <c r="W857" s="219">
        <v>0</v>
      </c>
    </row>
    <row r="858" spans="1:23" ht="15" customHeight="1" x14ac:dyDescent="0.25">
      <c r="A858" t="s">
        <v>2313</v>
      </c>
      <c r="B858" t="s">
        <v>546</v>
      </c>
      <c r="C858">
        <v>35467.97</v>
      </c>
      <c r="D858" t="s">
        <v>2309</v>
      </c>
      <c r="E858" t="s">
        <v>553</v>
      </c>
      <c r="F858" t="s">
        <v>554</v>
      </c>
      <c r="G858" s="30">
        <v>46145</v>
      </c>
      <c r="H858" t="s">
        <v>2310</v>
      </c>
      <c r="I858">
        <v>6829862</v>
      </c>
      <c r="J858" s="123">
        <v>46145</v>
      </c>
      <c r="K858" s="123">
        <v>0</v>
      </c>
      <c r="L858" s="123">
        <v>46145</v>
      </c>
      <c r="M858">
        <v>0</v>
      </c>
      <c r="N858">
        <v>0</v>
      </c>
      <c r="O858" t="s">
        <v>556</v>
      </c>
      <c r="P858" s="216">
        <v>35467.97</v>
      </c>
      <c r="Q858" s="217" t="s">
        <v>34</v>
      </c>
      <c r="R858" s="217" t="s">
        <v>554</v>
      </c>
      <c r="S858" s="218">
        <v>0.66476980061969038</v>
      </c>
      <c r="T858" t="s">
        <v>550</v>
      </c>
      <c r="U858" t="s">
        <v>51</v>
      </c>
      <c r="V858" s="219" t="s">
        <v>6333</v>
      </c>
      <c r="W858" s="219" t="s">
        <v>67</v>
      </c>
    </row>
    <row r="859" spans="1:23" ht="15" customHeight="1" x14ac:dyDescent="0.25">
      <c r="A859" t="s">
        <v>2314</v>
      </c>
      <c r="B859" t="s">
        <v>595</v>
      </c>
      <c r="C859">
        <v>467606.1</v>
      </c>
      <c r="D859" t="s">
        <v>2315</v>
      </c>
      <c r="E859" t="s">
        <v>218</v>
      </c>
      <c r="F859" t="s">
        <v>554</v>
      </c>
      <c r="G859" s="30">
        <v>46143</v>
      </c>
      <c r="H859" t="s">
        <v>2316</v>
      </c>
      <c r="I859">
        <v>4676061</v>
      </c>
      <c r="J859" s="123">
        <v>0</v>
      </c>
      <c r="K859" s="123">
        <v>0</v>
      </c>
      <c r="L859" s="123">
        <v>46134</v>
      </c>
      <c r="M859">
        <v>0</v>
      </c>
      <c r="N859">
        <v>0</v>
      </c>
      <c r="O859">
        <v>0</v>
      </c>
      <c r="P859" s="216">
        <v>467606.1</v>
      </c>
      <c r="Q859" s="217" t="s">
        <v>13</v>
      </c>
      <c r="R859" s="217" t="s">
        <v>554</v>
      </c>
      <c r="S859" s="218">
        <v>0.59995509040622008</v>
      </c>
      <c r="T859" t="s">
        <v>550</v>
      </c>
      <c r="U859" t="s">
        <v>51</v>
      </c>
      <c r="V859" s="219" t="s">
        <v>6334</v>
      </c>
      <c r="W859" s="219" t="s">
        <v>67</v>
      </c>
    </row>
    <row r="860" spans="1:23" ht="15" customHeight="1" x14ac:dyDescent="0.25">
      <c r="A860" t="s">
        <v>2317</v>
      </c>
      <c r="B860" t="s">
        <v>575</v>
      </c>
      <c r="C860">
        <v>150000</v>
      </c>
      <c r="D860" t="s">
        <v>2318</v>
      </c>
      <c r="E860" t="s">
        <v>553</v>
      </c>
      <c r="F860" t="s">
        <v>585</v>
      </c>
      <c r="G860" s="30">
        <v>46143</v>
      </c>
      <c r="H860" t="s">
        <v>2319</v>
      </c>
      <c r="I860">
        <v>7711280</v>
      </c>
      <c r="J860" s="123">
        <v>46143</v>
      </c>
      <c r="K860" s="123">
        <v>0</v>
      </c>
      <c r="L860" s="123">
        <v>46143</v>
      </c>
      <c r="M860">
        <v>0</v>
      </c>
      <c r="N860">
        <v>0</v>
      </c>
      <c r="O860" t="s">
        <v>556</v>
      </c>
      <c r="P860" s="216">
        <v>150000</v>
      </c>
      <c r="Q860" s="217" t="s">
        <v>29</v>
      </c>
      <c r="R860" s="217" t="s">
        <v>61</v>
      </c>
      <c r="S860" s="218">
        <v>0.43102304675747732</v>
      </c>
      <c r="T860" t="s">
        <v>550</v>
      </c>
      <c r="U860" t="s">
        <v>51</v>
      </c>
      <c r="V860" s="219">
        <v>0</v>
      </c>
      <c r="W860" s="219">
        <v>0</v>
      </c>
    </row>
    <row r="861" spans="1:23" ht="15" customHeight="1" x14ac:dyDescent="0.25">
      <c r="A861" t="s">
        <v>2320</v>
      </c>
      <c r="B861" t="s">
        <v>575</v>
      </c>
      <c r="C861">
        <v>142000</v>
      </c>
      <c r="D861" t="s">
        <v>2318</v>
      </c>
      <c r="E861" t="s">
        <v>553</v>
      </c>
      <c r="F861" t="s">
        <v>554</v>
      </c>
      <c r="G861" s="30">
        <v>46143</v>
      </c>
      <c r="H861" t="s">
        <v>2319</v>
      </c>
      <c r="I861">
        <v>7711280</v>
      </c>
      <c r="J861" s="123">
        <v>46143</v>
      </c>
      <c r="K861" s="123">
        <v>0</v>
      </c>
      <c r="L861" s="123">
        <v>46143</v>
      </c>
      <c r="M861">
        <v>0</v>
      </c>
      <c r="N861">
        <v>0</v>
      </c>
      <c r="O861" t="s">
        <v>556</v>
      </c>
      <c r="P861" s="216">
        <v>142000</v>
      </c>
      <c r="Q861" s="217" t="s">
        <v>29</v>
      </c>
      <c r="R861" s="217" t="s">
        <v>554</v>
      </c>
      <c r="S861" s="218">
        <v>0.43102304675747732</v>
      </c>
      <c r="T861" t="s">
        <v>550</v>
      </c>
      <c r="U861" t="s">
        <v>51</v>
      </c>
      <c r="V861" s="219" t="s">
        <v>6335</v>
      </c>
      <c r="W861" s="219" t="s">
        <v>67</v>
      </c>
    </row>
    <row r="862" spans="1:23" ht="15" customHeight="1" x14ac:dyDescent="0.25">
      <c r="A862" t="s">
        <v>2321</v>
      </c>
      <c r="B862" t="s">
        <v>575</v>
      </c>
      <c r="C862">
        <v>100000</v>
      </c>
      <c r="D862" t="s">
        <v>2318</v>
      </c>
      <c r="E862" t="s">
        <v>553</v>
      </c>
      <c r="F862" t="s">
        <v>554</v>
      </c>
      <c r="G862" s="30">
        <v>46143</v>
      </c>
      <c r="H862" t="s">
        <v>2319</v>
      </c>
      <c r="I862">
        <v>7711280</v>
      </c>
      <c r="J862" s="123">
        <v>46143</v>
      </c>
      <c r="K862" s="123">
        <v>0</v>
      </c>
      <c r="L862" s="123">
        <v>46118</v>
      </c>
      <c r="M862">
        <v>0</v>
      </c>
      <c r="N862">
        <v>0</v>
      </c>
      <c r="O862" t="s">
        <v>556</v>
      </c>
      <c r="P862" s="216">
        <v>100000</v>
      </c>
      <c r="Q862" s="217" t="s">
        <v>29</v>
      </c>
      <c r="R862" s="217" t="s">
        <v>554</v>
      </c>
      <c r="S862" s="218">
        <v>0.43102304675747732</v>
      </c>
      <c r="T862" t="s">
        <v>550</v>
      </c>
      <c r="U862" t="s">
        <v>51</v>
      </c>
      <c r="V862" s="219" t="s">
        <v>6336</v>
      </c>
      <c r="W862" s="219" t="s">
        <v>67</v>
      </c>
    </row>
    <row r="863" spans="1:23" ht="15" customHeight="1" x14ac:dyDescent="0.25">
      <c r="A863" t="s">
        <v>2322</v>
      </c>
      <c r="B863" t="s">
        <v>575</v>
      </c>
      <c r="C863">
        <v>100000</v>
      </c>
      <c r="D863" t="s">
        <v>2318</v>
      </c>
      <c r="E863" t="s">
        <v>553</v>
      </c>
      <c r="F863" t="s">
        <v>554</v>
      </c>
      <c r="G863" s="30">
        <v>46143</v>
      </c>
      <c r="H863" t="s">
        <v>2319</v>
      </c>
      <c r="I863">
        <v>7711280</v>
      </c>
      <c r="J863" s="123">
        <v>46143</v>
      </c>
      <c r="K863" s="123">
        <v>0</v>
      </c>
      <c r="L863" s="123">
        <v>46121</v>
      </c>
      <c r="M863">
        <v>0</v>
      </c>
      <c r="N863">
        <v>0</v>
      </c>
      <c r="O863" t="s">
        <v>556</v>
      </c>
      <c r="P863" s="216">
        <v>100000</v>
      </c>
      <c r="Q863" s="217" t="s">
        <v>29</v>
      </c>
      <c r="R863" s="217" t="s">
        <v>554</v>
      </c>
      <c r="S863" s="218">
        <v>0.43102304675747732</v>
      </c>
      <c r="T863" t="s">
        <v>550</v>
      </c>
      <c r="U863" t="s">
        <v>51</v>
      </c>
      <c r="V863" s="219" t="s">
        <v>6337</v>
      </c>
      <c r="W863" s="219" t="s">
        <v>67</v>
      </c>
    </row>
    <row r="864" spans="1:23" ht="15" customHeight="1" x14ac:dyDescent="0.25">
      <c r="A864" t="s">
        <v>2323</v>
      </c>
      <c r="B864" t="s">
        <v>575</v>
      </c>
      <c r="C864">
        <v>150000</v>
      </c>
      <c r="D864" t="s">
        <v>2318</v>
      </c>
      <c r="E864" t="s">
        <v>553</v>
      </c>
      <c r="F864" t="s">
        <v>585</v>
      </c>
      <c r="G864" s="30">
        <v>46143</v>
      </c>
      <c r="H864" t="s">
        <v>2319</v>
      </c>
      <c r="I864">
        <v>7711280</v>
      </c>
      <c r="J864" s="123">
        <v>46140</v>
      </c>
      <c r="K864" s="123">
        <v>0</v>
      </c>
      <c r="L864" s="123">
        <v>46140</v>
      </c>
      <c r="M864">
        <v>0</v>
      </c>
      <c r="N864">
        <v>0</v>
      </c>
      <c r="O864">
        <v>0</v>
      </c>
      <c r="P864" s="216">
        <v>150000</v>
      </c>
      <c r="Q864" s="217" t="s">
        <v>29</v>
      </c>
      <c r="R864" s="217" t="s">
        <v>61</v>
      </c>
      <c r="S864" s="218">
        <v>0.43102304675747732</v>
      </c>
      <c r="T864" t="s">
        <v>550</v>
      </c>
      <c r="U864" t="s">
        <v>51</v>
      </c>
      <c r="V864" s="219">
        <v>0</v>
      </c>
      <c r="W864" s="219">
        <v>0</v>
      </c>
    </row>
    <row r="865" spans="1:23" ht="15" customHeight="1" x14ac:dyDescent="0.25">
      <c r="A865" t="s">
        <v>2324</v>
      </c>
      <c r="B865" t="s">
        <v>575</v>
      </c>
      <c r="C865">
        <v>873897.6</v>
      </c>
      <c r="D865" t="s">
        <v>2318</v>
      </c>
      <c r="E865" t="s">
        <v>553</v>
      </c>
      <c r="F865" t="s">
        <v>683</v>
      </c>
      <c r="G865" s="30">
        <v>46143</v>
      </c>
      <c r="H865" t="s">
        <v>2319</v>
      </c>
      <c r="I865">
        <v>7711280</v>
      </c>
      <c r="J865" s="123">
        <v>46143</v>
      </c>
      <c r="K865" s="123">
        <v>0</v>
      </c>
      <c r="L865" s="123">
        <v>46138</v>
      </c>
      <c r="M865">
        <v>0</v>
      </c>
      <c r="N865">
        <v>0</v>
      </c>
      <c r="O865" t="s">
        <v>556</v>
      </c>
      <c r="P865" s="216">
        <v>873897.6</v>
      </c>
      <c r="Q865" s="217" t="s">
        <v>29</v>
      </c>
      <c r="R865" s="217" t="s">
        <v>62</v>
      </c>
      <c r="S865" s="218">
        <v>0.43102304675747732</v>
      </c>
      <c r="T865" t="s">
        <v>550</v>
      </c>
      <c r="U865" t="s">
        <v>51</v>
      </c>
      <c r="V865" s="219">
        <v>0</v>
      </c>
      <c r="W865" s="219">
        <v>0</v>
      </c>
    </row>
    <row r="866" spans="1:23" ht="15" customHeight="1" x14ac:dyDescent="0.25">
      <c r="A866" t="s">
        <v>2325</v>
      </c>
      <c r="B866" t="s">
        <v>575</v>
      </c>
      <c r="C866">
        <v>873897.6</v>
      </c>
      <c r="D866" t="s">
        <v>2318</v>
      </c>
      <c r="E866" t="s">
        <v>553</v>
      </c>
      <c r="F866" t="s">
        <v>683</v>
      </c>
      <c r="G866" s="30">
        <v>46143</v>
      </c>
      <c r="H866" t="s">
        <v>2319</v>
      </c>
      <c r="I866">
        <v>7711280</v>
      </c>
      <c r="J866" s="123">
        <v>46143</v>
      </c>
      <c r="K866" s="123">
        <v>0</v>
      </c>
      <c r="L866" s="123">
        <v>46142</v>
      </c>
      <c r="M866">
        <v>0</v>
      </c>
      <c r="N866">
        <v>0</v>
      </c>
      <c r="O866" t="s">
        <v>556</v>
      </c>
      <c r="P866" s="216">
        <v>873897.6</v>
      </c>
      <c r="Q866" s="217" t="s">
        <v>29</v>
      </c>
      <c r="R866" s="217" t="s">
        <v>62</v>
      </c>
      <c r="S866" s="218">
        <v>0.43102304675747732</v>
      </c>
      <c r="T866" t="s">
        <v>550</v>
      </c>
      <c r="U866" t="s">
        <v>51</v>
      </c>
      <c r="V866" s="219">
        <v>0</v>
      </c>
      <c r="W866" s="219">
        <v>0</v>
      </c>
    </row>
    <row r="867" spans="1:23" ht="15" customHeight="1" x14ac:dyDescent="0.25">
      <c r="A867" t="s">
        <v>2326</v>
      </c>
      <c r="B867" t="s">
        <v>575</v>
      </c>
      <c r="C867">
        <v>873897.6</v>
      </c>
      <c r="D867" t="s">
        <v>2318</v>
      </c>
      <c r="E867" t="s">
        <v>553</v>
      </c>
      <c r="F867" t="s">
        <v>683</v>
      </c>
      <c r="G867" s="30">
        <v>46143</v>
      </c>
      <c r="H867" t="s">
        <v>2319</v>
      </c>
      <c r="I867">
        <v>7711280</v>
      </c>
      <c r="J867" s="123">
        <v>46143</v>
      </c>
      <c r="K867" s="123">
        <v>0</v>
      </c>
      <c r="L867" s="123">
        <v>46141</v>
      </c>
      <c r="M867">
        <v>0</v>
      </c>
      <c r="N867">
        <v>0</v>
      </c>
      <c r="O867" t="s">
        <v>556</v>
      </c>
      <c r="P867" s="216">
        <v>873897.6</v>
      </c>
      <c r="Q867" s="217" t="s">
        <v>29</v>
      </c>
      <c r="R867" s="217" t="s">
        <v>62</v>
      </c>
      <c r="S867" s="218">
        <v>0.43102304675747732</v>
      </c>
      <c r="T867" t="s">
        <v>550</v>
      </c>
      <c r="U867" t="s">
        <v>51</v>
      </c>
      <c r="V867" s="219">
        <v>0</v>
      </c>
      <c r="W867" s="219">
        <v>0</v>
      </c>
    </row>
    <row r="868" spans="1:23" ht="15" customHeight="1" x14ac:dyDescent="0.25">
      <c r="A868" t="s">
        <v>2327</v>
      </c>
      <c r="B868" t="s">
        <v>595</v>
      </c>
      <c r="C868">
        <v>130000</v>
      </c>
      <c r="D868" t="s">
        <v>2328</v>
      </c>
      <c r="E868" t="s">
        <v>298</v>
      </c>
      <c r="F868" t="s">
        <v>585</v>
      </c>
      <c r="G868" s="30">
        <v>46143</v>
      </c>
      <c r="H868" t="s">
        <v>2329</v>
      </c>
      <c r="I868">
        <v>4795960</v>
      </c>
      <c r="J868" s="123">
        <v>0</v>
      </c>
      <c r="K868" s="123">
        <v>0</v>
      </c>
      <c r="L868" s="123">
        <v>46158</v>
      </c>
      <c r="M868">
        <v>0</v>
      </c>
      <c r="N868">
        <v>0</v>
      </c>
      <c r="O868">
        <v>0</v>
      </c>
      <c r="P868" s="216">
        <v>130000</v>
      </c>
      <c r="Q868" s="217" t="s">
        <v>45</v>
      </c>
      <c r="R868" s="217" t="s">
        <v>61</v>
      </c>
      <c r="S868" s="218">
        <v>0.50316401721448889</v>
      </c>
      <c r="T868" t="s">
        <v>550</v>
      </c>
      <c r="U868" t="s">
        <v>51</v>
      </c>
      <c r="V868" s="219">
        <v>0</v>
      </c>
      <c r="W868" s="219">
        <v>0</v>
      </c>
    </row>
    <row r="869" spans="1:23" ht="15" customHeight="1" x14ac:dyDescent="0.25">
      <c r="A869" t="s">
        <v>2330</v>
      </c>
      <c r="B869" t="s">
        <v>595</v>
      </c>
      <c r="C869">
        <v>2500</v>
      </c>
      <c r="D869" t="s">
        <v>2328</v>
      </c>
      <c r="E869" t="s">
        <v>298</v>
      </c>
      <c r="F869" t="s">
        <v>585</v>
      </c>
      <c r="G869" s="30">
        <v>46144</v>
      </c>
      <c r="H869" t="s">
        <v>2329</v>
      </c>
      <c r="I869">
        <v>4795960</v>
      </c>
      <c r="J869" s="123">
        <v>0</v>
      </c>
      <c r="K869" s="123">
        <v>0</v>
      </c>
      <c r="L869" s="123">
        <v>46158</v>
      </c>
      <c r="M869">
        <v>0</v>
      </c>
      <c r="N869">
        <v>0</v>
      </c>
      <c r="O869">
        <v>0</v>
      </c>
      <c r="P869" s="216">
        <v>2500</v>
      </c>
      <c r="Q869" s="217" t="s">
        <v>45</v>
      </c>
      <c r="R869" s="217" t="s">
        <v>61</v>
      </c>
      <c r="S869" s="218">
        <v>0.50316401721448889</v>
      </c>
      <c r="T869" t="s">
        <v>550</v>
      </c>
      <c r="U869" t="s">
        <v>51</v>
      </c>
      <c r="V869" s="219">
        <v>0</v>
      </c>
      <c r="W869" s="219">
        <v>0</v>
      </c>
    </row>
    <row r="870" spans="1:23" ht="15" customHeight="1" x14ac:dyDescent="0.25">
      <c r="A870" t="s">
        <v>2331</v>
      </c>
      <c r="B870" t="s">
        <v>575</v>
      </c>
      <c r="C870">
        <v>100000</v>
      </c>
      <c r="D870" t="s">
        <v>2332</v>
      </c>
      <c r="E870" t="s">
        <v>141</v>
      </c>
      <c r="F870" t="s">
        <v>554</v>
      </c>
      <c r="G870" s="30">
        <v>46148</v>
      </c>
      <c r="H870" t="s">
        <v>2333</v>
      </c>
      <c r="I870">
        <v>7015008</v>
      </c>
      <c r="J870" s="123">
        <v>0</v>
      </c>
      <c r="K870" s="123">
        <v>0</v>
      </c>
      <c r="L870" s="123">
        <v>46146</v>
      </c>
      <c r="M870">
        <v>0</v>
      </c>
      <c r="N870">
        <v>0</v>
      </c>
      <c r="O870">
        <v>0</v>
      </c>
      <c r="P870" s="216">
        <v>100000</v>
      </c>
      <c r="Q870" s="217" t="s">
        <v>34</v>
      </c>
      <c r="R870" s="217" t="s">
        <v>554</v>
      </c>
      <c r="S870" s="218">
        <v>0.65702046241429801</v>
      </c>
      <c r="T870" t="s">
        <v>550</v>
      </c>
      <c r="U870" t="s">
        <v>51</v>
      </c>
      <c r="V870" s="219" t="s">
        <v>6338</v>
      </c>
      <c r="W870" s="219" t="s">
        <v>67</v>
      </c>
    </row>
    <row r="871" spans="1:23" ht="15" customHeight="1" x14ac:dyDescent="0.25">
      <c r="A871" t="s">
        <v>2334</v>
      </c>
      <c r="B871" t="s">
        <v>575</v>
      </c>
      <c r="C871">
        <v>100000</v>
      </c>
      <c r="D871" t="s">
        <v>2332</v>
      </c>
      <c r="E871" t="s">
        <v>141</v>
      </c>
      <c r="F871" t="s">
        <v>554</v>
      </c>
      <c r="G871" s="30">
        <v>46148</v>
      </c>
      <c r="H871" t="s">
        <v>2333</v>
      </c>
      <c r="I871">
        <v>7015008</v>
      </c>
      <c r="J871" s="123">
        <v>0</v>
      </c>
      <c r="K871" s="123">
        <v>0</v>
      </c>
      <c r="L871" s="123">
        <v>46146</v>
      </c>
      <c r="M871">
        <v>0</v>
      </c>
      <c r="N871">
        <v>0</v>
      </c>
      <c r="O871">
        <v>0</v>
      </c>
      <c r="P871" s="216">
        <v>100000</v>
      </c>
      <c r="Q871" s="217" t="s">
        <v>34</v>
      </c>
      <c r="R871" s="217" t="s">
        <v>554</v>
      </c>
      <c r="S871" s="218">
        <v>0.65702046241429801</v>
      </c>
      <c r="T871" t="s">
        <v>550</v>
      </c>
      <c r="U871" t="s">
        <v>51</v>
      </c>
      <c r="V871" s="219" t="s">
        <v>6339</v>
      </c>
      <c r="W871" s="219" t="s">
        <v>67</v>
      </c>
    </row>
    <row r="872" spans="1:23" ht="15" customHeight="1" x14ac:dyDescent="0.25">
      <c r="A872" t="s">
        <v>2335</v>
      </c>
      <c r="B872" t="s">
        <v>575</v>
      </c>
      <c r="C872">
        <v>100000</v>
      </c>
      <c r="D872" t="s">
        <v>2332</v>
      </c>
      <c r="E872" t="s">
        <v>141</v>
      </c>
      <c r="F872" t="s">
        <v>554</v>
      </c>
      <c r="G872" s="30">
        <v>46148</v>
      </c>
      <c r="H872" t="s">
        <v>2333</v>
      </c>
      <c r="I872">
        <v>7015008</v>
      </c>
      <c r="J872" s="123">
        <v>0</v>
      </c>
      <c r="K872" s="123">
        <v>0</v>
      </c>
      <c r="L872" s="123">
        <v>46144</v>
      </c>
      <c r="M872">
        <v>0</v>
      </c>
      <c r="N872">
        <v>0</v>
      </c>
      <c r="O872">
        <v>0</v>
      </c>
      <c r="P872" s="216">
        <v>100000</v>
      </c>
      <c r="Q872" s="217" t="s">
        <v>34</v>
      </c>
      <c r="R872" s="217" t="s">
        <v>554</v>
      </c>
      <c r="S872" s="218">
        <v>0.65702046241429801</v>
      </c>
      <c r="T872" t="s">
        <v>550</v>
      </c>
      <c r="U872" t="s">
        <v>51</v>
      </c>
      <c r="V872" s="219" t="s">
        <v>6340</v>
      </c>
      <c r="W872" s="219" t="s">
        <v>67</v>
      </c>
    </row>
    <row r="873" spans="1:23" ht="15" customHeight="1" x14ac:dyDescent="0.25">
      <c r="A873" t="s">
        <v>2336</v>
      </c>
      <c r="B873" t="s">
        <v>575</v>
      </c>
      <c r="C873">
        <v>100000</v>
      </c>
      <c r="D873" t="s">
        <v>2332</v>
      </c>
      <c r="E873" t="s">
        <v>141</v>
      </c>
      <c r="F873" t="s">
        <v>554</v>
      </c>
      <c r="G873" s="30">
        <v>46148</v>
      </c>
      <c r="H873" t="s">
        <v>2333</v>
      </c>
      <c r="I873">
        <v>7015008</v>
      </c>
      <c r="J873" s="123">
        <v>0</v>
      </c>
      <c r="K873" s="123">
        <v>0</v>
      </c>
      <c r="L873" s="123">
        <v>46143</v>
      </c>
      <c r="M873">
        <v>0</v>
      </c>
      <c r="N873">
        <v>0</v>
      </c>
      <c r="O873">
        <v>0</v>
      </c>
      <c r="P873" s="216">
        <v>100000</v>
      </c>
      <c r="Q873" s="217" t="s">
        <v>34</v>
      </c>
      <c r="R873" s="217" t="s">
        <v>554</v>
      </c>
      <c r="S873" s="218">
        <v>0.65702046241429801</v>
      </c>
      <c r="T873" t="s">
        <v>550</v>
      </c>
      <c r="U873" t="s">
        <v>51</v>
      </c>
      <c r="V873" s="219" t="s">
        <v>6341</v>
      </c>
      <c r="W873" s="219" t="s">
        <v>67</v>
      </c>
    </row>
    <row r="874" spans="1:23" ht="15" customHeight="1" x14ac:dyDescent="0.25">
      <c r="A874" t="s">
        <v>2337</v>
      </c>
      <c r="B874" t="s">
        <v>546</v>
      </c>
      <c r="C874">
        <v>35000</v>
      </c>
      <c r="D874" t="s">
        <v>2338</v>
      </c>
      <c r="E874" t="s">
        <v>151</v>
      </c>
      <c r="F874" t="s">
        <v>548</v>
      </c>
      <c r="G874" s="30">
        <v>46146</v>
      </c>
      <c r="H874" t="s">
        <v>2339</v>
      </c>
      <c r="I874">
        <v>2146164</v>
      </c>
      <c r="J874" s="123">
        <v>0</v>
      </c>
      <c r="K874" s="123">
        <v>0</v>
      </c>
      <c r="L874" s="123">
        <v>0</v>
      </c>
      <c r="M874">
        <v>0</v>
      </c>
      <c r="N874">
        <v>0</v>
      </c>
      <c r="O874">
        <v>0</v>
      </c>
      <c r="P874" s="216">
        <v>35000</v>
      </c>
      <c r="Q874" s="217" t="s">
        <v>25</v>
      </c>
      <c r="R874" s="217" t="s">
        <v>62</v>
      </c>
      <c r="S874" s="218">
        <v>0.64174193584460459</v>
      </c>
      <c r="T874" t="s">
        <v>550</v>
      </c>
      <c r="U874" t="s">
        <v>51</v>
      </c>
      <c r="V874" s="219">
        <v>0</v>
      </c>
      <c r="W874" s="219">
        <v>0</v>
      </c>
    </row>
    <row r="875" spans="1:23" ht="15" customHeight="1" x14ac:dyDescent="0.25">
      <c r="A875" t="s">
        <v>2340</v>
      </c>
      <c r="B875" t="s">
        <v>546</v>
      </c>
      <c r="C875">
        <v>35000</v>
      </c>
      <c r="D875" t="s">
        <v>2338</v>
      </c>
      <c r="E875" t="s">
        <v>151</v>
      </c>
      <c r="F875" t="s">
        <v>554</v>
      </c>
      <c r="G875" s="30">
        <v>46147</v>
      </c>
      <c r="H875" t="s">
        <v>2339</v>
      </c>
      <c r="I875">
        <v>2146164</v>
      </c>
      <c r="J875" s="123">
        <v>0</v>
      </c>
      <c r="K875" s="123">
        <v>0</v>
      </c>
      <c r="L875" s="123">
        <v>0</v>
      </c>
      <c r="M875">
        <v>0</v>
      </c>
      <c r="N875">
        <v>0</v>
      </c>
      <c r="O875">
        <v>0</v>
      </c>
      <c r="P875" s="216">
        <v>35000</v>
      </c>
      <c r="Q875" s="217" t="s">
        <v>25</v>
      </c>
      <c r="R875" s="217" t="s">
        <v>554</v>
      </c>
      <c r="S875" s="218">
        <v>0.64174193584460459</v>
      </c>
      <c r="T875" t="s">
        <v>550</v>
      </c>
      <c r="U875" t="s">
        <v>51</v>
      </c>
      <c r="V875" s="219" t="s">
        <v>6342</v>
      </c>
      <c r="W875" s="219" t="s">
        <v>67</v>
      </c>
    </row>
    <row r="876" spans="1:23" ht="15" customHeight="1" x14ac:dyDescent="0.25">
      <c r="A876" t="s">
        <v>2341</v>
      </c>
      <c r="B876" t="s">
        <v>668</v>
      </c>
      <c r="C876">
        <v>36010</v>
      </c>
      <c r="D876" t="s">
        <v>2342</v>
      </c>
      <c r="E876" t="s">
        <v>183</v>
      </c>
      <c r="F876" t="s">
        <v>554</v>
      </c>
      <c r="G876" s="30">
        <v>46146</v>
      </c>
      <c r="H876" t="s">
        <v>2343</v>
      </c>
      <c r="I876">
        <v>1233936</v>
      </c>
      <c r="J876" s="123">
        <v>46126</v>
      </c>
      <c r="K876" s="123">
        <v>0</v>
      </c>
      <c r="L876" s="123">
        <v>46126</v>
      </c>
      <c r="M876">
        <v>0</v>
      </c>
      <c r="N876">
        <v>0</v>
      </c>
      <c r="O876">
        <v>0</v>
      </c>
      <c r="P876" s="216">
        <v>36010</v>
      </c>
      <c r="Q876" s="217" t="s">
        <v>33</v>
      </c>
      <c r="R876" s="217" t="s">
        <v>554</v>
      </c>
      <c r="S876" s="218">
        <v>0.62918701618236283</v>
      </c>
      <c r="T876" t="s">
        <v>550</v>
      </c>
      <c r="U876" t="s">
        <v>51</v>
      </c>
      <c r="V876" s="219" t="s">
        <v>6343</v>
      </c>
      <c r="W876" s="219" t="s">
        <v>67</v>
      </c>
    </row>
    <row r="877" spans="1:23" ht="15" customHeight="1" x14ac:dyDescent="0.25">
      <c r="A877" t="s">
        <v>2344</v>
      </c>
      <c r="B877" t="s">
        <v>668</v>
      </c>
      <c r="C877">
        <v>50000</v>
      </c>
      <c r="D877" t="s">
        <v>2342</v>
      </c>
      <c r="E877" t="s">
        <v>183</v>
      </c>
      <c r="F877" t="s">
        <v>585</v>
      </c>
      <c r="G877" s="30">
        <v>46146</v>
      </c>
      <c r="H877" t="s">
        <v>2343</v>
      </c>
      <c r="I877">
        <v>1233936</v>
      </c>
      <c r="J877" s="123">
        <v>46125</v>
      </c>
      <c r="K877" s="123">
        <v>0</v>
      </c>
      <c r="L877" s="123">
        <v>46155</v>
      </c>
      <c r="M877">
        <v>0</v>
      </c>
      <c r="N877">
        <v>0</v>
      </c>
      <c r="O877">
        <v>0</v>
      </c>
      <c r="P877" s="216">
        <v>50000</v>
      </c>
      <c r="Q877" s="217" t="s">
        <v>33</v>
      </c>
      <c r="R877" s="217" t="s">
        <v>61</v>
      </c>
      <c r="S877" s="218">
        <v>0.62918701618236283</v>
      </c>
      <c r="T877" t="s">
        <v>550</v>
      </c>
      <c r="U877" t="s">
        <v>51</v>
      </c>
      <c r="V877" s="219">
        <v>0</v>
      </c>
      <c r="W877" s="219">
        <v>0</v>
      </c>
    </row>
    <row r="878" spans="1:23" ht="15" customHeight="1" x14ac:dyDescent="0.25">
      <c r="A878" t="s">
        <v>2345</v>
      </c>
      <c r="B878" t="s">
        <v>575</v>
      </c>
      <c r="C878">
        <v>155000</v>
      </c>
      <c r="D878" t="s">
        <v>2346</v>
      </c>
      <c r="E878" t="s">
        <v>183</v>
      </c>
      <c r="F878" t="s">
        <v>554</v>
      </c>
      <c r="G878" s="30">
        <v>46147</v>
      </c>
      <c r="H878" t="s">
        <v>2347</v>
      </c>
      <c r="I878">
        <v>1544724</v>
      </c>
      <c r="J878" s="123">
        <v>0</v>
      </c>
      <c r="K878" s="123">
        <v>0</v>
      </c>
      <c r="L878" s="123">
        <v>46146</v>
      </c>
      <c r="M878">
        <v>0</v>
      </c>
      <c r="N878">
        <v>0</v>
      </c>
      <c r="O878">
        <v>0</v>
      </c>
      <c r="P878" s="216">
        <v>155000</v>
      </c>
      <c r="Q878" s="217" t="s">
        <v>33</v>
      </c>
      <c r="R878" s="217" t="s">
        <v>554</v>
      </c>
      <c r="S878" s="218">
        <v>0.70076660943961511</v>
      </c>
      <c r="T878" t="s">
        <v>550</v>
      </c>
      <c r="U878" t="s">
        <v>51</v>
      </c>
      <c r="V878" s="219" t="s">
        <v>6344</v>
      </c>
      <c r="W878" s="219" t="s">
        <v>67</v>
      </c>
    </row>
    <row r="879" spans="1:23" ht="15" customHeight="1" x14ac:dyDescent="0.25">
      <c r="A879" t="s">
        <v>2348</v>
      </c>
      <c r="B879" t="s">
        <v>64</v>
      </c>
      <c r="C879">
        <v>294188</v>
      </c>
      <c r="D879" t="s">
        <v>2349</v>
      </c>
      <c r="E879" t="s">
        <v>233</v>
      </c>
      <c r="F879" t="s">
        <v>554</v>
      </c>
      <c r="G879" s="30">
        <v>46143</v>
      </c>
      <c r="H879" t="s">
        <v>2350</v>
      </c>
      <c r="I879">
        <v>2941884</v>
      </c>
      <c r="J879" s="123">
        <v>0</v>
      </c>
      <c r="K879" s="123">
        <v>46141</v>
      </c>
      <c r="L879" s="123">
        <v>0</v>
      </c>
      <c r="M879">
        <v>0</v>
      </c>
      <c r="N879">
        <v>0</v>
      </c>
      <c r="O879" t="s">
        <v>556</v>
      </c>
      <c r="P879" s="216">
        <v>294188</v>
      </c>
      <c r="Q879" s="217" t="s">
        <v>24</v>
      </c>
      <c r="R879" s="217" t="s">
        <v>554</v>
      </c>
      <c r="S879" s="218">
        <v>0.50005506675314182</v>
      </c>
      <c r="T879" t="s">
        <v>550</v>
      </c>
      <c r="U879" t="s">
        <v>51</v>
      </c>
      <c r="V879" s="219" t="s">
        <v>6345</v>
      </c>
      <c r="W879" s="219" t="s">
        <v>67</v>
      </c>
    </row>
    <row r="880" spans="1:23" ht="15" customHeight="1" x14ac:dyDescent="0.25">
      <c r="A880" t="s">
        <v>2351</v>
      </c>
      <c r="B880" t="s">
        <v>575</v>
      </c>
      <c r="C880">
        <v>164821</v>
      </c>
      <c r="D880" t="s">
        <v>2352</v>
      </c>
      <c r="E880" t="s">
        <v>553</v>
      </c>
      <c r="F880" t="s">
        <v>585</v>
      </c>
      <c r="G880" s="30">
        <v>46146</v>
      </c>
      <c r="H880" t="s">
        <v>2353</v>
      </c>
      <c r="I880">
        <v>1648210.8</v>
      </c>
      <c r="J880" s="123">
        <v>46146</v>
      </c>
      <c r="K880" s="123">
        <v>0</v>
      </c>
      <c r="L880" s="123">
        <v>46146</v>
      </c>
      <c r="M880">
        <v>0</v>
      </c>
      <c r="N880">
        <v>0</v>
      </c>
      <c r="O880" t="s">
        <v>556</v>
      </c>
      <c r="P880" s="216">
        <v>164821</v>
      </c>
      <c r="Q880" s="217" t="s">
        <v>24</v>
      </c>
      <c r="R880" s="217" t="s">
        <v>61</v>
      </c>
      <c r="S880" s="218">
        <v>0.59963021720279952</v>
      </c>
      <c r="T880" t="s">
        <v>550</v>
      </c>
      <c r="U880" t="s">
        <v>51</v>
      </c>
      <c r="V880" s="219">
        <v>0</v>
      </c>
      <c r="W880" s="219">
        <v>0</v>
      </c>
    </row>
    <row r="881" spans="1:23" ht="15" customHeight="1" x14ac:dyDescent="0.25">
      <c r="A881" t="s">
        <v>2354</v>
      </c>
      <c r="B881" t="s">
        <v>546</v>
      </c>
      <c r="C881">
        <v>164821</v>
      </c>
      <c r="D881" t="s">
        <v>2352</v>
      </c>
      <c r="E881" t="s">
        <v>553</v>
      </c>
      <c r="F881" t="s">
        <v>548</v>
      </c>
      <c r="G881" s="30">
        <v>46146</v>
      </c>
      <c r="H881" t="s">
        <v>2353</v>
      </c>
      <c r="I881">
        <v>1648210.8</v>
      </c>
      <c r="J881" s="123">
        <v>46146</v>
      </c>
      <c r="K881" s="123">
        <v>0</v>
      </c>
      <c r="L881" s="123">
        <v>46146</v>
      </c>
      <c r="M881">
        <v>0</v>
      </c>
      <c r="N881">
        <v>0</v>
      </c>
      <c r="O881" t="s">
        <v>556</v>
      </c>
      <c r="P881" s="216">
        <v>164821</v>
      </c>
      <c r="Q881" s="217" t="s">
        <v>24</v>
      </c>
      <c r="R881" s="217" t="s">
        <v>62</v>
      </c>
      <c r="S881" s="218">
        <v>0.59963021720279952</v>
      </c>
      <c r="T881" t="s">
        <v>550</v>
      </c>
      <c r="U881" t="s">
        <v>51</v>
      </c>
      <c r="V881" s="219">
        <v>0</v>
      </c>
      <c r="W881" s="219">
        <v>0</v>
      </c>
    </row>
    <row r="882" spans="1:23" ht="15" customHeight="1" x14ac:dyDescent="0.25">
      <c r="A882" t="s">
        <v>2355</v>
      </c>
      <c r="B882" t="s">
        <v>595</v>
      </c>
      <c r="C882">
        <v>100836.34</v>
      </c>
      <c r="D882" t="s">
        <v>2356</v>
      </c>
      <c r="E882" t="s">
        <v>141</v>
      </c>
      <c r="F882" t="s">
        <v>585</v>
      </c>
      <c r="G882" s="30">
        <v>46148</v>
      </c>
      <c r="H882" t="s">
        <v>2357</v>
      </c>
      <c r="I882">
        <v>14898420</v>
      </c>
      <c r="J882" s="123">
        <v>0</v>
      </c>
      <c r="K882" s="123">
        <v>0</v>
      </c>
      <c r="L882" s="123">
        <v>46132</v>
      </c>
      <c r="M882">
        <v>0</v>
      </c>
      <c r="N882">
        <v>0</v>
      </c>
      <c r="O882">
        <v>0</v>
      </c>
      <c r="P882" s="216">
        <v>100836.34</v>
      </c>
      <c r="Q882" s="217" t="s">
        <v>34</v>
      </c>
      <c r="R882" s="217" t="s">
        <v>61</v>
      </c>
      <c r="S882" s="218">
        <v>0.50451353163624069</v>
      </c>
      <c r="T882" t="s">
        <v>550</v>
      </c>
      <c r="U882" t="s">
        <v>51</v>
      </c>
      <c r="V882" s="219">
        <v>0</v>
      </c>
      <c r="W882" s="219">
        <v>0</v>
      </c>
    </row>
    <row r="883" spans="1:23" ht="15" customHeight="1" x14ac:dyDescent="0.25">
      <c r="A883" t="s">
        <v>2358</v>
      </c>
      <c r="B883" t="s">
        <v>595</v>
      </c>
      <c r="C883">
        <v>65906.48</v>
      </c>
      <c r="D883" t="s">
        <v>2356</v>
      </c>
      <c r="E883" t="s">
        <v>141</v>
      </c>
      <c r="F883" t="s">
        <v>585</v>
      </c>
      <c r="G883" s="30">
        <v>46148</v>
      </c>
      <c r="H883" t="s">
        <v>2357</v>
      </c>
      <c r="I883">
        <v>14898420</v>
      </c>
      <c r="J883" s="123">
        <v>0</v>
      </c>
      <c r="K883" s="123">
        <v>0</v>
      </c>
      <c r="L883" s="123">
        <v>46114</v>
      </c>
      <c r="M883">
        <v>0</v>
      </c>
      <c r="N883">
        <v>0</v>
      </c>
      <c r="O883">
        <v>0</v>
      </c>
      <c r="P883" s="216">
        <v>65906.48</v>
      </c>
      <c r="Q883" s="217" t="s">
        <v>34</v>
      </c>
      <c r="R883" s="217" t="s">
        <v>61</v>
      </c>
      <c r="S883" s="218">
        <v>0.50451353163624069</v>
      </c>
      <c r="T883" t="s">
        <v>550</v>
      </c>
      <c r="U883" t="s">
        <v>51</v>
      </c>
      <c r="V883" s="219">
        <v>0</v>
      </c>
      <c r="W883" s="219">
        <v>0</v>
      </c>
    </row>
    <row r="884" spans="1:23" ht="15" customHeight="1" x14ac:dyDescent="0.25">
      <c r="A884" t="s">
        <v>2359</v>
      </c>
      <c r="B884" t="s">
        <v>595</v>
      </c>
      <c r="C884">
        <v>100426.76</v>
      </c>
      <c r="D884" t="s">
        <v>2356</v>
      </c>
      <c r="E884" t="s">
        <v>141</v>
      </c>
      <c r="F884" t="s">
        <v>585</v>
      </c>
      <c r="G884" s="30">
        <v>46148</v>
      </c>
      <c r="H884" t="s">
        <v>2357</v>
      </c>
      <c r="I884">
        <v>14898420</v>
      </c>
      <c r="J884" s="123">
        <v>0</v>
      </c>
      <c r="K884" s="123">
        <v>0</v>
      </c>
      <c r="L884" s="123">
        <v>46097</v>
      </c>
      <c r="M884">
        <v>0</v>
      </c>
      <c r="N884">
        <v>0</v>
      </c>
      <c r="O884">
        <v>0</v>
      </c>
      <c r="P884" s="216">
        <v>100426.76</v>
      </c>
      <c r="Q884" s="217" t="s">
        <v>34</v>
      </c>
      <c r="R884" s="217" t="s">
        <v>61</v>
      </c>
      <c r="S884" s="218">
        <v>0.50451353163624069</v>
      </c>
      <c r="T884" t="s">
        <v>550</v>
      </c>
      <c r="U884" t="s">
        <v>51</v>
      </c>
      <c r="V884" s="219">
        <v>0</v>
      </c>
      <c r="W884" s="219">
        <v>0</v>
      </c>
    </row>
    <row r="885" spans="1:23" ht="15" customHeight="1" x14ac:dyDescent="0.25">
      <c r="A885" t="s">
        <v>2360</v>
      </c>
      <c r="B885" t="s">
        <v>595</v>
      </c>
      <c r="C885">
        <v>1666143.3</v>
      </c>
      <c r="D885" t="s">
        <v>2361</v>
      </c>
      <c r="E885" t="s">
        <v>141</v>
      </c>
      <c r="F885" t="s">
        <v>554</v>
      </c>
      <c r="G885" s="30">
        <v>46143</v>
      </c>
      <c r="H885" t="s">
        <v>2362</v>
      </c>
      <c r="I885">
        <v>16644134</v>
      </c>
      <c r="J885" s="123">
        <v>0</v>
      </c>
      <c r="K885" s="123">
        <v>0</v>
      </c>
      <c r="L885" s="123">
        <v>46142</v>
      </c>
      <c r="M885">
        <v>0</v>
      </c>
      <c r="N885">
        <v>0</v>
      </c>
      <c r="O885">
        <v>0</v>
      </c>
      <c r="P885" s="216">
        <v>1666143.3</v>
      </c>
      <c r="Q885" s="217" t="s">
        <v>34</v>
      </c>
      <c r="R885" s="217" t="s">
        <v>554</v>
      </c>
      <c r="S885" s="218">
        <v>0.6011318113636912</v>
      </c>
      <c r="T885" t="s">
        <v>550</v>
      </c>
      <c r="U885" t="s">
        <v>51</v>
      </c>
      <c r="V885" s="219" t="s">
        <v>6346</v>
      </c>
      <c r="W885" s="219" t="s">
        <v>67</v>
      </c>
    </row>
    <row r="886" spans="1:23" ht="15" customHeight="1" x14ac:dyDescent="0.25">
      <c r="A886" t="s">
        <v>2363</v>
      </c>
      <c r="B886" t="s">
        <v>595</v>
      </c>
      <c r="C886">
        <v>454000</v>
      </c>
      <c r="D886" t="s">
        <v>2361</v>
      </c>
      <c r="E886" t="s">
        <v>141</v>
      </c>
      <c r="F886" t="s">
        <v>585</v>
      </c>
      <c r="G886" s="30">
        <v>46143</v>
      </c>
      <c r="H886" t="s">
        <v>2362</v>
      </c>
      <c r="I886">
        <v>16644134</v>
      </c>
      <c r="J886" s="123">
        <v>0</v>
      </c>
      <c r="K886" s="123">
        <v>0</v>
      </c>
      <c r="L886" s="123">
        <v>46142</v>
      </c>
      <c r="M886">
        <v>0</v>
      </c>
      <c r="N886">
        <v>0</v>
      </c>
      <c r="O886">
        <v>0</v>
      </c>
      <c r="P886" s="216">
        <v>454000</v>
      </c>
      <c r="Q886" s="217" t="s">
        <v>34</v>
      </c>
      <c r="R886" s="217" t="s">
        <v>61</v>
      </c>
      <c r="S886" s="218">
        <v>0.6011318113636912</v>
      </c>
      <c r="T886" t="s">
        <v>550</v>
      </c>
      <c r="U886" t="s">
        <v>51</v>
      </c>
      <c r="V886" s="219">
        <v>0</v>
      </c>
      <c r="W886" s="219">
        <v>0</v>
      </c>
    </row>
    <row r="887" spans="1:23" ht="15" customHeight="1" x14ac:dyDescent="0.25">
      <c r="A887" t="s">
        <v>2364</v>
      </c>
      <c r="B887" t="s">
        <v>546</v>
      </c>
      <c r="C887">
        <v>64658.93</v>
      </c>
      <c r="D887" t="s">
        <v>2365</v>
      </c>
      <c r="E887" t="s">
        <v>553</v>
      </c>
      <c r="F887" t="s">
        <v>554</v>
      </c>
      <c r="G887" s="30">
        <v>46143</v>
      </c>
      <c r="H887" t="s">
        <v>2366</v>
      </c>
      <c r="I887">
        <v>1853623.2</v>
      </c>
      <c r="J887" s="123">
        <v>46143</v>
      </c>
      <c r="K887" s="123">
        <v>0</v>
      </c>
      <c r="L887" s="123">
        <v>46143</v>
      </c>
      <c r="M887">
        <v>0</v>
      </c>
      <c r="N887">
        <v>0</v>
      </c>
      <c r="O887" t="s">
        <v>556</v>
      </c>
      <c r="P887" s="216">
        <v>64658.93</v>
      </c>
      <c r="Q887" s="217" t="s">
        <v>24</v>
      </c>
      <c r="R887" s="217" t="s">
        <v>554</v>
      </c>
      <c r="S887" s="218">
        <v>0.6999987915559106</v>
      </c>
      <c r="T887" t="s">
        <v>550</v>
      </c>
      <c r="U887" t="s">
        <v>51</v>
      </c>
      <c r="V887" s="219" t="s">
        <v>6347</v>
      </c>
      <c r="W887" s="219" t="s">
        <v>67</v>
      </c>
    </row>
    <row r="888" spans="1:23" ht="15" customHeight="1" x14ac:dyDescent="0.25">
      <c r="A888" t="s">
        <v>2367</v>
      </c>
      <c r="B888" t="s">
        <v>546</v>
      </c>
      <c r="C888">
        <v>863</v>
      </c>
      <c r="D888" t="s">
        <v>2365</v>
      </c>
      <c r="E888" t="s">
        <v>553</v>
      </c>
      <c r="F888" t="s">
        <v>554</v>
      </c>
      <c r="G888" s="30">
        <v>46147</v>
      </c>
      <c r="H888" t="s">
        <v>2366</v>
      </c>
      <c r="I888">
        <v>1853623.2</v>
      </c>
      <c r="J888" s="123">
        <v>46147</v>
      </c>
      <c r="K888" s="123">
        <v>0</v>
      </c>
      <c r="L888" s="123">
        <v>46147</v>
      </c>
      <c r="M888">
        <v>0</v>
      </c>
      <c r="N888">
        <v>0</v>
      </c>
      <c r="O888" t="s">
        <v>556</v>
      </c>
      <c r="P888" s="216">
        <v>863</v>
      </c>
      <c r="Q888" s="217" t="s">
        <v>24</v>
      </c>
      <c r="R888" s="217" t="s">
        <v>554</v>
      </c>
      <c r="S888" s="218">
        <v>0.6999987915559106</v>
      </c>
      <c r="T888" t="s">
        <v>550</v>
      </c>
      <c r="U888" t="s">
        <v>51</v>
      </c>
      <c r="V888" s="219" t="s">
        <v>6348</v>
      </c>
      <c r="W888" s="219" t="s">
        <v>67</v>
      </c>
    </row>
    <row r="889" spans="1:23" ht="15" customHeight="1" x14ac:dyDescent="0.25">
      <c r="A889" t="s">
        <v>2368</v>
      </c>
      <c r="B889" t="s">
        <v>64</v>
      </c>
      <c r="C889">
        <v>347417</v>
      </c>
      <c r="D889" t="s">
        <v>2369</v>
      </c>
      <c r="E889" t="s">
        <v>321</v>
      </c>
      <c r="F889" t="s">
        <v>554</v>
      </c>
      <c r="G889" s="30">
        <v>46149</v>
      </c>
      <c r="H889" t="s">
        <v>2370</v>
      </c>
      <c r="I889">
        <v>3801187</v>
      </c>
      <c r="J889" s="123">
        <v>0</v>
      </c>
      <c r="K889" s="123">
        <v>46148</v>
      </c>
      <c r="L889" s="123">
        <v>0</v>
      </c>
      <c r="M889">
        <v>0</v>
      </c>
      <c r="N889">
        <v>0</v>
      </c>
      <c r="O889" t="s">
        <v>556</v>
      </c>
      <c r="P889" s="216">
        <v>347417</v>
      </c>
      <c r="Q889" s="217" t="s">
        <v>43</v>
      </c>
      <c r="R889" s="217" t="s">
        <v>554</v>
      </c>
      <c r="S889" s="218">
        <v>0.20025105315786884</v>
      </c>
      <c r="T889" t="s">
        <v>550</v>
      </c>
      <c r="U889" t="s">
        <v>51</v>
      </c>
      <c r="V889" s="219" t="s">
        <v>6349</v>
      </c>
      <c r="W889" s="219" t="s">
        <v>71</v>
      </c>
    </row>
    <row r="890" spans="1:23" ht="15" customHeight="1" x14ac:dyDescent="0.25">
      <c r="A890" t="s">
        <v>2371</v>
      </c>
      <c r="B890" t="s">
        <v>64</v>
      </c>
      <c r="C890">
        <v>27000</v>
      </c>
      <c r="D890" t="s">
        <v>2369</v>
      </c>
      <c r="E890" t="s">
        <v>321</v>
      </c>
      <c r="F890" t="s">
        <v>580</v>
      </c>
      <c r="G890" s="30">
        <v>46149</v>
      </c>
      <c r="H890" t="s">
        <v>2370</v>
      </c>
      <c r="I890">
        <v>3801187</v>
      </c>
      <c r="J890" s="123">
        <v>0</v>
      </c>
      <c r="K890" s="123">
        <v>46148</v>
      </c>
      <c r="L890" s="123">
        <v>0</v>
      </c>
      <c r="M890">
        <v>0</v>
      </c>
      <c r="N890">
        <v>0</v>
      </c>
      <c r="O890" t="s">
        <v>556</v>
      </c>
      <c r="P890" s="216">
        <v>27000</v>
      </c>
      <c r="Q890" s="217" t="s">
        <v>43</v>
      </c>
      <c r="R890" s="217" t="s">
        <v>582</v>
      </c>
      <c r="S890" s="218">
        <v>0.20025105315786884</v>
      </c>
      <c r="T890" t="s">
        <v>550</v>
      </c>
      <c r="U890" t="s">
        <v>51</v>
      </c>
      <c r="V890" s="219">
        <v>0</v>
      </c>
      <c r="W890" s="219">
        <v>0</v>
      </c>
    </row>
    <row r="891" spans="1:23" ht="15" customHeight="1" x14ac:dyDescent="0.25">
      <c r="A891" t="s">
        <v>2372</v>
      </c>
      <c r="B891" t="s">
        <v>64</v>
      </c>
      <c r="C891">
        <v>374417</v>
      </c>
      <c r="D891" t="s">
        <v>2369</v>
      </c>
      <c r="E891" t="s">
        <v>321</v>
      </c>
      <c r="F891" t="s">
        <v>683</v>
      </c>
      <c r="G891" s="30">
        <v>46149</v>
      </c>
      <c r="H891" t="s">
        <v>2370</v>
      </c>
      <c r="I891">
        <v>3801187</v>
      </c>
      <c r="J891" s="123">
        <v>0</v>
      </c>
      <c r="K891" s="123">
        <v>46148</v>
      </c>
      <c r="L891" s="123">
        <v>0</v>
      </c>
      <c r="M891">
        <v>0</v>
      </c>
      <c r="N891">
        <v>0</v>
      </c>
      <c r="O891" t="s">
        <v>556</v>
      </c>
      <c r="P891" s="216">
        <v>374417</v>
      </c>
      <c r="Q891" s="217" t="s">
        <v>43</v>
      </c>
      <c r="R891" s="217" t="s">
        <v>62</v>
      </c>
      <c r="S891" s="218">
        <v>0.20025105315786884</v>
      </c>
      <c r="T891" t="s">
        <v>550</v>
      </c>
      <c r="U891" t="s">
        <v>51</v>
      </c>
      <c r="V891" s="219">
        <v>0</v>
      </c>
      <c r="W891" s="219">
        <v>0</v>
      </c>
    </row>
    <row r="892" spans="1:23" ht="15" customHeight="1" x14ac:dyDescent="0.25">
      <c r="A892" t="s">
        <v>2373</v>
      </c>
      <c r="B892" t="s">
        <v>546</v>
      </c>
      <c r="C892">
        <v>53914</v>
      </c>
      <c r="D892" t="s">
        <v>2374</v>
      </c>
      <c r="E892" t="s">
        <v>553</v>
      </c>
      <c r="F892" t="s">
        <v>554</v>
      </c>
      <c r="G892" s="30">
        <v>46144</v>
      </c>
      <c r="H892" t="s">
        <v>2375</v>
      </c>
      <c r="I892">
        <v>1617423.5</v>
      </c>
      <c r="J892" s="123">
        <v>46144</v>
      </c>
      <c r="K892" s="123">
        <v>0</v>
      </c>
      <c r="L892" s="123">
        <v>46144</v>
      </c>
      <c r="M892">
        <v>0</v>
      </c>
      <c r="N892">
        <v>0</v>
      </c>
      <c r="O892" t="s">
        <v>556</v>
      </c>
      <c r="P892" s="216">
        <v>53914</v>
      </c>
      <c r="Q892" s="217" t="s">
        <v>24</v>
      </c>
      <c r="R892" s="217" t="s">
        <v>554</v>
      </c>
      <c r="S892" s="218">
        <v>0.39999959812627922</v>
      </c>
      <c r="T892" t="s">
        <v>550</v>
      </c>
      <c r="U892" t="s">
        <v>51</v>
      </c>
      <c r="V892" s="219" t="s">
        <v>6350</v>
      </c>
      <c r="W892" s="219" t="s">
        <v>67</v>
      </c>
    </row>
    <row r="893" spans="1:23" ht="15" customHeight="1" x14ac:dyDescent="0.25">
      <c r="A893" t="s">
        <v>2376</v>
      </c>
      <c r="B893" t="s">
        <v>546</v>
      </c>
      <c r="C893">
        <v>53914</v>
      </c>
      <c r="D893" t="s">
        <v>2374</v>
      </c>
      <c r="E893" t="s">
        <v>553</v>
      </c>
      <c r="F893" t="s">
        <v>554</v>
      </c>
      <c r="G893" s="30">
        <v>46144</v>
      </c>
      <c r="H893" t="s">
        <v>2375</v>
      </c>
      <c r="I893">
        <v>1617423.5</v>
      </c>
      <c r="J893" s="123">
        <v>46144</v>
      </c>
      <c r="K893" s="123">
        <v>0</v>
      </c>
      <c r="L893" s="123">
        <v>46144</v>
      </c>
      <c r="M893">
        <v>0</v>
      </c>
      <c r="N893">
        <v>0</v>
      </c>
      <c r="O893" t="s">
        <v>556</v>
      </c>
      <c r="P893" s="216">
        <v>53914</v>
      </c>
      <c r="Q893" s="217" t="s">
        <v>24</v>
      </c>
      <c r="R893" s="217" t="s">
        <v>554</v>
      </c>
      <c r="S893" s="218">
        <v>0.39999959812627922</v>
      </c>
      <c r="T893" t="s">
        <v>550</v>
      </c>
      <c r="U893" t="s">
        <v>51</v>
      </c>
      <c r="V893" s="219" t="s">
        <v>6351</v>
      </c>
      <c r="W893" s="219" t="s">
        <v>67</v>
      </c>
    </row>
    <row r="894" spans="1:23" ht="15" customHeight="1" x14ac:dyDescent="0.25">
      <c r="A894" t="s">
        <v>2377</v>
      </c>
      <c r="B894" t="s">
        <v>546</v>
      </c>
      <c r="C894">
        <v>53914</v>
      </c>
      <c r="D894" t="s">
        <v>2374</v>
      </c>
      <c r="E894" t="s">
        <v>553</v>
      </c>
      <c r="F894" t="s">
        <v>554</v>
      </c>
      <c r="G894" s="30">
        <v>46145</v>
      </c>
      <c r="H894" t="s">
        <v>2375</v>
      </c>
      <c r="I894">
        <v>1617423.5</v>
      </c>
      <c r="J894" s="123">
        <v>46145</v>
      </c>
      <c r="K894" s="123">
        <v>0</v>
      </c>
      <c r="L894" s="123">
        <v>46145</v>
      </c>
      <c r="M894">
        <v>0</v>
      </c>
      <c r="N894">
        <v>0</v>
      </c>
      <c r="O894" t="s">
        <v>556</v>
      </c>
      <c r="P894" s="216">
        <v>53914</v>
      </c>
      <c r="Q894" s="217" t="s">
        <v>24</v>
      </c>
      <c r="R894" s="217" t="s">
        <v>554</v>
      </c>
      <c r="S894" s="218">
        <v>0.39999959812627922</v>
      </c>
      <c r="T894" t="s">
        <v>550</v>
      </c>
      <c r="U894" t="s">
        <v>51</v>
      </c>
      <c r="V894" s="219" t="s">
        <v>6352</v>
      </c>
      <c r="W894" s="219" t="s">
        <v>67</v>
      </c>
    </row>
    <row r="895" spans="1:23" ht="15" customHeight="1" x14ac:dyDescent="0.25">
      <c r="A895" t="s">
        <v>2378</v>
      </c>
      <c r="B895" t="s">
        <v>546</v>
      </c>
      <c r="C895">
        <v>396935</v>
      </c>
      <c r="D895" t="s">
        <v>2379</v>
      </c>
      <c r="E895" t="s">
        <v>278</v>
      </c>
      <c r="F895" t="s">
        <v>554</v>
      </c>
      <c r="G895" s="30">
        <v>46143</v>
      </c>
      <c r="H895" t="s">
        <v>2380</v>
      </c>
      <c r="I895">
        <v>8021328</v>
      </c>
      <c r="J895" s="123">
        <v>0</v>
      </c>
      <c r="K895" s="123">
        <v>0</v>
      </c>
      <c r="L895" s="123">
        <v>0</v>
      </c>
      <c r="M895">
        <v>0</v>
      </c>
      <c r="N895">
        <v>0</v>
      </c>
      <c r="O895">
        <v>0</v>
      </c>
      <c r="P895" s="216">
        <v>396935</v>
      </c>
      <c r="Q895" s="217" t="s">
        <v>39</v>
      </c>
      <c r="R895" s="217" t="s">
        <v>554</v>
      </c>
      <c r="S895" s="218">
        <v>0.60064372632561591</v>
      </c>
      <c r="T895" t="s">
        <v>550</v>
      </c>
      <c r="U895" t="s">
        <v>51</v>
      </c>
      <c r="V895" s="219" t="s">
        <v>6353</v>
      </c>
      <c r="W895" s="219" t="s">
        <v>67</v>
      </c>
    </row>
    <row r="896" spans="1:23" ht="15" customHeight="1" x14ac:dyDescent="0.25">
      <c r="A896" t="s">
        <v>2381</v>
      </c>
      <c r="B896" t="s">
        <v>546</v>
      </c>
      <c r="C896">
        <v>400000</v>
      </c>
      <c r="D896" t="s">
        <v>2379</v>
      </c>
      <c r="E896" t="s">
        <v>278</v>
      </c>
      <c r="F896" t="s">
        <v>554</v>
      </c>
      <c r="G896" s="30">
        <v>46143</v>
      </c>
      <c r="H896" t="s">
        <v>2380</v>
      </c>
      <c r="I896">
        <v>8021328</v>
      </c>
      <c r="J896" s="123">
        <v>0</v>
      </c>
      <c r="K896" s="123">
        <v>0</v>
      </c>
      <c r="L896" s="123">
        <v>0</v>
      </c>
      <c r="M896">
        <v>0</v>
      </c>
      <c r="N896">
        <v>0</v>
      </c>
      <c r="O896">
        <v>0</v>
      </c>
      <c r="P896" s="216">
        <v>400000</v>
      </c>
      <c r="Q896" s="217" t="s">
        <v>39</v>
      </c>
      <c r="R896" s="217" t="s">
        <v>554</v>
      </c>
      <c r="S896" s="218">
        <v>0.60064372632561591</v>
      </c>
      <c r="T896" t="s">
        <v>550</v>
      </c>
      <c r="U896" t="s">
        <v>51</v>
      </c>
      <c r="V896" s="219" t="s">
        <v>6354</v>
      </c>
      <c r="W896" s="219" t="s">
        <v>67</v>
      </c>
    </row>
    <row r="897" spans="1:23" ht="15" customHeight="1" x14ac:dyDescent="0.25">
      <c r="A897" t="s">
        <v>2382</v>
      </c>
      <c r="B897" t="s">
        <v>595</v>
      </c>
      <c r="C897">
        <v>706474</v>
      </c>
      <c r="D897" t="s">
        <v>2383</v>
      </c>
      <c r="E897" t="s">
        <v>193</v>
      </c>
      <c r="F897" t="s">
        <v>580</v>
      </c>
      <c r="G897" s="30">
        <v>46149</v>
      </c>
      <c r="H897" t="s">
        <v>2384</v>
      </c>
      <c r="I897">
        <v>7064736</v>
      </c>
      <c r="J897" s="123">
        <v>0</v>
      </c>
      <c r="K897" s="123">
        <v>0</v>
      </c>
      <c r="L897" s="123">
        <v>46147</v>
      </c>
      <c r="M897">
        <v>0</v>
      </c>
      <c r="N897">
        <v>0</v>
      </c>
      <c r="O897">
        <v>0</v>
      </c>
      <c r="P897" s="216">
        <v>706474</v>
      </c>
      <c r="Q897" s="217" t="s">
        <v>26</v>
      </c>
      <c r="R897" s="217" t="s">
        <v>582</v>
      </c>
      <c r="S897" s="218">
        <v>0.50011825353417316</v>
      </c>
      <c r="T897" t="s">
        <v>550</v>
      </c>
      <c r="U897" t="s">
        <v>51</v>
      </c>
      <c r="V897" s="219">
        <v>0</v>
      </c>
      <c r="W897" s="219">
        <v>0</v>
      </c>
    </row>
    <row r="898" spans="1:23" ht="15" customHeight="1" x14ac:dyDescent="0.25">
      <c r="A898" t="s">
        <v>2385</v>
      </c>
      <c r="B898" t="s">
        <v>595</v>
      </c>
      <c r="C898">
        <v>726025</v>
      </c>
      <c r="D898" t="s">
        <v>2386</v>
      </c>
      <c r="E898" t="s">
        <v>193</v>
      </c>
      <c r="F898" t="s">
        <v>580</v>
      </c>
      <c r="G898" s="30">
        <v>46149</v>
      </c>
      <c r="H898" t="s">
        <v>2387</v>
      </c>
      <c r="I898">
        <v>7260249</v>
      </c>
      <c r="J898" s="123">
        <v>0</v>
      </c>
      <c r="K898" s="123">
        <v>0</v>
      </c>
      <c r="L898" s="123">
        <v>46128</v>
      </c>
      <c r="M898">
        <v>0</v>
      </c>
      <c r="N898">
        <v>0</v>
      </c>
      <c r="O898">
        <v>0</v>
      </c>
      <c r="P898" s="216">
        <v>726025</v>
      </c>
      <c r="Q898" s="217" t="s">
        <v>26</v>
      </c>
      <c r="R898" s="217" t="s">
        <v>582</v>
      </c>
      <c r="S898" s="218">
        <v>0.50002095382679024</v>
      </c>
      <c r="T898" t="s">
        <v>550</v>
      </c>
      <c r="U898" t="s">
        <v>51</v>
      </c>
      <c r="V898" s="219">
        <v>0</v>
      </c>
      <c r="W898" s="219">
        <v>0</v>
      </c>
    </row>
    <row r="899" spans="1:23" ht="15" customHeight="1" x14ac:dyDescent="0.25">
      <c r="A899" t="s">
        <v>2388</v>
      </c>
      <c r="B899" t="s">
        <v>546</v>
      </c>
      <c r="C899">
        <v>10000</v>
      </c>
      <c r="D899" t="s">
        <v>2389</v>
      </c>
      <c r="E899" t="s">
        <v>553</v>
      </c>
      <c r="F899" t="s">
        <v>554</v>
      </c>
      <c r="G899" s="30">
        <v>46144</v>
      </c>
      <c r="H899" t="s">
        <v>2390</v>
      </c>
      <c r="I899">
        <v>1599788</v>
      </c>
      <c r="J899" s="123">
        <v>46144</v>
      </c>
      <c r="K899" s="123">
        <v>0</v>
      </c>
      <c r="L899" s="123">
        <v>46144</v>
      </c>
      <c r="M899">
        <v>0</v>
      </c>
      <c r="N899">
        <v>0</v>
      </c>
      <c r="O899" t="s">
        <v>556</v>
      </c>
      <c r="P899" s="216">
        <v>10000</v>
      </c>
      <c r="Q899" s="217" t="s">
        <v>30</v>
      </c>
      <c r="R899" s="217" t="s">
        <v>554</v>
      </c>
      <c r="S899" s="218">
        <v>0.43125414117370547</v>
      </c>
      <c r="T899" t="s">
        <v>550</v>
      </c>
      <c r="U899" t="s">
        <v>51</v>
      </c>
      <c r="V899" s="219" t="s">
        <v>6355</v>
      </c>
      <c r="W899" s="219" t="s">
        <v>67</v>
      </c>
    </row>
    <row r="900" spans="1:23" ht="15" customHeight="1" x14ac:dyDescent="0.25">
      <c r="A900" t="s">
        <v>2391</v>
      </c>
      <c r="B900" t="s">
        <v>575</v>
      </c>
      <c r="C900">
        <v>242000</v>
      </c>
      <c r="D900" t="s">
        <v>2392</v>
      </c>
      <c r="E900" t="s">
        <v>321</v>
      </c>
      <c r="F900" t="s">
        <v>554</v>
      </c>
      <c r="G900" s="30">
        <v>46146</v>
      </c>
      <c r="H900" t="s">
        <v>2393</v>
      </c>
      <c r="I900">
        <v>2520825.0499999998</v>
      </c>
      <c r="J900" s="123">
        <v>0</v>
      </c>
      <c r="K900" s="123">
        <v>0</v>
      </c>
      <c r="L900" s="123">
        <v>46146</v>
      </c>
      <c r="M900">
        <v>0</v>
      </c>
      <c r="N900">
        <v>0</v>
      </c>
      <c r="O900">
        <v>0</v>
      </c>
      <c r="P900" s="216">
        <v>242000</v>
      </c>
      <c r="Q900" s="217" t="s">
        <v>43</v>
      </c>
      <c r="R900" s="217" t="s">
        <v>554</v>
      </c>
      <c r="S900" s="218">
        <v>0.70016600319010636</v>
      </c>
      <c r="T900" t="s">
        <v>550</v>
      </c>
      <c r="U900" t="s">
        <v>51</v>
      </c>
      <c r="V900" s="219" t="s">
        <v>6356</v>
      </c>
      <c r="W900" s="219" t="s">
        <v>67</v>
      </c>
    </row>
    <row r="901" spans="1:23" ht="15" customHeight="1" x14ac:dyDescent="0.25">
      <c r="A901" t="s">
        <v>2394</v>
      </c>
      <c r="B901" t="s">
        <v>546</v>
      </c>
      <c r="C901">
        <v>242000</v>
      </c>
      <c r="D901" t="s">
        <v>2392</v>
      </c>
      <c r="E901" t="s">
        <v>553</v>
      </c>
      <c r="F901" t="s">
        <v>548</v>
      </c>
      <c r="G901" s="30">
        <v>46146</v>
      </c>
      <c r="H901" t="s">
        <v>2393</v>
      </c>
      <c r="I901">
        <v>2520825.0499999998</v>
      </c>
      <c r="J901" s="123">
        <v>46146</v>
      </c>
      <c r="K901" s="123">
        <v>0</v>
      </c>
      <c r="L901" s="123">
        <v>46146</v>
      </c>
      <c r="M901">
        <v>0</v>
      </c>
      <c r="N901">
        <v>0</v>
      </c>
      <c r="O901" t="s">
        <v>556</v>
      </c>
      <c r="P901" s="216">
        <v>242000</v>
      </c>
      <c r="Q901" s="217" t="s">
        <v>43</v>
      </c>
      <c r="R901" s="217" t="s">
        <v>62</v>
      </c>
      <c r="S901" s="218">
        <v>0.70016600319010636</v>
      </c>
      <c r="T901" t="s">
        <v>550</v>
      </c>
      <c r="U901" t="s">
        <v>51</v>
      </c>
      <c r="V901" s="219">
        <v>0</v>
      </c>
      <c r="W901" s="219">
        <v>0</v>
      </c>
    </row>
    <row r="902" spans="1:23" ht="15" customHeight="1" x14ac:dyDescent="0.25">
      <c r="A902" t="s">
        <v>2395</v>
      </c>
      <c r="B902" t="s">
        <v>546</v>
      </c>
      <c r="C902">
        <v>242000</v>
      </c>
      <c r="D902" t="s">
        <v>2392</v>
      </c>
      <c r="E902" t="s">
        <v>553</v>
      </c>
      <c r="F902" t="s">
        <v>548</v>
      </c>
      <c r="G902" s="30">
        <v>46146</v>
      </c>
      <c r="H902" t="s">
        <v>2393</v>
      </c>
      <c r="I902">
        <v>2520825.0499999998</v>
      </c>
      <c r="J902" s="123">
        <v>46146</v>
      </c>
      <c r="K902" s="123">
        <v>0</v>
      </c>
      <c r="L902" s="123">
        <v>46146</v>
      </c>
      <c r="M902">
        <v>0</v>
      </c>
      <c r="N902">
        <v>0</v>
      </c>
      <c r="O902" t="s">
        <v>556</v>
      </c>
      <c r="P902" s="216">
        <v>242000</v>
      </c>
      <c r="Q902" s="217" t="s">
        <v>43</v>
      </c>
      <c r="R902" s="217" t="s">
        <v>62</v>
      </c>
      <c r="S902" s="218">
        <v>0.70016600319010636</v>
      </c>
      <c r="T902" t="s">
        <v>550</v>
      </c>
      <c r="U902" t="s">
        <v>51</v>
      </c>
      <c r="V902" s="219">
        <v>0</v>
      </c>
      <c r="W902" s="219">
        <v>0</v>
      </c>
    </row>
    <row r="903" spans="1:23" ht="15" customHeight="1" x14ac:dyDescent="0.25">
      <c r="A903" t="s">
        <v>2396</v>
      </c>
      <c r="B903" t="s">
        <v>575</v>
      </c>
      <c r="C903">
        <v>241582</v>
      </c>
      <c r="D903" t="s">
        <v>2397</v>
      </c>
      <c r="E903" t="s">
        <v>321</v>
      </c>
      <c r="F903" t="s">
        <v>554</v>
      </c>
      <c r="G903" s="30">
        <v>46146</v>
      </c>
      <c r="H903" t="s">
        <v>2398</v>
      </c>
      <c r="I903">
        <v>2520825.0499999998</v>
      </c>
      <c r="J903" s="123">
        <v>0</v>
      </c>
      <c r="K903" s="123">
        <v>0</v>
      </c>
      <c r="L903" s="123">
        <v>46146</v>
      </c>
      <c r="M903">
        <v>0</v>
      </c>
      <c r="N903">
        <v>0</v>
      </c>
      <c r="O903">
        <v>0</v>
      </c>
      <c r="P903" s="216">
        <v>241582</v>
      </c>
      <c r="Q903" s="217" t="s">
        <v>43</v>
      </c>
      <c r="R903" s="217" t="s">
        <v>554</v>
      </c>
      <c r="S903" s="218">
        <v>0.69891442882956123</v>
      </c>
      <c r="T903" t="s">
        <v>550</v>
      </c>
      <c r="U903" t="s">
        <v>51</v>
      </c>
      <c r="V903" s="219" t="s">
        <v>6357</v>
      </c>
      <c r="W903" s="219" t="s">
        <v>67</v>
      </c>
    </row>
    <row r="904" spans="1:23" ht="15" customHeight="1" x14ac:dyDescent="0.25">
      <c r="A904" t="s">
        <v>2399</v>
      </c>
      <c r="B904" t="s">
        <v>575</v>
      </c>
      <c r="C904">
        <v>160861</v>
      </c>
      <c r="D904" t="s">
        <v>2400</v>
      </c>
      <c r="E904" t="s">
        <v>248</v>
      </c>
      <c r="F904" t="s">
        <v>580</v>
      </c>
      <c r="G904" s="30">
        <v>46149</v>
      </c>
      <c r="H904" t="s">
        <v>2401</v>
      </c>
      <c r="I904">
        <v>1608608.7</v>
      </c>
      <c r="J904" s="123">
        <v>0</v>
      </c>
      <c r="K904" s="123">
        <v>0</v>
      </c>
      <c r="L904" s="123">
        <v>46149</v>
      </c>
      <c r="M904">
        <v>0</v>
      </c>
      <c r="N904">
        <v>0</v>
      </c>
      <c r="O904">
        <v>0</v>
      </c>
      <c r="P904" s="216">
        <v>160861</v>
      </c>
      <c r="Q904" s="217" t="s">
        <v>30</v>
      </c>
      <c r="R904" s="217" t="s">
        <v>582</v>
      </c>
      <c r="S904" s="218">
        <v>0.40000016163035795</v>
      </c>
      <c r="T904" t="s">
        <v>550</v>
      </c>
      <c r="U904" t="s">
        <v>51</v>
      </c>
      <c r="V904" s="219">
        <v>0</v>
      </c>
      <c r="W904" s="219">
        <v>0</v>
      </c>
    </row>
    <row r="905" spans="1:23" ht="15" customHeight="1" x14ac:dyDescent="0.25">
      <c r="A905" t="s">
        <v>2402</v>
      </c>
      <c r="B905" t="s">
        <v>575</v>
      </c>
      <c r="C905">
        <v>93289.27</v>
      </c>
      <c r="D905" t="s">
        <v>2403</v>
      </c>
      <c r="E905" t="s">
        <v>248</v>
      </c>
      <c r="F905" t="s">
        <v>554</v>
      </c>
      <c r="G905" s="30">
        <v>46147</v>
      </c>
      <c r="H905" t="s">
        <v>2404</v>
      </c>
      <c r="I905">
        <v>1865785.35</v>
      </c>
      <c r="J905" s="123">
        <v>0</v>
      </c>
      <c r="K905" s="123">
        <v>0</v>
      </c>
      <c r="L905" s="123">
        <v>46140</v>
      </c>
      <c r="M905">
        <v>0</v>
      </c>
      <c r="N905">
        <v>0</v>
      </c>
      <c r="O905">
        <v>0</v>
      </c>
      <c r="P905" s="216">
        <v>93289.27</v>
      </c>
      <c r="Q905" s="217" t="s">
        <v>30</v>
      </c>
      <c r="R905" s="217" t="s">
        <v>554</v>
      </c>
      <c r="S905" s="218">
        <v>0.40086311643512473</v>
      </c>
      <c r="T905" t="s">
        <v>550</v>
      </c>
      <c r="U905" t="s">
        <v>51</v>
      </c>
      <c r="V905" s="219" t="s">
        <v>6358</v>
      </c>
      <c r="W905" s="219" t="s">
        <v>67</v>
      </c>
    </row>
    <row r="906" spans="1:23" ht="15" customHeight="1" x14ac:dyDescent="0.25">
      <c r="A906" t="s">
        <v>2405</v>
      </c>
      <c r="B906" t="s">
        <v>575</v>
      </c>
      <c r="C906">
        <v>93389.27</v>
      </c>
      <c r="D906" t="s">
        <v>2403</v>
      </c>
      <c r="E906" t="s">
        <v>248</v>
      </c>
      <c r="F906" t="s">
        <v>554</v>
      </c>
      <c r="G906" s="30">
        <v>46147</v>
      </c>
      <c r="H906" t="s">
        <v>2404</v>
      </c>
      <c r="I906">
        <v>1865785.35</v>
      </c>
      <c r="J906" s="123">
        <v>0</v>
      </c>
      <c r="K906" s="123">
        <v>0</v>
      </c>
      <c r="L906" s="123">
        <v>46143</v>
      </c>
      <c r="M906">
        <v>0</v>
      </c>
      <c r="N906">
        <v>0</v>
      </c>
      <c r="O906">
        <v>0</v>
      </c>
      <c r="P906" s="216">
        <v>93389.27</v>
      </c>
      <c r="Q906" s="217" t="s">
        <v>30</v>
      </c>
      <c r="R906" s="217" t="s">
        <v>554</v>
      </c>
      <c r="S906" s="218">
        <v>0.40086311643512473</v>
      </c>
      <c r="T906" t="s">
        <v>550</v>
      </c>
      <c r="U906" t="s">
        <v>51</v>
      </c>
      <c r="V906" s="219" t="s">
        <v>6359</v>
      </c>
      <c r="W906" s="219" t="s">
        <v>67</v>
      </c>
    </row>
    <row r="907" spans="1:23" ht="15" customHeight="1" x14ac:dyDescent="0.25">
      <c r="A907" t="s">
        <v>2406</v>
      </c>
      <c r="B907" t="s">
        <v>1118</v>
      </c>
      <c r="C907">
        <v>346572.44</v>
      </c>
      <c r="D907" t="s">
        <v>2407</v>
      </c>
      <c r="E907" t="s">
        <v>311</v>
      </c>
      <c r="F907" t="s">
        <v>554</v>
      </c>
      <c r="G907" s="30">
        <v>46143</v>
      </c>
      <c r="H907" t="s">
        <v>2408</v>
      </c>
      <c r="I907">
        <v>2554967.15</v>
      </c>
      <c r="J907" s="123">
        <v>46141</v>
      </c>
      <c r="K907" s="123">
        <v>0</v>
      </c>
      <c r="L907" s="123">
        <v>0</v>
      </c>
      <c r="M907">
        <v>0</v>
      </c>
      <c r="N907">
        <v>0</v>
      </c>
      <c r="O907">
        <v>0</v>
      </c>
      <c r="P907" s="216">
        <v>346572.44</v>
      </c>
      <c r="Q907" s="217" t="s">
        <v>42</v>
      </c>
      <c r="R907" s="217" t="s">
        <v>554</v>
      </c>
      <c r="S907" s="218">
        <v>0.7356464211291327</v>
      </c>
      <c r="T907" t="s">
        <v>550</v>
      </c>
      <c r="U907" t="s">
        <v>51</v>
      </c>
      <c r="V907" s="219" t="s">
        <v>6360</v>
      </c>
      <c r="W907" s="219" t="s">
        <v>67</v>
      </c>
    </row>
    <row r="908" spans="1:23" ht="15" customHeight="1" x14ac:dyDescent="0.25">
      <c r="A908" t="s">
        <v>2409</v>
      </c>
      <c r="B908" t="s">
        <v>64</v>
      </c>
      <c r="C908">
        <v>186787</v>
      </c>
      <c r="D908" t="s">
        <v>2410</v>
      </c>
      <c r="E908" t="s">
        <v>2411</v>
      </c>
      <c r="F908" t="s">
        <v>554</v>
      </c>
      <c r="G908" s="30">
        <v>46146</v>
      </c>
      <c r="H908" t="s">
        <v>2412</v>
      </c>
      <c r="I908">
        <v>1867866</v>
      </c>
      <c r="J908" s="123">
        <v>0</v>
      </c>
      <c r="K908" s="123">
        <v>46140</v>
      </c>
      <c r="L908" s="123">
        <v>0</v>
      </c>
      <c r="M908">
        <v>0</v>
      </c>
      <c r="N908">
        <v>0</v>
      </c>
      <c r="O908" t="s">
        <v>556</v>
      </c>
      <c r="P908" s="216">
        <v>186787</v>
      </c>
      <c r="Q908" s="217" t="s">
        <v>30</v>
      </c>
      <c r="R908" s="217" t="s">
        <v>554</v>
      </c>
      <c r="S908" s="218">
        <v>0.40104536406787211</v>
      </c>
      <c r="T908" t="s">
        <v>550</v>
      </c>
      <c r="U908" t="s">
        <v>51</v>
      </c>
      <c r="V908" s="219" t="s">
        <v>6361</v>
      </c>
      <c r="W908" s="219" t="s">
        <v>67</v>
      </c>
    </row>
    <row r="909" spans="1:23" ht="15" customHeight="1" x14ac:dyDescent="0.25">
      <c r="A909" t="s">
        <v>2413</v>
      </c>
      <c r="B909" t="s">
        <v>575</v>
      </c>
      <c r="C909">
        <v>215980</v>
      </c>
      <c r="D909" t="s">
        <v>2414</v>
      </c>
      <c r="E909" t="s">
        <v>311</v>
      </c>
      <c r="F909" t="s">
        <v>580</v>
      </c>
      <c r="G909" s="30">
        <v>46149</v>
      </c>
      <c r="H909" t="s">
        <v>2415</v>
      </c>
      <c r="I909">
        <v>1675387.35</v>
      </c>
      <c r="J909" s="123">
        <v>0</v>
      </c>
      <c r="K909" s="123">
        <v>0</v>
      </c>
      <c r="L909" s="123">
        <v>46133</v>
      </c>
      <c r="M909">
        <v>0</v>
      </c>
      <c r="N909">
        <v>0</v>
      </c>
      <c r="O909">
        <v>0</v>
      </c>
      <c r="P909" s="216">
        <v>215980</v>
      </c>
      <c r="Q909" s="217" t="s">
        <v>42</v>
      </c>
      <c r="R909" s="217" t="s">
        <v>582</v>
      </c>
      <c r="S909" s="218">
        <v>0.65014428454410855</v>
      </c>
      <c r="T909" t="s">
        <v>550</v>
      </c>
      <c r="U909" t="s">
        <v>51</v>
      </c>
      <c r="V909" s="219">
        <v>0</v>
      </c>
      <c r="W909" s="219">
        <v>0</v>
      </c>
    </row>
    <row r="910" spans="1:23" ht="15" customHeight="1" x14ac:dyDescent="0.25">
      <c r="A910" t="s">
        <v>2416</v>
      </c>
      <c r="B910" t="s">
        <v>575</v>
      </c>
      <c r="C910">
        <v>171920</v>
      </c>
      <c r="D910" t="s">
        <v>2417</v>
      </c>
      <c r="E910" t="s">
        <v>311</v>
      </c>
      <c r="F910" t="s">
        <v>580</v>
      </c>
      <c r="G910" s="30">
        <v>46149</v>
      </c>
      <c r="H910" t="s">
        <v>2418</v>
      </c>
      <c r="I910">
        <v>1708921.6</v>
      </c>
      <c r="J910" s="123">
        <v>0</v>
      </c>
      <c r="K910" s="123">
        <v>0</v>
      </c>
      <c r="L910" s="123">
        <v>46133</v>
      </c>
      <c r="M910">
        <v>0</v>
      </c>
      <c r="N910">
        <v>0</v>
      </c>
      <c r="O910">
        <v>0</v>
      </c>
      <c r="P910" s="216">
        <v>171920</v>
      </c>
      <c r="Q910" s="217" t="s">
        <v>42</v>
      </c>
      <c r="R910" s="217" t="s">
        <v>582</v>
      </c>
      <c r="S910" s="218">
        <v>0.60192462895898791</v>
      </c>
      <c r="T910" t="s">
        <v>550</v>
      </c>
      <c r="U910" t="s">
        <v>51</v>
      </c>
      <c r="V910" s="219">
        <v>0</v>
      </c>
      <c r="W910" s="219">
        <v>0</v>
      </c>
    </row>
    <row r="911" spans="1:23" ht="15" customHeight="1" x14ac:dyDescent="0.25">
      <c r="A911" t="s">
        <v>2419</v>
      </c>
      <c r="B911" t="s">
        <v>575</v>
      </c>
      <c r="C911">
        <v>170892</v>
      </c>
      <c r="D911" t="s">
        <v>2417</v>
      </c>
      <c r="E911" t="s">
        <v>311</v>
      </c>
      <c r="F911" t="s">
        <v>580</v>
      </c>
      <c r="G911" s="30">
        <v>46149</v>
      </c>
      <c r="H911" t="s">
        <v>2418</v>
      </c>
      <c r="I911">
        <v>1708921.6</v>
      </c>
      <c r="J911" s="123">
        <v>0</v>
      </c>
      <c r="K911" s="123">
        <v>0</v>
      </c>
      <c r="L911" s="123">
        <v>46133</v>
      </c>
      <c r="M911">
        <v>0</v>
      </c>
      <c r="N911">
        <v>0</v>
      </c>
      <c r="O911">
        <v>0</v>
      </c>
      <c r="P911" s="216">
        <v>170892</v>
      </c>
      <c r="Q911" s="217" t="s">
        <v>42</v>
      </c>
      <c r="R911" s="217" t="s">
        <v>582</v>
      </c>
      <c r="S911" s="218">
        <v>0.60192462895898791</v>
      </c>
      <c r="T911" t="s">
        <v>550</v>
      </c>
      <c r="U911" t="s">
        <v>51</v>
      </c>
      <c r="V911" s="219">
        <v>0</v>
      </c>
      <c r="W911" s="219">
        <v>0</v>
      </c>
    </row>
    <row r="912" spans="1:23" ht="15" customHeight="1" x14ac:dyDescent="0.25">
      <c r="A912" t="s">
        <v>2420</v>
      </c>
      <c r="B912" t="s">
        <v>575</v>
      </c>
      <c r="C912">
        <v>200000</v>
      </c>
      <c r="D912" t="s">
        <v>2421</v>
      </c>
      <c r="E912" t="s">
        <v>218</v>
      </c>
      <c r="F912" t="s">
        <v>585</v>
      </c>
      <c r="G912" s="30">
        <v>46143</v>
      </c>
      <c r="H912" t="s">
        <v>2422</v>
      </c>
      <c r="I912">
        <v>1985984</v>
      </c>
      <c r="J912" s="123">
        <v>0</v>
      </c>
      <c r="K912" s="123">
        <v>0</v>
      </c>
      <c r="L912" s="123">
        <v>46141</v>
      </c>
      <c r="M912">
        <v>0</v>
      </c>
      <c r="N912">
        <v>0</v>
      </c>
      <c r="O912">
        <v>0</v>
      </c>
      <c r="P912" s="216">
        <v>200000</v>
      </c>
      <c r="Q912" s="217" t="s">
        <v>13</v>
      </c>
      <c r="R912" s="217" t="s">
        <v>61</v>
      </c>
      <c r="S912" s="218">
        <v>0.5</v>
      </c>
      <c r="T912" t="s">
        <v>550</v>
      </c>
      <c r="U912" t="s">
        <v>51</v>
      </c>
      <c r="V912" s="219">
        <v>0</v>
      </c>
      <c r="W912" s="219">
        <v>0</v>
      </c>
    </row>
    <row r="913" spans="1:23" ht="15" customHeight="1" x14ac:dyDescent="0.25">
      <c r="A913" t="s">
        <v>2423</v>
      </c>
      <c r="B913" t="s">
        <v>575</v>
      </c>
      <c r="C913">
        <v>200000</v>
      </c>
      <c r="D913" t="s">
        <v>2421</v>
      </c>
      <c r="E913" t="s">
        <v>218</v>
      </c>
      <c r="F913" t="s">
        <v>585</v>
      </c>
      <c r="G913" s="30">
        <v>46143</v>
      </c>
      <c r="H913" t="s">
        <v>2422</v>
      </c>
      <c r="I913">
        <v>1985984</v>
      </c>
      <c r="J913" s="123">
        <v>0</v>
      </c>
      <c r="K913" s="123">
        <v>0</v>
      </c>
      <c r="L913" s="123">
        <v>46171</v>
      </c>
      <c r="M913">
        <v>0</v>
      </c>
      <c r="N913">
        <v>0</v>
      </c>
      <c r="O913">
        <v>0</v>
      </c>
      <c r="P913" s="216">
        <v>200000</v>
      </c>
      <c r="Q913" s="217" t="s">
        <v>13</v>
      </c>
      <c r="R913" s="217" t="s">
        <v>61</v>
      </c>
      <c r="S913" s="218">
        <v>0.5</v>
      </c>
      <c r="T913" t="s">
        <v>550</v>
      </c>
      <c r="U913" t="s">
        <v>51</v>
      </c>
      <c r="V913" s="219">
        <v>0</v>
      </c>
      <c r="W913" s="219">
        <v>0</v>
      </c>
    </row>
    <row r="914" spans="1:23" ht="15" customHeight="1" x14ac:dyDescent="0.25">
      <c r="A914" t="s">
        <v>2424</v>
      </c>
      <c r="B914" t="s">
        <v>595</v>
      </c>
      <c r="C914">
        <v>73651.78</v>
      </c>
      <c r="D914" t="s">
        <v>2425</v>
      </c>
      <c r="E914" t="s">
        <v>321</v>
      </c>
      <c r="F914" t="s">
        <v>585</v>
      </c>
      <c r="G914" s="30">
        <v>46148</v>
      </c>
      <c r="H914" t="s">
        <v>2426</v>
      </c>
      <c r="I914">
        <v>2596791.2999999998</v>
      </c>
      <c r="J914" s="123">
        <v>0</v>
      </c>
      <c r="K914" s="123">
        <v>0</v>
      </c>
      <c r="L914" s="123">
        <v>46148</v>
      </c>
      <c r="M914">
        <v>0</v>
      </c>
      <c r="N914">
        <v>0</v>
      </c>
      <c r="O914">
        <v>0</v>
      </c>
      <c r="P914" s="216">
        <v>73651.78</v>
      </c>
      <c r="Q914" s="217" t="s">
        <v>43</v>
      </c>
      <c r="R914" s="217" t="s">
        <v>61</v>
      </c>
      <c r="S914" s="218">
        <v>0.59917964142902058</v>
      </c>
      <c r="T914" t="s">
        <v>550</v>
      </c>
      <c r="U914" t="s">
        <v>51</v>
      </c>
      <c r="V914" s="219">
        <v>0</v>
      </c>
      <c r="W914" s="219">
        <v>0</v>
      </c>
    </row>
    <row r="915" spans="1:23" ht="15" customHeight="1" x14ac:dyDescent="0.25">
      <c r="A915" t="s">
        <v>2427</v>
      </c>
      <c r="B915" t="s">
        <v>595</v>
      </c>
      <c r="C915">
        <v>52390.2</v>
      </c>
      <c r="D915" t="s">
        <v>2428</v>
      </c>
      <c r="E915" t="s">
        <v>1813</v>
      </c>
      <c r="F915" t="s">
        <v>580</v>
      </c>
      <c r="G915" s="30">
        <v>46149</v>
      </c>
      <c r="H915" t="s">
        <v>2429</v>
      </c>
      <c r="I915">
        <v>1912242.3</v>
      </c>
      <c r="J915" s="123">
        <v>0</v>
      </c>
      <c r="K915" s="123">
        <v>0</v>
      </c>
      <c r="L915" s="123">
        <v>46147</v>
      </c>
      <c r="M915">
        <v>0</v>
      </c>
      <c r="N915">
        <v>0</v>
      </c>
      <c r="O915">
        <v>0</v>
      </c>
      <c r="P915" s="216">
        <v>52390.2</v>
      </c>
      <c r="Q915" s="217" t="s">
        <v>30</v>
      </c>
      <c r="R915" s="217" t="s">
        <v>582</v>
      </c>
      <c r="S915" s="218">
        <v>0.30178965814112568</v>
      </c>
      <c r="T915" t="s">
        <v>550</v>
      </c>
      <c r="U915" t="s">
        <v>51</v>
      </c>
      <c r="V915" s="219">
        <v>0</v>
      </c>
      <c r="W915" s="219">
        <v>0</v>
      </c>
    </row>
    <row r="916" spans="1:23" ht="15" customHeight="1" x14ac:dyDescent="0.25">
      <c r="A916" t="s">
        <v>2430</v>
      </c>
      <c r="B916" t="s">
        <v>546</v>
      </c>
      <c r="C916">
        <v>20000</v>
      </c>
      <c r="D916" t="s">
        <v>2431</v>
      </c>
      <c r="E916" t="s">
        <v>553</v>
      </c>
      <c r="F916" t="s">
        <v>554</v>
      </c>
      <c r="G916" s="30">
        <v>46147</v>
      </c>
      <c r="H916" t="s">
        <v>2432</v>
      </c>
      <c r="I916">
        <v>1708364.1</v>
      </c>
      <c r="J916" s="123">
        <v>46147</v>
      </c>
      <c r="K916" s="123">
        <v>0</v>
      </c>
      <c r="L916" s="123">
        <v>46147</v>
      </c>
      <c r="M916">
        <v>0</v>
      </c>
      <c r="N916">
        <v>0</v>
      </c>
      <c r="O916" t="s">
        <v>556</v>
      </c>
      <c r="P916" s="216">
        <v>20000</v>
      </c>
      <c r="Q916" s="217" t="s">
        <v>43</v>
      </c>
      <c r="R916" s="217" t="s">
        <v>554</v>
      </c>
      <c r="S916" s="218">
        <v>0.63342401657819902</v>
      </c>
      <c r="T916" t="s">
        <v>550</v>
      </c>
      <c r="U916" t="s">
        <v>51</v>
      </c>
      <c r="V916" s="219" t="s">
        <v>6362</v>
      </c>
      <c r="W916" s="219" t="s">
        <v>67</v>
      </c>
    </row>
    <row r="917" spans="1:23" ht="15" customHeight="1" x14ac:dyDescent="0.25">
      <c r="A917" t="s">
        <v>2433</v>
      </c>
      <c r="B917" t="s">
        <v>546</v>
      </c>
      <c r="C917">
        <v>35000</v>
      </c>
      <c r="D917" t="s">
        <v>2431</v>
      </c>
      <c r="E917" t="s">
        <v>553</v>
      </c>
      <c r="F917" t="s">
        <v>548</v>
      </c>
      <c r="G917" s="30">
        <v>46147</v>
      </c>
      <c r="H917" t="s">
        <v>2432</v>
      </c>
      <c r="I917">
        <v>1708364.1</v>
      </c>
      <c r="J917" s="123">
        <v>46147</v>
      </c>
      <c r="K917" s="123">
        <v>0</v>
      </c>
      <c r="L917" s="123">
        <v>46147</v>
      </c>
      <c r="M917">
        <v>0</v>
      </c>
      <c r="N917">
        <v>0</v>
      </c>
      <c r="O917" t="s">
        <v>556</v>
      </c>
      <c r="P917" s="216">
        <v>35000</v>
      </c>
      <c r="Q917" s="217" t="s">
        <v>43</v>
      </c>
      <c r="R917" s="217" t="s">
        <v>62</v>
      </c>
      <c r="S917" s="218">
        <v>0.63342401657819902</v>
      </c>
      <c r="T917" t="s">
        <v>550</v>
      </c>
      <c r="U917" t="s">
        <v>51</v>
      </c>
      <c r="V917" s="219">
        <v>0</v>
      </c>
      <c r="W917" s="219">
        <v>0</v>
      </c>
    </row>
    <row r="918" spans="1:23" ht="15" customHeight="1" x14ac:dyDescent="0.25">
      <c r="A918" t="s">
        <v>2434</v>
      </c>
      <c r="B918" t="s">
        <v>546</v>
      </c>
      <c r="C918">
        <v>100000</v>
      </c>
      <c r="D918" t="s">
        <v>2435</v>
      </c>
      <c r="E918" t="s">
        <v>553</v>
      </c>
      <c r="F918" t="s">
        <v>554</v>
      </c>
      <c r="G918" s="30">
        <v>46144</v>
      </c>
      <c r="H918" t="s">
        <v>2436</v>
      </c>
      <c r="I918">
        <v>2738092.5</v>
      </c>
      <c r="J918" s="123">
        <v>46144</v>
      </c>
      <c r="K918" s="123">
        <v>0</v>
      </c>
      <c r="L918" s="123">
        <v>46144</v>
      </c>
      <c r="M918">
        <v>0</v>
      </c>
      <c r="N918">
        <v>0</v>
      </c>
      <c r="O918" t="s">
        <v>556</v>
      </c>
      <c r="P918" s="216">
        <v>100000</v>
      </c>
      <c r="Q918" s="217" t="s">
        <v>30</v>
      </c>
      <c r="R918" s="217" t="s">
        <v>554</v>
      </c>
      <c r="S918" s="218">
        <v>0.44322425191990411</v>
      </c>
      <c r="T918" t="s">
        <v>550</v>
      </c>
      <c r="U918" t="s">
        <v>51</v>
      </c>
      <c r="V918" s="219" t="s">
        <v>6363</v>
      </c>
      <c r="W918" s="219" t="s">
        <v>67</v>
      </c>
    </row>
    <row r="919" spans="1:23" ht="15" customHeight="1" x14ac:dyDescent="0.25">
      <c r="A919" t="s">
        <v>2437</v>
      </c>
      <c r="B919" t="s">
        <v>575</v>
      </c>
      <c r="C919">
        <v>171920</v>
      </c>
      <c r="D919" t="s">
        <v>2438</v>
      </c>
      <c r="E919" t="s">
        <v>311</v>
      </c>
      <c r="F919" t="s">
        <v>580</v>
      </c>
      <c r="G919" s="30">
        <v>46149</v>
      </c>
      <c r="H919" t="s">
        <v>2439</v>
      </c>
      <c r="I919">
        <v>1719206.55</v>
      </c>
      <c r="J919" s="123">
        <v>0</v>
      </c>
      <c r="K919" s="123">
        <v>0</v>
      </c>
      <c r="L919" s="123">
        <v>46133</v>
      </c>
      <c r="M919">
        <v>0</v>
      </c>
      <c r="N919">
        <v>0</v>
      </c>
      <c r="O919">
        <v>0</v>
      </c>
      <c r="P919" s="216">
        <v>171920</v>
      </c>
      <c r="Q919" s="217" t="s">
        <v>42</v>
      </c>
      <c r="R919" s="217" t="s">
        <v>582</v>
      </c>
      <c r="S919" s="218">
        <v>0.60454300270086803</v>
      </c>
      <c r="T919" t="s">
        <v>550</v>
      </c>
      <c r="U919" t="s">
        <v>51</v>
      </c>
      <c r="V919" s="219">
        <v>0</v>
      </c>
      <c r="W919" s="219">
        <v>0</v>
      </c>
    </row>
    <row r="920" spans="1:23" ht="15" customHeight="1" x14ac:dyDescent="0.25">
      <c r="A920" t="s">
        <v>2440</v>
      </c>
      <c r="B920" t="s">
        <v>595</v>
      </c>
      <c r="C920">
        <v>192600.22</v>
      </c>
      <c r="D920" t="s">
        <v>2441</v>
      </c>
      <c r="E920" t="s">
        <v>248</v>
      </c>
      <c r="F920" t="s">
        <v>580</v>
      </c>
      <c r="G920" s="30">
        <v>46149</v>
      </c>
      <c r="H920" t="s">
        <v>2442</v>
      </c>
      <c r="I920">
        <v>1949612.85</v>
      </c>
      <c r="J920" s="123">
        <v>0</v>
      </c>
      <c r="K920" s="123">
        <v>0</v>
      </c>
      <c r="L920" s="123">
        <v>46148</v>
      </c>
      <c r="M920">
        <v>0</v>
      </c>
      <c r="N920">
        <v>0</v>
      </c>
      <c r="O920">
        <v>0</v>
      </c>
      <c r="P920" s="216">
        <v>192600.22</v>
      </c>
      <c r="Q920" s="217" t="s">
        <v>30</v>
      </c>
      <c r="R920" s="217" t="s">
        <v>582</v>
      </c>
      <c r="S920" s="218">
        <v>0.30178838839721434</v>
      </c>
      <c r="T920" t="s">
        <v>550</v>
      </c>
      <c r="U920" t="s">
        <v>51</v>
      </c>
      <c r="V920" s="219">
        <v>0</v>
      </c>
      <c r="W920" s="219">
        <v>0</v>
      </c>
    </row>
    <row r="921" spans="1:23" ht="15" customHeight="1" x14ac:dyDescent="0.25">
      <c r="A921" t="s">
        <v>2443</v>
      </c>
      <c r="B921" t="s">
        <v>575</v>
      </c>
      <c r="C921">
        <v>265000</v>
      </c>
      <c r="D921" t="s">
        <v>2444</v>
      </c>
      <c r="E921" t="s">
        <v>218</v>
      </c>
      <c r="F921" t="s">
        <v>585</v>
      </c>
      <c r="G921" s="30">
        <v>46143</v>
      </c>
      <c r="H921" t="s">
        <v>2445</v>
      </c>
      <c r="I921">
        <v>2658397.5</v>
      </c>
      <c r="J921" s="123">
        <v>0</v>
      </c>
      <c r="K921" s="123">
        <v>0</v>
      </c>
      <c r="L921" s="123">
        <v>46125</v>
      </c>
      <c r="M921">
        <v>0</v>
      </c>
      <c r="N921">
        <v>0</v>
      </c>
      <c r="O921">
        <v>0</v>
      </c>
      <c r="P921" s="216">
        <v>265000</v>
      </c>
      <c r="Q921" s="217" t="s">
        <v>13</v>
      </c>
      <c r="R921" s="217" t="s">
        <v>61</v>
      </c>
      <c r="S921" s="218">
        <v>0.5995266321157765</v>
      </c>
      <c r="T921" t="s">
        <v>550</v>
      </c>
      <c r="U921" t="s">
        <v>51</v>
      </c>
      <c r="V921" s="219">
        <v>0</v>
      </c>
      <c r="W921" s="219">
        <v>0</v>
      </c>
    </row>
    <row r="922" spans="1:23" ht="15" customHeight="1" x14ac:dyDescent="0.25">
      <c r="A922" t="s">
        <v>2446</v>
      </c>
      <c r="B922" t="s">
        <v>575</v>
      </c>
      <c r="C922">
        <v>265000</v>
      </c>
      <c r="D922" t="s">
        <v>2444</v>
      </c>
      <c r="E922" t="s">
        <v>218</v>
      </c>
      <c r="F922" t="s">
        <v>683</v>
      </c>
      <c r="G922" s="30">
        <v>46143</v>
      </c>
      <c r="H922" t="s">
        <v>2445</v>
      </c>
      <c r="I922">
        <v>2658397.5</v>
      </c>
      <c r="J922" s="123">
        <v>0</v>
      </c>
      <c r="K922" s="123">
        <v>0</v>
      </c>
      <c r="L922" s="123">
        <v>46155</v>
      </c>
      <c r="M922">
        <v>0</v>
      </c>
      <c r="N922">
        <v>0</v>
      </c>
      <c r="O922">
        <v>0</v>
      </c>
      <c r="P922" s="216">
        <v>265000</v>
      </c>
      <c r="Q922" s="217" t="s">
        <v>13</v>
      </c>
      <c r="R922" s="217" t="s">
        <v>62</v>
      </c>
      <c r="S922" s="218">
        <v>0.5995266321157765</v>
      </c>
      <c r="T922" t="s">
        <v>550</v>
      </c>
      <c r="U922" t="s">
        <v>51</v>
      </c>
      <c r="V922" s="219">
        <v>0</v>
      </c>
      <c r="W922" s="219">
        <v>0</v>
      </c>
    </row>
    <row r="923" spans="1:23" ht="15" customHeight="1" x14ac:dyDescent="0.25">
      <c r="A923" t="s">
        <v>2447</v>
      </c>
      <c r="B923" t="s">
        <v>595</v>
      </c>
      <c r="C923">
        <v>529564</v>
      </c>
      <c r="D923" t="s">
        <v>2448</v>
      </c>
      <c r="E923" t="s">
        <v>321</v>
      </c>
      <c r="F923" t="s">
        <v>580</v>
      </c>
      <c r="G923" s="30">
        <v>46149</v>
      </c>
      <c r="H923" t="s">
        <v>2449</v>
      </c>
      <c r="I923">
        <v>2647819.9500000002</v>
      </c>
      <c r="J923" s="123">
        <v>0</v>
      </c>
      <c r="K923" s="123">
        <v>0</v>
      </c>
      <c r="L923" s="123">
        <v>46148</v>
      </c>
      <c r="M923">
        <v>0</v>
      </c>
      <c r="N923">
        <v>0</v>
      </c>
      <c r="O923">
        <v>0</v>
      </c>
      <c r="P923" s="216">
        <v>529564</v>
      </c>
      <c r="Q923" s="217" t="s">
        <v>43</v>
      </c>
      <c r="R923" s="217" t="s">
        <v>582</v>
      </c>
      <c r="S923" s="218">
        <v>0.6256432692864935</v>
      </c>
      <c r="T923" t="s">
        <v>550</v>
      </c>
      <c r="U923" t="s">
        <v>51</v>
      </c>
      <c r="V923" s="219">
        <v>0</v>
      </c>
      <c r="W923" s="219">
        <v>0</v>
      </c>
    </row>
    <row r="924" spans="1:23" ht="15" customHeight="1" x14ac:dyDescent="0.25">
      <c r="A924" t="s">
        <v>2450</v>
      </c>
      <c r="B924" t="s">
        <v>546</v>
      </c>
      <c r="C924">
        <v>10000</v>
      </c>
      <c r="D924" t="s">
        <v>2451</v>
      </c>
      <c r="E924" t="s">
        <v>248</v>
      </c>
      <c r="F924" t="s">
        <v>548</v>
      </c>
      <c r="G924" s="30">
        <v>46149</v>
      </c>
      <c r="H924" t="s">
        <v>2452</v>
      </c>
      <c r="I924">
        <v>2321967.2999999998</v>
      </c>
      <c r="J924" s="123">
        <v>0</v>
      </c>
      <c r="K924" s="123">
        <v>0</v>
      </c>
      <c r="L924" s="123">
        <v>0</v>
      </c>
      <c r="M924">
        <v>0</v>
      </c>
      <c r="N924">
        <v>0</v>
      </c>
      <c r="O924">
        <v>0</v>
      </c>
      <c r="P924" s="216">
        <v>10000</v>
      </c>
      <c r="Q924" s="217" t="s">
        <v>30</v>
      </c>
      <c r="R924" s="217" t="s">
        <v>62</v>
      </c>
      <c r="S924" s="218">
        <v>0.39387820836236581</v>
      </c>
      <c r="T924" t="s">
        <v>550</v>
      </c>
      <c r="U924" t="s">
        <v>51</v>
      </c>
      <c r="V924" s="219">
        <v>0</v>
      </c>
      <c r="W924" s="219">
        <v>0</v>
      </c>
    </row>
    <row r="925" spans="1:23" ht="15" customHeight="1" x14ac:dyDescent="0.25">
      <c r="A925" t="s">
        <v>2453</v>
      </c>
      <c r="B925" t="s">
        <v>546</v>
      </c>
      <c r="C925">
        <v>3500</v>
      </c>
      <c r="D925" t="s">
        <v>2454</v>
      </c>
      <c r="E925" t="s">
        <v>553</v>
      </c>
      <c r="F925" t="s">
        <v>554</v>
      </c>
      <c r="G925" s="30">
        <v>46146</v>
      </c>
      <c r="H925" t="s">
        <v>2455</v>
      </c>
      <c r="I925">
        <v>1766404.15</v>
      </c>
      <c r="J925" s="123">
        <v>46146</v>
      </c>
      <c r="K925" s="123">
        <v>0</v>
      </c>
      <c r="L925" s="123">
        <v>46146</v>
      </c>
      <c r="M925">
        <v>0</v>
      </c>
      <c r="N925">
        <v>0</v>
      </c>
      <c r="O925" t="s">
        <v>556</v>
      </c>
      <c r="P925" s="216">
        <v>3500</v>
      </c>
      <c r="Q925" s="217" t="s">
        <v>30</v>
      </c>
      <c r="R925" s="217" t="s">
        <v>554</v>
      </c>
      <c r="S925" s="218">
        <v>0.45000910907398772</v>
      </c>
      <c r="T925" t="s">
        <v>550</v>
      </c>
      <c r="U925" t="s">
        <v>51</v>
      </c>
      <c r="V925" s="219" t="s">
        <v>6364</v>
      </c>
      <c r="W925" s="219" t="s">
        <v>67</v>
      </c>
    </row>
    <row r="926" spans="1:23" ht="15" customHeight="1" x14ac:dyDescent="0.25">
      <c r="A926" t="s">
        <v>2456</v>
      </c>
      <c r="B926" t="s">
        <v>575</v>
      </c>
      <c r="C926">
        <v>231000</v>
      </c>
      <c r="D926" t="s">
        <v>2457</v>
      </c>
      <c r="E926" t="s">
        <v>193</v>
      </c>
      <c r="F926" t="s">
        <v>580</v>
      </c>
      <c r="G926" s="30">
        <v>46149</v>
      </c>
      <c r="H926" t="s">
        <v>2458</v>
      </c>
      <c r="I926">
        <v>9319830</v>
      </c>
      <c r="J926" s="123">
        <v>0</v>
      </c>
      <c r="K926" s="123">
        <v>0</v>
      </c>
      <c r="L926" s="123">
        <v>46146</v>
      </c>
      <c r="M926">
        <v>0</v>
      </c>
      <c r="N926">
        <v>0</v>
      </c>
      <c r="O926">
        <v>0</v>
      </c>
      <c r="P926" s="216">
        <v>231000</v>
      </c>
      <c r="Q926" s="217" t="s">
        <v>26</v>
      </c>
      <c r="R926" s="217" t="s">
        <v>582</v>
      </c>
      <c r="S926" s="218">
        <v>0.40000894866108072</v>
      </c>
      <c r="T926" t="s">
        <v>550</v>
      </c>
      <c r="U926" t="s">
        <v>51</v>
      </c>
      <c r="V926" s="219">
        <v>0</v>
      </c>
      <c r="W926" s="219">
        <v>0</v>
      </c>
    </row>
    <row r="927" spans="1:23" ht="15" customHeight="1" x14ac:dyDescent="0.25">
      <c r="A927" t="s">
        <v>2459</v>
      </c>
      <c r="B927" t="s">
        <v>575</v>
      </c>
      <c r="C927">
        <v>700000</v>
      </c>
      <c r="D927" t="s">
        <v>2457</v>
      </c>
      <c r="E927" t="s">
        <v>193</v>
      </c>
      <c r="F927" t="s">
        <v>580</v>
      </c>
      <c r="G927" s="30">
        <v>46149</v>
      </c>
      <c r="H927" t="s">
        <v>2458</v>
      </c>
      <c r="I927">
        <v>9319830</v>
      </c>
      <c r="J927" s="123">
        <v>0</v>
      </c>
      <c r="K927" s="123">
        <v>0</v>
      </c>
      <c r="L927" s="123">
        <v>46142</v>
      </c>
      <c r="M927">
        <v>0</v>
      </c>
      <c r="N927">
        <v>0</v>
      </c>
      <c r="O927">
        <v>0</v>
      </c>
      <c r="P927" s="216">
        <v>700000</v>
      </c>
      <c r="Q927" s="217" t="s">
        <v>26</v>
      </c>
      <c r="R927" s="217" t="s">
        <v>582</v>
      </c>
      <c r="S927" s="218">
        <v>0.40000894866108072</v>
      </c>
      <c r="T927" t="s">
        <v>550</v>
      </c>
      <c r="U927" t="s">
        <v>51</v>
      </c>
      <c r="V927" s="219">
        <v>0</v>
      </c>
      <c r="W927" s="219">
        <v>0</v>
      </c>
    </row>
    <row r="928" spans="1:23" ht="15" customHeight="1" x14ac:dyDescent="0.25">
      <c r="A928" t="s">
        <v>2460</v>
      </c>
      <c r="B928" t="s">
        <v>575</v>
      </c>
      <c r="C928">
        <v>700000</v>
      </c>
      <c r="D928" t="s">
        <v>2457</v>
      </c>
      <c r="E928" t="s">
        <v>193</v>
      </c>
      <c r="F928" t="s">
        <v>580</v>
      </c>
      <c r="G928" s="30">
        <v>46149</v>
      </c>
      <c r="H928" t="s">
        <v>2458</v>
      </c>
      <c r="I928">
        <v>9319830</v>
      </c>
      <c r="J928" s="123">
        <v>0</v>
      </c>
      <c r="K928" s="123">
        <v>0</v>
      </c>
      <c r="L928" s="123">
        <v>46142</v>
      </c>
      <c r="M928">
        <v>0</v>
      </c>
      <c r="N928">
        <v>0</v>
      </c>
      <c r="O928">
        <v>0</v>
      </c>
      <c r="P928" s="216">
        <v>700000</v>
      </c>
      <c r="Q928" s="217" t="s">
        <v>26</v>
      </c>
      <c r="R928" s="217" t="s">
        <v>582</v>
      </c>
      <c r="S928" s="218">
        <v>0.40000894866108072</v>
      </c>
      <c r="T928" t="s">
        <v>550</v>
      </c>
      <c r="U928" t="s">
        <v>51</v>
      </c>
      <c r="V928" s="219">
        <v>0</v>
      </c>
      <c r="W928" s="219">
        <v>0</v>
      </c>
    </row>
    <row r="929" spans="1:23" ht="15" customHeight="1" x14ac:dyDescent="0.25">
      <c r="A929" t="s">
        <v>2461</v>
      </c>
      <c r="B929" t="s">
        <v>575</v>
      </c>
      <c r="C929">
        <v>550000</v>
      </c>
      <c r="D929" t="s">
        <v>2462</v>
      </c>
      <c r="E929" t="s">
        <v>193</v>
      </c>
      <c r="F929" t="s">
        <v>580</v>
      </c>
      <c r="G929" s="30">
        <v>46149</v>
      </c>
      <c r="H929" t="s">
        <v>2463</v>
      </c>
      <c r="I929">
        <v>9558800</v>
      </c>
      <c r="J929" s="123">
        <v>0</v>
      </c>
      <c r="K929" s="123">
        <v>0</v>
      </c>
      <c r="L929" s="123">
        <v>46148</v>
      </c>
      <c r="M929">
        <v>0</v>
      </c>
      <c r="N929">
        <v>0</v>
      </c>
      <c r="O929">
        <v>0</v>
      </c>
      <c r="P929" s="216">
        <v>550000</v>
      </c>
      <c r="Q929" s="217" t="s">
        <v>26</v>
      </c>
      <c r="R929" s="217" t="s">
        <v>582</v>
      </c>
      <c r="S929" s="218">
        <v>0.34166213332217432</v>
      </c>
      <c r="T929" t="s">
        <v>550</v>
      </c>
      <c r="U929" t="s">
        <v>51</v>
      </c>
      <c r="V929" s="219">
        <v>0</v>
      </c>
      <c r="W929" s="219">
        <v>0</v>
      </c>
    </row>
    <row r="930" spans="1:23" ht="15" customHeight="1" x14ac:dyDescent="0.25">
      <c r="A930" t="s">
        <v>2464</v>
      </c>
      <c r="B930" t="s">
        <v>64</v>
      </c>
      <c r="C930">
        <v>202000</v>
      </c>
      <c r="D930" t="s">
        <v>2465</v>
      </c>
      <c r="E930" t="s">
        <v>238</v>
      </c>
      <c r="F930" t="s">
        <v>554</v>
      </c>
      <c r="G930" s="30">
        <v>46146</v>
      </c>
      <c r="H930" t="s">
        <v>2466</v>
      </c>
      <c r="I930">
        <v>2643476</v>
      </c>
      <c r="J930" s="123">
        <v>0</v>
      </c>
      <c r="K930" s="123">
        <v>46141</v>
      </c>
      <c r="L930" s="123">
        <v>0</v>
      </c>
      <c r="M930">
        <v>0</v>
      </c>
      <c r="N930">
        <v>0</v>
      </c>
      <c r="O930" t="s">
        <v>556</v>
      </c>
      <c r="P930" s="216">
        <v>202000</v>
      </c>
      <c r="Q930" s="217" t="s">
        <v>19</v>
      </c>
      <c r="R930" s="217" t="s">
        <v>554</v>
      </c>
      <c r="S930" s="218">
        <v>0.57666079056514985</v>
      </c>
      <c r="T930" t="s">
        <v>550</v>
      </c>
      <c r="U930" t="s">
        <v>51</v>
      </c>
      <c r="V930" s="219" t="s">
        <v>6365</v>
      </c>
      <c r="W930" s="219" t="s">
        <v>67</v>
      </c>
    </row>
    <row r="931" spans="1:23" ht="15" customHeight="1" x14ac:dyDescent="0.25">
      <c r="A931" t="s">
        <v>2467</v>
      </c>
      <c r="B931" t="s">
        <v>575</v>
      </c>
      <c r="C931">
        <v>168000</v>
      </c>
      <c r="D931" t="s">
        <v>2468</v>
      </c>
      <c r="E931" t="s">
        <v>613</v>
      </c>
      <c r="F931" t="s">
        <v>554</v>
      </c>
      <c r="G931" s="30">
        <v>46143</v>
      </c>
      <c r="H931" t="s">
        <v>2469</v>
      </c>
      <c r="I931">
        <v>1670527.15</v>
      </c>
      <c r="J931" s="123">
        <v>0</v>
      </c>
      <c r="K931" s="123">
        <v>0</v>
      </c>
      <c r="L931" s="123">
        <v>46142</v>
      </c>
      <c r="M931">
        <v>0</v>
      </c>
      <c r="N931">
        <v>0</v>
      </c>
      <c r="O931">
        <v>0</v>
      </c>
      <c r="P931" s="216">
        <v>168000</v>
      </c>
      <c r="Q931" s="217" t="s">
        <v>43</v>
      </c>
      <c r="R931" s="217" t="s">
        <v>554</v>
      </c>
      <c r="S931" s="218">
        <v>0.53402663943534234</v>
      </c>
      <c r="T931" t="s">
        <v>550</v>
      </c>
      <c r="U931" t="s">
        <v>51</v>
      </c>
      <c r="V931" s="219" t="s">
        <v>6366</v>
      </c>
      <c r="W931" s="219" t="s">
        <v>67</v>
      </c>
    </row>
    <row r="932" spans="1:23" ht="15" customHeight="1" x14ac:dyDescent="0.25">
      <c r="A932" t="s">
        <v>2470</v>
      </c>
      <c r="B932" t="s">
        <v>546</v>
      </c>
      <c r="C932">
        <v>50000</v>
      </c>
      <c r="D932" t="s">
        <v>2471</v>
      </c>
      <c r="E932" t="s">
        <v>553</v>
      </c>
      <c r="F932" t="s">
        <v>554</v>
      </c>
      <c r="G932" s="30">
        <v>46147</v>
      </c>
      <c r="H932" t="s">
        <v>2472</v>
      </c>
      <c r="I932">
        <v>2647943.5499999998</v>
      </c>
      <c r="J932" s="123">
        <v>46147</v>
      </c>
      <c r="K932" s="123">
        <v>0</v>
      </c>
      <c r="L932" s="123">
        <v>46147</v>
      </c>
      <c r="M932">
        <v>0</v>
      </c>
      <c r="N932">
        <v>0</v>
      </c>
      <c r="O932" t="s">
        <v>556</v>
      </c>
      <c r="P932" s="216">
        <v>50000</v>
      </c>
      <c r="Q932" s="217" t="s">
        <v>19</v>
      </c>
      <c r="R932" s="217" t="s">
        <v>554</v>
      </c>
      <c r="S932" s="218">
        <v>0.56219854082614418</v>
      </c>
      <c r="T932" t="s">
        <v>550</v>
      </c>
      <c r="U932" t="s">
        <v>51</v>
      </c>
      <c r="V932" s="219" t="s">
        <v>6367</v>
      </c>
      <c r="W932" s="219" t="s">
        <v>67</v>
      </c>
    </row>
    <row r="933" spans="1:23" ht="15" customHeight="1" x14ac:dyDescent="0.25">
      <c r="A933" t="s">
        <v>2473</v>
      </c>
      <c r="B933" t="s">
        <v>546</v>
      </c>
      <c r="C933">
        <v>265531.39</v>
      </c>
      <c r="D933" t="s">
        <v>2474</v>
      </c>
      <c r="E933" t="s">
        <v>553</v>
      </c>
      <c r="F933" t="s">
        <v>548</v>
      </c>
      <c r="G933" s="30">
        <v>46148</v>
      </c>
      <c r="H933" t="s">
        <v>2475</v>
      </c>
      <c r="I933">
        <v>2730084.75</v>
      </c>
      <c r="J933" s="123">
        <v>46148</v>
      </c>
      <c r="K933" s="123">
        <v>0</v>
      </c>
      <c r="L933" s="123">
        <v>46148</v>
      </c>
      <c r="M933">
        <v>0</v>
      </c>
      <c r="N933">
        <v>0</v>
      </c>
      <c r="O933" t="s">
        <v>556</v>
      </c>
      <c r="P933" s="216">
        <v>265531.39</v>
      </c>
      <c r="Q933" s="217" t="s">
        <v>28</v>
      </c>
      <c r="R933" s="217" t="s">
        <v>62</v>
      </c>
      <c r="S933" s="218">
        <v>0.56775402668360386</v>
      </c>
      <c r="T933" t="s">
        <v>550</v>
      </c>
      <c r="U933" t="s">
        <v>51</v>
      </c>
      <c r="V933" s="219">
        <v>0</v>
      </c>
      <c r="W933" s="219">
        <v>0</v>
      </c>
    </row>
    <row r="934" spans="1:23" ht="15" customHeight="1" x14ac:dyDescent="0.25">
      <c r="A934" t="s">
        <v>2476</v>
      </c>
      <c r="B934" t="s">
        <v>546</v>
      </c>
      <c r="C934">
        <v>30000</v>
      </c>
      <c r="D934" t="s">
        <v>2474</v>
      </c>
      <c r="E934" t="s">
        <v>553</v>
      </c>
      <c r="F934" t="s">
        <v>554</v>
      </c>
      <c r="G934" s="30">
        <v>46148</v>
      </c>
      <c r="H934" t="s">
        <v>2475</v>
      </c>
      <c r="I934">
        <v>2730084.75</v>
      </c>
      <c r="J934" s="123">
        <v>46148</v>
      </c>
      <c r="K934" s="123">
        <v>0</v>
      </c>
      <c r="L934" s="123">
        <v>46148</v>
      </c>
      <c r="M934">
        <v>0</v>
      </c>
      <c r="N934">
        <v>0</v>
      </c>
      <c r="O934" t="s">
        <v>556</v>
      </c>
      <c r="P934" s="216">
        <v>30000</v>
      </c>
      <c r="Q934" s="217" t="s">
        <v>28</v>
      </c>
      <c r="R934" s="217" t="s">
        <v>554</v>
      </c>
      <c r="S934" s="218">
        <v>0.56775402668360386</v>
      </c>
      <c r="T934" t="s">
        <v>550</v>
      </c>
      <c r="U934" t="s">
        <v>51</v>
      </c>
      <c r="V934" s="219" t="s">
        <v>6368</v>
      </c>
      <c r="W934" s="219" t="s">
        <v>67</v>
      </c>
    </row>
    <row r="935" spans="1:23" ht="15" customHeight="1" x14ac:dyDescent="0.25">
      <c r="A935" t="s">
        <v>2477</v>
      </c>
      <c r="B935" t="s">
        <v>546</v>
      </c>
      <c r="C935">
        <v>20000</v>
      </c>
      <c r="D935" t="s">
        <v>2474</v>
      </c>
      <c r="E935" t="s">
        <v>553</v>
      </c>
      <c r="F935" t="s">
        <v>554</v>
      </c>
      <c r="G935" s="30">
        <v>46148</v>
      </c>
      <c r="H935" t="s">
        <v>2475</v>
      </c>
      <c r="I935">
        <v>2730084.75</v>
      </c>
      <c r="J935" s="123">
        <v>46148</v>
      </c>
      <c r="K935" s="123">
        <v>0</v>
      </c>
      <c r="L935" s="123">
        <v>46148</v>
      </c>
      <c r="M935">
        <v>0</v>
      </c>
      <c r="N935">
        <v>0</v>
      </c>
      <c r="O935" t="s">
        <v>556</v>
      </c>
      <c r="P935" s="216">
        <v>20000</v>
      </c>
      <c r="Q935" s="217" t="s">
        <v>28</v>
      </c>
      <c r="R935" s="217" t="s">
        <v>554</v>
      </c>
      <c r="S935" s="218">
        <v>0.56775402668360386</v>
      </c>
      <c r="T935" t="s">
        <v>550</v>
      </c>
      <c r="U935" t="s">
        <v>51</v>
      </c>
      <c r="V935" s="219" t="s">
        <v>6369</v>
      </c>
      <c r="W935" s="219" t="s">
        <v>67</v>
      </c>
    </row>
    <row r="936" spans="1:23" ht="15" customHeight="1" x14ac:dyDescent="0.25">
      <c r="A936" t="s">
        <v>2478</v>
      </c>
      <c r="B936" t="s">
        <v>546</v>
      </c>
      <c r="C936">
        <v>30000</v>
      </c>
      <c r="D936" t="s">
        <v>2474</v>
      </c>
      <c r="E936" t="s">
        <v>553</v>
      </c>
      <c r="F936" t="s">
        <v>548</v>
      </c>
      <c r="G936" s="30">
        <v>46148</v>
      </c>
      <c r="H936" t="s">
        <v>2475</v>
      </c>
      <c r="I936">
        <v>2730084.75</v>
      </c>
      <c r="J936" s="123">
        <v>46148</v>
      </c>
      <c r="K936" s="123">
        <v>0</v>
      </c>
      <c r="L936" s="123">
        <v>46148</v>
      </c>
      <c r="M936">
        <v>0</v>
      </c>
      <c r="N936">
        <v>0</v>
      </c>
      <c r="O936" t="s">
        <v>556</v>
      </c>
      <c r="P936" s="216">
        <v>30000</v>
      </c>
      <c r="Q936" s="217" t="s">
        <v>28</v>
      </c>
      <c r="R936" s="217" t="s">
        <v>62</v>
      </c>
      <c r="S936" s="218">
        <v>0.56775402668360386</v>
      </c>
      <c r="T936" t="s">
        <v>550</v>
      </c>
      <c r="U936" t="s">
        <v>51</v>
      </c>
      <c r="V936" s="219">
        <v>0</v>
      </c>
      <c r="W936" s="219">
        <v>0</v>
      </c>
    </row>
    <row r="937" spans="1:23" ht="15" customHeight="1" x14ac:dyDescent="0.25">
      <c r="A937" t="s">
        <v>2479</v>
      </c>
      <c r="B937" t="s">
        <v>546</v>
      </c>
      <c r="C937">
        <v>30000</v>
      </c>
      <c r="D937" t="s">
        <v>2474</v>
      </c>
      <c r="E937" t="s">
        <v>553</v>
      </c>
      <c r="F937" t="s">
        <v>554</v>
      </c>
      <c r="G937" s="30">
        <v>46148</v>
      </c>
      <c r="H937" t="s">
        <v>2475</v>
      </c>
      <c r="I937">
        <v>2730084.75</v>
      </c>
      <c r="J937" s="123">
        <v>46148</v>
      </c>
      <c r="K937" s="123">
        <v>0</v>
      </c>
      <c r="L937" s="123">
        <v>46148</v>
      </c>
      <c r="M937">
        <v>0</v>
      </c>
      <c r="N937">
        <v>0</v>
      </c>
      <c r="O937" t="s">
        <v>556</v>
      </c>
      <c r="P937" s="216">
        <v>30000</v>
      </c>
      <c r="Q937" s="217" t="s">
        <v>28</v>
      </c>
      <c r="R937" s="217" t="s">
        <v>554</v>
      </c>
      <c r="S937" s="218">
        <v>0.56775402668360386</v>
      </c>
      <c r="T937" t="s">
        <v>550</v>
      </c>
      <c r="U937" t="s">
        <v>51</v>
      </c>
      <c r="V937" s="219" t="s">
        <v>6370</v>
      </c>
      <c r="W937" s="219" t="s">
        <v>67</v>
      </c>
    </row>
    <row r="938" spans="1:23" ht="15" customHeight="1" x14ac:dyDescent="0.25">
      <c r="A938" t="s">
        <v>2480</v>
      </c>
      <c r="B938" t="s">
        <v>546</v>
      </c>
      <c r="C938">
        <v>30000</v>
      </c>
      <c r="D938" t="s">
        <v>2474</v>
      </c>
      <c r="E938" t="s">
        <v>553</v>
      </c>
      <c r="F938" t="s">
        <v>548</v>
      </c>
      <c r="G938" s="30">
        <v>46148</v>
      </c>
      <c r="H938" t="s">
        <v>2475</v>
      </c>
      <c r="I938">
        <v>2730084.75</v>
      </c>
      <c r="J938" s="123">
        <v>46148</v>
      </c>
      <c r="K938" s="123">
        <v>0</v>
      </c>
      <c r="L938" s="123">
        <v>46148</v>
      </c>
      <c r="M938">
        <v>0</v>
      </c>
      <c r="N938">
        <v>0</v>
      </c>
      <c r="O938" t="s">
        <v>556</v>
      </c>
      <c r="P938" s="216">
        <v>30000</v>
      </c>
      <c r="Q938" s="217" t="s">
        <v>28</v>
      </c>
      <c r="R938" s="217" t="s">
        <v>62</v>
      </c>
      <c r="S938" s="218">
        <v>0.56775402668360386</v>
      </c>
      <c r="T938" t="s">
        <v>550</v>
      </c>
      <c r="U938" t="s">
        <v>51</v>
      </c>
      <c r="V938" s="219">
        <v>0</v>
      </c>
      <c r="W938" s="219">
        <v>0</v>
      </c>
    </row>
    <row r="939" spans="1:23" ht="15" customHeight="1" x14ac:dyDescent="0.25">
      <c r="A939" t="s">
        <v>2481</v>
      </c>
      <c r="B939" t="s">
        <v>546</v>
      </c>
      <c r="C939">
        <v>40000</v>
      </c>
      <c r="D939" t="s">
        <v>2474</v>
      </c>
      <c r="E939" t="s">
        <v>553</v>
      </c>
      <c r="F939" t="s">
        <v>554</v>
      </c>
      <c r="G939" s="30">
        <v>46148</v>
      </c>
      <c r="H939" t="s">
        <v>2475</v>
      </c>
      <c r="I939">
        <v>2730084.75</v>
      </c>
      <c r="J939" s="123">
        <v>46148</v>
      </c>
      <c r="K939" s="123">
        <v>0</v>
      </c>
      <c r="L939" s="123">
        <v>46148</v>
      </c>
      <c r="M939">
        <v>0</v>
      </c>
      <c r="N939">
        <v>0</v>
      </c>
      <c r="O939" t="s">
        <v>556</v>
      </c>
      <c r="P939" s="216">
        <v>40000</v>
      </c>
      <c r="Q939" s="217" t="s">
        <v>28</v>
      </c>
      <c r="R939" s="217" t="s">
        <v>554</v>
      </c>
      <c r="S939" s="218">
        <v>0.56775402668360386</v>
      </c>
      <c r="T939" t="s">
        <v>550</v>
      </c>
      <c r="U939" t="s">
        <v>51</v>
      </c>
      <c r="V939" s="219" t="s">
        <v>6371</v>
      </c>
      <c r="W939" s="219" t="s">
        <v>67</v>
      </c>
    </row>
    <row r="940" spans="1:23" ht="15" customHeight="1" x14ac:dyDescent="0.25">
      <c r="A940" t="s">
        <v>2482</v>
      </c>
      <c r="B940" t="s">
        <v>546</v>
      </c>
      <c r="C940">
        <v>10000</v>
      </c>
      <c r="D940" t="s">
        <v>2474</v>
      </c>
      <c r="E940" t="s">
        <v>553</v>
      </c>
      <c r="F940" t="s">
        <v>554</v>
      </c>
      <c r="G940" s="30">
        <v>46148</v>
      </c>
      <c r="H940" t="s">
        <v>2475</v>
      </c>
      <c r="I940">
        <v>2730084.75</v>
      </c>
      <c r="J940" s="123">
        <v>46148</v>
      </c>
      <c r="K940" s="123">
        <v>0</v>
      </c>
      <c r="L940" s="123">
        <v>46148</v>
      </c>
      <c r="M940">
        <v>0</v>
      </c>
      <c r="N940">
        <v>0</v>
      </c>
      <c r="O940" t="s">
        <v>556</v>
      </c>
      <c r="P940" s="216">
        <v>10000</v>
      </c>
      <c r="Q940" s="217" t="s">
        <v>28</v>
      </c>
      <c r="R940" s="217" t="s">
        <v>554</v>
      </c>
      <c r="S940" s="218">
        <v>0.56775402668360386</v>
      </c>
      <c r="T940" t="s">
        <v>550</v>
      </c>
      <c r="U940" t="s">
        <v>51</v>
      </c>
      <c r="V940" s="219" t="s">
        <v>6372</v>
      </c>
      <c r="W940" s="219" t="s">
        <v>67</v>
      </c>
    </row>
    <row r="941" spans="1:23" ht="15" customHeight="1" x14ac:dyDescent="0.25">
      <c r="A941" t="s">
        <v>2483</v>
      </c>
      <c r="B941" t="s">
        <v>546</v>
      </c>
      <c r="C941">
        <v>5000</v>
      </c>
      <c r="D941" t="s">
        <v>2474</v>
      </c>
      <c r="E941" t="s">
        <v>553</v>
      </c>
      <c r="F941" t="s">
        <v>554</v>
      </c>
      <c r="G941" s="30">
        <v>46148</v>
      </c>
      <c r="H941" t="s">
        <v>2475</v>
      </c>
      <c r="I941">
        <v>2730084.75</v>
      </c>
      <c r="J941" s="123">
        <v>46148</v>
      </c>
      <c r="K941" s="123">
        <v>0</v>
      </c>
      <c r="L941" s="123">
        <v>46148</v>
      </c>
      <c r="M941">
        <v>0</v>
      </c>
      <c r="N941">
        <v>0</v>
      </c>
      <c r="O941" t="s">
        <v>556</v>
      </c>
      <c r="P941" s="216">
        <v>5000</v>
      </c>
      <c r="Q941" s="217" t="s">
        <v>28</v>
      </c>
      <c r="R941" s="217" t="s">
        <v>554</v>
      </c>
      <c r="S941" s="218">
        <v>0.56775402668360386</v>
      </c>
      <c r="T941" t="s">
        <v>550</v>
      </c>
      <c r="U941" t="s">
        <v>51</v>
      </c>
      <c r="V941" s="219" t="s">
        <v>6373</v>
      </c>
      <c r="W941" s="219" t="s">
        <v>67</v>
      </c>
    </row>
    <row r="942" spans="1:23" ht="15" customHeight="1" x14ac:dyDescent="0.25">
      <c r="A942" t="s">
        <v>2484</v>
      </c>
      <c r="B942" t="s">
        <v>546</v>
      </c>
      <c r="C942">
        <v>8000</v>
      </c>
      <c r="D942" t="s">
        <v>2474</v>
      </c>
      <c r="E942" t="s">
        <v>553</v>
      </c>
      <c r="F942" t="s">
        <v>554</v>
      </c>
      <c r="G942" s="30">
        <v>46148</v>
      </c>
      <c r="H942" t="s">
        <v>2475</v>
      </c>
      <c r="I942">
        <v>2730084.75</v>
      </c>
      <c r="J942" s="123">
        <v>46148</v>
      </c>
      <c r="K942" s="123">
        <v>0</v>
      </c>
      <c r="L942" s="123">
        <v>46148</v>
      </c>
      <c r="M942">
        <v>0</v>
      </c>
      <c r="N942">
        <v>0</v>
      </c>
      <c r="O942" t="s">
        <v>556</v>
      </c>
      <c r="P942" s="216">
        <v>8000</v>
      </c>
      <c r="Q942" s="217" t="s">
        <v>28</v>
      </c>
      <c r="R942" s="217" t="s">
        <v>554</v>
      </c>
      <c r="S942" s="218">
        <v>0.56775402668360386</v>
      </c>
      <c r="T942" t="s">
        <v>550</v>
      </c>
      <c r="U942" t="s">
        <v>51</v>
      </c>
      <c r="V942" s="219" t="s">
        <v>6374</v>
      </c>
      <c r="W942" s="219" t="s">
        <v>67</v>
      </c>
    </row>
    <row r="943" spans="1:23" ht="15" customHeight="1" x14ac:dyDescent="0.25">
      <c r="A943" t="s">
        <v>2485</v>
      </c>
      <c r="B943" t="s">
        <v>546</v>
      </c>
      <c r="C943">
        <v>228531.39</v>
      </c>
      <c r="D943" t="s">
        <v>2474</v>
      </c>
      <c r="E943" t="s">
        <v>553</v>
      </c>
      <c r="F943" t="s">
        <v>548</v>
      </c>
      <c r="G943" s="30">
        <v>46148</v>
      </c>
      <c r="H943" t="s">
        <v>2475</v>
      </c>
      <c r="I943">
        <v>2730084.75</v>
      </c>
      <c r="J943" s="123">
        <v>46148</v>
      </c>
      <c r="K943" s="123">
        <v>0</v>
      </c>
      <c r="L943" s="123">
        <v>46148</v>
      </c>
      <c r="M943">
        <v>0</v>
      </c>
      <c r="N943">
        <v>0</v>
      </c>
      <c r="O943" t="s">
        <v>556</v>
      </c>
      <c r="P943" s="216">
        <v>228531.39</v>
      </c>
      <c r="Q943" s="217" t="s">
        <v>28</v>
      </c>
      <c r="R943" s="217" t="s">
        <v>62</v>
      </c>
      <c r="S943" s="218">
        <v>0.56775402668360386</v>
      </c>
      <c r="T943" t="s">
        <v>550</v>
      </c>
      <c r="U943" t="s">
        <v>51</v>
      </c>
      <c r="V943" s="219">
        <v>0</v>
      </c>
      <c r="W943" s="219">
        <v>0</v>
      </c>
    </row>
    <row r="944" spans="1:23" ht="15" customHeight="1" x14ac:dyDescent="0.25">
      <c r="A944" t="s">
        <v>2486</v>
      </c>
      <c r="B944" t="s">
        <v>546</v>
      </c>
      <c r="C944">
        <v>8000</v>
      </c>
      <c r="D944" t="s">
        <v>2474</v>
      </c>
      <c r="E944" t="s">
        <v>553</v>
      </c>
      <c r="F944" t="s">
        <v>548</v>
      </c>
      <c r="G944" s="30">
        <v>46148</v>
      </c>
      <c r="H944" t="s">
        <v>2475</v>
      </c>
      <c r="I944">
        <v>2730084.75</v>
      </c>
      <c r="J944" s="123">
        <v>46148</v>
      </c>
      <c r="K944" s="123">
        <v>0</v>
      </c>
      <c r="L944" s="123">
        <v>46148</v>
      </c>
      <c r="M944">
        <v>0</v>
      </c>
      <c r="N944">
        <v>0</v>
      </c>
      <c r="O944" t="s">
        <v>556</v>
      </c>
      <c r="P944" s="216">
        <v>8000</v>
      </c>
      <c r="Q944" s="217" t="s">
        <v>28</v>
      </c>
      <c r="R944" s="217" t="s">
        <v>62</v>
      </c>
      <c r="S944" s="218">
        <v>0.56775402668360386</v>
      </c>
      <c r="T944" t="s">
        <v>550</v>
      </c>
      <c r="U944" t="s">
        <v>51</v>
      </c>
      <c r="V944" s="219">
        <v>0</v>
      </c>
      <c r="W944" s="219">
        <v>0</v>
      </c>
    </row>
    <row r="945" spans="1:23" ht="15" customHeight="1" x14ac:dyDescent="0.25">
      <c r="A945" t="s">
        <v>2487</v>
      </c>
      <c r="B945" t="s">
        <v>546</v>
      </c>
      <c r="C945">
        <v>228531.39</v>
      </c>
      <c r="D945" t="s">
        <v>2474</v>
      </c>
      <c r="E945" t="s">
        <v>553</v>
      </c>
      <c r="F945" t="s">
        <v>548</v>
      </c>
      <c r="G945" s="30">
        <v>46148</v>
      </c>
      <c r="H945" t="s">
        <v>2475</v>
      </c>
      <c r="I945">
        <v>2730084.75</v>
      </c>
      <c r="J945" s="123">
        <v>46148</v>
      </c>
      <c r="K945" s="123">
        <v>0</v>
      </c>
      <c r="L945" s="123">
        <v>46148</v>
      </c>
      <c r="M945">
        <v>0</v>
      </c>
      <c r="N945">
        <v>0</v>
      </c>
      <c r="O945" t="s">
        <v>556</v>
      </c>
      <c r="P945" s="216">
        <v>228531.39</v>
      </c>
      <c r="Q945" s="217" t="s">
        <v>28</v>
      </c>
      <c r="R945" s="217" t="s">
        <v>62</v>
      </c>
      <c r="S945" s="218">
        <v>0.56775402668360386</v>
      </c>
      <c r="T945" t="s">
        <v>550</v>
      </c>
      <c r="U945" t="s">
        <v>51</v>
      </c>
      <c r="V945" s="219">
        <v>0</v>
      </c>
      <c r="W945" s="219">
        <v>0</v>
      </c>
    </row>
    <row r="946" spans="1:23" ht="15" customHeight="1" x14ac:dyDescent="0.25">
      <c r="A946" t="s">
        <v>2488</v>
      </c>
      <c r="B946" t="s">
        <v>546</v>
      </c>
      <c r="C946">
        <v>228531.39</v>
      </c>
      <c r="D946" t="s">
        <v>2474</v>
      </c>
      <c r="E946" t="s">
        <v>553</v>
      </c>
      <c r="F946" t="s">
        <v>548</v>
      </c>
      <c r="G946" s="30">
        <v>46148</v>
      </c>
      <c r="H946" t="s">
        <v>2475</v>
      </c>
      <c r="I946">
        <v>2730084.75</v>
      </c>
      <c r="J946" s="123">
        <v>46148</v>
      </c>
      <c r="K946" s="123">
        <v>0</v>
      </c>
      <c r="L946" s="123">
        <v>46148</v>
      </c>
      <c r="M946">
        <v>0</v>
      </c>
      <c r="N946">
        <v>0</v>
      </c>
      <c r="O946" t="s">
        <v>556</v>
      </c>
      <c r="P946" s="216">
        <v>228531.39</v>
      </c>
      <c r="Q946" s="217" t="s">
        <v>28</v>
      </c>
      <c r="R946" s="217" t="s">
        <v>62</v>
      </c>
      <c r="S946" s="218">
        <v>0.56775402668360386</v>
      </c>
      <c r="T946" t="s">
        <v>550</v>
      </c>
      <c r="U946" t="s">
        <v>51</v>
      </c>
      <c r="V946" s="219">
        <v>0</v>
      </c>
      <c r="W946" s="219">
        <v>0</v>
      </c>
    </row>
    <row r="947" spans="1:23" ht="15" customHeight="1" x14ac:dyDescent="0.25">
      <c r="A947" t="s">
        <v>2489</v>
      </c>
      <c r="B947" t="s">
        <v>546</v>
      </c>
      <c r="C947">
        <v>17000</v>
      </c>
      <c r="D947" t="s">
        <v>2474</v>
      </c>
      <c r="E947" t="s">
        <v>553</v>
      </c>
      <c r="F947" t="s">
        <v>554</v>
      </c>
      <c r="G947" s="30">
        <v>46148</v>
      </c>
      <c r="H947" t="s">
        <v>2475</v>
      </c>
      <c r="I947">
        <v>2730084.75</v>
      </c>
      <c r="J947" s="123">
        <v>46148</v>
      </c>
      <c r="K947" s="123">
        <v>0</v>
      </c>
      <c r="L947" s="123">
        <v>46148</v>
      </c>
      <c r="M947">
        <v>0</v>
      </c>
      <c r="N947">
        <v>0</v>
      </c>
      <c r="O947" t="s">
        <v>556</v>
      </c>
      <c r="P947" s="216">
        <v>17000</v>
      </c>
      <c r="Q947" s="217" t="s">
        <v>28</v>
      </c>
      <c r="R947" s="217" t="s">
        <v>554</v>
      </c>
      <c r="S947" s="218">
        <v>0.56775402668360386</v>
      </c>
      <c r="T947" t="s">
        <v>550</v>
      </c>
      <c r="U947" t="s">
        <v>51</v>
      </c>
      <c r="V947" s="219" t="s">
        <v>6375</v>
      </c>
      <c r="W947" s="219" t="s">
        <v>67</v>
      </c>
    </row>
    <row r="948" spans="1:23" ht="15" customHeight="1" x14ac:dyDescent="0.25">
      <c r="A948" t="s">
        <v>2490</v>
      </c>
      <c r="B948" t="s">
        <v>546</v>
      </c>
      <c r="C948">
        <v>10000</v>
      </c>
      <c r="D948" t="s">
        <v>2474</v>
      </c>
      <c r="E948" t="s">
        <v>553</v>
      </c>
      <c r="F948" t="s">
        <v>554</v>
      </c>
      <c r="G948" s="30">
        <v>46148</v>
      </c>
      <c r="H948" t="s">
        <v>2475</v>
      </c>
      <c r="I948">
        <v>2730084.75</v>
      </c>
      <c r="J948" s="123">
        <v>46148</v>
      </c>
      <c r="K948" s="123">
        <v>0</v>
      </c>
      <c r="L948" s="123">
        <v>46148</v>
      </c>
      <c r="M948">
        <v>0</v>
      </c>
      <c r="N948">
        <v>0</v>
      </c>
      <c r="O948" t="s">
        <v>556</v>
      </c>
      <c r="P948" s="216">
        <v>10000</v>
      </c>
      <c r="Q948" s="217" t="s">
        <v>28</v>
      </c>
      <c r="R948" s="217" t="s">
        <v>554</v>
      </c>
      <c r="S948" s="218">
        <v>0.56775402668360386</v>
      </c>
      <c r="T948" t="s">
        <v>550</v>
      </c>
      <c r="U948" t="s">
        <v>51</v>
      </c>
      <c r="V948" s="219" t="s">
        <v>6376</v>
      </c>
      <c r="W948" s="219" t="s">
        <v>67</v>
      </c>
    </row>
    <row r="949" spans="1:23" ht="15" customHeight="1" x14ac:dyDescent="0.25">
      <c r="A949" t="s">
        <v>2491</v>
      </c>
      <c r="B949" t="s">
        <v>546</v>
      </c>
      <c r="C949">
        <v>10000</v>
      </c>
      <c r="D949" t="s">
        <v>2474</v>
      </c>
      <c r="E949" t="s">
        <v>553</v>
      </c>
      <c r="F949" t="s">
        <v>554</v>
      </c>
      <c r="G949" s="30">
        <v>46148</v>
      </c>
      <c r="H949" t="s">
        <v>2475</v>
      </c>
      <c r="I949">
        <v>2730084.75</v>
      </c>
      <c r="J949" s="123">
        <v>46148</v>
      </c>
      <c r="K949" s="123">
        <v>0</v>
      </c>
      <c r="L949" s="123">
        <v>46148</v>
      </c>
      <c r="M949">
        <v>0</v>
      </c>
      <c r="N949">
        <v>0</v>
      </c>
      <c r="O949" t="s">
        <v>556</v>
      </c>
      <c r="P949" s="216">
        <v>10000</v>
      </c>
      <c r="Q949" s="217" t="s">
        <v>28</v>
      </c>
      <c r="R949" s="217" t="s">
        <v>554</v>
      </c>
      <c r="S949" s="218">
        <v>0.56775402668360386</v>
      </c>
      <c r="T949" t="s">
        <v>550</v>
      </c>
      <c r="U949" t="s">
        <v>51</v>
      </c>
      <c r="V949" s="219" t="s">
        <v>6377</v>
      </c>
      <c r="W949" s="219" t="s">
        <v>67</v>
      </c>
    </row>
    <row r="950" spans="1:23" ht="15" customHeight="1" x14ac:dyDescent="0.25">
      <c r="A950" t="s">
        <v>2492</v>
      </c>
      <c r="B950" t="s">
        <v>546</v>
      </c>
      <c r="C950">
        <v>20000</v>
      </c>
      <c r="D950" t="s">
        <v>2493</v>
      </c>
      <c r="E950" t="s">
        <v>553</v>
      </c>
      <c r="F950" t="s">
        <v>554</v>
      </c>
      <c r="G950" s="30">
        <v>46144</v>
      </c>
      <c r="H950" t="s">
        <v>2494</v>
      </c>
      <c r="I950">
        <v>1310088.6000000001</v>
      </c>
      <c r="J950" s="123">
        <v>46144</v>
      </c>
      <c r="K950" s="123">
        <v>0</v>
      </c>
      <c r="L950" s="123">
        <v>46144</v>
      </c>
      <c r="M950">
        <v>0</v>
      </c>
      <c r="N950">
        <v>0</v>
      </c>
      <c r="O950" t="s">
        <v>556</v>
      </c>
      <c r="P950" s="216">
        <v>20000</v>
      </c>
      <c r="Q950" s="217" t="s">
        <v>43</v>
      </c>
      <c r="R950" s="217" t="s">
        <v>554</v>
      </c>
      <c r="S950" s="218">
        <v>0.63455438052052349</v>
      </c>
      <c r="T950" t="s">
        <v>550</v>
      </c>
      <c r="U950" t="s">
        <v>51</v>
      </c>
      <c r="V950" s="219" t="s">
        <v>6378</v>
      </c>
      <c r="W950" s="219" t="s">
        <v>67</v>
      </c>
    </row>
    <row r="951" spans="1:23" ht="15" customHeight="1" x14ac:dyDescent="0.25">
      <c r="A951" t="s">
        <v>2495</v>
      </c>
      <c r="B951" t="s">
        <v>546</v>
      </c>
      <c r="C951">
        <v>10000</v>
      </c>
      <c r="D951" t="s">
        <v>2496</v>
      </c>
      <c r="E951" t="s">
        <v>553</v>
      </c>
      <c r="F951" t="s">
        <v>548</v>
      </c>
      <c r="G951" s="30">
        <v>46148</v>
      </c>
      <c r="H951" t="s">
        <v>2497</v>
      </c>
      <c r="I951">
        <v>1457635.9</v>
      </c>
      <c r="J951" s="123">
        <v>46148</v>
      </c>
      <c r="K951" s="123">
        <v>0</v>
      </c>
      <c r="L951" s="123">
        <v>46148</v>
      </c>
      <c r="M951">
        <v>0</v>
      </c>
      <c r="N951">
        <v>0</v>
      </c>
      <c r="O951" t="s">
        <v>556</v>
      </c>
      <c r="P951" s="216">
        <v>10000</v>
      </c>
      <c r="Q951" s="217" t="s">
        <v>43</v>
      </c>
      <c r="R951" s="217" t="s">
        <v>62</v>
      </c>
      <c r="S951" s="218">
        <v>0.65916183184017352</v>
      </c>
      <c r="T951" t="s">
        <v>550</v>
      </c>
      <c r="U951" t="s">
        <v>51</v>
      </c>
      <c r="V951" s="219">
        <v>0</v>
      </c>
      <c r="W951" s="219">
        <v>0</v>
      </c>
    </row>
    <row r="952" spans="1:23" ht="15" customHeight="1" x14ac:dyDescent="0.25">
      <c r="A952" t="s">
        <v>2498</v>
      </c>
      <c r="B952" t="s">
        <v>546</v>
      </c>
      <c r="C952">
        <v>15000</v>
      </c>
      <c r="D952" t="s">
        <v>2496</v>
      </c>
      <c r="E952" t="s">
        <v>553</v>
      </c>
      <c r="F952" t="s">
        <v>548</v>
      </c>
      <c r="G952" s="30">
        <v>46148</v>
      </c>
      <c r="H952" t="s">
        <v>2497</v>
      </c>
      <c r="I952">
        <v>1457635.9</v>
      </c>
      <c r="J952" s="123">
        <v>46148</v>
      </c>
      <c r="K952" s="123">
        <v>0</v>
      </c>
      <c r="L952" s="123">
        <v>46148</v>
      </c>
      <c r="M952">
        <v>0</v>
      </c>
      <c r="N952">
        <v>0</v>
      </c>
      <c r="O952" t="s">
        <v>556</v>
      </c>
      <c r="P952" s="216">
        <v>15000</v>
      </c>
      <c r="Q952" s="217" t="s">
        <v>43</v>
      </c>
      <c r="R952" s="217" t="s">
        <v>62</v>
      </c>
      <c r="S952" s="218">
        <v>0.65916183184017352</v>
      </c>
      <c r="T952" t="s">
        <v>550</v>
      </c>
      <c r="U952" t="s">
        <v>51</v>
      </c>
      <c r="V952" s="219">
        <v>0</v>
      </c>
      <c r="W952" s="219">
        <v>0</v>
      </c>
    </row>
    <row r="953" spans="1:23" ht="15" customHeight="1" x14ac:dyDescent="0.25">
      <c r="A953" t="s">
        <v>2499</v>
      </c>
      <c r="B953" t="s">
        <v>546</v>
      </c>
      <c r="C953">
        <v>20000</v>
      </c>
      <c r="D953" t="s">
        <v>2496</v>
      </c>
      <c r="E953" t="s">
        <v>553</v>
      </c>
      <c r="F953" t="s">
        <v>548</v>
      </c>
      <c r="G953" s="30">
        <v>46148</v>
      </c>
      <c r="H953" t="s">
        <v>2497</v>
      </c>
      <c r="I953">
        <v>1457635.9</v>
      </c>
      <c r="J953" s="123">
        <v>46148</v>
      </c>
      <c r="K953" s="123">
        <v>0</v>
      </c>
      <c r="L953" s="123">
        <v>46148</v>
      </c>
      <c r="M953">
        <v>0</v>
      </c>
      <c r="N953">
        <v>0</v>
      </c>
      <c r="O953" t="s">
        <v>556</v>
      </c>
      <c r="P953" s="216">
        <v>20000</v>
      </c>
      <c r="Q953" s="217" t="s">
        <v>43</v>
      </c>
      <c r="R953" s="217" t="s">
        <v>62</v>
      </c>
      <c r="S953" s="218">
        <v>0.65916183184017352</v>
      </c>
      <c r="T953" t="s">
        <v>550</v>
      </c>
      <c r="U953" t="s">
        <v>51</v>
      </c>
      <c r="V953" s="219">
        <v>0</v>
      </c>
      <c r="W953" s="219">
        <v>0</v>
      </c>
    </row>
    <row r="954" spans="1:23" ht="15" customHeight="1" x14ac:dyDescent="0.25">
      <c r="A954" t="s">
        <v>2500</v>
      </c>
      <c r="B954" t="s">
        <v>546</v>
      </c>
      <c r="C954">
        <v>10000</v>
      </c>
      <c r="D954" t="s">
        <v>2496</v>
      </c>
      <c r="E954" t="s">
        <v>553</v>
      </c>
      <c r="F954" t="s">
        <v>554</v>
      </c>
      <c r="G954" s="30">
        <v>46148</v>
      </c>
      <c r="H954" t="s">
        <v>2497</v>
      </c>
      <c r="I954">
        <v>1457635.9</v>
      </c>
      <c r="J954" s="123">
        <v>46148</v>
      </c>
      <c r="K954" s="123">
        <v>0</v>
      </c>
      <c r="L954" s="123">
        <v>46148</v>
      </c>
      <c r="M954">
        <v>0</v>
      </c>
      <c r="N954">
        <v>0</v>
      </c>
      <c r="O954" t="s">
        <v>556</v>
      </c>
      <c r="P954" s="216">
        <v>10000</v>
      </c>
      <c r="Q954" s="217" t="s">
        <v>43</v>
      </c>
      <c r="R954" s="217" t="s">
        <v>554</v>
      </c>
      <c r="S954" s="218">
        <v>0.65916183184017352</v>
      </c>
      <c r="T954" t="s">
        <v>550</v>
      </c>
      <c r="U954" t="s">
        <v>51</v>
      </c>
      <c r="V954" s="219" t="s">
        <v>6379</v>
      </c>
      <c r="W954" s="219" t="s">
        <v>67</v>
      </c>
    </row>
    <row r="955" spans="1:23" ht="15" customHeight="1" x14ac:dyDescent="0.25">
      <c r="A955" t="s">
        <v>2501</v>
      </c>
      <c r="B955" t="s">
        <v>546</v>
      </c>
      <c r="C955">
        <v>14000</v>
      </c>
      <c r="D955" t="s">
        <v>2502</v>
      </c>
      <c r="E955" t="s">
        <v>321</v>
      </c>
      <c r="F955" t="s">
        <v>548</v>
      </c>
      <c r="G955" s="30">
        <v>46144</v>
      </c>
      <c r="H955" t="s">
        <v>2503</v>
      </c>
      <c r="I955">
        <v>1342764.15</v>
      </c>
      <c r="J955" s="123">
        <v>0</v>
      </c>
      <c r="K955" s="123">
        <v>0</v>
      </c>
      <c r="L955" s="123">
        <v>0</v>
      </c>
      <c r="M955">
        <v>0</v>
      </c>
      <c r="N955">
        <v>0</v>
      </c>
      <c r="O955">
        <v>0</v>
      </c>
      <c r="P955" s="216">
        <v>14000</v>
      </c>
      <c r="Q955" s="217" t="s">
        <v>43</v>
      </c>
      <c r="R955" s="217" t="s">
        <v>62</v>
      </c>
      <c r="S955" s="218">
        <v>0.61245468163563943</v>
      </c>
      <c r="T955" t="s">
        <v>550</v>
      </c>
      <c r="U955" t="s">
        <v>51</v>
      </c>
      <c r="V955" s="219">
        <v>0</v>
      </c>
      <c r="W955" s="219">
        <v>0</v>
      </c>
    </row>
    <row r="956" spans="1:23" ht="15" customHeight="1" x14ac:dyDescent="0.25">
      <c r="A956" t="s">
        <v>2504</v>
      </c>
      <c r="B956" t="s">
        <v>546</v>
      </c>
      <c r="C956">
        <v>8000</v>
      </c>
      <c r="D956" t="s">
        <v>2502</v>
      </c>
      <c r="E956" t="s">
        <v>321</v>
      </c>
      <c r="F956" t="s">
        <v>554</v>
      </c>
      <c r="G956" s="30">
        <v>46144</v>
      </c>
      <c r="H956" t="s">
        <v>2503</v>
      </c>
      <c r="I956">
        <v>1342764.15</v>
      </c>
      <c r="J956" s="123">
        <v>0</v>
      </c>
      <c r="K956" s="123">
        <v>0</v>
      </c>
      <c r="L956" s="123">
        <v>0</v>
      </c>
      <c r="M956">
        <v>0</v>
      </c>
      <c r="N956">
        <v>0</v>
      </c>
      <c r="O956">
        <v>0</v>
      </c>
      <c r="P956" s="216">
        <v>8000</v>
      </c>
      <c r="Q956" s="217" t="s">
        <v>43</v>
      </c>
      <c r="R956" s="217" t="s">
        <v>554</v>
      </c>
      <c r="S956" s="218">
        <v>0.61245468163563943</v>
      </c>
      <c r="T956" t="s">
        <v>550</v>
      </c>
      <c r="U956" t="s">
        <v>51</v>
      </c>
      <c r="V956" s="219" t="s">
        <v>6380</v>
      </c>
      <c r="W956" s="219" t="s">
        <v>67</v>
      </c>
    </row>
    <row r="957" spans="1:23" ht="15" customHeight="1" x14ac:dyDescent="0.25">
      <c r="A957" t="s">
        <v>2505</v>
      </c>
      <c r="B957" t="s">
        <v>546</v>
      </c>
      <c r="C957">
        <v>6000</v>
      </c>
      <c r="D957" t="s">
        <v>2502</v>
      </c>
      <c r="E957" t="s">
        <v>321</v>
      </c>
      <c r="F957" t="s">
        <v>554</v>
      </c>
      <c r="G957" s="30">
        <v>46144</v>
      </c>
      <c r="H957" t="s">
        <v>2503</v>
      </c>
      <c r="I957">
        <v>1342764.15</v>
      </c>
      <c r="J957" s="123">
        <v>0</v>
      </c>
      <c r="K957" s="123">
        <v>0</v>
      </c>
      <c r="L957" s="123">
        <v>0</v>
      </c>
      <c r="M957">
        <v>0</v>
      </c>
      <c r="N957">
        <v>0</v>
      </c>
      <c r="O957">
        <v>0</v>
      </c>
      <c r="P957" s="216">
        <v>6000</v>
      </c>
      <c r="Q957" s="217" t="s">
        <v>43</v>
      </c>
      <c r="R957" s="217" t="s">
        <v>554</v>
      </c>
      <c r="S957" s="218">
        <v>0.61245468163563943</v>
      </c>
      <c r="T957" t="s">
        <v>550</v>
      </c>
      <c r="U957" t="s">
        <v>51</v>
      </c>
      <c r="V957" s="219" t="s">
        <v>6381</v>
      </c>
      <c r="W957" s="219" t="s">
        <v>67</v>
      </c>
    </row>
    <row r="958" spans="1:23" ht="15" customHeight="1" x14ac:dyDescent="0.25">
      <c r="A958" t="s">
        <v>2506</v>
      </c>
      <c r="B958" t="s">
        <v>603</v>
      </c>
      <c r="C958">
        <v>400000</v>
      </c>
      <c r="D958" t="s">
        <v>2507</v>
      </c>
      <c r="E958" t="s">
        <v>605</v>
      </c>
      <c r="F958" t="s">
        <v>554</v>
      </c>
      <c r="G958" s="30">
        <v>46147</v>
      </c>
      <c r="H958" t="s">
        <v>2508</v>
      </c>
      <c r="I958">
        <v>1756356</v>
      </c>
      <c r="J958" s="123">
        <v>46147</v>
      </c>
      <c r="K958" s="123">
        <v>0</v>
      </c>
      <c r="L958" s="123">
        <v>0</v>
      </c>
      <c r="M958">
        <v>0</v>
      </c>
      <c r="N958">
        <v>0</v>
      </c>
      <c r="O958">
        <v>0</v>
      </c>
      <c r="P958" s="216">
        <v>400000</v>
      </c>
      <c r="Q958" s="217" t="s">
        <v>43</v>
      </c>
      <c r="R958" s="217" t="s">
        <v>554</v>
      </c>
      <c r="S958" s="218">
        <v>0.96914042483414531</v>
      </c>
      <c r="T958" t="s">
        <v>550</v>
      </c>
      <c r="U958" t="s">
        <v>51</v>
      </c>
      <c r="V958" s="219" t="s">
        <v>6382</v>
      </c>
      <c r="W958" s="219" t="s">
        <v>67</v>
      </c>
    </row>
    <row r="959" spans="1:23" ht="15" customHeight="1" x14ac:dyDescent="0.25">
      <c r="A959" t="s">
        <v>2509</v>
      </c>
      <c r="B959" t="s">
        <v>575</v>
      </c>
      <c r="C959">
        <v>706</v>
      </c>
      <c r="D959" t="s">
        <v>2507</v>
      </c>
      <c r="E959" t="s">
        <v>321</v>
      </c>
      <c r="F959" t="s">
        <v>554</v>
      </c>
      <c r="G959" s="30">
        <v>46147</v>
      </c>
      <c r="H959" t="s">
        <v>2508</v>
      </c>
      <c r="I959">
        <v>1756356</v>
      </c>
      <c r="J959" s="123">
        <v>0</v>
      </c>
      <c r="K959" s="123">
        <v>0</v>
      </c>
      <c r="L959" s="123">
        <v>46146</v>
      </c>
      <c r="M959">
        <v>0</v>
      </c>
      <c r="N959">
        <v>0</v>
      </c>
      <c r="O959">
        <v>0</v>
      </c>
      <c r="P959" s="216">
        <v>706</v>
      </c>
      <c r="Q959" s="217" t="s">
        <v>43</v>
      </c>
      <c r="R959" s="217" t="s">
        <v>554</v>
      </c>
      <c r="S959" s="218">
        <v>0.96914042483414531</v>
      </c>
      <c r="T959" t="s">
        <v>550</v>
      </c>
      <c r="U959" t="s">
        <v>51</v>
      </c>
      <c r="V959" s="219" t="s">
        <v>6383</v>
      </c>
      <c r="W959" s="219" t="s">
        <v>67</v>
      </c>
    </row>
    <row r="960" spans="1:23" ht="15" customHeight="1" x14ac:dyDescent="0.25">
      <c r="A960" t="s">
        <v>2510</v>
      </c>
      <c r="B960" t="s">
        <v>575</v>
      </c>
      <c r="C960">
        <v>194407</v>
      </c>
      <c r="D960" t="s">
        <v>2511</v>
      </c>
      <c r="E960" t="s">
        <v>613</v>
      </c>
      <c r="F960" t="s">
        <v>683</v>
      </c>
      <c r="G960" s="30">
        <v>46147</v>
      </c>
      <c r="H960" t="s">
        <v>2512</v>
      </c>
      <c r="I960">
        <v>1944072.15</v>
      </c>
      <c r="J960" s="123">
        <v>0</v>
      </c>
      <c r="K960" s="123">
        <v>0</v>
      </c>
      <c r="L960" s="123">
        <v>46147</v>
      </c>
      <c r="M960">
        <v>0</v>
      </c>
      <c r="N960">
        <v>0</v>
      </c>
      <c r="O960">
        <v>0</v>
      </c>
      <c r="P960" s="216">
        <v>194407</v>
      </c>
      <c r="Q960" s="217" t="s">
        <v>28</v>
      </c>
      <c r="R960" s="217" t="s">
        <v>62</v>
      </c>
      <c r="S960" s="218">
        <v>0.49999944703698374</v>
      </c>
      <c r="T960" t="s">
        <v>550</v>
      </c>
      <c r="U960" t="s">
        <v>51</v>
      </c>
      <c r="V960" s="219">
        <v>0</v>
      </c>
      <c r="W960" s="219">
        <v>0</v>
      </c>
    </row>
    <row r="961" spans="1:23" ht="15" customHeight="1" x14ac:dyDescent="0.25">
      <c r="A961" t="s">
        <v>2513</v>
      </c>
      <c r="B961" t="s">
        <v>575</v>
      </c>
      <c r="C961">
        <v>194407</v>
      </c>
      <c r="D961" t="s">
        <v>2511</v>
      </c>
      <c r="E961" t="s">
        <v>553</v>
      </c>
      <c r="F961" t="s">
        <v>554</v>
      </c>
      <c r="G961" s="30">
        <v>46147</v>
      </c>
      <c r="H961" t="s">
        <v>2512</v>
      </c>
      <c r="I961">
        <v>1944072.15</v>
      </c>
      <c r="J961" s="123">
        <v>46147</v>
      </c>
      <c r="K961" s="123">
        <v>0</v>
      </c>
      <c r="L961" s="123">
        <v>46147</v>
      </c>
      <c r="M961">
        <v>0</v>
      </c>
      <c r="N961">
        <v>0</v>
      </c>
      <c r="O961" t="s">
        <v>556</v>
      </c>
      <c r="P961" s="216">
        <v>194407</v>
      </c>
      <c r="Q961" s="217" t="s">
        <v>28</v>
      </c>
      <c r="R961" s="217" t="s">
        <v>554</v>
      </c>
      <c r="S961" s="218">
        <v>0.49999944703698374</v>
      </c>
      <c r="T961" t="s">
        <v>550</v>
      </c>
      <c r="U961" t="s">
        <v>51</v>
      </c>
      <c r="V961" s="219" t="s">
        <v>6384</v>
      </c>
      <c r="W961" s="219" t="s">
        <v>67</v>
      </c>
    </row>
    <row r="962" spans="1:23" ht="15" customHeight="1" x14ac:dyDescent="0.25">
      <c r="A962" t="s">
        <v>2514</v>
      </c>
      <c r="B962" t="s">
        <v>546</v>
      </c>
      <c r="C962">
        <v>73000</v>
      </c>
      <c r="D962" t="s">
        <v>2515</v>
      </c>
      <c r="E962" t="s">
        <v>553</v>
      </c>
      <c r="F962" t="s">
        <v>554</v>
      </c>
      <c r="G962" s="30">
        <v>46144</v>
      </c>
      <c r="H962" t="s">
        <v>2516</v>
      </c>
      <c r="I962">
        <v>2302789.5</v>
      </c>
      <c r="J962" s="123">
        <v>46144</v>
      </c>
      <c r="K962" s="123">
        <v>0</v>
      </c>
      <c r="L962" s="123">
        <v>46144</v>
      </c>
      <c r="M962">
        <v>0</v>
      </c>
      <c r="N962">
        <v>0</v>
      </c>
      <c r="O962" t="s">
        <v>556</v>
      </c>
      <c r="P962" s="216">
        <v>73000</v>
      </c>
      <c r="Q962" s="217" t="s">
        <v>43</v>
      </c>
      <c r="R962" s="217" t="s">
        <v>554</v>
      </c>
      <c r="S962" s="218">
        <v>0.84034974104233151</v>
      </c>
      <c r="T962" t="s">
        <v>550</v>
      </c>
      <c r="U962" t="s">
        <v>51</v>
      </c>
      <c r="V962" s="219" t="s">
        <v>6385</v>
      </c>
      <c r="W962" s="219" t="s">
        <v>67</v>
      </c>
    </row>
    <row r="963" spans="1:23" ht="15" customHeight="1" x14ac:dyDescent="0.25">
      <c r="A963" t="s">
        <v>2517</v>
      </c>
      <c r="B963" t="s">
        <v>546</v>
      </c>
      <c r="C963">
        <v>36000</v>
      </c>
      <c r="D963" t="s">
        <v>2515</v>
      </c>
      <c r="E963" t="s">
        <v>553</v>
      </c>
      <c r="F963" t="s">
        <v>548</v>
      </c>
      <c r="G963" s="30">
        <v>46147</v>
      </c>
      <c r="H963" t="s">
        <v>2516</v>
      </c>
      <c r="I963">
        <v>2302789.5</v>
      </c>
      <c r="J963" s="123">
        <v>46147</v>
      </c>
      <c r="K963" s="123">
        <v>0</v>
      </c>
      <c r="L963" s="123">
        <v>46147</v>
      </c>
      <c r="M963">
        <v>0</v>
      </c>
      <c r="N963">
        <v>0</v>
      </c>
      <c r="O963" t="s">
        <v>556</v>
      </c>
      <c r="P963" s="216">
        <v>36000</v>
      </c>
      <c r="Q963" s="217" t="s">
        <v>43</v>
      </c>
      <c r="R963" s="217" t="s">
        <v>62</v>
      </c>
      <c r="S963" s="218">
        <v>0.84034974104233151</v>
      </c>
      <c r="T963" t="s">
        <v>550</v>
      </c>
      <c r="U963" t="s">
        <v>51</v>
      </c>
      <c r="V963" s="219">
        <v>0</v>
      </c>
      <c r="W963" s="219">
        <v>0</v>
      </c>
    </row>
    <row r="964" spans="1:23" ht="15" customHeight="1" x14ac:dyDescent="0.25">
      <c r="A964" t="s">
        <v>2518</v>
      </c>
      <c r="B964" t="s">
        <v>546</v>
      </c>
      <c r="C964">
        <v>35990</v>
      </c>
      <c r="D964" t="s">
        <v>2515</v>
      </c>
      <c r="E964" t="s">
        <v>553</v>
      </c>
      <c r="F964" t="s">
        <v>548</v>
      </c>
      <c r="G964" s="30">
        <v>46148</v>
      </c>
      <c r="H964" t="s">
        <v>2516</v>
      </c>
      <c r="I964">
        <v>2302789.5</v>
      </c>
      <c r="J964" s="123">
        <v>46148</v>
      </c>
      <c r="K964" s="123">
        <v>0</v>
      </c>
      <c r="L964" s="123">
        <v>46148</v>
      </c>
      <c r="M964">
        <v>0</v>
      </c>
      <c r="N964">
        <v>0</v>
      </c>
      <c r="O964" t="s">
        <v>556</v>
      </c>
      <c r="P964" s="216">
        <v>35990</v>
      </c>
      <c r="Q964" s="217" t="s">
        <v>43</v>
      </c>
      <c r="R964" s="217" t="s">
        <v>62</v>
      </c>
      <c r="S964" s="218">
        <v>0.84034974104233151</v>
      </c>
      <c r="T964" t="s">
        <v>550</v>
      </c>
      <c r="U964" t="s">
        <v>51</v>
      </c>
      <c r="V964" s="219">
        <v>0</v>
      </c>
      <c r="W964" s="219">
        <v>0</v>
      </c>
    </row>
    <row r="965" spans="1:23" ht="15" customHeight="1" x14ac:dyDescent="0.25">
      <c r="A965" t="s">
        <v>2519</v>
      </c>
      <c r="B965" t="s">
        <v>546</v>
      </c>
      <c r="C965">
        <v>72900</v>
      </c>
      <c r="D965" t="s">
        <v>2515</v>
      </c>
      <c r="E965" t="s">
        <v>553</v>
      </c>
      <c r="F965" t="s">
        <v>554</v>
      </c>
      <c r="G965" s="30">
        <v>46149</v>
      </c>
      <c r="H965" t="s">
        <v>2516</v>
      </c>
      <c r="I965">
        <v>2302789.5</v>
      </c>
      <c r="J965" s="123">
        <v>46148</v>
      </c>
      <c r="K965" s="123">
        <v>0</v>
      </c>
      <c r="L965" s="123">
        <v>46148</v>
      </c>
      <c r="M965">
        <v>0</v>
      </c>
      <c r="N965">
        <v>0</v>
      </c>
      <c r="O965" t="s">
        <v>556</v>
      </c>
      <c r="P965" s="216">
        <v>72900</v>
      </c>
      <c r="Q965" s="217" t="s">
        <v>43</v>
      </c>
      <c r="R965" s="217" t="s">
        <v>554</v>
      </c>
      <c r="S965" s="218">
        <v>0.84034974104233151</v>
      </c>
      <c r="T965" t="s">
        <v>550</v>
      </c>
      <c r="U965" t="s">
        <v>51</v>
      </c>
      <c r="V965" s="219" t="s">
        <v>6386</v>
      </c>
      <c r="W965" s="219" t="s">
        <v>67</v>
      </c>
    </row>
    <row r="966" spans="1:23" ht="15" customHeight="1" x14ac:dyDescent="0.25">
      <c r="A966" t="s">
        <v>2520</v>
      </c>
      <c r="B966" t="s">
        <v>595</v>
      </c>
      <c r="C966">
        <v>33004.76</v>
      </c>
      <c r="D966" t="s">
        <v>2521</v>
      </c>
      <c r="E966" t="s">
        <v>613</v>
      </c>
      <c r="F966" t="s">
        <v>554</v>
      </c>
      <c r="G966" s="30">
        <v>46144</v>
      </c>
      <c r="H966" t="s">
        <v>2522</v>
      </c>
      <c r="I966">
        <v>1504616.4</v>
      </c>
      <c r="J966" s="123">
        <v>0</v>
      </c>
      <c r="K966" s="123">
        <v>0</v>
      </c>
      <c r="L966" s="123">
        <v>46144</v>
      </c>
      <c r="M966">
        <v>0</v>
      </c>
      <c r="N966">
        <v>0</v>
      </c>
      <c r="O966">
        <v>0</v>
      </c>
      <c r="P966" s="216">
        <v>33004.76</v>
      </c>
      <c r="Q966" s="217" t="s">
        <v>28</v>
      </c>
      <c r="R966" s="217" t="s">
        <v>554</v>
      </c>
      <c r="S966" s="218">
        <v>0.58323125415886745</v>
      </c>
      <c r="T966" t="s">
        <v>550</v>
      </c>
      <c r="U966" t="s">
        <v>51</v>
      </c>
      <c r="V966" s="219" t="s">
        <v>6387</v>
      </c>
      <c r="W966" s="219" t="s">
        <v>67</v>
      </c>
    </row>
    <row r="967" spans="1:23" ht="15" customHeight="1" x14ac:dyDescent="0.25">
      <c r="A967" t="s">
        <v>2523</v>
      </c>
      <c r="B967" t="s">
        <v>575</v>
      </c>
      <c r="C967">
        <v>241309</v>
      </c>
      <c r="D967" t="s">
        <v>2524</v>
      </c>
      <c r="E967" t="s">
        <v>613</v>
      </c>
      <c r="F967" t="s">
        <v>580</v>
      </c>
      <c r="G967" s="30">
        <v>46149</v>
      </c>
      <c r="H967" t="s">
        <v>2525</v>
      </c>
      <c r="I967">
        <v>2682064</v>
      </c>
      <c r="J967" s="123">
        <v>0</v>
      </c>
      <c r="K967" s="123">
        <v>0</v>
      </c>
      <c r="L967" s="123">
        <v>46148</v>
      </c>
      <c r="M967">
        <v>0</v>
      </c>
      <c r="N967">
        <v>0</v>
      </c>
      <c r="O967">
        <v>0</v>
      </c>
      <c r="P967" s="216">
        <v>241309</v>
      </c>
      <c r="Q967" s="217" t="s">
        <v>28</v>
      </c>
      <c r="R967" s="217" t="s">
        <v>582</v>
      </c>
      <c r="S967" s="218">
        <v>0.51002863466345316</v>
      </c>
      <c r="T967" t="s">
        <v>550</v>
      </c>
      <c r="U967" t="s">
        <v>51</v>
      </c>
      <c r="V967" s="219">
        <v>0</v>
      </c>
      <c r="W967" s="219">
        <v>0</v>
      </c>
    </row>
    <row r="968" spans="1:23" ht="15" customHeight="1" x14ac:dyDescent="0.25">
      <c r="A968" t="s">
        <v>2526</v>
      </c>
      <c r="B968" t="s">
        <v>575</v>
      </c>
      <c r="C968">
        <v>263321</v>
      </c>
      <c r="D968" t="s">
        <v>2527</v>
      </c>
      <c r="E968" t="s">
        <v>613</v>
      </c>
      <c r="F968" t="s">
        <v>580</v>
      </c>
      <c r="G968" s="30">
        <v>46149</v>
      </c>
      <c r="H968" t="s">
        <v>2528</v>
      </c>
      <c r="I968">
        <v>2643938</v>
      </c>
      <c r="J968" s="123">
        <v>0</v>
      </c>
      <c r="K968" s="123">
        <v>0</v>
      </c>
      <c r="L968" s="123">
        <v>46149</v>
      </c>
      <c r="M968">
        <v>0</v>
      </c>
      <c r="N968">
        <v>0</v>
      </c>
      <c r="O968">
        <v>0</v>
      </c>
      <c r="P968" s="216">
        <v>263321</v>
      </c>
      <c r="Q968" s="217" t="s">
        <v>28</v>
      </c>
      <c r="R968" s="217" t="s">
        <v>582</v>
      </c>
      <c r="S968" s="218">
        <v>0.50040583402485228</v>
      </c>
      <c r="T968" t="s">
        <v>550</v>
      </c>
      <c r="U968" t="s">
        <v>51</v>
      </c>
      <c r="V968" s="219">
        <v>0</v>
      </c>
      <c r="W968" s="219">
        <v>0</v>
      </c>
    </row>
    <row r="969" spans="1:23" ht="15" customHeight="1" x14ac:dyDescent="0.25">
      <c r="A969" t="s">
        <v>2529</v>
      </c>
      <c r="B969" t="s">
        <v>575</v>
      </c>
      <c r="C969">
        <v>271926</v>
      </c>
      <c r="D969" t="s">
        <v>2530</v>
      </c>
      <c r="E969" t="s">
        <v>321</v>
      </c>
      <c r="F969" t="s">
        <v>554</v>
      </c>
      <c r="G969" s="30">
        <v>46148</v>
      </c>
      <c r="H969" t="s">
        <v>2531</v>
      </c>
      <c r="I969">
        <v>1312503.8999999999</v>
      </c>
      <c r="J969" s="123">
        <v>0</v>
      </c>
      <c r="K969" s="123">
        <v>0</v>
      </c>
      <c r="L969" s="123">
        <v>46148</v>
      </c>
      <c r="M969">
        <v>0</v>
      </c>
      <c r="N969">
        <v>0</v>
      </c>
      <c r="O969">
        <v>0</v>
      </c>
      <c r="P969" s="216">
        <v>271926</v>
      </c>
      <c r="Q969" s="217" t="s">
        <v>43</v>
      </c>
      <c r="R969" s="217" t="s">
        <v>554</v>
      </c>
      <c r="S969" s="218">
        <v>0.98780988003159464</v>
      </c>
      <c r="T969" t="s">
        <v>550</v>
      </c>
      <c r="U969" t="s">
        <v>51</v>
      </c>
      <c r="V969" s="219" t="s">
        <v>6388</v>
      </c>
      <c r="W969" s="219" t="s">
        <v>67</v>
      </c>
    </row>
    <row r="970" spans="1:23" ht="15" customHeight="1" x14ac:dyDescent="0.25">
      <c r="A970" t="s">
        <v>2532</v>
      </c>
      <c r="B970" t="s">
        <v>575</v>
      </c>
      <c r="C970">
        <v>919734</v>
      </c>
      <c r="D970" t="s">
        <v>2533</v>
      </c>
      <c r="E970" t="s">
        <v>321</v>
      </c>
      <c r="F970" t="s">
        <v>554</v>
      </c>
      <c r="G970" s="30">
        <v>46147</v>
      </c>
      <c r="H970" t="s">
        <v>2534</v>
      </c>
      <c r="I970">
        <v>2427174.1</v>
      </c>
      <c r="J970" s="123">
        <v>0</v>
      </c>
      <c r="K970" s="123">
        <v>0</v>
      </c>
      <c r="L970" s="123">
        <v>46147</v>
      </c>
      <c r="M970">
        <v>0</v>
      </c>
      <c r="N970">
        <v>0</v>
      </c>
      <c r="O970">
        <v>0</v>
      </c>
      <c r="P970" s="216">
        <v>919734</v>
      </c>
      <c r="Q970" s="217" t="s">
        <v>43</v>
      </c>
      <c r="R970" s="217" t="s">
        <v>554</v>
      </c>
      <c r="S970" s="218">
        <v>0.9779854852604104</v>
      </c>
      <c r="T970" t="s">
        <v>550</v>
      </c>
      <c r="U970" t="s">
        <v>51</v>
      </c>
      <c r="V970" s="219" t="s">
        <v>6389</v>
      </c>
      <c r="W970" s="219" t="s">
        <v>67</v>
      </c>
    </row>
    <row r="971" spans="1:23" ht="15" customHeight="1" x14ac:dyDescent="0.25">
      <c r="A971" t="s">
        <v>2535</v>
      </c>
      <c r="B971" t="s">
        <v>575</v>
      </c>
      <c r="C971">
        <v>50000</v>
      </c>
      <c r="D971" t="s">
        <v>2536</v>
      </c>
      <c r="E971" t="s">
        <v>321</v>
      </c>
      <c r="F971" t="s">
        <v>585</v>
      </c>
      <c r="G971" s="30">
        <v>46146</v>
      </c>
      <c r="H971" t="s">
        <v>2537</v>
      </c>
      <c r="I971">
        <v>2108334</v>
      </c>
      <c r="J971" s="123">
        <v>0</v>
      </c>
      <c r="K971" s="123">
        <v>0</v>
      </c>
      <c r="L971" s="123">
        <v>46142</v>
      </c>
      <c r="M971">
        <v>0</v>
      </c>
      <c r="N971">
        <v>0</v>
      </c>
      <c r="O971">
        <v>0</v>
      </c>
      <c r="P971" s="216">
        <v>50000</v>
      </c>
      <c r="Q971" s="217" t="s">
        <v>43</v>
      </c>
      <c r="R971" s="217" t="s">
        <v>61</v>
      </c>
      <c r="S971" s="218">
        <v>0.43371433558439981</v>
      </c>
      <c r="T971" t="s">
        <v>550</v>
      </c>
      <c r="U971" t="s">
        <v>51</v>
      </c>
      <c r="V971" s="219">
        <v>0</v>
      </c>
      <c r="W971" s="219">
        <v>0</v>
      </c>
    </row>
    <row r="972" spans="1:23" ht="15" customHeight="1" x14ac:dyDescent="0.25">
      <c r="A972" t="s">
        <v>2538</v>
      </c>
      <c r="B972" t="s">
        <v>575</v>
      </c>
      <c r="C972">
        <v>50000</v>
      </c>
      <c r="D972" t="s">
        <v>2536</v>
      </c>
      <c r="E972" t="s">
        <v>321</v>
      </c>
      <c r="F972" t="s">
        <v>585</v>
      </c>
      <c r="G972" s="30">
        <v>46146</v>
      </c>
      <c r="H972" t="s">
        <v>2537</v>
      </c>
      <c r="I972">
        <v>2108334</v>
      </c>
      <c r="J972" s="123">
        <v>0</v>
      </c>
      <c r="K972" s="123">
        <v>0</v>
      </c>
      <c r="L972" s="123">
        <v>46143</v>
      </c>
      <c r="M972">
        <v>0</v>
      </c>
      <c r="N972">
        <v>0</v>
      </c>
      <c r="O972">
        <v>0</v>
      </c>
      <c r="P972" s="216">
        <v>50000</v>
      </c>
      <c r="Q972" s="217" t="s">
        <v>43</v>
      </c>
      <c r="R972" s="217" t="s">
        <v>61</v>
      </c>
      <c r="S972" s="218">
        <v>0.43371433558439981</v>
      </c>
      <c r="T972" t="s">
        <v>550</v>
      </c>
      <c r="U972" t="s">
        <v>51</v>
      </c>
      <c r="V972" s="219">
        <v>0</v>
      </c>
      <c r="W972" s="219">
        <v>0</v>
      </c>
    </row>
    <row r="973" spans="1:23" ht="15" customHeight="1" x14ac:dyDescent="0.25">
      <c r="A973" t="s">
        <v>2539</v>
      </c>
      <c r="B973" t="s">
        <v>575</v>
      </c>
      <c r="C973">
        <v>50000</v>
      </c>
      <c r="D973" t="s">
        <v>2540</v>
      </c>
      <c r="E973" t="s">
        <v>223</v>
      </c>
      <c r="F973" t="s">
        <v>554</v>
      </c>
      <c r="G973" s="30">
        <v>46143</v>
      </c>
      <c r="H973" t="s">
        <v>2541</v>
      </c>
      <c r="I973">
        <v>2233488.6</v>
      </c>
      <c r="J973" s="123">
        <v>0</v>
      </c>
      <c r="K973" s="123">
        <v>0</v>
      </c>
      <c r="L973" s="123">
        <v>46143</v>
      </c>
      <c r="M973">
        <v>0</v>
      </c>
      <c r="N973">
        <v>0</v>
      </c>
      <c r="O973">
        <v>0</v>
      </c>
      <c r="P973" s="216">
        <v>50000</v>
      </c>
      <c r="Q973" s="217" t="s">
        <v>31</v>
      </c>
      <c r="R973" s="217" t="s">
        <v>554</v>
      </c>
      <c r="S973" s="218">
        <v>0.26566014261277177</v>
      </c>
      <c r="T973" t="s">
        <v>550</v>
      </c>
      <c r="U973" t="s">
        <v>51</v>
      </c>
      <c r="V973" s="219" t="s">
        <v>6390</v>
      </c>
      <c r="W973" s="219" t="s">
        <v>67</v>
      </c>
    </row>
    <row r="974" spans="1:23" ht="15" customHeight="1" x14ac:dyDescent="0.25">
      <c r="A974" t="s">
        <v>2542</v>
      </c>
      <c r="B974" t="s">
        <v>575</v>
      </c>
      <c r="C974">
        <v>50000</v>
      </c>
      <c r="D974" t="s">
        <v>2540</v>
      </c>
      <c r="E974" t="s">
        <v>223</v>
      </c>
      <c r="F974" t="s">
        <v>554</v>
      </c>
      <c r="G974" s="30">
        <v>46143</v>
      </c>
      <c r="H974" t="s">
        <v>2541</v>
      </c>
      <c r="I974">
        <v>2233488.6</v>
      </c>
      <c r="J974" s="123">
        <v>0</v>
      </c>
      <c r="K974" s="123">
        <v>0</v>
      </c>
      <c r="L974" s="123">
        <v>46143</v>
      </c>
      <c r="M974">
        <v>0</v>
      </c>
      <c r="N974">
        <v>0</v>
      </c>
      <c r="O974">
        <v>0</v>
      </c>
      <c r="P974" s="216">
        <v>50000</v>
      </c>
      <c r="Q974" s="217" t="s">
        <v>31</v>
      </c>
      <c r="R974" s="217" t="s">
        <v>554</v>
      </c>
      <c r="S974" s="218">
        <v>0.26566014261277177</v>
      </c>
      <c r="T974" t="s">
        <v>550</v>
      </c>
      <c r="U974" t="s">
        <v>51</v>
      </c>
      <c r="V974" s="219" t="s">
        <v>6391</v>
      </c>
      <c r="W974" s="219" t="s">
        <v>67</v>
      </c>
    </row>
    <row r="975" spans="1:23" ht="15" customHeight="1" x14ac:dyDescent="0.25">
      <c r="A975" t="s">
        <v>2543</v>
      </c>
      <c r="B975" t="s">
        <v>546</v>
      </c>
      <c r="C975">
        <v>3500</v>
      </c>
      <c r="D975" t="s">
        <v>2544</v>
      </c>
      <c r="E975" t="s">
        <v>553</v>
      </c>
      <c r="F975" t="s">
        <v>554</v>
      </c>
      <c r="G975" s="30">
        <v>46146</v>
      </c>
      <c r="H975" t="s">
        <v>2545</v>
      </c>
      <c r="I975">
        <v>1785348.2</v>
      </c>
      <c r="J975" s="123">
        <v>46146</v>
      </c>
      <c r="K975" s="123">
        <v>0</v>
      </c>
      <c r="L975" s="123">
        <v>46146</v>
      </c>
      <c r="M975">
        <v>0</v>
      </c>
      <c r="N975">
        <v>0</v>
      </c>
      <c r="O975" t="s">
        <v>556</v>
      </c>
      <c r="P975" s="216">
        <v>3500</v>
      </c>
      <c r="Q975" s="217" t="s">
        <v>31</v>
      </c>
      <c r="R975" s="217" t="s">
        <v>554</v>
      </c>
      <c r="S975" s="218">
        <v>0.47418093008411466</v>
      </c>
      <c r="T975" t="s">
        <v>550</v>
      </c>
      <c r="U975" t="s">
        <v>51</v>
      </c>
      <c r="V975" s="219" t="s">
        <v>6392</v>
      </c>
      <c r="W975" s="219" t="s">
        <v>67</v>
      </c>
    </row>
    <row r="976" spans="1:23" ht="15" customHeight="1" x14ac:dyDescent="0.25">
      <c r="A976" t="s">
        <v>2546</v>
      </c>
      <c r="B976" t="s">
        <v>546</v>
      </c>
      <c r="C976">
        <v>40000</v>
      </c>
      <c r="D976" t="s">
        <v>2547</v>
      </c>
      <c r="E976" t="s">
        <v>2548</v>
      </c>
      <c r="F976" t="s">
        <v>554</v>
      </c>
      <c r="G976" s="30">
        <v>46148</v>
      </c>
      <c r="H976" t="s">
        <v>2549</v>
      </c>
      <c r="I976">
        <v>1593996.6</v>
      </c>
      <c r="J976" s="123">
        <v>0</v>
      </c>
      <c r="K976" s="123">
        <v>0</v>
      </c>
      <c r="L976" s="123">
        <v>0</v>
      </c>
      <c r="M976">
        <v>0</v>
      </c>
      <c r="N976">
        <v>0</v>
      </c>
      <c r="O976">
        <v>0</v>
      </c>
      <c r="P976" s="216">
        <v>40000</v>
      </c>
      <c r="Q976" s="217" t="s">
        <v>31</v>
      </c>
      <c r="R976" s="217" t="s">
        <v>554</v>
      </c>
      <c r="S976" s="218">
        <v>0.5494893401905625</v>
      </c>
      <c r="T976" t="s">
        <v>550</v>
      </c>
      <c r="U976" t="s">
        <v>51</v>
      </c>
      <c r="V976" s="219" t="s">
        <v>6393</v>
      </c>
      <c r="W976" s="219" t="s">
        <v>67</v>
      </c>
    </row>
    <row r="977" spans="1:23" ht="15" customHeight="1" x14ac:dyDescent="0.25">
      <c r="A977" t="s">
        <v>2550</v>
      </c>
      <c r="B977" t="s">
        <v>546</v>
      </c>
      <c r="C977">
        <v>90000</v>
      </c>
      <c r="D977" t="s">
        <v>2547</v>
      </c>
      <c r="E977" t="s">
        <v>2548</v>
      </c>
      <c r="F977" t="s">
        <v>548</v>
      </c>
      <c r="G977" s="30">
        <v>46148</v>
      </c>
      <c r="H977" t="s">
        <v>2549</v>
      </c>
      <c r="I977">
        <v>1593996.6</v>
      </c>
      <c r="J977" s="123">
        <v>0</v>
      </c>
      <c r="K977" s="123">
        <v>0</v>
      </c>
      <c r="L977" s="123">
        <v>0</v>
      </c>
      <c r="M977">
        <v>0</v>
      </c>
      <c r="N977">
        <v>0</v>
      </c>
      <c r="O977">
        <v>0</v>
      </c>
      <c r="P977" s="216">
        <v>90000</v>
      </c>
      <c r="Q977" s="217" t="s">
        <v>31</v>
      </c>
      <c r="R977" s="217" t="s">
        <v>62</v>
      </c>
      <c r="S977" s="218">
        <v>0.5494893401905625</v>
      </c>
      <c r="T977" t="s">
        <v>550</v>
      </c>
      <c r="U977" t="s">
        <v>51</v>
      </c>
      <c r="V977" s="219">
        <v>0</v>
      </c>
      <c r="W977" s="219">
        <v>0</v>
      </c>
    </row>
    <row r="978" spans="1:23" ht="15" customHeight="1" x14ac:dyDescent="0.25">
      <c r="A978" t="s">
        <v>2551</v>
      </c>
      <c r="B978" t="s">
        <v>546</v>
      </c>
      <c r="C978">
        <v>40000</v>
      </c>
      <c r="D978" t="s">
        <v>2547</v>
      </c>
      <c r="E978" t="s">
        <v>2548</v>
      </c>
      <c r="F978" t="s">
        <v>548</v>
      </c>
      <c r="G978" s="30">
        <v>46149</v>
      </c>
      <c r="H978" t="s">
        <v>2549</v>
      </c>
      <c r="I978">
        <v>1593996.6</v>
      </c>
      <c r="J978" s="123">
        <v>0</v>
      </c>
      <c r="K978" s="123">
        <v>0</v>
      </c>
      <c r="L978" s="123">
        <v>0</v>
      </c>
      <c r="M978">
        <v>0</v>
      </c>
      <c r="N978">
        <v>0</v>
      </c>
      <c r="O978">
        <v>0</v>
      </c>
      <c r="P978" s="216">
        <v>40000</v>
      </c>
      <c r="Q978" s="217" t="s">
        <v>31</v>
      </c>
      <c r="R978" s="217" t="s">
        <v>62</v>
      </c>
      <c r="S978" s="218">
        <v>0.5494893401905625</v>
      </c>
      <c r="T978" t="s">
        <v>550</v>
      </c>
      <c r="U978" t="s">
        <v>51</v>
      </c>
      <c r="V978" s="219">
        <v>0</v>
      </c>
      <c r="W978" s="219">
        <v>0</v>
      </c>
    </row>
    <row r="979" spans="1:23" ht="15" customHeight="1" x14ac:dyDescent="0.25">
      <c r="A979" t="s">
        <v>2552</v>
      </c>
      <c r="B979" t="s">
        <v>546</v>
      </c>
      <c r="C979">
        <v>40000</v>
      </c>
      <c r="D979" t="s">
        <v>2547</v>
      </c>
      <c r="E979" t="s">
        <v>2548</v>
      </c>
      <c r="F979" t="s">
        <v>554</v>
      </c>
      <c r="G979" s="30">
        <v>46149</v>
      </c>
      <c r="H979" t="s">
        <v>2549</v>
      </c>
      <c r="I979">
        <v>1593996.6</v>
      </c>
      <c r="J979" s="123">
        <v>0</v>
      </c>
      <c r="K979" s="123">
        <v>0</v>
      </c>
      <c r="L979" s="123">
        <v>0</v>
      </c>
      <c r="M979">
        <v>0</v>
      </c>
      <c r="N979">
        <v>0</v>
      </c>
      <c r="O979">
        <v>0</v>
      </c>
      <c r="P979" s="216">
        <v>40000</v>
      </c>
      <c r="Q979" s="217" t="s">
        <v>31</v>
      </c>
      <c r="R979" s="217" t="s">
        <v>554</v>
      </c>
      <c r="S979" s="218">
        <v>0.5494893401905625</v>
      </c>
      <c r="T979" t="s">
        <v>550</v>
      </c>
      <c r="U979" t="s">
        <v>51</v>
      </c>
      <c r="V979" s="219" t="s">
        <v>6394</v>
      </c>
      <c r="W979" s="219" t="s">
        <v>67</v>
      </c>
    </row>
    <row r="980" spans="1:23" ht="15" customHeight="1" x14ac:dyDescent="0.25">
      <c r="A980" t="s">
        <v>2553</v>
      </c>
      <c r="B980" t="s">
        <v>575</v>
      </c>
      <c r="C980">
        <v>230523</v>
      </c>
      <c r="D980" t="s">
        <v>2554</v>
      </c>
      <c r="E980" t="s">
        <v>218</v>
      </c>
      <c r="F980" t="s">
        <v>585</v>
      </c>
      <c r="G980" s="30">
        <v>46148</v>
      </c>
      <c r="H980" t="s">
        <v>2555</v>
      </c>
      <c r="I980">
        <v>2305234.7999999998</v>
      </c>
      <c r="J980" s="123">
        <v>0</v>
      </c>
      <c r="K980" s="123">
        <v>0</v>
      </c>
      <c r="L980" s="123">
        <v>46144</v>
      </c>
      <c r="M980">
        <v>0</v>
      </c>
      <c r="N980">
        <v>0</v>
      </c>
      <c r="O980">
        <v>0</v>
      </c>
      <c r="P980" s="216">
        <v>230523</v>
      </c>
      <c r="Q980" s="217" t="s">
        <v>13</v>
      </c>
      <c r="R980" s="217" t="s">
        <v>61</v>
      </c>
      <c r="S980" s="218">
        <v>0.5</v>
      </c>
      <c r="T980" t="s">
        <v>550</v>
      </c>
      <c r="U980" t="s">
        <v>51</v>
      </c>
      <c r="V980" s="219">
        <v>0</v>
      </c>
      <c r="W980" s="219">
        <v>0</v>
      </c>
    </row>
    <row r="981" spans="1:23" ht="15" customHeight="1" x14ac:dyDescent="0.25">
      <c r="A981" t="s">
        <v>2556</v>
      </c>
      <c r="B981" t="s">
        <v>595</v>
      </c>
      <c r="C981">
        <v>165207.41</v>
      </c>
      <c r="D981" t="s">
        <v>2557</v>
      </c>
      <c r="E981" t="s">
        <v>223</v>
      </c>
      <c r="F981" t="s">
        <v>554</v>
      </c>
      <c r="G981" s="30">
        <v>46148</v>
      </c>
      <c r="H981" t="s">
        <v>2558</v>
      </c>
      <c r="I981">
        <v>1636899.2</v>
      </c>
      <c r="J981" s="123">
        <v>0</v>
      </c>
      <c r="K981" s="123">
        <v>0</v>
      </c>
      <c r="L981" s="123">
        <v>46148</v>
      </c>
      <c r="M981">
        <v>0</v>
      </c>
      <c r="N981">
        <v>0</v>
      </c>
      <c r="O981">
        <v>0</v>
      </c>
      <c r="P981" s="216">
        <v>165207.41</v>
      </c>
      <c r="Q981" s="217" t="s">
        <v>31</v>
      </c>
      <c r="R981" s="217" t="s">
        <v>554</v>
      </c>
      <c r="S981" s="218">
        <v>0.30837024051328266</v>
      </c>
      <c r="T981" t="s">
        <v>550</v>
      </c>
      <c r="U981" t="s">
        <v>51</v>
      </c>
      <c r="V981" s="219">
        <v>0</v>
      </c>
      <c r="W981" s="219" t="s">
        <v>72</v>
      </c>
    </row>
    <row r="982" spans="1:23" ht="15" customHeight="1" x14ac:dyDescent="0.25">
      <c r="A982" t="s">
        <v>2559</v>
      </c>
      <c r="B982" t="s">
        <v>575</v>
      </c>
      <c r="C982">
        <v>182794</v>
      </c>
      <c r="D982" t="s">
        <v>2560</v>
      </c>
      <c r="E982" t="s">
        <v>163</v>
      </c>
      <c r="F982" t="s">
        <v>554</v>
      </c>
      <c r="G982" s="30">
        <v>46147</v>
      </c>
      <c r="H982" t="s">
        <v>2561</v>
      </c>
      <c r="I982">
        <v>1827941</v>
      </c>
      <c r="J982" s="123">
        <v>0</v>
      </c>
      <c r="K982" s="123">
        <v>0</v>
      </c>
      <c r="L982" s="123">
        <v>46118</v>
      </c>
      <c r="M982">
        <v>0</v>
      </c>
      <c r="N982">
        <v>0</v>
      </c>
      <c r="O982">
        <v>0</v>
      </c>
      <c r="P982" s="216">
        <v>182794</v>
      </c>
      <c r="Q982" s="217" t="s">
        <v>15</v>
      </c>
      <c r="R982" s="217" t="s">
        <v>554</v>
      </c>
      <c r="S982" s="218">
        <v>0.60020720581244147</v>
      </c>
      <c r="T982" t="s">
        <v>550</v>
      </c>
      <c r="U982" t="s">
        <v>51</v>
      </c>
      <c r="V982" s="219" t="s">
        <v>6395</v>
      </c>
      <c r="W982" s="219" t="s">
        <v>67</v>
      </c>
    </row>
    <row r="983" spans="1:23" ht="15" customHeight="1" x14ac:dyDescent="0.25">
      <c r="A983" t="s">
        <v>2562</v>
      </c>
      <c r="B983" t="s">
        <v>546</v>
      </c>
      <c r="C983">
        <v>136011.98000000001</v>
      </c>
      <c r="D983" t="s">
        <v>2563</v>
      </c>
      <c r="E983" t="s">
        <v>553</v>
      </c>
      <c r="F983" t="s">
        <v>548</v>
      </c>
      <c r="G983" s="30">
        <v>46148</v>
      </c>
      <c r="H983" t="s">
        <v>2564</v>
      </c>
      <c r="I983">
        <v>1633599</v>
      </c>
      <c r="J983" s="123">
        <v>46148</v>
      </c>
      <c r="K983" s="123">
        <v>0</v>
      </c>
      <c r="L983" s="123">
        <v>46148</v>
      </c>
      <c r="M983">
        <v>0</v>
      </c>
      <c r="N983">
        <v>0</v>
      </c>
      <c r="O983" t="s">
        <v>556</v>
      </c>
      <c r="P983" s="216">
        <v>136011.98000000001</v>
      </c>
      <c r="Q983" s="217" t="s">
        <v>31</v>
      </c>
      <c r="R983" s="217" t="s">
        <v>62</v>
      </c>
      <c r="S983" s="218">
        <v>0.41674120760357958</v>
      </c>
      <c r="T983" t="s">
        <v>550</v>
      </c>
      <c r="U983" t="s">
        <v>51</v>
      </c>
      <c r="V983" s="219">
        <v>0</v>
      </c>
      <c r="W983" s="219">
        <v>0</v>
      </c>
    </row>
    <row r="984" spans="1:23" ht="15" customHeight="1" x14ac:dyDescent="0.25">
      <c r="A984" t="s">
        <v>2565</v>
      </c>
      <c r="B984" t="s">
        <v>546</v>
      </c>
      <c r="C984">
        <v>136011.98000000001</v>
      </c>
      <c r="D984" t="s">
        <v>2563</v>
      </c>
      <c r="E984" t="s">
        <v>553</v>
      </c>
      <c r="F984" t="s">
        <v>548</v>
      </c>
      <c r="G984" s="30">
        <v>46148</v>
      </c>
      <c r="H984" t="s">
        <v>2564</v>
      </c>
      <c r="I984">
        <v>1633599</v>
      </c>
      <c r="J984" s="123">
        <v>46148</v>
      </c>
      <c r="K984" s="123">
        <v>0</v>
      </c>
      <c r="L984" s="123">
        <v>46148</v>
      </c>
      <c r="M984">
        <v>0</v>
      </c>
      <c r="N984">
        <v>0</v>
      </c>
      <c r="O984" t="s">
        <v>556</v>
      </c>
      <c r="P984" s="216">
        <v>136011.98000000001</v>
      </c>
      <c r="Q984" s="217" t="s">
        <v>31</v>
      </c>
      <c r="R984" s="217" t="s">
        <v>62</v>
      </c>
      <c r="S984" s="218">
        <v>0.41674120760357958</v>
      </c>
      <c r="T984" t="s">
        <v>550</v>
      </c>
      <c r="U984" t="s">
        <v>51</v>
      </c>
      <c r="V984" s="219">
        <v>0</v>
      </c>
      <c r="W984" s="219">
        <v>0</v>
      </c>
    </row>
    <row r="985" spans="1:23" ht="15" customHeight="1" x14ac:dyDescent="0.25">
      <c r="A985" t="s">
        <v>2566</v>
      </c>
      <c r="B985" t="s">
        <v>546</v>
      </c>
      <c r="C985">
        <v>136011.98000000001</v>
      </c>
      <c r="D985" t="s">
        <v>2563</v>
      </c>
      <c r="E985" t="s">
        <v>553</v>
      </c>
      <c r="F985" t="s">
        <v>548</v>
      </c>
      <c r="G985" s="30">
        <v>46148</v>
      </c>
      <c r="H985" t="s">
        <v>2564</v>
      </c>
      <c r="I985">
        <v>1633599</v>
      </c>
      <c r="J985" s="123">
        <v>46148</v>
      </c>
      <c r="K985" s="123">
        <v>0</v>
      </c>
      <c r="L985" s="123">
        <v>46148</v>
      </c>
      <c r="M985">
        <v>0</v>
      </c>
      <c r="N985">
        <v>0</v>
      </c>
      <c r="O985" t="s">
        <v>556</v>
      </c>
      <c r="P985" s="216">
        <v>136011.98000000001</v>
      </c>
      <c r="Q985" s="217" t="s">
        <v>31</v>
      </c>
      <c r="R985" s="217" t="s">
        <v>62</v>
      </c>
      <c r="S985" s="218">
        <v>0.41674120760357958</v>
      </c>
      <c r="T985" t="s">
        <v>550</v>
      </c>
      <c r="U985" t="s">
        <v>51</v>
      </c>
      <c r="V985" s="219">
        <v>0</v>
      </c>
      <c r="W985" s="219">
        <v>0</v>
      </c>
    </row>
    <row r="986" spans="1:23" ht="15" customHeight="1" x14ac:dyDescent="0.25">
      <c r="A986" t="s">
        <v>2567</v>
      </c>
      <c r="B986" t="s">
        <v>575</v>
      </c>
      <c r="C986">
        <v>100000</v>
      </c>
      <c r="D986" t="s">
        <v>2563</v>
      </c>
      <c r="E986" t="s">
        <v>223</v>
      </c>
      <c r="F986" t="s">
        <v>580</v>
      </c>
      <c r="G986" s="30">
        <v>46149</v>
      </c>
      <c r="H986" t="s">
        <v>2564</v>
      </c>
      <c r="I986">
        <v>1633599</v>
      </c>
      <c r="J986" s="123">
        <v>0</v>
      </c>
      <c r="K986" s="123">
        <v>0</v>
      </c>
      <c r="L986" s="123">
        <v>46148</v>
      </c>
      <c r="M986">
        <v>0</v>
      </c>
      <c r="N986">
        <v>0</v>
      </c>
      <c r="O986">
        <v>0</v>
      </c>
      <c r="P986" s="216">
        <v>100000</v>
      </c>
      <c r="Q986" s="217" t="s">
        <v>31</v>
      </c>
      <c r="R986" s="217" t="s">
        <v>582</v>
      </c>
      <c r="S986" s="218">
        <v>0.41674120760357958</v>
      </c>
      <c r="T986" t="s">
        <v>550</v>
      </c>
      <c r="U986" t="s">
        <v>51</v>
      </c>
      <c r="V986" s="219">
        <v>0</v>
      </c>
      <c r="W986" s="219">
        <v>0</v>
      </c>
    </row>
    <row r="987" spans="1:23" ht="15" customHeight="1" x14ac:dyDescent="0.25">
      <c r="A987" t="s">
        <v>2568</v>
      </c>
      <c r="B987" t="s">
        <v>575</v>
      </c>
      <c r="C987">
        <v>455944</v>
      </c>
      <c r="D987" t="s">
        <v>2569</v>
      </c>
      <c r="E987" t="s">
        <v>316</v>
      </c>
      <c r="F987" t="s">
        <v>580</v>
      </c>
      <c r="G987" s="30">
        <v>46149</v>
      </c>
      <c r="H987" t="s">
        <v>2570</v>
      </c>
      <c r="I987">
        <v>1694565.75</v>
      </c>
      <c r="J987" s="123">
        <v>0</v>
      </c>
      <c r="K987" s="123">
        <v>0</v>
      </c>
      <c r="L987" s="123">
        <v>46149</v>
      </c>
      <c r="M987">
        <v>0</v>
      </c>
      <c r="N987">
        <v>0</v>
      </c>
      <c r="O987">
        <v>0</v>
      </c>
      <c r="P987" s="216">
        <v>455944</v>
      </c>
      <c r="Q987" s="217" t="s">
        <v>46</v>
      </c>
      <c r="R987" s="217" t="s">
        <v>582</v>
      </c>
      <c r="S987" s="218">
        <v>0.71618488099384758</v>
      </c>
      <c r="T987" t="s">
        <v>550</v>
      </c>
      <c r="U987" t="s">
        <v>51</v>
      </c>
      <c r="V987" s="219">
        <v>0</v>
      </c>
      <c r="W987" s="219">
        <v>0</v>
      </c>
    </row>
    <row r="988" spans="1:23" ht="15" customHeight="1" x14ac:dyDescent="0.25">
      <c r="A988" t="s">
        <v>2571</v>
      </c>
      <c r="B988" t="s">
        <v>575</v>
      </c>
      <c r="C988">
        <v>163360</v>
      </c>
      <c r="D988" t="s">
        <v>2572</v>
      </c>
      <c r="E988" t="s">
        <v>223</v>
      </c>
      <c r="F988" t="s">
        <v>580</v>
      </c>
      <c r="G988" s="30">
        <v>46149</v>
      </c>
      <c r="H988" t="s">
        <v>2573</v>
      </c>
      <c r="I988">
        <v>1633599</v>
      </c>
      <c r="J988" s="123">
        <v>0</v>
      </c>
      <c r="K988" s="123">
        <v>0</v>
      </c>
      <c r="L988" s="123">
        <v>46149</v>
      </c>
      <c r="M988">
        <v>0</v>
      </c>
      <c r="N988">
        <v>0</v>
      </c>
      <c r="O988">
        <v>0</v>
      </c>
      <c r="P988" s="216">
        <v>163360</v>
      </c>
      <c r="Q988" s="217" t="s">
        <v>31</v>
      </c>
      <c r="R988" s="217" t="s">
        <v>582</v>
      </c>
      <c r="S988" s="218">
        <v>0.40000013467197271</v>
      </c>
      <c r="T988" t="s">
        <v>550</v>
      </c>
      <c r="U988" t="s">
        <v>51</v>
      </c>
      <c r="V988" s="219">
        <v>0</v>
      </c>
      <c r="W988" s="219">
        <v>0</v>
      </c>
    </row>
    <row r="989" spans="1:23" ht="15" customHeight="1" x14ac:dyDescent="0.25">
      <c r="A989" t="s">
        <v>2574</v>
      </c>
      <c r="B989" t="s">
        <v>603</v>
      </c>
      <c r="C989">
        <v>16075</v>
      </c>
      <c r="D989" t="s">
        <v>2575</v>
      </c>
      <c r="E989" t="s">
        <v>605</v>
      </c>
      <c r="F989" t="s">
        <v>554</v>
      </c>
      <c r="G989" s="30">
        <v>46149</v>
      </c>
      <c r="H989" t="s">
        <v>2576</v>
      </c>
      <c r="I989">
        <v>1540780.25</v>
      </c>
      <c r="J989" s="123">
        <v>46149</v>
      </c>
      <c r="K989" s="123">
        <v>0</v>
      </c>
      <c r="L989" s="123">
        <v>0</v>
      </c>
      <c r="M989">
        <v>16075</v>
      </c>
      <c r="N989">
        <v>0</v>
      </c>
      <c r="O989">
        <v>0</v>
      </c>
      <c r="P989" s="216">
        <v>0</v>
      </c>
      <c r="Q989" s="217" t="s">
        <v>46</v>
      </c>
      <c r="R989" s="217" t="s">
        <v>554</v>
      </c>
      <c r="S989" s="218">
        <v>0.69999975012659987</v>
      </c>
      <c r="T989" t="s">
        <v>550</v>
      </c>
      <c r="U989" t="s">
        <v>51</v>
      </c>
      <c r="V989" s="219" t="s">
        <v>6396</v>
      </c>
      <c r="W989" s="219" t="s">
        <v>67</v>
      </c>
    </row>
    <row r="990" spans="1:23" ht="15" customHeight="1" x14ac:dyDescent="0.25">
      <c r="A990" t="s">
        <v>2577</v>
      </c>
      <c r="B990" t="s">
        <v>603</v>
      </c>
      <c r="C990">
        <v>305192</v>
      </c>
      <c r="D990" t="s">
        <v>2575</v>
      </c>
      <c r="E990" t="s">
        <v>605</v>
      </c>
      <c r="F990" t="s">
        <v>554</v>
      </c>
      <c r="G990" s="30">
        <v>46149</v>
      </c>
      <c r="H990" t="s">
        <v>2576</v>
      </c>
      <c r="I990">
        <v>1540780.25</v>
      </c>
      <c r="J990" s="123">
        <v>46149</v>
      </c>
      <c r="K990" s="123">
        <v>0</v>
      </c>
      <c r="L990" s="123">
        <v>0</v>
      </c>
      <c r="M990">
        <v>0</v>
      </c>
      <c r="N990">
        <v>0</v>
      </c>
      <c r="O990">
        <v>0</v>
      </c>
      <c r="P990" s="216">
        <v>305192</v>
      </c>
      <c r="Q990" s="217" t="s">
        <v>46</v>
      </c>
      <c r="R990" s="217" t="s">
        <v>554</v>
      </c>
      <c r="S990" s="218">
        <v>0.69999975012659987</v>
      </c>
      <c r="T990" t="s">
        <v>550</v>
      </c>
      <c r="U990" t="s">
        <v>51</v>
      </c>
      <c r="V990" s="219" t="s">
        <v>6397</v>
      </c>
      <c r="W990" s="219" t="s">
        <v>67</v>
      </c>
    </row>
    <row r="991" spans="1:23" ht="15" customHeight="1" x14ac:dyDescent="0.25">
      <c r="A991" t="s">
        <v>2578</v>
      </c>
      <c r="B991" t="s">
        <v>546</v>
      </c>
      <c r="C991">
        <v>10000</v>
      </c>
      <c r="D991" t="s">
        <v>2579</v>
      </c>
      <c r="E991" t="s">
        <v>553</v>
      </c>
      <c r="F991" t="s">
        <v>554</v>
      </c>
      <c r="G991" s="30">
        <v>46146</v>
      </c>
      <c r="H991" t="s">
        <v>2580</v>
      </c>
      <c r="I991">
        <v>1838589.2</v>
      </c>
      <c r="J991" s="123">
        <v>46146</v>
      </c>
      <c r="K991" s="123">
        <v>0</v>
      </c>
      <c r="L991" s="123">
        <v>46146</v>
      </c>
      <c r="M991">
        <v>0</v>
      </c>
      <c r="N991">
        <v>0</v>
      </c>
      <c r="O991" t="s">
        <v>556</v>
      </c>
      <c r="P991" s="216">
        <v>10000</v>
      </c>
      <c r="Q991" s="217" t="s">
        <v>31</v>
      </c>
      <c r="R991" s="217" t="s">
        <v>554</v>
      </c>
      <c r="S991" s="218">
        <v>0.50162941781666082</v>
      </c>
      <c r="T991" t="s">
        <v>550</v>
      </c>
      <c r="U991" t="s">
        <v>51</v>
      </c>
      <c r="V991" s="219" t="s">
        <v>6398</v>
      </c>
      <c r="W991" s="219" t="s">
        <v>67</v>
      </c>
    </row>
    <row r="992" spans="1:23" ht="15" customHeight="1" x14ac:dyDescent="0.25">
      <c r="A992" t="s">
        <v>2581</v>
      </c>
      <c r="B992" t="s">
        <v>546</v>
      </c>
      <c r="C992">
        <v>21478</v>
      </c>
      <c r="D992" t="s">
        <v>2582</v>
      </c>
      <c r="E992" t="s">
        <v>248</v>
      </c>
      <c r="F992" t="s">
        <v>554</v>
      </c>
      <c r="G992" s="30">
        <v>46147</v>
      </c>
      <c r="H992" t="s">
        <v>2583</v>
      </c>
      <c r="I992">
        <v>1588150</v>
      </c>
      <c r="J992" s="123">
        <v>0</v>
      </c>
      <c r="K992" s="123">
        <v>0</v>
      </c>
      <c r="L992" s="123">
        <v>0</v>
      </c>
      <c r="M992">
        <v>0</v>
      </c>
      <c r="N992">
        <v>0</v>
      </c>
      <c r="O992">
        <v>0</v>
      </c>
      <c r="P992" s="216">
        <v>21478</v>
      </c>
      <c r="Q992" s="217" t="s">
        <v>30</v>
      </c>
      <c r="R992" s="217" t="s">
        <v>554</v>
      </c>
      <c r="S992" s="218">
        <v>0.39999992444038662</v>
      </c>
      <c r="T992" t="s">
        <v>550</v>
      </c>
      <c r="U992" t="s">
        <v>51</v>
      </c>
      <c r="V992" s="219" t="s">
        <v>6399</v>
      </c>
      <c r="W992" s="219" t="s">
        <v>67</v>
      </c>
    </row>
    <row r="993" spans="1:23" ht="15" customHeight="1" x14ac:dyDescent="0.25">
      <c r="A993" t="s">
        <v>2584</v>
      </c>
      <c r="B993" t="s">
        <v>546</v>
      </c>
      <c r="C993">
        <v>22000</v>
      </c>
      <c r="D993" t="s">
        <v>2585</v>
      </c>
      <c r="E993" t="s">
        <v>553</v>
      </c>
      <c r="F993" t="s">
        <v>554</v>
      </c>
      <c r="G993" s="30">
        <v>46148</v>
      </c>
      <c r="H993" t="s">
        <v>2586</v>
      </c>
      <c r="I993">
        <v>1953720</v>
      </c>
      <c r="J993" s="123">
        <v>46148</v>
      </c>
      <c r="K993" s="123">
        <v>0</v>
      </c>
      <c r="L993" s="123">
        <v>46148</v>
      </c>
      <c r="M993">
        <v>0</v>
      </c>
      <c r="N993">
        <v>0</v>
      </c>
      <c r="O993" t="s">
        <v>556</v>
      </c>
      <c r="P993" s="216">
        <v>22000</v>
      </c>
      <c r="Q993" s="217" t="s">
        <v>30</v>
      </c>
      <c r="R993" s="217" t="s">
        <v>554</v>
      </c>
      <c r="S993" s="218">
        <v>0.1598853469279119</v>
      </c>
      <c r="T993" t="s">
        <v>550</v>
      </c>
      <c r="U993" t="s">
        <v>51</v>
      </c>
      <c r="V993" s="219" t="s">
        <v>6400</v>
      </c>
      <c r="W993" s="219" t="s">
        <v>67</v>
      </c>
    </row>
    <row r="994" spans="1:23" ht="15" customHeight="1" x14ac:dyDescent="0.25">
      <c r="A994" t="s">
        <v>2587</v>
      </c>
      <c r="B994" t="s">
        <v>546</v>
      </c>
      <c r="C994">
        <v>48000</v>
      </c>
      <c r="D994" t="s">
        <v>2585</v>
      </c>
      <c r="E994" t="s">
        <v>553</v>
      </c>
      <c r="F994" t="s">
        <v>554</v>
      </c>
      <c r="G994" s="30">
        <v>46148</v>
      </c>
      <c r="H994" t="s">
        <v>2586</v>
      </c>
      <c r="I994">
        <v>1953720</v>
      </c>
      <c r="J994" s="123">
        <v>46148</v>
      </c>
      <c r="K994" s="123">
        <v>0</v>
      </c>
      <c r="L994" s="123">
        <v>46148</v>
      </c>
      <c r="M994">
        <v>0</v>
      </c>
      <c r="N994">
        <v>0</v>
      </c>
      <c r="O994" t="s">
        <v>556</v>
      </c>
      <c r="P994" s="216">
        <v>48000</v>
      </c>
      <c r="Q994" s="217" t="s">
        <v>30</v>
      </c>
      <c r="R994" s="217" t="s">
        <v>554</v>
      </c>
      <c r="S994" s="218">
        <v>0.1598853469279119</v>
      </c>
      <c r="T994" t="s">
        <v>550</v>
      </c>
      <c r="U994" t="s">
        <v>51</v>
      </c>
      <c r="V994" s="219" t="s">
        <v>6401</v>
      </c>
      <c r="W994" s="219" t="s">
        <v>67</v>
      </c>
    </row>
    <row r="995" spans="1:23" ht="15" customHeight="1" x14ac:dyDescent="0.25">
      <c r="A995" t="s">
        <v>2588</v>
      </c>
      <c r="B995" t="s">
        <v>575</v>
      </c>
      <c r="C995">
        <v>37486.79</v>
      </c>
      <c r="D995" t="s">
        <v>2589</v>
      </c>
      <c r="E995" t="s">
        <v>553</v>
      </c>
      <c r="F995" t="s">
        <v>585</v>
      </c>
      <c r="G995" s="30">
        <v>46145</v>
      </c>
      <c r="H995" t="s">
        <v>2590</v>
      </c>
      <c r="I995">
        <v>1452087</v>
      </c>
      <c r="J995" s="123">
        <v>46145</v>
      </c>
      <c r="K995" s="123">
        <v>0</v>
      </c>
      <c r="L995" s="123">
        <v>46145</v>
      </c>
      <c r="M995">
        <v>0</v>
      </c>
      <c r="N995">
        <v>0</v>
      </c>
      <c r="O995" t="s">
        <v>556</v>
      </c>
      <c r="P995" s="216">
        <v>37486.79</v>
      </c>
      <c r="Q995" s="217" t="s">
        <v>30</v>
      </c>
      <c r="R995" s="217" t="s">
        <v>61</v>
      </c>
      <c r="S995" s="218">
        <v>0.57381218205245277</v>
      </c>
      <c r="T995" t="s">
        <v>550</v>
      </c>
      <c r="U995" t="s">
        <v>51</v>
      </c>
      <c r="V995" s="219">
        <v>0</v>
      </c>
      <c r="W995" s="219">
        <v>0</v>
      </c>
    </row>
    <row r="996" spans="1:23" ht="15" customHeight="1" x14ac:dyDescent="0.25">
      <c r="A996" t="s">
        <v>2591</v>
      </c>
      <c r="B996" t="s">
        <v>575</v>
      </c>
      <c r="C996">
        <v>100143</v>
      </c>
      <c r="D996" t="s">
        <v>2592</v>
      </c>
      <c r="E996" t="s">
        <v>248</v>
      </c>
      <c r="F996" t="s">
        <v>554</v>
      </c>
      <c r="G996" s="30">
        <v>46143</v>
      </c>
      <c r="H996" t="s">
        <v>2593</v>
      </c>
      <c r="I996">
        <v>1204608</v>
      </c>
      <c r="J996" s="123">
        <v>0</v>
      </c>
      <c r="K996" s="123">
        <v>0</v>
      </c>
      <c r="L996" s="123">
        <v>46143</v>
      </c>
      <c r="M996">
        <v>0</v>
      </c>
      <c r="N996">
        <v>0</v>
      </c>
      <c r="O996">
        <v>0</v>
      </c>
      <c r="P996" s="216">
        <v>100143</v>
      </c>
      <c r="Q996" s="217" t="s">
        <v>30</v>
      </c>
      <c r="R996" s="217" t="s">
        <v>554</v>
      </c>
      <c r="S996" s="218">
        <v>0.60000028224949531</v>
      </c>
      <c r="T996" t="s">
        <v>550</v>
      </c>
      <c r="U996" t="s">
        <v>51</v>
      </c>
      <c r="V996" s="219" t="s">
        <v>6402</v>
      </c>
      <c r="W996" s="219" t="s">
        <v>67</v>
      </c>
    </row>
    <row r="997" spans="1:23" ht="15" customHeight="1" x14ac:dyDescent="0.25">
      <c r="A997" t="s">
        <v>2594</v>
      </c>
      <c r="B997" t="s">
        <v>575</v>
      </c>
      <c r="C997">
        <v>166330</v>
      </c>
      <c r="D997" t="s">
        <v>2595</v>
      </c>
      <c r="E997" t="s">
        <v>223</v>
      </c>
      <c r="F997" t="s">
        <v>585</v>
      </c>
      <c r="G997" s="30">
        <v>46143</v>
      </c>
      <c r="H997" t="s">
        <v>2596</v>
      </c>
      <c r="I997">
        <v>1663300.8</v>
      </c>
      <c r="J997" s="123">
        <v>0</v>
      </c>
      <c r="K997" s="123">
        <v>0</v>
      </c>
      <c r="L997" s="123">
        <v>46121</v>
      </c>
      <c r="M997">
        <v>0</v>
      </c>
      <c r="N997">
        <v>0</v>
      </c>
      <c r="O997">
        <v>0</v>
      </c>
      <c r="P997" s="216">
        <v>166330</v>
      </c>
      <c r="Q997" s="217" t="s">
        <v>31</v>
      </c>
      <c r="R997" s="217" t="s">
        <v>61</v>
      </c>
      <c r="S997" s="218">
        <v>0.30004314312841068</v>
      </c>
      <c r="T997" t="s">
        <v>550</v>
      </c>
      <c r="U997" t="s">
        <v>51</v>
      </c>
      <c r="V997" s="219">
        <v>0</v>
      </c>
      <c r="W997" s="219">
        <v>0</v>
      </c>
    </row>
    <row r="998" spans="1:23" ht="15" customHeight="1" x14ac:dyDescent="0.25">
      <c r="A998" t="s">
        <v>2597</v>
      </c>
      <c r="B998" t="s">
        <v>64</v>
      </c>
      <c r="C998">
        <v>150000</v>
      </c>
      <c r="D998" t="s">
        <v>2598</v>
      </c>
      <c r="E998" t="s">
        <v>223</v>
      </c>
      <c r="F998" t="s">
        <v>554</v>
      </c>
      <c r="G998" s="30">
        <v>46147</v>
      </c>
      <c r="H998" t="s">
        <v>2599</v>
      </c>
      <c r="I998">
        <v>1786715.75</v>
      </c>
      <c r="J998" s="123">
        <v>0</v>
      </c>
      <c r="K998" s="123">
        <v>46146</v>
      </c>
      <c r="L998" s="123">
        <v>0</v>
      </c>
      <c r="M998">
        <v>0</v>
      </c>
      <c r="N998">
        <v>0</v>
      </c>
      <c r="O998" t="s">
        <v>556</v>
      </c>
      <c r="P998" s="216">
        <v>150000</v>
      </c>
      <c r="Q998" s="217" t="s">
        <v>31</v>
      </c>
      <c r="R998" s="217" t="s">
        <v>554</v>
      </c>
      <c r="S998" s="218">
        <v>0.50048104741898647</v>
      </c>
      <c r="T998" t="s">
        <v>550</v>
      </c>
      <c r="U998" t="s">
        <v>51</v>
      </c>
      <c r="V998" s="219" t="s">
        <v>6403</v>
      </c>
      <c r="W998" s="219" t="s">
        <v>71</v>
      </c>
    </row>
    <row r="999" spans="1:23" ht="15" customHeight="1" x14ac:dyDescent="0.25">
      <c r="A999" t="s">
        <v>2600</v>
      </c>
      <c r="B999" t="s">
        <v>595</v>
      </c>
      <c r="C999">
        <v>58000</v>
      </c>
      <c r="D999" t="s">
        <v>2601</v>
      </c>
      <c r="E999" t="s">
        <v>218</v>
      </c>
      <c r="F999" t="s">
        <v>585</v>
      </c>
      <c r="G999" s="30">
        <v>46143</v>
      </c>
      <c r="H999" t="s">
        <v>2602</v>
      </c>
      <c r="I999">
        <v>2126985.7999999998</v>
      </c>
      <c r="J999" s="123">
        <v>0</v>
      </c>
      <c r="K999" s="123">
        <v>0</v>
      </c>
      <c r="L999" s="123">
        <v>46140</v>
      </c>
      <c r="M999">
        <v>0</v>
      </c>
      <c r="N999">
        <v>0</v>
      </c>
      <c r="O999">
        <v>0</v>
      </c>
      <c r="P999" s="216">
        <v>58000</v>
      </c>
      <c r="Q999" s="217" t="s">
        <v>13</v>
      </c>
      <c r="R999" s="217" t="s">
        <v>61</v>
      </c>
      <c r="S999" s="218">
        <v>0.4004273935444233</v>
      </c>
      <c r="T999" t="s">
        <v>550</v>
      </c>
      <c r="U999" t="s">
        <v>51</v>
      </c>
      <c r="V999" s="219">
        <v>0</v>
      </c>
      <c r="W999" s="219">
        <v>0</v>
      </c>
    </row>
    <row r="1000" spans="1:23" ht="15" customHeight="1" x14ac:dyDescent="0.25">
      <c r="A1000" t="s">
        <v>2603</v>
      </c>
      <c r="B1000" t="s">
        <v>595</v>
      </c>
      <c r="C1000">
        <v>212938.9</v>
      </c>
      <c r="D1000" t="s">
        <v>2601</v>
      </c>
      <c r="E1000" t="s">
        <v>218</v>
      </c>
      <c r="F1000" t="s">
        <v>554</v>
      </c>
      <c r="G1000" s="30">
        <v>46144</v>
      </c>
      <c r="H1000" t="s">
        <v>2602</v>
      </c>
      <c r="I1000">
        <v>2126985.7999999998</v>
      </c>
      <c r="J1000" s="123">
        <v>0</v>
      </c>
      <c r="K1000" s="123">
        <v>0</v>
      </c>
      <c r="L1000" s="123">
        <v>46143</v>
      </c>
      <c r="M1000">
        <v>0</v>
      </c>
      <c r="N1000">
        <v>0</v>
      </c>
      <c r="O1000">
        <v>0</v>
      </c>
      <c r="P1000" s="216">
        <v>212938.9</v>
      </c>
      <c r="Q1000" s="217" t="s">
        <v>13</v>
      </c>
      <c r="R1000" s="217" t="s">
        <v>554</v>
      </c>
      <c r="S1000" s="218">
        <v>0.4004273935444233</v>
      </c>
      <c r="T1000" t="s">
        <v>550</v>
      </c>
      <c r="U1000" t="s">
        <v>51</v>
      </c>
      <c r="V1000" s="219">
        <v>0</v>
      </c>
      <c r="W1000" s="219" t="s">
        <v>72</v>
      </c>
    </row>
    <row r="1001" spans="1:23" ht="15" customHeight="1" x14ac:dyDescent="0.25">
      <c r="A1001" t="s">
        <v>2604</v>
      </c>
      <c r="B1001" t="s">
        <v>546</v>
      </c>
      <c r="C1001">
        <v>29000</v>
      </c>
      <c r="D1001" t="s">
        <v>2605</v>
      </c>
      <c r="E1001" t="s">
        <v>553</v>
      </c>
      <c r="F1001" t="s">
        <v>554</v>
      </c>
      <c r="G1001" s="30">
        <v>46146</v>
      </c>
      <c r="H1001" t="s">
        <v>2606</v>
      </c>
      <c r="I1001">
        <v>2284635.15</v>
      </c>
      <c r="J1001" s="123">
        <v>46146</v>
      </c>
      <c r="K1001" s="123">
        <v>0</v>
      </c>
      <c r="L1001" s="123">
        <v>46146</v>
      </c>
      <c r="M1001">
        <v>0</v>
      </c>
      <c r="N1001">
        <v>0</v>
      </c>
      <c r="O1001" t="s">
        <v>556</v>
      </c>
      <c r="P1001" s="216">
        <v>29000</v>
      </c>
      <c r="Q1001" s="217" t="s">
        <v>31</v>
      </c>
      <c r="R1001" s="217" t="s">
        <v>554</v>
      </c>
      <c r="S1001" s="218">
        <v>0.39999953603095006</v>
      </c>
      <c r="T1001" t="s">
        <v>550</v>
      </c>
      <c r="U1001" t="s">
        <v>51</v>
      </c>
      <c r="V1001" s="219" t="s">
        <v>6404</v>
      </c>
      <c r="W1001" s="219" t="s">
        <v>67</v>
      </c>
    </row>
    <row r="1002" spans="1:23" ht="15" customHeight="1" x14ac:dyDescent="0.25">
      <c r="A1002" t="s">
        <v>2607</v>
      </c>
      <c r="B1002" t="s">
        <v>546</v>
      </c>
      <c r="C1002">
        <v>58300</v>
      </c>
      <c r="D1002" t="s">
        <v>2605</v>
      </c>
      <c r="E1002" t="s">
        <v>553</v>
      </c>
      <c r="F1002" t="s">
        <v>554</v>
      </c>
      <c r="G1002" s="30">
        <v>46146</v>
      </c>
      <c r="H1002" t="s">
        <v>2606</v>
      </c>
      <c r="I1002">
        <v>2284635.15</v>
      </c>
      <c r="J1002" s="123">
        <v>46146</v>
      </c>
      <c r="K1002" s="123">
        <v>0</v>
      </c>
      <c r="L1002" s="123">
        <v>46146</v>
      </c>
      <c r="M1002">
        <v>0</v>
      </c>
      <c r="N1002">
        <v>0</v>
      </c>
      <c r="O1002" t="s">
        <v>556</v>
      </c>
      <c r="P1002" s="216">
        <v>58300</v>
      </c>
      <c r="Q1002" s="217" t="s">
        <v>31</v>
      </c>
      <c r="R1002" s="217" t="s">
        <v>554</v>
      </c>
      <c r="S1002" s="218">
        <v>0.39999953603095006</v>
      </c>
      <c r="T1002" t="s">
        <v>550</v>
      </c>
      <c r="U1002" t="s">
        <v>51</v>
      </c>
      <c r="V1002" s="219" t="s">
        <v>6405</v>
      </c>
      <c r="W1002" s="219" t="s">
        <v>67</v>
      </c>
    </row>
    <row r="1003" spans="1:23" ht="15" customHeight="1" x14ac:dyDescent="0.25">
      <c r="A1003" t="s">
        <v>2608</v>
      </c>
      <c r="B1003" t="s">
        <v>546</v>
      </c>
      <c r="C1003">
        <v>58390</v>
      </c>
      <c r="D1003" t="s">
        <v>2605</v>
      </c>
      <c r="E1003" t="s">
        <v>553</v>
      </c>
      <c r="F1003" t="s">
        <v>548</v>
      </c>
      <c r="G1003" s="30">
        <v>46146</v>
      </c>
      <c r="H1003" t="s">
        <v>2606</v>
      </c>
      <c r="I1003">
        <v>2284635.15</v>
      </c>
      <c r="J1003" s="123">
        <v>46146</v>
      </c>
      <c r="K1003" s="123">
        <v>0</v>
      </c>
      <c r="L1003" s="123">
        <v>46146</v>
      </c>
      <c r="M1003">
        <v>0</v>
      </c>
      <c r="N1003">
        <v>0</v>
      </c>
      <c r="O1003" t="s">
        <v>556</v>
      </c>
      <c r="P1003" s="216">
        <v>58390</v>
      </c>
      <c r="Q1003" s="217" t="s">
        <v>31</v>
      </c>
      <c r="R1003" s="217" t="s">
        <v>62</v>
      </c>
      <c r="S1003" s="218">
        <v>0.39999953603095006</v>
      </c>
      <c r="T1003" t="s">
        <v>550</v>
      </c>
      <c r="U1003" t="s">
        <v>51</v>
      </c>
      <c r="V1003" s="219">
        <v>0</v>
      </c>
      <c r="W1003" s="219">
        <v>0</v>
      </c>
    </row>
    <row r="1004" spans="1:23" ht="15" customHeight="1" x14ac:dyDescent="0.25">
      <c r="A1004" t="s">
        <v>2609</v>
      </c>
      <c r="B1004" t="s">
        <v>546</v>
      </c>
      <c r="C1004">
        <v>14400</v>
      </c>
      <c r="D1004" t="s">
        <v>2605</v>
      </c>
      <c r="E1004" t="s">
        <v>553</v>
      </c>
      <c r="F1004" t="s">
        <v>554</v>
      </c>
      <c r="G1004" s="30">
        <v>46147</v>
      </c>
      <c r="H1004" t="s">
        <v>2606</v>
      </c>
      <c r="I1004">
        <v>2284635.15</v>
      </c>
      <c r="J1004" s="123">
        <v>46147</v>
      </c>
      <c r="K1004" s="123">
        <v>0</v>
      </c>
      <c r="L1004" s="123">
        <v>46147</v>
      </c>
      <c r="M1004">
        <v>0</v>
      </c>
      <c r="N1004">
        <v>0</v>
      </c>
      <c r="O1004" t="s">
        <v>556</v>
      </c>
      <c r="P1004" s="216">
        <v>14400</v>
      </c>
      <c r="Q1004" s="217" t="s">
        <v>31</v>
      </c>
      <c r="R1004" s="217" t="s">
        <v>554</v>
      </c>
      <c r="S1004" s="218">
        <v>0.39999953603095006</v>
      </c>
      <c r="T1004" t="s">
        <v>550</v>
      </c>
      <c r="U1004" t="s">
        <v>51</v>
      </c>
      <c r="V1004" s="219" t="s">
        <v>6406</v>
      </c>
      <c r="W1004" s="219" t="s">
        <v>67</v>
      </c>
    </row>
    <row r="1005" spans="1:23" ht="15" customHeight="1" x14ac:dyDescent="0.25">
      <c r="A1005" t="s">
        <v>2610</v>
      </c>
      <c r="B1005" t="s">
        <v>546</v>
      </c>
      <c r="C1005">
        <v>30300</v>
      </c>
      <c r="D1005" t="s">
        <v>2605</v>
      </c>
      <c r="E1005" t="s">
        <v>553</v>
      </c>
      <c r="F1005" t="s">
        <v>554</v>
      </c>
      <c r="G1005" s="30">
        <v>46147</v>
      </c>
      <c r="H1005" t="s">
        <v>2606</v>
      </c>
      <c r="I1005">
        <v>2284635.15</v>
      </c>
      <c r="J1005" s="123">
        <v>46147</v>
      </c>
      <c r="K1005" s="123">
        <v>0</v>
      </c>
      <c r="L1005" s="123">
        <v>46147</v>
      </c>
      <c r="M1005">
        <v>0</v>
      </c>
      <c r="N1005">
        <v>0</v>
      </c>
      <c r="O1005" t="s">
        <v>556</v>
      </c>
      <c r="P1005" s="216">
        <v>30300</v>
      </c>
      <c r="Q1005" s="217" t="s">
        <v>31</v>
      </c>
      <c r="R1005" s="217" t="s">
        <v>554</v>
      </c>
      <c r="S1005" s="218">
        <v>0.39999953603095006</v>
      </c>
      <c r="T1005" t="s">
        <v>550</v>
      </c>
      <c r="U1005" t="s">
        <v>51</v>
      </c>
      <c r="V1005" s="219" t="s">
        <v>6407</v>
      </c>
      <c r="W1005" s="219" t="s">
        <v>67</v>
      </c>
    </row>
    <row r="1006" spans="1:23" ht="15" customHeight="1" x14ac:dyDescent="0.25">
      <c r="A1006" t="s">
        <v>2611</v>
      </c>
      <c r="B1006" t="s">
        <v>546</v>
      </c>
      <c r="C1006">
        <v>8000</v>
      </c>
      <c r="D1006" t="s">
        <v>2605</v>
      </c>
      <c r="E1006" t="s">
        <v>553</v>
      </c>
      <c r="F1006" t="s">
        <v>554</v>
      </c>
      <c r="G1006" s="30">
        <v>46148</v>
      </c>
      <c r="H1006" t="s">
        <v>2606</v>
      </c>
      <c r="I1006">
        <v>2284635.15</v>
      </c>
      <c r="J1006" s="123">
        <v>46148</v>
      </c>
      <c r="K1006" s="123">
        <v>0</v>
      </c>
      <c r="L1006" s="123">
        <v>46148</v>
      </c>
      <c r="M1006">
        <v>0</v>
      </c>
      <c r="N1006">
        <v>0</v>
      </c>
      <c r="O1006" t="s">
        <v>556</v>
      </c>
      <c r="P1006" s="216">
        <v>8000</v>
      </c>
      <c r="Q1006" s="217" t="s">
        <v>31</v>
      </c>
      <c r="R1006" s="217" t="s">
        <v>554</v>
      </c>
      <c r="S1006" s="218">
        <v>0.39999953603095006</v>
      </c>
      <c r="T1006" t="s">
        <v>550</v>
      </c>
      <c r="U1006" t="s">
        <v>51</v>
      </c>
      <c r="V1006" s="219" t="s">
        <v>6408</v>
      </c>
      <c r="W1006" s="219" t="s">
        <v>67</v>
      </c>
    </row>
    <row r="1007" spans="1:23" ht="15" customHeight="1" x14ac:dyDescent="0.25">
      <c r="A1007" t="s">
        <v>2612</v>
      </c>
      <c r="B1007" t="s">
        <v>575</v>
      </c>
      <c r="C1007">
        <v>155880.54999999999</v>
      </c>
      <c r="D1007" t="s">
        <v>2613</v>
      </c>
      <c r="E1007" t="s">
        <v>218</v>
      </c>
      <c r="F1007" t="s">
        <v>585</v>
      </c>
      <c r="G1007" s="30">
        <v>46148</v>
      </c>
      <c r="H1007" t="s">
        <v>2614</v>
      </c>
      <c r="I1007">
        <v>1558805.5</v>
      </c>
      <c r="J1007" s="123">
        <v>0</v>
      </c>
      <c r="K1007" s="123">
        <v>0</v>
      </c>
      <c r="L1007" s="123">
        <v>46143</v>
      </c>
      <c r="M1007">
        <v>0</v>
      </c>
      <c r="N1007">
        <v>0</v>
      </c>
      <c r="O1007">
        <v>0</v>
      </c>
      <c r="P1007" s="216">
        <v>155880.54999999999</v>
      </c>
      <c r="Q1007" s="217" t="s">
        <v>13</v>
      </c>
      <c r="R1007" s="217" t="s">
        <v>61</v>
      </c>
      <c r="S1007" s="218">
        <v>0.49999982679044946</v>
      </c>
      <c r="T1007" t="s">
        <v>550</v>
      </c>
      <c r="U1007" t="s">
        <v>51</v>
      </c>
      <c r="V1007" s="219">
        <v>0</v>
      </c>
      <c r="W1007" s="219">
        <v>0</v>
      </c>
    </row>
    <row r="1008" spans="1:23" ht="15" customHeight="1" x14ac:dyDescent="0.25">
      <c r="A1008" t="s">
        <v>2615</v>
      </c>
      <c r="B1008" t="s">
        <v>575</v>
      </c>
      <c r="C1008">
        <v>155880.54999999999</v>
      </c>
      <c r="D1008" t="s">
        <v>2616</v>
      </c>
      <c r="E1008" t="s">
        <v>218</v>
      </c>
      <c r="F1008" t="s">
        <v>585</v>
      </c>
      <c r="G1008" s="30">
        <v>46146</v>
      </c>
      <c r="H1008" t="s">
        <v>2617</v>
      </c>
      <c r="I1008">
        <v>1558805.5</v>
      </c>
      <c r="J1008" s="123">
        <v>0</v>
      </c>
      <c r="K1008" s="123">
        <v>0</v>
      </c>
      <c r="L1008" s="123">
        <v>46143</v>
      </c>
      <c r="M1008">
        <v>0</v>
      </c>
      <c r="N1008">
        <v>0</v>
      </c>
      <c r="O1008">
        <v>0</v>
      </c>
      <c r="P1008" s="216">
        <v>155880.54999999999</v>
      </c>
      <c r="Q1008" s="217" t="s">
        <v>13</v>
      </c>
      <c r="R1008" s="217" t="s">
        <v>61</v>
      </c>
      <c r="S1008" s="218">
        <v>0.59944995061924022</v>
      </c>
      <c r="T1008" t="s">
        <v>550</v>
      </c>
      <c r="U1008" t="s">
        <v>51</v>
      </c>
      <c r="V1008" s="219">
        <v>0</v>
      </c>
      <c r="W1008" s="219">
        <v>0</v>
      </c>
    </row>
    <row r="1009" spans="1:23" ht="15" customHeight="1" x14ac:dyDescent="0.25">
      <c r="A1009" t="s">
        <v>2618</v>
      </c>
      <c r="B1009" t="s">
        <v>575</v>
      </c>
      <c r="C1009">
        <v>155880.54999999999</v>
      </c>
      <c r="D1009" t="s">
        <v>2616</v>
      </c>
      <c r="E1009" t="s">
        <v>218</v>
      </c>
      <c r="F1009" t="s">
        <v>554</v>
      </c>
      <c r="G1009" s="30">
        <v>46146</v>
      </c>
      <c r="H1009" t="s">
        <v>2617</v>
      </c>
      <c r="I1009">
        <v>1558805.5</v>
      </c>
      <c r="J1009" s="123">
        <v>0</v>
      </c>
      <c r="K1009" s="123">
        <v>0</v>
      </c>
      <c r="L1009" s="123">
        <v>46143</v>
      </c>
      <c r="M1009">
        <v>0</v>
      </c>
      <c r="N1009">
        <v>0</v>
      </c>
      <c r="O1009">
        <v>0</v>
      </c>
      <c r="P1009" s="216">
        <v>155880.54999999999</v>
      </c>
      <c r="Q1009" s="217" t="s">
        <v>13</v>
      </c>
      <c r="R1009" s="217" t="s">
        <v>554</v>
      </c>
      <c r="S1009" s="218">
        <v>0.59944995061924022</v>
      </c>
      <c r="T1009" t="s">
        <v>550</v>
      </c>
      <c r="U1009" t="s">
        <v>51</v>
      </c>
      <c r="V1009" s="219" t="s">
        <v>6409</v>
      </c>
      <c r="W1009" s="219" t="s">
        <v>67</v>
      </c>
    </row>
    <row r="1010" spans="1:23" ht="15" customHeight="1" x14ac:dyDescent="0.25">
      <c r="A1010" t="s">
        <v>2619</v>
      </c>
      <c r="B1010" t="s">
        <v>575</v>
      </c>
      <c r="C1010">
        <v>105000</v>
      </c>
      <c r="D1010" t="s">
        <v>2620</v>
      </c>
      <c r="E1010" t="s">
        <v>223</v>
      </c>
      <c r="F1010" t="s">
        <v>554</v>
      </c>
      <c r="G1010" s="30">
        <v>46147</v>
      </c>
      <c r="H1010" t="s">
        <v>2621</v>
      </c>
      <c r="I1010">
        <v>2085211.2</v>
      </c>
      <c r="J1010" s="123">
        <v>0</v>
      </c>
      <c r="K1010" s="123">
        <v>0</v>
      </c>
      <c r="L1010" s="123">
        <v>46129</v>
      </c>
      <c r="M1010">
        <v>0</v>
      </c>
      <c r="N1010">
        <v>0</v>
      </c>
      <c r="O1010">
        <v>0</v>
      </c>
      <c r="P1010" s="216">
        <v>105000</v>
      </c>
      <c r="Q1010" s="217" t="s">
        <v>31</v>
      </c>
      <c r="R1010" s="217" t="s">
        <v>554</v>
      </c>
      <c r="S1010" s="218">
        <v>0.39999976980749002</v>
      </c>
      <c r="T1010" t="s">
        <v>550</v>
      </c>
      <c r="U1010" t="s">
        <v>51</v>
      </c>
      <c r="V1010" s="219" t="s">
        <v>6410</v>
      </c>
      <c r="W1010" s="219" t="s">
        <v>67</v>
      </c>
    </row>
    <row r="1011" spans="1:23" ht="15" customHeight="1" x14ac:dyDescent="0.25">
      <c r="A1011" t="s">
        <v>2622</v>
      </c>
      <c r="B1011" t="s">
        <v>575</v>
      </c>
      <c r="C1011">
        <v>103510</v>
      </c>
      <c r="D1011" t="s">
        <v>2620</v>
      </c>
      <c r="E1011" t="s">
        <v>223</v>
      </c>
      <c r="F1011" t="s">
        <v>554</v>
      </c>
      <c r="G1011" s="30">
        <v>46147</v>
      </c>
      <c r="H1011" t="s">
        <v>2621</v>
      </c>
      <c r="I1011">
        <v>2085211.2</v>
      </c>
      <c r="J1011" s="123">
        <v>0</v>
      </c>
      <c r="K1011" s="123">
        <v>0</v>
      </c>
      <c r="L1011" s="123">
        <v>46147</v>
      </c>
      <c r="M1011">
        <v>0</v>
      </c>
      <c r="N1011">
        <v>0</v>
      </c>
      <c r="O1011">
        <v>0</v>
      </c>
      <c r="P1011" s="216">
        <v>103510</v>
      </c>
      <c r="Q1011" s="217" t="s">
        <v>31</v>
      </c>
      <c r="R1011" s="217" t="s">
        <v>554</v>
      </c>
      <c r="S1011" s="218">
        <v>0.39999976980749002</v>
      </c>
      <c r="T1011" t="s">
        <v>550</v>
      </c>
      <c r="U1011" t="s">
        <v>51</v>
      </c>
      <c r="V1011" s="219" t="s">
        <v>6411</v>
      </c>
      <c r="W1011" s="219" t="s">
        <v>67</v>
      </c>
    </row>
    <row r="1012" spans="1:23" ht="15" customHeight="1" x14ac:dyDescent="0.25">
      <c r="A1012" t="s">
        <v>2623</v>
      </c>
      <c r="B1012" t="s">
        <v>575</v>
      </c>
      <c r="C1012">
        <v>45000</v>
      </c>
      <c r="D1012" t="s">
        <v>2624</v>
      </c>
      <c r="E1012" t="s">
        <v>223</v>
      </c>
      <c r="F1012" t="s">
        <v>554</v>
      </c>
      <c r="G1012" s="30">
        <v>46147</v>
      </c>
      <c r="H1012" t="s">
        <v>2625</v>
      </c>
      <c r="I1012">
        <v>2126985.7999999998</v>
      </c>
      <c r="J1012" s="123">
        <v>0</v>
      </c>
      <c r="K1012" s="123">
        <v>0</v>
      </c>
      <c r="L1012" s="123">
        <v>46147</v>
      </c>
      <c r="M1012">
        <v>0</v>
      </c>
      <c r="N1012">
        <v>0</v>
      </c>
      <c r="O1012">
        <v>0</v>
      </c>
      <c r="P1012" s="216">
        <v>45000</v>
      </c>
      <c r="Q1012" s="217" t="s">
        <v>31</v>
      </c>
      <c r="R1012" s="217" t="s">
        <v>554</v>
      </c>
      <c r="S1012" s="218">
        <v>0.46475391138013245</v>
      </c>
      <c r="T1012" t="s">
        <v>550</v>
      </c>
      <c r="U1012" t="s">
        <v>51</v>
      </c>
      <c r="V1012" s="219" t="s">
        <v>6412</v>
      </c>
      <c r="W1012" s="219" t="s">
        <v>67</v>
      </c>
    </row>
    <row r="1013" spans="1:23" ht="15" customHeight="1" x14ac:dyDescent="0.25">
      <c r="A1013" t="s">
        <v>2626</v>
      </c>
      <c r="B1013" t="s">
        <v>595</v>
      </c>
      <c r="C1013">
        <v>240091</v>
      </c>
      <c r="D1013" t="s">
        <v>2627</v>
      </c>
      <c r="E1013" t="s">
        <v>163</v>
      </c>
      <c r="F1013" t="s">
        <v>554</v>
      </c>
      <c r="G1013" s="30">
        <v>46144</v>
      </c>
      <c r="H1013" t="s">
        <v>2628</v>
      </c>
      <c r="I1013">
        <v>2400906.6</v>
      </c>
      <c r="J1013" s="123">
        <v>0</v>
      </c>
      <c r="K1013" s="123">
        <v>0</v>
      </c>
      <c r="L1013" s="123">
        <v>46113</v>
      </c>
      <c r="M1013">
        <v>0</v>
      </c>
      <c r="N1013">
        <v>0</v>
      </c>
      <c r="O1013">
        <v>0</v>
      </c>
      <c r="P1013" s="216">
        <v>240091</v>
      </c>
      <c r="Q1013" s="217" t="s">
        <v>15</v>
      </c>
      <c r="R1013" s="217" t="s">
        <v>554</v>
      </c>
      <c r="S1013" s="218">
        <v>0.59998782959736952</v>
      </c>
      <c r="T1013" t="s">
        <v>550</v>
      </c>
      <c r="U1013" t="s">
        <v>51</v>
      </c>
      <c r="V1013" s="219" t="s">
        <v>6413</v>
      </c>
      <c r="W1013" s="219" t="s">
        <v>67</v>
      </c>
    </row>
    <row r="1014" spans="1:23" ht="15" customHeight="1" x14ac:dyDescent="0.25">
      <c r="A1014" t="s">
        <v>2629</v>
      </c>
      <c r="B1014" t="s">
        <v>575</v>
      </c>
      <c r="C1014">
        <v>98000</v>
      </c>
      <c r="D1014" t="s">
        <v>2630</v>
      </c>
      <c r="E1014" t="s">
        <v>218</v>
      </c>
      <c r="F1014" t="s">
        <v>580</v>
      </c>
      <c r="G1014" s="30">
        <v>46149</v>
      </c>
      <c r="H1014" t="s">
        <v>2631</v>
      </c>
      <c r="I1014">
        <v>2386087.2000000002</v>
      </c>
      <c r="J1014" s="123">
        <v>0</v>
      </c>
      <c r="K1014" s="123">
        <v>0</v>
      </c>
      <c r="L1014" s="123">
        <v>46144</v>
      </c>
      <c r="M1014">
        <v>0</v>
      </c>
      <c r="N1014">
        <v>0</v>
      </c>
      <c r="O1014">
        <v>0</v>
      </c>
      <c r="P1014" s="216">
        <v>98000</v>
      </c>
      <c r="Q1014" s="217" t="s">
        <v>13</v>
      </c>
      <c r="R1014" s="217" t="s">
        <v>582</v>
      </c>
      <c r="S1014" s="218">
        <v>0.30307651790764389</v>
      </c>
      <c r="T1014" t="s">
        <v>550</v>
      </c>
      <c r="U1014" t="s">
        <v>51</v>
      </c>
      <c r="V1014" s="219">
        <v>0</v>
      </c>
      <c r="W1014" s="219">
        <v>0</v>
      </c>
    </row>
    <row r="1015" spans="1:23" ht="15" customHeight="1" x14ac:dyDescent="0.25">
      <c r="A1015" t="s">
        <v>2632</v>
      </c>
      <c r="B1015" t="s">
        <v>575</v>
      </c>
      <c r="C1015">
        <v>48000</v>
      </c>
      <c r="D1015" t="s">
        <v>2633</v>
      </c>
      <c r="E1015" t="s">
        <v>223</v>
      </c>
      <c r="F1015" t="s">
        <v>554</v>
      </c>
      <c r="G1015" s="30">
        <v>46147</v>
      </c>
      <c r="H1015" t="s">
        <v>2634</v>
      </c>
      <c r="I1015">
        <v>1702903.2</v>
      </c>
      <c r="J1015" s="123">
        <v>0</v>
      </c>
      <c r="K1015" s="123">
        <v>0</v>
      </c>
      <c r="L1015" s="123">
        <v>46141</v>
      </c>
      <c r="M1015">
        <v>0</v>
      </c>
      <c r="N1015">
        <v>0</v>
      </c>
      <c r="O1015">
        <v>0</v>
      </c>
      <c r="P1015" s="216">
        <v>48000</v>
      </c>
      <c r="Q1015" s="217" t="s">
        <v>31</v>
      </c>
      <c r="R1015" s="217" t="s">
        <v>554</v>
      </c>
      <c r="S1015" s="218">
        <v>0.45872326741766645</v>
      </c>
      <c r="T1015" t="s">
        <v>550</v>
      </c>
      <c r="U1015" t="s">
        <v>51</v>
      </c>
      <c r="V1015" s="219" t="s">
        <v>6414</v>
      </c>
      <c r="W1015" s="219" t="s">
        <v>67</v>
      </c>
    </row>
    <row r="1016" spans="1:23" ht="15" customHeight="1" x14ac:dyDescent="0.25">
      <c r="A1016" t="s">
        <v>2635</v>
      </c>
      <c r="B1016" t="s">
        <v>575</v>
      </c>
      <c r="C1016">
        <v>22000</v>
      </c>
      <c r="D1016" t="s">
        <v>2633</v>
      </c>
      <c r="E1016" t="s">
        <v>223</v>
      </c>
      <c r="F1016" t="s">
        <v>554</v>
      </c>
      <c r="G1016" s="30">
        <v>46147</v>
      </c>
      <c r="H1016" t="s">
        <v>2634</v>
      </c>
      <c r="I1016">
        <v>1702903.2</v>
      </c>
      <c r="J1016" s="123">
        <v>0</v>
      </c>
      <c r="K1016" s="123">
        <v>0</v>
      </c>
      <c r="L1016" s="123">
        <v>46142</v>
      </c>
      <c r="M1016">
        <v>0</v>
      </c>
      <c r="N1016">
        <v>0</v>
      </c>
      <c r="O1016">
        <v>0</v>
      </c>
      <c r="P1016" s="216">
        <v>22000</v>
      </c>
      <c r="Q1016" s="217" t="s">
        <v>31</v>
      </c>
      <c r="R1016" s="217" t="s">
        <v>554</v>
      </c>
      <c r="S1016" s="218">
        <v>0.45872326741766645</v>
      </c>
      <c r="T1016" t="s">
        <v>550</v>
      </c>
      <c r="U1016" t="s">
        <v>51</v>
      </c>
      <c r="V1016" s="219" t="s">
        <v>6415</v>
      </c>
      <c r="W1016" s="219" t="s">
        <v>67</v>
      </c>
    </row>
    <row r="1017" spans="1:23" ht="15" customHeight="1" x14ac:dyDescent="0.25">
      <c r="A1017" t="s">
        <v>2636</v>
      </c>
      <c r="B1017" t="s">
        <v>575</v>
      </c>
      <c r="C1017">
        <v>30000</v>
      </c>
      <c r="D1017" t="s">
        <v>2633</v>
      </c>
      <c r="E1017" t="s">
        <v>223</v>
      </c>
      <c r="F1017" t="s">
        <v>554</v>
      </c>
      <c r="G1017" s="30">
        <v>46147</v>
      </c>
      <c r="H1017" t="s">
        <v>2634</v>
      </c>
      <c r="I1017">
        <v>1702903.2</v>
      </c>
      <c r="J1017" s="123">
        <v>0</v>
      </c>
      <c r="K1017" s="123">
        <v>0</v>
      </c>
      <c r="L1017" s="123">
        <v>46143</v>
      </c>
      <c r="M1017">
        <v>0</v>
      </c>
      <c r="N1017">
        <v>0</v>
      </c>
      <c r="O1017">
        <v>0</v>
      </c>
      <c r="P1017" s="216">
        <v>30000</v>
      </c>
      <c r="Q1017" s="217" t="s">
        <v>31</v>
      </c>
      <c r="R1017" s="217" t="s">
        <v>554</v>
      </c>
      <c r="S1017" s="218">
        <v>0.45872326741766645</v>
      </c>
      <c r="T1017" t="s">
        <v>550</v>
      </c>
      <c r="U1017" t="s">
        <v>51</v>
      </c>
      <c r="V1017" s="219" t="s">
        <v>6416</v>
      </c>
      <c r="W1017" s="219" t="s">
        <v>67</v>
      </c>
    </row>
    <row r="1018" spans="1:23" ht="15" customHeight="1" x14ac:dyDescent="0.25">
      <c r="A1018" t="s">
        <v>2637</v>
      </c>
      <c r="B1018" t="s">
        <v>575</v>
      </c>
      <c r="C1018">
        <v>95710</v>
      </c>
      <c r="D1018" t="s">
        <v>2638</v>
      </c>
      <c r="E1018" t="s">
        <v>223</v>
      </c>
      <c r="F1018" t="s">
        <v>554</v>
      </c>
      <c r="G1018" s="30">
        <v>46146</v>
      </c>
      <c r="H1018" t="s">
        <v>2639</v>
      </c>
      <c r="I1018">
        <v>2701424.4</v>
      </c>
      <c r="J1018" s="123">
        <v>0</v>
      </c>
      <c r="K1018" s="123">
        <v>0</v>
      </c>
      <c r="L1018" s="123">
        <v>46090</v>
      </c>
      <c r="M1018">
        <v>0</v>
      </c>
      <c r="N1018">
        <v>0</v>
      </c>
      <c r="O1018">
        <v>0</v>
      </c>
      <c r="P1018" s="216">
        <v>95710</v>
      </c>
      <c r="Q1018" s="217" t="s">
        <v>31</v>
      </c>
      <c r="R1018" s="217" t="s">
        <v>554</v>
      </c>
      <c r="S1018" s="218">
        <v>0.50063885556079235</v>
      </c>
      <c r="T1018" t="s">
        <v>550</v>
      </c>
      <c r="U1018" t="s">
        <v>51</v>
      </c>
      <c r="V1018" s="219" t="s">
        <v>6417</v>
      </c>
      <c r="W1018" s="219" t="s">
        <v>67</v>
      </c>
    </row>
    <row r="1019" spans="1:23" ht="15" customHeight="1" x14ac:dyDescent="0.25">
      <c r="A1019" t="s">
        <v>2640</v>
      </c>
      <c r="B1019" t="s">
        <v>595</v>
      </c>
      <c r="C1019">
        <v>54950</v>
      </c>
      <c r="D1019" t="s">
        <v>2641</v>
      </c>
      <c r="E1019" t="s">
        <v>316</v>
      </c>
      <c r="F1019" t="s">
        <v>580</v>
      </c>
      <c r="G1019" s="30">
        <v>46146</v>
      </c>
      <c r="H1019" t="s">
        <v>2642</v>
      </c>
      <c r="I1019">
        <v>2017306.7</v>
      </c>
      <c r="J1019" s="123">
        <v>0</v>
      </c>
      <c r="K1019" s="123">
        <v>0</v>
      </c>
      <c r="L1019" s="123">
        <v>46146</v>
      </c>
      <c r="M1019">
        <v>0</v>
      </c>
      <c r="N1019">
        <v>0</v>
      </c>
      <c r="O1019">
        <v>0</v>
      </c>
      <c r="P1019" s="216">
        <v>54950</v>
      </c>
      <c r="Q1019" s="217" t="s">
        <v>46</v>
      </c>
      <c r="R1019" s="217" t="s">
        <v>582</v>
      </c>
      <c r="S1019" s="218">
        <v>0.30181868230547193</v>
      </c>
      <c r="T1019" t="s">
        <v>550</v>
      </c>
      <c r="U1019" t="s">
        <v>51</v>
      </c>
      <c r="V1019" s="219">
        <v>0</v>
      </c>
      <c r="W1019" s="219">
        <v>0</v>
      </c>
    </row>
    <row r="1020" spans="1:23" ht="15" customHeight="1" x14ac:dyDescent="0.25">
      <c r="A1020" t="s">
        <v>2643</v>
      </c>
      <c r="B1020" t="s">
        <v>595</v>
      </c>
      <c r="C1020">
        <v>77820.990000000005</v>
      </c>
      <c r="D1020" t="s">
        <v>2644</v>
      </c>
      <c r="E1020" t="s">
        <v>223</v>
      </c>
      <c r="F1020" t="s">
        <v>585</v>
      </c>
      <c r="G1020" s="30">
        <v>46147</v>
      </c>
      <c r="H1020" t="s">
        <v>2645</v>
      </c>
      <c r="I1020">
        <v>2017306.7</v>
      </c>
      <c r="J1020" s="123">
        <v>0</v>
      </c>
      <c r="K1020" s="123">
        <v>0</v>
      </c>
      <c r="L1020" s="123">
        <v>46146</v>
      </c>
      <c r="M1020">
        <v>0</v>
      </c>
      <c r="N1020">
        <v>0</v>
      </c>
      <c r="O1020">
        <v>0</v>
      </c>
      <c r="P1020" s="216">
        <v>77820.990000000005</v>
      </c>
      <c r="Q1020" s="217" t="s">
        <v>31</v>
      </c>
      <c r="R1020" s="217" t="s">
        <v>61</v>
      </c>
      <c r="S1020" s="218">
        <v>0.31931819787244053</v>
      </c>
      <c r="T1020" t="s">
        <v>550</v>
      </c>
      <c r="U1020" t="s">
        <v>51</v>
      </c>
      <c r="V1020" s="219">
        <v>0</v>
      </c>
      <c r="W1020" s="219">
        <v>0</v>
      </c>
    </row>
    <row r="1021" spans="1:23" ht="15" customHeight="1" x14ac:dyDescent="0.25">
      <c r="A1021" t="s">
        <v>2646</v>
      </c>
      <c r="B1021" t="s">
        <v>595</v>
      </c>
      <c r="C1021">
        <v>106780.27</v>
      </c>
      <c r="D1021" t="s">
        <v>2644</v>
      </c>
      <c r="E1021" t="s">
        <v>223</v>
      </c>
      <c r="F1021" t="s">
        <v>585</v>
      </c>
      <c r="G1021" s="30">
        <v>46147</v>
      </c>
      <c r="H1021" t="s">
        <v>2645</v>
      </c>
      <c r="I1021">
        <v>2017306.7</v>
      </c>
      <c r="J1021" s="123">
        <v>0</v>
      </c>
      <c r="K1021" s="123">
        <v>0</v>
      </c>
      <c r="L1021" s="123">
        <v>46146</v>
      </c>
      <c r="M1021">
        <v>0</v>
      </c>
      <c r="N1021">
        <v>0</v>
      </c>
      <c r="O1021">
        <v>0</v>
      </c>
      <c r="P1021" s="216">
        <v>106780.27</v>
      </c>
      <c r="Q1021" s="217" t="s">
        <v>31</v>
      </c>
      <c r="R1021" s="217" t="s">
        <v>61</v>
      </c>
      <c r="S1021" s="218">
        <v>0.31931819787244053</v>
      </c>
      <c r="T1021" t="s">
        <v>550</v>
      </c>
      <c r="U1021" t="s">
        <v>51</v>
      </c>
      <c r="V1021" s="219">
        <v>0</v>
      </c>
      <c r="W1021" s="219">
        <v>0</v>
      </c>
    </row>
    <row r="1022" spans="1:23" ht="15" customHeight="1" x14ac:dyDescent="0.25">
      <c r="A1022" t="s">
        <v>2647</v>
      </c>
      <c r="B1022" t="s">
        <v>64</v>
      </c>
      <c r="C1022">
        <v>779728</v>
      </c>
      <c r="D1022" t="s">
        <v>2648</v>
      </c>
      <c r="E1022" t="s">
        <v>183</v>
      </c>
      <c r="F1022" t="s">
        <v>554</v>
      </c>
      <c r="G1022" s="30">
        <v>46143</v>
      </c>
      <c r="H1022" t="s">
        <v>2649</v>
      </c>
      <c r="I1022">
        <v>7797288.1900000004</v>
      </c>
      <c r="J1022" s="123">
        <v>0</v>
      </c>
      <c r="K1022" s="123">
        <v>46143</v>
      </c>
      <c r="L1022" s="123">
        <v>0</v>
      </c>
      <c r="M1022">
        <v>0</v>
      </c>
      <c r="N1022">
        <v>0</v>
      </c>
      <c r="O1022" t="s">
        <v>556</v>
      </c>
      <c r="P1022" s="216">
        <v>779728</v>
      </c>
      <c r="Q1022" s="217" t="s">
        <v>33</v>
      </c>
      <c r="R1022" s="217" t="s">
        <v>554</v>
      </c>
      <c r="S1022" s="218">
        <v>0.69999939299409164</v>
      </c>
      <c r="T1022" t="s">
        <v>550</v>
      </c>
      <c r="U1022" t="s">
        <v>51</v>
      </c>
      <c r="V1022" s="219" t="s">
        <v>6418</v>
      </c>
      <c r="W1022" s="219" t="s">
        <v>71</v>
      </c>
    </row>
    <row r="1023" spans="1:23" ht="15" customHeight="1" x14ac:dyDescent="0.25">
      <c r="A1023" t="s">
        <v>2650</v>
      </c>
      <c r="B1023" t="s">
        <v>546</v>
      </c>
      <c r="C1023">
        <v>200000</v>
      </c>
      <c r="D1023" t="s">
        <v>2651</v>
      </c>
      <c r="E1023" t="s">
        <v>553</v>
      </c>
      <c r="F1023" t="s">
        <v>548</v>
      </c>
      <c r="G1023" s="30">
        <v>46144</v>
      </c>
      <c r="H1023" t="s">
        <v>2652</v>
      </c>
      <c r="I1023">
        <v>8049954.6900000004</v>
      </c>
      <c r="J1023" s="123">
        <v>46144</v>
      </c>
      <c r="K1023" s="123">
        <v>0</v>
      </c>
      <c r="L1023" s="123">
        <v>46144</v>
      </c>
      <c r="M1023">
        <v>0</v>
      </c>
      <c r="N1023">
        <v>0</v>
      </c>
      <c r="O1023" t="s">
        <v>556</v>
      </c>
      <c r="P1023" s="216">
        <v>200000</v>
      </c>
      <c r="Q1023" s="217" t="s">
        <v>39</v>
      </c>
      <c r="R1023" s="217" t="s">
        <v>62</v>
      </c>
      <c r="S1023" s="218">
        <v>0.75529359692801556</v>
      </c>
      <c r="T1023" t="s">
        <v>550</v>
      </c>
      <c r="U1023" t="s">
        <v>51</v>
      </c>
      <c r="V1023" s="219">
        <v>0</v>
      </c>
      <c r="W1023" s="219">
        <v>0</v>
      </c>
    </row>
    <row r="1024" spans="1:23" ht="15" customHeight="1" x14ac:dyDescent="0.25">
      <c r="A1024" t="s">
        <v>2653</v>
      </c>
      <c r="B1024" t="s">
        <v>546</v>
      </c>
      <c r="C1024">
        <v>200000</v>
      </c>
      <c r="D1024" t="s">
        <v>2651</v>
      </c>
      <c r="E1024" t="s">
        <v>553</v>
      </c>
      <c r="F1024" t="s">
        <v>548</v>
      </c>
      <c r="G1024" s="30">
        <v>46144</v>
      </c>
      <c r="H1024" t="s">
        <v>2652</v>
      </c>
      <c r="I1024">
        <v>8049954.6900000004</v>
      </c>
      <c r="J1024" s="123">
        <v>46144</v>
      </c>
      <c r="K1024" s="123">
        <v>0</v>
      </c>
      <c r="L1024" s="123">
        <v>46144</v>
      </c>
      <c r="M1024">
        <v>0</v>
      </c>
      <c r="N1024">
        <v>0</v>
      </c>
      <c r="O1024" t="s">
        <v>556</v>
      </c>
      <c r="P1024" s="216">
        <v>200000</v>
      </c>
      <c r="Q1024" s="217" t="s">
        <v>39</v>
      </c>
      <c r="R1024" s="217" t="s">
        <v>62</v>
      </c>
      <c r="S1024" s="218">
        <v>0.75529359692801556</v>
      </c>
      <c r="T1024" t="s">
        <v>550</v>
      </c>
      <c r="U1024" t="s">
        <v>51</v>
      </c>
      <c r="V1024" s="219">
        <v>0</v>
      </c>
      <c r="W1024" s="219">
        <v>0</v>
      </c>
    </row>
    <row r="1025" spans="1:23" ht="15" customHeight="1" x14ac:dyDescent="0.25">
      <c r="A1025" t="s">
        <v>2654</v>
      </c>
      <c r="B1025" t="s">
        <v>546</v>
      </c>
      <c r="C1025">
        <v>200000</v>
      </c>
      <c r="D1025" t="s">
        <v>2651</v>
      </c>
      <c r="E1025" t="s">
        <v>553</v>
      </c>
      <c r="F1025" t="s">
        <v>548</v>
      </c>
      <c r="G1025" s="30">
        <v>46144</v>
      </c>
      <c r="H1025" t="s">
        <v>2652</v>
      </c>
      <c r="I1025">
        <v>8049954.6900000004</v>
      </c>
      <c r="J1025" s="123">
        <v>46144</v>
      </c>
      <c r="K1025" s="123">
        <v>0</v>
      </c>
      <c r="L1025" s="123">
        <v>46144</v>
      </c>
      <c r="M1025">
        <v>0</v>
      </c>
      <c r="N1025">
        <v>0</v>
      </c>
      <c r="O1025" t="s">
        <v>556</v>
      </c>
      <c r="P1025" s="216">
        <v>200000</v>
      </c>
      <c r="Q1025" s="217" t="s">
        <v>39</v>
      </c>
      <c r="R1025" s="217" t="s">
        <v>62</v>
      </c>
      <c r="S1025" s="218">
        <v>0.75529359692801556</v>
      </c>
      <c r="T1025" t="s">
        <v>550</v>
      </c>
      <c r="U1025" t="s">
        <v>51</v>
      </c>
      <c r="V1025" s="219">
        <v>0</v>
      </c>
      <c r="W1025" s="219">
        <v>0</v>
      </c>
    </row>
    <row r="1026" spans="1:23" ht="15" customHeight="1" x14ac:dyDescent="0.25">
      <c r="A1026" t="s">
        <v>2655</v>
      </c>
      <c r="B1026" t="s">
        <v>546</v>
      </c>
      <c r="C1026">
        <v>150000</v>
      </c>
      <c r="D1026" t="s">
        <v>2651</v>
      </c>
      <c r="E1026" t="s">
        <v>553</v>
      </c>
      <c r="F1026" t="s">
        <v>554</v>
      </c>
      <c r="G1026" s="30">
        <v>46144</v>
      </c>
      <c r="H1026" t="s">
        <v>2652</v>
      </c>
      <c r="I1026">
        <v>8049954.6900000004</v>
      </c>
      <c r="J1026" s="123">
        <v>46144</v>
      </c>
      <c r="K1026" s="123">
        <v>0</v>
      </c>
      <c r="L1026" s="123">
        <v>46144</v>
      </c>
      <c r="M1026">
        <v>0</v>
      </c>
      <c r="N1026">
        <v>0</v>
      </c>
      <c r="O1026" t="s">
        <v>556</v>
      </c>
      <c r="P1026" s="216">
        <v>150000</v>
      </c>
      <c r="Q1026" s="217" t="s">
        <v>39</v>
      </c>
      <c r="R1026" s="217" t="s">
        <v>554</v>
      </c>
      <c r="S1026" s="218">
        <v>0.75529359692801556</v>
      </c>
      <c r="T1026" t="s">
        <v>550</v>
      </c>
      <c r="U1026" t="s">
        <v>51</v>
      </c>
      <c r="V1026" s="219" t="s">
        <v>6419</v>
      </c>
      <c r="W1026" s="219" t="s">
        <v>67</v>
      </c>
    </row>
    <row r="1027" spans="1:23" ht="15" customHeight="1" x14ac:dyDescent="0.25">
      <c r="A1027" t="s">
        <v>2656</v>
      </c>
      <c r="B1027" t="s">
        <v>546</v>
      </c>
      <c r="C1027">
        <v>200000</v>
      </c>
      <c r="D1027" t="s">
        <v>2651</v>
      </c>
      <c r="E1027" t="s">
        <v>553</v>
      </c>
      <c r="F1027" t="s">
        <v>548</v>
      </c>
      <c r="G1027" s="30">
        <v>46144</v>
      </c>
      <c r="H1027" t="s">
        <v>2652</v>
      </c>
      <c r="I1027">
        <v>8049954.6900000004</v>
      </c>
      <c r="J1027" s="123">
        <v>46144</v>
      </c>
      <c r="K1027" s="123">
        <v>0</v>
      </c>
      <c r="L1027" s="123">
        <v>46144</v>
      </c>
      <c r="M1027">
        <v>0</v>
      </c>
      <c r="N1027">
        <v>0</v>
      </c>
      <c r="O1027" t="s">
        <v>556</v>
      </c>
      <c r="P1027" s="216">
        <v>200000</v>
      </c>
      <c r="Q1027" s="217" t="s">
        <v>39</v>
      </c>
      <c r="R1027" s="217" t="s">
        <v>62</v>
      </c>
      <c r="S1027" s="218">
        <v>0.75529359692801556</v>
      </c>
      <c r="T1027" t="s">
        <v>550</v>
      </c>
      <c r="U1027" t="s">
        <v>51</v>
      </c>
      <c r="V1027" s="219">
        <v>0</v>
      </c>
      <c r="W1027" s="219">
        <v>0</v>
      </c>
    </row>
    <row r="1028" spans="1:23" ht="15" customHeight="1" x14ac:dyDescent="0.25">
      <c r="A1028" t="s">
        <v>2657</v>
      </c>
      <c r="B1028" t="s">
        <v>546</v>
      </c>
      <c r="C1028">
        <v>50000</v>
      </c>
      <c r="D1028" t="s">
        <v>2651</v>
      </c>
      <c r="E1028" t="s">
        <v>553</v>
      </c>
      <c r="F1028" t="s">
        <v>554</v>
      </c>
      <c r="G1028" s="30">
        <v>46144</v>
      </c>
      <c r="H1028" t="s">
        <v>2652</v>
      </c>
      <c r="I1028">
        <v>8049954.6900000004</v>
      </c>
      <c r="J1028" s="123">
        <v>46144</v>
      </c>
      <c r="K1028" s="123">
        <v>0</v>
      </c>
      <c r="L1028" s="123">
        <v>46144</v>
      </c>
      <c r="M1028">
        <v>0</v>
      </c>
      <c r="N1028">
        <v>0</v>
      </c>
      <c r="O1028" t="s">
        <v>556</v>
      </c>
      <c r="P1028" s="216">
        <v>50000</v>
      </c>
      <c r="Q1028" s="217" t="s">
        <v>39</v>
      </c>
      <c r="R1028" s="217" t="s">
        <v>554</v>
      </c>
      <c r="S1028" s="218">
        <v>0.75529359692801556</v>
      </c>
      <c r="T1028" t="s">
        <v>550</v>
      </c>
      <c r="U1028" t="s">
        <v>51</v>
      </c>
      <c r="V1028" s="219" t="s">
        <v>6420</v>
      </c>
      <c r="W1028" s="219" t="s">
        <v>67</v>
      </c>
    </row>
    <row r="1029" spans="1:23" ht="15" customHeight="1" x14ac:dyDescent="0.25">
      <c r="A1029" t="s">
        <v>2658</v>
      </c>
      <c r="B1029" t="s">
        <v>546</v>
      </c>
      <c r="C1029">
        <v>200000</v>
      </c>
      <c r="D1029" t="s">
        <v>2651</v>
      </c>
      <c r="E1029" t="s">
        <v>553</v>
      </c>
      <c r="F1029" t="s">
        <v>554</v>
      </c>
      <c r="G1029" s="30">
        <v>46145</v>
      </c>
      <c r="H1029" t="s">
        <v>2652</v>
      </c>
      <c r="I1029">
        <v>8049954.6900000004</v>
      </c>
      <c r="J1029" s="123">
        <v>46145</v>
      </c>
      <c r="K1029" s="123">
        <v>0</v>
      </c>
      <c r="L1029" s="123">
        <v>46145</v>
      </c>
      <c r="M1029">
        <v>0</v>
      </c>
      <c r="N1029">
        <v>0</v>
      </c>
      <c r="O1029" t="s">
        <v>556</v>
      </c>
      <c r="P1029" s="216">
        <v>200000</v>
      </c>
      <c r="Q1029" s="217" t="s">
        <v>39</v>
      </c>
      <c r="R1029" s="217" t="s">
        <v>554</v>
      </c>
      <c r="S1029" s="218">
        <v>0.75529359692801556</v>
      </c>
      <c r="T1029" t="s">
        <v>550</v>
      </c>
      <c r="U1029" t="s">
        <v>51</v>
      </c>
      <c r="V1029" s="219" t="s">
        <v>6421</v>
      </c>
      <c r="W1029" s="219" t="s">
        <v>67</v>
      </c>
    </row>
    <row r="1030" spans="1:23" ht="15" customHeight="1" x14ac:dyDescent="0.25">
      <c r="A1030" t="s">
        <v>2659</v>
      </c>
      <c r="B1030" t="s">
        <v>595</v>
      </c>
      <c r="C1030">
        <v>183700</v>
      </c>
      <c r="D1030" t="s">
        <v>2660</v>
      </c>
      <c r="E1030" t="s">
        <v>151</v>
      </c>
      <c r="F1030" t="s">
        <v>554</v>
      </c>
      <c r="G1030" s="30">
        <v>46146</v>
      </c>
      <c r="H1030" t="s">
        <v>2661</v>
      </c>
      <c r="I1030">
        <v>7688925</v>
      </c>
      <c r="J1030" s="123">
        <v>0</v>
      </c>
      <c r="K1030" s="123">
        <v>0</v>
      </c>
      <c r="L1030" s="123">
        <v>46143</v>
      </c>
      <c r="M1030">
        <v>0</v>
      </c>
      <c r="N1030">
        <v>0</v>
      </c>
      <c r="O1030">
        <v>0</v>
      </c>
      <c r="P1030" s="216">
        <v>183700</v>
      </c>
      <c r="Q1030" s="217" t="s">
        <v>25</v>
      </c>
      <c r="R1030" s="217" t="s">
        <v>554</v>
      </c>
      <c r="S1030" s="218">
        <v>0.32697923338871598</v>
      </c>
      <c r="T1030" t="s">
        <v>550</v>
      </c>
      <c r="U1030" t="s">
        <v>51</v>
      </c>
      <c r="V1030" s="219" t="s">
        <v>6422</v>
      </c>
      <c r="W1030" s="219" t="s">
        <v>67</v>
      </c>
    </row>
    <row r="1031" spans="1:23" ht="15" customHeight="1" x14ac:dyDescent="0.25">
      <c r="A1031" t="s">
        <v>2662</v>
      </c>
      <c r="B1031" t="s">
        <v>546</v>
      </c>
      <c r="C1031">
        <v>20000</v>
      </c>
      <c r="D1031" t="s">
        <v>2663</v>
      </c>
      <c r="E1031" t="s">
        <v>553</v>
      </c>
      <c r="F1031" t="s">
        <v>554</v>
      </c>
      <c r="G1031" s="30">
        <v>46146</v>
      </c>
      <c r="H1031" t="s">
        <v>2664</v>
      </c>
      <c r="I1031">
        <v>7688925</v>
      </c>
      <c r="J1031" s="123">
        <v>46145</v>
      </c>
      <c r="K1031" s="123">
        <v>0</v>
      </c>
      <c r="L1031" s="123">
        <v>46145</v>
      </c>
      <c r="M1031">
        <v>0</v>
      </c>
      <c r="N1031">
        <v>0</v>
      </c>
      <c r="O1031" t="s">
        <v>556</v>
      </c>
      <c r="P1031" s="216">
        <v>20000</v>
      </c>
      <c r="Q1031" s="217" t="s">
        <v>25</v>
      </c>
      <c r="R1031" s="217" t="s">
        <v>554</v>
      </c>
      <c r="S1031" s="218">
        <v>0.36821499754517051</v>
      </c>
      <c r="T1031" t="s">
        <v>550</v>
      </c>
      <c r="U1031" t="s">
        <v>51</v>
      </c>
      <c r="V1031" s="219" t="s">
        <v>6423</v>
      </c>
      <c r="W1031" s="219" t="s">
        <v>67</v>
      </c>
    </row>
    <row r="1032" spans="1:23" ht="15" customHeight="1" x14ac:dyDescent="0.25">
      <c r="A1032" t="s">
        <v>2665</v>
      </c>
      <c r="B1032" t="s">
        <v>546</v>
      </c>
      <c r="C1032">
        <v>29000</v>
      </c>
      <c r="D1032" t="s">
        <v>2663</v>
      </c>
      <c r="E1032" t="s">
        <v>553</v>
      </c>
      <c r="F1032" t="s">
        <v>548</v>
      </c>
      <c r="G1032" s="30">
        <v>46147</v>
      </c>
      <c r="H1032" t="s">
        <v>2664</v>
      </c>
      <c r="I1032">
        <v>7688925</v>
      </c>
      <c r="J1032" s="123">
        <v>46147</v>
      </c>
      <c r="K1032" s="123">
        <v>0</v>
      </c>
      <c r="L1032" s="123">
        <v>46147</v>
      </c>
      <c r="M1032">
        <v>0</v>
      </c>
      <c r="N1032">
        <v>0</v>
      </c>
      <c r="O1032" t="s">
        <v>556</v>
      </c>
      <c r="P1032" s="216">
        <v>29000</v>
      </c>
      <c r="Q1032" s="217" t="s">
        <v>25</v>
      </c>
      <c r="R1032" s="217" t="s">
        <v>62</v>
      </c>
      <c r="S1032" s="218">
        <v>0.36821499754517051</v>
      </c>
      <c r="T1032" t="s">
        <v>550</v>
      </c>
      <c r="U1032" t="s">
        <v>51</v>
      </c>
      <c r="V1032" s="219">
        <v>0</v>
      </c>
      <c r="W1032" s="219">
        <v>0</v>
      </c>
    </row>
    <row r="1033" spans="1:23" ht="15" customHeight="1" x14ac:dyDescent="0.25">
      <c r="A1033" t="s">
        <v>2666</v>
      </c>
      <c r="B1033" t="s">
        <v>546</v>
      </c>
      <c r="C1033">
        <v>29000</v>
      </c>
      <c r="D1033" t="s">
        <v>2663</v>
      </c>
      <c r="E1033" t="s">
        <v>553</v>
      </c>
      <c r="F1033" t="s">
        <v>554</v>
      </c>
      <c r="G1033" s="30">
        <v>46147</v>
      </c>
      <c r="H1033" t="s">
        <v>2664</v>
      </c>
      <c r="I1033">
        <v>7688925</v>
      </c>
      <c r="J1033" s="123">
        <v>46147</v>
      </c>
      <c r="K1033" s="123">
        <v>0</v>
      </c>
      <c r="L1033" s="123">
        <v>46147</v>
      </c>
      <c r="M1033">
        <v>0</v>
      </c>
      <c r="N1033">
        <v>0</v>
      </c>
      <c r="O1033" t="s">
        <v>556</v>
      </c>
      <c r="P1033" s="216">
        <v>29000</v>
      </c>
      <c r="Q1033" s="217" t="s">
        <v>25</v>
      </c>
      <c r="R1033" s="217" t="s">
        <v>554</v>
      </c>
      <c r="S1033" s="218">
        <v>0.36821499754517051</v>
      </c>
      <c r="T1033" t="s">
        <v>550</v>
      </c>
      <c r="U1033" t="s">
        <v>51</v>
      </c>
      <c r="V1033" s="219" t="s">
        <v>6424</v>
      </c>
      <c r="W1033" s="219" t="s">
        <v>67</v>
      </c>
    </row>
    <row r="1034" spans="1:23" ht="15" customHeight="1" x14ac:dyDescent="0.25">
      <c r="A1034" t="s">
        <v>2667</v>
      </c>
      <c r="B1034" t="s">
        <v>546</v>
      </c>
      <c r="C1034">
        <v>169934</v>
      </c>
      <c r="D1034" t="s">
        <v>2668</v>
      </c>
      <c r="E1034" t="s">
        <v>553</v>
      </c>
      <c r="F1034" t="s">
        <v>548</v>
      </c>
      <c r="G1034" s="30">
        <v>46145</v>
      </c>
      <c r="H1034" t="s">
        <v>2669</v>
      </c>
      <c r="I1034">
        <v>1714856.7</v>
      </c>
      <c r="J1034" s="123">
        <v>46145</v>
      </c>
      <c r="K1034" s="123">
        <v>0</v>
      </c>
      <c r="L1034" s="123">
        <v>46145</v>
      </c>
      <c r="M1034">
        <v>0</v>
      </c>
      <c r="N1034">
        <v>0</v>
      </c>
      <c r="O1034" t="s">
        <v>556</v>
      </c>
      <c r="P1034" s="216">
        <v>169934</v>
      </c>
      <c r="Q1034" s="217" t="s">
        <v>22</v>
      </c>
      <c r="R1034" s="217" t="s">
        <v>62</v>
      </c>
      <c r="S1034" s="218">
        <v>0.50587025726406176</v>
      </c>
      <c r="T1034" t="s">
        <v>550</v>
      </c>
      <c r="U1034" t="s">
        <v>51</v>
      </c>
      <c r="V1034" s="219">
        <v>0</v>
      </c>
      <c r="W1034" s="219">
        <v>0</v>
      </c>
    </row>
    <row r="1035" spans="1:23" ht="15" customHeight="1" x14ac:dyDescent="0.25">
      <c r="A1035" t="s">
        <v>2670</v>
      </c>
      <c r="B1035" t="s">
        <v>546</v>
      </c>
      <c r="C1035">
        <v>169934</v>
      </c>
      <c r="D1035" t="s">
        <v>2668</v>
      </c>
      <c r="E1035" t="s">
        <v>553</v>
      </c>
      <c r="F1035" t="s">
        <v>548</v>
      </c>
      <c r="G1035" s="30">
        <v>46145</v>
      </c>
      <c r="H1035" t="s">
        <v>2669</v>
      </c>
      <c r="I1035">
        <v>1714856.7</v>
      </c>
      <c r="J1035" s="123">
        <v>46145</v>
      </c>
      <c r="K1035" s="123">
        <v>0</v>
      </c>
      <c r="L1035" s="123">
        <v>46145</v>
      </c>
      <c r="M1035">
        <v>0</v>
      </c>
      <c r="N1035">
        <v>0</v>
      </c>
      <c r="O1035" t="s">
        <v>556</v>
      </c>
      <c r="P1035" s="216">
        <v>169934</v>
      </c>
      <c r="Q1035" s="217" t="s">
        <v>22</v>
      </c>
      <c r="R1035" s="217" t="s">
        <v>62</v>
      </c>
      <c r="S1035" s="218">
        <v>0.50587025726406176</v>
      </c>
      <c r="T1035" t="s">
        <v>550</v>
      </c>
      <c r="U1035" t="s">
        <v>51</v>
      </c>
      <c r="V1035" s="219">
        <v>0</v>
      </c>
      <c r="W1035" s="219">
        <v>0</v>
      </c>
    </row>
    <row r="1036" spans="1:23" ht="15" customHeight="1" x14ac:dyDescent="0.25">
      <c r="A1036" t="s">
        <v>2671</v>
      </c>
      <c r="B1036" t="s">
        <v>546</v>
      </c>
      <c r="C1036">
        <v>180000</v>
      </c>
      <c r="D1036" t="s">
        <v>2668</v>
      </c>
      <c r="E1036" t="s">
        <v>553</v>
      </c>
      <c r="F1036" t="s">
        <v>554</v>
      </c>
      <c r="G1036" s="30">
        <v>46148</v>
      </c>
      <c r="H1036" t="s">
        <v>2669</v>
      </c>
      <c r="I1036">
        <v>1714856.7</v>
      </c>
      <c r="J1036" s="123">
        <v>46148</v>
      </c>
      <c r="K1036" s="123">
        <v>0</v>
      </c>
      <c r="L1036" s="123">
        <v>46148</v>
      </c>
      <c r="M1036">
        <v>0</v>
      </c>
      <c r="N1036">
        <v>0</v>
      </c>
      <c r="O1036" t="s">
        <v>556</v>
      </c>
      <c r="P1036" s="216">
        <v>180000</v>
      </c>
      <c r="Q1036" s="217" t="s">
        <v>22</v>
      </c>
      <c r="R1036" s="217" t="s">
        <v>554</v>
      </c>
      <c r="S1036" s="218">
        <v>0.50587025726406176</v>
      </c>
      <c r="T1036" t="s">
        <v>550</v>
      </c>
      <c r="U1036" t="s">
        <v>51</v>
      </c>
      <c r="V1036" s="219" t="s">
        <v>6425</v>
      </c>
      <c r="W1036" s="219" t="s">
        <v>67</v>
      </c>
    </row>
    <row r="1037" spans="1:23" ht="15" customHeight="1" x14ac:dyDescent="0.25">
      <c r="A1037" t="s">
        <v>2672</v>
      </c>
      <c r="B1037" t="s">
        <v>575</v>
      </c>
      <c r="C1037">
        <v>165476</v>
      </c>
      <c r="D1037" t="s">
        <v>2673</v>
      </c>
      <c r="E1037" t="s">
        <v>157</v>
      </c>
      <c r="F1037" t="s">
        <v>554</v>
      </c>
      <c r="G1037" s="30">
        <v>46148</v>
      </c>
      <c r="H1037" t="s">
        <v>2674</v>
      </c>
      <c r="I1037">
        <v>1654757.5</v>
      </c>
      <c r="J1037" s="123">
        <v>0</v>
      </c>
      <c r="K1037" s="123">
        <v>0</v>
      </c>
      <c r="L1037" s="123">
        <v>46147</v>
      </c>
      <c r="M1037">
        <v>0</v>
      </c>
      <c r="N1037">
        <v>0</v>
      </c>
      <c r="O1037">
        <v>0</v>
      </c>
      <c r="P1037" s="216">
        <v>165476</v>
      </c>
      <c r="Q1037" s="217" t="s">
        <v>14</v>
      </c>
      <c r="R1037" s="217" t="s">
        <v>554</v>
      </c>
      <c r="S1037" s="218">
        <v>0.50000661728380136</v>
      </c>
      <c r="T1037" t="s">
        <v>550</v>
      </c>
      <c r="U1037" t="s">
        <v>51</v>
      </c>
      <c r="V1037" s="219" t="s">
        <v>6426</v>
      </c>
      <c r="W1037" s="219" t="s">
        <v>67</v>
      </c>
    </row>
    <row r="1038" spans="1:23" ht="15" customHeight="1" x14ac:dyDescent="0.25">
      <c r="A1038" t="s">
        <v>2675</v>
      </c>
      <c r="B1038" t="s">
        <v>546</v>
      </c>
      <c r="C1038">
        <v>3513</v>
      </c>
      <c r="D1038" t="s">
        <v>2676</v>
      </c>
      <c r="E1038" t="s">
        <v>157</v>
      </c>
      <c r="F1038" t="s">
        <v>548</v>
      </c>
      <c r="G1038" s="30">
        <v>46146</v>
      </c>
      <c r="H1038" t="s">
        <v>2677</v>
      </c>
      <c r="I1038">
        <v>1706075.8</v>
      </c>
      <c r="J1038" s="123">
        <v>0</v>
      </c>
      <c r="K1038" s="123">
        <v>0</v>
      </c>
      <c r="L1038" s="123">
        <v>0</v>
      </c>
      <c r="M1038">
        <v>0</v>
      </c>
      <c r="N1038">
        <v>0</v>
      </c>
      <c r="O1038">
        <v>0</v>
      </c>
      <c r="P1038" s="216">
        <v>3513</v>
      </c>
      <c r="Q1038" s="217" t="s">
        <v>14</v>
      </c>
      <c r="R1038" s="217" t="s">
        <v>62</v>
      </c>
      <c r="S1038" s="218">
        <v>0.59986195806774822</v>
      </c>
      <c r="T1038" t="s">
        <v>550</v>
      </c>
      <c r="U1038" t="s">
        <v>51</v>
      </c>
      <c r="V1038" s="219">
        <v>0</v>
      </c>
      <c r="W1038" s="219">
        <v>0</v>
      </c>
    </row>
    <row r="1039" spans="1:23" ht="15" customHeight="1" x14ac:dyDescent="0.25">
      <c r="A1039" t="s">
        <v>2678</v>
      </c>
      <c r="B1039" t="s">
        <v>546</v>
      </c>
      <c r="C1039">
        <v>1696.82</v>
      </c>
      <c r="D1039" t="s">
        <v>2676</v>
      </c>
      <c r="E1039" t="s">
        <v>157</v>
      </c>
      <c r="F1039" t="s">
        <v>554</v>
      </c>
      <c r="G1039" s="30">
        <v>46147</v>
      </c>
      <c r="H1039" t="s">
        <v>2677</v>
      </c>
      <c r="I1039">
        <v>1706075.8</v>
      </c>
      <c r="J1039" s="123">
        <v>0</v>
      </c>
      <c r="K1039" s="123">
        <v>0</v>
      </c>
      <c r="L1039" s="123">
        <v>0</v>
      </c>
      <c r="M1039">
        <v>1696.82</v>
      </c>
      <c r="N1039">
        <v>0</v>
      </c>
      <c r="O1039">
        <v>0</v>
      </c>
      <c r="P1039" s="216">
        <v>0</v>
      </c>
      <c r="Q1039" s="217" t="s">
        <v>14</v>
      </c>
      <c r="R1039" s="217" t="s">
        <v>554</v>
      </c>
      <c r="S1039" s="218">
        <v>0.59986195806774822</v>
      </c>
      <c r="T1039" t="s">
        <v>550</v>
      </c>
      <c r="U1039" t="s">
        <v>51</v>
      </c>
      <c r="V1039" s="219" t="s">
        <v>6427</v>
      </c>
      <c r="W1039" s="219" t="s">
        <v>67</v>
      </c>
    </row>
    <row r="1040" spans="1:23" ht="15" customHeight="1" x14ac:dyDescent="0.25">
      <c r="A1040" t="s">
        <v>2679</v>
      </c>
      <c r="B1040" t="s">
        <v>546</v>
      </c>
      <c r="C1040">
        <v>3513</v>
      </c>
      <c r="D1040" t="s">
        <v>2676</v>
      </c>
      <c r="E1040" t="s">
        <v>157</v>
      </c>
      <c r="F1040" t="s">
        <v>548</v>
      </c>
      <c r="G1040" s="30">
        <v>46147</v>
      </c>
      <c r="H1040" t="s">
        <v>2677</v>
      </c>
      <c r="I1040">
        <v>1706075.8</v>
      </c>
      <c r="J1040" s="123">
        <v>0</v>
      </c>
      <c r="K1040" s="123">
        <v>0</v>
      </c>
      <c r="L1040" s="123">
        <v>0</v>
      </c>
      <c r="M1040">
        <v>3513</v>
      </c>
      <c r="N1040">
        <v>0</v>
      </c>
      <c r="O1040">
        <v>0</v>
      </c>
      <c r="P1040" s="216">
        <v>0</v>
      </c>
      <c r="Q1040" s="217" t="s">
        <v>14</v>
      </c>
      <c r="R1040" s="217" t="s">
        <v>62</v>
      </c>
      <c r="S1040" s="218">
        <v>0.59986195806774822</v>
      </c>
      <c r="T1040" t="s">
        <v>550</v>
      </c>
      <c r="U1040" t="s">
        <v>51</v>
      </c>
      <c r="V1040" s="219">
        <v>0</v>
      </c>
      <c r="W1040" s="219">
        <v>0</v>
      </c>
    </row>
    <row r="1041" spans="1:23" ht="15" customHeight="1" x14ac:dyDescent="0.25">
      <c r="A1041" t="s">
        <v>2680</v>
      </c>
      <c r="B1041" t="s">
        <v>64</v>
      </c>
      <c r="C1041">
        <v>177436</v>
      </c>
      <c r="D1041" t="s">
        <v>2681</v>
      </c>
      <c r="E1041" t="s">
        <v>157</v>
      </c>
      <c r="F1041" t="s">
        <v>554</v>
      </c>
      <c r="G1041" s="30">
        <v>46148</v>
      </c>
      <c r="H1041" t="s">
        <v>2682</v>
      </c>
      <c r="I1041">
        <v>1774362.5</v>
      </c>
      <c r="J1041" s="123">
        <v>0</v>
      </c>
      <c r="K1041" s="123">
        <v>46146</v>
      </c>
      <c r="L1041" s="123">
        <v>0</v>
      </c>
      <c r="M1041">
        <v>0</v>
      </c>
      <c r="N1041">
        <v>0</v>
      </c>
      <c r="O1041" t="s">
        <v>556</v>
      </c>
      <c r="P1041" s="216">
        <v>177436</v>
      </c>
      <c r="Q1041" s="217" t="s">
        <v>14</v>
      </c>
      <c r="R1041" s="217" t="s">
        <v>554</v>
      </c>
      <c r="S1041" s="218">
        <v>0.49999957731297862</v>
      </c>
      <c r="T1041" t="s">
        <v>550</v>
      </c>
      <c r="U1041" t="s">
        <v>51</v>
      </c>
      <c r="V1041" s="219" t="s">
        <v>6428</v>
      </c>
      <c r="W1041" s="219" t="s">
        <v>71</v>
      </c>
    </row>
    <row r="1042" spans="1:23" ht="15" customHeight="1" x14ac:dyDescent="0.25">
      <c r="A1042" t="s">
        <v>2683</v>
      </c>
      <c r="B1042" t="s">
        <v>595</v>
      </c>
      <c r="C1042">
        <v>46000</v>
      </c>
      <c r="D1042" t="s">
        <v>2684</v>
      </c>
      <c r="E1042" t="s">
        <v>283</v>
      </c>
      <c r="F1042" t="s">
        <v>580</v>
      </c>
      <c r="G1042" s="30">
        <v>46149</v>
      </c>
      <c r="H1042" t="s">
        <v>2685</v>
      </c>
      <c r="I1042">
        <v>1667207.5</v>
      </c>
      <c r="J1042" s="123">
        <v>0</v>
      </c>
      <c r="K1042" s="123">
        <v>0</v>
      </c>
      <c r="L1042" s="123">
        <v>46139</v>
      </c>
      <c r="M1042">
        <v>0</v>
      </c>
      <c r="N1042">
        <v>0</v>
      </c>
      <c r="O1042">
        <v>0</v>
      </c>
      <c r="P1042" s="216">
        <v>46000</v>
      </c>
      <c r="Q1042" s="217" t="s">
        <v>40</v>
      </c>
      <c r="R1042" s="217" t="s">
        <v>582</v>
      </c>
      <c r="S1042" s="218">
        <v>0.65983961804394475</v>
      </c>
      <c r="T1042" t="s">
        <v>550</v>
      </c>
      <c r="U1042" t="s">
        <v>51</v>
      </c>
      <c r="V1042" s="219">
        <v>0</v>
      </c>
      <c r="W1042" s="219">
        <v>0</v>
      </c>
    </row>
    <row r="1043" spans="1:23" ht="15" customHeight="1" x14ac:dyDescent="0.25">
      <c r="A1043" t="s">
        <v>2686</v>
      </c>
      <c r="B1043" t="s">
        <v>64</v>
      </c>
      <c r="C1043">
        <v>229359</v>
      </c>
      <c r="D1043" t="s">
        <v>2687</v>
      </c>
      <c r="E1043" t="s">
        <v>2688</v>
      </c>
      <c r="F1043" t="s">
        <v>683</v>
      </c>
      <c r="G1043" s="30">
        <v>46146</v>
      </c>
      <c r="H1043" t="s">
        <v>2689</v>
      </c>
      <c r="I1043">
        <v>2271548</v>
      </c>
      <c r="J1043" s="123">
        <v>0</v>
      </c>
      <c r="K1043" s="123">
        <v>46142</v>
      </c>
      <c r="L1043" s="123">
        <v>0</v>
      </c>
      <c r="M1043">
        <v>0</v>
      </c>
      <c r="N1043">
        <v>0</v>
      </c>
      <c r="O1043" t="s">
        <v>556</v>
      </c>
      <c r="P1043" s="216">
        <v>229359</v>
      </c>
      <c r="Q1043" s="217" t="s">
        <v>14</v>
      </c>
      <c r="R1043" s="217" t="s">
        <v>62</v>
      </c>
      <c r="S1043" s="218">
        <v>0.60346498511147462</v>
      </c>
      <c r="T1043" t="s">
        <v>550</v>
      </c>
      <c r="U1043" t="s">
        <v>51</v>
      </c>
      <c r="V1043" s="219">
        <v>0</v>
      </c>
      <c r="W1043" s="219">
        <v>0</v>
      </c>
    </row>
    <row r="1044" spans="1:23" ht="15" customHeight="1" x14ac:dyDescent="0.25">
      <c r="A1044" t="s">
        <v>2690</v>
      </c>
      <c r="B1044" t="s">
        <v>64</v>
      </c>
      <c r="C1044">
        <v>229359</v>
      </c>
      <c r="D1044" t="s">
        <v>2687</v>
      </c>
      <c r="E1044" t="s">
        <v>2688</v>
      </c>
      <c r="F1044" t="s">
        <v>554</v>
      </c>
      <c r="G1044" s="30">
        <v>46146</v>
      </c>
      <c r="H1044" t="s">
        <v>2689</v>
      </c>
      <c r="I1044">
        <v>2271548</v>
      </c>
      <c r="J1044" s="123">
        <v>0</v>
      </c>
      <c r="K1044" s="123">
        <v>46142</v>
      </c>
      <c r="L1044" s="123">
        <v>0</v>
      </c>
      <c r="M1044">
        <v>0</v>
      </c>
      <c r="N1044">
        <v>0</v>
      </c>
      <c r="O1044" t="s">
        <v>556</v>
      </c>
      <c r="P1044" s="216">
        <v>229359</v>
      </c>
      <c r="Q1044" s="217" t="s">
        <v>14</v>
      </c>
      <c r="R1044" s="217" t="s">
        <v>554</v>
      </c>
      <c r="S1044" s="218">
        <v>0.60346498511147462</v>
      </c>
      <c r="T1044" t="s">
        <v>550</v>
      </c>
      <c r="U1044" t="s">
        <v>51</v>
      </c>
      <c r="V1044" s="219" t="s">
        <v>6429</v>
      </c>
      <c r="W1044" s="219" t="s">
        <v>67</v>
      </c>
    </row>
    <row r="1045" spans="1:23" ht="15" customHeight="1" x14ac:dyDescent="0.25">
      <c r="A1045" t="s">
        <v>2691</v>
      </c>
      <c r="B1045" t="s">
        <v>575</v>
      </c>
      <c r="C1045">
        <v>44000</v>
      </c>
      <c r="D1045" t="s">
        <v>2692</v>
      </c>
      <c r="E1045" t="s">
        <v>157</v>
      </c>
      <c r="F1045" t="s">
        <v>554</v>
      </c>
      <c r="G1045" s="30">
        <v>46147</v>
      </c>
      <c r="H1045" t="s">
        <v>2693</v>
      </c>
      <c r="I1045">
        <v>2125560</v>
      </c>
      <c r="J1045" s="123">
        <v>0</v>
      </c>
      <c r="K1045" s="123">
        <v>0</v>
      </c>
      <c r="L1045" s="123">
        <v>46146</v>
      </c>
      <c r="M1045">
        <v>0</v>
      </c>
      <c r="N1045">
        <v>0</v>
      </c>
      <c r="O1045">
        <v>0</v>
      </c>
      <c r="P1045" s="216">
        <v>44000</v>
      </c>
      <c r="Q1045" s="217" t="s">
        <v>14</v>
      </c>
      <c r="R1045" s="217" t="s">
        <v>554</v>
      </c>
      <c r="S1045" s="218">
        <v>0.40035849376164401</v>
      </c>
      <c r="T1045" t="s">
        <v>550</v>
      </c>
      <c r="U1045" t="s">
        <v>51</v>
      </c>
      <c r="V1045" s="219" t="s">
        <v>6430</v>
      </c>
      <c r="W1045" s="219" t="s">
        <v>67</v>
      </c>
    </row>
    <row r="1046" spans="1:23" ht="15" customHeight="1" x14ac:dyDescent="0.25">
      <c r="A1046" t="s">
        <v>2694</v>
      </c>
      <c r="B1046" t="s">
        <v>575</v>
      </c>
      <c r="C1046">
        <v>150000</v>
      </c>
      <c r="D1046" t="s">
        <v>2695</v>
      </c>
      <c r="E1046" t="s">
        <v>157</v>
      </c>
      <c r="F1046" t="s">
        <v>554</v>
      </c>
      <c r="G1046" s="30">
        <v>46147</v>
      </c>
      <c r="H1046" t="s">
        <v>2696</v>
      </c>
      <c r="I1046">
        <v>2292120.7000000002</v>
      </c>
      <c r="J1046" s="123">
        <v>0</v>
      </c>
      <c r="K1046" s="123">
        <v>0</v>
      </c>
      <c r="L1046" s="123">
        <v>46147</v>
      </c>
      <c r="M1046">
        <v>0</v>
      </c>
      <c r="N1046">
        <v>0</v>
      </c>
      <c r="O1046">
        <v>0</v>
      </c>
      <c r="P1046" s="216">
        <v>150000</v>
      </c>
      <c r="Q1046" s="217" t="s">
        <v>14</v>
      </c>
      <c r="R1046" s="217" t="s">
        <v>554</v>
      </c>
      <c r="S1046" s="218">
        <v>0.56586905305641177</v>
      </c>
      <c r="T1046" t="s">
        <v>550</v>
      </c>
      <c r="U1046" t="s">
        <v>51</v>
      </c>
      <c r="V1046" s="219" t="s">
        <v>6431</v>
      </c>
      <c r="W1046" s="219" t="s">
        <v>67</v>
      </c>
    </row>
    <row r="1047" spans="1:23" ht="15" customHeight="1" x14ac:dyDescent="0.25">
      <c r="A1047" t="s">
        <v>2697</v>
      </c>
      <c r="B1047" t="s">
        <v>64</v>
      </c>
      <c r="C1047">
        <v>223348.86</v>
      </c>
      <c r="D1047" t="s">
        <v>2698</v>
      </c>
      <c r="E1047" t="s">
        <v>2699</v>
      </c>
      <c r="F1047" t="s">
        <v>554</v>
      </c>
      <c r="G1047" s="30">
        <v>46146</v>
      </c>
      <c r="H1047" t="s">
        <v>2700</v>
      </c>
      <c r="I1047">
        <v>2233488.6</v>
      </c>
      <c r="J1047" s="123">
        <v>0</v>
      </c>
      <c r="K1047" s="123">
        <v>46143</v>
      </c>
      <c r="L1047" s="123">
        <v>0</v>
      </c>
      <c r="M1047">
        <v>0</v>
      </c>
      <c r="N1047">
        <v>0</v>
      </c>
      <c r="O1047" t="s">
        <v>556</v>
      </c>
      <c r="P1047" s="216">
        <v>223348.86</v>
      </c>
      <c r="Q1047" s="217" t="s">
        <v>40</v>
      </c>
      <c r="R1047" s="217" t="s">
        <v>554</v>
      </c>
      <c r="S1047" s="218">
        <v>0.50000006268220931</v>
      </c>
      <c r="T1047" t="s">
        <v>550</v>
      </c>
      <c r="U1047" t="s">
        <v>51</v>
      </c>
      <c r="V1047" s="219" t="s">
        <v>6432</v>
      </c>
      <c r="W1047" s="219" t="s">
        <v>67</v>
      </c>
    </row>
    <row r="1048" spans="1:23" ht="15" customHeight="1" x14ac:dyDescent="0.25">
      <c r="A1048" t="s">
        <v>2701</v>
      </c>
      <c r="B1048" t="s">
        <v>575</v>
      </c>
      <c r="C1048">
        <v>92395</v>
      </c>
      <c r="D1048" t="s">
        <v>2702</v>
      </c>
      <c r="E1048" t="s">
        <v>157</v>
      </c>
      <c r="F1048" t="s">
        <v>585</v>
      </c>
      <c r="G1048" s="30">
        <v>46143</v>
      </c>
      <c r="H1048" t="s">
        <v>2703</v>
      </c>
      <c r="I1048">
        <v>2179573.5499999998</v>
      </c>
      <c r="J1048" s="123">
        <v>0</v>
      </c>
      <c r="K1048" s="123">
        <v>0</v>
      </c>
      <c r="L1048" s="123">
        <v>46142</v>
      </c>
      <c r="M1048">
        <v>0</v>
      </c>
      <c r="N1048">
        <v>0</v>
      </c>
      <c r="O1048">
        <v>0</v>
      </c>
      <c r="P1048" s="216">
        <v>92395</v>
      </c>
      <c r="Q1048" s="217" t="s">
        <v>14</v>
      </c>
      <c r="R1048" s="217" t="s">
        <v>61</v>
      </c>
      <c r="S1048" s="218">
        <v>0.43265232320331659</v>
      </c>
      <c r="T1048" t="s">
        <v>550</v>
      </c>
      <c r="U1048" t="s">
        <v>51</v>
      </c>
      <c r="V1048" s="219">
        <v>0</v>
      </c>
      <c r="W1048" s="219">
        <v>0</v>
      </c>
    </row>
    <row r="1049" spans="1:23" ht="15" customHeight="1" x14ac:dyDescent="0.25">
      <c r="A1049" t="s">
        <v>2704</v>
      </c>
      <c r="B1049" t="s">
        <v>575</v>
      </c>
      <c r="C1049">
        <v>65941</v>
      </c>
      <c r="D1049" t="s">
        <v>2702</v>
      </c>
      <c r="E1049" t="s">
        <v>157</v>
      </c>
      <c r="F1049" t="s">
        <v>585</v>
      </c>
      <c r="G1049" s="30">
        <v>46148</v>
      </c>
      <c r="H1049" t="s">
        <v>2703</v>
      </c>
      <c r="I1049">
        <v>2179573.5499999998</v>
      </c>
      <c r="J1049" s="123">
        <v>0</v>
      </c>
      <c r="K1049" s="123">
        <v>0</v>
      </c>
      <c r="L1049" s="123">
        <v>46146</v>
      </c>
      <c r="M1049">
        <v>0</v>
      </c>
      <c r="N1049">
        <v>0</v>
      </c>
      <c r="O1049">
        <v>0</v>
      </c>
      <c r="P1049" s="216">
        <v>65941</v>
      </c>
      <c r="Q1049" s="217" t="s">
        <v>14</v>
      </c>
      <c r="R1049" s="217" t="s">
        <v>61</v>
      </c>
      <c r="S1049" s="218">
        <v>0.43265232320331659</v>
      </c>
      <c r="T1049" t="s">
        <v>550</v>
      </c>
      <c r="U1049" t="s">
        <v>51</v>
      </c>
      <c r="V1049" s="219">
        <v>0</v>
      </c>
      <c r="W1049" s="219">
        <v>0</v>
      </c>
    </row>
    <row r="1050" spans="1:23" ht="15" customHeight="1" x14ac:dyDescent="0.25">
      <c r="A1050" t="s">
        <v>2705</v>
      </c>
      <c r="B1050" t="s">
        <v>575</v>
      </c>
      <c r="C1050">
        <v>92395</v>
      </c>
      <c r="D1050" t="s">
        <v>2702</v>
      </c>
      <c r="E1050" t="s">
        <v>157</v>
      </c>
      <c r="F1050" t="s">
        <v>585</v>
      </c>
      <c r="G1050" s="30">
        <v>46148</v>
      </c>
      <c r="H1050" t="s">
        <v>2703</v>
      </c>
      <c r="I1050">
        <v>2179573.5499999998</v>
      </c>
      <c r="J1050" s="123">
        <v>0</v>
      </c>
      <c r="K1050" s="123">
        <v>0</v>
      </c>
      <c r="L1050" s="123">
        <v>46142</v>
      </c>
      <c r="M1050">
        <v>0</v>
      </c>
      <c r="N1050">
        <v>0</v>
      </c>
      <c r="O1050">
        <v>0</v>
      </c>
      <c r="P1050" s="216">
        <v>92395</v>
      </c>
      <c r="Q1050" s="217" t="s">
        <v>14</v>
      </c>
      <c r="R1050" s="217" t="s">
        <v>61</v>
      </c>
      <c r="S1050" s="218">
        <v>0.43265232320331659</v>
      </c>
      <c r="T1050" t="s">
        <v>550</v>
      </c>
      <c r="U1050" t="s">
        <v>51</v>
      </c>
      <c r="V1050" s="219">
        <v>0</v>
      </c>
      <c r="W1050" s="219">
        <v>0</v>
      </c>
    </row>
    <row r="1051" spans="1:23" ht="15" customHeight="1" x14ac:dyDescent="0.25">
      <c r="A1051" t="s">
        <v>2706</v>
      </c>
      <c r="B1051" t="s">
        <v>603</v>
      </c>
      <c r="C1051">
        <v>60000</v>
      </c>
      <c r="D1051" t="s">
        <v>2702</v>
      </c>
      <c r="E1051" t="s">
        <v>605</v>
      </c>
      <c r="F1051" t="s">
        <v>554</v>
      </c>
      <c r="G1051" s="30">
        <v>46148</v>
      </c>
      <c r="H1051" t="s">
        <v>2703</v>
      </c>
      <c r="I1051">
        <v>2179573.5499999998</v>
      </c>
      <c r="J1051" s="123">
        <v>46148</v>
      </c>
      <c r="K1051" s="123">
        <v>0</v>
      </c>
      <c r="L1051" s="123">
        <v>0</v>
      </c>
      <c r="M1051">
        <v>0</v>
      </c>
      <c r="N1051">
        <v>0</v>
      </c>
      <c r="O1051">
        <v>0</v>
      </c>
      <c r="P1051" s="216">
        <v>60000</v>
      </c>
      <c r="Q1051" s="217" t="s">
        <v>14</v>
      </c>
      <c r="R1051" s="217" t="s">
        <v>554</v>
      </c>
      <c r="S1051" s="218">
        <v>0.43265232320331659</v>
      </c>
      <c r="T1051" t="s">
        <v>550</v>
      </c>
      <c r="U1051" t="s">
        <v>51</v>
      </c>
      <c r="V1051" s="219" t="s">
        <v>6433</v>
      </c>
      <c r="W1051" s="219" t="s">
        <v>67</v>
      </c>
    </row>
    <row r="1052" spans="1:23" ht="15" customHeight="1" x14ac:dyDescent="0.25">
      <c r="A1052" t="s">
        <v>2707</v>
      </c>
      <c r="B1052" t="s">
        <v>546</v>
      </c>
      <c r="C1052">
        <v>10000</v>
      </c>
      <c r="D1052" t="s">
        <v>2708</v>
      </c>
      <c r="E1052" t="s">
        <v>553</v>
      </c>
      <c r="F1052" t="s">
        <v>554</v>
      </c>
      <c r="G1052" s="30">
        <v>46144</v>
      </c>
      <c r="H1052" t="s">
        <v>2709</v>
      </c>
      <c r="I1052">
        <v>1722704.4</v>
      </c>
      <c r="J1052" s="123">
        <v>46144</v>
      </c>
      <c r="K1052" s="123">
        <v>0</v>
      </c>
      <c r="L1052" s="123">
        <v>46144</v>
      </c>
      <c r="M1052">
        <v>0</v>
      </c>
      <c r="N1052">
        <v>0</v>
      </c>
      <c r="O1052" t="s">
        <v>556</v>
      </c>
      <c r="P1052" s="216">
        <v>10000</v>
      </c>
      <c r="Q1052" s="217" t="s">
        <v>14</v>
      </c>
      <c r="R1052" s="217" t="s">
        <v>554</v>
      </c>
      <c r="S1052" s="218">
        <v>0.44352462326096109</v>
      </c>
      <c r="T1052" t="s">
        <v>550</v>
      </c>
      <c r="U1052" t="s">
        <v>51</v>
      </c>
      <c r="V1052" s="219" t="s">
        <v>6434</v>
      </c>
      <c r="W1052" s="219" t="s">
        <v>67</v>
      </c>
    </row>
    <row r="1053" spans="1:23" ht="15" customHeight="1" x14ac:dyDescent="0.25">
      <c r="A1053" t="s">
        <v>2710</v>
      </c>
      <c r="B1053" t="s">
        <v>546</v>
      </c>
      <c r="C1053">
        <v>10000</v>
      </c>
      <c r="D1053" t="s">
        <v>2708</v>
      </c>
      <c r="E1053" t="s">
        <v>553</v>
      </c>
      <c r="F1053" t="s">
        <v>548</v>
      </c>
      <c r="G1053" s="30">
        <v>46144</v>
      </c>
      <c r="H1053" t="s">
        <v>2709</v>
      </c>
      <c r="I1053">
        <v>1722704.4</v>
      </c>
      <c r="J1053" s="123">
        <v>46144</v>
      </c>
      <c r="K1053" s="123">
        <v>0</v>
      </c>
      <c r="L1053" s="123">
        <v>46144</v>
      </c>
      <c r="M1053">
        <v>0</v>
      </c>
      <c r="N1053">
        <v>0</v>
      </c>
      <c r="O1053" t="s">
        <v>556</v>
      </c>
      <c r="P1053" s="216">
        <v>10000</v>
      </c>
      <c r="Q1053" s="217" t="s">
        <v>14</v>
      </c>
      <c r="R1053" s="217" t="s">
        <v>62</v>
      </c>
      <c r="S1053" s="218">
        <v>0.44352462326096109</v>
      </c>
      <c r="T1053" t="s">
        <v>550</v>
      </c>
      <c r="U1053" t="s">
        <v>51</v>
      </c>
      <c r="V1053" s="219">
        <v>0</v>
      </c>
      <c r="W1053" s="219">
        <v>0</v>
      </c>
    </row>
    <row r="1054" spans="1:23" ht="15" customHeight="1" x14ac:dyDescent="0.25">
      <c r="A1054" t="s">
        <v>2711</v>
      </c>
      <c r="B1054" t="s">
        <v>546</v>
      </c>
      <c r="C1054">
        <v>188289.5</v>
      </c>
      <c r="D1054" t="s">
        <v>2712</v>
      </c>
      <c r="E1054" t="s">
        <v>553</v>
      </c>
      <c r="F1054" t="s">
        <v>548</v>
      </c>
      <c r="G1054" s="30">
        <v>46145</v>
      </c>
      <c r="H1054" t="s">
        <v>2713</v>
      </c>
      <c r="I1054">
        <v>1882925.05</v>
      </c>
      <c r="J1054" s="123">
        <v>46145</v>
      </c>
      <c r="K1054" s="123">
        <v>0</v>
      </c>
      <c r="L1054" s="123">
        <v>46145</v>
      </c>
      <c r="M1054">
        <v>0</v>
      </c>
      <c r="N1054">
        <v>0</v>
      </c>
      <c r="O1054" t="s">
        <v>556</v>
      </c>
      <c r="P1054" s="216">
        <v>188289.5</v>
      </c>
      <c r="Q1054" s="217" t="s">
        <v>14</v>
      </c>
      <c r="R1054" s="217" t="s">
        <v>62</v>
      </c>
      <c r="S1054" s="218">
        <v>0.40000078601110545</v>
      </c>
      <c r="T1054" t="s">
        <v>550</v>
      </c>
      <c r="U1054" t="s">
        <v>51</v>
      </c>
      <c r="V1054" s="219">
        <v>0</v>
      </c>
      <c r="W1054" s="219">
        <v>0</v>
      </c>
    </row>
    <row r="1055" spans="1:23" ht="15" customHeight="1" x14ac:dyDescent="0.25">
      <c r="A1055" t="s">
        <v>2714</v>
      </c>
      <c r="B1055" t="s">
        <v>546</v>
      </c>
      <c r="C1055">
        <v>188289.5</v>
      </c>
      <c r="D1055" t="s">
        <v>2712</v>
      </c>
      <c r="E1055" t="s">
        <v>553</v>
      </c>
      <c r="F1055" t="s">
        <v>548</v>
      </c>
      <c r="G1055" s="30">
        <v>46145</v>
      </c>
      <c r="H1055" t="s">
        <v>2713</v>
      </c>
      <c r="I1055">
        <v>1882925.05</v>
      </c>
      <c r="J1055" s="123">
        <v>46145</v>
      </c>
      <c r="K1055" s="123">
        <v>0</v>
      </c>
      <c r="L1055" s="123">
        <v>46145</v>
      </c>
      <c r="M1055">
        <v>0</v>
      </c>
      <c r="N1055">
        <v>0</v>
      </c>
      <c r="O1055" t="s">
        <v>556</v>
      </c>
      <c r="P1055" s="216">
        <v>188289.5</v>
      </c>
      <c r="Q1055" s="217" t="s">
        <v>14</v>
      </c>
      <c r="R1055" s="217" t="s">
        <v>62</v>
      </c>
      <c r="S1055" s="218">
        <v>0.40000078601110545</v>
      </c>
      <c r="T1055" t="s">
        <v>550</v>
      </c>
      <c r="U1055" t="s">
        <v>51</v>
      </c>
      <c r="V1055" s="219">
        <v>0</v>
      </c>
      <c r="W1055" s="219">
        <v>0</v>
      </c>
    </row>
    <row r="1056" spans="1:23" ht="15" customHeight="1" x14ac:dyDescent="0.25">
      <c r="A1056" t="s">
        <v>2715</v>
      </c>
      <c r="B1056" t="s">
        <v>575</v>
      </c>
      <c r="C1056">
        <v>188293</v>
      </c>
      <c r="D1056" t="s">
        <v>2712</v>
      </c>
      <c r="E1056" t="s">
        <v>157</v>
      </c>
      <c r="F1056" t="s">
        <v>554</v>
      </c>
      <c r="G1056" s="30">
        <v>46147</v>
      </c>
      <c r="H1056" t="s">
        <v>2713</v>
      </c>
      <c r="I1056">
        <v>1882925.05</v>
      </c>
      <c r="J1056" s="123">
        <v>0</v>
      </c>
      <c r="K1056" s="123">
        <v>0</v>
      </c>
      <c r="L1056" s="123">
        <v>46146</v>
      </c>
      <c r="M1056">
        <v>0</v>
      </c>
      <c r="N1056">
        <v>0</v>
      </c>
      <c r="O1056">
        <v>0</v>
      </c>
      <c r="P1056" s="216">
        <v>188293</v>
      </c>
      <c r="Q1056" s="217" t="s">
        <v>14</v>
      </c>
      <c r="R1056" s="217" t="s">
        <v>554</v>
      </c>
      <c r="S1056" s="218">
        <v>0.40000078601110545</v>
      </c>
      <c r="T1056" t="s">
        <v>550</v>
      </c>
      <c r="U1056" t="s">
        <v>51</v>
      </c>
      <c r="V1056" s="219" t="s">
        <v>6435</v>
      </c>
      <c r="W1056" s="219" t="s">
        <v>67</v>
      </c>
    </row>
    <row r="1057" spans="1:23" ht="15" customHeight="1" x14ac:dyDescent="0.25">
      <c r="A1057" t="s">
        <v>2716</v>
      </c>
      <c r="B1057" t="s">
        <v>575</v>
      </c>
      <c r="C1057">
        <v>224736</v>
      </c>
      <c r="D1057" t="s">
        <v>2717</v>
      </c>
      <c r="E1057" t="s">
        <v>157</v>
      </c>
      <c r="F1057" t="s">
        <v>554</v>
      </c>
      <c r="G1057" s="30">
        <v>46148</v>
      </c>
      <c r="H1057" t="s">
        <v>2718</v>
      </c>
      <c r="I1057">
        <v>2247361.2000000002</v>
      </c>
      <c r="J1057" s="123">
        <v>0</v>
      </c>
      <c r="K1057" s="123">
        <v>0</v>
      </c>
      <c r="L1057" s="123">
        <v>46146</v>
      </c>
      <c r="M1057">
        <v>0</v>
      </c>
      <c r="N1057">
        <v>0</v>
      </c>
      <c r="O1057">
        <v>0</v>
      </c>
      <c r="P1057" s="216">
        <v>224736</v>
      </c>
      <c r="Q1057" s="217" t="s">
        <v>14</v>
      </c>
      <c r="R1057" s="217" t="s">
        <v>554</v>
      </c>
      <c r="S1057" s="218">
        <v>0.56241292676940402</v>
      </c>
      <c r="T1057" t="s">
        <v>550</v>
      </c>
      <c r="U1057" t="s">
        <v>51</v>
      </c>
      <c r="V1057" s="219" t="s">
        <v>6436</v>
      </c>
      <c r="W1057" s="219" t="s">
        <v>67</v>
      </c>
    </row>
    <row r="1058" spans="1:23" ht="15" customHeight="1" x14ac:dyDescent="0.25">
      <c r="A1058" t="s">
        <v>2719</v>
      </c>
      <c r="B1058" t="s">
        <v>575</v>
      </c>
      <c r="C1058">
        <v>258063</v>
      </c>
      <c r="D1058" t="s">
        <v>2720</v>
      </c>
      <c r="E1058" t="s">
        <v>157</v>
      </c>
      <c r="F1058" t="s">
        <v>554</v>
      </c>
      <c r="G1058" s="30">
        <v>46148</v>
      </c>
      <c r="H1058" t="s">
        <v>2721</v>
      </c>
      <c r="I1058">
        <v>2580629</v>
      </c>
      <c r="J1058" s="123">
        <v>0</v>
      </c>
      <c r="K1058" s="123">
        <v>0</v>
      </c>
      <c r="L1058" s="123">
        <v>46147</v>
      </c>
      <c r="M1058">
        <v>0</v>
      </c>
      <c r="N1058">
        <v>0</v>
      </c>
      <c r="O1058">
        <v>0</v>
      </c>
      <c r="P1058" s="216">
        <v>258063</v>
      </c>
      <c r="Q1058" s="217" t="s">
        <v>14</v>
      </c>
      <c r="R1058" s="217" t="s">
        <v>554</v>
      </c>
      <c r="S1058" s="218">
        <v>0.50000036812730542</v>
      </c>
      <c r="T1058" t="s">
        <v>550</v>
      </c>
      <c r="U1058" t="s">
        <v>51</v>
      </c>
      <c r="V1058" s="219" t="s">
        <v>6437</v>
      </c>
      <c r="W1058" s="219" t="s">
        <v>67</v>
      </c>
    </row>
    <row r="1059" spans="1:23" ht="15" customHeight="1" x14ac:dyDescent="0.25">
      <c r="A1059" t="s">
        <v>2722</v>
      </c>
      <c r="B1059" t="s">
        <v>595</v>
      </c>
      <c r="C1059">
        <v>68000</v>
      </c>
      <c r="D1059" t="s">
        <v>2723</v>
      </c>
      <c r="E1059" t="s">
        <v>157</v>
      </c>
      <c r="F1059" t="s">
        <v>683</v>
      </c>
      <c r="G1059" s="30">
        <v>46146</v>
      </c>
      <c r="H1059" t="s">
        <v>2724</v>
      </c>
      <c r="I1059">
        <v>1577392.85</v>
      </c>
      <c r="J1059" s="123">
        <v>0</v>
      </c>
      <c r="K1059" s="123">
        <v>0</v>
      </c>
      <c r="L1059" s="123">
        <v>46142</v>
      </c>
      <c r="M1059">
        <v>0</v>
      </c>
      <c r="N1059">
        <v>0</v>
      </c>
      <c r="O1059">
        <v>0</v>
      </c>
      <c r="P1059" s="216">
        <v>68000</v>
      </c>
      <c r="Q1059" s="217" t="s">
        <v>14</v>
      </c>
      <c r="R1059" s="217" t="s">
        <v>62</v>
      </c>
      <c r="S1059" s="218">
        <v>0.6000502918470817</v>
      </c>
      <c r="T1059" t="s">
        <v>550</v>
      </c>
      <c r="U1059" t="s">
        <v>51</v>
      </c>
      <c r="V1059" s="219">
        <v>0</v>
      </c>
      <c r="W1059" s="219">
        <v>0</v>
      </c>
    </row>
    <row r="1060" spans="1:23" ht="15" customHeight="1" x14ac:dyDescent="0.25">
      <c r="A1060" t="s">
        <v>2725</v>
      </c>
      <c r="B1060" t="s">
        <v>603</v>
      </c>
      <c r="C1060">
        <v>229500</v>
      </c>
      <c r="D1060" t="s">
        <v>2726</v>
      </c>
      <c r="E1060" t="s">
        <v>605</v>
      </c>
      <c r="F1060" t="s">
        <v>554</v>
      </c>
      <c r="G1060" s="30">
        <v>46146</v>
      </c>
      <c r="H1060" t="s">
        <v>2727</v>
      </c>
      <c r="I1060">
        <v>2288979</v>
      </c>
      <c r="J1060" s="123">
        <v>46147</v>
      </c>
      <c r="K1060" s="123">
        <v>0</v>
      </c>
      <c r="L1060" s="123">
        <v>0</v>
      </c>
      <c r="M1060">
        <v>0</v>
      </c>
      <c r="N1060">
        <v>0</v>
      </c>
      <c r="O1060">
        <v>0</v>
      </c>
      <c r="P1060" s="216">
        <v>229500</v>
      </c>
      <c r="Q1060" s="217" t="s">
        <v>19</v>
      </c>
      <c r="R1060" s="217" t="s">
        <v>554</v>
      </c>
      <c r="S1060" s="218">
        <v>0.50000058541384618</v>
      </c>
      <c r="T1060" t="s">
        <v>550</v>
      </c>
      <c r="U1060" t="s">
        <v>51</v>
      </c>
      <c r="V1060" s="219" t="s">
        <v>6438</v>
      </c>
      <c r="W1060" s="219" t="s">
        <v>67</v>
      </c>
    </row>
    <row r="1061" spans="1:23" ht="15" customHeight="1" x14ac:dyDescent="0.25">
      <c r="A1061" t="s">
        <v>2728</v>
      </c>
      <c r="B1061" t="s">
        <v>575</v>
      </c>
      <c r="C1061">
        <v>264625</v>
      </c>
      <c r="D1061" t="s">
        <v>2729</v>
      </c>
      <c r="E1061" t="s">
        <v>157</v>
      </c>
      <c r="F1061" t="s">
        <v>585</v>
      </c>
      <c r="G1061" s="30">
        <v>46146</v>
      </c>
      <c r="H1061" t="s">
        <v>2730</v>
      </c>
      <c r="I1061">
        <v>2646517.4</v>
      </c>
      <c r="J1061" s="123">
        <v>0</v>
      </c>
      <c r="K1061" s="123">
        <v>0</v>
      </c>
      <c r="L1061" s="123">
        <v>46143</v>
      </c>
      <c r="M1061">
        <v>0</v>
      </c>
      <c r="N1061">
        <v>0</v>
      </c>
      <c r="O1061">
        <v>0</v>
      </c>
      <c r="P1061" s="216">
        <v>264625</v>
      </c>
      <c r="Q1061" s="217" t="s">
        <v>14</v>
      </c>
      <c r="R1061" s="217" t="s">
        <v>61</v>
      </c>
      <c r="S1061" s="218">
        <v>0.39986360943631055</v>
      </c>
      <c r="T1061" t="s">
        <v>550</v>
      </c>
      <c r="U1061" t="s">
        <v>51</v>
      </c>
      <c r="V1061" s="219">
        <v>0</v>
      </c>
      <c r="W1061" s="219">
        <v>0</v>
      </c>
    </row>
    <row r="1062" spans="1:23" ht="15" customHeight="1" x14ac:dyDescent="0.25">
      <c r="A1062" t="s">
        <v>2731</v>
      </c>
      <c r="B1062" t="s">
        <v>575</v>
      </c>
      <c r="C1062">
        <v>164350</v>
      </c>
      <c r="D1062" t="s">
        <v>2732</v>
      </c>
      <c r="E1062" t="s">
        <v>218</v>
      </c>
      <c r="F1062" t="s">
        <v>580</v>
      </c>
      <c r="G1062" s="30">
        <v>46149</v>
      </c>
      <c r="H1062" t="s">
        <v>2733</v>
      </c>
      <c r="I1062">
        <v>1643499.6</v>
      </c>
      <c r="J1062" s="123">
        <v>0</v>
      </c>
      <c r="K1062" s="123">
        <v>0</v>
      </c>
      <c r="L1062" s="123">
        <v>46143</v>
      </c>
      <c r="M1062">
        <v>0</v>
      </c>
      <c r="N1062">
        <v>0</v>
      </c>
      <c r="O1062">
        <v>0</v>
      </c>
      <c r="P1062" s="216">
        <v>164350</v>
      </c>
      <c r="Q1062" s="217" t="s">
        <v>13</v>
      </c>
      <c r="R1062" s="217" t="s">
        <v>582</v>
      </c>
      <c r="S1062" s="218">
        <v>0.39356749463157764</v>
      </c>
      <c r="T1062" t="s">
        <v>550</v>
      </c>
      <c r="U1062" t="s">
        <v>51</v>
      </c>
      <c r="V1062" s="219">
        <v>0</v>
      </c>
      <c r="W1062" s="219">
        <v>0</v>
      </c>
    </row>
    <row r="1063" spans="1:23" ht="15" customHeight="1" x14ac:dyDescent="0.25">
      <c r="A1063" t="s">
        <v>2734</v>
      </c>
      <c r="B1063" t="s">
        <v>595</v>
      </c>
      <c r="C1063">
        <v>238000</v>
      </c>
      <c r="D1063" t="s">
        <v>2735</v>
      </c>
      <c r="E1063" t="s">
        <v>223</v>
      </c>
      <c r="F1063" t="s">
        <v>554</v>
      </c>
      <c r="G1063" s="30">
        <v>46146</v>
      </c>
      <c r="H1063" t="s">
        <v>2736</v>
      </c>
      <c r="I1063">
        <v>2379668.5</v>
      </c>
      <c r="J1063" s="123">
        <v>0</v>
      </c>
      <c r="K1063" s="123">
        <v>0</v>
      </c>
      <c r="L1063" s="123">
        <v>46146</v>
      </c>
      <c r="M1063">
        <v>0</v>
      </c>
      <c r="N1063">
        <v>0</v>
      </c>
      <c r="O1063">
        <v>0</v>
      </c>
      <c r="P1063" s="216">
        <v>238000</v>
      </c>
      <c r="Q1063" s="217" t="s">
        <v>31</v>
      </c>
      <c r="R1063" s="217" t="s">
        <v>554</v>
      </c>
      <c r="S1063" s="218">
        <v>0.50023767175974299</v>
      </c>
      <c r="T1063" t="s">
        <v>550</v>
      </c>
      <c r="U1063" t="s">
        <v>51</v>
      </c>
      <c r="V1063" s="219" t="s">
        <v>6439</v>
      </c>
      <c r="W1063" s="219" t="s">
        <v>67</v>
      </c>
    </row>
    <row r="1064" spans="1:23" ht="15" customHeight="1" x14ac:dyDescent="0.25">
      <c r="A1064" t="s">
        <v>2737</v>
      </c>
      <c r="B1064" t="s">
        <v>64</v>
      </c>
      <c r="C1064">
        <v>165476</v>
      </c>
      <c r="D1064" t="s">
        <v>2738</v>
      </c>
      <c r="E1064" t="s">
        <v>157</v>
      </c>
      <c r="F1064" t="s">
        <v>554</v>
      </c>
      <c r="G1064" s="30">
        <v>46149</v>
      </c>
      <c r="H1064" t="s">
        <v>2739</v>
      </c>
      <c r="I1064">
        <v>1654757.5</v>
      </c>
      <c r="J1064" s="123">
        <v>0</v>
      </c>
      <c r="K1064" s="123">
        <v>46143</v>
      </c>
      <c r="L1064" s="123">
        <v>0</v>
      </c>
      <c r="M1064">
        <v>0</v>
      </c>
      <c r="N1064">
        <v>0</v>
      </c>
      <c r="O1064" t="s">
        <v>556</v>
      </c>
      <c r="P1064" s="216">
        <v>165476</v>
      </c>
      <c r="Q1064" s="217" t="s">
        <v>14</v>
      </c>
      <c r="R1064" s="217" t="s">
        <v>554</v>
      </c>
      <c r="S1064" s="218">
        <v>0.40000362590893229</v>
      </c>
      <c r="T1064" t="s">
        <v>550</v>
      </c>
      <c r="U1064" t="s">
        <v>51</v>
      </c>
      <c r="V1064" s="219" t="s">
        <v>6440</v>
      </c>
      <c r="W1064" s="219" t="s">
        <v>71</v>
      </c>
    </row>
    <row r="1065" spans="1:23" ht="15" customHeight="1" x14ac:dyDescent="0.25">
      <c r="A1065" t="s">
        <v>2740</v>
      </c>
      <c r="B1065" t="s">
        <v>64</v>
      </c>
      <c r="C1065">
        <v>176332</v>
      </c>
      <c r="D1065" t="s">
        <v>2741</v>
      </c>
      <c r="E1065" t="s">
        <v>157</v>
      </c>
      <c r="F1065" t="s">
        <v>554</v>
      </c>
      <c r="G1065" s="30">
        <v>46148</v>
      </c>
      <c r="H1065" t="s">
        <v>2742</v>
      </c>
      <c r="I1065">
        <v>1763318.75</v>
      </c>
      <c r="J1065" s="123">
        <v>0</v>
      </c>
      <c r="K1065" s="123">
        <v>46146</v>
      </c>
      <c r="L1065" s="123">
        <v>0</v>
      </c>
      <c r="M1065">
        <v>0</v>
      </c>
      <c r="N1065">
        <v>0</v>
      </c>
      <c r="O1065" t="s">
        <v>556</v>
      </c>
      <c r="P1065" s="216">
        <v>176332</v>
      </c>
      <c r="Q1065" s="217" t="s">
        <v>14</v>
      </c>
      <c r="R1065" s="217" t="s">
        <v>554</v>
      </c>
      <c r="S1065" s="218">
        <v>0.49999992911094493</v>
      </c>
      <c r="T1065" t="s">
        <v>550</v>
      </c>
      <c r="U1065" t="s">
        <v>51</v>
      </c>
      <c r="V1065" s="219" t="s">
        <v>6441</v>
      </c>
      <c r="W1065" s="219" t="s">
        <v>71</v>
      </c>
    </row>
    <row r="1066" spans="1:23" ht="15" customHeight="1" x14ac:dyDescent="0.25">
      <c r="A1066" t="s">
        <v>2743</v>
      </c>
      <c r="B1066" t="s">
        <v>595</v>
      </c>
      <c r="C1066">
        <v>245523.78</v>
      </c>
      <c r="D1066" t="s">
        <v>2744</v>
      </c>
      <c r="E1066" t="s">
        <v>157</v>
      </c>
      <c r="F1066" t="s">
        <v>554</v>
      </c>
      <c r="G1066" s="30">
        <v>46147</v>
      </c>
      <c r="H1066" t="s">
        <v>2745</v>
      </c>
      <c r="I1066">
        <v>2597101.1</v>
      </c>
      <c r="J1066" s="123">
        <v>0</v>
      </c>
      <c r="K1066" s="123">
        <v>0</v>
      </c>
      <c r="L1066" s="123">
        <v>46139</v>
      </c>
      <c r="M1066">
        <v>0</v>
      </c>
      <c r="N1066">
        <v>0</v>
      </c>
      <c r="O1066">
        <v>0</v>
      </c>
      <c r="P1066" s="216">
        <v>245523.78</v>
      </c>
      <c r="Q1066" s="217" t="s">
        <v>14</v>
      </c>
      <c r="R1066" s="217" t="s">
        <v>554</v>
      </c>
      <c r="S1066" s="218">
        <v>0.4054069631713606</v>
      </c>
      <c r="T1066" t="s">
        <v>550</v>
      </c>
      <c r="U1066" t="s">
        <v>51</v>
      </c>
      <c r="V1066" s="219" t="s">
        <v>6442</v>
      </c>
      <c r="W1066" s="219" t="s">
        <v>67</v>
      </c>
    </row>
    <row r="1067" spans="1:23" ht="15" customHeight="1" x14ac:dyDescent="0.25">
      <c r="A1067" t="s">
        <v>2746</v>
      </c>
      <c r="B1067" t="s">
        <v>595</v>
      </c>
      <c r="C1067">
        <v>19184.25</v>
      </c>
      <c r="D1067" t="s">
        <v>2747</v>
      </c>
      <c r="E1067" t="s">
        <v>157</v>
      </c>
      <c r="F1067" t="s">
        <v>554</v>
      </c>
      <c r="G1067" s="30">
        <v>46146</v>
      </c>
      <c r="H1067" t="s">
        <v>2748</v>
      </c>
      <c r="I1067">
        <v>1660113</v>
      </c>
      <c r="J1067" s="123">
        <v>0</v>
      </c>
      <c r="K1067" s="123">
        <v>0</v>
      </c>
      <c r="L1067" s="123">
        <v>46120</v>
      </c>
      <c r="M1067">
        <v>0</v>
      </c>
      <c r="N1067">
        <v>0</v>
      </c>
      <c r="O1067">
        <v>0</v>
      </c>
      <c r="P1067" s="216">
        <v>19184.25</v>
      </c>
      <c r="Q1067" s="217" t="s">
        <v>14</v>
      </c>
      <c r="R1067" s="217" t="s">
        <v>554</v>
      </c>
      <c r="S1067" s="218">
        <v>0.60729844896100449</v>
      </c>
      <c r="T1067" t="s">
        <v>550</v>
      </c>
      <c r="U1067" t="s">
        <v>51</v>
      </c>
      <c r="V1067" s="219" t="s">
        <v>6443</v>
      </c>
      <c r="W1067" s="219" t="s">
        <v>67</v>
      </c>
    </row>
    <row r="1068" spans="1:23" ht="15" customHeight="1" x14ac:dyDescent="0.25">
      <c r="A1068" t="s">
        <v>2749</v>
      </c>
      <c r="B1068" t="s">
        <v>546</v>
      </c>
      <c r="C1068">
        <v>49495</v>
      </c>
      <c r="D1068" t="s">
        <v>2750</v>
      </c>
      <c r="E1068" t="s">
        <v>157</v>
      </c>
      <c r="F1068" t="s">
        <v>554</v>
      </c>
      <c r="G1068" s="30">
        <v>46143</v>
      </c>
      <c r="H1068" t="s">
        <v>2751</v>
      </c>
      <c r="I1068">
        <v>2287741.2000000002</v>
      </c>
      <c r="J1068" s="123">
        <v>0</v>
      </c>
      <c r="K1068" s="123">
        <v>0</v>
      </c>
      <c r="L1068" s="123">
        <v>0</v>
      </c>
      <c r="M1068">
        <v>0</v>
      </c>
      <c r="N1068">
        <v>0</v>
      </c>
      <c r="O1068">
        <v>0</v>
      </c>
      <c r="P1068" s="216">
        <v>49495</v>
      </c>
      <c r="Q1068" s="217" t="s">
        <v>14</v>
      </c>
      <c r="R1068" s="217" t="s">
        <v>554</v>
      </c>
      <c r="S1068" s="218">
        <v>0.40032643552513719</v>
      </c>
      <c r="T1068" t="s">
        <v>550</v>
      </c>
      <c r="U1068" t="s">
        <v>51</v>
      </c>
      <c r="V1068" s="219" t="s">
        <v>6444</v>
      </c>
      <c r="W1068" s="219" t="s">
        <v>67</v>
      </c>
    </row>
    <row r="1069" spans="1:23" ht="15" customHeight="1" x14ac:dyDescent="0.25">
      <c r="A1069" t="s">
        <v>2752</v>
      </c>
      <c r="B1069" t="s">
        <v>546</v>
      </c>
      <c r="C1069">
        <v>50000</v>
      </c>
      <c r="D1069" t="s">
        <v>2750</v>
      </c>
      <c r="E1069" t="s">
        <v>157</v>
      </c>
      <c r="F1069" t="s">
        <v>554</v>
      </c>
      <c r="G1069" s="30">
        <v>46143</v>
      </c>
      <c r="H1069" t="s">
        <v>2751</v>
      </c>
      <c r="I1069">
        <v>2287741.2000000002</v>
      </c>
      <c r="J1069" s="123">
        <v>0</v>
      </c>
      <c r="K1069" s="123">
        <v>0</v>
      </c>
      <c r="L1069" s="123">
        <v>0</v>
      </c>
      <c r="M1069">
        <v>0</v>
      </c>
      <c r="N1069">
        <v>0</v>
      </c>
      <c r="O1069">
        <v>0</v>
      </c>
      <c r="P1069" s="216">
        <v>50000</v>
      </c>
      <c r="Q1069" s="217" t="s">
        <v>14</v>
      </c>
      <c r="R1069" s="217" t="s">
        <v>554</v>
      </c>
      <c r="S1069" s="218">
        <v>0.40032643552513719</v>
      </c>
      <c r="T1069" t="s">
        <v>550</v>
      </c>
      <c r="U1069" t="s">
        <v>51</v>
      </c>
      <c r="V1069" s="219" t="s">
        <v>6445</v>
      </c>
      <c r="W1069" s="219" t="s">
        <v>67</v>
      </c>
    </row>
    <row r="1070" spans="1:23" ht="15" customHeight="1" x14ac:dyDescent="0.25">
      <c r="A1070" t="s">
        <v>2753</v>
      </c>
      <c r="B1070" t="s">
        <v>546</v>
      </c>
      <c r="C1070">
        <v>228697.09</v>
      </c>
      <c r="D1070" t="s">
        <v>2754</v>
      </c>
      <c r="E1070" t="s">
        <v>553</v>
      </c>
      <c r="F1070" t="s">
        <v>548</v>
      </c>
      <c r="G1070" s="30">
        <v>46146</v>
      </c>
      <c r="H1070" t="s">
        <v>2755</v>
      </c>
      <c r="I1070">
        <v>2316622.0499999998</v>
      </c>
      <c r="J1070" s="123">
        <v>46146</v>
      </c>
      <c r="K1070" s="123">
        <v>0</v>
      </c>
      <c r="L1070" s="123">
        <v>46146</v>
      </c>
      <c r="M1070">
        <v>0</v>
      </c>
      <c r="N1070">
        <v>0</v>
      </c>
      <c r="O1070" t="s">
        <v>556</v>
      </c>
      <c r="P1070" s="216">
        <v>228697.09</v>
      </c>
      <c r="Q1070" s="217" t="s">
        <v>14</v>
      </c>
      <c r="R1070" s="217" t="s">
        <v>62</v>
      </c>
      <c r="S1070" s="218">
        <v>0.5012798311230785</v>
      </c>
      <c r="T1070" t="s">
        <v>550</v>
      </c>
      <c r="U1070" t="s">
        <v>51</v>
      </c>
      <c r="V1070" s="219">
        <v>0</v>
      </c>
      <c r="W1070" s="219">
        <v>0</v>
      </c>
    </row>
    <row r="1071" spans="1:23" ht="15" customHeight="1" x14ac:dyDescent="0.25">
      <c r="A1071" t="s">
        <v>2756</v>
      </c>
      <c r="B1071" t="s">
        <v>546</v>
      </c>
      <c r="C1071">
        <v>228697.09</v>
      </c>
      <c r="D1071" t="s">
        <v>2754</v>
      </c>
      <c r="E1071" t="s">
        <v>553</v>
      </c>
      <c r="F1071" t="s">
        <v>548</v>
      </c>
      <c r="G1071" s="30">
        <v>46146</v>
      </c>
      <c r="H1071" t="s">
        <v>2755</v>
      </c>
      <c r="I1071">
        <v>2316622.0499999998</v>
      </c>
      <c r="J1071" s="123">
        <v>46146</v>
      </c>
      <c r="K1071" s="123">
        <v>0</v>
      </c>
      <c r="L1071" s="123">
        <v>46146</v>
      </c>
      <c r="M1071">
        <v>0</v>
      </c>
      <c r="N1071">
        <v>0</v>
      </c>
      <c r="O1071" t="s">
        <v>556</v>
      </c>
      <c r="P1071" s="216">
        <v>228697.09</v>
      </c>
      <c r="Q1071" s="217" t="s">
        <v>14</v>
      </c>
      <c r="R1071" s="217" t="s">
        <v>62</v>
      </c>
      <c r="S1071" s="218">
        <v>0.5012798311230785</v>
      </c>
      <c r="T1071" t="s">
        <v>550</v>
      </c>
      <c r="U1071" t="s">
        <v>51</v>
      </c>
      <c r="V1071" s="219">
        <v>0</v>
      </c>
      <c r="W1071" s="219">
        <v>0</v>
      </c>
    </row>
    <row r="1072" spans="1:23" ht="15" customHeight="1" x14ac:dyDescent="0.25">
      <c r="A1072" t="s">
        <v>2757</v>
      </c>
      <c r="B1072" t="s">
        <v>575</v>
      </c>
      <c r="C1072">
        <v>231662</v>
      </c>
      <c r="D1072" t="s">
        <v>2754</v>
      </c>
      <c r="E1072" t="s">
        <v>157</v>
      </c>
      <c r="F1072" t="s">
        <v>554</v>
      </c>
      <c r="G1072" s="30">
        <v>46147</v>
      </c>
      <c r="H1072" t="s">
        <v>2755</v>
      </c>
      <c r="I1072">
        <v>2316622.0499999998</v>
      </c>
      <c r="J1072" s="123">
        <v>0</v>
      </c>
      <c r="K1072" s="123">
        <v>0</v>
      </c>
      <c r="L1072" s="123">
        <v>46146</v>
      </c>
      <c r="M1072">
        <v>0</v>
      </c>
      <c r="N1072">
        <v>0</v>
      </c>
      <c r="O1072">
        <v>0</v>
      </c>
      <c r="P1072" s="216">
        <v>231662</v>
      </c>
      <c r="Q1072" s="217" t="s">
        <v>14</v>
      </c>
      <c r="R1072" s="217" t="s">
        <v>554</v>
      </c>
      <c r="S1072" s="218">
        <v>0.5012798311230785</v>
      </c>
      <c r="T1072" t="s">
        <v>550</v>
      </c>
      <c r="U1072" t="s">
        <v>51</v>
      </c>
      <c r="V1072" s="219" t="s">
        <v>6446</v>
      </c>
      <c r="W1072" s="219" t="s">
        <v>67</v>
      </c>
    </row>
    <row r="1073" spans="1:23" ht="15" customHeight="1" x14ac:dyDescent="0.25">
      <c r="A1073" t="s">
        <v>2758</v>
      </c>
      <c r="B1073" t="s">
        <v>575</v>
      </c>
      <c r="C1073">
        <v>175653</v>
      </c>
      <c r="D1073" t="s">
        <v>2759</v>
      </c>
      <c r="E1073" t="s">
        <v>2760</v>
      </c>
      <c r="F1073" t="s">
        <v>554</v>
      </c>
      <c r="G1073" s="30">
        <v>46146</v>
      </c>
      <c r="H1073" t="s">
        <v>2761</v>
      </c>
      <c r="I1073">
        <v>1756526</v>
      </c>
      <c r="J1073" s="123">
        <v>0</v>
      </c>
      <c r="K1073" s="123">
        <v>0</v>
      </c>
      <c r="L1073" s="123">
        <v>46146</v>
      </c>
      <c r="M1073">
        <v>0</v>
      </c>
      <c r="N1073">
        <v>0</v>
      </c>
      <c r="O1073">
        <v>0</v>
      </c>
      <c r="P1073" s="216">
        <v>175653</v>
      </c>
      <c r="Q1073" s="217" t="s">
        <v>14</v>
      </c>
      <c r="R1073" s="217" t="s">
        <v>554</v>
      </c>
      <c r="S1073" s="218">
        <v>0.30016803622605071</v>
      </c>
      <c r="T1073" t="s">
        <v>550</v>
      </c>
      <c r="U1073" t="s">
        <v>51</v>
      </c>
      <c r="V1073" s="219" t="s">
        <v>6447</v>
      </c>
      <c r="W1073" s="219" t="s">
        <v>67</v>
      </c>
    </row>
    <row r="1074" spans="1:23" ht="15" customHeight="1" x14ac:dyDescent="0.25">
      <c r="A1074" t="s">
        <v>2762</v>
      </c>
      <c r="B1074" t="s">
        <v>575</v>
      </c>
      <c r="C1074">
        <v>175321</v>
      </c>
      <c r="D1074" t="s">
        <v>2763</v>
      </c>
      <c r="E1074" t="s">
        <v>157</v>
      </c>
      <c r="F1074" t="s">
        <v>554</v>
      </c>
      <c r="G1074" s="30">
        <v>46148</v>
      </c>
      <c r="H1074" t="s">
        <v>2764</v>
      </c>
      <c r="I1074">
        <v>1753211.8</v>
      </c>
      <c r="J1074" s="123">
        <v>0</v>
      </c>
      <c r="K1074" s="123">
        <v>0</v>
      </c>
      <c r="L1074" s="123">
        <v>46107</v>
      </c>
      <c r="M1074">
        <v>0</v>
      </c>
      <c r="N1074">
        <v>0</v>
      </c>
      <c r="O1074">
        <v>0</v>
      </c>
      <c r="P1074" s="216">
        <v>175321</v>
      </c>
      <c r="Q1074" s="217" t="s">
        <v>14</v>
      </c>
      <c r="R1074" s="217" t="s">
        <v>554</v>
      </c>
      <c r="S1074" s="218">
        <v>0.59996537212446333</v>
      </c>
      <c r="T1074" t="s">
        <v>550</v>
      </c>
      <c r="U1074" t="s">
        <v>51</v>
      </c>
      <c r="V1074" s="219" t="s">
        <v>6448</v>
      </c>
      <c r="W1074" s="219" t="s">
        <v>67</v>
      </c>
    </row>
    <row r="1075" spans="1:23" ht="15" customHeight="1" x14ac:dyDescent="0.25">
      <c r="A1075" t="s">
        <v>2765</v>
      </c>
      <c r="B1075" t="s">
        <v>546</v>
      </c>
      <c r="C1075">
        <v>11000</v>
      </c>
      <c r="D1075" t="s">
        <v>2766</v>
      </c>
      <c r="E1075" t="s">
        <v>553</v>
      </c>
      <c r="F1075" t="s">
        <v>554</v>
      </c>
      <c r="G1075" s="30">
        <v>46146</v>
      </c>
      <c r="H1075" t="s">
        <v>2767</v>
      </c>
      <c r="I1075">
        <v>3437904</v>
      </c>
      <c r="J1075" s="123">
        <v>46146</v>
      </c>
      <c r="K1075" s="123">
        <v>0</v>
      </c>
      <c r="L1075" s="123">
        <v>46146</v>
      </c>
      <c r="M1075">
        <v>0</v>
      </c>
      <c r="N1075">
        <v>0</v>
      </c>
      <c r="O1075" t="s">
        <v>556</v>
      </c>
      <c r="P1075" s="216">
        <v>11000</v>
      </c>
      <c r="Q1075" s="217" t="s">
        <v>31</v>
      </c>
      <c r="R1075" s="217" t="s">
        <v>554</v>
      </c>
      <c r="S1075" s="218">
        <v>0.22337359446716473</v>
      </c>
      <c r="T1075" t="s">
        <v>550</v>
      </c>
      <c r="U1075" t="s">
        <v>51</v>
      </c>
      <c r="V1075" s="219" t="s">
        <v>6449</v>
      </c>
      <c r="W1075" s="219" t="s">
        <v>67</v>
      </c>
    </row>
    <row r="1076" spans="1:23" ht="15" customHeight="1" x14ac:dyDescent="0.25">
      <c r="A1076" t="s">
        <v>2768</v>
      </c>
      <c r="B1076" t="s">
        <v>575</v>
      </c>
      <c r="C1076">
        <v>155216</v>
      </c>
      <c r="D1076" t="s">
        <v>2769</v>
      </c>
      <c r="E1076" t="s">
        <v>223</v>
      </c>
      <c r="F1076" t="s">
        <v>580</v>
      </c>
      <c r="G1076" s="30">
        <v>46149</v>
      </c>
      <c r="H1076" t="s">
        <v>2770</v>
      </c>
      <c r="I1076">
        <v>1552162.5</v>
      </c>
      <c r="J1076" s="123">
        <v>0</v>
      </c>
      <c r="K1076" s="123">
        <v>0</v>
      </c>
      <c r="L1076" s="123">
        <v>46119</v>
      </c>
      <c r="M1076">
        <v>0</v>
      </c>
      <c r="N1076">
        <v>0</v>
      </c>
      <c r="O1076">
        <v>0</v>
      </c>
      <c r="P1076" s="216">
        <v>155216</v>
      </c>
      <c r="Q1076" s="217" t="s">
        <v>31</v>
      </c>
      <c r="R1076" s="217" t="s">
        <v>582</v>
      </c>
      <c r="S1076" s="218">
        <v>0.30000209385293097</v>
      </c>
      <c r="T1076" t="s">
        <v>550</v>
      </c>
      <c r="U1076" t="s">
        <v>51</v>
      </c>
      <c r="V1076" s="219">
        <v>0</v>
      </c>
      <c r="W1076" s="219">
        <v>0</v>
      </c>
    </row>
    <row r="1077" spans="1:23" ht="15" customHeight="1" x14ac:dyDescent="0.25">
      <c r="A1077" t="s">
        <v>2771</v>
      </c>
      <c r="B1077" t="s">
        <v>595</v>
      </c>
      <c r="C1077">
        <v>4940.28</v>
      </c>
      <c r="D1077" t="s">
        <v>2772</v>
      </c>
      <c r="E1077" t="s">
        <v>223</v>
      </c>
      <c r="F1077" t="s">
        <v>585</v>
      </c>
      <c r="G1077" s="30">
        <v>46148</v>
      </c>
      <c r="H1077" t="s">
        <v>2773</v>
      </c>
      <c r="I1077">
        <v>2470095</v>
      </c>
      <c r="J1077" s="123">
        <v>0</v>
      </c>
      <c r="K1077" s="123">
        <v>0</v>
      </c>
      <c r="L1077" s="123">
        <v>46147</v>
      </c>
      <c r="M1077">
        <v>0</v>
      </c>
      <c r="N1077">
        <v>0</v>
      </c>
      <c r="O1077">
        <v>0</v>
      </c>
      <c r="P1077" s="216">
        <v>4940.28</v>
      </c>
      <c r="Q1077" s="217" t="s">
        <v>31</v>
      </c>
      <c r="R1077" s="217" t="s">
        <v>61</v>
      </c>
      <c r="S1077" s="218">
        <v>0.40000060726409309</v>
      </c>
      <c r="T1077" t="s">
        <v>550</v>
      </c>
      <c r="U1077" t="s">
        <v>51</v>
      </c>
      <c r="V1077" s="219">
        <v>0</v>
      </c>
      <c r="W1077" s="219">
        <v>0</v>
      </c>
    </row>
    <row r="1078" spans="1:23" ht="15" customHeight="1" x14ac:dyDescent="0.25">
      <c r="A1078" t="s">
        <v>2774</v>
      </c>
      <c r="B1078" t="s">
        <v>546</v>
      </c>
      <c r="C1078">
        <v>8000</v>
      </c>
      <c r="D1078" t="s">
        <v>2775</v>
      </c>
      <c r="E1078" t="s">
        <v>553</v>
      </c>
      <c r="F1078" t="s">
        <v>554</v>
      </c>
      <c r="G1078" s="30">
        <v>46143</v>
      </c>
      <c r="H1078" t="s">
        <v>2776</v>
      </c>
      <c r="I1078">
        <v>2188344</v>
      </c>
      <c r="J1078" s="123">
        <v>46143</v>
      </c>
      <c r="K1078" s="123">
        <v>0</v>
      </c>
      <c r="L1078" s="123">
        <v>46143</v>
      </c>
      <c r="M1078">
        <v>0</v>
      </c>
      <c r="N1078">
        <v>0</v>
      </c>
      <c r="O1078" t="s">
        <v>556</v>
      </c>
      <c r="P1078" s="216">
        <v>8000</v>
      </c>
      <c r="Q1078" s="217" t="s">
        <v>31</v>
      </c>
      <c r="R1078" s="217" t="s">
        <v>554</v>
      </c>
      <c r="S1078" s="218">
        <v>0.46961538039723189</v>
      </c>
      <c r="T1078" t="s">
        <v>550</v>
      </c>
      <c r="U1078" t="s">
        <v>51</v>
      </c>
      <c r="V1078" s="219" t="s">
        <v>6450</v>
      </c>
      <c r="W1078" s="219" t="s">
        <v>67</v>
      </c>
    </row>
    <row r="1079" spans="1:23" ht="15" customHeight="1" x14ac:dyDescent="0.25">
      <c r="A1079" t="s">
        <v>2777</v>
      </c>
      <c r="B1079" t="s">
        <v>546</v>
      </c>
      <c r="C1079">
        <v>8000</v>
      </c>
      <c r="D1079" t="s">
        <v>2775</v>
      </c>
      <c r="E1079" t="s">
        <v>553</v>
      </c>
      <c r="F1079" t="s">
        <v>554</v>
      </c>
      <c r="G1079" s="30">
        <v>46143</v>
      </c>
      <c r="H1079" t="s">
        <v>2776</v>
      </c>
      <c r="I1079">
        <v>2188344</v>
      </c>
      <c r="J1079" s="123">
        <v>46143</v>
      </c>
      <c r="K1079" s="123">
        <v>0</v>
      </c>
      <c r="L1079" s="123">
        <v>46143</v>
      </c>
      <c r="M1079">
        <v>0</v>
      </c>
      <c r="N1079">
        <v>0</v>
      </c>
      <c r="O1079" t="s">
        <v>556</v>
      </c>
      <c r="P1079" s="216">
        <v>8000</v>
      </c>
      <c r="Q1079" s="217" t="s">
        <v>31</v>
      </c>
      <c r="R1079" s="217" t="s">
        <v>554</v>
      </c>
      <c r="S1079" s="218">
        <v>0.46961538039723189</v>
      </c>
      <c r="T1079" t="s">
        <v>550</v>
      </c>
      <c r="U1079" t="s">
        <v>51</v>
      </c>
      <c r="V1079" s="219" t="s">
        <v>6451</v>
      </c>
      <c r="W1079" s="219" t="s">
        <v>67</v>
      </c>
    </row>
    <row r="1080" spans="1:23" ht="15" customHeight="1" x14ac:dyDescent="0.25">
      <c r="A1080" t="s">
        <v>2778</v>
      </c>
      <c r="B1080" t="s">
        <v>546</v>
      </c>
      <c r="C1080">
        <v>8000</v>
      </c>
      <c r="D1080" t="s">
        <v>2775</v>
      </c>
      <c r="E1080" t="s">
        <v>553</v>
      </c>
      <c r="F1080" t="s">
        <v>554</v>
      </c>
      <c r="G1080" s="30">
        <v>46148</v>
      </c>
      <c r="H1080" t="s">
        <v>2776</v>
      </c>
      <c r="I1080">
        <v>2188344</v>
      </c>
      <c r="J1080" s="123">
        <v>46148</v>
      </c>
      <c r="K1080" s="123">
        <v>0</v>
      </c>
      <c r="L1080" s="123">
        <v>46148</v>
      </c>
      <c r="M1080">
        <v>0</v>
      </c>
      <c r="N1080">
        <v>0</v>
      </c>
      <c r="O1080" t="s">
        <v>556</v>
      </c>
      <c r="P1080" s="216">
        <v>8000</v>
      </c>
      <c r="Q1080" s="217" t="s">
        <v>31</v>
      </c>
      <c r="R1080" s="217" t="s">
        <v>554</v>
      </c>
      <c r="S1080" s="218">
        <v>0.46961538039723189</v>
      </c>
      <c r="T1080" t="s">
        <v>550</v>
      </c>
      <c r="U1080" t="s">
        <v>51</v>
      </c>
      <c r="V1080" s="219" t="s">
        <v>6452</v>
      </c>
      <c r="W1080" s="219" t="s">
        <v>67</v>
      </c>
    </row>
    <row r="1081" spans="1:23" ht="15" customHeight="1" x14ac:dyDescent="0.25">
      <c r="A1081" t="s">
        <v>2779</v>
      </c>
      <c r="B1081" t="s">
        <v>595</v>
      </c>
      <c r="C1081">
        <v>2102595</v>
      </c>
      <c r="D1081" t="s">
        <v>2780</v>
      </c>
      <c r="E1081" t="s">
        <v>193</v>
      </c>
      <c r="F1081" t="s">
        <v>580</v>
      </c>
      <c r="G1081" s="30">
        <v>46143</v>
      </c>
      <c r="H1081" t="s">
        <v>2781</v>
      </c>
      <c r="I1081">
        <v>21025948</v>
      </c>
      <c r="J1081" s="123">
        <v>0</v>
      </c>
      <c r="K1081" s="123">
        <v>0</v>
      </c>
      <c r="L1081" s="123">
        <v>46143</v>
      </c>
      <c r="M1081">
        <v>0</v>
      </c>
      <c r="N1081">
        <v>0</v>
      </c>
      <c r="O1081">
        <v>0</v>
      </c>
      <c r="P1081" s="216">
        <v>2102595</v>
      </c>
      <c r="Q1081" s="217" t="s">
        <v>26</v>
      </c>
      <c r="R1081" s="217" t="s">
        <v>582</v>
      </c>
      <c r="S1081" s="218">
        <v>0.50105875463974325</v>
      </c>
      <c r="T1081" t="s">
        <v>550</v>
      </c>
      <c r="U1081" t="s">
        <v>51</v>
      </c>
      <c r="V1081" s="219">
        <v>0</v>
      </c>
      <c r="W1081" s="219">
        <v>0</v>
      </c>
    </row>
    <row r="1082" spans="1:23" ht="15" customHeight="1" x14ac:dyDescent="0.25">
      <c r="A1082" t="s">
        <v>2782</v>
      </c>
      <c r="B1082" t="s">
        <v>575</v>
      </c>
      <c r="C1082">
        <v>102618</v>
      </c>
      <c r="D1082" t="s">
        <v>2783</v>
      </c>
      <c r="E1082" t="s">
        <v>243</v>
      </c>
      <c r="F1082" t="s">
        <v>580</v>
      </c>
      <c r="G1082" s="30">
        <v>46149</v>
      </c>
      <c r="H1082" t="s">
        <v>2784</v>
      </c>
      <c r="I1082">
        <v>1026179.2</v>
      </c>
      <c r="J1082" s="123">
        <v>0</v>
      </c>
      <c r="K1082" s="123">
        <v>0</v>
      </c>
      <c r="L1082" s="123">
        <v>46115</v>
      </c>
      <c r="M1082">
        <v>0</v>
      </c>
      <c r="N1082">
        <v>0</v>
      </c>
      <c r="O1082">
        <v>0</v>
      </c>
      <c r="P1082" s="216">
        <v>102618</v>
      </c>
      <c r="Q1082" s="217" t="s">
        <v>21</v>
      </c>
      <c r="R1082" s="217" t="s">
        <v>582</v>
      </c>
      <c r="S1082" s="218">
        <v>0.5</v>
      </c>
      <c r="T1082" t="s">
        <v>550</v>
      </c>
      <c r="U1082" t="s">
        <v>51</v>
      </c>
      <c r="V1082" s="219">
        <v>0</v>
      </c>
      <c r="W1082" s="219">
        <v>0</v>
      </c>
    </row>
    <row r="1083" spans="1:23" ht="15" customHeight="1" x14ac:dyDescent="0.25">
      <c r="A1083" t="s">
        <v>2785</v>
      </c>
      <c r="B1083" t="s">
        <v>595</v>
      </c>
      <c r="C1083">
        <v>36828.97</v>
      </c>
      <c r="D1083" t="s">
        <v>2786</v>
      </c>
      <c r="E1083" t="s">
        <v>1700</v>
      </c>
      <c r="F1083" t="s">
        <v>554</v>
      </c>
      <c r="G1083" s="30">
        <v>46146</v>
      </c>
      <c r="H1083" t="s">
        <v>2787</v>
      </c>
      <c r="I1083">
        <v>1013323.5</v>
      </c>
      <c r="J1083" s="123">
        <v>0</v>
      </c>
      <c r="K1083" s="123">
        <v>0</v>
      </c>
      <c r="L1083" s="123">
        <v>46144</v>
      </c>
      <c r="M1083">
        <v>0</v>
      </c>
      <c r="N1083">
        <v>0</v>
      </c>
      <c r="O1083">
        <v>0</v>
      </c>
      <c r="P1083" s="216">
        <v>36828.97</v>
      </c>
      <c r="Q1083" s="217" t="s">
        <v>47</v>
      </c>
      <c r="R1083" s="217" t="s">
        <v>554</v>
      </c>
      <c r="S1083" s="218">
        <v>0.52146441881590633</v>
      </c>
      <c r="T1083" t="s">
        <v>550</v>
      </c>
      <c r="U1083" t="s">
        <v>51</v>
      </c>
      <c r="V1083" s="219">
        <v>0</v>
      </c>
      <c r="W1083" s="219" t="s">
        <v>72</v>
      </c>
    </row>
    <row r="1084" spans="1:23" ht="15" customHeight="1" x14ac:dyDescent="0.25">
      <c r="A1084" t="s">
        <v>2788</v>
      </c>
      <c r="B1084" t="s">
        <v>575</v>
      </c>
      <c r="C1084">
        <v>127086</v>
      </c>
      <c r="D1084" t="s">
        <v>2789</v>
      </c>
      <c r="E1084" t="s">
        <v>243</v>
      </c>
      <c r="F1084" t="s">
        <v>554</v>
      </c>
      <c r="G1084" s="30">
        <v>46146</v>
      </c>
      <c r="H1084" t="s">
        <v>2790</v>
      </c>
      <c r="I1084">
        <v>1270855.3</v>
      </c>
      <c r="J1084" s="123">
        <v>0</v>
      </c>
      <c r="K1084" s="123">
        <v>0</v>
      </c>
      <c r="L1084" s="123">
        <v>46146</v>
      </c>
      <c r="M1084">
        <v>0</v>
      </c>
      <c r="N1084">
        <v>0</v>
      </c>
      <c r="O1084">
        <v>0</v>
      </c>
      <c r="P1084" s="216">
        <v>127086</v>
      </c>
      <c r="Q1084" s="217" t="s">
        <v>21</v>
      </c>
      <c r="R1084" s="217" t="s">
        <v>554</v>
      </c>
      <c r="S1084" s="218">
        <v>0.60000139276281095</v>
      </c>
      <c r="T1084" t="s">
        <v>550</v>
      </c>
      <c r="U1084" t="s">
        <v>51</v>
      </c>
      <c r="V1084" s="219" t="s">
        <v>6453</v>
      </c>
      <c r="W1084" s="219" t="s">
        <v>67</v>
      </c>
    </row>
    <row r="1085" spans="1:23" ht="15" customHeight="1" x14ac:dyDescent="0.25">
      <c r="A1085" t="s">
        <v>2791</v>
      </c>
      <c r="B1085" t="s">
        <v>575</v>
      </c>
      <c r="C1085">
        <v>102983</v>
      </c>
      <c r="D1085" t="s">
        <v>2792</v>
      </c>
      <c r="E1085" t="s">
        <v>238</v>
      </c>
      <c r="F1085" t="s">
        <v>554</v>
      </c>
      <c r="G1085" s="30">
        <v>46145</v>
      </c>
      <c r="H1085" t="s">
        <v>2793</v>
      </c>
      <c r="I1085">
        <v>1029826.4</v>
      </c>
      <c r="J1085" s="123">
        <v>0</v>
      </c>
      <c r="K1085" s="123">
        <v>0</v>
      </c>
      <c r="L1085" s="123">
        <v>46142</v>
      </c>
      <c r="M1085">
        <v>0</v>
      </c>
      <c r="N1085">
        <v>0</v>
      </c>
      <c r="O1085">
        <v>0</v>
      </c>
      <c r="P1085" s="216">
        <v>102983</v>
      </c>
      <c r="Q1085" s="217" t="s">
        <v>19</v>
      </c>
      <c r="R1085" s="217" t="s">
        <v>554</v>
      </c>
      <c r="S1085" s="218">
        <v>0.40011660217683293</v>
      </c>
      <c r="T1085" t="s">
        <v>550</v>
      </c>
      <c r="U1085" t="s">
        <v>51</v>
      </c>
      <c r="V1085" s="219" t="s">
        <v>6454</v>
      </c>
      <c r="W1085" s="219" t="s">
        <v>67</v>
      </c>
    </row>
    <row r="1086" spans="1:23" ht="15" customHeight="1" x14ac:dyDescent="0.25">
      <c r="A1086" t="s">
        <v>2794</v>
      </c>
      <c r="B1086" t="s">
        <v>575</v>
      </c>
      <c r="C1086">
        <v>1000</v>
      </c>
      <c r="D1086" t="s">
        <v>2795</v>
      </c>
      <c r="E1086" t="s">
        <v>553</v>
      </c>
      <c r="F1086" t="s">
        <v>585</v>
      </c>
      <c r="G1086" s="30">
        <v>46146</v>
      </c>
      <c r="H1086" t="s">
        <v>2796</v>
      </c>
      <c r="I1086">
        <v>1271790</v>
      </c>
      <c r="J1086" s="123">
        <v>46146</v>
      </c>
      <c r="K1086" s="123">
        <v>0</v>
      </c>
      <c r="L1086" s="123">
        <v>46146</v>
      </c>
      <c r="M1086">
        <v>0</v>
      </c>
      <c r="N1086">
        <v>0</v>
      </c>
      <c r="O1086" t="s">
        <v>556</v>
      </c>
      <c r="P1086" s="216">
        <v>1000</v>
      </c>
      <c r="Q1086" s="217" t="s">
        <v>17</v>
      </c>
      <c r="R1086" s="217" t="s">
        <v>61</v>
      </c>
      <c r="S1086" s="218">
        <v>0.32084072055921181</v>
      </c>
      <c r="T1086" t="s">
        <v>550</v>
      </c>
      <c r="U1086" t="s">
        <v>51</v>
      </c>
      <c r="V1086" s="219">
        <v>0</v>
      </c>
      <c r="W1086" s="219">
        <v>0</v>
      </c>
    </row>
    <row r="1087" spans="1:23" ht="15" customHeight="1" x14ac:dyDescent="0.25">
      <c r="A1087" t="s">
        <v>2797</v>
      </c>
      <c r="B1087" t="s">
        <v>595</v>
      </c>
      <c r="C1087">
        <v>102618</v>
      </c>
      <c r="D1087" t="s">
        <v>2798</v>
      </c>
      <c r="E1087" t="s">
        <v>188</v>
      </c>
      <c r="F1087" t="s">
        <v>554</v>
      </c>
      <c r="G1087" s="30">
        <v>46146</v>
      </c>
      <c r="H1087" t="s">
        <v>2799</v>
      </c>
      <c r="I1087">
        <v>1026179.2</v>
      </c>
      <c r="J1087" s="123">
        <v>0</v>
      </c>
      <c r="K1087" s="123">
        <v>0</v>
      </c>
      <c r="L1087" s="123">
        <v>46139</v>
      </c>
      <c r="M1087">
        <v>0</v>
      </c>
      <c r="N1087">
        <v>0</v>
      </c>
      <c r="O1087">
        <v>0</v>
      </c>
      <c r="P1087" s="216">
        <v>102618</v>
      </c>
      <c r="Q1087" s="217" t="s">
        <v>17</v>
      </c>
      <c r="R1087" s="217" t="s">
        <v>554</v>
      </c>
      <c r="S1087" s="218">
        <v>0.4999993958170269</v>
      </c>
      <c r="T1087" t="s">
        <v>550</v>
      </c>
      <c r="U1087" t="s">
        <v>51</v>
      </c>
      <c r="V1087" s="219" t="s">
        <v>6455</v>
      </c>
      <c r="W1087" s="219" t="s">
        <v>67</v>
      </c>
    </row>
    <row r="1088" spans="1:23" ht="15" customHeight="1" x14ac:dyDescent="0.25">
      <c r="A1088" t="s">
        <v>2800</v>
      </c>
      <c r="B1088" t="s">
        <v>595</v>
      </c>
      <c r="C1088">
        <v>102594.86</v>
      </c>
      <c r="D1088" t="s">
        <v>2801</v>
      </c>
      <c r="E1088" t="s">
        <v>243</v>
      </c>
      <c r="F1088" t="s">
        <v>554</v>
      </c>
      <c r="G1088" s="30">
        <v>46147</v>
      </c>
      <c r="H1088" t="s">
        <v>2802</v>
      </c>
      <c r="I1088">
        <v>1026179.2</v>
      </c>
      <c r="J1088" s="123">
        <v>0</v>
      </c>
      <c r="K1088" s="123">
        <v>0</v>
      </c>
      <c r="L1088" s="123">
        <v>46135</v>
      </c>
      <c r="M1088">
        <v>0</v>
      </c>
      <c r="N1088">
        <v>0</v>
      </c>
      <c r="O1088">
        <v>0</v>
      </c>
      <c r="P1088" s="216">
        <v>102594.86</v>
      </c>
      <c r="Q1088" s="217" t="s">
        <v>21</v>
      </c>
      <c r="R1088" s="217" t="s">
        <v>554</v>
      </c>
      <c r="S1088" s="218">
        <v>0.60045065228373373</v>
      </c>
      <c r="T1088" t="s">
        <v>550</v>
      </c>
      <c r="U1088" t="s">
        <v>51</v>
      </c>
      <c r="V1088" s="219" t="s">
        <v>6456</v>
      </c>
      <c r="W1088" s="219" t="s">
        <v>67</v>
      </c>
    </row>
    <row r="1089" spans="1:23" ht="15" customHeight="1" x14ac:dyDescent="0.25">
      <c r="A1089" t="s">
        <v>2803</v>
      </c>
      <c r="B1089" t="s">
        <v>595</v>
      </c>
      <c r="C1089">
        <v>102618</v>
      </c>
      <c r="D1089" t="s">
        <v>2804</v>
      </c>
      <c r="E1089" t="s">
        <v>243</v>
      </c>
      <c r="F1089" t="s">
        <v>580</v>
      </c>
      <c r="G1089" s="30">
        <v>46147</v>
      </c>
      <c r="H1089" t="s">
        <v>2805</v>
      </c>
      <c r="I1089">
        <v>1026179.2</v>
      </c>
      <c r="J1089" s="123">
        <v>0</v>
      </c>
      <c r="K1089" s="123">
        <v>0</v>
      </c>
      <c r="L1089" s="123">
        <v>46135</v>
      </c>
      <c r="M1089">
        <v>0</v>
      </c>
      <c r="N1089">
        <v>0</v>
      </c>
      <c r="O1089">
        <v>0</v>
      </c>
      <c r="P1089" s="216">
        <v>102618</v>
      </c>
      <c r="Q1089" s="217" t="s">
        <v>21</v>
      </c>
      <c r="R1089" s="217" t="s">
        <v>582</v>
      </c>
      <c r="S1089" s="218">
        <v>0.50056905265668994</v>
      </c>
      <c r="T1089" t="s">
        <v>550</v>
      </c>
      <c r="U1089" t="s">
        <v>51</v>
      </c>
      <c r="V1089" s="219">
        <v>0</v>
      </c>
      <c r="W1089" s="219">
        <v>0</v>
      </c>
    </row>
    <row r="1090" spans="1:23" ht="15" customHeight="1" x14ac:dyDescent="0.25">
      <c r="A1090" t="s">
        <v>2806</v>
      </c>
      <c r="B1090" t="s">
        <v>546</v>
      </c>
      <c r="C1090">
        <v>45345</v>
      </c>
      <c r="D1090" t="s">
        <v>2807</v>
      </c>
      <c r="E1090" t="s">
        <v>243</v>
      </c>
      <c r="F1090" t="s">
        <v>554</v>
      </c>
      <c r="G1090" s="30">
        <v>46149</v>
      </c>
      <c r="H1090" t="s">
        <v>2808</v>
      </c>
      <c r="I1090">
        <v>2034481.5</v>
      </c>
      <c r="J1090" s="123">
        <v>0</v>
      </c>
      <c r="K1090" s="123">
        <v>0</v>
      </c>
      <c r="L1090" s="123">
        <v>0</v>
      </c>
      <c r="M1090">
        <v>0</v>
      </c>
      <c r="N1090">
        <v>0</v>
      </c>
      <c r="O1090">
        <v>0</v>
      </c>
      <c r="P1090" s="216">
        <v>45345</v>
      </c>
      <c r="Q1090" s="217" t="s">
        <v>21</v>
      </c>
      <c r="R1090" s="217" t="s">
        <v>554</v>
      </c>
      <c r="S1090" s="218">
        <v>0.26378809539433018</v>
      </c>
      <c r="T1090" t="s">
        <v>550</v>
      </c>
      <c r="U1090" t="s">
        <v>51</v>
      </c>
      <c r="V1090" s="219" t="s">
        <v>6457</v>
      </c>
      <c r="W1090" s="219" t="s">
        <v>67</v>
      </c>
    </row>
    <row r="1091" spans="1:23" ht="15" customHeight="1" x14ac:dyDescent="0.25">
      <c r="A1091" t="s">
        <v>2809</v>
      </c>
      <c r="B1091" t="s">
        <v>546</v>
      </c>
      <c r="C1091">
        <v>40230</v>
      </c>
      <c r="D1091" t="s">
        <v>2807</v>
      </c>
      <c r="E1091" t="s">
        <v>243</v>
      </c>
      <c r="F1091" t="s">
        <v>554</v>
      </c>
      <c r="G1091" s="30">
        <v>46149</v>
      </c>
      <c r="H1091" t="s">
        <v>2808</v>
      </c>
      <c r="I1091">
        <v>2034481.5</v>
      </c>
      <c r="J1091" s="123">
        <v>0</v>
      </c>
      <c r="K1091" s="123">
        <v>0</v>
      </c>
      <c r="L1091" s="123">
        <v>0</v>
      </c>
      <c r="M1091">
        <v>0</v>
      </c>
      <c r="N1091">
        <v>0</v>
      </c>
      <c r="O1091">
        <v>0</v>
      </c>
      <c r="P1091" s="216">
        <v>40230</v>
      </c>
      <c r="Q1091" s="217" t="s">
        <v>21</v>
      </c>
      <c r="R1091" s="217" t="s">
        <v>554</v>
      </c>
      <c r="S1091" s="218">
        <v>0.26378809539433018</v>
      </c>
      <c r="T1091" t="s">
        <v>550</v>
      </c>
      <c r="U1091" t="s">
        <v>51</v>
      </c>
      <c r="V1091" s="219" t="s">
        <v>6458</v>
      </c>
      <c r="W1091" s="219" t="s">
        <v>67</v>
      </c>
    </row>
    <row r="1092" spans="1:23" ht="15" customHeight="1" x14ac:dyDescent="0.25">
      <c r="A1092" t="s">
        <v>2810</v>
      </c>
      <c r="B1092" t="s">
        <v>546</v>
      </c>
      <c r="C1092">
        <v>44200</v>
      </c>
      <c r="D1092" t="s">
        <v>2807</v>
      </c>
      <c r="E1092" t="s">
        <v>243</v>
      </c>
      <c r="F1092" t="s">
        <v>548</v>
      </c>
      <c r="G1092" s="30">
        <v>46149</v>
      </c>
      <c r="H1092" t="s">
        <v>2808</v>
      </c>
      <c r="I1092">
        <v>2034481.5</v>
      </c>
      <c r="J1092" s="123">
        <v>0</v>
      </c>
      <c r="K1092" s="123">
        <v>0</v>
      </c>
      <c r="L1092" s="123">
        <v>0</v>
      </c>
      <c r="M1092">
        <v>0</v>
      </c>
      <c r="N1092">
        <v>0</v>
      </c>
      <c r="O1092">
        <v>0</v>
      </c>
      <c r="P1092" s="216">
        <v>44200</v>
      </c>
      <c r="Q1092" s="217" t="s">
        <v>21</v>
      </c>
      <c r="R1092" s="217" t="s">
        <v>62</v>
      </c>
      <c r="S1092" s="218">
        <v>0.26378809539433018</v>
      </c>
      <c r="T1092" t="s">
        <v>550</v>
      </c>
      <c r="U1092" t="s">
        <v>51</v>
      </c>
      <c r="V1092" s="219">
        <v>0</v>
      </c>
      <c r="W1092" s="219">
        <v>0</v>
      </c>
    </row>
    <row r="1093" spans="1:23" ht="15" customHeight="1" x14ac:dyDescent="0.25">
      <c r="A1093" t="s">
        <v>2811</v>
      </c>
      <c r="B1093" t="s">
        <v>546</v>
      </c>
      <c r="C1093">
        <v>44200</v>
      </c>
      <c r="D1093" t="s">
        <v>2807</v>
      </c>
      <c r="E1093" t="s">
        <v>243</v>
      </c>
      <c r="F1093" t="s">
        <v>554</v>
      </c>
      <c r="G1093" s="30">
        <v>46149</v>
      </c>
      <c r="H1093" t="s">
        <v>2808</v>
      </c>
      <c r="I1093">
        <v>2034481.5</v>
      </c>
      <c r="J1093" s="123">
        <v>0</v>
      </c>
      <c r="K1093" s="123">
        <v>0</v>
      </c>
      <c r="L1093" s="123">
        <v>0</v>
      </c>
      <c r="M1093">
        <v>0</v>
      </c>
      <c r="N1093">
        <v>0</v>
      </c>
      <c r="O1093">
        <v>0</v>
      </c>
      <c r="P1093" s="216">
        <v>44200</v>
      </c>
      <c r="Q1093" s="217" t="s">
        <v>21</v>
      </c>
      <c r="R1093" s="217" t="s">
        <v>554</v>
      </c>
      <c r="S1093" s="218">
        <v>0.26378809539433018</v>
      </c>
      <c r="T1093" t="s">
        <v>550</v>
      </c>
      <c r="U1093" t="s">
        <v>51</v>
      </c>
      <c r="V1093" s="219" t="s">
        <v>6459</v>
      </c>
      <c r="W1093" s="219" t="s">
        <v>67</v>
      </c>
    </row>
    <row r="1094" spans="1:23" ht="15" customHeight="1" x14ac:dyDescent="0.25">
      <c r="A1094" t="s">
        <v>2812</v>
      </c>
      <c r="B1094" t="s">
        <v>546</v>
      </c>
      <c r="C1094">
        <v>28700</v>
      </c>
      <c r="D1094" t="s">
        <v>2807</v>
      </c>
      <c r="E1094" t="s">
        <v>243</v>
      </c>
      <c r="F1094" t="s">
        <v>548</v>
      </c>
      <c r="G1094" s="30">
        <v>46149</v>
      </c>
      <c r="H1094" t="s">
        <v>2808</v>
      </c>
      <c r="I1094">
        <v>2034481.5</v>
      </c>
      <c r="J1094" s="123">
        <v>0</v>
      </c>
      <c r="K1094" s="123">
        <v>0</v>
      </c>
      <c r="L1094" s="123">
        <v>0</v>
      </c>
      <c r="M1094">
        <v>0</v>
      </c>
      <c r="N1094">
        <v>0</v>
      </c>
      <c r="O1094">
        <v>0</v>
      </c>
      <c r="P1094" s="216">
        <v>28700</v>
      </c>
      <c r="Q1094" s="217" t="s">
        <v>21</v>
      </c>
      <c r="R1094" s="217" t="s">
        <v>62</v>
      </c>
      <c r="S1094" s="218">
        <v>0.26378809539433018</v>
      </c>
      <c r="T1094" t="s">
        <v>550</v>
      </c>
      <c r="U1094" t="s">
        <v>51</v>
      </c>
      <c r="V1094" s="219">
        <v>0</v>
      </c>
      <c r="W1094" s="219">
        <v>0</v>
      </c>
    </row>
    <row r="1095" spans="1:23" ht="15" customHeight="1" x14ac:dyDescent="0.25">
      <c r="A1095" t="s">
        <v>2813</v>
      </c>
      <c r="B1095" t="s">
        <v>546</v>
      </c>
      <c r="C1095">
        <v>46150</v>
      </c>
      <c r="D1095" t="s">
        <v>2807</v>
      </c>
      <c r="E1095" t="s">
        <v>243</v>
      </c>
      <c r="F1095" t="s">
        <v>548</v>
      </c>
      <c r="G1095" s="30">
        <v>46149</v>
      </c>
      <c r="H1095" t="s">
        <v>2808</v>
      </c>
      <c r="I1095">
        <v>2034481.5</v>
      </c>
      <c r="J1095" s="123">
        <v>0</v>
      </c>
      <c r="K1095" s="123">
        <v>0</v>
      </c>
      <c r="L1095" s="123">
        <v>0</v>
      </c>
      <c r="M1095">
        <v>0</v>
      </c>
      <c r="N1095">
        <v>0</v>
      </c>
      <c r="O1095">
        <v>0</v>
      </c>
      <c r="P1095" s="216">
        <v>46150</v>
      </c>
      <c r="Q1095" s="217" t="s">
        <v>21</v>
      </c>
      <c r="R1095" s="217" t="s">
        <v>62</v>
      </c>
      <c r="S1095" s="218">
        <v>0.26378809539433018</v>
      </c>
      <c r="T1095" t="s">
        <v>550</v>
      </c>
      <c r="U1095" t="s">
        <v>51</v>
      </c>
      <c r="V1095" s="219">
        <v>0</v>
      </c>
      <c r="W1095" s="219">
        <v>0</v>
      </c>
    </row>
    <row r="1096" spans="1:23" ht="15" customHeight="1" x14ac:dyDescent="0.25">
      <c r="A1096" t="s">
        <v>2814</v>
      </c>
      <c r="B1096" t="s">
        <v>546</v>
      </c>
      <c r="C1096">
        <v>44210</v>
      </c>
      <c r="D1096" t="s">
        <v>2807</v>
      </c>
      <c r="E1096" t="s">
        <v>243</v>
      </c>
      <c r="F1096" t="s">
        <v>548</v>
      </c>
      <c r="G1096" s="30">
        <v>46149</v>
      </c>
      <c r="H1096" t="s">
        <v>2808</v>
      </c>
      <c r="I1096">
        <v>2034481.5</v>
      </c>
      <c r="J1096" s="123">
        <v>0</v>
      </c>
      <c r="K1096" s="123">
        <v>0</v>
      </c>
      <c r="L1096" s="123">
        <v>0</v>
      </c>
      <c r="M1096">
        <v>0</v>
      </c>
      <c r="N1096">
        <v>0</v>
      </c>
      <c r="O1096">
        <v>0</v>
      </c>
      <c r="P1096" s="216">
        <v>44210</v>
      </c>
      <c r="Q1096" s="217" t="s">
        <v>21</v>
      </c>
      <c r="R1096" s="217" t="s">
        <v>62</v>
      </c>
      <c r="S1096" s="218">
        <v>0.26378809539433018</v>
      </c>
      <c r="T1096" t="s">
        <v>550</v>
      </c>
      <c r="U1096" t="s">
        <v>51</v>
      </c>
      <c r="V1096" s="219">
        <v>0</v>
      </c>
      <c r="W1096" s="219">
        <v>0</v>
      </c>
    </row>
    <row r="1097" spans="1:23" ht="15" customHeight="1" x14ac:dyDescent="0.25">
      <c r="A1097" t="s">
        <v>2815</v>
      </c>
      <c r="B1097" t="s">
        <v>546</v>
      </c>
      <c r="C1097">
        <v>50000</v>
      </c>
      <c r="D1097" t="s">
        <v>2816</v>
      </c>
      <c r="E1097" t="s">
        <v>553</v>
      </c>
      <c r="F1097" t="s">
        <v>554</v>
      </c>
      <c r="G1097" s="30">
        <v>46144</v>
      </c>
      <c r="H1097" t="s">
        <v>2817</v>
      </c>
      <c r="I1097">
        <v>1227397.5</v>
      </c>
      <c r="J1097" s="123">
        <v>46144</v>
      </c>
      <c r="K1097" s="123">
        <v>0</v>
      </c>
      <c r="L1097" s="123">
        <v>46144</v>
      </c>
      <c r="M1097">
        <v>0</v>
      </c>
      <c r="N1097">
        <v>0</v>
      </c>
      <c r="O1097" t="s">
        <v>556</v>
      </c>
      <c r="P1097" s="216">
        <v>50000</v>
      </c>
      <c r="Q1097" s="217" t="s">
        <v>21</v>
      </c>
      <c r="R1097" s="217" t="s">
        <v>554</v>
      </c>
      <c r="S1097" s="218">
        <v>0.58325041398568922</v>
      </c>
      <c r="T1097" t="s">
        <v>550</v>
      </c>
      <c r="U1097" t="s">
        <v>51</v>
      </c>
      <c r="V1097" s="219" t="s">
        <v>6460</v>
      </c>
      <c r="W1097" s="219" t="s">
        <v>67</v>
      </c>
    </row>
    <row r="1098" spans="1:23" ht="15" customHeight="1" x14ac:dyDescent="0.25">
      <c r="A1098" t="s">
        <v>2818</v>
      </c>
      <c r="B1098" t="s">
        <v>575</v>
      </c>
      <c r="C1098">
        <v>14000</v>
      </c>
      <c r="D1098" t="s">
        <v>2816</v>
      </c>
      <c r="E1098" t="s">
        <v>243</v>
      </c>
      <c r="F1098" t="s">
        <v>554</v>
      </c>
      <c r="G1098" s="30">
        <v>46146</v>
      </c>
      <c r="H1098" t="s">
        <v>2817</v>
      </c>
      <c r="I1098">
        <v>1227397.5</v>
      </c>
      <c r="J1098" s="123">
        <v>0</v>
      </c>
      <c r="K1098" s="123">
        <v>0</v>
      </c>
      <c r="L1098" s="123">
        <v>46145</v>
      </c>
      <c r="M1098">
        <v>0</v>
      </c>
      <c r="N1098">
        <v>0</v>
      </c>
      <c r="O1098">
        <v>0</v>
      </c>
      <c r="P1098" s="216">
        <v>14000</v>
      </c>
      <c r="Q1098" s="217" t="s">
        <v>21</v>
      </c>
      <c r="R1098" s="217" t="s">
        <v>554</v>
      </c>
      <c r="S1098" s="218">
        <v>0.58325041398568922</v>
      </c>
      <c r="T1098" t="s">
        <v>550</v>
      </c>
      <c r="U1098" t="s">
        <v>51</v>
      </c>
      <c r="V1098" s="219" t="s">
        <v>6461</v>
      </c>
      <c r="W1098" s="219" t="s">
        <v>67</v>
      </c>
    </row>
    <row r="1099" spans="1:23" ht="15" customHeight="1" x14ac:dyDescent="0.25">
      <c r="A1099" t="s">
        <v>2819</v>
      </c>
      <c r="B1099" t="s">
        <v>575</v>
      </c>
      <c r="C1099">
        <v>3355</v>
      </c>
      <c r="D1099" t="s">
        <v>2820</v>
      </c>
      <c r="E1099" t="s">
        <v>238</v>
      </c>
      <c r="F1099" t="s">
        <v>585</v>
      </c>
      <c r="G1099" s="30">
        <v>46147</v>
      </c>
      <c r="H1099" t="s">
        <v>2821</v>
      </c>
      <c r="I1099">
        <v>1033551.95</v>
      </c>
      <c r="J1099" s="123">
        <v>0</v>
      </c>
      <c r="K1099" s="123">
        <v>0</v>
      </c>
      <c r="L1099" s="123">
        <v>45970</v>
      </c>
      <c r="M1099">
        <v>0</v>
      </c>
      <c r="N1099">
        <v>0</v>
      </c>
      <c r="O1099">
        <v>0</v>
      </c>
      <c r="P1099" s="216">
        <v>3355</v>
      </c>
      <c r="Q1099" s="217" t="s">
        <v>19</v>
      </c>
      <c r="R1099" s="217" t="s">
        <v>61</v>
      </c>
      <c r="S1099" s="218">
        <v>0.49741371974577575</v>
      </c>
      <c r="T1099" t="s">
        <v>550</v>
      </c>
      <c r="U1099" t="s">
        <v>51</v>
      </c>
      <c r="V1099" s="219">
        <v>0</v>
      </c>
      <c r="W1099" s="219">
        <v>0</v>
      </c>
    </row>
    <row r="1100" spans="1:23" ht="15" customHeight="1" x14ac:dyDescent="0.25">
      <c r="A1100" t="s">
        <v>2822</v>
      </c>
      <c r="B1100" t="s">
        <v>595</v>
      </c>
      <c r="C1100">
        <v>100000</v>
      </c>
      <c r="D1100" t="s">
        <v>2823</v>
      </c>
      <c r="E1100" t="s">
        <v>188</v>
      </c>
      <c r="F1100" t="s">
        <v>580</v>
      </c>
      <c r="G1100" s="30">
        <v>46149</v>
      </c>
      <c r="H1100" t="s">
        <v>2824</v>
      </c>
      <c r="I1100">
        <v>1007074.8</v>
      </c>
      <c r="J1100" s="123">
        <v>0</v>
      </c>
      <c r="K1100" s="123">
        <v>0</v>
      </c>
      <c r="L1100" s="123">
        <v>46147</v>
      </c>
      <c r="M1100">
        <v>0</v>
      </c>
      <c r="N1100">
        <v>0</v>
      </c>
      <c r="O1100">
        <v>0</v>
      </c>
      <c r="P1100" s="216">
        <v>100000</v>
      </c>
      <c r="Q1100" s="217" t="s">
        <v>17</v>
      </c>
      <c r="R1100" s="217" t="s">
        <v>582</v>
      </c>
      <c r="S1100" s="218">
        <v>0.4048755862027329</v>
      </c>
      <c r="T1100" t="s">
        <v>550</v>
      </c>
      <c r="U1100" t="s">
        <v>51</v>
      </c>
      <c r="V1100" s="219">
        <v>0</v>
      </c>
      <c r="W1100" s="219">
        <v>0</v>
      </c>
    </row>
    <row r="1101" spans="1:23" ht="15" customHeight="1" x14ac:dyDescent="0.25">
      <c r="A1101" t="s">
        <v>2825</v>
      </c>
      <c r="B1101" t="s">
        <v>595</v>
      </c>
      <c r="C1101">
        <v>759.5</v>
      </c>
      <c r="D1101" t="s">
        <v>2823</v>
      </c>
      <c r="E1101" t="s">
        <v>188</v>
      </c>
      <c r="F1101" t="s">
        <v>580</v>
      </c>
      <c r="G1101" s="30">
        <v>46149</v>
      </c>
      <c r="H1101" t="s">
        <v>2824</v>
      </c>
      <c r="I1101">
        <v>1007074.8</v>
      </c>
      <c r="J1101" s="123">
        <v>0</v>
      </c>
      <c r="K1101" s="123">
        <v>0</v>
      </c>
      <c r="L1101" s="123">
        <v>46147</v>
      </c>
      <c r="M1101">
        <v>0</v>
      </c>
      <c r="N1101">
        <v>0</v>
      </c>
      <c r="O1101">
        <v>0</v>
      </c>
      <c r="P1101" s="216">
        <v>759.5</v>
      </c>
      <c r="Q1101" s="217" t="s">
        <v>17</v>
      </c>
      <c r="R1101" s="217" t="s">
        <v>582</v>
      </c>
      <c r="S1101" s="218">
        <v>0.4048755862027329</v>
      </c>
      <c r="T1101" t="s">
        <v>550</v>
      </c>
      <c r="U1101" t="s">
        <v>51</v>
      </c>
      <c r="V1101" s="219">
        <v>0</v>
      </c>
      <c r="W1101" s="219">
        <v>0</v>
      </c>
    </row>
    <row r="1102" spans="1:23" ht="15" customHeight="1" x14ac:dyDescent="0.25">
      <c r="A1102" t="s">
        <v>2826</v>
      </c>
      <c r="B1102" t="s">
        <v>595</v>
      </c>
      <c r="C1102">
        <v>99257</v>
      </c>
      <c r="D1102" t="s">
        <v>2827</v>
      </c>
      <c r="E1102" t="s">
        <v>188</v>
      </c>
      <c r="F1102" t="s">
        <v>554</v>
      </c>
      <c r="G1102" s="30">
        <v>46146</v>
      </c>
      <c r="H1102" t="s">
        <v>2828</v>
      </c>
      <c r="I1102">
        <v>992573.1</v>
      </c>
      <c r="J1102" s="123">
        <v>0</v>
      </c>
      <c r="K1102" s="123">
        <v>0</v>
      </c>
      <c r="L1102" s="123">
        <v>46143</v>
      </c>
      <c r="M1102">
        <v>0</v>
      </c>
      <c r="N1102">
        <v>0</v>
      </c>
      <c r="O1102">
        <v>0</v>
      </c>
      <c r="P1102" s="216">
        <v>99257</v>
      </c>
      <c r="Q1102" s="217" t="s">
        <v>17</v>
      </c>
      <c r="R1102" s="217" t="s">
        <v>554</v>
      </c>
      <c r="S1102" s="218">
        <v>0.600157650857151</v>
      </c>
      <c r="T1102" t="s">
        <v>550</v>
      </c>
      <c r="U1102" t="s">
        <v>51</v>
      </c>
      <c r="V1102" s="219" t="s">
        <v>6462</v>
      </c>
      <c r="W1102" s="219" t="s">
        <v>67</v>
      </c>
    </row>
    <row r="1103" spans="1:23" ht="15" customHeight="1" x14ac:dyDescent="0.25">
      <c r="A1103" t="s">
        <v>2829</v>
      </c>
      <c r="B1103" t="s">
        <v>575</v>
      </c>
      <c r="C1103">
        <v>125145</v>
      </c>
      <c r="D1103" t="s">
        <v>2830</v>
      </c>
      <c r="E1103" t="s">
        <v>243</v>
      </c>
      <c r="F1103" t="s">
        <v>580</v>
      </c>
      <c r="G1103" s="30">
        <v>46149</v>
      </c>
      <c r="H1103" t="s">
        <v>2831</v>
      </c>
      <c r="I1103">
        <v>1251452.3</v>
      </c>
      <c r="J1103" s="123">
        <v>0</v>
      </c>
      <c r="K1103" s="123">
        <v>0</v>
      </c>
      <c r="L1103" s="123">
        <v>46094</v>
      </c>
      <c r="M1103">
        <v>0</v>
      </c>
      <c r="N1103">
        <v>0</v>
      </c>
      <c r="O1103">
        <v>0</v>
      </c>
      <c r="P1103" s="216">
        <v>125145</v>
      </c>
      <c r="Q1103" s="217" t="s">
        <v>21</v>
      </c>
      <c r="R1103" s="217" t="s">
        <v>582</v>
      </c>
      <c r="S1103" s="218">
        <v>0.50049762983375401</v>
      </c>
      <c r="T1103" t="s">
        <v>550</v>
      </c>
      <c r="U1103" t="s">
        <v>51</v>
      </c>
      <c r="V1103" s="219">
        <v>0</v>
      </c>
      <c r="W1103" s="219">
        <v>0</v>
      </c>
    </row>
    <row r="1104" spans="1:23" ht="15" customHeight="1" x14ac:dyDescent="0.25">
      <c r="A1104" t="s">
        <v>2832</v>
      </c>
      <c r="B1104" t="s">
        <v>546</v>
      </c>
      <c r="C1104">
        <v>99667</v>
      </c>
      <c r="D1104" t="s">
        <v>2833</v>
      </c>
      <c r="E1104" t="s">
        <v>243</v>
      </c>
      <c r="F1104" t="s">
        <v>554</v>
      </c>
      <c r="G1104" s="30">
        <v>46148</v>
      </c>
      <c r="H1104" t="s">
        <v>2834</v>
      </c>
      <c r="I1104">
        <v>997443.6</v>
      </c>
      <c r="J1104" s="123">
        <v>0</v>
      </c>
      <c r="K1104" s="123">
        <v>0</v>
      </c>
      <c r="L1104" s="123">
        <v>0</v>
      </c>
      <c r="M1104">
        <v>0</v>
      </c>
      <c r="N1104">
        <v>0</v>
      </c>
      <c r="O1104">
        <v>0</v>
      </c>
      <c r="P1104" s="216">
        <v>99667</v>
      </c>
      <c r="Q1104" s="217" t="s">
        <v>21</v>
      </c>
      <c r="R1104" s="217" t="s">
        <v>554</v>
      </c>
      <c r="S1104" s="218">
        <v>0.50000020051259042</v>
      </c>
      <c r="T1104" t="s">
        <v>550</v>
      </c>
      <c r="U1104" t="s">
        <v>51</v>
      </c>
      <c r="V1104" s="219" t="s">
        <v>6463</v>
      </c>
      <c r="W1104" s="219" t="s">
        <v>67</v>
      </c>
    </row>
    <row r="1105" spans="1:23" ht="15" customHeight="1" x14ac:dyDescent="0.25">
      <c r="A1105" t="s">
        <v>2835</v>
      </c>
      <c r="B1105" t="s">
        <v>575</v>
      </c>
      <c r="C1105">
        <v>206346</v>
      </c>
      <c r="D1105" t="s">
        <v>2836</v>
      </c>
      <c r="E1105" t="s">
        <v>1700</v>
      </c>
      <c r="F1105" t="s">
        <v>580</v>
      </c>
      <c r="G1105" s="30">
        <v>46147</v>
      </c>
      <c r="H1105" t="s">
        <v>2837</v>
      </c>
      <c r="I1105">
        <v>2064254.4</v>
      </c>
      <c r="J1105" s="123">
        <v>0</v>
      </c>
      <c r="K1105" s="123">
        <v>0</v>
      </c>
      <c r="L1105" s="123">
        <v>46147</v>
      </c>
      <c r="M1105">
        <v>0</v>
      </c>
      <c r="N1105">
        <v>0</v>
      </c>
      <c r="O1105">
        <v>0</v>
      </c>
      <c r="P1105" s="216">
        <v>206346</v>
      </c>
      <c r="Q1105" s="217" t="s">
        <v>47</v>
      </c>
      <c r="R1105" s="217" t="s">
        <v>582</v>
      </c>
      <c r="S1105" s="218">
        <v>0.30003849816185452</v>
      </c>
      <c r="T1105" t="s">
        <v>550</v>
      </c>
      <c r="U1105" t="s">
        <v>51</v>
      </c>
      <c r="V1105" s="219">
        <v>0</v>
      </c>
      <c r="W1105" s="219">
        <v>0</v>
      </c>
    </row>
    <row r="1106" spans="1:23" ht="15" customHeight="1" x14ac:dyDescent="0.25">
      <c r="A1106" t="s">
        <v>2838</v>
      </c>
      <c r="B1106" t="s">
        <v>595</v>
      </c>
      <c r="C1106">
        <v>91433</v>
      </c>
      <c r="D1106" t="s">
        <v>2839</v>
      </c>
      <c r="E1106" t="s">
        <v>188</v>
      </c>
      <c r="F1106" t="s">
        <v>580</v>
      </c>
      <c r="G1106" s="30">
        <v>46149</v>
      </c>
      <c r="H1106" t="s">
        <v>2840</v>
      </c>
      <c r="I1106">
        <v>1016062.2</v>
      </c>
      <c r="J1106" s="123">
        <v>0</v>
      </c>
      <c r="K1106" s="123">
        <v>0</v>
      </c>
      <c r="L1106" s="123">
        <v>46147</v>
      </c>
      <c r="M1106">
        <v>0</v>
      </c>
      <c r="N1106">
        <v>0</v>
      </c>
      <c r="O1106">
        <v>0</v>
      </c>
      <c r="P1106" s="216">
        <v>91433</v>
      </c>
      <c r="Q1106" s="217" t="s">
        <v>17</v>
      </c>
      <c r="R1106" s="217" t="s">
        <v>582</v>
      </c>
      <c r="S1106" s="218">
        <v>0.31001222169272713</v>
      </c>
      <c r="T1106" t="s">
        <v>550</v>
      </c>
      <c r="U1106" t="s">
        <v>51</v>
      </c>
      <c r="V1106" s="219">
        <v>0</v>
      </c>
      <c r="W1106" s="219">
        <v>0</v>
      </c>
    </row>
    <row r="1107" spans="1:23" ht="15" customHeight="1" x14ac:dyDescent="0.25">
      <c r="A1107" t="s">
        <v>2841</v>
      </c>
      <c r="B1107" t="s">
        <v>546</v>
      </c>
      <c r="C1107">
        <v>80000</v>
      </c>
      <c r="D1107" t="s">
        <v>2842</v>
      </c>
      <c r="E1107" t="s">
        <v>553</v>
      </c>
      <c r="F1107" t="s">
        <v>554</v>
      </c>
      <c r="G1107" s="30">
        <v>46143</v>
      </c>
      <c r="H1107" t="s">
        <v>2843</v>
      </c>
      <c r="I1107">
        <v>1965011.4</v>
      </c>
      <c r="J1107" s="123">
        <v>46143</v>
      </c>
      <c r="K1107" s="123">
        <v>0</v>
      </c>
      <c r="L1107" s="123">
        <v>46143</v>
      </c>
      <c r="M1107">
        <v>0</v>
      </c>
      <c r="N1107">
        <v>0</v>
      </c>
      <c r="O1107" t="s">
        <v>556</v>
      </c>
      <c r="P1107" s="216">
        <v>80000</v>
      </c>
      <c r="Q1107" s="217" t="s">
        <v>17</v>
      </c>
      <c r="R1107" s="217" t="s">
        <v>554</v>
      </c>
      <c r="S1107" s="218">
        <v>0.54172853144770561</v>
      </c>
      <c r="T1107" t="s">
        <v>550</v>
      </c>
      <c r="U1107" t="s">
        <v>51</v>
      </c>
      <c r="V1107" s="219" t="s">
        <v>6464</v>
      </c>
      <c r="W1107" s="219" t="s">
        <v>67</v>
      </c>
    </row>
    <row r="1108" spans="1:23" ht="15" customHeight="1" x14ac:dyDescent="0.25">
      <c r="A1108" t="s">
        <v>2844</v>
      </c>
      <c r="B1108" t="s">
        <v>64</v>
      </c>
      <c r="C1108">
        <v>1913.73</v>
      </c>
      <c r="D1108" t="s">
        <v>2845</v>
      </c>
      <c r="E1108" t="s">
        <v>188</v>
      </c>
      <c r="F1108" t="s">
        <v>554</v>
      </c>
      <c r="G1108" s="30">
        <v>46143</v>
      </c>
      <c r="H1108" t="s">
        <v>2846</v>
      </c>
      <c r="I1108">
        <v>1965011.4</v>
      </c>
      <c r="J1108" s="123">
        <v>0</v>
      </c>
      <c r="K1108" s="123">
        <v>46140</v>
      </c>
      <c r="L1108" s="123">
        <v>0</v>
      </c>
      <c r="M1108">
        <v>1913.73</v>
      </c>
      <c r="N1108">
        <v>0</v>
      </c>
      <c r="O1108" t="s">
        <v>2847</v>
      </c>
      <c r="P1108" s="216">
        <v>0</v>
      </c>
      <c r="Q1108" s="217" t="s">
        <v>17</v>
      </c>
      <c r="R1108" s="217" t="s">
        <v>554</v>
      </c>
      <c r="S1108" s="218">
        <v>0.60132350377203925</v>
      </c>
      <c r="T1108" t="s">
        <v>550</v>
      </c>
      <c r="U1108" t="s">
        <v>51</v>
      </c>
      <c r="V1108" s="219" t="s">
        <v>6465</v>
      </c>
      <c r="W1108" s="219" t="s">
        <v>67</v>
      </c>
    </row>
    <row r="1109" spans="1:23" ht="15" customHeight="1" x14ac:dyDescent="0.25">
      <c r="A1109" t="s">
        <v>2848</v>
      </c>
      <c r="B1109" t="s">
        <v>575</v>
      </c>
      <c r="C1109">
        <v>110383</v>
      </c>
      <c r="D1109" t="s">
        <v>2849</v>
      </c>
      <c r="E1109" t="s">
        <v>243</v>
      </c>
      <c r="F1109" t="s">
        <v>683</v>
      </c>
      <c r="G1109" s="30">
        <v>46146</v>
      </c>
      <c r="H1109" t="s">
        <v>2850</v>
      </c>
      <c r="I1109">
        <v>1137959.1000000001</v>
      </c>
      <c r="J1109" s="123">
        <v>0</v>
      </c>
      <c r="K1109" s="123">
        <v>0</v>
      </c>
      <c r="L1109" s="123">
        <v>46146</v>
      </c>
      <c r="M1109">
        <v>0</v>
      </c>
      <c r="N1109">
        <v>0</v>
      </c>
      <c r="O1109">
        <v>0</v>
      </c>
      <c r="P1109" s="216">
        <v>110383</v>
      </c>
      <c r="Q1109" s="217" t="s">
        <v>21</v>
      </c>
      <c r="R1109" s="217" t="s">
        <v>62</v>
      </c>
      <c r="S1109" s="218">
        <v>0.59999818086336565</v>
      </c>
      <c r="T1109" t="s">
        <v>550</v>
      </c>
      <c r="U1109" t="s">
        <v>51</v>
      </c>
      <c r="V1109" s="219">
        <v>0</v>
      </c>
      <c r="W1109" s="219">
        <v>0</v>
      </c>
    </row>
    <row r="1110" spans="1:23" ht="15" customHeight="1" x14ac:dyDescent="0.25">
      <c r="A1110" t="s">
        <v>2851</v>
      </c>
      <c r="B1110" t="s">
        <v>575</v>
      </c>
      <c r="C1110">
        <v>110381</v>
      </c>
      <c r="D1110" t="s">
        <v>2849</v>
      </c>
      <c r="E1110" t="s">
        <v>243</v>
      </c>
      <c r="F1110" t="s">
        <v>554</v>
      </c>
      <c r="G1110" s="30">
        <v>46147</v>
      </c>
      <c r="H1110" t="s">
        <v>2850</v>
      </c>
      <c r="I1110">
        <v>1137959.1000000001</v>
      </c>
      <c r="J1110" s="123">
        <v>0</v>
      </c>
      <c r="K1110" s="123">
        <v>0</v>
      </c>
      <c r="L1110" s="123">
        <v>46146</v>
      </c>
      <c r="M1110">
        <v>0</v>
      </c>
      <c r="N1110">
        <v>0</v>
      </c>
      <c r="O1110">
        <v>0</v>
      </c>
      <c r="P1110" s="216">
        <v>110381</v>
      </c>
      <c r="Q1110" s="217" t="s">
        <v>21</v>
      </c>
      <c r="R1110" s="217" t="s">
        <v>554</v>
      </c>
      <c r="S1110" s="218">
        <v>0.59999818086336565</v>
      </c>
      <c r="T1110" t="s">
        <v>550</v>
      </c>
      <c r="U1110" t="s">
        <v>51</v>
      </c>
      <c r="V1110" s="219" t="s">
        <v>6466</v>
      </c>
      <c r="W1110" s="219" t="s">
        <v>67</v>
      </c>
    </row>
    <row r="1111" spans="1:23" ht="15" customHeight="1" x14ac:dyDescent="0.25">
      <c r="A1111" t="s">
        <v>2852</v>
      </c>
      <c r="B1111" t="s">
        <v>575</v>
      </c>
      <c r="C1111">
        <v>102324</v>
      </c>
      <c r="D1111" t="s">
        <v>2853</v>
      </c>
      <c r="E1111" t="s">
        <v>243</v>
      </c>
      <c r="F1111" t="s">
        <v>554</v>
      </c>
      <c r="G1111" s="30">
        <v>46143</v>
      </c>
      <c r="H1111" t="s">
        <v>2854</v>
      </c>
      <c r="I1111">
        <v>1023243.75</v>
      </c>
      <c r="J1111" s="123">
        <v>0</v>
      </c>
      <c r="K1111" s="123">
        <v>0</v>
      </c>
      <c r="L1111" s="123">
        <v>46142</v>
      </c>
      <c r="M1111">
        <v>0</v>
      </c>
      <c r="N1111">
        <v>0</v>
      </c>
      <c r="O1111">
        <v>0</v>
      </c>
      <c r="P1111" s="216">
        <v>102324</v>
      </c>
      <c r="Q1111" s="217" t="s">
        <v>21</v>
      </c>
      <c r="R1111" s="217" t="s">
        <v>554</v>
      </c>
      <c r="S1111" s="218">
        <v>0.59999998045431502</v>
      </c>
      <c r="T1111" t="s">
        <v>550</v>
      </c>
      <c r="U1111" t="s">
        <v>51</v>
      </c>
      <c r="V1111" s="219" t="s">
        <v>6467</v>
      </c>
      <c r="W1111" s="219" t="s">
        <v>67</v>
      </c>
    </row>
    <row r="1112" spans="1:23" ht="15" customHeight="1" x14ac:dyDescent="0.25">
      <c r="A1112" t="s">
        <v>2855</v>
      </c>
      <c r="B1112" t="s">
        <v>546</v>
      </c>
      <c r="C1112">
        <v>26650</v>
      </c>
      <c r="D1112" t="s">
        <v>2856</v>
      </c>
      <c r="E1112" t="s">
        <v>553</v>
      </c>
      <c r="F1112" t="s">
        <v>554</v>
      </c>
      <c r="G1112" s="30">
        <v>46146</v>
      </c>
      <c r="H1112" t="s">
        <v>2857</v>
      </c>
      <c r="I1112">
        <v>1285563.7</v>
      </c>
      <c r="J1112" s="123">
        <v>46146</v>
      </c>
      <c r="K1112" s="123">
        <v>0</v>
      </c>
      <c r="L1112" s="123">
        <v>46146</v>
      </c>
      <c r="M1112">
        <v>0</v>
      </c>
      <c r="N1112">
        <v>0</v>
      </c>
      <c r="O1112" t="s">
        <v>556</v>
      </c>
      <c r="P1112" s="216">
        <v>26650</v>
      </c>
      <c r="Q1112" s="217" t="s">
        <v>47</v>
      </c>
      <c r="R1112" s="217" t="s">
        <v>554</v>
      </c>
      <c r="S1112" s="218">
        <v>0.76084911233881292</v>
      </c>
      <c r="T1112" t="s">
        <v>550</v>
      </c>
      <c r="U1112" t="s">
        <v>51</v>
      </c>
      <c r="V1112" s="219" t="s">
        <v>6468</v>
      </c>
      <c r="W1112" s="219" t="s">
        <v>67</v>
      </c>
    </row>
    <row r="1113" spans="1:23" ht="15" customHeight="1" x14ac:dyDescent="0.25">
      <c r="A1113" t="s">
        <v>2858</v>
      </c>
      <c r="B1113" t="s">
        <v>546</v>
      </c>
      <c r="C1113">
        <v>105872</v>
      </c>
      <c r="D1113" t="s">
        <v>2859</v>
      </c>
      <c r="E1113" t="s">
        <v>553</v>
      </c>
      <c r="F1113" t="s">
        <v>554</v>
      </c>
      <c r="G1113" s="30">
        <v>46143</v>
      </c>
      <c r="H1113" t="s">
        <v>2860</v>
      </c>
      <c r="I1113">
        <v>1058716.2</v>
      </c>
      <c r="J1113" s="123">
        <v>46143</v>
      </c>
      <c r="K1113" s="123">
        <v>0</v>
      </c>
      <c r="L1113" s="123">
        <v>46143</v>
      </c>
      <c r="M1113">
        <v>0</v>
      </c>
      <c r="N1113">
        <v>0</v>
      </c>
      <c r="O1113" t="s">
        <v>556</v>
      </c>
      <c r="P1113" s="216">
        <v>105872</v>
      </c>
      <c r="Q1113" s="217" t="s">
        <v>21</v>
      </c>
      <c r="R1113" s="217" t="s">
        <v>554</v>
      </c>
      <c r="S1113" s="218">
        <v>0.60000120901144238</v>
      </c>
      <c r="T1113" t="s">
        <v>550</v>
      </c>
      <c r="U1113" t="s">
        <v>51</v>
      </c>
      <c r="V1113" s="219" t="s">
        <v>6469</v>
      </c>
      <c r="W1113" s="219" t="s">
        <v>67</v>
      </c>
    </row>
    <row r="1114" spans="1:23" ht="15" customHeight="1" x14ac:dyDescent="0.25">
      <c r="A1114" t="s">
        <v>2861</v>
      </c>
      <c r="B1114" t="s">
        <v>546</v>
      </c>
      <c r="C1114">
        <v>10000</v>
      </c>
      <c r="D1114" t="s">
        <v>2862</v>
      </c>
      <c r="E1114" t="s">
        <v>553</v>
      </c>
      <c r="F1114" t="s">
        <v>554</v>
      </c>
      <c r="G1114" s="30">
        <v>46149</v>
      </c>
      <c r="H1114" t="s">
        <v>2863</v>
      </c>
      <c r="I1114">
        <v>1281387.25</v>
      </c>
      <c r="J1114" s="123">
        <v>46149</v>
      </c>
      <c r="K1114" s="123">
        <v>0</v>
      </c>
      <c r="L1114" s="123">
        <v>46149</v>
      </c>
      <c r="M1114">
        <v>0</v>
      </c>
      <c r="N1114">
        <v>0</v>
      </c>
      <c r="O1114" t="s">
        <v>556</v>
      </c>
      <c r="P1114" s="216">
        <v>10000</v>
      </c>
      <c r="Q1114" s="217" t="s">
        <v>21</v>
      </c>
      <c r="R1114" s="217" t="s">
        <v>554</v>
      </c>
      <c r="S1114" s="218">
        <v>0.52055162090929186</v>
      </c>
      <c r="T1114" t="s">
        <v>550</v>
      </c>
      <c r="U1114" t="s">
        <v>51</v>
      </c>
      <c r="V1114" s="219" t="s">
        <v>6470</v>
      </c>
      <c r="W1114" s="219" t="s">
        <v>67</v>
      </c>
    </row>
    <row r="1115" spans="1:23" ht="15" customHeight="1" x14ac:dyDescent="0.25">
      <c r="A1115" t="s">
        <v>2864</v>
      </c>
      <c r="B1115" t="s">
        <v>546</v>
      </c>
      <c r="C1115">
        <v>109998.79</v>
      </c>
      <c r="D1115" t="s">
        <v>2862</v>
      </c>
      <c r="E1115" t="s">
        <v>553</v>
      </c>
      <c r="F1115" t="s">
        <v>548</v>
      </c>
      <c r="G1115" s="30">
        <v>46149</v>
      </c>
      <c r="H1115" t="s">
        <v>2863</v>
      </c>
      <c r="I1115">
        <v>1281387.25</v>
      </c>
      <c r="J1115" s="123">
        <v>46149</v>
      </c>
      <c r="K1115" s="123">
        <v>0</v>
      </c>
      <c r="L1115" s="123">
        <v>46149</v>
      </c>
      <c r="M1115">
        <v>0</v>
      </c>
      <c r="N1115">
        <v>0</v>
      </c>
      <c r="O1115" t="s">
        <v>556</v>
      </c>
      <c r="P1115" s="216">
        <v>109998.79</v>
      </c>
      <c r="Q1115" s="217" t="s">
        <v>21</v>
      </c>
      <c r="R1115" s="217" t="s">
        <v>62</v>
      </c>
      <c r="S1115" s="218">
        <v>0.52055162090929186</v>
      </c>
      <c r="T1115" t="s">
        <v>550</v>
      </c>
      <c r="U1115" t="s">
        <v>51</v>
      </c>
      <c r="V1115" s="219">
        <v>0</v>
      </c>
      <c r="W1115" s="219">
        <v>0</v>
      </c>
    </row>
    <row r="1116" spans="1:23" ht="15" customHeight="1" x14ac:dyDescent="0.25">
      <c r="A1116" t="s">
        <v>2865</v>
      </c>
      <c r="B1116" t="s">
        <v>546</v>
      </c>
      <c r="C1116">
        <v>6335</v>
      </c>
      <c r="D1116" t="s">
        <v>2862</v>
      </c>
      <c r="E1116" t="s">
        <v>553</v>
      </c>
      <c r="F1116" t="s">
        <v>554</v>
      </c>
      <c r="G1116" s="30">
        <v>46149</v>
      </c>
      <c r="H1116" t="s">
        <v>2863</v>
      </c>
      <c r="I1116">
        <v>1281387.25</v>
      </c>
      <c r="J1116" s="123">
        <v>46149</v>
      </c>
      <c r="K1116" s="123">
        <v>0</v>
      </c>
      <c r="L1116" s="123">
        <v>46149</v>
      </c>
      <c r="M1116">
        <v>0</v>
      </c>
      <c r="N1116">
        <v>0</v>
      </c>
      <c r="O1116" t="s">
        <v>556</v>
      </c>
      <c r="P1116" s="216">
        <v>6335</v>
      </c>
      <c r="Q1116" s="217" t="s">
        <v>21</v>
      </c>
      <c r="R1116" s="217" t="s">
        <v>554</v>
      </c>
      <c r="S1116" s="218">
        <v>0.52055162090929186</v>
      </c>
      <c r="T1116" t="s">
        <v>550</v>
      </c>
      <c r="U1116" t="s">
        <v>51</v>
      </c>
      <c r="V1116" s="219" t="s">
        <v>6471</v>
      </c>
      <c r="W1116" s="219" t="s">
        <v>67</v>
      </c>
    </row>
    <row r="1117" spans="1:23" ht="15" customHeight="1" x14ac:dyDescent="0.25">
      <c r="A1117" t="s">
        <v>2866</v>
      </c>
      <c r="B1117" t="s">
        <v>546</v>
      </c>
      <c r="C1117">
        <v>6335</v>
      </c>
      <c r="D1117" t="s">
        <v>2862</v>
      </c>
      <c r="E1117" t="s">
        <v>553</v>
      </c>
      <c r="F1117" t="s">
        <v>548</v>
      </c>
      <c r="G1117" s="30">
        <v>46149</v>
      </c>
      <c r="H1117" t="s">
        <v>2863</v>
      </c>
      <c r="I1117">
        <v>1281387.25</v>
      </c>
      <c r="J1117" s="123">
        <v>46149</v>
      </c>
      <c r="K1117" s="123">
        <v>0</v>
      </c>
      <c r="L1117" s="123">
        <v>46149</v>
      </c>
      <c r="M1117">
        <v>0</v>
      </c>
      <c r="N1117">
        <v>0</v>
      </c>
      <c r="O1117" t="s">
        <v>556</v>
      </c>
      <c r="P1117" s="216">
        <v>6335</v>
      </c>
      <c r="Q1117" s="217" t="s">
        <v>21</v>
      </c>
      <c r="R1117" s="217" t="s">
        <v>62</v>
      </c>
      <c r="S1117" s="218">
        <v>0.52055162090929186</v>
      </c>
      <c r="T1117" t="s">
        <v>550</v>
      </c>
      <c r="U1117" t="s">
        <v>51</v>
      </c>
      <c r="V1117" s="219">
        <v>0</v>
      </c>
      <c r="W1117" s="219">
        <v>0</v>
      </c>
    </row>
    <row r="1118" spans="1:23" ht="15" customHeight="1" x14ac:dyDescent="0.25">
      <c r="A1118" t="s">
        <v>2867</v>
      </c>
      <c r="B1118" t="s">
        <v>546</v>
      </c>
      <c r="C1118">
        <v>126333.79</v>
      </c>
      <c r="D1118" t="s">
        <v>2862</v>
      </c>
      <c r="E1118" t="s">
        <v>553</v>
      </c>
      <c r="F1118" t="s">
        <v>548</v>
      </c>
      <c r="G1118" s="30">
        <v>46149</v>
      </c>
      <c r="H1118" t="s">
        <v>2863</v>
      </c>
      <c r="I1118">
        <v>1281387.25</v>
      </c>
      <c r="J1118" s="123">
        <v>46149</v>
      </c>
      <c r="K1118" s="123">
        <v>0</v>
      </c>
      <c r="L1118" s="123">
        <v>46149</v>
      </c>
      <c r="M1118">
        <v>0</v>
      </c>
      <c r="N1118">
        <v>0</v>
      </c>
      <c r="O1118" t="s">
        <v>556</v>
      </c>
      <c r="P1118" s="216">
        <v>126333.79</v>
      </c>
      <c r="Q1118" s="217" t="s">
        <v>21</v>
      </c>
      <c r="R1118" s="217" t="s">
        <v>62</v>
      </c>
      <c r="S1118" s="218">
        <v>0.52055162090929186</v>
      </c>
      <c r="T1118" t="s">
        <v>550</v>
      </c>
      <c r="U1118" t="s">
        <v>51</v>
      </c>
      <c r="V1118" s="219">
        <v>0</v>
      </c>
      <c r="W1118" s="219">
        <v>0</v>
      </c>
    </row>
    <row r="1119" spans="1:23" ht="15" customHeight="1" x14ac:dyDescent="0.25">
      <c r="A1119" t="s">
        <v>2868</v>
      </c>
      <c r="B1119" t="s">
        <v>546</v>
      </c>
      <c r="C1119">
        <v>10000</v>
      </c>
      <c r="D1119" t="s">
        <v>2862</v>
      </c>
      <c r="E1119" t="s">
        <v>553</v>
      </c>
      <c r="F1119" t="s">
        <v>554</v>
      </c>
      <c r="G1119" s="30">
        <v>46149</v>
      </c>
      <c r="H1119" t="s">
        <v>2863</v>
      </c>
      <c r="I1119">
        <v>1281387.25</v>
      </c>
      <c r="J1119" s="123">
        <v>46149</v>
      </c>
      <c r="K1119" s="123">
        <v>0</v>
      </c>
      <c r="L1119" s="123">
        <v>46149</v>
      </c>
      <c r="M1119">
        <v>0</v>
      </c>
      <c r="N1119">
        <v>0</v>
      </c>
      <c r="O1119" t="s">
        <v>556</v>
      </c>
      <c r="P1119" s="216">
        <v>10000</v>
      </c>
      <c r="Q1119" s="217" t="s">
        <v>21</v>
      </c>
      <c r="R1119" s="217" t="s">
        <v>554</v>
      </c>
      <c r="S1119" s="218">
        <v>0.52055162090929186</v>
      </c>
      <c r="T1119" t="s">
        <v>550</v>
      </c>
      <c r="U1119" t="s">
        <v>51</v>
      </c>
      <c r="V1119" s="219" t="s">
        <v>6472</v>
      </c>
      <c r="W1119" s="219" t="s">
        <v>67</v>
      </c>
    </row>
    <row r="1120" spans="1:23" ht="15" customHeight="1" x14ac:dyDescent="0.25">
      <c r="A1120" t="s">
        <v>2869</v>
      </c>
      <c r="B1120" t="s">
        <v>546</v>
      </c>
      <c r="C1120">
        <v>13000</v>
      </c>
      <c r="D1120" t="s">
        <v>2870</v>
      </c>
      <c r="E1120" t="s">
        <v>203</v>
      </c>
      <c r="F1120" t="s">
        <v>554</v>
      </c>
      <c r="G1120" s="30">
        <v>46146</v>
      </c>
      <c r="H1120" t="s">
        <v>2871</v>
      </c>
      <c r="I1120">
        <v>1025370.8</v>
      </c>
      <c r="J1120" s="123">
        <v>0</v>
      </c>
      <c r="K1120" s="123">
        <v>0</v>
      </c>
      <c r="L1120" s="123">
        <v>0</v>
      </c>
      <c r="M1120">
        <v>0</v>
      </c>
      <c r="N1120">
        <v>0</v>
      </c>
      <c r="O1120">
        <v>0</v>
      </c>
      <c r="P1120" s="216">
        <v>13000</v>
      </c>
      <c r="Q1120" s="217" t="s">
        <v>22</v>
      </c>
      <c r="R1120" s="217" t="s">
        <v>554</v>
      </c>
      <c r="S1120" s="218">
        <v>0.32243067581015566</v>
      </c>
      <c r="T1120" t="s">
        <v>550</v>
      </c>
      <c r="U1120" t="s">
        <v>51</v>
      </c>
      <c r="V1120" s="219" t="s">
        <v>6473</v>
      </c>
      <c r="W1120" s="219" t="s">
        <v>67</v>
      </c>
    </row>
    <row r="1121" spans="1:23" ht="15" customHeight="1" x14ac:dyDescent="0.25">
      <c r="A1121" t="s">
        <v>2872</v>
      </c>
      <c r="B1121" t="s">
        <v>1118</v>
      </c>
      <c r="C1121">
        <v>126606</v>
      </c>
      <c r="D1121" t="s">
        <v>2873</v>
      </c>
      <c r="E1121" t="s">
        <v>198</v>
      </c>
      <c r="F1121" t="s">
        <v>580</v>
      </c>
      <c r="G1121" s="30">
        <v>46146</v>
      </c>
      <c r="H1121" t="s">
        <v>2874</v>
      </c>
      <c r="I1121">
        <v>1266057.25</v>
      </c>
      <c r="J1121" s="123">
        <v>0</v>
      </c>
      <c r="K1121" s="123">
        <v>0</v>
      </c>
      <c r="L1121" s="123">
        <v>46127</v>
      </c>
      <c r="M1121">
        <v>0</v>
      </c>
      <c r="N1121">
        <v>0</v>
      </c>
      <c r="O1121">
        <v>0</v>
      </c>
      <c r="P1121" s="216">
        <v>126606</v>
      </c>
      <c r="Q1121" s="217" t="s">
        <v>29</v>
      </c>
      <c r="R1121" s="217" t="s">
        <v>582</v>
      </c>
      <c r="S1121" s="218">
        <v>0.50000029619513653</v>
      </c>
      <c r="T1121" t="s">
        <v>550</v>
      </c>
      <c r="U1121" t="s">
        <v>51</v>
      </c>
      <c r="V1121" s="219">
        <v>0</v>
      </c>
      <c r="W1121" s="219">
        <v>0</v>
      </c>
    </row>
    <row r="1122" spans="1:23" ht="15" customHeight="1" x14ac:dyDescent="0.25">
      <c r="A1122" t="s">
        <v>2875</v>
      </c>
      <c r="B1122" t="s">
        <v>595</v>
      </c>
      <c r="C1122">
        <v>118185</v>
      </c>
      <c r="D1122" t="s">
        <v>2876</v>
      </c>
      <c r="E1122" t="s">
        <v>203</v>
      </c>
      <c r="F1122" t="s">
        <v>554</v>
      </c>
      <c r="G1122" s="30">
        <v>46148</v>
      </c>
      <c r="H1122" t="s">
        <v>2877</v>
      </c>
      <c r="I1122">
        <v>1181854</v>
      </c>
      <c r="J1122" s="123">
        <v>0</v>
      </c>
      <c r="K1122" s="123">
        <v>0</v>
      </c>
      <c r="L1122" s="123">
        <v>46146</v>
      </c>
      <c r="M1122">
        <v>0</v>
      </c>
      <c r="N1122">
        <v>0</v>
      </c>
      <c r="O1122">
        <v>0</v>
      </c>
      <c r="P1122" s="216">
        <v>118185</v>
      </c>
      <c r="Q1122" s="217" t="s">
        <v>22</v>
      </c>
      <c r="R1122" s="217" t="s">
        <v>554</v>
      </c>
      <c r="S1122" s="218">
        <v>0.50006506725873079</v>
      </c>
      <c r="T1122" t="s">
        <v>550</v>
      </c>
      <c r="U1122" t="s">
        <v>51</v>
      </c>
      <c r="V1122" s="219" t="s">
        <v>6474</v>
      </c>
      <c r="W1122" s="219" t="s">
        <v>67</v>
      </c>
    </row>
    <row r="1123" spans="1:23" ht="15" customHeight="1" x14ac:dyDescent="0.25">
      <c r="A1123" t="s">
        <v>2878</v>
      </c>
      <c r="B1123" t="s">
        <v>595</v>
      </c>
      <c r="C1123">
        <v>35200</v>
      </c>
      <c r="D1123" t="s">
        <v>2879</v>
      </c>
      <c r="E1123" t="s">
        <v>203</v>
      </c>
      <c r="F1123" t="s">
        <v>580</v>
      </c>
      <c r="G1123" s="30">
        <v>46148</v>
      </c>
      <c r="H1123" t="s">
        <v>2880</v>
      </c>
      <c r="I1123">
        <v>1293792.5</v>
      </c>
      <c r="J1123" s="123">
        <v>0</v>
      </c>
      <c r="K1123" s="123">
        <v>0</v>
      </c>
      <c r="L1123" s="123">
        <v>46148</v>
      </c>
      <c r="M1123">
        <v>0</v>
      </c>
      <c r="N1123">
        <v>0</v>
      </c>
      <c r="O1123">
        <v>0</v>
      </c>
      <c r="P1123" s="216">
        <v>35200</v>
      </c>
      <c r="Q1123" s="217" t="s">
        <v>22</v>
      </c>
      <c r="R1123" s="217" t="s">
        <v>582</v>
      </c>
      <c r="S1123" s="218">
        <v>0.30150405107465067</v>
      </c>
      <c r="T1123" t="s">
        <v>550</v>
      </c>
      <c r="U1123" t="s">
        <v>51</v>
      </c>
      <c r="V1123" s="219">
        <v>0</v>
      </c>
      <c r="W1123" s="219">
        <v>0</v>
      </c>
    </row>
    <row r="1124" spans="1:23" ht="15" customHeight="1" x14ac:dyDescent="0.25">
      <c r="A1124" t="s">
        <v>2881</v>
      </c>
      <c r="B1124" t="s">
        <v>64</v>
      </c>
      <c r="C1124">
        <v>118225</v>
      </c>
      <c r="D1124" t="s">
        <v>2882</v>
      </c>
      <c r="E1124" t="s">
        <v>198</v>
      </c>
      <c r="F1124" t="s">
        <v>554</v>
      </c>
      <c r="G1124" s="30">
        <v>46146</v>
      </c>
      <c r="H1124" t="s">
        <v>2883</v>
      </c>
      <c r="I1124">
        <v>1180263</v>
      </c>
      <c r="J1124" s="123">
        <v>0</v>
      </c>
      <c r="K1124" s="123">
        <v>46137</v>
      </c>
      <c r="L1124" s="123">
        <v>0</v>
      </c>
      <c r="M1124">
        <v>0</v>
      </c>
      <c r="N1124">
        <v>0</v>
      </c>
      <c r="O1124" t="s">
        <v>556</v>
      </c>
      <c r="P1124" s="216">
        <v>118225</v>
      </c>
      <c r="Q1124" s="217" t="s">
        <v>29</v>
      </c>
      <c r="R1124" s="217" t="s">
        <v>554</v>
      </c>
      <c r="S1124" s="218">
        <v>0.50088412497892421</v>
      </c>
      <c r="T1124" t="s">
        <v>550</v>
      </c>
      <c r="U1124" t="s">
        <v>51</v>
      </c>
      <c r="V1124" s="219" t="s">
        <v>6475</v>
      </c>
      <c r="W1124" s="219" t="s">
        <v>67</v>
      </c>
    </row>
    <row r="1125" spans="1:23" ht="15" customHeight="1" x14ac:dyDescent="0.25">
      <c r="A1125" t="s">
        <v>2884</v>
      </c>
      <c r="B1125" t="s">
        <v>64</v>
      </c>
      <c r="C1125">
        <v>118204</v>
      </c>
      <c r="D1125" t="s">
        <v>2885</v>
      </c>
      <c r="E1125" t="s">
        <v>198</v>
      </c>
      <c r="F1125" t="s">
        <v>554</v>
      </c>
      <c r="G1125" s="30">
        <v>46146</v>
      </c>
      <c r="H1125" t="s">
        <v>2886</v>
      </c>
      <c r="I1125">
        <v>1182039</v>
      </c>
      <c r="J1125" s="123">
        <v>0</v>
      </c>
      <c r="K1125" s="123">
        <v>46137</v>
      </c>
      <c r="L1125" s="123">
        <v>0</v>
      </c>
      <c r="M1125">
        <v>0</v>
      </c>
      <c r="N1125">
        <v>0</v>
      </c>
      <c r="O1125" t="s">
        <v>556</v>
      </c>
      <c r="P1125" s="216">
        <v>118204</v>
      </c>
      <c r="Q1125" s="217" t="s">
        <v>29</v>
      </c>
      <c r="R1125" s="217" t="s">
        <v>554</v>
      </c>
      <c r="S1125" s="218">
        <v>0.5000029609852128</v>
      </c>
      <c r="T1125" t="s">
        <v>550</v>
      </c>
      <c r="U1125" t="s">
        <v>51</v>
      </c>
      <c r="V1125" s="219" t="s">
        <v>6476</v>
      </c>
      <c r="W1125" s="219" t="s">
        <v>67</v>
      </c>
    </row>
    <row r="1126" spans="1:23" ht="15" customHeight="1" x14ac:dyDescent="0.25">
      <c r="A1126" t="s">
        <v>2887</v>
      </c>
      <c r="B1126" t="s">
        <v>546</v>
      </c>
      <c r="C1126">
        <v>15000</v>
      </c>
      <c r="D1126" t="s">
        <v>2888</v>
      </c>
      <c r="E1126" t="s">
        <v>553</v>
      </c>
      <c r="F1126" t="s">
        <v>554</v>
      </c>
      <c r="G1126" s="30">
        <v>46147</v>
      </c>
      <c r="H1126" t="s">
        <v>2889</v>
      </c>
      <c r="I1126">
        <v>1091133.2</v>
      </c>
      <c r="J1126" s="123">
        <v>46147</v>
      </c>
      <c r="K1126" s="123">
        <v>0</v>
      </c>
      <c r="L1126" s="123">
        <v>46147</v>
      </c>
      <c r="M1126">
        <v>0</v>
      </c>
      <c r="N1126">
        <v>0</v>
      </c>
      <c r="O1126" t="s">
        <v>556</v>
      </c>
      <c r="P1126" s="216">
        <v>15000</v>
      </c>
      <c r="Q1126" s="217" t="s">
        <v>22</v>
      </c>
      <c r="R1126" s="217" t="s">
        <v>554</v>
      </c>
      <c r="S1126" s="218">
        <v>0.5690988048022001</v>
      </c>
      <c r="T1126" t="s">
        <v>550</v>
      </c>
      <c r="U1126" t="s">
        <v>51</v>
      </c>
      <c r="V1126" s="219" t="s">
        <v>6477</v>
      </c>
      <c r="W1126" s="219" t="s">
        <v>67</v>
      </c>
    </row>
    <row r="1127" spans="1:23" ht="15" customHeight="1" x14ac:dyDescent="0.25">
      <c r="A1127" t="s">
        <v>2890</v>
      </c>
      <c r="B1127" t="s">
        <v>546</v>
      </c>
      <c r="C1127">
        <v>48678.400000000001</v>
      </c>
      <c r="D1127" t="s">
        <v>2888</v>
      </c>
      <c r="E1127" t="s">
        <v>553</v>
      </c>
      <c r="F1127" t="s">
        <v>548</v>
      </c>
      <c r="G1127" s="30">
        <v>46147</v>
      </c>
      <c r="H1127" t="s">
        <v>2889</v>
      </c>
      <c r="I1127">
        <v>1091133.2</v>
      </c>
      <c r="J1127" s="123">
        <v>46147</v>
      </c>
      <c r="K1127" s="123">
        <v>0</v>
      </c>
      <c r="L1127" s="123">
        <v>46147</v>
      </c>
      <c r="M1127">
        <v>0</v>
      </c>
      <c r="N1127">
        <v>0</v>
      </c>
      <c r="O1127" t="s">
        <v>556</v>
      </c>
      <c r="P1127" s="216">
        <v>48678.400000000001</v>
      </c>
      <c r="Q1127" s="217" t="s">
        <v>22</v>
      </c>
      <c r="R1127" s="217" t="s">
        <v>62</v>
      </c>
      <c r="S1127" s="218">
        <v>0.5690988048022001</v>
      </c>
      <c r="T1127" t="s">
        <v>550</v>
      </c>
      <c r="U1127" t="s">
        <v>51</v>
      </c>
      <c r="V1127" s="219">
        <v>0</v>
      </c>
      <c r="W1127" s="219">
        <v>0</v>
      </c>
    </row>
    <row r="1128" spans="1:23" ht="15" customHeight="1" x14ac:dyDescent="0.25">
      <c r="A1128" t="s">
        <v>2891</v>
      </c>
      <c r="B1128" t="s">
        <v>595</v>
      </c>
      <c r="C1128">
        <v>127768</v>
      </c>
      <c r="D1128" t="s">
        <v>2892</v>
      </c>
      <c r="E1128" t="s">
        <v>203</v>
      </c>
      <c r="F1128" t="s">
        <v>554</v>
      </c>
      <c r="G1128" s="30">
        <v>46146</v>
      </c>
      <c r="H1128" t="s">
        <v>2893</v>
      </c>
      <c r="I1128">
        <v>1277683.5</v>
      </c>
      <c r="J1128" s="123">
        <v>0</v>
      </c>
      <c r="K1128" s="123">
        <v>0</v>
      </c>
      <c r="L1128" s="123">
        <v>46135</v>
      </c>
      <c r="M1128">
        <v>0</v>
      </c>
      <c r="N1128">
        <v>0</v>
      </c>
      <c r="O1128">
        <v>0</v>
      </c>
      <c r="P1128" s="216">
        <v>127768</v>
      </c>
      <c r="Q1128" s="217" t="s">
        <v>22</v>
      </c>
      <c r="R1128" s="217" t="s">
        <v>554</v>
      </c>
      <c r="S1128" s="218">
        <v>0.5002193422706015</v>
      </c>
      <c r="T1128" t="s">
        <v>550</v>
      </c>
      <c r="U1128" t="s">
        <v>51</v>
      </c>
      <c r="V1128" s="219" t="s">
        <v>6478</v>
      </c>
      <c r="W1128" s="219" t="s">
        <v>67</v>
      </c>
    </row>
    <row r="1129" spans="1:23" ht="15" customHeight="1" x14ac:dyDescent="0.25">
      <c r="A1129" t="s">
        <v>2894</v>
      </c>
      <c r="B1129" t="s">
        <v>595</v>
      </c>
      <c r="C1129">
        <v>25000</v>
      </c>
      <c r="D1129" t="s">
        <v>2895</v>
      </c>
      <c r="E1129" t="s">
        <v>2760</v>
      </c>
      <c r="F1129" t="s">
        <v>585</v>
      </c>
      <c r="G1129" s="30">
        <v>46146</v>
      </c>
      <c r="H1129" t="s">
        <v>2896</v>
      </c>
      <c r="I1129">
        <v>989196.75</v>
      </c>
      <c r="J1129" s="123">
        <v>0</v>
      </c>
      <c r="K1129" s="123">
        <v>0</v>
      </c>
      <c r="L1129" s="123">
        <v>46142</v>
      </c>
      <c r="M1129">
        <v>0</v>
      </c>
      <c r="N1129">
        <v>0</v>
      </c>
      <c r="O1129">
        <v>0</v>
      </c>
      <c r="P1129" s="216">
        <v>25000</v>
      </c>
      <c r="Q1129" s="217" t="s">
        <v>29</v>
      </c>
      <c r="R1129" s="217" t="s">
        <v>61</v>
      </c>
      <c r="S1129" s="218">
        <v>0.49438392311741824</v>
      </c>
      <c r="T1129" t="s">
        <v>550</v>
      </c>
      <c r="U1129" t="s">
        <v>51</v>
      </c>
      <c r="V1129" s="219">
        <v>0</v>
      </c>
      <c r="W1129" s="219">
        <v>0</v>
      </c>
    </row>
    <row r="1130" spans="1:23" ht="15" customHeight="1" x14ac:dyDescent="0.25">
      <c r="A1130" t="s">
        <v>2897</v>
      </c>
      <c r="B1130" t="s">
        <v>546</v>
      </c>
      <c r="C1130">
        <v>119161.15</v>
      </c>
      <c r="D1130" t="s">
        <v>2898</v>
      </c>
      <c r="E1130" t="s">
        <v>553</v>
      </c>
      <c r="F1130" t="s">
        <v>548</v>
      </c>
      <c r="G1130" s="30">
        <v>46148</v>
      </c>
      <c r="H1130" t="s">
        <v>2899</v>
      </c>
      <c r="I1130">
        <v>1191623.1000000001</v>
      </c>
      <c r="J1130" s="123">
        <v>46148</v>
      </c>
      <c r="K1130" s="123">
        <v>0</v>
      </c>
      <c r="L1130" s="123">
        <v>46148</v>
      </c>
      <c r="M1130">
        <v>0</v>
      </c>
      <c r="N1130">
        <v>0</v>
      </c>
      <c r="O1130" t="s">
        <v>556</v>
      </c>
      <c r="P1130" s="216">
        <v>119161.15</v>
      </c>
      <c r="Q1130" s="217" t="s">
        <v>22</v>
      </c>
      <c r="R1130" s="217" t="s">
        <v>62</v>
      </c>
      <c r="S1130" s="218">
        <v>0.49999869925314466</v>
      </c>
      <c r="T1130" t="s">
        <v>550</v>
      </c>
      <c r="U1130" t="s">
        <v>51</v>
      </c>
      <c r="V1130" s="219">
        <v>0</v>
      </c>
      <c r="W1130" s="219">
        <v>0</v>
      </c>
    </row>
    <row r="1131" spans="1:23" ht="15" customHeight="1" x14ac:dyDescent="0.25">
      <c r="A1131" t="s">
        <v>2900</v>
      </c>
      <c r="B1131" t="s">
        <v>546</v>
      </c>
      <c r="C1131">
        <v>119161.15</v>
      </c>
      <c r="D1131" t="s">
        <v>2898</v>
      </c>
      <c r="E1131" t="s">
        <v>553</v>
      </c>
      <c r="F1131" t="s">
        <v>554</v>
      </c>
      <c r="G1131" s="30">
        <v>46149</v>
      </c>
      <c r="H1131" t="s">
        <v>2899</v>
      </c>
      <c r="I1131">
        <v>1191623.1000000001</v>
      </c>
      <c r="J1131" s="123">
        <v>46149</v>
      </c>
      <c r="K1131" s="123">
        <v>0</v>
      </c>
      <c r="L1131" s="123">
        <v>46149</v>
      </c>
      <c r="M1131">
        <v>0</v>
      </c>
      <c r="N1131">
        <v>0</v>
      </c>
      <c r="O1131" t="s">
        <v>556</v>
      </c>
      <c r="P1131" s="216">
        <v>119161.15</v>
      </c>
      <c r="Q1131" s="217" t="s">
        <v>22</v>
      </c>
      <c r="R1131" s="217" t="s">
        <v>554</v>
      </c>
      <c r="S1131" s="218">
        <v>0.49999869925314466</v>
      </c>
      <c r="T1131" t="s">
        <v>550</v>
      </c>
      <c r="U1131" t="s">
        <v>51</v>
      </c>
      <c r="V1131" s="219" t="s">
        <v>6479</v>
      </c>
      <c r="W1131" s="219" t="s">
        <v>67</v>
      </c>
    </row>
    <row r="1132" spans="1:23" ht="15" customHeight="1" x14ac:dyDescent="0.25">
      <c r="A1132" t="s">
        <v>2901</v>
      </c>
      <c r="B1132" t="s">
        <v>546</v>
      </c>
      <c r="C1132">
        <v>20000</v>
      </c>
      <c r="D1132" t="s">
        <v>2902</v>
      </c>
      <c r="E1132" t="s">
        <v>316</v>
      </c>
      <c r="F1132" t="s">
        <v>554</v>
      </c>
      <c r="G1132" s="30">
        <v>46148</v>
      </c>
      <c r="H1132" t="s">
        <v>2903</v>
      </c>
      <c r="I1132">
        <v>1006871.85</v>
      </c>
      <c r="J1132" s="123">
        <v>0</v>
      </c>
      <c r="K1132" s="123">
        <v>0</v>
      </c>
      <c r="L1132" s="123">
        <v>0</v>
      </c>
      <c r="M1132">
        <v>0</v>
      </c>
      <c r="N1132">
        <v>0</v>
      </c>
      <c r="O1132">
        <v>0</v>
      </c>
      <c r="P1132" s="216">
        <v>20000</v>
      </c>
      <c r="Q1132" s="217" t="s">
        <v>46</v>
      </c>
      <c r="R1132" s="217" t="s">
        <v>554</v>
      </c>
      <c r="S1132" s="218">
        <v>0.49821622284901501</v>
      </c>
      <c r="T1132" t="s">
        <v>550</v>
      </c>
      <c r="U1132" t="s">
        <v>51</v>
      </c>
      <c r="V1132" s="219" t="s">
        <v>6480</v>
      </c>
      <c r="W1132" s="219" t="s">
        <v>67</v>
      </c>
    </row>
    <row r="1133" spans="1:23" ht="15" customHeight="1" x14ac:dyDescent="0.25">
      <c r="A1133" t="s">
        <v>2904</v>
      </c>
      <c r="B1133" t="s">
        <v>595</v>
      </c>
      <c r="C1133">
        <v>128686</v>
      </c>
      <c r="D1133" t="s">
        <v>2905</v>
      </c>
      <c r="E1133" t="s">
        <v>198</v>
      </c>
      <c r="F1133" t="s">
        <v>585</v>
      </c>
      <c r="G1133" s="30">
        <v>46146</v>
      </c>
      <c r="H1133" t="s">
        <v>2906</v>
      </c>
      <c r="I1133">
        <v>1286869.1499999999</v>
      </c>
      <c r="J1133" s="123">
        <v>0</v>
      </c>
      <c r="K1133" s="123">
        <v>0</v>
      </c>
      <c r="L1133" s="123">
        <v>46145</v>
      </c>
      <c r="M1133">
        <v>0</v>
      </c>
      <c r="N1133">
        <v>0</v>
      </c>
      <c r="O1133">
        <v>0</v>
      </c>
      <c r="P1133" s="216">
        <v>128686</v>
      </c>
      <c r="Q1133" s="217" t="s">
        <v>29</v>
      </c>
      <c r="R1133" s="217" t="s">
        <v>61</v>
      </c>
      <c r="S1133" s="218">
        <v>0.50000050898725801</v>
      </c>
      <c r="T1133" t="s">
        <v>550</v>
      </c>
      <c r="U1133" t="s">
        <v>51</v>
      </c>
      <c r="V1133" s="219">
        <v>0</v>
      </c>
      <c r="W1133" s="219">
        <v>0</v>
      </c>
    </row>
    <row r="1134" spans="1:23" ht="15" customHeight="1" x14ac:dyDescent="0.25">
      <c r="A1134" t="s">
        <v>2907</v>
      </c>
      <c r="B1134" t="s">
        <v>575</v>
      </c>
      <c r="C1134">
        <v>101505.78</v>
      </c>
      <c r="D1134" t="s">
        <v>2908</v>
      </c>
      <c r="E1134" t="s">
        <v>2909</v>
      </c>
      <c r="F1134" t="s">
        <v>554</v>
      </c>
      <c r="G1134" s="30">
        <v>46144</v>
      </c>
      <c r="H1134" t="s">
        <v>2910</v>
      </c>
      <c r="I1134">
        <v>1015057.8</v>
      </c>
      <c r="J1134" s="123">
        <v>0</v>
      </c>
      <c r="K1134" s="123">
        <v>0</v>
      </c>
      <c r="L1134" s="123">
        <v>46143</v>
      </c>
      <c r="M1134">
        <v>0</v>
      </c>
      <c r="N1134">
        <v>0</v>
      </c>
      <c r="O1134">
        <v>0</v>
      </c>
      <c r="P1134" s="216">
        <v>101505.78</v>
      </c>
      <c r="Q1134" s="217" t="s">
        <v>22</v>
      </c>
      <c r="R1134" s="217" t="s">
        <v>554</v>
      </c>
      <c r="S1134" s="218">
        <v>0.50000021673642625</v>
      </c>
      <c r="T1134" t="s">
        <v>550</v>
      </c>
      <c r="U1134" t="s">
        <v>51</v>
      </c>
      <c r="V1134" s="219" t="s">
        <v>6481</v>
      </c>
      <c r="W1134" s="219" t="s">
        <v>67</v>
      </c>
    </row>
    <row r="1135" spans="1:23" ht="15" customHeight="1" x14ac:dyDescent="0.25">
      <c r="A1135" t="s">
        <v>2911</v>
      </c>
      <c r="B1135" t="s">
        <v>546</v>
      </c>
      <c r="C1135">
        <v>42938</v>
      </c>
      <c r="D1135" t="s">
        <v>2912</v>
      </c>
      <c r="E1135" t="s">
        <v>203</v>
      </c>
      <c r="F1135" t="s">
        <v>554</v>
      </c>
      <c r="G1135" s="30">
        <v>46147</v>
      </c>
      <c r="H1135" t="s">
        <v>2913</v>
      </c>
      <c r="I1135">
        <v>1288141.95</v>
      </c>
      <c r="J1135" s="123">
        <v>0</v>
      </c>
      <c r="K1135" s="123">
        <v>0</v>
      </c>
      <c r="L1135" s="123">
        <v>0</v>
      </c>
      <c r="M1135">
        <v>0</v>
      </c>
      <c r="N1135">
        <v>0</v>
      </c>
      <c r="O1135">
        <v>0</v>
      </c>
      <c r="P1135" s="216">
        <v>42938</v>
      </c>
      <c r="Q1135" s="217" t="s">
        <v>22</v>
      </c>
      <c r="R1135" s="217" t="s">
        <v>554</v>
      </c>
      <c r="S1135" s="218">
        <v>0.40000094710058937</v>
      </c>
      <c r="T1135" t="s">
        <v>550</v>
      </c>
      <c r="U1135" t="s">
        <v>51</v>
      </c>
      <c r="V1135" s="219" t="s">
        <v>6482</v>
      </c>
      <c r="W1135" s="219" t="s">
        <v>67</v>
      </c>
    </row>
    <row r="1136" spans="1:23" ht="15" customHeight="1" x14ac:dyDescent="0.25">
      <c r="A1136" t="s">
        <v>2914</v>
      </c>
      <c r="B1136" t="s">
        <v>546</v>
      </c>
      <c r="C1136">
        <v>42938</v>
      </c>
      <c r="D1136" t="s">
        <v>2912</v>
      </c>
      <c r="E1136" t="s">
        <v>203</v>
      </c>
      <c r="F1136" t="s">
        <v>554</v>
      </c>
      <c r="G1136" s="30">
        <v>46147</v>
      </c>
      <c r="H1136" t="s">
        <v>2913</v>
      </c>
      <c r="I1136">
        <v>1288141.95</v>
      </c>
      <c r="J1136" s="123">
        <v>0</v>
      </c>
      <c r="K1136" s="123">
        <v>0</v>
      </c>
      <c r="L1136" s="123">
        <v>0</v>
      </c>
      <c r="M1136">
        <v>0</v>
      </c>
      <c r="N1136">
        <v>0</v>
      </c>
      <c r="O1136">
        <v>0</v>
      </c>
      <c r="P1136" s="216">
        <v>42938</v>
      </c>
      <c r="Q1136" s="217" t="s">
        <v>22</v>
      </c>
      <c r="R1136" s="217" t="s">
        <v>554</v>
      </c>
      <c r="S1136" s="218">
        <v>0.40000094710058937</v>
      </c>
      <c r="T1136" t="s">
        <v>550</v>
      </c>
      <c r="U1136" t="s">
        <v>51</v>
      </c>
      <c r="V1136" s="219" t="s">
        <v>6483</v>
      </c>
      <c r="W1136" s="219" t="s">
        <v>67</v>
      </c>
    </row>
    <row r="1137" spans="1:23" ht="15" customHeight="1" x14ac:dyDescent="0.25">
      <c r="A1137" t="s">
        <v>2915</v>
      </c>
      <c r="B1137" t="s">
        <v>546</v>
      </c>
      <c r="C1137">
        <v>42938</v>
      </c>
      <c r="D1137" t="s">
        <v>2912</v>
      </c>
      <c r="E1137" t="s">
        <v>203</v>
      </c>
      <c r="F1137" t="s">
        <v>554</v>
      </c>
      <c r="G1137" s="30">
        <v>46147</v>
      </c>
      <c r="H1137" t="s">
        <v>2913</v>
      </c>
      <c r="I1137">
        <v>1288141.95</v>
      </c>
      <c r="J1137" s="123">
        <v>0</v>
      </c>
      <c r="K1137" s="123">
        <v>0</v>
      </c>
      <c r="L1137" s="123">
        <v>0</v>
      </c>
      <c r="M1137">
        <v>0</v>
      </c>
      <c r="N1137">
        <v>0</v>
      </c>
      <c r="O1137">
        <v>0</v>
      </c>
      <c r="P1137" s="216">
        <v>42938</v>
      </c>
      <c r="Q1137" s="217" t="s">
        <v>22</v>
      </c>
      <c r="R1137" s="217" t="s">
        <v>554</v>
      </c>
      <c r="S1137" s="218">
        <v>0.40000094710058937</v>
      </c>
      <c r="T1137" t="s">
        <v>550</v>
      </c>
      <c r="U1137" t="s">
        <v>51</v>
      </c>
      <c r="V1137" s="219" t="s">
        <v>6484</v>
      </c>
      <c r="W1137" s="219" t="s">
        <v>67</v>
      </c>
    </row>
    <row r="1138" spans="1:23" ht="15" customHeight="1" x14ac:dyDescent="0.25">
      <c r="A1138" t="s">
        <v>2916</v>
      </c>
      <c r="B1138" t="s">
        <v>546</v>
      </c>
      <c r="C1138">
        <v>100527.48</v>
      </c>
      <c r="D1138" t="s">
        <v>2917</v>
      </c>
      <c r="E1138" t="s">
        <v>553</v>
      </c>
      <c r="F1138" t="s">
        <v>554</v>
      </c>
      <c r="G1138" s="30">
        <v>46144</v>
      </c>
      <c r="H1138" t="s">
        <v>2918</v>
      </c>
      <c r="I1138">
        <v>1005281.25</v>
      </c>
      <c r="J1138" s="123">
        <v>46144</v>
      </c>
      <c r="K1138" s="123">
        <v>0</v>
      </c>
      <c r="L1138" s="123">
        <v>46144</v>
      </c>
      <c r="M1138">
        <v>0</v>
      </c>
      <c r="N1138">
        <v>0</v>
      </c>
      <c r="O1138" t="s">
        <v>556</v>
      </c>
      <c r="P1138" s="216">
        <v>100527.48</v>
      </c>
      <c r="Q1138" s="217" t="s">
        <v>29</v>
      </c>
      <c r="R1138" s="217" t="s">
        <v>554</v>
      </c>
      <c r="S1138" s="218">
        <v>0.4999993782834406</v>
      </c>
      <c r="T1138" t="s">
        <v>550</v>
      </c>
      <c r="U1138" t="s">
        <v>51</v>
      </c>
      <c r="V1138" s="219" t="s">
        <v>6485</v>
      </c>
      <c r="W1138" s="219" t="s">
        <v>67</v>
      </c>
    </row>
    <row r="1139" spans="1:23" ht="15" customHeight="1" x14ac:dyDescent="0.25">
      <c r="A1139" t="s">
        <v>2919</v>
      </c>
      <c r="B1139" t="s">
        <v>546</v>
      </c>
      <c r="C1139">
        <v>32000</v>
      </c>
      <c r="D1139" t="s">
        <v>2920</v>
      </c>
      <c r="E1139" t="s">
        <v>553</v>
      </c>
      <c r="F1139" t="s">
        <v>554</v>
      </c>
      <c r="G1139" s="30">
        <v>46143</v>
      </c>
      <c r="H1139" t="s">
        <v>2921</v>
      </c>
      <c r="I1139">
        <v>1117462.5</v>
      </c>
      <c r="J1139" s="123">
        <v>46143</v>
      </c>
      <c r="K1139" s="123">
        <v>0</v>
      </c>
      <c r="L1139" s="123">
        <v>46143</v>
      </c>
      <c r="M1139">
        <v>0</v>
      </c>
      <c r="N1139">
        <v>0</v>
      </c>
      <c r="O1139" t="s">
        <v>556</v>
      </c>
      <c r="P1139" s="216">
        <v>32000</v>
      </c>
      <c r="Q1139" s="217" t="s">
        <v>29</v>
      </c>
      <c r="R1139" s="217" t="s">
        <v>554</v>
      </c>
      <c r="S1139" s="218">
        <v>0.5444938868194682</v>
      </c>
      <c r="T1139" t="s">
        <v>550</v>
      </c>
      <c r="U1139" t="s">
        <v>51</v>
      </c>
      <c r="V1139" s="219" t="s">
        <v>6486</v>
      </c>
      <c r="W1139" s="219" t="s">
        <v>67</v>
      </c>
    </row>
    <row r="1140" spans="1:23" ht="15" customHeight="1" x14ac:dyDescent="0.25">
      <c r="A1140" t="s">
        <v>2922</v>
      </c>
      <c r="B1140" t="s">
        <v>546</v>
      </c>
      <c r="C1140">
        <v>15384</v>
      </c>
      <c r="D1140" t="s">
        <v>2923</v>
      </c>
      <c r="E1140" t="s">
        <v>203</v>
      </c>
      <c r="F1140" t="s">
        <v>548</v>
      </c>
      <c r="G1140" s="30">
        <v>46144</v>
      </c>
      <c r="H1140" t="s">
        <v>2924</v>
      </c>
      <c r="I1140">
        <v>1003856.25</v>
      </c>
      <c r="J1140" s="123">
        <v>0</v>
      </c>
      <c r="K1140" s="123">
        <v>0</v>
      </c>
      <c r="L1140" s="123">
        <v>0</v>
      </c>
      <c r="M1140">
        <v>0</v>
      </c>
      <c r="N1140">
        <v>0</v>
      </c>
      <c r="O1140">
        <v>0</v>
      </c>
      <c r="P1140" s="216">
        <v>15384</v>
      </c>
      <c r="Q1140" s="217" t="s">
        <v>22</v>
      </c>
      <c r="R1140" s="217" t="s">
        <v>62</v>
      </c>
      <c r="S1140" s="218">
        <v>0.48467495221551887</v>
      </c>
      <c r="T1140" t="s">
        <v>550</v>
      </c>
      <c r="U1140" t="s">
        <v>51</v>
      </c>
      <c r="V1140" s="219">
        <v>0</v>
      </c>
      <c r="W1140" s="219">
        <v>0</v>
      </c>
    </row>
    <row r="1141" spans="1:23" ht="15" customHeight="1" x14ac:dyDescent="0.25">
      <c r="A1141" t="s">
        <v>2925</v>
      </c>
      <c r="B1141" t="s">
        <v>575</v>
      </c>
      <c r="C1141">
        <v>109000</v>
      </c>
      <c r="D1141" t="s">
        <v>2926</v>
      </c>
      <c r="E1141" t="s">
        <v>188</v>
      </c>
      <c r="F1141" t="s">
        <v>554</v>
      </c>
      <c r="G1141" s="30">
        <v>46146</v>
      </c>
      <c r="H1141" t="s">
        <v>2927</v>
      </c>
      <c r="I1141">
        <v>1089037.55</v>
      </c>
      <c r="J1141" s="123">
        <v>0</v>
      </c>
      <c r="K1141" s="123">
        <v>0</v>
      </c>
      <c r="L1141" s="123">
        <v>46146</v>
      </c>
      <c r="M1141">
        <v>0</v>
      </c>
      <c r="N1141">
        <v>0</v>
      </c>
      <c r="O1141">
        <v>0</v>
      </c>
      <c r="P1141" s="216">
        <v>109000</v>
      </c>
      <c r="Q1141" s="217" t="s">
        <v>17</v>
      </c>
      <c r="R1141" s="217" t="s">
        <v>554</v>
      </c>
      <c r="S1141" s="218">
        <v>0.60017765227654452</v>
      </c>
      <c r="T1141" t="s">
        <v>550</v>
      </c>
      <c r="U1141" t="s">
        <v>51</v>
      </c>
      <c r="V1141" s="219" t="s">
        <v>6487</v>
      </c>
      <c r="W1141" s="219" t="s">
        <v>67</v>
      </c>
    </row>
    <row r="1142" spans="1:23" ht="15" customHeight="1" x14ac:dyDescent="0.25">
      <c r="A1142" t="s">
        <v>2928</v>
      </c>
      <c r="B1142" t="s">
        <v>575</v>
      </c>
      <c r="C1142">
        <v>54883</v>
      </c>
      <c r="D1142" t="s">
        <v>2929</v>
      </c>
      <c r="E1142" t="s">
        <v>243</v>
      </c>
      <c r="F1142" t="s">
        <v>554</v>
      </c>
      <c r="G1142" s="30">
        <v>46146</v>
      </c>
      <c r="H1142" t="s">
        <v>2930</v>
      </c>
      <c r="I1142">
        <v>1097657.8999999999</v>
      </c>
      <c r="J1142" s="123">
        <v>0</v>
      </c>
      <c r="K1142" s="123">
        <v>0</v>
      </c>
      <c r="L1142" s="123">
        <v>46145</v>
      </c>
      <c r="M1142">
        <v>0</v>
      </c>
      <c r="N1142">
        <v>0</v>
      </c>
      <c r="O1142">
        <v>0</v>
      </c>
      <c r="P1142" s="216">
        <v>54883</v>
      </c>
      <c r="Q1142" s="217" t="s">
        <v>21</v>
      </c>
      <c r="R1142" s="217" t="s">
        <v>554</v>
      </c>
      <c r="S1142" s="218">
        <v>0.59999979046294849</v>
      </c>
      <c r="T1142" t="s">
        <v>550</v>
      </c>
      <c r="U1142" t="s">
        <v>51</v>
      </c>
      <c r="V1142" s="219" t="s">
        <v>6488</v>
      </c>
      <c r="W1142" s="219" t="s">
        <v>67</v>
      </c>
    </row>
    <row r="1143" spans="1:23" ht="15" customHeight="1" x14ac:dyDescent="0.25">
      <c r="A1143" t="s">
        <v>2931</v>
      </c>
      <c r="B1143" t="s">
        <v>546</v>
      </c>
      <c r="C1143">
        <v>14991</v>
      </c>
      <c r="D1143" t="s">
        <v>2932</v>
      </c>
      <c r="E1143" t="s">
        <v>188</v>
      </c>
      <c r="F1143" t="s">
        <v>554</v>
      </c>
      <c r="G1143" s="30">
        <v>46147</v>
      </c>
      <c r="H1143" t="s">
        <v>2933</v>
      </c>
      <c r="I1143">
        <v>1049914.25</v>
      </c>
      <c r="J1143" s="123">
        <v>0</v>
      </c>
      <c r="K1143" s="123">
        <v>0</v>
      </c>
      <c r="L1143" s="123">
        <v>0</v>
      </c>
      <c r="M1143">
        <v>0</v>
      </c>
      <c r="N1143">
        <v>0</v>
      </c>
      <c r="O1143">
        <v>0</v>
      </c>
      <c r="P1143" s="216">
        <v>14991</v>
      </c>
      <c r="Q1143" s="217" t="s">
        <v>17</v>
      </c>
      <c r="R1143" s="217" t="s">
        <v>554</v>
      </c>
      <c r="S1143" s="218">
        <v>0.59999739978764932</v>
      </c>
      <c r="T1143" t="s">
        <v>550</v>
      </c>
      <c r="U1143" t="s">
        <v>51</v>
      </c>
      <c r="V1143" s="219" t="s">
        <v>6489</v>
      </c>
      <c r="W1143" s="219" t="s">
        <v>67</v>
      </c>
    </row>
    <row r="1144" spans="1:23" ht="15" customHeight="1" x14ac:dyDescent="0.25">
      <c r="A1144" t="s">
        <v>2934</v>
      </c>
      <c r="B1144" t="s">
        <v>546</v>
      </c>
      <c r="C1144">
        <v>90000</v>
      </c>
      <c r="D1144" t="s">
        <v>2932</v>
      </c>
      <c r="E1144" t="s">
        <v>188</v>
      </c>
      <c r="F1144" t="s">
        <v>554</v>
      </c>
      <c r="G1144" s="30">
        <v>46147</v>
      </c>
      <c r="H1144" t="s">
        <v>2933</v>
      </c>
      <c r="I1144">
        <v>1049914.25</v>
      </c>
      <c r="J1144" s="123">
        <v>0</v>
      </c>
      <c r="K1144" s="123">
        <v>0</v>
      </c>
      <c r="L1144" s="123">
        <v>0</v>
      </c>
      <c r="M1144">
        <v>0</v>
      </c>
      <c r="N1144">
        <v>0</v>
      </c>
      <c r="O1144">
        <v>0</v>
      </c>
      <c r="P1144" s="216">
        <v>90000</v>
      </c>
      <c r="Q1144" s="217" t="s">
        <v>17</v>
      </c>
      <c r="R1144" s="217" t="s">
        <v>554</v>
      </c>
      <c r="S1144" s="218">
        <v>0.59999739978764932</v>
      </c>
      <c r="T1144" t="s">
        <v>550</v>
      </c>
      <c r="U1144" t="s">
        <v>51</v>
      </c>
      <c r="V1144" s="219" t="s">
        <v>6490</v>
      </c>
      <c r="W1144" s="219" t="s">
        <v>67</v>
      </c>
    </row>
    <row r="1145" spans="1:23" ht="15" customHeight="1" x14ac:dyDescent="0.25">
      <c r="A1145" t="s">
        <v>2935</v>
      </c>
      <c r="B1145" t="s">
        <v>546</v>
      </c>
      <c r="C1145">
        <v>1806</v>
      </c>
      <c r="D1145" t="s">
        <v>2936</v>
      </c>
      <c r="E1145" t="s">
        <v>553</v>
      </c>
      <c r="F1145" t="s">
        <v>554</v>
      </c>
      <c r="G1145" s="30">
        <v>46147</v>
      </c>
      <c r="H1145" t="s">
        <v>2937</v>
      </c>
      <c r="I1145">
        <v>1214214</v>
      </c>
      <c r="J1145" s="123">
        <v>46147</v>
      </c>
      <c r="K1145" s="123">
        <v>0</v>
      </c>
      <c r="L1145" s="123">
        <v>46147</v>
      </c>
      <c r="M1145">
        <v>0</v>
      </c>
      <c r="N1145">
        <v>0</v>
      </c>
      <c r="O1145" t="s">
        <v>556</v>
      </c>
      <c r="P1145" s="216">
        <v>1806</v>
      </c>
      <c r="Q1145" s="217" t="s">
        <v>17</v>
      </c>
      <c r="R1145" s="217" t="s">
        <v>554</v>
      </c>
      <c r="S1145" s="218">
        <v>0.59095184209702734</v>
      </c>
      <c r="T1145" t="s">
        <v>550</v>
      </c>
      <c r="U1145" t="s">
        <v>51</v>
      </c>
      <c r="V1145" s="219" t="s">
        <v>6491</v>
      </c>
      <c r="W1145" s="219" t="s">
        <v>67</v>
      </c>
    </row>
    <row r="1146" spans="1:23" ht="15" customHeight="1" x14ac:dyDescent="0.25">
      <c r="A1146" t="s">
        <v>2938</v>
      </c>
      <c r="B1146" t="s">
        <v>546</v>
      </c>
      <c r="C1146">
        <v>9000</v>
      </c>
      <c r="D1146" t="s">
        <v>2936</v>
      </c>
      <c r="E1146" t="s">
        <v>553</v>
      </c>
      <c r="F1146" t="s">
        <v>554</v>
      </c>
      <c r="G1146" s="30">
        <v>46148</v>
      </c>
      <c r="H1146" t="s">
        <v>2937</v>
      </c>
      <c r="I1146">
        <v>1214214</v>
      </c>
      <c r="J1146" s="123">
        <v>46148</v>
      </c>
      <c r="K1146" s="123">
        <v>0</v>
      </c>
      <c r="L1146" s="123">
        <v>46148</v>
      </c>
      <c r="M1146">
        <v>0</v>
      </c>
      <c r="N1146">
        <v>0</v>
      </c>
      <c r="O1146" t="s">
        <v>556</v>
      </c>
      <c r="P1146" s="216">
        <v>9000</v>
      </c>
      <c r="Q1146" s="217" t="s">
        <v>17</v>
      </c>
      <c r="R1146" s="217" t="s">
        <v>554</v>
      </c>
      <c r="S1146" s="218">
        <v>0.59095184209702734</v>
      </c>
      <c r="T1146" t="s">
        <v>550</v>
      </c>
      <c r="U1146" t="s">
        <v>51</v>
      </c>
      <c r="V1146" s="219" t="s">
        <v>6492</v>
      </c>
      <c r="W1146" s="219" t="s">
        <v>67</v>
      </c>
    </row>
    <row r="1147" spans="1:23" ht="15" customHeight="1" x14ac:dyDescent="0.25">
      <c r="A1147" t="s">
        <v>2939</v>
      </c>
      <c r="B1147" t="s">
        <v>546</v>
      </c>
      <c r="C1147">
        <v>50482</v>
      </c>
      <c r="D1147" t="s">
        <v>2936</v>
      </c>
      <c r="E1147" t="s">
        <v>553</v>
      </c>
      <c r="F1147" t="s">
        <v>548</v>
      </c>
      <c r="G1147" s="30">
        <v>46148</v>
      </c>
      <c r="H1147" t="s">
        <v>2937</v>
      </c>
      <c r="I1147">
        <v>1214214</v>
      </c>
      <c r="J1147" s="123">
        <v>46148</v>
      </c>
      <c r="K1147" s="123">
        <v>0</v>
      </c>
      <c r="L1147" s="123">
        <v>46148</v>
      </c>
      <c r="M1147">
        <v>0</v>
      </c>
      <c r="N1147">
        <v>0</v>
      </c>
      <c r="O1147" t="s">
        <v>556</v>
      </c>
      <c r="P1147" s="216">
        <v>50482</v>
      </c>
      <c r="Q1147" s="217" t="s">
        <v>17</v>
      </c>
      <c r="R1147" s="217" t="s">
        <v>62</v>
      </c>
      <c r="S1147" s="218">
        <v>0.59095184209702734</v>
      </c>
      <c r="T1147" t="s">
        <v>550</v>
      </c>
      <c r="U1147" t="s">
        <v>51</v>
      </c>
      <c r="V1147" s="219">
        <v>0</v>
      </c>
      <c r="W1147" s="219">
        <v>0</v>
      </c>
    </row>
    <row r="1148" spans="1:23" ht="15" customHeight="1" x14ac:dyDescent="0.25">
      <c r="A1148" t="s">
        <v>2940</v>
      </c>
      <c r="B1148" t="s">
        <v>546</v>
      </c>
      <c r="C1148">
        <v>28000</v>
      </c>
      <c r="D1148" t="s">
        <v>2936</v>
      </c>
      <c r="E1148" t="s">
        <v>553</v>
      </c>
      <c r="F1148" t="s">
        <v>554</v>
      </c>
      <c r="G1148" s="30">
        <v>46148</v>
      </c>
      <c r="H1148" t="s">
        <v>2937</v>
      </c>
      <c r="I1148">
        <v>1214214</v>
      </c>
      <c r="J1148" s="123">
        <v>46148</v>
      </c>
      <c r="K1148" s="123">
        <v>0</v>
      </c>
      <c r="L1148" s="123">
        <v>46148</v>
      </c>
      <c r="M1148">
        <v>0</v>
      </c>
      <c r="N1148">
        <v>0</v>
      </c>
      <c r="O1148" t="s">
        <v>556</v>
      </c>
      <c r="P1148" s="216">
        <v>28000</v>
      </c>
      <c r="Q1148" s="217" t="s">
        <v>17</v>
      </c>
      <c r="R1148" s="217" t="s">
        <v>554</v>
      </c>
      <c r="S1148" s="218">
        <v>0.59095184209702734</v>
      </c>
      <c r="T1148" t="s">
        <v>550</v>
      </c>
      <c r="U1148" t="s">
        <v>51</v>
      </c>
      <c r="V1148" s="219" t="s">
        <v>6493</v>
      </c>
      <c r="W1148" s="219" t="s">
        <v>67</v>
      </c>
    </row>
    <row r="1149" spans="1:23" ht="15" customHeight="1" x14ac:dyDescent="0.25">
      <c r="A1149" t="s">
        <v>2941</v>
      </c>
      <c r="B1149" t="s">
        <v>546</v>
      </c>
      <c r="C1149">
        <v>37000</v>
      </c>
      <c r="D1149" t="s">
        <v>2936</v>
      </c>
      <c r="E1149" t="s">
        <v>553</v>
      </c>
      <c r="F1149" t="s">
        <v>548</v>
      </c>
      <c r="G1149" s="30">
        <v>46148</v>
      </c>
      <c r="H1149" t="s">
        <v>2937</v>
      </c>
      <c r="I1149">
        <v>1214214</v>
      </c>
      <c r="J1149" s="123">
        <v>46148</v>
      </c>
      <c r="K1149" s="123">
        <v>0</v>
      </c>
      <c r="L1149" s="123">
        <v>46148</v>
      </c>
      <c r="M1149">
        <v>0</v>
      </c>
      <c r="N1149">
        <v>0</v>
      </c>
      <c r="O1149" t="s">
        <v>556</v>
      </c>
      <c r="P1149" s="216">
        <v>37000</v>
      </c>
      <c r="Q1149" s="217" t="s">
        <v>17</v>
      </c>
      <c r="R1149" s="217" t="s">
        <v>62</v>
      </c>
      <c r="S1149" s="218">
        <v>0.59095184209702734</v>
      </c>
      <c r="T1149" t="s">
        <v>550</v>
      </c>
      <c r="U1149" t="s">
        <v>51</v>
      </c>
      <c r="V1149" s="219">
        <v>0</v>
      </c>
      <c r="W1149" s="219">
        <v>0</v>
      </c>
    </row>
    <row r="1150" spans="1:23" ht="15" customHeight="1" x14ac:dyDescent="0.25">
      <c r="A1150" t="s">
        <v>2942</v>
      </c>
      <c r="B1150" t="s">
        <v>546</v>
      </c>
      <c r="C1150">
        <v>2500</v>
      </c>
      <c r="D1150" t="s">
        <v>2936</v>
      </c>
      <c r="E1150" t="s">
        <v>553</v>
      </c>
      <c r="F1150" t="s">
        <v>554</v>
      </c>
      <c r="G1150" s="30">
        <v>46149</v>
      </c>
      <c r="H1150" t="s">
        <v>2937</v>
      </c>
      <c r="I1150">
        <v>1214214</v>
      </c>
      <c r="J1150" s="123">
        <v>46149</v>
      </c>
      <c r="K1150" s="123">
        <v>0</v>
      </c>
      <c r="L1150" s="123">
        <v>46149</v>
      </c>
      <c r="M1150">
        <v>0</v>
      </c>
      <c r="N1150">
        <v>0</v>
      </c>
      <c r="O1150" t="s">
        <v>556</v>
      </c>
      <c r="P1150" s="216">
        <v>2500</v>
      </c>
      <c r="Q1150" s="217" t="s">
        <v>17</v>
      </c>
      <c r="R1150" s="217" t="s">
        <v>554</v>
      </c>
      <c r="S1150" s="218">
        <v>0.59095184209702734</v>
      </c>
      <c r="T1150" t="s">
        <v>550</v>
      </c>
      <c r="U1150" t="s">
        <v>51</v>
      </c>
      <c r="V1150" s="219" t="s">
        <v>6494</v>
      </c>
      <c r="W1150" s="219" t="s">
        <v>67</v>
      </c>
    </row>
    <row r="1151" spans="1:23" ht="15" customHeight="1" x14ac:dyDescent="0.25">
      <c r="A1151" t="s">
        <v>2943</v>
      </c>
      <c r="B1151" t="s">
        <v>546</v>
      </c>
      <c r="C1151">
        <v>33745</v>
      </c>
      <c r="D1151" t="s">
        <v>2944</v>
      </c>
      <c r="E1151" t="s">
        <v>2945</v>
      </c>
      <c r="F1151" t="s">
        <v>554</v>
      </c>
      <c r="G1151" s="30">
        <v>46146</v>
      </c>
      <c r="H1151" t="s">
        <v>2946</v>
      </c>
      <c r="I1151">
        <v>1037450.25</v>
      </c>
      <c r="J1151" s="123">
        <v>0</v>
      </c>
      <c r="K1151" s="123">
        <v>0</v>
      </c>
      <c r="L1151" s="123">
        <v>0</v>
      </c>
      <c r="M1151">
        <v>0</v>
      </c>
      <c r="N1151">
        <v>0</v>
      </c>
      <c r="O1151">
        <v>0</v>
      </c>
      <c r="P1151" s="216">
        <v>33745</v>
      </c>
      <c r="Q1151" s="217" t="s">
        <v>29</v>
      </c>
      <c r="R1151" s="217" t="s">
        <v>554</v>
      </c>
      <c r="S1151" s="218">
        <v>0.49999987951229469</v>
      </c>
      <c r="T1151" t="s">
        <v>550</v>
      </c>
      <c r="U1151" t="s">
        <v>51</v>
      </c>
      <c r="V1151" s="219" t="s">
        <v>6495</v>
      </c>
      <c r="W1151" s="219" t="s">
        <v>67</v>
      </c>
    </row>
    <row r="1152" spans="1:23" ht="15" customHeight="1" x14ac:dyDescent="0.25">
      <c r="A1152" t="s">
        <v>2947</v>
      </c>
      <c r="B1152" t="s">
        <v>546</v>
      </c>
      <c r="C1152">
        <v>198634.76</v>
      </c>
      <c r="D1152" t="s">
        <v>2948</v>
      </c>
      <c r="E1152" t="s">
        <v>553</v>
      </c>
      <c r="F1152" t="s">
        <v>554</v>
      </c>
      <c r="G1152" s="30">
        <v>46148</v>
      </c>
      <c r="H1152" t="s">
        <v>2949</v>
      </c>
      <c r="I1152">
        <v>1986362.4</v>
      </c>
      <c r="J1152" s="123">
        <v>46147</v>
      </c>
      <c r="K1152" s="123">
        <v>0</v>
      </c>
      <c r="L1152" s="123">
        <v>46147</v>
      </c>
      <c r="M1152">
        <v>0</v>
      </c>
      <c r="N1152">
        <v>0</v>
      </c>
      <c r="O1152" t="s">
        <v>556</v>
      </c>
      <c r="P1152" s="216">
        <v>198634.76</v>
      </c>
      <c r="Q1152" s="217" t="s">
        <v>22</v>
      </c>
      <c r="R1152" s="217" t="s">
        <v>554</v>
      </c>
      <c r="S1152" s="218">
        <v>0.49999939588063086</v>
      </c>
      <c r="T1152" t="s">
        <v>550</v>
      </c>
      <c r="U1152" t="s">
        <v>51</v>
      </c>
      <c r="V1152" s="219" t="s">
        <v>6496</v>
      </c>
      <c r="W1152" s="219" t="s">
        <v>67</v>
      </c>
    </row>
    <row r="1153" spans="1:23" ht="15" customHeight="1" x14ac:dyDescent="0.25">
      <c r="A1153" t="s">
        <v>2950</v>
      </c>
      <c r="B1153" t="s">
        <v>595</v>
      </c>
      <c r="C1153">
        <v>1000</v>
      </c>
      <c r="D1153" t="s">
        <v>2951</v>
      </c>
      <c r="E1153" t="s">
        <v>208</v>
      </c>
      <c r="F1153" t="s">
        <v>554</v>
      </c>
      <c r="G1153" s="30">
        <v>46148</v>
      </c>
      <c r="H1153" t="s">
        <v>2952</v>
      </c>
      <c r="I1153">
        <v>1229767</v>
      </c>
      <c r="J1153" s="123">
        <v>0</v>
      </c>
      <c r="K1153" s="123">
        <v>0</v>
      </c>
      <c r="L1153" s="123">
        <v>46136</v>
      </c>
      <c r="M1153">
        <v>0</v>
      </c>
      <c r="N1153">
        <v>0</v>
      </c>
      <c r="O1153">
        <v>0</v>
      </c>
      <c r="P1153" s="216">
        <v>1000</v>
      </c>
      <c r="Q1153" s="217" t="s">
        <v>23</v>
      </c>
      <c r="R1153" s="217" t="s">
        <v>554</v>
      </c>
      <c r="S1153" s="218">
        <v>0.44408200903097905</v>
      </c>
      <c r="T1153" t="s">
        <v>550</v>
      </c>
      <c r="U1153" t="s">
        <v>51</v>
      </c>
      <c r="V1153" s="219" t="s">
        <v>6497</v>
      </c>
      <c r="W1153" s="219" t="s">
        <v>67</v>
      </c>
    </row>
    <row r="1154" spans="1:23" ht="15" customHeight="1" x14ac:dyDescent="0.25">
      <c r="A1154" t="s">
        <v>2953</v>
      </c>
      <c r="B1154" t="s">
        <v>595</v>
      </c>
      <c r="C1154">
        <v>42000</v>
      </c>
      <c r="D1154" t="s">
        <v>2951</v>
      </c>
      <c r="E1154" t="s">
        <v>208</v>
      </c>
      <c r="F1154" t="s">
        <v>554</v>
      </c>
      <c r="G1154" s="30">
        <v>46148</v>
      </c>
      <c r="H1154" t="s">
        <v>2952</v>
      </c>
      <c r="I1154">
        <v>1229767</v>
      </c>
      <c r="J1154" s="123">
        <v>0</v>
      </c>
      <c r="K1154" s="123">
        <v>0</v>
      </c>
      <c r="L1154" s="123">
        <v>46140</v>
      </c>
      <c r="M1154">
        <v>0</v>
      </c>
      <c r="N1154">
        <v>0</v>
      </c>
      <c r="O1154">
        <v>0</v>
      </c>
      <c r="P1154" s="216">
        <v>42000</v>
      </c>
      <c r="Q1154" s="217" t="s">
        <v>23</v>
      </c>
      <c r="R1154" s="217" t="s">
        <v>554</v>
      </c>
      <c r="S1154" s="218">
        <v>0.44408200903097905</v>
      </c>
      <c r="T1154" t="s">
        <v>550</v>
      </c>
      <c r="U1154" t="s">
        <v>51</v>
      </c>
      <c r="V1154" s="219" t="s">
        <v>6498</v>
      </c>
      <c r="W1154" s="219" t="s">
        <v>67</v>
      </c>
    </row>
    <row r="1155" spans="1:23" ht="15" customHeight="1" x14ac:dyDescent="0.25">
      <c r="A1155" t="s">
        <v>2954</v>
      </c>
      <c r="B1155" t="s">
        <v>595</v>
      </c>
      <c r="C1155">
        <v>17800</v>
      </c>
      <c r="D1155" t="s">
        <v>2955</v>
      </c>
      <c r="E1155" t="s">
        <v>321</v>
      </c>
      <c r="F1155" t="s">
        <v>585</v>
      </c>
      <c r="G1155" s="30">
        <v>46147</v>
      </c>
      <c r="H1155" t="s">
        <v>2956</v>
      </c>
      <c r="I1155">
        <v>1256486</v>
      </c>
      <c r="J1155" s="123">
        <v>0</v>
      </c>
      <c r="K1155" s="123">
        <v>0</v>
      </c>
      <c r="L1155" s="123">
        <v>46141</v>
      </c>
      <c r="M1155">
        <v>0</v>
      </c>
      <c r="N1155">
        <v>0</v>
      </c>
      <c r="O1155">
        <v>0</v>
      </c>
      <c r="P1155" s="216">
        <v>17800</v>
      </c>
      <c r="Q1155" s="217" t="s">
        <v>43</v>
      </c>
      <c r="R1155" s="217" t="s">
        <v>61</v>
      </c>
      <c r="S1155" s="218">
        <v>0.49602116537709134</v>
      </c>
      <c r="T1155" t="s">
        <v>550</v>
      </c>
      <c r="U1155" t="s">
        <v>51</v>
      </c>
      <c r="V1155" s="219">
        <v>0</v>
      </c>
      <c r="W1155" s="219">
        <v>0</v>
      </c>
    </row>
    <row r="1156" spans="1:23" ht="15" customHeight="1" x14ac:dyDescent="0.25">
      <c r="A1156" t="s">
        <v>2957</v>
      </c>
      <c r="B1156" t="s">
        <v>575</v>
      </c>
      <c r="C1156">
        <v>122996</v>
      </c>
      <c r="D1156" t="s">
        <v>2958</v>
      </c>
      <c r="E1156" t="s">
        <v>203</v>
      </c>
      <c r="F1156" t="s">
        <v>554</v>
      </c>
      <c r="G1156" s="30">
        <v>46146</v>
      </c>
      <c r="H1156" t="s">
        <v>2959</v>
      </c>
      <c r="I1156">
        <v>1229959.5</v>
      </c>
      <c r="J1156" s="123">
        <v>0</v>
      </c>
      <c r="K1156" s="123">
        <v>0</v>
      </c>
      <c r="L1156" s="123">
        <v>46145</v>
      </c>
      <c r="M1156">
        <v>0</v>
      </c>
      <c r="N1156">
        <v>0</v>
      </c>
      <c r="O1156">
        <v>0</v>
      </c>
      <c r="P1156" s="216">
        <v>122996</v>
      </c>
      <c r="Q1156" s="217" t="s">
        <v>22</v>
      </c>
      <c r="R1156" s="217" t="s">
        <v>554</v>
      </c>
      <c r="S1156" s="218">
        <v>0.5999625353517738</v>
      </c>
      <c r="T1156" t="s">
        <v>550</v>
      </c>
      <c r="U1156" t="s">
        <v>51</v>
      </c>
      <c r="V1156" s="219" t="s">
        <v>6499</v>
      </c>
      <c r="W1156" s="219" t="s">
        <v>67</v>
      </c>
    </row>
    <row r="1157" spans="1:23" ht="15" customHeight="1" x14ac:dyDescent="0.25">
      <c r="A1157" t="s">
        <v>2960</v>
      </c>
      <c r="B1157" t="s">
        <v>546</v>
      </c>
      <c r="C1157">
        <v>40120</v>
      </c>
      <c r="D1157" t="s">
        <v>2961</v>
      </c>
      <c r="E1157" t="s">
        <v>553</v>
      </c>
      <c r="F1157" t="s">
        <v>554</v>
      </c>
      <c r="G1157" s="30">
        <v>46146</v>
      </c>
      <c r="H1157" t="s">
        <v>2962</v>
      </c>
      <c r="I1157">
        <v>2001186</v>
      </c>
      <c r="J1157" s="123">
        <v>46146</v>
      </c>
      <c r="K1157" s="123">
        <v>0</v>
      </c>
      <c r="L1157" s="123">
        <v>46146</v>
      </c>
      <c r="M1157">
        <v>0</v>
      </c>
      <c r="N1157">
        <v>0</v>
      </c>
      <c r="O1157" t="s">
        <v>556</v>
      </c>
      <c r="P1157" s="216">
        <v>40120</v>
      </c>
      <c r="Q1157" s="217" t="s">
        <v>22</v>
      </c>
      <c r="R1157" s="217" t="s">
        <v>554</v>
      </c>
      <c r="S1157" s="218">
        <v>0.5600244055275222</v>
      </c>
      <c r="T1157" t="s">
        <v>550</v>
      </c>
      <c r="U1157" t="s">
        <v>51</v>
      </c>
      <c r="V1157" s="219" t="s">
        <v>6500</v>
      </c>
      <c r="W1157" s="219" t="s">
        <v>67</v>
      </c>
    </row>
    <row r="1158" spans="1:23" ht="15" customHeight="1" x14ac:dyDescent="0.25">
      <c r="A1158" t="s">
        <v>2963</v>
      </c>
      <c r="B1158" t="s">
        <v>546</v>
      </c>
      <c r="C1158">
        <v>160120</v>
      </c>
      <c r="D1158" t="s">
        <v>2961</v>
      </c>
      <c r="E1158" t="s">
        <v>553</v>
      </c>
      <c r="F1158" t="s">
        <v>548</v>
      </c>
      <c r="G1158" s="30">
        <v>46146</v>
      </c>
      <c r="H1158" t="s">
        <v>2962</v>
      </c>
      <c r="I1158">
        <v>2001186</v>
      </c>
      <c r="J1158" s="123">
        <v>46146</v>
      </c>
      <c r="K1158" s="123">
        <v>0</v>
      </c>
      <c r="L1158" s="123">
        <v>46146</v>
      </c>
      <c r="M1158">
        <v>0</v>
      </c>
      <c r="N1158">
        <v>0</v>
      </c>
      <c r="O1158" t="s">
        <v>556</v>
      </c>
      <c r="P1158" s="216">
        <v>160120</v>
      </c>
      <c r="Q1158" s="217" t="s">
        <v>22</v>
      </c>
      <c r="R1158" s="217" t="s">
        <v>62</v>
      </c>
      <c r="S1158" s="218">
        <v>0.5600244055275222</v>
      </c>
      <c r="T1158" t="s">
        <v>550</v>
      </c>
      <c r="U1158" t="s">
        <v>51</v>
      </c>
      <c r="V1158" s="219">
        <v>0</v>
      </c>
      <c r="W1158" s="219">
        <v>0</v>
      </c>
    </row>
    <row r="1159" spans="1:23" ht="15" customHeight="1" x14ac:dyDescent="0.25">
      <c r="A1159" t="s">
        <v>2964</v>
      </c>
      <c r="B1159" t="s">
        <v>546</v>
      </c>
      <c r="C1159">
        <v>40000</v>
      </c>
      <c r="D1159" t="s">
        <v>2961</v>
      </c>
      <c r="E1159" t="s">
        <v>553</v>
      </c>
      <c r="F1159" t="s">
        <v>554</v>
      </c>
      <c r="G1159" s="30">
        <v>46149</v>
      </c>
      <c r="H1159" t="s">
        <v>2962</v>
      </c>
      <c r="I1159">
        <v>2001186</v>
      </c>
      <c r="J1159" s="123">
        <v>46148</v>
      </c>
      <c r="K1159" s="123">
        <v>0</v>
      </c>
      <c r="L1159" s="123">
        <v>46148</v>
      </c>
      <c r="M1159">
        <v>0</v>
      </c>
      <c r="N1159">
        <v>0</v>
      </c>
      <c r="O1159" t="s">
        <v>556</v>
      </c>
      <c r="P1159" s="216">
        <v>40000</v>
      </c>
      <c r="Q1159" s="217" t="s">
        <v>22</v>
      </c>
      <c r="R1159" s="217" t="s">
        <v>554</v>
      </c>
      <c r="S1159" s="218">
        <v>0.5600244055275222</v>
      </c>
      <c r="T1159" t="s">
        <v>550</v>
      </c>
      <c r="U1159" t="s">
        <v>51</v>
      </c>
      <c r="V1159" s="219" t="s">
        <v>6501</v>
      </c>
      <c r="W1159" s="219" t="s">
        <v>67</v>
      </c>
    </row>
    <row r="1160" spans="1:23" ht="15" customHeight="1" x14ac:dyDescent="0.25">
      <c r="A1160" t="s">
        <v>2965</v>
      </c>
      <c r="B1160" t="s">
        <v>575</v>
      </c>
      <c r="C1160">
        <v>49000</v>
      </c>
      <c r="D1160" t="s">
        <v>2966</v>
      </c>
      <c r="E1160" t="s">
        <v>321</v>
      </c>
      <c r="F1160" t="s">
        <v>585</v>
      </c>
      <c r="G1160" s="30">
        <v>46146</v>
      </c>
      <c r="H1160" t="s">
        <v>2967</v>
      </c>
      <c r="I1160">
        <v>1066902.1499999999</v>
      </c>
      <c r="J1160" s="123">
        <v>0</v>
      </c>
      <c r="K1160" s="123">
        <v>0</v>
      </c>
      <c r="L1160" s="123">
        <v>46142</v>
      </c>
      <c r="M1160">
        <v>0</v>
      </c>
      <c r="N1160">
        <v>0</v>
      </c>
      <c r="O1160">
        <v>0</v>
      </c>
      <c r="P1160" s="216">
        <v>49000</v>
      </c>
      <c r="Q1160" s="217" t="s">
        <v>43</v>
      </c>
      <c r="R1160" s="217" t="s">
        <v>61</v>
      </c>
      <c r="S1160" s="218">
        <v>0.5983250291509864</v>
      </c>
      <c r="T1160" t="s">
        <v>550</v>
      </c>
      <c r="U1160" t="s">
        <v>51</v>
      </c>
      <c r="V1160" s="219">
        <v>0</v>
      </c>
      <c r="W1160" s="219">
        <v>0</v>
      </c>
    </row>
    <row r="1161" spans="1:23" ht="15" customHeight="1" x14ac:dyDescent="0.25">
      <c r="A1161" t="s">
        <v>2968</v>
      </c>
      <c r="B1161" t="s">
        <v>64</v>
      </c>
      <c r="C1161">
        <v>450000</v>
      </c>
      <c r="D1161" t="s">
        <v>2969</v>
      </c>
      <c r="E1161" t="s">
        <v>283</v>
      </c>
      <c r="F1161" t="s">
        <v>554</v>
      </c>
      <c r="G1161" s="30">
        <v>46147</v>
      </c>
      <c r="H1161" t="s">
        <v>2970</v>
      </c>
      <c r="I1161">
        <v>1214214</v>
      </c>
      <c r="J1161" s="123">
        <v>0</v>
      </c>
      <c r="K1161" s="123">
        <v>46146</v>
      </c>
      <c r="L1161" s="123">
        <v>0</v>
      </c>
      <c r="M1161">
        <v>0</v>
      </c>
      <c r="N1161">
        <v>0</v>
      </c>
      <c r="O1161" t="s">
        <v>556</v>
      </c>
      <c r="P1161" s="216">
        <v>450000</v>
      </c>
      <c r="Q1161" s="217" t="s">
        <v>40</v>
      </c>
      <c r="R1161" s="217" t="s">
        <v>554</v>
      </c>
      <c r="S1161" s="218">
        <v>0.50968280714931635</v>
      </c>
      <c r="T1161" t="s">
        <v>550</v>
      </c>
      <c r="U1161" t="s">
        <v>51</v>
      </c>
      <c r="V1161" s="219" t="s">
        <v>6502</v>
      </c>
      <c r="W1161" s="219" t="s">
        <v>71</v>
      </c>
    </row>
    <row r="1162" spans="1:23" ht="15" customHeight="1" x14ac:dyDescent="0.25">
      <c r="A1162" t="s">
        <v>2971</v>
      </c>
      <c r="B1162" t="s">
        <v>595</v>
      </c>
      <c r="C1162">
        <v>103000</v>
      </c>
      <c r="D1162" t="s">
        <v>2972</v>
      </c>
      <c r="E1162" t="s">
        <v>203</v>
      </c>
      <c r="F1162" t="s">
        <v>580</v>
      </c>
      <c r="G1162" s="30">
        <v>46149</v>
      </c>
      <c r="H1162" t="s">
        <v>2973</v>
      </c>
      <c r="I1162">
        <v>1029408</v>
      </c>
      <c r="J1162" s="123">
        <v>0</v>
      </c>
      <c r="K1162" s="123">
        <v>0</v>
      </c>
      <c r="L1162" s="123">
        <v>46149</v>
      </c>
      <c r="M1162">
        <v>0</v>
      </c>
      <c r="N1162">
        <v>0</v>
      </c>
      <c r="O1162">
        <v>0</v>
      </c>
      <c r="P1162" s="216">
        <v>103000</v>
      </c>
      <c r="Q1162" s="217" t="s">
        <v>22</v>
      </c>
      <c r="R1162" s="217" t="s">
        <v>582</v>
      </c>
      <c r="S1162" s="218">
        <v>0.41111949780844914</v>
      </c>
      <c r="T1162" t="s">
        <v>550</v>
      </c>
      <c r="U1162" t="s">
        <v>51</v>
      </c>
      <c r="V1162" s="219">
        <v>0</v>
      </c>
      <c r="W1162" s="219">
        <v>0</v>
      </c>
    </row>
    <row r="1163" spans="1:23" ht="15" customHeight="1" x14ac:dyDescent="0.25">
      <c r="A1163" t="s">
        <v>2974</v>
      </c>
      <c r="B1163" t="s">
        <v>546</v>
      </c>
      <c r="C1163">
        <v>25000</v>
      </c>
      <c r="D1163" t="s">
        <v>2975</v>
      </c>
      <c r="E1163" t="s">
        <v>203</v>
      </c>
      <c r="F1163" t="s">
        <v>554</v>
      </c>
      <c r="G1163" s="30">
        <v>46146</v>
      </c>
      <c r="H1163" t="s">
        <v>2976</v>
      </c>
      <c r="I1163">
        <v>1191846.8999999999</v>
      </c>
      <c r="J1163" s="123">
        <v>0</v>
      </c>
      <c r="K1163" s="123">
        <v>0</v>
      </c>
      <c r="L1163" s="123">
        <v>0</v>
      </c>
      <c r="M1163">
        <v>0</v>
      </c>
      <c r="N1163">
        <v>0</v>
      </c>
      <c r="O1163">
        <v>0</v>
      </c>
      <c r="P1163" s="216">
        <v>25000</v>
      </c>
      <c r="Q1163" s="217" t="s">
        <v>22</v>
      </c>
      <c r="R1163" s="217" t="s">
        <v>554</v>
      </c>
      <c r="S1163" s="218">
        <v>0.51304324406096125</v>
      </c>
      <c r="T1163" t="s">
        <v>550</v>
      </c>
      <c r="U1163" t="s">
        <v>51</v>
      </c>
      <c r="V1163" s="219" t="s">
        <v>6503</v>
      </c>
      <c r="W1163" s="219" t="s">
        <v>67</v>
      </c>
    </row>
    <row r="1164" spans="1:23" ht="15" customHeight="1" x14ac:dyDescent="0.25">
      <c r="A1164" t="s">
        <v>2977</v>
      </c>
      <c r="B1164" t="s">
        <v>575</v>
      </c>
      <c r="C1164">
        <v>30000</v>
      </c>
      <c r="D1164" t="s">
        <v>2978</v>
      </c>
      <c r="E1164" t="s">
        <v>553</v>
      </c>
      <c r="F1164" t="s">
        <v>554</v>
      </c>
      <c r="G1164" s="30">
        <v>46144</v>
      </c>
      <c r="H1164" t="s">
        <v>2979</v>
      </c>
      <c r="I1164">
        <v>1323643.6499999999</v>
      </c>
      <c r="J1164" s="123">
        <v>46144</v>
      </c>
      <c r="K1164" s="123">
        <v>0</v>
      </c>
      <c r="L1164" s="123">
        <v>46144</v>
      </c>
      <c r="M1164">
        <v>0</v>
      </c>
      <c r="N1164">
        <v>0</v>
      </c>
      <c r="O1164" t="s">
        <v>556</v>
      </c>
      <c r="P1164" s="216">
        <v>30000</v>
      </c>
      <c r="Q1164" s="217" t="s">
        <v>29</v>
      </c>
      <c r="R1164" s="217" t="s">
        <v>554</v>
      </c>
      <c r="S1164" s="218">
        <v>0.37007694631406274</v>
      </c>
      <c r="T1164" t="s">
        <v>550</v>
      </c>
      <c r="U1164" t="s">
        <v>51</v>
      </c>
      <c r="V1164" s="219" t="s">
        <v>6504</v>
      </c>
      <c r="W1164" s="219" t="s">
        <v>67</v>
      </c>
    </row>
    <row r="1165" spans="1:23" ht="15" customHeight="1" x14ac:dyDescent="0.25">
      <c r="A1165" t="s">
        <v>2980</v>
      </c>
      <c r="B1165" t="s">
        <v>595</v>
      </c>
      <c r="C1165">
        <v>107509</v>
      </c>
      <c r="D1165" t="s">
        <v>2981</v>
      </c>
      <c r="E1165" t="s">
        <v>198</v>
      </c>
      <c r="F1165" t="s">
        <v>585</v>
      </c>
      <c r="G1165" s="30">
        <v>46146</v>
      </c>
      <c r="H1165" t="s">
        <v>2982</v>
      </c>
      <c r="I1165">
        <v>1075088.1000000001</v>
      </c>
      <c r="J1165" s="123">
        <v>0</v>
      </c>
      <c r="K1165" s="123">
        <v>0</v>
      </c>
      <c r="L1165" s="123">
        <v>46140</v>
      </c>
      <c r="M1165">
        <v>0</v>
      </c>
      <c r="N1165">
        <v>0</v>
      </c>
      <c r="O1165">
        <v>0</v>
      </c>
      <c r="P1165" s="216">
        <v>107509</v>
      </c>
      <c r="Q1165" s="217" t="s">
        <v>29</v>
      </c>
      <c r="R1165" s="217" t="s">
        <v>61</v>
      </c>
      <c r="S1165" s="218">
        <v>0.49516558689469259</v>
      </c>
      <c r="T1165" t="s">
        <v>550</v>
      </c>
      <c r="U1165" t="s">
        <v>51</v>
      </c>
      <c r="V1165" s="219">
        <v>0</v>
      </c>
      <c r="W1165" s="219">
        <v>0</v>
      </c>
    </row>
    <row r="1166" spans="1:23" ht="15" customHeight="1" x14ac:dyDescent="0.25">
      <c r="A1166" t="s">
        <v>2983</v>
      </c>
      <c r="B1166" t="s">
        <v>575</v>
      </c>
      <c r="C1166">
        <v>107512</v>
      </c>
      <c r="D1166" t="s">
        <v>2984</v>
      </c>
      <c r="E1166" t="s">
        <v>203</v>
      </c>
      <c r="F1166" t="s">
        <v>554</v>
      </c>
      <c r="G1166" s="30">
        <v>46144</v>
      </c>
      <c r="H1166" t="s">
        <v>2985</v>
      </c>
      <c r="I1166">
        <v>1075088.1000000001</v>
      </c>
      <c r="J1166" s="123">
        <v>0</v>
      </c>
      <c r="K1166" s="123">
        <v>0</v>
      </c>
      <c r="L1166" s="123">
        <v>46142</v>
      </c>
      <c r="M1166">
        <v>0</v>
      </c>
      <c r="N1166">
        <v>0</v>
      </c>
      <c r="O1166">
        <v>0</v>
      </c>
      <c r="P1166" s="216">
        <v>107512</v>
      </c>
      <c r="Q1166" s="217" t="s">
        <v>22</v>
      </c>
      <c r="R1166" s="217" t="s">
        <v>554</v>
      </c>
      <c r="S1166" s="218">
        <v>0.60155034736223012</v>
      </c>
      <c r="T1166" t="s">
        <v>550</v>
      </c>
      <c r="U1166" t="s">
        <v>51</v>
      </c>
      <c r="V1166" s="219" t="s">
        <v>6505</v>
      </c>
      <c r="W1166" s="219" t="s">
        <v>67</v>
      </c>
    </row>
    <row r="1167" spans="1:23" ht="15" customHeight="1" x14ac:dyDescent="0.25">
      <c r="A1167" t="s">
        <v>2986</v>
      </c>
      <c r="B1167" t="s">
        <v>64</v>
      </c>
      <c r="C1167">
        <v>588576</v>
      </c>
      <c r="D1167" t="s">
        <v>2987</v>
      </c>
      <c r="E1167" t="s">
        <v>283</v>
      </c>
      <c r="F1167" t="s">
        <v>554</v>
      </c>
      <c r="G1167" s="30">
        <v>46147</v>
      </c>
      <c r="H1167" t="s">
        <v>2988</v>
      </c>
      <c r="I1167">
        <v>1233385.8</v>
      </c>
      <c r="J1167" s="123">
        <v>0</v>
      </c>
      <c r="K1167" s="123">
        <v>46125</v>
      </c>
      <c r="L1167" s="123">
        <v>0</v>
      </c>
      <c r="M1167">
        <v>0</v>
      </c>
      <c r="N1167">
        <v>0</v>
      </c>
      <c r="O1167" t="s">
        <v>556</v>
      </c>
      <c r="P1167" s="216">
        <v>588576</v>
      </c>
      <c r="Q1167" s="217" t="s">
        <v>40</v>
      </c>
      <c r="R1167" s="217" t="s">
        <v>554</v>
      </c>
      <c r="S1167" s="218">
        <v>0.50000008107763194</v>
      </c>
      <c r="T1167" t="s">
        <v>550</v>
      </c>
      <c r="U1167" t="s">
        <v>51</v>
      </c>
      <c r="V1167" s="219" t="s">
        <v>6506</v>
      </c>
      <c r="W1167" s="219" t="s">
        <v>71</v>
      </c>
    </row>
    <row r="1168" spans="1:23" ht="15" customHeight="1" x14ac:dyDescent="0.25">
      <c r="A1168" t="s">
        <v>2989</v>
      </c>
      <c r="B1168" t="s">
        <v>575</v>
      </c>
      <c r="C1168">
        <v>203083</v>
      </c>
      <c r="D1168" t="s">
        <v>2990</v>
      </c>
      <c r="E1168" t="s">
        <v>203</v>
      </c>
      <c r="F1168" t="s">
        <v>554</v>
      </c>
      <c r="G1168" s="30">
        <v>46147</v>
      </c>
      <c r="H1168" t="s">
        <v>2991</v>
      </c>
      <c r="I1168">
        <v>2030833.2</v>
      </c>
      <c r="J1168" s="123">
        <v>0</v>
      </c>
      <c r="K1168" s="123">
        <v>0</v>
      </c>
      <c r="L1168" s="123">
        <v>46142</v>
      </c>
      <c r="M1168">
        <v>0</v>
      </c>
      <c r="N1168">
        <v>0</v>
      </c>
      <c r="O1168">
        <v>0</v>
      </c>
      <c r="P1168" s="216">
        <v>203083</v>
      </c>
      <c r="Q1168" s="217" t="s">
        <v>22</v>
      </c>
      <c r="R1168" s="217" t="s">
        <v>554</v>
      </c>
      <c r="S1168" s="218">
        <v>0.59992604513260861</v>
      </c>
      <c r="T1168" t="s">
        <v>550</v>
      </c>
      <c r="U1168" t="s">
        <v>51</v>
      </c>
      <c r="V1168" s="219" t="s">
        <v>6507</v>
      </c>
      <c r="W1168" s="219" t="s">
        <v>67</v>
      </c>
    </row>
    <row r="1169" spans="1:23" ht="15" customHeight="1" x14ac:dyDescent="0.25">
      <c r="A1169" t="s">
        <v>2992</v>
      </c>
      <c r="B1169" t="s">
        <v>595</v>
      </c>
      <c r="C1169">
        <v>9999</v>
      </c>
      <c r="D1169" t="s">
        <v>2993</v>
      </c>
      <c r="E1169" t="s">
        <v>203</v>
      </c>
      <c r="F1169" t="s">
        <v>554</v>
      </c>
      <c r="G1169" s="30">
        <v>46146</v>
      </c>
      <c r="H1169" t="s">
        <v>2994</v>
      </c>
      <c r="I1169">
        <v>1055987.55</v>
      </c>
      <c r="J1169" s="123">
        <v>0</v>
      </c>
      <c r="K1169" s="123">
        <v>0</v>
      </c>
      <c r="L1169" s="123">
        <v>46144</v>
      </c>
      <c r="M1169">
        <v>0</v>
      </c>
      <c r="N1169">
        <v>0</v>
      </c>
      <c r="O1169">
        <v>0</v>
      </c>
      <c r="P1169" s="216">
        <v>9999</v>
      </c>
      <c r="Q1169" s="217" t="s">
        <v>22</v>
      </c>
      <c r="R1169" s="217" t="s">
        <v>554</v>
      </c>
      <c r="S1169" s="218">
        <v>0.4093040680261808</v>
      </c>
      <c r="T1169" t="s">
        <v>550</v>
      </c>
      <c r="U1169" t="s">
        <v>51</v>
      </c>
      <c r="V1169" s="219" t="s">
        <v>6508</v>
      </c>
      <c r="W1169" s="219" t="s">
        <v>67</v>
      </c>
    </row>
    <row r="1170" spans="1:23" ht="15" customHeight="1" x14ac:dyDescent="0.25">
      <c r="A1170" t="s">
        <v>2995</v>
      </c>
      <c r="B1170" t="s">
        <v>575</v>
      </c>
      <c r="C1170">
        <v>103745</v>
      </c>
      <c r="D1170" t="s">
        <v>2996</v>
      </c>
      <c r="E1170" t="s">
        <v>203</v>
      </c>
      <c r="F1170" t="s">
        <v>585</v>
      </c>
      <c r="G1170" s="30">
        <v>46143</v>
      </c>
      <c r="H1170" t="s">
        <v>2997</v>
      </c>
      <c r="I1170">
        <v>1037450.25</v>
      </c>
      <c r="J1170" s="123">
        <v>0</v>
      </c>
      <c r="K1170" s="123">
        <v>0</v>
      </c>
      <c r="L1170" s="123">
        <v>46142</v>
      </c>
      <c r="M1170">
        <v>0</v>
      </c>
      <c r="N1170">
        <v>0</v>
      </c>
      <c r="O1170">
        <v>0</v>
      </c>
      <c r="P1170" s="216">
        <v>103745</v>
      </c>
      <c r="Q1170" s="217" t="s">
        <v>22</v>
      </c>
      <c r="R1170" s="217" t="s">
        <v>61</v>
      </c>
      <c r="S1170" s="218">
        <v>0.49999891561065218</v>
      </c>
      <c r="T1170" t="s">
        <v>550</v>
      </c>
      <c r="U1170" t="s">
        <v>51</v>
      </c>
      <c r="V1170" s="219">
        <v>0</v>
      </c>
      <c r="W1170" s="219">
        <v>0</v>
      </c>
    </row>
    <row r="1171" spans="1:23" ht="15" customHeight="1" x14ac:dyDescent="0.25">
      <c r="A1171" t="s">
        <v>2998</v>
      </c>
      <c r="B1171" t="s">
        <v>595</v>
      </c>
      <c r="C1171">
        <v>104070.17</v>
      </c>
      <c r="D1171" t="s">
        <v>2999</v>
      </c>
      <c r="E1171" t="s">
        <v>218</v>
      </c>
      <c r="F1171" t="s">
        <v>554</v>
      </c>
      <c r="G1171" s="30">
        <v>46143</v>
      </c>
      <c r="H1171" t="s">
        <v>3000</v>
      </c>
      <c r="I1171">
        <v>1040701.7</v>
      </c>
      <c r="J1171" s="123">
        <v>0</v>
      </c>
      <c r="K1171" s="123">
        <v>0</v>
      </c>
      <c r="L1171" s="123">
        <v>46134</v>
      </c>
      <c r="M1171">
        <v>0</v>
      </c>
      <c r="N1171">
        <v>0</v>
      </c>
      <c r="O1171">
        <v>0</v>
      </c>
      <c r="P1171" s="216">
        <v>104070.17</v>
      </c>
      <c r="Q1171" s="217" t="s">
        <v>13</v>
      </c>
      <c r="R1171" s="217" t="s">
        <v>554</v>
      </c>
      <c r="S1171" s="218">
        <v>0.49999999039109866</v>
      </c>
      <c r="T1171" t="s">
        <v>550</v>
      </c>
      <c r="U1171" t="s">
        <v>51</v>
      </c>
      <c r="V1171" s="219">
        <v>0</v>
      </c>
      <c r="W1171" s="219" t="s">
        <v>72</v>
      </c>
    </row>
    <row r="1172" spans="1:23" ht="15" customHeight="1" x14ac:dyDescent="0.25">
      <c r="A1172" t="s">
        <v>3001</v>
      </c>
      <c r="B1172" t="s">
        <v>575</v>
      </c>
      <c r="C1172">
        <v>124457</v>
      </c>
      <c r="D1172" t="s">
        <v>3002</v>
      </c>
      <c r="E1172" t="s">
        <v>183</v>
      </c>
      <c r="F1172" t="s">
        <v>554</v>
      </c>
      <c r="G1172" s="30">
        <v>46146</v>
      </c>
      <c r="H1172" t="s">
        <v>3003</v>
      </c>
      <c r="I1172">
        <v>1244570.3999999999</v>
      </c>
      <c r="J1172" s="123">
        <v>0</v>
      </c>
      <c r="K1172" s="123">
        <v>0</v>
      </c>
      <c r="L1172" s="123">
        <v>46143</v>
      </c>
      <c r="M1172">
        <v>0</v>
      </c>
      <c r="N1172">
        <v>0</v>
      </c>
      <c r="O1172">
        <v>0</v>
      </c>
      <c r="P1172" s="216">
        <v>124457</v>
      </c>
      <c r="Q1172" s="217" t="s">
        <v>33</v>
      </c>
      <c r="R1172" s="217" t="s">
        <v>554</v>
      </c>
      <c r="S1172" s="218">
        <v>0.59813505125945476</v>
      </c>
      <c r="T1172" t="s">
        <v>550</v>
      </c>
      <c r="U1172" t="s">
        <v>51</v>
      </c>
      <c r="V1172" s="219" t="s">
        <v>6509</v>
      </c>
      <c r="W1172" s="219" t="s">
        <v>67</v>
      </c>
    </row>
    <row r="1173" spans="1:23" ht="15" customHeight="1" x14ac:dyDescent="0.25">
      <c r="A1173" t="s">
        <v>3004</v>
      </c>
      <c r="B1173" t="s">
        <v>546</v>
      </c>
      <c r="C1173">
        <v>126522.49</v>
      </c>
      <c r="D1173" t="s">
        <v>3005</v>
      </c>
      <c r="E1173" t="s">
        <v>553</v>
      </c>
      <c r="F1173" t="s">
        <v>548</v>
      </c>
      <c r="G1173" s="30">
        <v>46146</v>
      </c>
      <c r="H1173" t="s">
        <v>3006</v>
      </c>
      <c r="I1173">
        <v>1265231.25</v>
      </c>
      <c r="J1173" s="123">
        <v>46146</v>
      </c>
      <c r="K1173" s="123">
        <v>0</v>
      </c>
      <c r="L1173" s="123">
        <v>46146</v>
      </c>
      <c r="M1173">
        <v>0</v>
      </c>
      <c r="N1173">
        <v>0</v>
      </c>
      <c r="O1173" t="s">
        <v>556</v>
      </c>
      <c r="P1173" s="216">
        <v>126522.49</v>
      </c>
      <c r="Q1173" s="217" t="s">
        <v>26</v>
      </c>
      <c r="R1173" s="217" t="s">
        <v>62</v>
      </c>
      <c r="S1173" s="218">
        <v>0.4999995060191566</v>
      </c>
      <c r="T1173" t="s">
        <v>550</v>
      </c>
      <c r="U1173" t="s">
        <v>51</v>
      </c>
      <c r="V1173" s="219">
        <v>0</v>
      </c>
      <c r="W1173" s="219">
        <v>0</v>
      </c>
    </row>
    <row r="1174" spans="1:23" ht="15" customHeight="1" x14ac:dyDescent="0.25">
      <c r="A1174" t="s">
        <v>3007</v>
      </c>
      <c r="B1174" t="s">
        <v>546</v>
      </c>
      <c r="C1174">
        <v>126522.49</v>
      </c>
      <c r="D1174" t="s">
        <v>3005</v>
      </c>
      <c r="E1174" t="s">
        <v>553</v>
      </c>
      <c r="F1174" t="s">
        <v>548</v>
      </c>
      <c r="G1174" s="30">
        <v>46146</v>
      </c>
      <c r="H1174" t="s">
        <v>3006</v>
      </c>
      <c r="I1174">
        <v>1265231.25</v>
      </c>
      <c r="J1174" s="123">
        <v>46146</v>
      </c>
      <c r="K1174" s="123">
        <v>0</v>
      </c>
      <c r="L1174" s="123">
        <v>46146</v>
      </c>
      <c r="M1174">
        <v>0</v>
      </c>
      <c r="N1174">
        <v>0</v>
      </c>
      <c r="O1174" t="s">
        <v>556</v>
      </c>
      <c r="P1174" s="216">
        <v>126522.49</v>
      </c>
      <c r="Q1174" s="217" t="s">
        <v>26</v>
      </c>
      <c r="R1174" s="217" t="s">
        <v>62</v>
      </c>
      <c r="S1174" s="218">
        <v>0.4999995060191566</v>
      </c>
      <c r="T1174" t="s">
        <v>550</v>
      </c>
      <c r="U1174" t="s">
        <v>51</v>
      </c>
      <c r="V1174" s="219">
        <v>0</v>
      </c>
      <c r="W1174" s="219">
        <v>0</v>
      </c>
    </row>
    <row r="1175" spans="1:23" ht="15" customHeight="1" x14ac:dyDescent="0.25">
      <c r="A1175" t="s">
        <v>3008</v>
      </c>
      <c r="B1175" t="s">
        <v>546</v>
      </c>
      <c r="C1175">
        <v>126522.49</v>
      </c>
      <c r="D1175" t="s">
        <v>3005</v>
      </c>
      <c r="E1175" t="s">
        <v>553</v>
      </c>
      <c r="F1175" t="s">
        <v>548</v>
      </c>
      <c r="G1175" s="30">
        <v>46146</v>
      </c>
      <c r="H1175" t="s">
        <v>3006</v>
      </c>
      <c r="I1175">
        <v>1265231.25</v>
      </c>
      <c r="J1175" s="123">
        <v>46146</v>
      </c>
      <c r="K1175" s="123">
        <v>0</v>
      </c>
      <c r="L1175" s="123">
        <v>46146</v>
      </c>
      <c r="M1175">
        <v>0</v>
      </c>
      <c r="N1175">
        <v>0</v>
      </c>
      <c r="O1175" t="s">
        <v>556</v>
      </c>
      <c r="P1175" s="216">
        <v>126522.49</v>
      </c>
      <c r="Q1175" s="217" t="s">
        <v>26</v>
      </c>
      <c r="R1175" s="217" t="s">
        <v>62</v>
      </c>
      <c r="S1175" s="218">
        <v>0.4999995060191566</v>
      </c>
      <c r="T1175" t="s">
        <v>550</v>
      </c>
      <c r="U1175" t="s">
        <v>51</v>
      </c>
      <c r="V1175" s="219">
        <v>0</v>
      </c>
      <c r="W1175" s="219">
        <v>0</v>
      </c>
    </row>
    <row r="1176" spans="1:23" ht="15" customHeight="1" x14ac:dyDescent="0.25">
      <c r="A1176" t="s">
        <v>3009</v>
      </c>
      <c r="B1176" t="s">
        <v>546</v>
      </c>
      <c r="C1176">
        <v>126522.49</v>
      </c>
      <c r="D1176" t="s">
        <v>3005</v>
      </c>
      <c r="E1176" t="s">
        <v>553</v>
      </c>
      <c r="F1176" t="s">
        <v>554</v>
      </c>
      <c r="G1176" s="30">
        <v>46147</v>
      </c>
      <c r="H1176" t="s">
        <v>3006</v>
      </c>
      <c r="I1176">
        <v>1265231.25</v>
      </c>
      <c r="J1176" s="123">
        <v>46147</v>
      </c>
      <c r="K1176" s="123">
        <v>0</v>
      </c>
      <c r="L1176" s="123">
        <v>46147</v>
      </c>
      <c r="M1176">
        <v>0</v>
      </c>
      <c r="N1176">
        <v>0</v>
      </c>
      <c r="O1176" t="s">
        <v>556</v>
      </c>
      <c r="P1176" s="216">
        <v>126522.49</v>
      </c>
      <c r="Q1176" s="217" t="s">
        <v>26</v>
      </c>
      <c r="R1176" s="217" t="s">
        <v>554</v>
      </c>
      <c r="S1176" s="218">
        <v>0.4999995060191566</v>
      </c>
      <c r="T1176" t="s">
        <v>550</v>
      </c>
      <c r="U1176" t="s">
        <v>51</v>
      </c>
      <c r="V1176" s="219" t="s">
        <v>6510</v>
      </c>
      <c r="W1176" s="219" t="s">
        <v>67</v>
      </c>
    </row>
    <row r="1177" spans="1:23" ht="15" customHeight="1" x14ac:dyDescent="0.25">
      <c r="A1177" t="s">
        <v>3010</v>
      </c>
      <c r="B1177" t="s">
        <v>668</v>
      </c>
      <c r="C1177">
        <v>56500</v>
      </c>
      <c r="D1177" t="s">
        <v>3011</v>
      </c>
      <c r="E1177" t="s">
        <v>193</v>
      </c>
      <c r="F1177" t="s">
        <v>580</v>
      </c>
      <c r="G1177" s="30">
        <v>46149</v>
      </c>
      <c r="H1177" t="s">
        <v>3012</v>
      </c>
      <c r="I1177">
        <v>1065005.8</v>
      </c>
      <c r="J1177" s="123">
        <v>46142</v>
      </c>
      <c r="K1177" s="123">
        <v>0</v>
      </c>
      <c r="L1177" s="123">
        <v>46142</v>
      </c>
      <c r="M1177">
        <v>0</v>
      </c>
      <c r="N1177">
        <v>0</v>
      </c>
      <c r="O1177">
        <v>0</v>
      </c>
      <c r="P1177" s="216">
        <v>56500</v>
      </c>
      <c r="Q1177" s="217" t="s">
        <v>26</v>
      </c>
      <c r="R1177" s="217" t="s">
        <v>582</v>
      </c>
      <c r="S1177" s="218">
        <v>0.50038203547811666</v>
      </c>
      <c r="T1177" t="s">
        <v>550</v>
      </c>
      <c r="U1177" t="s">
        <v>51</v>
      </c>
      <c r="V1177" s="219">
        <v>0</v>
      </c>
      <c r="W1177" s="219">
        <v>0</v>
      </c>
    </row>
    <row r="1178" spans="1:23" ht="15" customHeight="1" x14ac:dyDescent="0.25">
      <c r="A1178" t="s">
        <v>3013</v>
      </c>
      <c r="B1178" t="s">
        <v>668</v>
      </c>
      <c r="C1178">
        <v>50010</v>
      </c>
      <c r="D1178" t="s">
        <v>3011</v>
      </c>
      <c r="E1178" t="s">
        <v>193</v>
      </c>
      <c r="F1178" t="s">
        <v>580</v>
      </c>
      <c r="G1178" s="30">
        <v>46149</v>
      </c>
      <c r="H1178" t="s">
        <v>3012</v>
      </c>
      <c r="I1178">
        <v>1065005.8</v>
      </c>
      <c r="J1178" s="123">
        <v>46139</v>
      </c>
      <c r="K1178" s="123">
        <v>0</v>
      </c>
      <c r="L1178" s="123">
        <v>46139</v>
      </c>
      <c r="M1178">
        <v>0</v>
      </c>
      <c r="N1178">
        <v>0</v>
      </c>
      <c r="O1178">
        <v>0</v>
      </c>
      <c r="P1178" s="216">
        <v>50010</v>
      </c>
      <c r="Q1178" s="217" t="s">
        <v>26</v>
      </c>
      <c r="R1178" s="217" t="s">
        <v>582</v>
      </c>
      <c r="S1178" s="218">
        <v>0.50038203547811666</v>
      </c>
      <c r="T1178" t="s">
        <v>550</v>
      </c>
      <c r="U1178" t="s">
        <v>51</v>
      </c>
      <c r="V1178" s="219">
        <v>0</v>
      </c>
      <c r="W1178" s="219">
        <v>0</v>
      </c>
    </row>
    <row r="1179" spans="1:23" ht="15" customHeight="1" x14ac:dyDescent="0.25">
      <c r="A1179" t="s">
        <v>3014</v>
      </c>
      <c r="B1179" t="s">
        <v>668</v>
      </c>
      <c r="C1179">
        <v>100000</v>
      </c>
      <c r="D1179" t="s">
        <v>3015</v>
      </c>
      <c r="E1179" t="s">
        <v>193</v>
      </c>
      <c r="F1179" t="s">
        <v>580</v>
      </c>
      <c r="G1179" s="30">
        <v>46149</v>
      </c>
      <c r="H1179" t="s">
        <v>3016</v>
      </c>
      <c r="I1179">
        <v>1160990.3500000001</v>
      </c>
      <c r="J1179" s="123">
        <v>46146</v>
      </c>
      <c r="K1179" s="123">
        <v>0</v>
      </c>
      <c r="L1179" s="123">
        <v>46146</v>
      </c>
      <c r="M1179">
        <v>0</v>
      </c>
      <c r="N1179">
        <v>0</v>
      </c>
      <c r="O1179">
        <v>0</v>
      </c>
      <c r="P1179" s="216">
        <v>100000</v>
      </c>
      <c r="Q1179" s="217" t="s">
        <v>26</v>
      </c>
      <c r="R1179" s="217" t="s">
        <v>582</v>
      </c>
      <c r="S1179" s="218">
        <v>0.49714711237694609</v>
      </c>
      <c r="T1179" t="s">
        <v>550</v>
      </c>
      <c r="U1179" t="s">
        <v>51</v>
      </c>
      <c r="V1179" s="219">
        <v>0</v>
      </c>
      <c r="W1179" s="219">
        <v>0</v>
      </c>
    </row>
    <row r="1180" spans="1:23" ht="15" customHeight="1" x14ac:dyDescent="0.25">
      <c r="A1180" t="s">
        <v>3017</v>
      </c>
      <c r="B1180" t="s">
        <v>668</v>
      </c>
      <c r="C1180">
        <v>16200</v>
      </c>
      <c r="D1180" t="s">
        <v>3015</v>
      </c>
      <c r="E1180" t="s">
        <v>193</v>
      </c>
      <c r="F1180" t="s">
        <v>580</v>
      </c>
      <c r="G1180" s="30">
        <v>46149</v>
      </c>
      <c r="H1180" t="s">
        <v>3016</v>
      </c>
      <c r="I1180">
        <v>1160990.3500000001</v>
      </c>
      <c r="J1180" s="123">
        <v>46146</v>
      </c>
      <c r="K1180" s="123">
        <v>0</v>
      </c>
      <c r="L1180" s="123">
        <v>46146</v>
      </c>
      <c r="M1180">
        <v>0</v>
      </c>
      <c r="N1180">
        <v>0</v>
      </c>
      <c r="O1180">
        <v>0</v>
      </c>
      <c r="P1180" s="216">
        <v>16200</v>
      </c>
      <c r="Q1180" s="217" t="s">
        <v>26</v>
      </c>
      <c r="R1180" s="217" t="s">
        <v>582</v>
      </c>
      <c r="S1180" s="218">
        <v>0.49714711237694609</v>
      </c>
      <c r="T1180" t="s">
        <v>550</v>
      </c>
      <c r="U1180" t="s">
        <v>51</v>
      </c>
      <c r="V1180" s="219">
        <v>0</v>
      </c>
      <c r="W1180" s="219">
        <v>0</v>
      </c>
    </row>
    <row r="1181" spans="1:23" ht="15" customHeight="1" x14ac:dyDescent="0.25">
      <c r="A1181" t="s">
        <v>3018</v>
      </c>
      <c r="B1181" t="s">
        <v>546</v>
      </c>
      <c r="C1181">
        <v>25000</v>
      </c>
      <c r="D1181" t="s">
        <v>3019</v>
      </c>
      <c r="E1181" t="s">
        <v>553</v>
      </c>
      <c r="F1181" t="s">
        <v>554</v>
      </c>
      <c r="G1181" s="30">
        <v>46143</v>
      </c>
      <c r="H1181" t="s">
        <v>3020</v>
      </c>
      <c r="I1181">
        <v>1124035.75</v>
      </c>
      <c r="J1181" s="123">
        <v>46143</v>
      </c>
      <c r="K1181" s="123">
        <v>0</v>
      </c>
      <c r="L1181" s="123">
        <v>46143</v>
      </c>
      <c r="M1181">
        <v>0</v>
      </c>
      <c r="N1181">
        <v>0</v>
      </c>
      <c r="O1181" t="s">
        <v>556</v>
      </c>
      <c r="P1181" s="216">
        <v>25000</v>
      </c>
      <c r="Q1181" s="217" t="s">
        <v>26</v>
      </c>
      <c r="R1181" s="217" t="s">
        <v>554</v>
      </c>
      <c r="S1181" s="218">
        <v>0.58900706672363401</v>
      </c>
      <c r="T1181" t="s">
        <v>550</v>
      </c>
      <c r="U1181" t="s">
        <v>51</v>
      </c>
      <c r="V1181" s="219" t="s">
        <v>6511</v>
      </c>
      <c r="W1181" s="219" t="s">
        <v>67</v>
      </c>
    </row>
    <row r="1182" spans="1:23" ht="15" customHeight="1" x14ac:dyDescent="0.25">
      <c r="A1182" t="s">
        <v>3021</v>
      </c>
      <c r="B1182" t="s">
        <v>546</v>
      </c>
      <c r="C1182">
        <v>25000</v>
      </c>
      <c r="D1182" t="s">
        <v>3019</v>
      </c>
      <c r="E1182" t="s">
        <v>553</v>
      </c>
      <c r="F1182" t="s">
        <v>554</v>
      </c>
      <c r="G1182" s="30">
        <v>46144</v>
      </c>
      <c r="H1182" t="s">
        <v>3020</v>
      </c>
      <c r="I1182">
        <v>1124035.75</v>
      </c>
      <c r="J1182" s="123">
        <v>46144</v>
      </c>
      <c r="K1182" s="123">
        <v>0</v>
      </c>
      <c r="L1182" s="123">
        <v>46144</v>
      </c>
      <c r="M1182">
        <v>0</v>
      </c>
      <c r="N1182">
        <v>0</v>
      </c>
      <c r="O1182" t="s">
        <v>556</v>
      </c>
      <c r="P1182" s="216">
        <v>25000</v>
      </c>
      <c r="Q1182" s="217" t="s">
        <v>26</v>
      </c>
      <c r="R1182" s="217" t="s">
        <v>554</v>
      </c>
      <c r="S1182" s="218">
        <v>0.58900706672363401</v>
      </c>
      <c r="T1182" t="s">
        <v>550</v>
      </c>
      <c r="U1182" t="s">
        <v>51</v>
      </c>
      <c r="V1182" s="219" t="s">
        <v>6512</v>
      </c>
      <c r="W1182" s="219" t="s">
        <v>67</v>
      </c>
    </row>
    <row r="1183" spans="1:23" ht="15" customHeight="1" x14ac:dyDescent="0.25">
      <c r="A1183" t="s">
        <v>3022</v>
      </c>
      <c r="B1183" t="s">
        <v>546</v>
      </c>
      <c r="C1183">
        <v>25000</v>
      </c>
      <c r="D1183" t="s">
        <v>3019</v>
      </c>
      <c r="E1183" t="s">
        <v>553</v>
      </c>
      <c r="F1183" t="s">
        <v>554</v>
      </c>
      <c r="G1183" s="30">
        <v>46146</v>
      </c>
      <c r="H1183" t="s">
        <v>3020</v>
      </c>
      <c r="I1183">
        <v>1124035.75</v>
      </c>
      <c r="J1183" s="123">
        <v>46146</v>
      </c>
      <c r="K1183" s="123">
        <v>0</v>
      </c>
      <c r="L1183" s="123">
        <v>46146</v>
      </c>
      <c r="M1183">
        <v>0</v>
      </c>
      <c r="N1183">
        <v>0</v>
      </c>
      <c r="O1183" t="s">
        <v>556</v>
      </c>
      <c r="P1183" s="216">
        <v>25000</v>
      </c>
      <c r="Q1183" s="217" t="s">
        <v>26</v>
      </c>
      <c r="R1183" s="217" t="s">
        <v>554</v>
      </c>
      <c r="S1183" s="218">
        <v>0.58900706672363401</v>
      </c>
      <c r="T1183" t="s">
        <v>550</v>
      </c>
      <c r="U1183" t="s">
        <v>51</v>
      </c>
      <c r="V1183" s="219" t="s">
        <v>6513</v>
      </c>
      <c r="W1183" s="219" t="s">
        <v>67</v>
      </c>
    </row>
    <row r="1184" spans="1:23" ht="15" customHeight="1" x14ac:dyDescent="0.25">
      <c r="A1184" t="s">
        <v>3023</v>
      </c>
      <c r="B1184" t="s">
        <v>546</v>
      </c>
      <c r="C1184">
        <v>25000</v>
      </c>
      <c r="D1184" t="s">
        <v>3019</v>
      </c>
      <c r="E1184" t="s">
        <v>553</v>
      </c>
      <c r="F1184" t="s">
        <v>554</v>
      </c>
      <c r="G1184" s="30">
        <v>46148</v>
      </c>
      <c r="H1184" t="s">
        <v>3020</v>
      </c>
      <c r="I1184">
        <v>1124035.75</v>
      </c>
      <c r="J1184" s="123">
        <v>46148</v>
      </c>
      <c r="K1184" s="123">
        <v>0</v>
      </c>
      <c r="L1184" s="123">
        <v>46148</v>
      </c>
      <c r="M1184">
        <v>0</v>
      </c>
      <c r="N1184">
        <v>0</v>
      </c>
      <c r="O1184" t="s">
        <v>556</v>
      </c>
      <c r="P1184" s="216">
        <v>25000</v>
      </c>
      <c r="Q1184" s="217" t="s">
        <v>26</v>
      </c>
      <c r="R1184" s="217" t="s">
        <v>554</v>
      </c>
      <c r="S1184" s="218">
        <v>0.58900706672363401</v>
      </c>
      <c r="T1184" t="s">
        <v>550</v>
      </c>
      <c r="U1184" t="s">
        <v>51</v>
      </c>
      <c r="V1184" s="219" t="s">
        <v>6514</v>
      </c>
      <c r="W1184" s="219" t="s">
        <v>67</v>
      </c>
    </row>
    <row r="1185" spans="1:23" ht="15" customHeight="1" x14ac:dyDescent="0.25">
      <c r="A1185" t="s">
        <v>3024</v>
      </c>
      <c r="B1185" t="s">
        <v>575</v>
      </c>
      <c r="C1185">
        <v>50000</v>
      </c>
      <c r="D1185" t="s">
        <v>3025</v>
      </c>
      <c r="E1185" t="s">
        <v>193</v>
      </c>
      <c r="F1185" t="s">
        <v>580</v>
      </c>
      <c r="G1185" s="30">
        <v>46149</v>
      </c>
      <c r="H1185" t="s">
        <v>3026</v>
      </c>
      <c r="I1185">
        <v>1285050.5</v>
      </c>
      <c r="J1185" s="123">
        <v>0</v>
      </c>
      <c r="K1185" s="123">
        <v>0</v>
      </c>
      <c r="L1185" s="123">
        <v>46139</v>
      </c>
      <c r="M1185">
        <v>0</v>
      </c>
      <c r="N1185">
        <v>0</v>
      </c>
      <c r="O1185">
        <v>0</v>
      </c>
      <c r="P1185" s="216">
        <v>50000</v>
      </c>
      <c r="Q1185" s="217" t="s">
        <v>26</v>
      </c>
      <c r="R1185" s="217" t="s">
        <v>582</v>
      </c>
      <c r="S1185" s="218">
        <v>0.53931731087610957</v>
      </c>
      <c r="T1185" t="s">
        <v>550</v>
      </c>
      <c r="U1185" t="s">
        <v>51</v>
      </c>
      <c r="V1185" s="219">
        <v>0</v>
      </c>
      <c r="W1185" s="219">
        <v>0</v>
      </c>
    </row>
    <row r="1186" spans="1:23" ht="15" customHeight="1" x14ac:dyDescent="0.25">
      <c r="A1186" t="s">
        <v>3027</v>
      </c>
      <c r="B1186" t="s">
        <v>575</v>
      </c>
      <c r="C1186">
        <v>28505</v>
      </c>
      <c r="D1186" t="s">
        <v>3025</v>
      </c>
      <c r="E1186" t="s">
        <v>193</v>
      </c>
      <c r="F1186" t="s">
        <v>580</v>
      </c>
      <c r="G1186" s="30">
        <v>46149</v>
      </c>
      <c r="H1186" t="s">
        <v>3026</v>
      </c>
      <c r="I1186">
        <v>1285050.5</v>
      </c>
      <c r="J1186" s="123">
        <v>0</v>
      </c>
      <c r="K1186" s="123">
        <v>0</v>
      </c>
      <c r="L1186" s="123">
        <v>46136</v>
      </c>
      <c r="M1186">
        <v>0</v>
      </c>
      <c r="N1186">
        <v>0</v>
      </c>
      <c r="O1186">
        <v>0</v>
      </c>
      <c r="P1186" s="216">
        <v>28505</v>
      </c>
      <c r="Q1186" s="217" t="s">
        <v>26</v>
      </c>
      <c r="R1186" s="217" t="s">
        <v>582</v>
      </c>
      <c r="S1186" s="218">
        <v>0.53931731087610957</v>
      </c>
      <c r="T1186" t="s">
        <v>550</v>
      </c>
      <c r="U1186" t="s">
        <v>51</v>
      </c>
      <c r="V1186" s="219">
        <v>0</v>
      </c>
      <c r="W1186" s="219">
        <v>0</v>
      </c>
    </row>
    <row r="1187" spans="1:23" ht="15" customHeight="1" x14ac:dyDescent="0.25">
      <c r="A1187" t="s">
        <v>3028</v>
      </c>
      <c r="B1187" t="s">
        <v>546</v>
      </c>
      <c r="C1187">
        <v>11000</v>
      </c>
      <c r="D1187" t="s">
        <v>3029</v>
      </c>
      <c r="E1187" t="s">
        <v>553</v>
      </c>
      <c r="F1187" t="s">
        <v>554</v>
      </c>
      <c r="G1187" s="30">
        <v>46148</v>
      </c>
      <c r="H1187" t="s">
        <v>3030</v>
      </c>
      <c r="I1187">
        <v>990396</v>
      </c>
      <c r="J1187" s="123">
        <v>46148</v>
      </c>
      <c r="K1187" s="123">
        <v>0</v>
      </c>
      <c r="L1187" s="123">
        <v>46148</v>
      </c>
      <c r="M1187">
        <v>0</v>
      </c>
      <c r="N1187">
        <v>0</v>
      </c>
      <c r="O1187" t="s">
        <v>556</v>
      </c>
      <c r="P1187" s="216">
        <v>11000</v>
      </c>
      <c r="Q1187" s="217" t="s">
        <v>26</v>
      </c>
      <c r="R1187" s="217" t="s">
        <v>554</v>
      </c>
      <c r="S1187" s="218">
        <v>0.62015505918844582</v>
      </c>
      <c r="T1187" t="s">
        <v>550</v>
      </c>
      <c r="U1187" t="s">
        <v>51</v>
      </c>
      <c r="V1187" s="219" t="s">
        <v>6515</v>
      </c>
      <c r="W1187" s="219" t="s">
        <v>67</v>
      </c>
    </row>
    <row r="1188" spans="1:23" ht="15" customHeight="1" x14ac:dyDescent="0.25">
      <c r="A1188" t="s">
        <v>3031</v>
      </c>
      <c r="B1188" t="s">
        <v>546</v>
      </c>
      <c r="C1188">
        <v>25000</v>
      </c>
      <c r="D1188" t="s">
        <v>3032</v>
      </c>
      <c r="E1188" t="s">
        <v>553</v>
      </c>
      <c r="F1188" t="s">
        <v>554</v>
      </c>
      <c r="G1188" s="30">
        <v>46145</v>
      </c>
      <c r="H1188" t="s">
        <v>3033</v>
      </c>
      <c r="I1188">
        <v>1001115.45</v>
      </c>
      <c r="J1188" s="123">
        <v>46145</v>
      </c>
      <c r="K1188" s="123">
        <v>0</v>
      </c>
      <c r="L1188" s="123">
        <v>46145</v>
      </c>
      <c r="M1188">
        <v>0</v>
      </c>
      <c r="N1188">
        <v>0</v>
      </c>
      <c r="O1188" t="s">
        <v>556</v>
      </c>
      <c r="P1188" s="216">
        <v>25000</v>
      </c>
      <c r="Q1188" s="217" t="s">
        <v>26</v>
      </c>
      <c r="R1188" s="217" t="s">
        <v>554</v>
      </c>
      <c r="S1188" s="218">
        <v>0.57491644944646492</v>
      </c>
      <c r="T1188" t="s">
        <v>550</v>
      </c>
      <c r="U1188" t="s">
        <v>51</v>
      </c>
      <c r="V1188" s="219" t="s">
        <v>6516</v>
      </c>
      <c r="W1188" s="219" t="s">
        <v>67</v>
      </c>
    </row>
    <row r="1189" spans="1:23" ht="15" customHeight="1" x14ac:dyDescent="0.25">
      <c r="A1189" t="s">
        <v>3034</v>
      </c>
      <c r="B1189" t="s">
        <v>546</v>
      </c>
      <c r="C1189">
        <v>40000</v>
      </c>
      <c r="D1189" t="s">
        <v>3032</v>
      </c>
      <c r="E1189" t="s">
        <v>553</v>
      </c>
      <c r="F1189" t="s">
        <v>548</v>
      </c>
      <c r="G1189" s="30">
        <v>46145</v>
      </c>
      <c r="H1189" t="s">
        <v>3033</v>
      </c>
      <c r="I1189">
        <v>1001115.45</v>
      </c>
      <c r="J1189" s="123">
        <v>46145</v>
      </c>
      <c r="K1189" s="123">
        <v>0</v>
      </c>
      <c r="L1189" s="123">
        <v>46145</v>
      </c>
      <c r="M1189">
        <v>0</v>
      </c>
      <c r="N1189">
        <v>0</v>
      </c>
      <c r="O1189" t="s">
        <v>556</v>
      </c>
      <c r="P1189" s="216">
        <v>40000</v>
      </c>
      <c r="Q1189" s="217" t="s">
        <v>26</v>
      </c>
      <c r="R1189" s="217" t="s">
        <v>62</v>
      </c>
      <c r="S1189" s="218">
        <v>0.57491644944646492</v>
      </c>
      <c r="T1189" t="s">
        <v>550</v>
      </c>
      <c r="U1189" t="s">
        <v>51</v>
      </c>
      <c r="V1189" s="219">
        <v>0</v>
      </c>
      <c r="W1189" s="219">
        <v>0</v>
      </c>
    </row>
    <row r="1190" spans="1:23" ht="15" customHeight="1" x14ac:dyDescent="0.25">
      <c r="A1190" t="s">
        <v>3035</v>
      </c>
      <c r="B1190" t="s">
        <v>546</v>
      </c>
      <c r="C1190">
        <v>25000</v>
      </c>
      <c r="D1190" t="s">
        <v>3032</v>
      </c>
      <c r="E1190" t="s">
        <v>553</v>
      </c>
      <c r="F1190" t="s">
        <v>554</v>
      </c>
      <c r="G1190" s="30">
        <v>46146</v>
      </c>
      <c r="H1190" t="s">
        <v>3033</v>
      </c>
      <c r="I1190">
        <v>1001115.45</v>
      </c>
      <c r="J1190" s="123">
        <v>46146</v>
      </c>
      <c r="K1190" s="123">
        <v>0</v>
      </c>
      <c r="L1190" s="123">
        <v>46146</v>
      </c>
      <c r="M1190">
        <v>0</v>
      </c>
      <c r="N1190">
        <v>0</v>
      </c>
      <c r="O1190" t="s">
        <v>556</v>
      </c>
      <c r="P1190" s="216">
        <v>25000</v>
      </c>
      <c r="Q1190" s="217" t="s">
        <v>26</v>
      </c>
      <c r="R1190" s="217" t="s">
        <v>554</v>
      </c>
      <c r="S1190" s="218">
        <v>0.57491644944646492</v>
      </c>
      <c r="T1190" t="s">
        <v>550</v>
      </c>
      <c r="U1190" t="s">
        <v>51</v>
      </c>
      <c r="V1190" s="219" t="s">
        <v>6517</v>
      </c>
      <c r="W1190" s="219" t="s">
        <v>67</v>
      </c>
    </row>
    <row r="1191" spans="1:23" ht="15" customHeight="1" x14ac:dyDescent="0.25">
      <c r="A1191" t="s">
        <v>3036</v>
      </c>
      <c r="B1191" t="s">
        <v>546</v>
      </c>
      <c r="C1191">
        <v>25000</v>
      </c>
      <c r="D1191" t="s">
        <v>3032</v>
      </c>
      <c r="E1191" t="s">
        <v>553</v>
      </c>
      <c r="F1191" t="s">
        <v>554</v>
      </c>
      <c r="G1191" s="30">
        <v>46146</v>
      </c>
      <c r="H1191" t="s">
        <v>3033</v>
      </c>
      <c r="I1191">
        <v>1001115.45</v>
      </c>
      <c r="J1191" s="123">
        <v>46146</v>
      </c>
      <c r="K1191" s="123">
        <v>0</v>
      </c>
      <c r="L1191" s="123">
        <v>46146</v>
      </c>
      <c r="M1191">
        <v>0</v>
      </c>
      <c r="N1191">
        <v>0</v>
      </c>
      <c r="O1191" t="s">
        <v>556</v>
      </c>
      <c r="P1191" s="216">
        <v>25000</v>
      </c>
      <c r="Q1191" s="217" t="s">
        <v>26</v>
      </c>
      <c r="R1191" s="217" t="s">
        <v>554</v>
      </c>
      <c r="S1191" s="218">
        <v>0.57491644944646492</v>
      </c>
      <c r="T1191" t="s">
        <v>550</v>
      </c>
      <c r="U1191" t="s">
        <v>51</v>
      </c>
      <c r="V1191" s="219" t="s">
        <v>6518</v>
      </c>
      <c r="W1191" s="219" t="s">
        <v>67</v>
      </c>
    </row>
    <row r="1192" spans="1:23" ht="15" customHeight="1" x14ac:dyDescent="0.25">
      <c r="A1192" t="s">
        <v>3037</v>
      </c>
      <c r="B1192" t="s">
        <v>546</v>
      </c>
      <c r="C1192">
        <v>22729.26</v>
      </c>
      <c r="D1192" t="s">
        <v>3032</v>
      </c>
      <c r="E1192" t="s">
        <v>553</v>
      </c>
      <c r="F1192" t="s">
        <v>548</v>
      </c>
      <c r="G1192" s="30">
        <v>46147</v>
      </c>
      <c r="H1192" t="s">
        <v>3033</v>
      </c>
      <c r="I1192">
        <v>1001115.45</v>
      </c>
      <c r="J1192" s="123">
        <v>46147</v>
      </c>
      <c r="K1192" s="123">
        <v>0</v>
      </c>
      <c r="L1192" s="123">
        <v>46147</v>
      </c>
      <c r="M1192">
        <v>0</v>
      </c>
      <c r="N1192">
        <v>0</v>
      </c>
      <c r="O1192" t="s">
        <v>556</v>
      </c>
      <c r="P1192" s="216">
        <v>22729.26</v>
      </c>
      <c r="Q1192" s="217" t="s">
        <v>26</v>
      </c>
      <c r="R1192" s="217" t="s">
        <v>62</v>
      </c>
      <c r="S1192" s="218">
        <v>0.57491644944646492</v>
      </c>
      <c r="T1192" t="s">
        <v>550</v>
      </c>
      <c r="U1192" t="s">
        <v>51</v>
      </c>
      <c r="V1192" s="219">
        <v>0</v>
      </c>
      <c r="W1192" s="219">
        <v>0</v>
      </c>
    </row>
    <row r="1193" spans="1:23" ht="15" customHeight="1" x14ac:dyDescent="0.25">
      <c r="A1193" t="s">
        <v>3038</v>
      </c>
      <c r="B1193" t="s">
        <v>575</v>
      </c>
      <c r="C1193">
        <v>104070</v>
      </c>
      <c r="D1193" t="s">
        <v>3039</v>
      </c>
      <c r="E1193" t="s">
        <v>193</v>
      </c>
      <c r="F1193" t="s">
        <v>580</v>
      </c>
      <c r="G1193" s="30">
        <v>46149</v>
      </c>
      <c r="H1193" t="s">
        <v>3040</v>
      </c>
      <c r="I1193">
        <v>1040701.7</v>
      </c>
      <c r="J1193" s="123">
        <v>0</v>
      </c>
      <c r="K1193" s="123">
        <v>0</v>
      </c>
      <c r="L1193" s="123">
        <v>46149</v>
      </c>
      <c r="M1193">
        <v>0</v>
      </c>
      <c r="N1193">
        <v>0</v>
      </c>
      <c r="O1193">
        <v>0</v>
      </c>
      <c r="P1193" s="216">
        <v>104070</v>
      </c>
      <c r="Q1193" s="217" t="s">
        <v>26</v>
      </c>
      <c r="R1193" s="217" t="s">
        <v>582</v>
      </c>
      <c r="S1193" s="218">
        <v>0.49999934659470624</v>
      </c>
      <c r="T1193" t="s">
        <v>550</v>
      </c>
      <c r="U1193" t="s">
        <v>51</v>
      </c>
      <c r="V1193" s="219">
        <v>0</v>
      </c>
      <c r="W1193" s="219">
        <v>0</v>
      </c>
    </row>
    <row r="1194" spans="1:23" ht="15" customHeight="1" x14ac:dyDescent="0.25">
      <c r="A1194" t="s">
        <v>3041</v>
      </c>
      <c r="B1194" t="s">
        <v>595</v>
      </c>
      <c r="C1194">
        <v>49984.25</v>
      </c>
      <c r="D1194" t="s">
        <v>3042</v>
      </c>
      <c r="E1194" t="s">
        <v>193</v>
      </c>
      <c r="F1194" t="s">
        <v>554</v>
      </c>
      <c r="G1194" s="30">
        <v>46144</v>
      </c>
      <c r="H1194" t="s">
        <v>3043</v>
      </c>
      <c r="I1194">
        <v>1049490.75</v>
      </c>
      <c r="J1194" s="123">
        <v>0</v>
      </c>
      <c r="K1194" s="123">
        <v>0</v>
      </c>
      <c r="L1194" s="123">
        <v>46142</v>
      </c>
      <c r="M1194">
        <v>0</v>
      </c>
      <c r="N1194">
        <v>0</v>
      </c>
      <c r="O1194">
        <v>0</v>
      </c>
      <c r="P1194" s="216">
        <v>49984.25</v>
      </c>
      <c r="Q1194" s="217" t="s">
        <v>26</v>
      </c>
      <c r="R1194" s="217" t="s">
        <v>554</v>
      </c>
      <c r="S1194" s="218">
        <v>0.54756271077186724</v>
      </c>
      <c r="T1194" t="s">
        <v>550</v>
      </c>
      <c r="U1194" t="s">
        <v>51</v>
      </c>
      <c r="V1194" s="219" t="s">
        <v>6519</v>
      </c>
      <c r="W1194" s="219" t="s">
        <v>67</v>
      </c>
    </row>
    <row r="1195" spans="1:23" ht="15" customHeight="1" x14ac:dyDescent="0.25">
      <c r="A1195" t="s">
        <v>3044</v>
      </c>
      <c r="B1195" t="s">
        <v>595</v>
      </c>
      <c r="C1195">
        <v>54974</v>
      </c>
      <c r="D1195" t="s">
        <v>3042</v>
      </c>
      <c r="E1195" t="s">
        <v>193</v>
      </c>
      <c r="F1195" t="s">
        <v>580</v>
      </c>
      <c r="G1195" s="30">
        <v>46149</v>
      </c>
      <c r="H1195" t="s">
        <v>3043</v>
      </c>
      <c r="I1195">
        <v>1049490.75</v>
      </c>
      <c r="J1195" s="123">
        <v>0</v>
      </c>
      <c r="K1195" s="123">
        <v>0</v>
      </c>
      <c r="L1195" s="123">
        <v>46143</v>
      </c>
      <c r="M1195">
        <v>0</v>
      </c>
      <c r="N1195">
        <v>0</v>
      </c>
      <c r="O1195">
        <v>0</v>
      </c>
      <c r="P1195" s="216">
        <v>54974</v>
      </c>
      <c r="Q1195" s="217" t="s">
        <v>26</v>
      </c>
      <c r="R1195" s="217" t="s">
        <v>582</v>
      </c>
      <c r="S1195" s="218">
        <v>0.54756271077186724</v>
      </c>
      <c r="T1195" t="s">
        <v>550</v>
      </c>
      <c r="U1195" t="s">
        <v>51</v>
      </c>
      <c r="V1195" s="219">
        <v>0</v>
      </c>
      <c r="W1195" s="219">
        <v>0</v>
      </c>
    </row>
    <row r="1196" spans="1:23" ht="15" customHeight="1" x14ac:dyDescent="0.25">
      <c r="A1196" t="s">
        <v>3045</v>
      </c>
      <c r="B1196" t="s">
        <v>595</v>
      </c>
      <c r="C1196">
        <v>31405</v>
      </c>
      <c r="D1196" t="s">
        <v>3046</v>
      </c>
      <c r="E1196" t="s">
        <v>193</v>
      </c>
      <c r="F1196" t="s">
        <v>580</v>
      </c>
      <c r="G1196" s="30">
        <v>46149</v>
      </c>
      <c r="H1196" t="s">
        <v>3047</v>
      </c>
      <c r="I1196">
        <v>1151751.7</v>
      </c>
      <c r="J1196" s="123">
        <v>0</v>
      </c>
      <c r="K1196" s="123">
        <v>0</v>
      </c>
      <c r="L1196" s="123">
        <v>46136</v>
      </c>
      <c r="M1196">
        <v>0</v>
      </c>
      <c r="N1196">
        <v>0</v>
      </c>
      <c r="O1196">
        <v>0</v>
      </c>
      <c r="P1196" s="216">
        <v>31405</v>
      </c>
      <c r="Q1196" s="217" t="s">
        <v>26</v>
      </c>
      <c r="R1196" s="217" t="s">
        <v>582</v>
      </c>
      <c r="S1196" s="218">
        <v>0.50047870560989838</v>
      </c>
      <c r="T1196" t="s">
        <v>550</v>
      </c>
      <c r="U1196" t="s">
        <v>51</v>
      </c>
      <c r="V1196" s="219">
        <v>0</v>
      </c>
      <c r="W1196" s="219">
        <v>0</v>
      </c>
    </row>
    <row r="1197" spans="1:23" ht="15" customHeight="1" x14ac:dyDescent="0.25">
      <c r="A1197" t="s">
        <v>3048</v>
      </c>
      <c r="B1197" t="s">
        <v>575</v>
      </c>
      <c r="C1197">
        <v>103295</v>
      </c>
      <c r="D1197" t="s">
        <v>3049</v>
      </c>
      <c r="E1197" t="s">
        <v>553</v>
      </c>
      <c r="F1197" t="s">
        <v>585</v>
      </c>
      <c r="G1197" s="30">
        <v>46145</v>
      </c>
      <c r="H1197" t="s">
        <v>3050</v>
      </c>
      <c r="I1197">
        <v>1032945.55</v>
      </c>
      <c r="J1197" s="123">
        <v>46145</v>
      </c>
      <c r="K1197" s="123">
        <v>0</v>
      </c>
      <c r="L1197" s="123">
        <v>46145</v>
      </c>
      <c r="M1197">
        <v>0</v>
      </c>
      <c r="N1197">
        <v>0</v>
      </c>
      <c r="O1197" t="s">
        <v>556</v>
      </c>
      <c r="P1197" s="216">
        <v>103295</v>
      </c>
      <c r="Q1197" s="217" t="s">
        <v>26</v>
      </c>
      <c r="R1197" s="217" t="s">
        <v>61</v>
      </c>
      <c r="S1197" s="218">
        <v>0.4100012822553909</v>
      </c>
      <c r="T1197" t="s">
        <v>550</v>
      </c>
      <c r="U1197" t="s">
        <v>51</v>
      </c>
      <c r="V1197" s="219">
        <v>0</v>
      </c>
      <c r="W1197" s="219">
        <v>0</v>
      </c>
    </row>
    <row r="1198" spans="1:23" ht="15" customHeight="1" x14ac:dyDescent="0.25">
      <c r="A1198" t="s">
        <v>3051</v>
      </c>
      <c r="B1198" t="s">
        <v>575</v>
      </c>
      <c r="C1198">
        <v>100000</v>
      </c>
      <c r="D1198" t="s">
        <v>3049</v>
      </c>
      <c r="E1198" t="s">
        <v>193</v>
      </c>
      <c r="F1198" t="s">
        <v>580</v>
      </c>
      <c r="G1198" s="30">
        <v>46149</v>
      </c>
      <c r="H1198" t="s">
        <v>3050</v>
      </c>
      <c r="I1198">
        <v>1032945.55</v>
      </c>
      <c r="J1198" s="123">
        <v>0</v>
      </c>
      <c r="K1198" s="123">
        <v>0</v>
      </c>
      <c r="L1198" s="123">
        <v>46145</v>
      </c>
      <c r="M1198">
        <v>0</v>
      </c>
      <c r="N1198">
        <v>0</v>
      </c>
      <c r="O1198">
        <v>0</v>
      </c>
      <c r="P1198" s="216">
        <v>100000</v>
      </c>
      <c r="Q1198" s="217" t="s">
        <v>26</v>
      </c>
      <c r="R1198" s="217" t="s">
        <v>582</v>
      </c>
      <c r="S1198" s="218">
        <v>0.4100012822553909</v>
      </c>
      <c r="T1198" t="s">
        <v>550</v>
      </c>
      <c r="U1198" t="s">
        <v>51</v>
      </c>
      <c r="V1198" s="219">
        <v>0</v>
      </c>
      <c r="W1198" s="219">
        <v>0</v>
      </c>
    </row>
    <row r="1199" spans="1:23" ht="15" customHeight="1" x14ac:dyDescent="0.25">
      <c r="A1199" t="s">
        <v>3052</v>
      </c>
      <c r="B1199" t="s">
        <v>668</v>
      </c>
      <c r="C1199">
        <v>1000</v>
      </c>
      <c r="D1199" t="s">
        <v>3053</v>
      </c>
      <c r="E1199" t="s">
        <v>321</v>
      </c>
      <c r="F1199" t="s">
        <v>554</v>
      </c>
      <c r="G1199" s="30">
        <v>46145</v>
      </c>
      <c r="H1199" t="s">
        <v>3054</v>
      </c>
      <c r="I1199">
        <v>1005894</v>
      </c>
      <c r="J1199" s="123">
        <v>46140</v>
      </c>
      <c r="K1199" s="123">
        <v>0</v>
      </c>
      <c r="L1199" s="123">
        <v>46140</v>
      </c>
      <c r="M1199">
        <v>0</v>
      </c>
      <c r="N1199">
        <v>0</v>
      </c>
      <c r="O1199">
        <v>0</v>
      </c>
      <c r="P1199" s="216">
        <v>1000</v>
      </c>
      <c r="Q1199" s="217" t="s">
        <v>43</v>
      </c>
      <c r="R1199" s="217" t="s">
        <v>554</v>
      </c>
      <c r="S1199" s="218">
        <v>0.44722803794435595</v>
      </c>
      <c r="T1199" t="s">
        <v>550</v>
      </c>
      <c r="U1199" t="s">
        <v>51</v>
      </c>
      <c r="V1199" s="219" t="s">
        <v>6520</v>
      </c>
      <c r="W1199" s="219" t="s">
        <v>67</v>
      </c>
    </row>
    <row r="1200" spans="1:23" ht="15" customHeight="1" x14ac:dyDescent="0.25">
      <c r="A1200" t="s">
        <v>3055</v>
      </c>
      <c r="B1200" t="s">
        <v>595</v>
      </c>
      <c r="C1200">
        <v>101603.05</v>
      </c>
      <c r="D1200" t="s">
        <v>3056</v>
      </c>
      <c r="E1200" t="s">
        <v>193</v>
      </c>
      <c r="F1200" t="s">
        <v>580</v>
      </c>
      <c r="G1200" s="30">
        <v>46149</v>
      </c>
      <c r="H1200" t="s">
        <v>3057</v>
      </c>
      <c r="I1200">
        <v>1006632</v>
      </c>
      <c r="J1200" s="123">
        <v>0</v>
      </c>
      <c r="K1200" s="123">
        <v>0</v>
      </c>
      <c r="L1200" s="123">
        <v>46146</v>
      </c>
      <c r="M1200">
        <v>0</v>
      </c>
      <c r="N1200">
        <v>0</v>
      </c>
      <c r="O1200">
        <v>0</v>
      </c>
      <c r="P1200" s="216">
        <v>101603.05</v>
      </c>
      <c r="Q1200" s="217" t="s">
        <v>26</v>
      </c>
      <c r="R1200" s="217" t="s">
        <v>582</v>
      </c>
      <c r="S1200" s="218">
        <v>0.49588600402133048</v>
      </c>
      <c r="T1200" t="s">
        <v>550</v>
      </c>
      <c r="U1200" t="s">
        <v>51</v>
      </c>
      <c r="V1200" s="219">
        <v>0</v>
      </c>
      <c r="W1200" s="219">
        <v>0</v>
      </c>
    </row>
    <row r="1201" spans="1:23" ht="15" customHeight="1" x14ac:dyDescent="0.25">
      <c r="A1201" t="s">
        <v>3058</v>
      </c>
      <c r="B1201" t="s">
        <v>546</v>
      </c>
      <c r="C1201">
        <v>46160</v>
      </c>
      <c r="D1201" t="s">
        <v>3059</v>
      </c>
      <c r="E1201" t="s">
        <v>553</v>
      </c>
      <c r="F1201" t="s">
        <v>554</v>
      </c>
      <c r="G1201" s="30">
        <v>46148</v>
      </c>
      <c r="H1201" t="s">
        <v>3060</v>
      </c>
      <c r="I1201">
        <v>1025740.8</v>
      </c>
      <c r="J1201" s="123">
        <v>46148</v>
      </c>
      <c r="K1201" s="123">
        <v>0</v>
      </c>
      <c r="L1201" s="123">
        <v>46148</v>
      </c>
      <c r="M1201">
        <v>0</v>
      </c>
      <c r="N1201">
        <v>0</v>
      </c>
      <c r="O1201" t="s">
        <v>556</v>
      </c>
      <c r="P1201" s="216">
        <v>46160</v>
      </c>
      <c r="Q1201" s="217" t="s">
        <v>26</v>
      </c>
      <c r="R1201" s="217" t="s">
        <v>554</v>
      </c>
      <c r="S1201" s="218">
        <v>0.45500122448088248</v>
      </c>
      <c r="T1201" t="s">
        <v>550</v>
      </c>
      <c r="U1201" t="s">
        <v>51</v>
      </c>
      <c r="V1201" s="219" t="s">
        <v>6521</v>
      </c>
      <c r="W1201" s="219" t="s">
        <v>67</v>
      </c>
    </row>
    <row r="1202" spans="1:23" ht="15" customHeight="1" x14ac:dyDescent="0.25">
      <c r="A1202" t="s">
        <v>3061</v>
      </c>
      <c r="B1202" t="s">
        <v>546</v>
      </c>
      <c r="C1202">
        <v>125900</v>
      </c>
      <c r="D1202" t="s">
        <v>3062</v>
      </c>
      <c r="E1202" t="s">
        <v>3063</v>
      </c>
      <c r="F1202" t="s">
        <v>554</v>
      </c>
      <c r="G1202" s="30">
        <v>46148</v>
      </c>
      <c r="H1202" t="s">
        <v>3064</v>
      </c>
      <c r="I1202">
        <v>1275353.1000000001</v>
      </c>
      <c r="J1202" s="123">
        <v>0</v>
      </c>
      <c r="K1202" s="123">
        <v>0</v>
      </c>
      <c r="L1202" s="123">
        <v>0</v>
      </c>
      <c r="M1202">
        <v>0</v>
      </c>
      <c r="N1202">
        <v>0</v>
      </c>
      <c r="O1202">
        <v>0</v>
      </c>
      <c r="P1202" s="216">
        <v>125900</v>
      </c>
      <c r="Q1202" s="217" t="s">
        <v>26</v>
      </c>
      <c r="R1202" s="217" t="s">
        <v>554</v>
      </c>
      <c r="S1202" s="218">
        <v>0.59301777680236167</v>
      </c>
      <c r="T1202" t="s">
        <v>550</v>
      </c>
      <c r="U1202" t="s">
        <v>51</v>
      </c>
      <c r="V1202" s="219" t="s">
        <v>6522</v>
      </c>
      <c r="W1202" s="219" t="s">
        <v>67</v>
      </c>
    </row>
    <row r="1203" spans="1:23" ht="15" customHeight="1" x14ac:dyDescent="0.25">
      <c r="A1203" t="s">
        <v>3065</v>
      </c>
      <c r="B1203" t="s">
        <v>595</v>
      </c>
      <c r="C1203">
        <v>104887</v>
      </c>
      <c r="D1203" t="s">
        <v>3066</v>
      </c>
      <c r="E1203" t="s">
        <v>193</v>
      </c>
      <c r="F1203" t="s">
        <v>554</v>
      </c>
      <c r="G1203" s="30">
        <v>46143</v>
      </c>
      <c r="H1203" t="s">
        <v>3067</v>
      </c>
      <c r="I1203">
        <v>1048874.75</v>
      </c>
      <c r="J1203" s="123">
        <v>0</v>
      </c>
      <c r="K1203" s="123">
        <v>0</v>
      </c>
      <c r="L1203" s="123">
        <v>46142</v>
      </c>
      <c r="M1203">
        <v>0</v>
      </c>
      <c r="N1203">
        <v>0</v>
      </c>
      <c r="O1203">
        <v>0</v>
      </c>
      <c r="P1203" s="216">
        <v>104887</v>
      </c>
      <c r="Q1203" s="217" t="s">
        <v>26</v>
      </c>
      <c r="R1203" s="217" t="s">
        <v>554</v>
      </c>
      <c r="S1203" s="218">
        <v>0.59999824573906468</v>
      </c>
      <c r="T1203" t="s">
        <v>550</v>
      </c>
      <c r="U1203" t="s">
        <v>51</v>
      </c>
      <c r="V1203" s="219" t="s">
        <v>6523</v>
      </c>
      <c r="W1203" s="219" t="s">
        <v>67</v>
      </c>
    </row>
    <row r="1204" spans="1:23" ht="15" customHeight="1" x14ac:dyDescent="0.25">
      <c r="A1204" t="s">
        <v>3068</v>
      </c>
      <c r="B1204" t="s">
        <v>546</v>
      </c>
      <c r="C1204">
        <v>104047.72</v>
      </c>
      <c r="D1204" t="s">
        <v>3069</v>
      </c>
      <c r="E1204" t="s">
        <v>553</v>
      </c>
      <c r="F1204" t="s">
        <v>548</v>
      </c>
      <c r="G1204" s="30">
        <v>46147</v>
      </c>
      <c r="H1204" t="s">
        <v>3070</v>
      </c>
      <c r="I1204">
        <v>1040491.6</v>
      </c>
      <c r="J1204" s="123">
        <v>46147</v>
      </c>
      <c r="K1204" s="123">
        <v>0</v>
      </c>
      <c r="L1204" s="123">
        <v>46147</v>
      </c>
      <c r="M1204">
        <v>0</v>
      </c>
      <c r="N1204">
        <v>0</v>
      </c>
      <c r="O1204" t="s">
        <v>556</v>
      </c>
      <c r="P1204" s="216">
        <v>104047.72</v>
      </c>
      <c r="Q1204" s="217" t="s">
        <v>26</v>
      </c>
      <c r="R1204" s="217" t="s">
        <v>62</v>
      </c>
      <c r="S1204" s="218">
        <v>0.20000092264079788</v>
      </c>
      <c r="T1204" t="s">
        <v>550</v>
      </c>
      <c r="U1204" t="s">
        <v>51</v>
      </c>
      <c r="V1204" s="219">
        <v>0</v>
      </c>
      <c r="W1204" s="219">
        <v>0</v>
      </c>
    </row>
    <row r="1205" spans="1:23" ht="15" customHeight="1" x14ac:dyDescent="0.25">
      <c r="A1205" t="s">
        <v>3071</v>
      </c>
      <c r="B1205" t="s">
        <v>575</v>
      </c>
      <c r="C1205">
        <v>104047.72</v>
      </c>
      <c r="D1205" t="s">
        <v>3069</v>
      </c>
      <c r="E1205" t="s">
        <v>3072</v>
      </c>
      <c r="F1205" t="s">
        <v>580</v>
      </c>
      <c r="G1205" s="30">
        <v>46148</v>
      </c>
      <c r="H1205" t="s">
        <v>3070</v>
      </c>
      <c r="I1205">
        <v>1040491.6</v>
      </c>
      <c r="J1205" s="123">
        <v>0</v>
      </c>
      <c r="K1205" s="123">
        <v>0</v>
      </c>
      <c r="L1205" s="123">
        <v>46148</v>
      </c>
      <c r="M1205">
        <v>0</v>
      </c>
      <c r="N1205">
        <v>0</v>
      </c>
      <c r="O1205">
        <v>0</v>
      </c>
      <c r="P1205" s="216">
        <v>104047.72</v>
      </c>
      <c r="Q1205" s="217" t="s">
        <v>26</v>
      </c>
      <c r="R1205" s="217" t="s">
        <v>582</v>
      </c>
      <c r="S1205" s="218">
        <v>0.20000092264079788</v>
      </c>
      <c r="T1205" t="s">
        <v>550</v>
      </c>
      <c r="U1205" t="s">
        <v>51</v>
      </c>
      <c r="V1205" s="219">
        <v>0</v>
      </c>
      <c r="W1205" s="219">
        <v>0</v>
      </c>
    </row>
    <row r="1206" spans="1:23" ht="15" customHeight="1" x14ac:dyDescent="0.25">
      <c r="A1206" t="s">
        <v>3073</v>
      </c>
      <c r="B1206" t="s">
        <v>595</v>
      </c>
      <c r="C1206">
        <v>30082.2</v>
      </c>
      <c r="D1206" t="s">
        <v>3074</v>
      </c>
      <c r="E1206" t="s">
        <v>193</v>
      </c>
      <c r="F1206" t="s">
        <v>580</v>
      </c>
      <c r="G1206" s="30">
        <v>46149</v>
      </c>
      <c r="H1206" t="s">
        <v>3075</v>
      </c>
      <c r="I1206">
        <v>1295596.8</v>
      </c>
      <c r="J1206" s="123">
        <v>0</v>
      </c>
      <c r="K1206" s="123">
        <v>0</v>
      </c>
      <c r="L1206" s="123">
        <v>46121</v>
      </c>
      <c r="M1206">
        <v>0</v>
      </c>
      <c r="N1206">
        <v>0</v>
      </c>
      <c r="O1206">
        <v>0</v>
      </c>
      <c r="P1206" s="216">
        <v>30082.2</v>
      </c>
      <c r="Q1206" s="217" t="s">
        <v>26</v>
      </c>
      <c r="R1206" s="217" t="s">
        <v>582</v>
      </c>
      <c r="S1206" s="218">
        <v>0.49690006180935303</v>
      </c>
      <c r="T1206" t="s">
        <v>550</v>
      </c>
      <c r="U1206" t="s">
        <v>51</v>
      </c>
      <c r="V1206" s="219">
        <v>0</v>
      </c>
      <c r="W1206" s="219">
        <v>0</v>
      </c>
    </row>
    <row r="1207" spans="1:23" ht="15" customHeight="1" x14ac:dyDescent="0.25">
      <c r="A1207" t="s">
        <v>3076</v>
      </c>
      <c r="B1207" t="s">
        <v>595</v>
      </c>
      <c r="C1207">
        <v>108966</v>
      </c>
      <c r="D1207" t="s">
        <v>3077</v>
      </c>
      <c r="E1207" t="s">
        <v>193</v>
      </c>
      <c r="F1207" t="s">
        <v>580</v>
      </c>
      <c r="G1207" s="30">
        <v>46149</v>
      </c>
      <c r="H1207" t="s">
        <v>3078</v>
      </c>
      <c r="I1207">
        <v>1089657.3500000001</v>
      </c>
      <c r="J1207" s="123">
        <v>0</v>
      </c>
      <c r="K1207" s="123">
        <v>0</v>
      </c>
      <c r="L1207" s="123">
        <v>46140</v>
      </c>
      <c r="M1207">
        <v>0</v>
      </c>
      <c r="N1207">
        <v>0</v>
      </c>
      <c r="O1207">
        <v>0</v>
      </c>
      <c r="P1207" s="216">
        <v>108966</v>
      </c>
      <c r="Q1207" s="217" t="s">
        <v>26</v>
      </c>
      <c r="R1207" s="217" t="s">
        <v>582</v>
      </c>
      <c r="S1207" s="218">
        <v>0.40000003670878737</v>
      </c>
      <c r="T1207" t="s">
        <v>550</v>
      </c>
      <c r="U1207" t="s">
        <v>51</v>
      </c>
      <c r="V1207" s="219">
        <v>0</v>
      </c>
      <c r="W1207" s="219">
        <v>0</v>
      </c>
    </row>
    <row r="1208" spans="1:23" ht="15" customHeight="1" x14ac:dyDescent="0.25">
      <c r="A1208" t="s">
        <v>3079</v>
      </c>
      <c r="B1208" t="s">
        <v>64</v>
      </c>
      <c r="C1208">
        <v>100529</v>
      </c>
      <c r="D1208" t="s">
        <v>3080</v>
      </c>
      <c r="E1208" t="s">
        <v>1126</v>
      </c>
      <c r="F1208" t="s">
        <v>554</v>
      </c>
      <c r="G1208" s="30">
        <v>46147</v>
      </c>
      <c r="H1208" t="s">
        <v>3081</v>
      </c>
      <c r="I1208">
        <v>1014375</v>
      </c>
      <c r="J1208" s="123">
        <v>0</v>
      </c>
      <c r="K1208" s="123">
        <v>46144</v>
      </c>
      <c r="L1208" s="123">
        <v>0</v>
      </c>
      <c r="M1208">
        <v>0</v>
      </c>
      <c r="N1208">
        <v>0</v>
      </c>
      <c r="O1208" t="s">
        <v>556</v>
      </c>
      <c r="P1208" s="216">
        <v>100529</v>
      </c>
      <c r="Q1208" s="217" t="s">
        <v>26</v>
      </c>
      <c r="R1208" s="217" t="s">
        <v>554</v>
      </c>
      <c r="S1208" s="218">
        <v>0.59391053604436228</v>
      </c>
      <c r="T1208" t="s">
        <v>550</v>
      </c>
      <c r="U1208" t="s">
        <v>51</v>
      </c>
      <c r="V1208" s="219" t="s">
        <v>6524</v>
      </c>
      <c r="W1208" s="219" t="s">
        <v>67</v>
      </c>
    </row>
    <row r="1209" spans="1:23" ht="15" customHeight="1" x14ac:dyDescent="0.25">
      <c r="A1209" t="s">
        <v>3082</v>
      </c>
      <c r="B1209" t="s">
        <v>668</v>
      </c>
      <c r="C1209">
        <v>14000</v>
      </c>
      <c r="D1209" t="s">
        <v>3083</v>
      </c>
      <c r="E1209" t="s">
        <v>193</v>
      </c>
      <c r="F1209" t="s">
        <v>580</v>
      </c>
      <c r="G1209" s="30">
        <v>46149</v>
      </c>
      <c r="H1209" t="s">
        <v>3084</v>
      </c>
      <c r="I1209">
        <v>1175042.25</v>
      </c>
      <c r="J1209" s="123">
        <v>46147</v>
      </c>
      <c r="K1209" s="123">
        <v>0</v>
      </c>
      <c r="L1209" s="123">
        <v>46147</v>
      </c>
      <c r="M1209">
        <v>0</v>
      </c>
      <c r="N1209">
        <v>0</v>
      </c>
      <c r="O1209">
        <v>0</v>
      </c>
      <c r="P1209" s="216">
        <v>14000</v>
      </c>
      <c r="Q1209" s="217" t="s">
        <v>26</v>
      </c>
      <c r="R1209" s="217" t="s">
        <v>582</v>
      </c>
      <c r="S1209" s="218">
        <v>0.50042226992263472</v>
      </c>
      <c r="T1209" t="s">
        <v>550</v>
      </c>
      <c r="U1209" t="s">
        <v>51</v>
      </c>
      <c r="V1209" s="219">
        <v>0</v>
      </c>
      <c r="W1209" s="219">
        <v>0</v>
      </c>
    </row>
    <row r="1210" spans="1:23" ht="15" customHeight="1" x14ac:dyDescent="0.25">
      <c r="A1210" t="s">
        <v>3085</v>
      </c>
      <c r="B1210" t="s">
        <v>668</v>
      </c>
      <c r="C1210">
        <v>17500</v>
      </c>
      <c r="D1210" t="s">
        <v>3083</v>
      </c>
      <c r="E1210" t="s">
        <v>193</v>
      </c>
      <c r="F1210" t="s">
        <v>580</v>
      </c>
      <c r="G1210" s="30">
        <v>46149</v>
      </c>
      <c r="H1210" t="s">
        <v>3084</v>
      </c>
      <c r="I1210">
        <v>1175042.25</v>
      </c>
      <c r="J1210" s="123">
        <v>46147</v>
      </c>
      <c r="K1210" s="123">
        <v>0</v>
      </c>
      <c r="L1210" s="123">
        <v>46147</v>
      </c>
      <c r="M1210">
        <v>0</v>
      </c>
      <c r="N1210">
        <v>0</v>
      </c>
      <c r="O1210">
        <v>0</v>
      </c>
      <c r="P1210" s="216">
        <v>17500</v>
      </c>
      <c r="Q1210" s="217" t="s">
        <v>26</v>
      </c>
      <c r="R1210" s="217" t="s">
        <v>582</v>
      </c>
      <c r="S1210" s="218">
        <v>0.50042226992263472</v>
      </c>
      <c r="T1210" t="s">
        <v>550</v>
      </c>
      <c r="U1210" t="s">
        <v>51</v>
      </c>
      <c r="V1210" s="219">
        <v>0</v>
      </c>
      <c r="W1210" s="219">
        <v>0</v>
      </c>
    </row>
    <row r="1211" spans="1:23" ht="15" customHeight="1" x14ac:dyDescent="0.25">
      <c r="A1211" t="s">
        <v>3086</v>
      </c>
      <c r="B1211" t="s">
        <v>668</v>
      </c>
      <c r="C1211">
        <v>38000</v>
      </c>
      <c r="D1211" t="s">
        <v>3083</v>
      </c>
      <c r="E1211" t="s">
        <v>193</v>
      </c>
      <c r="F1211" t="s">
        <v>580</v>
      </c>
      <c r="G1211" s="30">
        <v>46149</v>
      </c>
      <c r="H1211" t="s">
        <v>3084</v>
      </c>
      <c r="I1211">
        <v>1175042.25</v>
      </c>
      <c r="J1211" s="123">
        <v>46147</v>
      </c>
      <c r="K1211" s="123">
        <v>0</v>
      </c>
      <c r="L1211" s="123">
        <v>46147</v>
      </c>
      <c r="M1211">
        <v>0</v>
      </c>
      <c r="N1211">
        <v>0</v>
      </c>
      <c r="O1211">
        <v>0</v>
      </c>
      <c r="P1211" s="216">
        <v>38000</v>
      </c>
      <c r="Q1211" s="217" t="s">
        <v>26</v>
      </c>
      <c r="R1211" s="217" t="s">
        <v>582</v>
      </c>
      <c r="S1211" s="218">
        <v>0.50042226992263472</v>
      </c>
      <c r="T1211" t="s">
        <v>550</v>
      </c>
      <c r="U1211" t="s">
        <v>51</v>
      </c>
      <c r="V1211" s="219">
        <v>0</v>
      </c>
      <c r="W1211" s="219">
        <v>0</v>
      </c>
    </row>
    <row r="1212" spans="1:23" ht="15" customHeight="1" x14ac:dyDescent="0.25">
      <c r="A1212" t="s">
        <v>3087</v>
      </c>
      <c r="B1212" t="s">
        <v>668</v>
      </c>
      <c r="C1212">
        <v>17000</v>
      </c>
      <c r="D1212" t="s">
        <v>3083</v>
      </c>
      <c r="E1212" t="s">
        <v>193</v>
      </c>
      <c r="F1212" t="s">
        <v>580</v>
      </c>
      <c r="G1212" s="30">
        <v>46149</v>
      </c>
      <c r="H1212" t="s">
        <v>3084</v>
      </c>
      <c r="I1212">
        <v>1175042.25</v>
      </c>
      <c r="J1212" s="123">
        <v>46147</v>
      </c>
      <c r="K1212" s="123">
        <v>0</v>
      </c>
      <c r="L1212" s="123">
        <v>46147</v>
      </c>
      <c r="M1212">
        <v>0</v>
      </c>
      <c r="N1212">
        <v>0</v>
      </c>
      <c r="O1212">
        <v>0</v>
      </c>
      <c r="P1212" s="216">
        <v>17000</v>
      </c>
      <c r="Q1212" s="217" t="s">
        <v>26</v>
      </c>
      <c r="R1212" s="217" t="s">
        <v>582</v>
      </c>
      <c r="S1212" s="218">
        <v>0.50042226992263472</v>
      </c>
      <c r="T1212" t="s">
        <v>550</v>
      </c>
      <c r="U1212" t="s">
        <v>51</v>
      </c>
      <c r="V1212" s="219">
        <v>0</v>
      </c>
      <c r="W1212" s="219">
        <v>0</v>
      </c>
    </row>
    <row r="1213" spans="1:23" ht="15" customHeight="1" x14ac:dyDescent="0.25">
      <c r="A1213" t="s">
        <v>3088</v>
      </c>
      <c r="B1213" t="s">
        <v>668</v>
      </c>
      <c r="C1213">
        <v>31000</v>
      </c>
      <c r="D1213" t="s">
        <v>3083</v>
      </c>
      <c r="E1213" t="s">
        <v>193</v>
      </c>
      <c r="F1213" t="s">
        <v>580</v>
      </c>
      <c r="G1213" s="30">
        <v>46149</v>
      </c>
      <c r="H1213" t="s">
        <v>3084</v>
      </c>
      <c r="I1213">
        <v>1175042.25</v>
      </c>
      <c r="J1213" s="123">
        <v>46147</v>
      </c>
      <c r="K1213" s="123">
        <v>0</v>
      </c>
      <c r="L1213" s="123">
        <v>46147</v>
      </c>
      <c r="M1213">
        <v>0</v>
      </c>
      <c r="N1213">
        <v>0</v>
      </c>
      <c r="O1213">
        <v>0</v>
      </c>
      <c r="P1213" s="216">
        <v>31000</v>
      </c>
      <c r="Q1213" s="217" t="s">
        <v>26</v>
      </c>
      <c r="R1213" s="217" t="s">
        <v>582</v>
      </c>
      <c r="S1213" s="218">
        <v>0.50042226992263472</v>
      </c>
      <c r="T1213" t="s">
        <v>550</v>
      </c>
      <c r="U1213" t="s">
        <v>51</v>
      </c>
      <c r="V1213" s="219">
        <v>0</v>
      </c>
      <c r="W1213" s="219">
        <v>0</v>
      </c>
    </row>
    <row r="1214" spans="1:23" ht="15" customHeight="1" x14ac:dyDescent="0.25">
      <c r="A1214" t="s">
        <v>3089</v>
      </c>
      <c r="B1214" t="s">
        <v>575</v>
      </c>
      <c r="C1214">
        <v>129560</v>
      </c>
      <c r="D1214" t="s">
        <v>3090</v>
      </c>
      <c r="E1214" t="s">
        <v>193</v>
      </c>
      <c r="F1214" t="s">
        <v>580</v>
      </c>
      <c r="G1214" s="30">
        <v>46149</v>
      </c>
      <c r="H1214" t="s">
        <v>3091</v>
      </c>
      <c r="I1214">
        <v>1295596.8</v>
      </c>
      <c r="J1214" s="123">
        <v>0</v>
      </c>
      <c r="K1214" s="123">
        <v>0</v>
      </c>
      <c r="L1214" s="123">
        <v>46143</v>
      </c>
      <c r="M1214">
        <v>0</v>
      </c>
      <c r="N1214">
        <v>0</v>
      </c>
      <c r="O1214">
        <v>0</v>
      </c>
      <c r="P1214" s="216">
        <v>129560</v>
      </c>
      <c r="Q1214" s="217" t="s">
        <v>26</v>
      </c>
      <c r="R1214" s="217" t="s">
        <v>582</v>
      </c>
      <c r="S1214" s="218">
        <v>0.50009154082504681</v>
      </c>
      <c r="T1214" t="s">
        <v>550</v>
      </c>
      <c r="U1214" t="s">
        <v>51</v>
      </c>
      <c r="V1214" s="219">
        <v>0</v>
      </c>
      <c r="W1214" s="219">
        <v>0</v>
      </c>
    </row>
    <row r="1215" spans="1:23" ht="15" customHeight="1" x14ac:dyDescent="0.25">
      <c r="A1215" t="s">
        <v>3092</v>
      </c>
      <c r="B1215" t="s">
        <v>575</v>
      </c>
      <c r="C1215">
        <v>36724</v>
      </c>
      <c r="D1215" t="s">
        <v>3093</v>
      </c>
      <c r="E1215" t="s">
        <v>193</v>
      </c>
      <c r="F1215" t="s">
        <v>580</v>
      </c>
      <c r="G1215" s="30">
        <v>46149</v>
      </c>
      <c r="H1215" t="s">
        <v>3094</v>
      </c>
      <c r="I1215">
        <v>1057474.6000000001</v>
      </c>
      <c r="J1215" s="123">
        <v>0</v>
      </c>
      <c r="K1215" s="123">
        <v>0</v>
      </c>
      <c r="L1215" s="123">
        <v>46147</v>
      </c>
      <c r="M1215">
        <v>0</v>
      </c>
      <c r="N1215">
        <v>0</v>
      </c>
      <c r="O1215">
        <v>0</v>
      </c>
      <c r="P1215" s="216">
        <v>36724</v>
      </c>
      <c r="Q1215" s="217" t="s">
        <v>26</v>
      </c>
      <c r="R1215" s="217" t="s">
        <v>582</v>
      </c>
      <c r="S1215" s="218">
        <v>0.40047719349476574</v>
      </c>
      <c r="T1215" t="s">
        <v>550</v>
      </c>
      <c r="U1215" t="s">
        <v>51</v>
      </c>
      <c r="V1215" s="219">
        <v>0</v>
      </c>
      <c r="W1215" s="219">
        <v>0</v>
      </c>
    </row>
    <row r="1216" spans="1:23" ht="15" customHeight="1" x14ac:dyDescent="0.25">
      <c r="A1216" t="s">
        <v>3095</v>
      </c>
      <c r="B1216" t="s">
        <v>546</v>
      </c>
      <c r="C1216">
        <v>11573</v>
      </c>
      <c r="D1216" t="s">
        <v>3096</v>
      </c>
      <c r="E1216" t="s">
        <v>553</v>
      </c>
      <c r="F1216" t="s">
        <v>554</v>
      </c>
      <c r="G1216" s="30">
        <v>46148</v>
      </c>
      <c r="H1216" t="s">
        <v>3097</v>
      </c>
      <c r="I1216">
        <v>1254744</v>
      </c>
      <c r="J1216" s="123">
        <v>46148</v>
      </c>
      <c r="K1216" s="123">
        <v>0</v>
      </c>
      <c r="L1216" s="123">
        <v>46148</v>
      </c>
      <c r="M1216">
        <v>0</v>
      </c>
      <c r="N1216">
        <v>0</v>
      </c>
      <c r="O1216" t="s">
        <v>556</v>
      </c>
      <c r="P1216" s="216">
        <v>11573</v>
      </c>
      <c r="Q1216" s="217" t="s">
        <v>26</v>
      </c>
      <c r="R1216" s="217" t="s">
        <v>554</v>
      </c>
      <c r="S1216" s="218">
        <v>0.50000020721358307</v>
      </c>
      <c r="T1216" t="s">
        <v>550</v>
      </c>
      <c r="U1216" t="s">
        <v>51</v>
      </c>
      <c r="V1216" s="219" t="s">
        <v>6525</v>
      </c>
      <c r="W1216" s="219" t="s">
        <v>67</v>
      </c>
    </row>
    <row r="1217" spans="1:23" ht="15" customHeight="1" x14ac:dyDescent="0.25">
      <c r="A1217" t="s">
        <v>3098</v>
      </c>
      <c r="B1217" t="s">
        <v>546</v>
      </c>
      <c r="C1217">
        <v>135095.74</v>
      </c>
      <c r="D1217" t="s">
        <v>3096</v>
      </c>
      <c r="E1217" t="s">
        <v>553</v>
      </c>
      <c r="F1217" t="s">
        <v>548</v>
      </c>
      <c r="G1217" s="30">
        <v>46148</v>
      </c>
      <c r="H1217" t="s">
        <v>3097</v>
      </c>
      <c r="I1217">
        <v>1254744</v>
      </c>
      <c r="J1217" s="123">
        <v>46148</v>
      </c>
      <c r="K1217" s="123">
        <v>0</v>
      </c>
      <c r="L1217" s="123">
        <v>46148</v>
      </c>
      <c r="M1217">
        <v>0</v>
      </c>
      <c r="N1217">
        <v>0</v>
      </c>
      <c r="O1217" t="s">
        <v>556</v>
      </c>
      <c r="P1217" s="216">
        <v>135095.74</v>
      </c>
      <c r="Q1217" s="217" t="s">
        <v>26</v>
      </c>
      <c r="R1217" s="217" t="s">
        <v>62</v>
      </c>
      <c r="S1217" s="218">
        <v>0.50000020721358307</v>
      </c>
      <c r="T1217" t="s">
        <v>550</v>
      </c>
      <c r="U1217" t="s">
        <v>51</v>
      </c>
      <c r="V1217" s="219">
        <v>0</v>
      </c>
      <c r="W1217" s="219">
        <v>0</v>
      </c>
    </row>
    <row r="1218" spans="1:23" ht="15" customHeight="1" x14ac:dyDescent="0.25">
      <c r="A1218" t="s">
        <v>3099</v>
      </c>
      <c r="B1218" t="s">
        <v>575</v>
      </c>
      <c r="C1218">
        <v>193845</v>
      </c>
      <c r="D1218" t="s">
        <v>3100</v>
      </c>
      <c r="E1218" t="s">
        <v>243</v>
      </c>
      <c r="F1218" t="s">
        <v>554</v>
      </c>
      <c r="G1218" s="30">
        <v>46147</v>
      </c>
      <c r="H1218" t="s">
        <v>3101</v>
      </c>
      <c r="I1218">
        <v>1938453.4</v>
      </c>
      <c r="J1218" s="123">
        <v>0</v>
      </c>
      <c r="K1218" s="123">
        <v>0</v>
      </c>
      <c r="L1218" s="123">
        <v>46146</v>
      </c>
      <c r="M1218">
        <v>0</v>
      </c>
      <c r="N1218">
        <v>0</v>
      </c>
      <c r="O1218">
        <v>0</v>
      </c>
      <c r="P1218" s="216">
        <v>193845</v>
      </c>
      <c r="Q1218" s="217" t="s">
        <v>21</v>
      </c>
      <c r="R1218" s="217" t="s">
        <v>554</v>
      </c>
      <c r="S1218" s="218">
        <v>0.60229201279741884</v>
      </c>
      <c r="T1218" t="s">
        <v>550</v>
      </c>
      <c r="U1218" t="s">
        <v>51</v>
      </c>
      <c r="V1218" s="219" t="s">
        <v>6526</v>
      </c>
      <c r="W1218" s="219" t="s">
        <v>67</v>
      </c>
    </row>
    <row r="1219" spans="1:23" ht="15" customHeight="1" x14ac:dyDescent="0.25">
      <c r="A1219" t="s">
        <v>3102</v>
      </c>
      <c r="B1219" t="s">
        <v>575</v>
      </c>
      <c r="C1219">
        <v>136877</v>
      </c>
      <c r="D1219" t="s">
        <v>3103</v>
      </c>
      <c r="E1219" t="s">
        <v>243</v>
      </c>
      <c r="F1219" t="s">
        <v>554</v>
      </c>
      <c r="G1219" s="30">
        <v>46147</v>
      </c>
      <c r="H1219" t="s">
        <v>3104</v>
      </c>
      <c r="I1219">
        <v>1368768.75</v>
      </c>
      <c r="J1219" s="123">
        <v>0</v>
      </c>
      <c r="K1219" s="123">
        <v>0</v>
      </c>
      <c r="L1219" s="123">
        <v>46147</v>
      </c>
      <c r="M1219">
        <v>0</v>
      </c>
      <c r="N1219">
        <v>0</v>
      </c>
      <c r="O1219">
        <v>0</v>
      </c>
      <c r="P1219" s="216">
        <v>136877</v>
      </c>
      <c r="Q1219" s="217" t="s">
        <v>21</v>
      </c>
      <c r="R1219" s="217" t="s">
        <v>554</v>
      </c>
      <c r="S1219" s="218">
        <v>0.60014593407396244</v>
      </c>
      <c r="T1219" t="s">
        <v>550</v>
      </c>
      <c r="U1219" t="s">
        <v>51</v>
      </c>
      <c r="V1219" s="219" t="s">
        <v>6527</v>
      </c>
      <c r="W1219" s="219" t="s">
        <v>67</v>
      </c>
    </row>
    <row r="1220" spans="1:23" ht="15" customHeight="1" x14ac:dyDescent="0.25">
      <c r="A1220" t="s">
        <v>3105</v>
      </c>
      <c r="B1220" t="s">
        <v>668</v>
      </c>
      <c r="C1220">
        <v>17400</v>
      </c>
      <c r="D1220" t="s">
        <v>3106</v>
      </c>
      <c r="E1220" t="s">
        <v>243</v>
      </c>
      <c r="F1220" t="s">
        <v>683</v>
      </c>
      <c r="G1220" s="30">
        <v>46148</v>
      </c>
      <c r="H1220" t="s">
        <v>3107</v>
      </c>
      <c r="I1220">
        <v>1174492.3999999999</v>
      </c>
      <c r="J1220" s="123">
        <v>46148</v>
      </c>
      <c r="K1220" s="123">
        <v>0</v>
      </c>
      <c r="L1220" s="123">
        <v>46148</v>
      </c>
      <c r="M1220">
        <v>0</v>
      </c>
      <c r="N1220">
        <v>0</v>
      </c>
      <c r="O1220">
        <v>0</v>
      </c>
      <c r="P1220" s="216">
        <v>17400</v>
      </c>
      <c r="Q1220" s="217" t="s">
        <v>21</v>
      </c>
      <c r="R1220" s="217" t="s">
        <v>62</v>
      </c>
      <c r="S1220" s="218">
        <v>0.38514536151958073</v>
      </c>
      <c r="T1220" t="s">
        <v>550</v>
      </c>
      <c r="U1220" t="s">
        <v>51</v>
      </c>
      <c r="V1220" s="219">
        <v>0</v>
      </c>
      <c r="W1220" s="219">
        <v>0</v>
      </c>
    </row>
    <row r="1221" spans="1:23" ht="15" customHeight="1" x14ac:dyDescent="0.25">
      <c r="A1221" t="s">
        <v>3108</v>
      </c>
      <c r="B1221" t="s">
        <v>668</v>
      </c>
      <c r="C1221">
        <v>25000</v>
      </c>
      <c r="D1221" t="s">
        <v>3106</v>
      </c>
      <c r="E1221" t="s">
        <v>243</v>
      </c>
      <c r="F1221" t="s">
        <v>554</v>
      </c>
      <c r="G1221" s="30">
        <v>46148</v>
      </c>
      <c r="H1221" t="s">
        <v>3107</v>
      </c>
      <c r="I1221">
        <v>1174492.3999999999</v>
      </c>
      <c r="J1221" s="123">
        <v>46148</v>
      </c>
      <c r="K1221" s="123">
        <v>0</v>
      </c>
      <c r="L1221" s="123">
        <v>46148</v>
      </c>
      <c r="M1221">
        <v>0</v>
      </c>
      <c r="N1221">
        <v>0</v>
      </c>
      <c r="O1221">
        <v>0</v>
      </c>
      <c r="P1221" s="216">
        <v>25000</v>
      </c>
      <c r="Q1221" s="217" t="s">
        <v>21</v>
      </c>
      <c r="R1221" s="217" t="s">
        <v>554</v>
      </c>
      <c r="S1221" s="218">
        <v>0.38514536151958073</v>
      </c>
      <c r="T1221" t="s">
        <v>550</v>
      </c>
      <c r="U1221" t="s">
        <v>51</v>
      </c>
      <c r="V1221" s="219" t="s">
        <v>6528</v>
      </c>
      <c r="W1221" s="219" t="s">
        <v>67</v>
      </c>
    </row>
    <row r="1222" spans="1:23" ht="15" customHeight="1" x14ac:dyDescent="0.25">
      <c r="A1222" t="s">
        <v>3109</v>
      </c>
      <c r="B1222" t="s">
        <v>668</v>
      </c>
      <c r="C1222">
        <v>25000</v>
      </c>
      <c r="D1222" t="s">
        <v>3106</v>
      </c>
      <c r="E1222" t="s">
        <v>243</v>
      </c>
      <c r="F1222" t="s">
        <v>554</v>
      </c>
      <c r="G1222" s="30">
        <v>46148</v>
      </c>
      <c r="H1222" t="s">
        <v>3107</v>
      </c>
      <c r="I1222">
        <v>1174492.3999999999</v>
      </c>
      <c r="J1222" s="123">
        <v>46148</v>
      </c>
      <c r="K1222" s="123">
        <v>0</v>
      </c>
      <c r="L1222" s="123">
        <v>46148</v>
      </c>
      <c r="M1222">
        <v>0</v>
      </c>
      <c r="N1222">
        <v>0</v>
      </c>
      <c r="O1222">
        <v>0</v>
      </c>
      <c r="P1222" s="216">
        <v>25000</v>
      </c>
      <c r="Q1222" s="217" t="s">
        <v>21</v>
      </c>
      <c r="R1222" s="217" t="s">
        <v>554</v>
      </c>
      <c r="S1222" s="218">
        <v>0.38514536151958073</v>
      </c>
      <c r="T1222" t="s">
        <v>550</v>
      </c>
      <c r="U1222" t="s">
        <v>51</v>
      </c>
      <c r="V1222" s="219" t="s">
        <v>6529</v>
      </c>
      <c r="W1222" s="219" t="s">
        <v>67</v>
      </c>
    </row>
    <row r="1223" spans="1:23" ht="15" customHeight="1" x14ac:dyDescent="0.25">
      <c r="A1223" t="s">
        <v>3110</v>
      </c>
      <c r="B1223" t="s">
        <v>668</v>
      </c>
      <c r="C1223">
        <v>25000</v>
      </c>
      <c r="D1223" t="s">
        <v>3106</v>
      </c>
      <c r="E1223" t="s">
        <v>243</v>
      </c>
      <c r="F1223" t="s">
        <v>554</v>
      </c>
      <c r="G1223" s="30">
        <v>46148</v>
      </c>
      <c r="H1223" t="s">
        <v>3107</v>
      </c>
      <c r="I1223">
        <v>1174492.3999999999</v>
      </c>
      <c r="J1223" s="123">
        <v>46148</v>
      </c>
      <c r="K1223" s="123">
        <v>0</v>
      </c>
      <c r="L1223" s="123">
        <v>46148</v>
      </c>
      <c r="M1223">
        <v>0</v>
      </c>
      <c r="N1223">
        <v>0</v>
      </c>
      <c r="O1223">
        <v>0</v>
      </c>
      <c r="P1223" s="216">
        <v>25000</v>
      </c>
      <c r="Q1223" s="217" t="s">
        <v>21</v>
      </c>
      <c r="R1223" s="217" t="s">
        <v>554</v>
      </c>
      <c r="S1223" s="218">
        <v>0.38514536151958073</v>
      </c>
      <c r="T1223" t="s">
        <v>550</v>
      </c>
      <c r="U1223" t="s">
        <v>51</v>
      </c>
      <c r="V1223" s="219" t="s">
        <v>6530</v>
      </c>
      <c r="W1223" s="219" t="s">
        <v>67</v>
      </c>
    </row>
    <row r="1224" spans="1:23" ht="15" customHeight="1" x14ac:dyDescent="0.25">
      <c r="A1224" t="s">
        <v>3111</v>
      </c>
      <c r="B1224" t="s">
        <v>668</v>
      </c>
      <c r="C1224">
        <v>25000</v>
      </c>
      <c r="D1224" t="s">
        <v>3106</v>
      </c>
      <c r="E1224" t="s">
        <v>243</v>
      </c>
      <c r="F1224" t="s">
        <v>554</v>
      </c>
      <c r="G1224" s="30">
        <v>46148</v>
      </c>
      <c r="H1224" t="s">
        <v>3107</v>
      </c>
      <c r="I1224">
        <v>1174492.3999999999</v>
      </c>
      <c r="J1224" s="123">
        <v>46148</v>
      </c>
      <c r="K1224" s="123">
        <v>0</v>
      </c>
      <c r="L1224" s="123">
        <v>46148</v>
      </c>
      <c r="M1224">
        <v>0</v>
      </c>
      <c r="N1224">
        <v>0</v>
      </c>
      <c r="O1224">
        <v>0</v>
      </c>
      <c r="P1224" s="216">
        <v>25000</v>
      </c>
      <c r="Q1224" s="217" t="s">
        <v>21</v>
      </c>
      <c r="R1224" s="217" t="s">
        <v>554</v>
      </c>
      <c r="S1224" s="218">
        <v>0.38514536151958073</v>
      </c>
      <c r="T1224" t="s">
        <v>550</v>
      </c>
      <c r="U1224" t="s">
        <v>51</v>
      </c>
      <c r="V1224" s="219" t="s">
        <v>6531</v>
      </c>
      <c r="W1224" s="219" t="s">
        <v>67</v>
      </c>
    </row>
    <row r="1225" spans="1:23" ht="15" customHeight="1" x14ac:dyDescent="0.25">
      <c r="A1225" t="s">
        <v>3112</v>
      </c>
      <c r="B1225" t="s">
        <v>575</v>
      </c>
      <c r="C1225">
        <v>136877</v>
      </c>
      <c r="D1225" t="s">
        <v>3113</v>
      </c>
      <c r="E1225" t="s">
        <v>243</v>
      </c>
      <c r="F1225" t="s">
        <v>554</v>
      </c>
      <c r="G1225" s="30">
        <v>46147</v>
      </c>
      <c r="H1225" t="s">
        <v>3114</v>
      </c>
      <c r="I1225">
        <v>1368768.75</v>
      </c>
      <c r="J1225" s="123">
        <v>0</v>
      </c>
      <c r="K1225" s="123">
        <v>0</v>
      </c>
      <c r="L1225" s="123">
        <v>46146</v>
      </c>
      <c r="M1225">
        <v>0</v>
      </c>
      <c r="N1225">
        <v>0</v>
      </c>
      <c r="O1225">
        <v>0</v>
      </c>
      <c r="P1225" s="216">
        <v>136877</v>
      </c>
      <c r="Q1225" s="217" t="s">
        <v>21</v>
      </c>
      <c r="R1225" s="217" t="s">
        <v>554</v>
      </c>
      <c r="S1225" s="218">
        <v>0.60021826185029425</v>
      </c>
      <c r="T1225" t="s">
        <v>550</v>
      </c>
      <c r="U1225" t="s">
        <v>51</v>
      </c>
      <c r="V1225" s="219" t="s">
        <v>6532</v>
      </c>
      <c r="W1225" s="219" t="s">
        <v>67</v>
      </c>
    </row>
    <row r="1226" spans="1:23" ht="15" customHeight="1" x14ac:dyDescent="0.25">
      <c r="A1226" t="s">
        <v>3115</v>
      </c>
      <c r="B1226" t="s">
        <v>64</v>
      </c>
      <c r="C1226">
        <v>193401</v>
      </c>
      <c r="D1226" t="s">
        <v>3116</v>
      </c>
      <c r="E1226" t="s">
        <v>243</v>
      </c>
      <c r="F1226" t="s">
        <v>554</v>
      </c>
      <c r="G1226" s="30">
        <v>46149</v>
      </c>
      <c r="H1226" t="s">
        <v>3117</v>
      </c>
      <c r="I1226">
        <v>1929783.8</v>
      </c>
      <c r="J1226" s="123">
        <v>0</v>
      </c>
      <c r="K1226" s="123">
        <v>46149</v>
      </c>
      <c r="L1226" s="123">
        <v>0</v>
      </c>
      <c r="M1226">
        <v>0</v>
      </c>
      <c r="N1226">
        <v>0</v>
      </c>
      <c r="O1226" t="s">
        <v>556</v>
      </c>
      <c r="P1226" s="216">
        <v>193401</v>
      </c>
      <c r="Q1226" s="217" t="s">
        <v>21</v>
      </c>
      <c r="R1226" s="217" t="s">
        <v>554</v>
      </c>
      <c r="S1226" s="218">
        <v>0.49978118792374565</v>
      </c>
      <c r="T1226" t="s">
        <v>550</v>
      </c>
      <c r="U1226" t="s">
        <v>51</v>
      </c>
      <c r="V1226" s="219" t="s">
        <v>6533</v>
      </c>
      <c r="W1226" s="219" t="s">
        <v>71</v>
      </c>
    </row>
    <row r="1227" spans="1:23" ht="15" customHeight="1" x14ac:dyDescent="0.25">
      <c r="A1227" t="s">
        <v>3118</v>
      </c>
      <c r="B1227" t="s">
        <v>575</v>
      </c>
      <c r="C1227">
        <v>137972</v>
      </c>
      <c r="D1227" t="s">
        <v>3119</v>
      </c>
      <c r="E1227" t="s">
        <v>243</v>
      </c>
      <c r="F1227" t="s">
        <v>554</v>
      </c>
      <c r="G1227" s="30">
        <v>46146</v>
      </c>
      <c r="H1227" t="s">
        <v>3120</v>
      </c>
      <c r="I1227">
        <v>1379718.9</v>
      </c>
      <c r="J1227" s="123">
        <v>0</v>
      </c>
      <c r="K1227" s="123">
        <v>0</v>
      </c>
      <c r="L1227" s="123">
        <v>46146</v>
      </c>
      <c r="M1227">
        <v>0</v>
      </c>
      <c r="N1227">
        <v>0</v>
      </c>
      <c r="O1227">
        <v>0</v>
      </c>
      <c r="P1227" s="216">
        <v>137972</v>
      </c>
      <c r="Q1227" s="217" t="s">
        <v>21</v>
      </c>
      <c r="R1227" s="217" t="s">
        <v>554</v>
      </c>
      <c r="S1227" s="218">
        <v>0.60021855901227417</v>
      </c>
      <c r="T1227" t="s">
        <v>550</v>
      </c>
      <c r="U1227" t="s">
        <v>51</v>
      </c>
      <c r="V1227" s="219" t="s">
        <v>6534</v>
      </c>
      <c r="W1227" s="219" t="s">
        <v>67</v>
      </c>
    </row>
    <row r="1228" spans="1:23" ht="15" customHeight="1" x14ac:dyDescent="0.25">
      <c r="A1228" t="s">
        <v>3121</v>
      </c>
      <c r="B1228" t="s">
        <v>546</v>
      </c>
      <c r="C1228">
        <v>198867.52</v>
      </c>
      <c r="D1228" t="s">
        <v>3122</v>
      </c>
      <c r="E1228" t="s">
        <v>553</v>
      </c>
      <c r="F1228" t="s">
        <v>554</v>
      </c>
      <c r="G1228" s="30">
        <v>46147</v>
      </c>
      <c r="H1228" t="s">
        <v>3123</v>
      </c>
      <c r="I1228">
        <v>1988672.4</v>
      </c>
      <c r="J1228" s="123">
        <v>46146</v>
      </c>
      <c r="K1228" s="123">
        <v>0</v>
      </c>
      <c r="L1228" s="123">
        <v>46146</v>
      </c>
      <c r="M1228">
        <v>0</v>
      </c>
      <c r="N1228">
        <v>0</v>
      </c>
      <c r="O1228" t="s">
        <v>556</v>
      </c>
      <c r="P1228" s="216">
        <v>198867.52</v>
      </c>
      <c r="Q1228" s="217" t="s">
        <v>21</v>
      </c>
      <c r="R1228" s="217" t="s">
        <v>554</v>
      </c>
      <c r="S1228" s="218">
        <v>0.40000002011392127</v>
      </c>
      <c r="T1228" t="s">
        <v>550</v>
      </c>
      <c r="U1228" t="s">
        <v>51</v>
      </c>
      <c r="V1228" s="219" t="s">
        <v>6535</v>
      </c>
      <c r="W1228" s="219" t="s">
        <v>67</v>
      </c>
    </row>
    <row r="1229" spans="1:23" ht="15" customHeight="1" x14ac:dyDescent="0.25">
      <c r="A1229" t="s">
        <v>3124</v>
      </c>
      <c r="B1229" t="s">
        <v>546</v>
      </c>
      <c r="C1229">
        <v>198867.52</v>
      </c>
      <c r="D1229" t="s">
        <v>3122</v>
      </c>
      <c r="E1229" t="s">
        <v>553</v>
      </c>
      <c r="F1229" t="s">
        <v>548</v>
      </c>
      <c r="G1229" s="30">
        <v>46147</v>
      </c>
      <c r="H1229" t="s">
        <v>3123</v>
      </c>
      <c r="I1229">
        <v>1988672.4</v>
      </c>
      <c r="J1229" s="123">
        <v>46146</v>
      </c>
      <c r="K1229" s="123">
        <v>0</v>
      </c>
      <c r="L1229" s="123">
        <v>46146</v>
      </c>
      <c r="M1229">
        <v>0</v>
      </c>
      <c r="N1229">
        <v>0</v>
      </c>
      <c r="O1229" t="s">
        <v>556</v>
      </c>
      <c r="P1229" s="216">
        <v>198867.52</v>
      </c>
      <c r="Q1229" s="217" t="s">
        <v>21</v>
      </c>
      <c r="R1229" s="217" t="s">
        <v>62</v>
      </c>
      <c r="S1229" s="218">
        <v>0.40000002011392127</v>
      </c>
      <c r="T1229" t="s">
        <v>550</v>
      </c>
      <c r="U1229" t="s">
        <v>51</v>
      </c>
      <c r="V1229" s="219">
        <v>0</v>
      </c>
      <c r="W1229" s="219">
        <v>0</v>
      </c>
    </row>
    <row r="1230" spans="1:23" ht="15" customHeight="1" x14ac:dyDescent="0.25">
      <c r="A1230" t="s">
        <v>3125</v>
      </c>
      <c r="B1230" t="s">
        <v>546</v>
      </c>
      <c r="C1230">
        <v>100000</v>
      </c>
      <c r="D1230" t="s">
        <v>3126</v>
      </c>
      <c r="E1230" t="s">
        <v>2210</v>
      </c>
      <c r="F1230" t="s">
        <v>1886</v>
      </c>
      <c r="G1230" s="30">
        <v>46149</v>
      </c>
      <c r="H1230" t="s">
        <v>3127</v>
      </c>
      <c r="I1230">
        <v>3901527.6</v>
      </c>
      <c r="J1230" s="123">
        <v>0</v>
      </c>
      <c r="K1230" s="123">
        <v>0</v>
      </c>
      <c r="L1230" s="123">
        <v>0</v>
      </c>
      <c r="M1230">
        <v>0</v>
      </c>
      <c r="N1230">
        <v>0</v>
      </c>
      <c r="O1230">
        <v>0</v>
      </c>
      <c r="P1230" s="216">
        <v>100000</v>
      </c>
      <c r="Q1230" s="217" t="s">
        <v>25</v>
      </c>
      <c r="R1230" s="217" t="s">
        <v>582</v>
      </c>
      <c r="S1230" s="218">
        <v>0.12563130400512865</v>
      </c>
      <c r="T1230" t="s">
        <v>550</v>
      </c>
      <c r="U1230" t="s">
        <v>51</v>
      </c>
      <c r="V1230" s="219">
        <v>0</v>
      </c>
      <c r="W1230" s="219">
        <v>0</v>
      </c>
    </row>
    <row r="1231" spans="1:23" ht="15" customHeight="1" x14ac:dyDescent="0.25">
      <c r="A1231" t="s">
        <v>3128</v>
      </c>
      <c r="B1231" t="s">
        <v>546</v>
      </c>
      <c r="C1231">
        <v>100000</v>
      </c>
      <c r="D1231" t="s">
        <v>3126</v>
      </c>
      <c r="E1231" t="s">
        <v>2210</v>
      </c>
      <c r="F1231" t="s">
        <v>554</v>
      </c>
      <c r="G1231" s="30">
        <v>46149</v>
      </c>
      <c r="H1231" t="s">
        <v>3127</v>
      </c>
      <c r="I1231">
        <v>3901527.6</v>
      </c>
      <c r="J1231" s="123">
        <v>0</v>
      </c>
      <c r="K1231" s="123">
        <v>0</v>
      </c>
      <c r="L1231" s="123">
        <v>0</v>
      </c>
      <c r="M1231">
        <v>0</v>
      </c>
      <c r="N1231">
        <v>0</v>
      </c>
      <c r="O1231">
        <v>0</v>
      </c>
      <c r="P1231" s="216">
        <v>100000</v>
      </c>
      <c r="Q1231" s="217" t="s">
        <v>25</v>
      </c>
      <c r="R1231" s="217" t="s">
        <v>554</v>
      </c>
      <c r="S1231" s="218">
        <v>0.12563130400512865</v>
      </c>
      <c r="T1231" t="s">
        <v>550</v>
      </c>
      <c r="U1231" t="s">
        <v>51</v>
      </c>
      <c r="V1231" s="219" t="s">
        <v>6536</v>
      </c>
      <c r="W1231" s="219" t="s">
        <v>67</v>
      </c>
    </row>
    <row r="1232" spans="1:23" ht="15" customHeight="1" x14ac:dyDescent="0.25">
      <c r="A1232" t="s">
        <v>3129</v>
      </c>
      <c r="B1232" t="s">
        <v>546</v>
      </c>
      <c r="C1232">
        <v>100000</v>
      </c>
      <c r="D1232" t="s">
        <v>3126</v>
      </c>
      <c r="E1232" t="s">
        <v>2210</v>
      </c>
      <c r="F1232" t="s">
        <v>1886</v>
      </c>
      <c r="G1232" s="30">
        <v>46149</v>
      </c>
      <c r="H1232" t="s">
        <v>3127</v>
      </c>
      <c r="I1232">
        <v>3901527.6</v>
      </c>
      <c r="J1232" s="123">
        <v>0</v>
      </c>
      <c r="K1232" s="123">
        <v>0</v>
      </c>
      <c r="L1232" s="123">
        <v>0</v>
      </c>
      <c r="M1232">
        <v>0</v>
      </c>
      <c r="N1232">
        <v>0</v>
      </c>
      <c r="O1232">
        <v>0</v>
      </c>
      <c r="P1232" s="216">
        <v>100000</v>
      </c>
      <c r="Q1232" s="217" t="s">
        <v>25</v>
      </c>
      <c r="R1232" s="217" t="s">
        <v>582</v>
      </c>
      <c r="S1232" s="218">
        <v>0.12563130400512865</v>
      </c>
      <c r="T1232" t="s">
        <v>550</v>
      </c>
      <c r="U1232" t="s">
        <v>51</v>
      </c>
      <c r="V1232" s="219">
        <v>0</v>
      </c>
      <c r="W1232" s="219">
        <v>0</v>
      </c>
    </row>
    <row r="1233" spans="1:23" ht="15" customHeight="1" x14ac:dyDescent="0.25">
      <c r="A1233" t="s">
        <v>3130</v>
      </c>
      <c r="B1233" t="s">
        <v>595</v>
      </c>
      <c r="C1233">
        <v>65025</v>
      </c>
      <c r="D1233" t="s">
        <v>3131</v>
      </c>
      <c r="E1233" t="s">
        <v>151</v>
      </c>
      <c r="F1233" t="s">
        <v>580</v>
      </c>
      <c r="G1233" s="30">
        <v>46149</v>
      </c>
      <c r="H1233" t="s">
        <v>3132</v>
      </c>
      <c r="I1233">
        <v>1746824.3</v>
      </c>
      <c r="J1233" s="123">
        <v>0</v>
      </c>
      <c r="K1233" s="123">
        <v>0</v>
      </c>
      <c r="L1233" s="123">
        <v>46149</v>
      </c>
      <c r="M1233">
        <v>0</v>
      </c>
      <c r="N1233">
        <v>0</v>
      </c>
      <c r="O1233">
        <v>0</v>
      </c>
      <c r="P1233" s="216">
        <v>65025</v>
      </c>
      <c r="Q1233" s="217" t="s">
        <v>25</v>
      </c>
      <c r="R1233" s="217" t="s">
        <v>582</v>
      </c>
      <c r="S1233" s="218">
        <v>0.33628052918659307</v>
      </c>
      <c r="T1233" t="s">
        <v>550</v>
      </c>
      <c r="U1233" t="s">
        <v>51</v>
      </c>
      <c r="V1233" s="219">
        <v>0</v>
      </c>
      <c r="W1233" s="219">
        <v>0</v>
      </c>
    </row>
    <row r="1234" spans="1:23" ht="15" customHeight="1" x14ac:dyDescent="0.25">
      <c r="A1234" t="s">
        <v>3133</v>
      </c>
      <c r="B1234" t="s">
        <v>603</v>
      </c>
      <c r="C1234">
        <v>220990</v>
      </c>
      <c r="D1234" t="s">
        <v>3134</v>
      </c>
      <c r="E1234" t="s">
        <v>605</v>
      </c>
      <c r="F1234" t="s">
        <v>554</v>
      </c>
      <c r="G1234" s="30">
        <v>46147</v>
      </c>
      <c r="H1234" t="s">
        <v>3135</v>
      </c>
      <c r="I1234">
        <v>2209888.7999999998</v>
      </c>
      <c r="J1234" s="123">
        <v>46147</v>
      </c>
      <c r="K1234" s="123">
        <v>0</v>
      </c>
      <c r="L1234" s="123">
        <v>0</v>
      </c>
      <c r="M1234">
        <v>0</v>
      </c>
      <c r="N1234">
        <v>0</v>
      </c>
      <c r="O1234">
        <v>0</v>
      </c>
      <c r="P1234" s="216">
        <v>220990</v>
      </c>
      <c r="Q1234" s="217" t="s">
        <v>25</v>
      </c>
      <c r="R1234" s="217" t="s">
        <v>554</v>
      </c>
      <c r="S1234" s="218">
        <v>0.200001013625663</v>
      </c>
      <c r="T1234" t="s">
        <v>550</v>
      </c>
      <c r="U1234" t="s">
        <v>51</v>
      </c>
      <c r="V1234" s="219" t="s">
        <v>6537</v>
      </c>
      <c r="W1234" s="219" t="s">
        <v>67</v>
      </c>
    </row>
    <row r="1235" spans="1:23" ht="15" customHeight="1" x14ac:dyDescent="0.25">
      <c r="A1235" t="s">
        <v>3136</v>
      </c>
      <c r="B1235" t="s">
        <v>546</v>
      </c>
      <c r="C1235">
        <v>500</v>
      </c>
      <c r="D1235" t="s">
        <v>3137</v>
      </c>
      <c r="E1235" t="s">
        <v>553</v>
      </c>
      <c r="F1235" t="s">
        <v>554</v>
      </c>
      <c r="G1235" s="30">
        <v>46146</v>
      </c>
      <c r="H1235" t="s">
        <v>3138</v>
      </c>
      <c r="I1235">
        <v>2705575.6</v>
      </c>
      <c r="J1235" s="123">
        <v>46146</v>
      </c>
      <c r="K1235" s="123">
        <v>0</v>
      </c>
      <c r="L1235" s="123">
        <v>46146</v>
      </c>
      <c r="M1235">
        <v>0</v>
      </c>
      <c r="N1235">
        <v>0</v>
      </c>
      <c r="O1235" t="s">
        <v>556</v>
      </c>
      <c r="P1235" s="216">
        <v>500</v>
      </c>
      <c r="Q1235" s="217" t="s">
        <v>25</v>
      </c>
      <c r="R1235" s="217" t="s">
        <v>554</v>
      </c>
      <c r="S1235" s="218">
        <v>0.36810971757728744</v>
      </c>
      <c r="T1235" t="s">
        <v>550</v>
      </c>
      <c r="U1235" t="s">
        <v>51</v>
      </c>
      <c r="V1235" s="219" t="s">
        <v>6538</v>
      </c>
      <c r="W1235" s="219" t="s">
        <v>67</v>
      </c>
    </row>
    <row r="1236" spans="1:23" ht="15" customHeight="1" x14ac:dyDescent="0.25">
      <c r="A1236" t="s">
        <v>3139</v>
      </c>
      <c r="B1236" t="s">
        <v>595</v>
      </c>
      <c r="C1236">
        <v>140712.95000000001</v>
      </c>
      <c r="D1236" t="s">
        <v>3137</v>
      </c>
      <c r="E1236" t="s">
        <v>553</v>
      </c>
      <c r="F1236" t="s">
        <v>554</v>
      </c>
      <c r="G1236" s="30">
        <v>46148</v>
      </c>
      <c r="H1236" t="s">
        <v>3138</v>
      </c>
      <c r="I1236">
        <v>2705575.6</v>
      </c>
      <c r="J1236" s="123">
        <v>46148</v>
      </c>
      <c r="K1236" s="123">
        <v>0</v>
      </c>
      <c r="L1236" s="123">
        <v>46146</v>
      </c>
      <c r="M1236">
        <v>0</v>
      </c>
      <c r="N1236">
        <v>0</v>
      </c>
      <c r="O1236" t="s">
        <v>556</v>
      </c>
      <c r="P1236" s="216">
        <v>140712.95000000001</v>
      </c>
      <c r="Q1236" s="217" t="s">
        <v>25</v>
      </c>
      <c r="R1236" s="217" t="s">
        <v>554</v>
      </c>
      <c r="S1236" s="218">
        <v>0.36810971757728744</v>
      </c>
      <c r="T1236" t="s">
        <v>550</v>
      </c>
      <c r="U1236" t="s">
        <v>51</v>
      </c>
      <c r="V1236" s="219" t="s">
        <v>6539</v>
      </c>
      <c r="W1236" s="219" t="s">
        <v>67</v>
      </c>
    </row>
    <row r="1237" spans="1:23" ht="15" customHeight="1" x14ac:dyDescent="0.25">
      <c r="A1237" t="s">
        <v>3140</v>
      </c>
      <c r="B1237" t="s">
        <v>546</v>
      </c>
      <c r="C1237">
        <v>21531.83</v>
      </c>
      <c r="D1237" t="s">
        <v>3137</v>
      </c>
      <c r="E1237" t="s">
        <v>553</v>
      </c>
      <c r="F1237" t="s">
        <v>554</v>
      </c>
      <c r="G1237" s="30">
        <v>46149</v>
      </c>
      <c r="H1237" t="s">
        <v>3138</v>
      </c>
      <c r="I1237">
        <v>2705575.6</v>
      </c>
      <c r="J1237" s="123">
        <v>46149</v>
      </c>
      <c r="K1237" s="123">
        <v>0</v>
      </c>
      <c r="L1237" s="123">
        <v>46149</v>
      </c>
      <c r="M1237">
        <v>0</v>
      </c>
      <c r="N1237">
        <v>0</v>
      </c>
      <c r="O1237" t="s">
        <v>556</v>
      </c>
      <c r="P1237" s="216">
        <v>21531.83</v>
      </c>
      <c r="Q1237" s="217" t="s">
        <v>25</v>
      </c>
      <c r="R1237" s="217" t="s">
        <v>554</v>
      </c>
      <c r="S1237" s="218">
        <v>0.36810971757728744</v>
      </c>
      <c r="T1237" t="s">
        <v>550</v>
      </c>
      <c r="U1237" t="s">
        <v>51</v>
      </c>
      <c r="V1237" s="219" t="s">
        <v>6540</v>
      </c>
      <c r="W1237" s="219" t="s">
        <v>67</v>
      </c>
    </row>
    <row r="1238" spans="1:23" ht="15" customHeight="1" x14ac:dyDescent="0.25">
      <c r="A1238" t="s">
        <v>3141</v>
      </c>
      <c r="B1238" t="s">
        <v>546</v>
      </c>
      <c r="C1238">
        <v>21531.83</v>
      </c>
      <c r="D1238" t="s">
        <v>3137</v>
      </c>
      <c r="E1238" t="s">
        <v>553</v>
      </c>
      <c r="F1238" t="s">
        <v>554</v>
      </c>
      <c r="G1238" s="30">
        <v>46149</v>
      </c>
      <c r="H1238" t="s">
        <v>3138</v>
      </c>
      <c r="I1238">
        <v>2705575.6</v>
      </c>
      <c r="J1238" s="123">
        <v>46149</v>
      </c>
      <c r="K1238" s="123">
        <v>0</v>
      </c>
      <c r="L1238" s="123">
        <v>46149</v>
      </c>
      <c r="M1238">
        <v>0</v>
      </c>
      <c r="N1238">
        <v>0</v>
      </c>
      <c r="O1238" t="s">
        <v>556</v>
      </c>
      <c r="P1238" s="216">
        <v>21531.83</v>
      </c>
      <c r="Q1238" s="217" t="s">
        <v>25</v>
      </c>
      <c r="R1238" s="217" t="s">
        <v>554</v>
      </c>
      <c r="S1238" s="218">
        <v>0.36810971757728744</v>
      </c>
      <c r="T1238" t="s">
        <v>550</v>
      </c>
      <c r="U1238" t="s">
        <v>51</v>
      </c>
      <c r="V1238" s="219" t="s">
        <v>6541</v>
      </c>
      <c r="W1238" s="219" t="s">
        <v>67</v>
      </c>
    </row>
    <row r="1239" spans="1:23" ht="15" customHeight="1" x14ac:dyDescent="0.25">
      <c r="A1239" t="s">
        <v>3142</v>
      </c>
      <c r="B1239" t="s">
        <v>546</v>
      </c>
      <c r="C1239">
        <v>43063.66</v>
      </c>
      <c r="D1239" t="s">
        <v>3137</v>
      </c>
      <c r="E1239" t="s">
        <v>553</v>
      </c>
      <c r="F1239" t="s">
        <v>548</v>
      </c>
      <c r="G1239" s="30">
        <v>46149</v>
      </c>
      <c r="H1239" t="s">
        <v>3138</v>
      </c>
      <c r="I1239">
        <v>2705575.6</v>
      </c>
      <c r="J1239" s="123">
        <v>46149</v>
      </c>
      <c r="K1239" s="123">
        <v>0</v>
      </c>
      <c r="L1239" s="123">
        <v>46149</v>
      </c>
      <c r="M1239">
        <v>0</v>
      </c>
      <c r="N1239">
        <v>0</v>
      </c>
      <c r="O1239" t="s">
        <v>556</v>
      </c>
      <c r="P1239" s="216">
        <v>43063.66</v>
      </c>
      <c r="Q1239" s="217" t="s">
        <v>25</v>
      </c>
      <c r="R1239" s="217" t="s">
        <v>62</v>
      </c>
      <c r="S1239" s="218">
        <v>0.36810971757728744</v>
      </c>
      <c r="T1239" t="s">
        <v>550</v>
      </c>
      <c r="U1239" t="s">
        <v>51</v>
      </c>
      <c r="V1239" s="219">
        <v>0</v>
      </c>
      <c r="W1239" s="219">
        <v>0</v>
      </c>
    </row>
    <row r="1240" spans="1:23" ht="15" customHeight="1" x14ac:dyDescent="0.25">
      <c r="A1240" t="s">
        <v>3143</v>
      </c>
      <c r="B1240" t="s">
        <v>546</v>
      </c>
      <c r="C1240">
        <v>129190.99</v>
      </c>
      <c r="D1240" t="s">
        <v>3137</v>
      </c>
      <c r="E1240" t="s">
        <v>553</v>
      </c>
      <c r="F1240" t="s">
        <v>548</v>
      </c>
      <c r="G1240" s="30">
        <v>46149</v>
      </c>
      <c r="H1240" t="s">
        <v>3138</v>
      </c>
      <c r="I1240">
        <v>2705575.6</v>
      </c>
      <c r="J1240" s="123">
        <v>46149</v>
      </c>
      <c r="K1240" s="123">
        <v>0</v>
      </c>
      <c r="L1240" s="123">
        <v>46149</v>
      </c>
      <c r="M1240">
        <v>0</v>
      </c>
      <c r="N1240">
        <v>0</v>
      </c>
      <c r="O1240" t="s">
        <v>556</v>
      </c>
      <c r="P1240" s="216">
        <v>129190.99</v>
      </c>
      <c r="Q1240" s="217" t="s">
        <v>25</v>
      </c>
      <c r="R1240" s="217" t="s">
        <v>62</v>
      </c>
      <c r="S1240" s="218">
        <v>0.36810971757728744</v>
      </c>
      <c r="T1240" t="s">
        <v>550</v>
      </c>
      <c r="U1240" t="s">
        <v>51</v>
      </c>
      <c r="V1240" s="219">
        <v>0</v>
      </c>
      <c r="W1240" s="219">
        <v>0</v>
      </c>
    </row>
    <row r="1241" spans="1:23" ht="15" customHeight="1" x14ac:dyDescent="0.25">
      <c r="A1241" t="s">
        <v>3144</v>
      </c>
      <c r="B1241" t="s">
        <v>595</v>
      </c>
      <c r="C1241">
        <v>120000</v>
      </c>
      <c r="D1241" t="s">
        <v>3145</v>
      </c>
      <c r="E1241" t="s">
        <v>151</v>
      </c>
      <c r="F1241" t="s">
        <v>580</v>
      </c>
      <c r="G1241" s="30">
        <v>46148</v>
      </c>
      <c r="H1241" t="s">
        <v>3146</v>
      </c>
      <c r="I1241">
        <v>4133562.3</v>
      </c>
      <c r="J1241" s="123">
        <v>0</v>
      </c>
      <c r="K1241" s="123">
        <v>0</v>
      </c>
      <c r="L1241" s="123">
        <v>46147</v>
      </c>
      <c r="M1241">
        <v>0</v>
      </c>
      <c r="N1241">
        <v>0</v>
      </c>
      <c r="O1241">
        <v>0</v>
      </c>
      <c r="P1241" s="216">
        <v>120000</v>
      </c>
      <c r="Q1241" s="217" t="s">
        <v>25</v>
      </c>
      <c r="R1241" s="217" t="s">
        <v>582</v>
      </c>
      <c r="S1241" s="218">
        <v>0.30585177825915433</v>
      </c>
      <c r="T1241" t="s">
        <v>550</v>
      </c>
      <c r="U1241" t="s">
        <v>51</v>
      </c>
      <c r="V1241" s="219">
        <v>0</v>
      </c>
      <c r="W1241" s="219">
        <v>0</v>
      </c>
    </row>
    <row r="1242" spans="1:23" ht="15" customHeight="1" x14ac:dyDescent="0.25">
      <c r="A1242" t="s">
        <v>3147</v>
      </c>
      <c r="B1242" t="s">
        <v>595</v>
      </c>
      <c r="C1242">
        <v>52000</v>
      </c>
      <c r="D1242" t="s">
        <v>3148</v>
      </c>
      <c r="E1242" t="s">
        <v>151</v>
      </c>
      <c r="F1242" t="s">
        <v>580</v>
      </c>
      <c r="G1242" s="30">
        <v>46149</v>
      </c>
      <c r="H1242" t="s">
        <v>3149</v>
      </c>
      <c r="I1242">
        <v>1900749.9</v>
      </c>
      <c r="J1242" s="123">
        <v>0</v>
      </c>
      <c r="K1242" s="123">
        <v>0</v>
      </c>
      <c r="L1242" s="123">
        <v>46149</v>
      </c>
      <c r="M1242">
        <v>0</v>
      </c>
      <c r="N1242">
        <v>0</v>
      </c>
      <c r="O1242">
        <v>0</v>
      </c>
      <c r="P1242" s="216">
        <v>52000</v>
      </c>
      <c r="Q1242" s="217" t="s">
        <v>25</v>
      </c>
      <c r="R1242" s="217" t="s">
        <v>582</v>
      </c>
      <c r="S1242" s="218">
        <v>0.29909285803461044</v>
      </c>
      <c r="T1242" t="s">
        <v>550</v>
      </c>
      <c r="U1242" t="s">
        <v>51</v>
      </c>
      <c r="V1242" s="219">
        <v>0</v>
      </c>
      <c r="W1242" s="219">
        <v>0</v>
      </c>
    </row>
    <row r="1243" spans="1:23" ht="15" customHeight="1" x14ac:dyDescent="0.25">
      <c r="A1243" t="s">
        <v>3150</v>
      </c>
      <c r="B1243" t="s">
        <v>575</v>
      </c>
      <c r="C1243">
        <v>345905</v>
      </c>
      <c r="D1243" t="s">
        <v>3151</v>
      </c>
      <c r="E1243" t="s">
        <v>151</v>
      </c>
      <c r="F1243" t="s">
        <v>554</v>
      </c>
      <c r="G1243" s="30">
        <v>46143</v>
      </c>
      <c r="H1243" t="s">
        <v>3152</v>
      </c>
      <c r="I1243">
        <v>3459049</v>
      </c>
      <c r="J1243" s="123">
        <v>0</v>
      </c>
      <c r="K1243" s="123">
        <v>0</v>
      </c>
      <c r="L1243" s="123">
        <v>46126</v>
      </c>
      <c r="M1243">
        <v>0</v>
      </c>
      <c r="N1243">
        <v>0</v>
      </c>
      <c r="O1243">
        <v>0</v>
      </c>
      <c r="P1243" s="216">
        <v>345905</v>
      </c>
      <c r="Q1243" s="217" t="s">
        <v>25</v>
      </c>
      <c r="R1243" s="217" t="s">
        <v>554</v>
      </c>
      <c r="S1243" s="218">
        <v>0.39929473100843615</v>
      </c>
      <c r="T1243" t="s">
        <v>550</v>
      </c>
      <c r="U1243" t="s">
        <v>51</v>
      </c>
      <c r="V1243" s="219" t="s">
        <v>6542</v>
      </c>
      <c r="W1243" s="219" t="s">
        <v>67</v>
      </c>
    </row>
    <row r="1244" spans="1:23" ht="15" customHeight="1" x14ac:dyDescent="0.25">
      <c r="A1244" t="s">
        <v>3153</v>
      </c>
      <c r="B1244" t="s">
        <v>575</v>
      </c>
      <c r="C1244">
        <v>175325</v>
      </c>
      <c r="D1244" t="s">
        <v>3154</v>
      </c>
      <c r="E1244" t="s">
        <v>151</v>
      </c>
      <c r="F1244" t="s">
        <v>580</v>
      </c>
      <c r="G1244" s="30">
        <v>46149</v>
      </c>
      <c r="H1244" t="s">
        <v>3155</v>
      </c>
      <c r="I1244">
        <v>1735324</v>
      </c>
      <c r="J1244" s="123">
        <v>0</v>
      </c>
      <c r="K1244" s="123">
        <v>0</v>
      </c>
      <c r="L1244" s="123">
        <v>46149</v>
      </c>
      <c r="M1244">
        <v>0</v>
      </c>
      <c r="N1244">
        <v>0</v>
      </c>
      <c r="O1244">
        <v>0</v>
      </c>
      <c r="P1244" s="216">
        <v>175325</v>
      </c>
      <c r="Q1244" s="217" t="s">
        <v>25</v>
      </c>
      <c r="R1244" s="217" t="s">
        <v>582</v>
      </c>
      <c r="S1244" s="218">
        <v>0.3000004610090104</v>
      </c>
      <c r="T1244" t="s">
        <v>550</v>
      </c>
      <c r="U1244" t="s">
        <v>51</v>
      </c>
      <c r="V1244" s="219">
        <v>0</v>
      </c>
      <c r="W1244" s="219">
        <v>0</v>
      </c>
    </row>
    <row r="1245" spans="1:23" ht="15" customHeight="1" x14ac:dyDescent="0.25">
      <c r="A1245" t="s">
        <v>3156</v>
      </c>
      <c r="B1245" t="s">
        <v>575</v>
      </c>
      <c r="C1245">
        <v>190075</v>
      </c>
      <c r="D1245" t="s">
        <v>3157</v>
      </c>
      <c r="E1245" t="s">
        <v>553</v>
      </c>
      <c r="F1245" t="s">
        <v>554</v>
      </c>
      <c r="G1245" s="30">
        <v>46146</v>
      </c>
      <c r="H1245" t="s">
        <v>3158</v>
      </c>
      <c r="I1245">
        <v>1900749.9</v>
      </c>
      <c r="J1245" s="123">
        <v>46146</v>
      </c>
      <c r="K1245" s="123">
        <v>0</v>
      </c>
      <c r="L1245" s="123">
        <v>46146</v>
      </c>
      <c r="M1245">
        <v>0</v>
      </c>
      <c r="N1245">
        <v>0</v>
      </c>
      <c r="O1245" t="s">
        <v>556</v>
      </c>
      <c r="P1245" s="216">
        <v>190075</v>
      </c>
      <c r="Q1245" s="217" t="s">
        <v>25</v>
      </c>
      <c r="R1245" s="217" t="s">
        <v>554</v>
      </c>
      <c r="S1245" s="218">
        <v>0.40000012626595427</v>
      </c>
      <c r="T1245" t="s">
        <v>550</v>
      </c>
      <c r="U1245" t="s">
        <v>51</v>
      </c>
      <c r="V1245" s="219" t="s">
        <v>6543</v>
      </c>
      <c r="W1245" s="219" t="s">
        <v>67</v>
      </c>
    </row>
    <row r="1246" spans="1:23" ht="15" customHeight="1" x14ac:dyDescent="0.25">
      <c r="A1246" t="s">
        <v>3159</v>
      </c>
      <c r="B1246" t="s">
        <v>575</v>
      </c>
      <c r="C1246">
        <v>190076</v>
      </c>
      <c r="D1246" t="s">
        <v>3160</v>
      </c>
      <c r="E1246" t="s">
        <v>151</v>
      </c>
      <c r="F1246" t="s">
        <v>554</v>
      </c>
      <c r="G1246" s="30">
        <v>46147</v>
      </c>
      <c r="H1246" t="s">
        <v>3161</v>
      </c>
      <c r="I1246">
        <v>1900749.9</v>
      </c>
      <c r="J1246" s="123">
        <v>0</v>
      </c>
      <c r="K1246" s="123">
        <v>0</v>
      </c>
      <c r="L1246" s="123">
        <v>46146</v>
      </c>
      <c r="M1246">
        <v>0</v>
      </c>
      <c r="N1246">
        <v>0</v>
      </c>
      <c r="O1246">
        <v>0</v>
      </c>
      <c r="P1246" s="216">
        <v>190076</v>
      </c>
      <c r="Q1246" s="217" t="s">
        <v>25</v>
      </c>
      <c r="R1246" s="217" t="s">
        <v>554</v>
      </c>
      <c r="S1246" s="218">
        <v>0.39883258707523805</v>
      </c>
      <c r="T1246" t="s">
        <v>550</v>
      </c>
      <c r="U1246" t="s">
        <v>51</v>
      </c>
      <c r="V1246" s="219" t="s">
        <v>6544</v>
      </c>
      <c r="W1246" s="219" t="s">
        <v>67</v>
      </c>
    </row>
    <row r="1247" spans="1:23" ht="15" customHeight="1" x14ac:dyDescent="0.25">
      <c r="A1247" t="s">
        <v>3162</v>
      </c>
      <c r="B1247" t="s">
        <v>64</v>
      </c>
      <c r="C1247">
        <v>368096</v>
      </c>
      <c r="D1247" t="s">
        <v>3163</v>
      </c>
      <c r="E1247" t="s">
        <v>151</v>
      </c>
      <c r="F1247" t="s">
        <v>554</v>
      </c>
      <c r="G1247" s="30">
        <v>46143</v>
      </c>
      <c r="H1247" t="s">
        <v>3164</v>
      </c>
      <c r="I1247">
        <v>3680964</v>
      </c>
      <c r="J1247" s="123">
        <v>0</v>
      </c>
      <c r="K1247" s="123">
        <v>46141</v>
      </c>
      <c r="L1247" s="123">
        <v>0</v>
      </c>
      <c r="M1247">
        <v>0</v>
      </c>
      <c r="N1247">
        <v>0</v>
      </c>
      <c r="O1247" t="s">
        <v>556</v>
      </c>
      <c r="P1247" s="216">
        <v>368096</v>
      </c>
      <c r="Q1247" s="217" t="s">
        <v>25</v>
      </c>
      <c r="R1247" s="217" t="s">
        <v>554</v>
      </c>
      <c r="S1247" s="218">
        <v>0.39860563700161156</v>
      </c>
      <c r="T1247" t="s">
        <v>550</v>
      </c>
      <c r="U1247" t="s">
        <v>51</v>
      </c>
      <c r="V1247" s="219" t="s">
        <v>6545</v>
      </c>
      <c r="W1247" s="219" t="s">
        <v>67</v>
      </c>
    </row>
    <row r="1248" spans="1:23" ht="15" customHeight="1" x14ac:dyDescent="0.25">
      <c r="A1248" t="s">
        <v>3165</v>
      </c>
      <c r="B1248" t="s">
        <v>546</v>
      </c>
      <c r="C1248">
        <v>189371.23</v>
      </c>
      <c r="D1248" t="s">
        <v>3166</v>
      </c>
      <c r="E1248" t="s">
        <v>553</v>
      </c>
      <c r="F1248" t="s">
        <v>548</v>
      </c>
      <c r="G1248" s="30">
        <v>46143</v>
      </c>
      <c r="H1248" t="s">
        <v>3167</v>
      </c>
      <c r="I1248">
        <v>1912555.8</v>
      </c>
      <c r="J1248" s="123">
        <v>46143</v>
      </c>
      <c r="K1248" s="123">
        <v>0</v>
      </c>
      <c r="L1248" s="123">
        <v>46143</v>
      </c>
      <c r="M1248">
        <v>0</v>
      </c>
      <c r="N1248">
        <v>0</v>
      </c>
      <c r="O1248" t="s">
        <v>556</v>
      </c>
      <c r="P1248" s="216">
        <v>189371.23</v>
      </c>
      <c r="Q1248" s="217" t="s">
        <v>25</v>
      </c>
      <c r="R1248" s="217" t="s">
        <v>62</v>
      </c>
      <c r="S1248" s="218">
        <v>0.39901476338624997</v>
      </c>
      <c r="T1248" t="s">
        <v>550</v>
      </c>
      <c r="U1248" t="s">
        <v>51</v>
      </c>
      <c r="V1248" s="219">
        <v>0</v>
      </c>
      <c r="W1248" s="219">
        <v>0</v>
      </c>
    </row>
    <row r="1249" spans="1:23" ht="15" customHeight="1" x14ac:dyDescent="0.25">
      <c r="A1249" t="s">
        <v>3168</v>
      </c>
      <c r="B1249" t="s">
        <v>546</v>
      </c>
      <c r="C1249">
        <v>189371.23</v>
      </c>
      <c r="D1249" t="s">
        <v>3166</v>
      </c>
      <c r="E1249" t="s">
        <v>553</v>
      </c>
      <c r="F1249" t="s">
        <v>554</v>
      </c>
      <c r="G1249" s="30">
        <v>46147</v>
      </c>
      <c r="H1249" t="s">
        <v>3167</v>
      </c>
      <c r="I1249">
        <v>1912555.8</v>
      </c>
      <c r="J1249" s="123">
        <v>46147</v>
      </c>
      <c r="K1249" s="123">
        <v>0</v>
      </c>
      <c r="L1249" s="123">
        <v>46147</v>
      </c>
      <c r="M1249">
        <v>0</v>
      </c>
      <c r="N1249">
        <v>0</v>
      </c>
      <c r="O1249" t="s">
        <v>556</v>
      </c>
      <c r="P1249" s="216">
        <v>189371.23</v>
      </c>
      <c r="Q1249" s="217" t="s">
        <v>25</v>
      </c>
      <c r="R1249" s="217" t="s">
        <v>554</v>
      </c>
      <c r="S1249" s="218">
        <v>0.39901476338624997</v>
      </c>
      <c r="T1249" t="s">
        <v>550</v>
      </c>
      <c r="U1249" t="s">
        <v>51</v>
      </c>
      <c r="V1249" s="219" t="s">
        <v>6546</v>
      </c>
      <c r="W1249" s="219" t="s">
        <v>67</v>
      </c>
    </row>
    <row r="1250" spans="1:23" ht="15" customHeight="1" x14ac:dyDescent="0.25">
      <c r="A1250" t="s">
        <v>3169</v>
      </c>
      <c r="B1250" t="s">
        <v>64</v>
      </c>
      <c r="C1250">
        <v>150000</v>
      </c>
      <c r="D1250" t="s">
        <v>3170</v>
      </c>
      <c r="E1250" t="s">
        <v>3171</v>
      </c>
      <c r="F1250" t="s">
        <v>554</v>
      </c>
      <c r="G1250" s="30">
        <v>46143</v>
      </c>
      <c r="H1250" t="s">
        <v>3172</v>
      </c>
      <c r="I1250">
        <v>2131231.5</v>
      </c>
      <c r="J1250" s="123">
        <v>0</v>
      </c>
      <c r="K1250" s="123">
        <v>46142</v>
      </c>
      <c r="L1250" s="123">
        <v>0</v>
      </c>
      <c r="M1250">
        <v>0</v>
      </c>
      <c r="N1250">
        <v>0</v>
      </c>
      <c r="O1250" t="s">
        <v>556</v>
      </c>
      <c r="P1250" s="216">
        <v>150000</v>
      </c>
      <c r="Q1250" s="217" t="s">
        <v>25</v>
      </c>
      <c r="R1250" s="217" t="s">
        <v>554</v>
      </c>
      <c r="S1250" s="218">
        <v>0.27038357869616697</v>
      </c>
      <c r="T1250" t="s">
        <v>550</v>
      </c>
      <c r="U1250" t="s">
        <v>51</v>
      </c>
      <c r="V1250" s="219" t="s">
        <v>6547</v>
      </c>
      <c r="W1250" s="219" t="s">
        <v>67</v>
      </c>
    </row>
    <row r="1251" spans="1:23" ht="15" customHeight="1" x14ac:dyDescent="0.25">
      <c r="A1251" t="s">
        <v>3173</v>
      </c>
      <c r="B1251" t="s">
        <v>1118</v>
      </c>
      <c r="C1251">
        <v>150000</v>
      </c>
      <c r="D1251" t="s">
        <v>3170</v>
      </c>
      <c r="E1251" t="s">
        <v>3171</v>
      </c>
      <c r="F1251" t="s">
        <v>554</v>
      </c>
      <c r="G1251" s="30">
        <v>46143</v>
      </c>
      <c r="H1251" t="s">
        <v>3172</v>
      </c>
      <c r="I1251">
        <v>2131231.5</v>
      </c>
      <c r="J1251" s="123">
        <v>46142</v>
      </c>
      <c r="K1251" s="123">
        <v>0</v>
      </c>
      <c r="L1251" s="123">
        <v>0</v>
      </c>
      <c r="M1251">
        <v>0</v>
      </c>
      <c r="N1251">
        <v>0</v>
      </c>
      <c r="O1251">
        <v>0</v>
      </c>
      <c r="P1251" s="216">
        <v>150000</v>
      </c>
      <c r="Q1251" s="217" t="s">
        <v>25</v>
      </c>
      <c r="R1251" s="217" t="s">
        <v>554</v>
      </c>
      <c r="S1251" s="218">
        <v>0.27038357869616697</v>
      </c>
      <c r="T1251" t="s">
        <v>550</v>
      </c>
      <c r="U1251" t="s">
        <v>51</v>
      </c>
      <c r="V1251" s="219" t="s">
        <v>6548</v>
      </c>
      <c r="W1251" s="219" t="s">
        <v>67</v>
      </c>
    </row>
    <row r="1252" spans="1:23" ht="15" customHeight="1" x14ac:dyDescent="0.25">
      <c r="A1252" t="s">
        <v>3174</v>
      </c>
      <c r="B1252" t="s">
        <v>546</v>
      </c>
      <c r="C1252">
        <v>1559</v>
      </c>
      <c r="D1252" t="s">
        <v>3175</v>
      </c>
      <c r="E1252" t="s">
        <v>151</v>
      </c>
      <c r="F1252" t="s">
        <v>554</v>
      </c>
      <c r="G1252" s="30">
        <v>46149</v>
      </c>
      <c r="H1252" t="s">
        <v>3176</v>
      </c>
      <c r="I1252">
        <v>1794246</v>
      </c>
      <c r="J1252" s="123">
        <v>0</v>
      </c>
      <c r="K1252" s="123">
        <v>0</v>
      </c>
      <c r="L1252" s="123">
        <v>0</v>
      </c>
      <c r="M1252">
        <v>0</v>
      </c>
      <c r="N1252">
        <v>0</v>
      </c>
      <c r="O1252">
        <v>0</v>
      </c>
      <c r="P1252" s="216">
        <v>1559</v>
      </c>
      <c r="Q1252" s="217" t="s">
        <v>25</v>
      </c>
      <c r="R1252" s="217" t="s">
        <v>554</v>
      </c>
      <c r="S1252" s="218">
        <v>0.30000021178812719</v>
      </c>
      <c r="T1252" t="s">
        <v>550</v>
      </c>
      <c r="U1252" t="s">
        <v>51</v>
      </c>
      <c r="V1252" s="219" t="s">
        <v>6549</v>
      </c>
      <c r="W1252" s="219" t="s">
        <v>67</v>
      </c>
    </row>
    <row r="1253" spans="1:23" ht="15" customHeight="1" x14ac:dyDescent="0.25">
      <c r="A1253" t="s">
        <v>3177</v>
      </c>
      <c r="B1253" t="s">
        <v>546</v>
      </c>
      <c r="C1253">
        <v>1559</v>
      </c>
      <c r="D1253" t="s">
        <v>3175</v>
      </c>
      <c r="E1253" t="s">
        <v>151</v>
      </c>
      <c r="F1253" t="s">
        <v>548</v>
      </c>
      <c r="G1253" s="30">
        <v>46149</v>
      </c>
      <c r="H1253" t="s">
        <v>3176</v>
      </c>
      <c r="I1253">
        <v>1794246</v>
      </c>
      <c r="J1253" s="123">
        <v>0</v>
      </c>
      <c r="K1253" s="123">
        <v>0</v>
      </c>
      <c r="L1253" s="123">
        <v>0</v>
      </c>
      <c r="M1253">
        <v>0</v>
      </c>
      <c r="N1253">
        <v>0</v>
      </c>
      <c r="O1253">
        <v>0</v>
      </c>
      <c r="P1253" s="216">
        <v>1559</v>
      </c>
      <c r="Q1253" s="217" t="s">
        <v>25</v>
      </c>
      <c r="R1253" s="217" t="s">
        <v>62</v>
      </c>
      <c r="S1253" s="218">
        <v>0.30000021178812719</v>
      </c>
      <c r="T1253" t="s">
        <v>550</v>
      </c>
      <c r="U1253" t="s">
        <v>51</v>
      </c>
      <c r="V1253" s="219">
        <v>0</v>
      </c>
      <c r="W1253" s="219">
        <v>0</v>
      </c>
    </row>
    <row r="1254" spans="1:23" ht="15" customHeight="1" x14ac:dyDescent="0.25">
      <c r="A1254" t="s">
        <v>3178</v>
      </c>
      <c r="B1254" t="s">
        <v>575</v>
      </c>
      <c r="C1254">
        <v>160000</v>
      </c>
      <c r="D1254" t="s">
        <v>3179</v>
      </c>
      <c r="E1254" t="s">
        <v>151</v>
      </c>
      <c r="F1254" t="s">
        <v>554</v>
      </c>
      <c r="G1254" s="30">
        <v>46143</v>
      </c>
      <c r="H1254" t="s">
        <v>3180</v>
      </c>
      <c r="I1254">
        <v>2199023.75</v>
      </c>
      <c r="J1254" s="123">
        <v>0</v>
      </c>
      <c r="K1254" s="123">
        <v>0</v>
      </c>
      <c r="L1254" s="123">
        <v>46142</v>
      </c>
      <c r="M1254">
        <v>0</v>
      </c>
      <c r="N1254">
        <v>0</v>
      </c>
      <c r="O1254">
        <v>0</v>
      </c>
      <c r="P1254" s="216">
        <v>160000</v>
      </c>
      <c r="Q1254" s="217" t="s">
        <v>25</v>
      </c>
      <c r="R1254" s="217" t="s">
        <v>554</v>
      </c>
      <c r="S1254" s="218">
        <v>0.40011322751743811</v>
      </c>
      <c r="T1254" t="s">
        <v>550</v>
      </c>
      <c r="U1254" t="s">
        <v>51</v>
      </c>
      <c r="V1254" s="219" t="s">
        <v>6550</v>
      </c>
      <c r="W1254" s="219" t="s">
        <v>67</v>
      </c>
    </row>
    <row r="1255" spans="1:23" ht="15" customHeight="1" x14ac:dyDescent="0.25">
      <c r="A1255" t="s">
        <v>3181</v>
      </c>
      <c r="B1255" t="s">
        <v>595</v>
      </c>
      <c r="C1255">
        <v>60106.44</v>
      </c>
      <c r="D1255" t="s">
        <v>3179</v>
      </c>
      <c r="E1255" t="s">
        <v>151</v>
      </c>
      <c r="F1255" t="s">
        <v>554</v>
      </c>
      <c r="G1255" s="30">
        <v>46143</v>
      </c>
      <c r="H1255" t="s">
        <v>3180</v>
      </c>
      <c r="I1255">
        <v>2199023.75</v>
      </c>
      <c r="J1255" s="123">
        <v>0</v>
      </c>
      <c r="K1255" s="123">
        <v>0</v>
      </c>
      <c r="L1255" s="123">
        <v>45957</v>
      </c>
      <c r="M1255">
        <v>0</v>
      </c>
      <c r="N1255">
        <v>0</v>
      </c>
      <c r="O1255">
        <v>0</v>
      </c>
      <c r="P1255" s="216">
        <v>60106.44</v>
      </c>
      <c r="Q1255" s="217" t="s">
        <v>25</v>
      </c>
      <c r="R1255" s="217" t="s">
        <v>554</v>
      </c>
      <c r="S1255" s="218">
        <v>0.40011322751743811</v>
      </c>
      <c r="T1255" t="s">
        <v>550</v>
      </c>
      <c r="U1255" t="s">
        <v>51</v>
      </c>
      <c r="V1255" s="219" t="s">
        <v>6551</v>
      </c>
      <c r="W1255" s="219" t="s">
        <v>67</v>
      </c>
    </row>
    <row r="1256" spans="1:23" ht="15" customHeight="1" x14ac:dyDescent="0.25">
      <c r="A1256" t="s">
        <v>3182</v>
      </c>
      <c r="B1256" t="s">
        <v>575</v>
      </c>
      <c r="C1256">
        <v>160000</v>
      </c>
      <c r="D1256" t="s">
        <v>3179</v>
      </c>
      <c r="E1256" t="s">
        <v>238</v>
      </c>
      <c r="F1256" t="s">
        <v>585</v>
      </c>
      <c r="G1256" s="30">
        <v>46144</v>
      </c>
      <c r="H1256" t="s">
        <v>3180</v>
      </c>
      <c r="I1256">
        <v>2199023.75</v>
      </c>
      <c r="J1256" s="123">
        <v>0</v>
      </c>
      <c r="K1256" s="123">
        <v>0</v>
      </c>
      <c r="L1256" s="123">
        <v>46142</v>
      </c>
      <c r="M1256">
        <v>0</v>
      </c>
      <c r="N1256">
        <v>0</v>
      </c>
      <c r="O1256">
        <v>0</v>
      </c>
      <c r="P1256" s="216">
        <v>160000</v>
      </c>
      <c r="Q1256" s="217" t="s">
        <v>19</v>
      </c>
      <c r="R1256" s="217" t="s">
        <v>61</v>
      </c>
      <c r="S1256" s="218">
        <v>0.40011322751743811</v>
      </c>
      <c r="T1256" t="s">
        <v>550</v>
      </c>
      <c r="U1256" t="s">
        <v>51</v>
      </c>
      <c r="V1256" s="219">
        <v>0</v>
      </c>
      <c r="W1256" s="219">
        <v>0</v>
      </c>
    </row>
    <row r="1257" spans="1:23" ht="15" customHeight="1" x14ac:dyDescent="0.25">
      <c r="A1257" t="s">
        <v>3183</v>
      </c>
      <c r="B1257" t="s">
        <v>575</v>
      </c>
      <c r="C1257">
        <v>406174</v>
      </c>
      <c r="D1257" t="s">
        <v>3184</v>
      </c>
      <c r="E1257" t="s">
        <v>151</v>
      </c>
      <c r="F1257" t="s">
        <v>580</v>
      </c>
      <c r="G1257" s="30">
        <v>46149</v>
      </c>
      <c r="H1257" t="s">
        <v>3185</v>
      </c>
      <c r="I1257">
        <v>4061743.65</v>
      </c>
      <c r="J1257" s="123">
        <v>0</v>
      </c>
      <c r="K1257" s="123">
        <v>0</v>
      </c>
      <c r="L1257" s="123">
        <v>46149</v>
      </c>
      <c r="M1257">
        <v>0</v>
      </c>
      <c r="N1257">
        <v>0</v>
      </c>
      <c r="O1257">
        <v>0</v>
      </c>
      <c r="P1257" s="216">
        <v>406174</v>
      </c>
      <c r="Q1257" s="217" t="s">
        <v>25</v>
      </c>
      <c r="R1257" s="217" t="s">
        <v>582</v>
      </c>
      <c r="S1257" s="218">
        <v>0.29999973041134687</v>
      </c>
      <c r="T1257" t="s">
        <v>550</v>
      </c>
      <c r="U1257" t="s">
        <v>51</v>
      </c>
      <c r="V1257" s="219">
        <v>0</v>
      </c>
      <c r="W1257" s="219">
        <v>0</v>
      </c>
    </row>
    <row r="1258" spans="1:23" ht="15" customHeight="1" x14ac:dyDescent="0.25">
      <c r="A1258" t="s">
        <v>3186</v>
      </c>
      <c r="B1258" t="s">
        <v>575</v>
      </c>
      <c r="C1258">
        <v>192436</v>
      </c>
      <c r="D1258" t="s">
        <v>3187</v>
      </c>
      <c r="E1258" t="s">
        <v>151</v>
      </c>
      <c r="F1258" t="s">
        <v>580</v>
      </c>
      <c r="G1258" s="30">
        <v>46147</v>
      </c>
      <c r="H1258" t="s">
        <v>3188</v>
      </c>
      <c r="I1258">
        <v>1924361.7</v>
      </c>
      <c r="J1258" s="123">
        <v>0</v>
      </c>
      <c r="K1258" s="123">
        <v>0</v>
      </c>
      <c r="L1258" s="123">
        <v>46143</v>
      </c>
      <c r="M1258">
        <v>0</v>
      </c>
      <c r="N1258">
        <v>0</v>
      </c>
      <c r="O1258">
        <v>0</v>
      </c>
      <c r="P1258" s="216">
        <v>192436</v>
      </c>
      <c r="Q1258" s="217" t="s">
        <v>25</v>
      </c>
      <c r="R1258" s="217" t="s">
        <v>582</v>
      </c>
      <c r="S1258" s="218">
        <v>0.30004382232300714</v>
      </c>
      <c r="T1258" t="s">
        <v>550</v>
      </c>
      <c r="U1258" t="s">
        <v>51</v>
      </c>
      <c r="V1258" s="219">
        <v>0</v>
      </c>
      <c r="W1258" s="219">
        <v>0</v>
      </c>
    </row>
    <row r="1259" spans="1:23" ht="15" customHeight="1" x14ac:dyDescent="0.25">
      <c r="A1259" t="s">
        <v>3189</v>
      </c>
      <c r="B1259" t="s">
        <v>575</v>
      </c>
      <c r="C1259">
        <v>5000</v>
      </c>
      <c r="D1259" t="s">
        <v>3187</v>
      </c>
      <c r="E1259" t="s">
        <v>1367</v>
      </c>
      <c r="F1259" t="s">
        <v>554</v>
      </c>
      <c r="G1259" s="30">
        <v>46149</v>
      </c>
      <c r="H1259" t="s">
        <v>3188</v>
      </c>
      <c r="I1259">
        <v>1924361.7</v>
      </c>
      <c r="J1259" s="123">
        <v>0</v>
      </c>
      <c r="K1259" s="123">
        <v>0</v>
      </c>
      <c r="L1259" s="123">
        <v>46143</v>
      </c>
      <c r="M1259">
        <v>5000</v>
      </c>
      <c r="N1259">
        <v>0</v>
      </c>
      <c r="O1259">
        <v>0</v>
      </c>
      <c r="P1259" s="216">
        <v>0</v>
      </c>
      <c r="Q1259" s="217" t="s">
        <v>25</v>
      </c>
      <c r="R1259" s="217" t="s">
        <v>554</v>
      </c>
      <c r="S1259" s="218">
        <v>0.30004382232300714</v>
      </c>
      <c r="T1259" t="s">
        <v>550</v>
      </c>
      <c r="U1259" t="s">
        <v>51</v>
      </c>
      <c r="V1259" s="219" t="s">
        <v>6552</v>
      </c>
      <c r="W1259" s="219" t="s">
        <v>67</v>
      </c>
    </row>
    <row r="1260" spans="1:23" ht="15" customHeight="1" x14ac:dyDescent="0.25">
      <c r="A1260" t="s">
        <v>3190</v>
      </c>
      <c r="B1260" t="s">
        <v>575</v>
      </c>
      <c r="C1260">
        <v>186934</v>
      </c>
      <c r="D1260" t="s">
        <v>3191</v>
      </c>
      <c r="E1260" t="s">
        <v>151</v>
      </c>
      <c r="F1260" t="s">
        <v>554</v>
      </c>
      <c r="G1260" s="30">
        <v>46146</v>
      </c>
      <c r="H1260" t="s">
        <v>3192</v>
      </c>
      <c r="I1260">
        <v>1869335.2</v>
      </c>
      <c r="J1260" s="123">
        <v>0</v>
      </c>
      <c r="K1260" s="123">
        <v>0</v>
      </c>
      <c r="L1260" s="123">
        <v>46143</v>
      </c>
      <c r="M1260">
        <v>0</v>
      </c>
      <c r="N1260">
        <v>0</v>
      </c>
      <c r="O1260">
        <v>0</v>
      </c>
      <c r="P1260" s="216">
        <v>186934</v>
      </c>
      <c r="Q1260" s="217" t="s">
        <v>25</v>
      </c>
      <c r="R1260" s="217" t="s">
        <v>554</v>
      </c>
      <c r="S1260" s="218">
        <v>0.40032092692632121</v>
      </c>
      <c r="T1260" t="s">
        <v>550</v>
      </c>
      <c r="U1260" t="s">
        <v>51</v>
      </c>
      <c r="V1260" s="219" t="s">
        <v>6553</v>
      </c>
      <c r="W1260" s="219" t="s">
        <v>67</v>
      </c>
    </row>
    <row r="1261" spans="1:23" ht="15" customHeight="1" x14ac:dyDescent="0.25">
      <c r="A1261" t="s">
        <v>3193</v>
      </c>
      <c r="B1261" t="s">
        <v>603</v>
      </c>
      <c r="C1261">
        <v>130000</v>
      </c>
      <c r="D1261" t="s">
        <v>3194</v>
      </c>
      <c r="E1261" t="s">
        <v>605</v>
      </c>
      <c r="F1261" t="s">
        <v>554</v>
      </c>
      <c r="G1261" s="30">
        <v>46143</v>
      </c>
      <c r="H1261" t="s">
        <v>3195</v>
      </c>
      <c r="I1261">
        <v>1769834.8</v>
      </c>
      <c r="J1261" s="123">
        <v>46144</v>
      </c>
      <c r="K1261" s="123">
        <v>0</v>
      </c>
      <c r="L1261" s="123">
        <v>0</v>
      </c>
      <c r="M1261">
        <v>0</v>
      </c>
      <c r="N1261">
        <v>0</v>
      </c>
      <c r="O1261">
        <v>0</v>
      </c>
      <c r="P1261" s="216">
        <v>130000</v>
      </c>
      <c r="Q1261" s="217" t="s">
        <v>25</v>
      </c>
      <c r="R1261" s="217" t="s">
        <v>554</v>
      </c>
      <c r="S1261" s="218">
        <v>0.40000004520195898</v>
      </c>
      <c r="T1261" t="s">
        <v>550</v>
      </c>
      <c r="U1261" t="s">
        <v>51</v>
      </c>
      <c r="V1261" s="219" t="s">
        <v>6554</v>
      </c>
      <c r="W1261" s="219" t="s">
        <v>67</v>
      </c>
    </row>
    <row r="1262" spans="1:23" ht="15" customHeight="1" x14ac:dyDescent="0.25">
      <c r="A1262" t="s">
        <v>3196</v>
      </c>
      <c r="B1262" t="s">
        <v>546</v>
      </c>
      <c r="C1262">
        <v>41145</v>
      </c>
      <c r="D1262" t="s">
        <v>3194</v>
      </c>
      <c r="E1262" t="s">
        <v>151</v>
      </c>
      <c r="F1262" t="s">
        <v>548</v>
      </c>
      <c r="G1262" s="30">
        <v>46146</v>
      </c>
      <c r="H1262" t="s">
        <v>3195</v>
      </c>
      <c r="I1262">
        <v>1769834.8</v>
      </c>
      <c r="J1262" s="123">
        <v>0</v>
      </c>
      <c r="K1262" s="123">
        <v>0</v>
      </c>
      <c r="L1262" s="123">
        <v>0</v>
      </c>
      <c r="M1262">
        <v>0</v>
      </c>
      <c r="N1262">
        <v>0</v>
      </c>
      <c r="O1262">
        <v>0</v>
      </c>
      <c r="P1262" s="216">
        <v>41145</v>
      </c>
      <c r="Q1262" s="217" t="s">
        <v>25</v>
      </c>
      <c r="R1262" s="217" t="s">
        <v>62</v>
      </c>
      <c r="S1262" s="218">
        <v>0.40000004520195898</v>
      </c>
      <c r="T1262" t="s">
        <v>550</v>
      </c>
      <c r="U1262" t="s">
        <v>51</v>
      </c>
      <c r="V1262" s="219">
        <v>0</v>
      </c>
      <c r="W1262" s="219">
        <v>0</v>
      </c>
    </row>
    <row r="1263" spans="1:23" ht="15" customHeight="1" x14ac:dyDescent="0.25">
      <c r="A1263" t="s">
        <v>3197</v>
      </c>
      <c r="B1263" t="s">
        <v>575</v>
      </c>
      <c r="C1263">
        <v>41145</v>
      </c>
      <c r="D1263" t="s">
        <v>3194</v>
      </c>
      <c r="E1263" t="s">
        <v>151</v>
      </c>
      <c r="F1263" t="s">
        <v>554</v>
      </c>
      <c r="G1263" s="30">
        <v>46148</v>
      </c>
      <c r="H1263" t="s">
        <v>3195</v>
      </c>
      <c r="I1263">
        <v>1769834.8</v>
      </c>
      <c r="J1263" s="123">
        <v>0</v>
      </c>
      <c r="K1263" s="123">
        <v>0</v>
      </c>
      <c r="L1263" s="123">
        <v>46148</v>
      </c>
      <c r="M1263">
        <v>0</v>
      </c>
      <c r="N1263">
        <v>0</v>
      </c>
      <c r="O1263">
        <v>0</v>
      </c>
      <c r="P1263" s="216">
        <v>41145</v>
      </c>
      <c r="Q1263" s="217" t="s">
        <v>25</v>
      </c>
      <c r="R1263" s="217" t="s">
        <v>554</v>
      </c>
      <c r="S1263" s="218">
        <v>0.40000004520195898</v>
      </c>
      <c r="T1263" t="s">
        <v>550</v>
      </c>
      <c r="U1263" t="s">
        <v>51</v>
      </c>
      <c r="V1263" s="219" t="s">
        <v>6555</v>
      </c>
      <c r="W1263" s="219" t="s">
        <v>67</v>
      </c>
    </row>
    <row r="1264" spans="1:23" ht="15" customHeight="1" x14ac:dyDescent="0.25">
      <c r="A1264" t="s">
        <v>3198</v>
      </c>
      <c r="B1264" t="s">
        <v>575</v>
      </c>
      <c r="C1264">
        <v>193617</v>
      </c>
      <c r="D1264" t="s">
        <v>3199</v>
      </c>
      <c r="E1264" t="s">
        <v>151</v>
      </c>
      <c r="F1264" t="s">
        <v>554</v>
      </c>
      <c r="G1264" s="30">
        <v>46148</v>
      </c>
      <c r="H1264" t="s">
        <v>3200</v>
      </c>
      <c r="I1264">
        <v>1936167.6</v>
      </c>
      <c r="J1264" s="123">
        <v>0</v>
      </c>
      <c r="K1264" s="123">
        <v>0</v>
      </c>
      <c r="L1264" s="123">
        <v>46147</v>
      </c>
      <c r="M1264">
        <v>0</v>
      </c>
      <c r="N1264">
        <v>0</v>
      </c>
      <c r="O1264">
        <v>0</v>
      </c>
      <c r="P1264" s="216">
        <v>193617</v>
      </c>
      <c r="Q1264" s="217" t="s">
        <v>25</v>
      </c>
      <c r="R1264" s="217" t="s">
        <v>554</v>
      </c>
      <c r="S1264" s="218">
        <v>0.39881686895287372</v>
      </c>
      <c r="T1264" t="s">
        <v>550</v>
      </c>
      <c r="U1264" t="s">
        <v>51</v>
      </c>
      <c r="V1264" s="219" t="s">
        <v>6556</v>
      </c>
      <c r="W1264" s="219" t="s">
        <v>67</v>
      </c>
    </row>
    <row r="1265" spans="1:23" ht="15" customHeight="1" x14ac:dyDescent="0.25">
      <c r="A1265" t="s">
        <v>3201</v>
      </c>
      <c r="B1265" t="s">
        <v>575</v>
      </c>
      <c r="C1265">
        <v>174289</v>
      </c>
      <c r="D1265" t="s">
        <v>3202</v>
      </c>
      <c r="E1265" t="s">
        <v>151</v>
      </c>
      <c r="F1265" t="s">
        <v>585</v>
      </c>
      <c r="G1265" s="30">
        <v>46147</v>
      </c>
      <c r="H1265" t="s">
        <v>3203</v>
      </c>
      <c r="I1265">
        <v>1769834.8</v>
      </c>
      <c r="J1265" s="123">
        <v>0</v>
      </c>
      <c r="K1265" s="123">
        <v>0</v>
      </c>
      <c r="L1265" s="123">
        <v>46146</v>
      </c>
      <c r="M1265">
        <v>0</v>
      </c>
      <c r="N1265">
        <v>0</v>
      </c>
      <c r="O1265">
        <v>0</v>
      </c>
      <c r="P1265" s="216">
        <v>174289</v>
      </c>
      <c r="Q1265" s="217" t="s">
        <v>25</v>
      </c>
      <c r="R1265" s="217" t="s">
        <v>61</v>
      </c>
      <c r="S1265" s="218">
        <v>0.30314601114183087</v>
      </c>
      <c r="T1265" t="s">
        <v>550</v>
      </c>
      <c r="U1265" t="s">
        <v>51</v>
      </c>
      <c r="V1265" s="219">
        <v>0</v>
      </c>
      <c r="W1265" s="219">
        <v>0</v>
      </c>
    </row>
    <row r="1266" spans="1:23" ht="15" customHeight="1" x14ac:dyDescent="0.25">
      <c r="A1266" t="s">
        <v>3204</v>
      </c>
      <c r="B1266" t="s">
        <v>575</v>
      </c>
      <c r="C1266">
        <v>183534</v>
      </c>
      <c r="D1266" t="s">
        <v>3205</v>
      </c>
      <c r="E1266" t="s">
        <v>151</v>
      </c>
      <c r="F1266" t="s">
        <v>585</v>
      </c>
      <c r="G1266" s="30">
        <v>46147</v>
      </c>
      <c r="H1266" t="s">
        <v>3206</v>
      </c>
      <c r="I1266">
        <v>1835335.5</v>
      </c>
      <c r="J1266" s="123">
        <v>0</v>
      </c>
      <c r="K1266" s="123">
        <v>0</v>
      </c>
      <c r="L1266" s="123">
        <v>46137</v>
      </c>
      <c r="M1266">
        <v>0</v>
      </c>
      <c r="N1266">
        <v>0</v>
      </c>
      <c r="O1266">
        <v>0</v>
      </c>
      <c r="P1266" s="216">
        <v>183534</v>
      </c>
      <c r="Q1266" s="217" t="s">
        <v>25</v>
      </c>
      <c r="R1266" s="217" t="s">
        <v>61</v>
      </c>
      <c r="S1266" s="218">
        <v>0.3002666270008944</v>
      </c>
      <c r="T1266" t="s">
        <v>550</v>
      </c>
      <c r="U1266" t="s">
        <v>51</v>
      </c>
      <c r="V1266" s="219">
        <v>0</v>
      </c>
      <c r="W1266" s="219">
        <v>0</v>
      </c>
    </row>
    <row r="1267" spans="1:23" ht="15" customHeight="1" x14ac:dyDescent="0.25">
      <c r="A1267" t="s">
        <v>3207</v>
      </c>
      <c r="B1267" t="s">
        <v>575</v>
      </c>
      <c r="C1267">
        <v>183534</v>
      </c>
      <c r="D1267" t="s">
        <v>3205</v>
      </c>
      <c r="E1267" t="s">
        <v>151</v>
      </c>
      <c r="F1267" t="s">
        <v>585</v>
      </c>
      <c r="G1267" s="30">
        <v>46147</v>
      </c>
      <c r="H1267" t="s">
        <v>3206</v>
      </c>
      <c r="I1267">
        <v>1835335.5</v>
      </c>
      <c r="J1267" s="123">
        <v>0</v>
      </c>
      <c r="K1267" s="123">
        <v>0</v>
      </c>
      <c r="L1267" s="123">
        <v>46137</v>
      </c>
      <c r="M1267">
        <v>0</v>
      </c>
      <c r="N1267">
        <v>0</v>
      </c>
      <c r="O1267">
        <v>0</v>
      </c>
      <c r="P1267" s="216">
        <v>183534</v>
      </c>
      <c r="Q1267" s="217" t="s">
        <v>25</v>
      </c>
      <c r="R1267" s="217" t="s">
        <v>61</v>
      </c>
      <c r="S1267" s="218">
        <v>0.3002666270008944</v>
      </c>
      <c r="T1267" t="s">
        <v>550</v>
      </c>
      <c r="U1267" t="s">
        <v>51</v>
      </c>
      <c r="V1267" s="219">
        <v>0</v>
      </c>
      <c r="W1267" s="219">
        <v>0</v>
      </c>
    </row>
    <row r="1268" spans="1:23" ht="15" customHeight="1" x14ac:dyDescent="0.25">
      <c r="A1268" t="s">
        <v>3208</v>
      </c>
      <c r="B1268" t="s">
        <v>546</v>
      </c>
      <c r="C1268">
        <v>18000</v>
      </c>
      <c r="D1268" t="s">
        <v>3209</v>
      </c>
      <c r="E1268" t="s">
        <v>3210</v>
      </c>
      <c r="F1268" t="s">
        <v>548</v>
      </c>
      <c r="G1268" s="30">
        <v>46144</v>
      </c>
      <c r="H1268" t="s">
        <v>3211</v>
      </c>
      <c r="I1268">
        <v>2157543</v>
      </c>
      <c r="J1268" s="123">
        <v>0</v>
      </c>
      <c r="K1268" s="123">
        <v>0</v>
      </c>
      <c r="L1268" s="123">
        <v>0</v>
      </c>
      <c r="M1268">
        <v>0</v>
      </c>
      <c r="N1268">
        <v>0</v>
      </c>
      <c r="O1268">
        <v>0</v>
      </c>
      <c r="P1268" s="216">
        <v>18000</v>
      </c>
      <c r="Q1268" s="217" t="s">
        <v>25</v>
      </c>
      <c r="R1268" s="217" t="s">
        <v>62</v>
      </c>
      <c r="S1268" s="218">
        <v>0.22168735455098693</v>
      </c>
      <c r="T1268" t="s">
        <v>550</v>
      </c>
      <c r="U1268" t="s">
        <v>51</v>
      </c>
      <c r="V1268" s="219">
        <v>0</v>
      </c>
      <c r="W1268" s="219">
        <v>0</v>
      </c>
    </row>
    <row r="1269" spans="1:23" ht="15" customHeight="1" x14ac:dyDescent="0.25">
      <c r="A1269" t="s">
        <v>3212</v>
      </c>
      <c r="B1269" t="s">
        <v>546</v>
      </c>
      <c r="C1269">
        <v>36000</v>
      </c>
      <c r="D1269" t="s">
        <v>3209</v>
      </c>
      <c r="E1269" t="s">
        <v>3210</v>
      </c>
      <c r="F1269" t="s">
        <v>554</v>
      </c>
      <c r="G1269" s="30">
        <v>46144</v>
      </c>
      <c r="H1269" t="s">
        <v>3211</v>
      </c>
      <c r="I1269">
        <v>2157543</v>
      </c>
      <c r="J1269" s="123">
        <v>0</v>
      </c>
      <c r="K1269" s="123">
        <v>0</v>
      </c>
      <c r="L1269" s="123">
        <v>0</v>
      </c>
      <c r="M1269">
        <v>0</v>
      </c>
      <c r="N1269">
        <v>0</v>
      </c>
      <c r="O1269">
        <v>0</v>
      </c>
      <c r="P1269" s="216">
        <v>36000</v>
      </c>
      <c r="Q1269" s="217" t="s">
        <v>25</v>
      </c>
      <c r="R1269" s="217" t="s">
        <v>554</v>
      </c>
      <c r="S1269" s="218">
        <v>0.22168735455098693</v>
      </c>
      <c r="T1269" t="s">
        <v>550</v>
      </c>
      <c r="U1269" t="s">
        <v>51</v>
      </c>
      <c r="V1269" s="219" t="s">
        <v>6557</v>
      </c>
      <c r="W1269" s="219" t="s">
        <v>67</v>
      </c>
    </row>
    <row r="1270" spans="1:23" ht="15" customHeight="1" x14ac:dyDescent="0.25">
      <c r="A1270" t="s">
        <v>3213</v>
      </c>
      <c r="B1270" t="s">
        <v>546</v>
      </c>
      <c r="C1270">
        <v>36000</v>
      </c>
      <c r="D1270" t="s">
        <v>3209</v>
      </c>
      <c r="E1270" t="s">
        <v>3210</v>
      </c>
      <c r="F1270" t="s">
        <v>554</v>
      </c>
      <c r="G1270" s="30">
        <v>46144</v>
      </c>
      <c r="H1270" t="s">
        <v>3211</v>
      </c>
      <c r="I1270">
        <v>2157543</v>
      </c>
      <c r="J1270" s="123">
        <v>0</v>
      </c>
      <c r="K1270" s="123">
        <v>0</v>
      </c>
      <c r="L1270" s="123">
        <v>0</v>
      </c>
      <c r="M1270">
        <v>0</v>
      </c>
      <c r="N1270">
        <v>0</v>
      </c>
      <c r="O1270">
        <v>0</v>
      </c>
      <c r="P1270" s="216">
        <v>36000</v>
      </c>
      <c r="Q1270" s="217" t="s">
        <v>25</v>
      </c>
      <c r="R1270" s="217" t="s">
        <v>554</v>
      </c>
      <c r="S1270" s="218">
        <v>0.22168735455098693</v>
      </c>
      <c r="T1270" t="s">
        <v>550</v>
      </c>
      <c r="U1270" t="s">
        <v>51</v>
      </c>
      <c r="V1270" s="219" t="s">
        <v>6558</v>
      </c>
      <c r="W1270" s="219" t="s">
        <v>67</v>
      </c>
    </row>
    <row r="1271" spans="1:23" ht="15" customHeight="1" x14ac:dyDescent="0.25">
      <c r="A1271" t="s">
        <v>3214</v>
      </c>
      <c r="B1271" t="s">
        <v>546</v>
      </c>
      <c r="C1271">
        <v>36000</v>
      </c>
      <c r="D1271" t="s">
        <v>3209</v>
      </c>
      <c r="E1271" t="s">
        <v>3210</v>
      </c>
      <c r="F1271" t="s">
        <v>554</v>
      </c>
      <c r="G1271" s="30">
        <v>46144</v>
      </c>
      <c r="H1271" t="s">
        <v>3211</v>
      </c>
      <c r="I1271">
        <v>2157543</v>
      </c>
      <c r="J1271" s="123">
        <v>0</v>
      </c>
      <c r="K1271" s="123">
        <v>0</v>
      </c>
      <c r="L1271" s="123">
        <v>0</v>
      </c>
      <c r="M1271">
        <v>0</v>
      </c>
      <c r="N1271">
        <v>0</v>
      </c>
      <c r="O1271">
        <v>0</v>
      </c>
      <c r="P1271" s="216">
        <v>36000</v>
      </c>
      <c r="Q1271" s="217" t="s">
        <v>25</v>
      </c>
      <c r="R1271" s="217" t="s">
        <v>554</v>
      </c>
      <c r="S1271" s="218">
        <v>0.22168735455098693</v>
      </c>
      <c r="T1271" t="s">
        <v>550</v>
      </c>
      <c r="U1271" t="s">
        <v>51</v>
      </c>
      <c r="V1271" s="219" t="s">
        <v>6559</v>
      </c>
      <c r="W1271" s="219" t="s">
        <v>67</v>
      </c>
    </row>
    <row r="1272" spans="1:23" ht="15" customHeight="1" x14ac:dyDescent="0.25">
      <c r="A1272" t="s">
        <v>3215</v>
      </c>
      <c r="B1272" t="s">
        <v>546</v>
      </c>
      <c r="C1272">
        <v>36000</v>
      </c>
      <c r="D1272" t="s">
        <v>3209</v>
      </c>
      <c r="E1272" t="s">
        <v>3210</v>
      </c>
      <c r="F1272" t="s">
        <v>554</v>
      </c>
      <c r="G1272" s="30">
        <v>46147</v>
      </c>
      <c r="H1272" t="s">
        <v>3211</v>
      </c>
      <c r="I1272">
        <v>2157543</v>
      </c>
      <c r="J1272" s="123">
        <v>0</v>
      </c>
      <c r="K1272" s="123">
        <v>0</v>
      </c>
      <c r="L1272" s="123">
        <v>0</v>
      </c>
      <c r="M1272">
        <v>0</v>
      </c>
      <c r="N1272">
        <v>0</v>
      </c>
      <c r="O1272">
        <v>0</v>
      </c>
      <c r="P1272" s="216">
        <v>36000</v>
      </c>
      <c r="Q1272" s="217" t="s">
        <v>25</v>
      </c>
      <c r="R1272" s="217" t="s">
        <v>554</v>
      </c>
      <c r="S1272" s="218">
        <v>0.22168735455098693</v>
      </c>
      <c r="T1272" t="s">
        <v>550</v>
      </c>
      <c r="U1272" t="s">
        <v>51</v>
      </c>
      <c r="V1272" s="219" t="s">
        <v>6560</v>
      </c>
      <c r="W1272" s="219" t="s">
        <v>67</v>
      </c>
    </row>
    <row r="1273" spans="1:23" ht="15" customHeight="1" x14ac:dyDescent="0.25">
      <c r="A1273" t="s">
        <v>3216</v>
      </c>
      <c r="B1273" t="s">
        <v>546</v>
      </c>
      <c r="C1273">
        <v>36000</v>
      </c>
      <c r="D1273" t="s">
        <v>3209</v>
      </c>
      <c r="E1273" t="s">
        <v>3210</v>
      </c>
      <c r="F1273" t="s">
        <v>554</v>
      </c>
      <c r="G1273" s="30">
        <v>46147</v>
      </c>
      <c r="H1273" t="s">
        <v>3211</v>
      </c>
      <c r="I1273">
        <v>2157543</v>
      </c>
      <c r="J1273" s="123">
        <v>0</v>
      </c>
      <c r="K1273" s="123">
        <v>0</v>
      </c>
      <c r="L1273" s="123">
        <v>0</v>
      </c>
      <c r="M1273">
        <v>0</v>
      </c>
      <c r="N1273">
        <v>0</v>
      </c>
      <c r="O1273">
        <v>0</v>
      </c>
      <c r="P1273" s="216">
        <v>36000</v>
      </c>
      <c r="Q1273" s="217" t="s">
        <v>25</v>
      </c>
      <c r="R1273" s="217" t="s">
        <v>554</v>
      </c>
      <c r="S1273" s="218">
        <v>0.22168735455098693</v>
      </c>
      <c r="T1273" t="s">
        <v>550</v>
      </c>
      <c r="U1273" t="s">
        <v>51</v>
      </c>
      <c r="V1273" s="219" t="s">
        <v>6561</v>
      </c>
      <c r="W1273" s="219" t="s">
        <v>67</v>
      </c>
    </row>
    <row r="1274" spans="1:23" ht="15" customHeight="1" x14ac:dyDescent="0.25">
      <c r="A1274" t="s">
        <v>3217</v>
      </c>
      <c r="B1274" t="s">
        <v>595</v>
      </c>
      <c r="C1274">
        <v>383383</v>
      </c>
      <c r="D1274" t="s">
        <v>3218</v>
      </c>
      <c r="E1274" t="s">
        <v>151</v>
      </c>
      <c r="F1274" t="s">
        <v>580</v>
      </c>
      <c r="G1274" s="30">
        <v>46148</v>
      </c>
      <c r="H1274" t="s">
        <v>3219</v>
      </c>
      <c r="I1274">
        <v>3810794.4</v>
      </c>
      <c r="J1274" s="123">
        <v>0</v>
      </c>
      <c r="K1274" s="123">
        <v>0</v>
      </c>
      <c r="L1274" s="123">
        <v>46148</v>
      </c>
      <c r="M1274">
        <v>0</v>
      </c>
      <c r="N1274">
        <v>0</v>
      </c>
      <c r="O1274">
        <v>0</v>
      </c>
      <c r="P1274" s="216">
        <v>383383</v>
      </c>
      <c r="Q1274" s="217" t="s">
        <v>25</v>
      </c>
      <c r="R1274" s="217" t="s">
        <v>582</v>
      </c>
      <c r="S1274" s="218">
        <v>0.2993950447707176</v>
      </c>
      <c r="T1274" t="s">
        <v>550</v>
      </c>
      <c r="U1274" t="s">
        <v>51</v>
      </c>
      <c r="V1274" s="219">
        <v>0</v>
      </c>
      <c r="W1274" s="219">
        <v>0</v>
      </c>
    </row>
    <row r="1275" spans="1:23" ht="15" customHeight="1" x14ac:dyDescent="0.25">
      <c r="A1275" t="s">
        <v>3220</v>
      </c>
      <c r="B1275" t="s">
        <v>603</v>
      </c>
      <c r="C1275">
        <v>116000</v>
      </c>
      <c r="D1275" t="s">
        <v>3221</v>
      </c>
      <c r="E1275" t="s">
        <v>605</v>
      </c>
      <c r="F1275" t="s">
        <v>580</v>
      </c>
      <c r="G1275" s="30">
        <v>46149</v>
      </c>
      <c r="H1275" t="s">
        <v>3222</v>
      </c>
      <c r="I1275">
        <v>1780062.5</v>
      </c>
      <c r="J1275" s="123">
        <v>0</v>
      </c>
      <c r="K1275" s="123">
        <v>0</v>
      </c>
      <c r="L1275" s="123">
        <v>0</v>
      </c>
      <c r="M1275">
        <v>0</v>
      </c>
      <c r="N1275">
        <v>0</v>
      </c>
      <c r="O1275">
        <v>0</v>
      </c>
      <c r="P1275" s="216">
        <v>116000</v>
      </c>
      <c r="Q1275" s="217" t="s">
        <v>25</v>
      </c>
      <c r="R1275" s="217" t="s">
        <v>582</v>
      </c>
      <c r="S1275" s="218">
        <v>0.33131294547242018</v>
      </c>
      <c r="T1275" t="s">
        <v>550</v>
      </c>
      <c r="U1275" t="s">
        <v>51</v>
      </c>
      <c r="V1275" s="219">
        <v>0</v>
      </c>
      <c r="W1275" s="219">
        <v>0</v>
      </c>
    </row>
    <row r="1276" spans="1:23" ht="15" customHeight="1" x14ac:dyDescent="0.25">
      <c r="A1276" t="s">
        <v>3223</v>
      </c>
      <c r="B1276" t="s">
        <v>575</v>
      </c>
      <c r="C1276">
        <v>194691</v>
      </c>
      <c r="D1276" t="s">
        <v>3224</v>
      </c>
      <c r="E1276" t="s">
        <v>151</v>
      </c>
      <c r="F1276" t="s">
        <v>580</v>
      </c>
      <c r="G1276" s="30">
        <v>46149</v>
      </c>
      <c r="H1276" t="s">
        <v>3225</v>
      </c>
      <c r="I1276">
        <v>1946909.25</v>
      </c>
      <c r="J1276" s="123">
        <v>0</v>
      </c>
      <c r="K1276" s="123">
        <v>0</v>
      </c>
      <c r="L1276" s="123">
        <v>46148</v>
      </c>
      <c r="M1276">
        <v>0</v>
      </c>
      <c r="N1276">
        <v>0</v>
      </c>
      <c r="O1276">
        <v>0</v>
      </c>
      <c r="P1276" s="216">
        <v>194691</v>
      </c>
      <c r="Q1276" s="217" t="s">
        <v>25</v>
      </c>
      <c r="R1276" s="217" t="s">
        <v>582</v>
      </c>
      <c r="S1276" s="218">
        <v>0.29894800181364384</v>
      </c>
      <c r="T1276" t="s">
        <v>550</v>
      </c>
      <c r="U1276" t="s">
        <v>51</v>
      </c>
      <c r="V1276" s="219">
        <v>0</v>
      </c>
      <c r="W1276" s="219">
        <v>0</v>
      </c>
    </row>
    <row r="1277" spans="1:23" ht="15" customHeight="1" x14ac:dyDescent="0.25">
      <c r="A1277" t="s">
        <v>3226</v>
      </c>
      <c r="B1277" t="s">
        <v>595</v>
      </c>
      <c r="C1277">
        <v>213890.82</v>
      </c>
      <c r="D1277" t="s">
        <v>3227</v>
      </c>
      <c r="E1277" t="s">
        <v>151</v>
      </c>
      <c r="F1277" t="s">
        <v>554</v>
      </c>
      <c r="G1277" s="30">
        <v>46146</v>
      </c>
      <c r="H1277" t="s">
        <v>3228</v>
      </c>
      <c r="I1277">
        <v>2126846.25</v>
      </c>
      <c r="J1277" s="123">
        <v>0</v>
      </c>
      <c r="K1277" s="123">
        <v>0</v>
      </c>
      <c r="L1277" s="123">
        <v>46134</v>
      </c>
      <c r="M1277">
        <v>0</v>
      </c>
      <c r="N1277">
        <v>0</v>
      </c>
      <c r="O1277">
        <v>0</v>
      </c>
      <c r="P1277" s="216">
        <v>213890.82</v>
      </c>
      <c r="Q1277" s="217" t="s">
        <v>25</v>
      </c>
      <c r="R1277" s="217" t="s">
        <v>554</v>
      </c>
      <c r="S1277" s="218">
        <v>0.40256101728086835</v>
      </c>
      <c r="T1277" t="s">
        <v>550</v>
      </c>
      <c r="U1277" t="s">
        <v>51</v>
      </c>
      <c r="V1277" s="219" t="s">
        <v>6562</v>
      </c>
      <c r="W1277" s="219" t="s">
        <v>67</v>
      </c>
    </row>
    <row r="1278" spans="1:23" ht="15" customHeight="1" x14ac:dyDescent="0.25">
      <c r="A1278" t="s">
        <v>3229</v>
      </c>
      <c r="B1278" t="s">
        <v>595</v>
      </c>
      <c r="C1278">
        <v>198315</v>
      </c>
      <c r="D1278" t="s">
        <v>3230</v>
      </c>
      <c r="E1278" t="s">
        <v>151</v>
      </c>
      <c r="F1278" t="s">
        <v>554</v>
      </c>
      <c r="G1278" s="30">
        <v>46146</v>
      </c>
      <c r="H1278" t="s">
        <v>3231</v>
      </c>
      <c r="I1278">
        <v>1947701.25</v>
      </c>
      <c r="J1278" s="123">
        <v>0</v>
      </c>
      <c r="K1278" s="123">
        <v>0</v>
      </c>
      <c r="L1278" s="123">
        <v>46146</v>
      </c>
      <c r="M1278">
        <v>0</v>
      </c>
      <c r="N1278">
        <v>0</v>
      </c>
      <c r="O1278">
        <v>0</v>
      </c>
      <c r="P1278" s="216">
        <v>198315</v>
      </c>
      <c r="Q1278" s="217" t="s">
        <v>25</v>
      </c>
      <c r="R1278" s="217" t="s">
        <v>554</v>
      </c>
      <c r="S1278" s="218">
        <v>0.40182019701430083</v>
      </c>
      <c r="T1278" t="s">
        <v>550</v>
      </c>
      <c r="U1278" t="s">
        <v>51</v>
      </c>
      <c r="V1278" s="219" t="s">
        <v>6563</v>
      </c>
      <c r="W1278" s="219" t="s">
        <v>67</v>
      </c>
    </row>
    <row r="1279" spans="1:23" ht="15" customHeight="1" x14ac:dyDescent="0.25">
      <c r="A1279" t="s">
        <v>3232</v>
      </c>
      <c r="B1279" t="s">
        <v>595</v>
      </c>
      <c r="C1279">
        <v>26000</v>
      </c>
      <c r="D1279" t="s">
        <v>3233</v>
      </c>
      <c r="E1279" t="s">
        <v>151</v>
      </c>
      <c r="F1279" t="s">
        <v>554</v>
      </c>
      <c r="G1279" s="30">
        <v>46143</v>
      </c>
      <c r="H1279" t="s">
        <v>3234</v>
      </c>
      <c r="I1279">
        <v>1869335.2</v>
      </c>
      <c r="J1279" s="123">
        <v>0</v>
      </c>
      <c r="K1279" s="123">
        <v>0</v>
      </c>
      <c r="L1279" s="123">
        <v>46143</v>
      </c>
      <c r="M1279">
        <v>0</v>
      </c>
      <c r="N1279">
        <v>0</v>
      </c>
      <c r="O1279">
        <v>0</v>
      </c>
      <c r="P1279" s="216">
        <v>26000</v>
      </c>
      <c r="Q1279" s="217" t="s">
        <v>25</v>
      </c>
      <c r="R1279" s="217" t="s">
        <v>554</v>
      </c>
      <c r="S1279" s="218">
        <v>0.35617219961406599</v>
      </c>
      <c r="T1279" t="s">
        <v>550</v>
      </c>
      <c r="U1279" t="s">
        <v>51</v>
      </c>
      <c r="V1279" s="219" t="s">
        <v>6564</v>
      </c>
      <c r="W1279" s="219" t="s">
        <v>67</v>
      </c>
    </row>
    <row r="1280" spans="1:23" ht="15" customHeight="1" x14ac:dyDescent="0.25">
      <c r="A1280" t="s">
        <v>3235</v>
      </c>
      <c r="B1280" t="s">
        <v>575</v>
      </c>
      <c r="C1280">
        <v>247443</v>
      </c>
      <c r="D1280" t="s">
        <v>3236</v>
      </c>
      <c r="E1280" t="s">
        <v>151</v>
      </c>
      <c r="F1280" t="s">
        <v>554</v>
      </c>
      <c r="G1280" s="30">
        <v>46146</v>
      </c>
      <c r="H1280" t="s">
        <v>3237</v>
      </c>
      <c r="I1280">
        <v>3749130</v>
      </c>
      <c r="J1280" s="123">
        <v>0</v>
      </c>
      <c r="K1280" s="123">
        <v>0</v>
      </c>
      <c r="L1280" s="123">
        <v>46144</v>
      </c>
      <c r="M1280">
        <v>0</v>
      </c>
      <c r="N1280">
        <v>0</v>
      </c>
      <c r="O1280">
        <v>0</v>
      </c>
      <c r="P1280" s="216">
        <v>247443</v>
      </c>
      <c r="Q1280" s="217" t="s">
        <v>25</v>
      </c>
      <c r="R1280" s="217" t="s">
        <v>554</v>
      </c>
      <c r="S1280" s="218">
        <v>0.36600008001856427</v>
      </c>
      <c r="T1280" t="s">
        <v>550</v>
      </c>
      <c r="U1280" t="s">
        <v>51</v>
      </c>
      <c r="V1280" s="219" t="s">
        <v>6565</v>
      </c>
      <c r="W1280" s="219" t="s">
        <v>67</v>
      </c>
    </row>
    <row r="1281" spans="1:23" ht="15" customHeight="1" x14ac:dyDescent="0.25">
      <c r="A1281" t="s">
        <v>3238</v>
      </c>
      <c r="B1281" t="s">
        <v>575</v>
      </c>
      <c r="C1281">
        <v>191000</v>
      </c>
      <c r="D1281" t="s">
        <v>3239</v>
      </c>
      <c r="E1281" t="s">
        <v>151</v>
      </c>
      <c r="F1281" t="s">
        <v>580</v>
      </c>
      <c r="G1281" s="30">
        <v>46149</v>
      </c>
      <c r="H1281" t="s">
        <v>3240</v>
      </c>
      <c r="I1281">
        <v>3765427.8</v>
      </c>
      <c r="J1281" s="123">
        <v>0</v>
      </c>
      <c r="K1281" s="123">
        <v>0</v>
      </c>
      <c r="L1281" s="123">
        <v>46148</v>
      </c>
      <c r="M1281">
        <v>0</v>
      </c>
      <c r="N1281">
        <v>0</v>
      </c>
      <c r="O1281">
        <v>0</v>
      </c>
      <c r="P1281" s="216">
        <v>191000</v>
      </c>
      <c r="Q1281" s="217" t="s">
        <v>25</v>
      </c>
      <c r="R1281" s="217" t="s">
        <v>582</v>
      </c>
      <c r="S1281" s="218">
        <v>0.34931945581322793</v>
      </c>
      <c r="T1281" t="s">
        <v>550</v>
      </c>
      <c r="U1281" t="s">
        <v>51</v>
      </c>
      <c r="V1281" s="219">
        <v>0</v>
      </c>
      <c r="W1281" s="219">
        <v>0</v>
      </c>
    </row>
    <row r="1282" spans="1:23" ht="15" customHeight="1" x14ac:dyDescent="0.25">
      <c r="A1282" t="s">
        <v>3241</v>
      </c>
      <c r="B1282" t="s">
        <v>546</v>
      </c>
      <c r="C1282">
        <v>70000</v>
      </c>
      <c r="D1282" t="s">
        <v>3242</v>
      </c>
      <c r="E1282" t="s">
        <v>3243</v>
      </c>
      <c r="F1282" t="s">
        <v>548</v>
      </c>
      <c r="G1282" s="30">
        <v>46148</v>
      </c>
      <c r="H1282" t="s">
        <v>3244</v>
      </c>
      <c r="I1282">
        <v>2196734.7000000002</v>
      </c>
      <c r="J1282" s="123">
        <v>0</v>
      </c>
      <c r="K1282" s="123">
        <v>0</v>
      </c>
      <c r="L1282" s="123">
        <v>0</v>
      </c>
      <c r="M1282">
        <v>0</v>
      </c>
      <c r="N1282">
        <v>0</v>
      </c>
      <c r="O1282">
        <v>0</v>
      </c>
      <c r="P1282" s="216">
        <v>70000</v>
      </c>
      <c r="Q1282" s="217" t="s">
        <v>25</v>
      </c>
      <c r="R1282" s="217" t="s">
        <v>62</v>
      </c>
      <c r="S1282" s="218">
        <v>0.16323386706642362</v>
      </c>
      <c r="T1282" t="s">
        <v>550</v>
      </c>
      <c r="U1282" t="s">
        <v>51</v>
      </c>
      <c r="V1282" s="219">
        <v>0</v>
      </c>
      <c r="W1282" s="219">
        <v>0</v>
      </c>
    </row>
    <row r="1283" spans="1:23" ht="15" customHeight="1" x14ac:dyDescent="0.25">
      <c r="A1283" t="s">
        <v>3245</v>
      </c>
      <c r="B1283" t="s">
        <v>546</v>
      </c>
      <c r="C1283">
        <v>70000</v>
      </c>
      <c r="D1283" t="s">
        <v>3242</v>
      </c>
      <c r="E1283" t="s">
        <v>3243</v>
      </c>
      <c r="F1283" t="s">
        <v>554</v>
      </c>
      <c r="G1283" s="30">
        <v>46149</v>
      </c>
      <c r="H1283" t="s">
        <v>3244</v>
      </c>
      <c r="I1283">
        <v>2196734.7000000002</v>
      </c>
      <c r="J1283" s="123">
        <v>0</v>
      </c>
      <c r="K1283" s="123">
        <v>0</v>
      </c>
      <c r="L1283" s="123">
        <v>0</v>
      </c>
      <c r="M1283">
        <v>0</v>
      </c>
      <c r="N1283">
        <v>0</v>
      </c>
      <c r="O1283">
        <v>0</v>
      </c>
      <c r="P1283" s="216">
        <v>70000</v>
      </c>
      <c r="Q1283" s="217" t="s">
        <v>25</v>
      </c>
      <c r="R1283" s="217" t="s">
        <v>554</v>
      </c>
      <c r="S1283" s="218">
        <v>0.16323386706642362</v>
      </c>
      <c r="T1283" t="s">
        <v>550</v>
      </c>
      <c r="U1283" t="s">
        <v>51</v>
      </c>
      <c r="V1283" s="219" t="s">
        <v>6566</v>
      </c>
      <c r="W1283" s="219" t="s">
        <v>67</v>
      </c>
    </row>
    <row r="1284" spans="1:23" ht="15" customHeight="1" x14ac:dyDescent="0.25">
      <c r="A1284" t="s">
        <v>3246</v>
      </c>
      <c r="B1284" t="s">
        <v>546</v>
      </c>
      <c r="C1284">
        <v>21812</v>
      </c>
      <c r="D1284" t="s">
        <v>3242</v>
      </c>
      <c r="E1284" t="s">
        <v>3243</v>
      </c>
      <c r="F1284" t="s">
        <v>554</v>
      </c>
      <c r="G1284" s="30">
        <v>46149</v>
      </c>
      <c r="H1284" t="s">
        <v>3244</v>
      </c>
      <c r="I1284">
        <v>2196734.7000000002</v>
      </c>
      <c r="J1284" s="123">
        <v>0</v>
      </c>
      <c r="K1284" s="123">
        <v>0</v>
      </c>
      <c r="L1284" s="123">
        <v>0</v>
      </c>
      <c r="M1284">
        <v>0</v>
      </c>
      <c r="N1284">
        <v>0</v>
      </c>
      <c r="O1284">
        <v>0</v>
      </c>
      <c r="P1284" s="216">
        <v>21812</v>
      </c>
      <c r="Q1284" s="217" t="s">
        <v>25</v>
      </c>
      <c r="R1284" s="217" t="s">
        <v>554</v>
      </c>
      <c r="S1284" s="218">
        <v>0.16323386706642362</v>
      </c>
      <c r="T1284" t="s">
        <v>550</v>
      </c>
      <c r="U1284" t="s">
        <v>51</v>
      </c>
      <c r="V1284" s="219" t="s">
        <v>6567</v>
      </c>
      <c r="W1284" s="219" t="s">
        <v>67</v>
      </c>
    </row>
    <row r="1285" spans="1:23" ht="15" customHeight="1" x14ac:dyDescent="0.25">
      <c r="A1285" t="s">
        <v>3247</v>
      </c>
      <c r="B1285" t="s">
        <v>595</v>
      </c>
      <c r="C1285">
        <v>185205.6</v>
      </c>
      <c r="D1285" t="s">
        <v>3248</v>
      </c>
      <c r="E1285" t="s">
        <v>151</v>
      </c>
      <c r="F1285" t="s">
        <v>554</v>
      </c>
      <c r="G1285" s="30">
        <v>46143</v>
      </c>
      <c r="H1285" t="s">
        <v>3249</v>
      </c>
      <c r="I1285">
        <v>1880756.8</v>
      </c>
      <c r="J1285" s="123">
        <v>0</v>
      </c>
      <c r="K1285" s="123">
        <v>0</v>
      </c>
      <c r="L1285" s="123">
        <v>46140</v>
      </c>
      <c r="M1285">
        <v>0</v>
      </c>
      <c r="N1285">
        <v>0</v>
      </c>
      <c r="O1285">
        <v>0</v>
      </c>
      <c r="P1285" s="216">
        <v>185205.6</v>
      </c>
      <c r="Q1285" s="217" t="s">
        <v>25</v>
      </c>
      <c r="R1285" s="217" t="s">
        <v>554</v>
      </c>
      <c r="S1285" s="218">
        <v>0.3984739547399217</v>
      </c>
      <c r="T1285" t="s">
        <v>550</v>
      </c>
      <c r="U1285" t="s">
        <v>51</v>
      </c>
      <c r="V1285" s="219" t="s">
        <v>6568</v>
      </c>
      <c r="W1285" s="219" t="s">
        <v>67</v>
      </c>
    </row>
    <row r="1286" spans="1:23" ht="15" customHeight="1" x14ac:dyDescent="0.25">
      <c r="A1286" t="s">
        <v>3250</v>
      </c>
      <c r="B1286" t="s">
        <v>575</v>
      </c>
      <c r="C1286">
        <v>198339</v>
      </c>
      <c r="D1286" t="s">
        <v>3251</v>
      </c>
      <c r="E1286" t="s">
        <v>151</v>
      </c>
      <c r="F1286" t="s">
        <v>554</v>
      </c>
      <c r="G1286" s="30">
        <v>46147</v>
      </c>
      <c r="H1286" t="s">
        <v>3252</v>
      </c>
      <c r="I1286">
        <v>1983391.2</v>
      </c>
      <c r="J1286" s="123">
        <v>0</v>
      </c>
      <c r="K1286" s="123">
        <v>0</v>
      </c>
      <c r="L1286" s="123">
        <v>46147</v>
      </c>
      <c r="M1286">
        <v>0</v>
      </c>
      <c r="N1286">
        <v>0</v>
      </c>
      <c r="O1286">
        <v>0</v>
      </c>
      <c r="P1286" s="216">
        <v>198339</v>
      </c>
      <c r="Q1286" s="217" t="s">
        <v>25</v>
      </c>
      <c r="R1286" s="217" t="s">
        <v>554</v>
      </c>
      <c r="S1286" s="218">
        <v>0.39881733870756314</v>
      </c>
      <c r="T1286" t="s">
        <v>550</v>
      </c>
      <c r="U1286" t="s">
        <v>51</v>
      </c>
      <c r="V1286" s="219" t="s">
        <v>6569</v>
      </c>
      <c r="W1286" s="219" t="s">
        <v>67</v>
      </c>
    </row>
    <row r="1287" spans="1:23" ht="15" customHeight="1" x14ac:dyDescent="0.25">
      <c r="A1287" t="s">
        <v>3253</v>
      </c>
      <c r="B1287" t="s">
        <v>64</v>
      </c>
      <c r="C1287">
        <v>188075</v>
      </c>
      <c r="D1287" t="s">
        <v>3254</v>
      </c>
      <c r="E1287" t="s">
        <v>151</v>
      </c>
      <c r="F1287" t="s">
        <v>580</v>
      </c>
      <c r="G1287" s="30">
        <v>46148</v>
      </c>
      <c r="H1287" t="s">
        <v>3255</v>
      </c>
      <c r="I1287">
        <v>1880756.8</v>
      </c>
      <c r="J1287" s="123">
        <v>0</v>
      </c>
      <c r="K1287" s="123">
        <v>46148</v>
      </c>
      <c r="L1287" s="123">
        <v>0</v>
      </c>
      <c r="M1287">
        <v>0</v>
      </c>
      <c r="N1287">
        <v>0</v>
      </c>
      <c r="O1287" t="s">
        <v>556</v>
      </c>
      <c r="P1287" s="216">
        <v>188075</v>
      </c>
      <c r="Q1287" s="217" t="s">
        <v>25</v>
      </c>
      <c r="R1287" s="217" t="s">
        <v>582</v>
      </c>
      <c r="S1287" s="218">
        <v>0.29999997873196577</v>
      </c>
      <c r="T1287" t="s">
        <v>550</v>
      </c>
      <c r="U1287" t="s">
        <v>51</v>
      </c>
      <c r="V1287" s="219">
        <v>0</v>
      </c>
      <c r="W1287" s="219">
        <v>0</v>
      </c>
    </row>
    <row r="1288" spans="1:23" ht="15" customHeight="1" x14ac:dyDescent="0.25">
      <c r="A1288" t="s">
        <v>3256</v>
      </c>
      <c r="B1288" t="s">
        <v>603</v>
      </c>
      <c r="C1288">
        <v>220990</v>
      </c>
      <c r="D1288" t="s">
        <v>3257</v>
      </c>
      <c r="E1288" t="s">
        <v>605</v>
      </c>
      <c r="F1288" t="s">
        <v>554</v>
      </c>
      <c r="G1288" s="30">
        <v>46147</v>
      </c>
      <c r="H1288" t="s">
        <v>3258</v>
      </c>
      <c r="I1288">
        <v>2209888.7999999998</v>
      </c>
      <c r="J1288" s="123">
        <v>46147</v>
      </c>
      <c r="K1288" s="123">
        <v>0</v>
      </c>
      <c r="L1288" s="123">
        <v>0</v>
      </c>
      <c r="M1288">
        <v>0</v>
      </c>
      <c r="N1288">
        <v>0</v>
      </c>
      <c r="O1288">
        <v>0</v>
      </c>
      <c r="P1288" s="216">
        <v>220990</v>
      </c>
      <c r="Q1288" s="217" t="s">
        <v>25</v>
      </c>
      <c r="R1288" s="217" t="s">
        <v>554</v>
      </c>
      <c r="S1288" s="218">
        <v>0.200001013625663</v>
      </c>
      <c r="T1288" t="s">
        <v>550</v>
      </c>
      <c r="U1288" t="s">
        <v>51</v>
      </c>
      <c r="V1288" s="219" t="s">
        <v>6570</v>
      </c>
      <c r="W1288" s="219" t="s">
        <v>67</v>
      </c>
    </row>
    <row r="1289" spans="1:23" ht="15" customHeight="1" x14ac:dyDescent="0.25">
      <c r="A1289" t="s">
        <v>3259</v>
      </c>
      <c r="B1289" t="s">
        <v>546</v>
      </c>
      <c r="C1289">
        <v>20000</v>
      </c>
      <c r="D1289" t="s">
        <v>3260</v>
      </c>
      <c r="E1289" t="s">
        <v>173</v>
      </c>
      <c r="F1289" t="s">
        <v>548</v>
      </c>
      <c r="G1289" s="30">
        <v>46144</v>
      </c>
      <c r="H1289" t="s">
        <v>3261</v>
      </c>
      <c r="I1289">
        <v>1180170</v>
      </c>
      <c r="J1289" s="123">
        <v>0</v>
      </c>
      <c r="K1289" s="123">
        <v>0</v>
      </c>
      <c r="L1289" s="123">
        <v>0</v>
      </c>
      <c r="M1289">
        <v>0</v>
      </c>
      <c r="N1289">
        <v>0</v>
      </c>
      <c r="O1289">
        <v>0</v>
      </c>
      <c r="P1289" s="216">
        <v>20000</v>
      </c>
      <c r="Q1289" s="217" t="s">
        <v>27</v>
      </c>
      <c r="R1289" s="217" t="s">
        <v>62</v>
      </c>
      <c r="S1289" s="218">
        <v>0.3</v>
      </c>
      <c r="T1289" t="s">
        <v>550</v>
      </c>
      <c r="U1289" t="s">
        <v>51</v>
      </c>
      <c r="V1289" s="219">
        <v>0</v>
      </c>
      <c r="W1289" s="219">
        <v>0</v>
      </c>
    </row>
    <row r="1290" spans="1:23" ht="15" customHeight="1" x14ac:dyDescent="0.25">
      <c r="A1290" t="s">
        <v>3262</v>
      </c>
      <c r="B1290" t="s">
        <v>546</v>
      </c>
      <c r="C1290">
        <v>18039</v>
      </c>
      <c r="D1290" t="s">
        <v>3260</v>
      </c>
      <c r="E1290" t="s">
        <v>173</v>
      </c>
      <c r="F1290" t="s">
        <v>554</v>
      </c>
      <c r="G1290" s="30">
        <v>46144</v>
      </c>
      <c r="H1290" t="s">
        <v>3261</v>
      </c>
      <c r="I1290">
        <v>1180170</v>
      </c>
      <c r="J1290" s="123">
        <v>0</v>
      </c>
      <c r="K1290" s="123">
        <v>0</v>
      </c>
      <c r="L1290" s="123">
        <v>0</v>
      </c>
      <c r="M1290">
        <v>0</v>
      </c>
      <c r="N1290">
        <v>0</v>
      </c>
      <c r="O1290">
        <v>0</v>
      </c>
      <c r="P1290" s="216">
        <v>18039</v>
      </c>
      <c r="Q1290" s="217" t="s">
        <v>27</v>
      </c>
      <c r="R1290" s="217" t="s">
        <v>554</v>
      </c>
      <c r="S1290" s="218">
        <v>0.3</v>
      </c>
      <c r="T1290" t="s">
        <v>550</v>
      </c>
      <c r="U1290" t="s">
        <v>51</v>
      </c>
      <c r="V1290" s="219" t="s">
        <v>6571</v>
      </c>
      <c r="W1290" s="219" t="s">
        <v>67</v>
      </c>
    </row>
    <row r="1291" spans="1:23" ht="15" customHeight="1" x14ac:dyDescent="0.25">
      <c r="A1291" t="s">
        <v>3263</v>
      </c>
      <c r="B1291" t="s">
        <v>546</v>
      </c>
      <c r="C1291">
        <v>20000</v>
      </c>
      <c r="D1291" t="s">
        <v>3260</v>
      </c>
      <c r="E1291" t="s">
        <v>173</v>
      </c>
      <c r="F1291" t="s">
        <v>554</v>
      </c>
      <c r="G1291" s="30">
        <v>46144</v>
      </c>
      <c r="H1291" t="s">
        <v>3261</v>
      </c>
      <c r="I1291">
        <v>1180170</v>
      </c>
      <c r="J1291" s="123">
        <v>0</v>
      </c>
      <c r="K1291" s="123">
        <v>0</v>
      </c>
      <c r="L1291" s="123">
        <v>0</v>
      </c>
      <c r="M1291">
        <v>0</v>
      </c>
      <c r="N1291">
        <v>0</v>
      </c>
      <c r="O1291">
        <v>0</v>
      </c>
      <c r="P1291" s="216">
        <v>20000</v>
      </c>
      <c r="Q1291" s="217" t="s">
        <v>27</v>
      </c>
      <c r="R1291" s="217" t="s">
        <v>554</v>
      </c>
      <c r="S1291" s="218">
        <v>0.3</v>
      </c>
      <c r="T1291" t="s">
        <v>550</v>
      </c>
      <c r="U1291" t="s">
        <v>51</v>
      </c>
      <c r="V1291" s="219" t="s">
        <v>6572</v>
      </c>
      <c r="W1291" s="219" t="s">
        <v>67</v>
      </c>
    </row>
    <row r="1292" spans="1:23" ht="15" customHeight="1" x14ac:dyDescent="0.25">
      <c r="A1292" t="s">
        <v>3264</v>
      </c>
      <c r="B1292" t="s">
        <v>546</v>
      </c>
      <c r="C1292">
        <v>20000</v>
      </c>
      <c r="D1292" t="s">
        <v>3260</v>
      </c>
      <c r="E1292" t="s">
        <v>173</v>
      </c>
      <c r="F1292" t="s">
        <v>554</v>
      </c>
      <c r="G1292" s="30">
        <v>46144</v>
      </c>
      <c r="H1292" t="s">
        <v>3261</v>
      </c>
      <c r="I1292">
        <v>1180170</v>
      </c>
      <c r="J1292" s="123">
        <v>0</v>
      </c>
      <c r="K1292" s="123">
        <v>0</v>
      </c>
      <c r="L1292" s="123">
        <v>0</v>
      </c>
      <c r="M1292">
        <v>0</v>
      </c>
      <c r="N1292">
        <v>0</v>
      </c>
      <c r="O1292">
        <v>0</v>
      </c>
      <c r="P1292" s="216">
        <v>20000</v>
      </c>
      <c r="Q1292" s="217" t="s">
        <v>27</v>
      </c>
      <c r="R1292" s="217" t="s">
        <v>554</v>
      </c>
      <c r="S1292" s="218">
        <v>0.3</v>
      </c>
      <c r="T1292" t="s">
        <v>550</v>
      </c>
      <c r="U1292" t="s">
        <v>51</v>
      </c>
      <c r="V1292" s="219" t="s">
        <v>6573</v>
      </c>
      <c r="W1292" s="219" t="s">
        <v>67</v>
      </c>
    </row>
    <row r="1293" spans="1:23" ht="15" customHeight="1" x14ac:dyDescent="0.25">
      <c r="A1293" t="s">
        <v>3265</v>
      </c>
      <c r="B1293" t="s">
        <v>546</v>
      </c>
      <c r="C1293">
        <v>20000</v>
      </c>
      <c r="D1293" t="s">
        <v>3260</v>
      </c>
      <c r="E1293" t="s">
        <v>173</v>
      </c>
      <c r="F1293" t="s">
        <v>554</v>
      </c>
      <c r="G1293" s="30">
        <v>46144</v>
      </c>
      <c r="H1293" t="s">
        <v>3261</v>
      </c>
      <c r="I1293">
        <v>1180170</v>
      </c>
      <c r="J1293" s="123">
        <v>0</v>
      </c>
      <c r="K1293" s="123">
        <v>0</v>
      </c>
      <c r="L1293" s="123">
        <v>0</v>
      </c>
      <c r="M1293">
        <v>0</v>
      </c>
      <c r="N1293">
        <v>0</v>
      </c>
      <c r="O1293">
        <v>0</v>
      </c>
      <c r="P1293" s="216">
        <v>20000</v>
      </c>
      <c r="Q1293" s="217" t="s">
        <v>27</v>
      </c>
      <c r="R1293" s="217" t="s">
        <v>554</v>
      </c>
      <c r="S1293" s="218">
        <v>0.3</v>
      </c>
      <c r="T1293" t="s">
        <v>550</v>
      </c>
      <c r="U1293" t="s">
        <v>51</v>
      </c>
      <c r="V1293" s="219" t="s">
        <v>6574</v>
      </c>
      <c r="W1293" s="219" t="s">
        <v>67</v>
      </c>
    </row>
    <row r="1294" spans="1:23" ht="15" customHeight="1" x14ac:dyDescent="0.25">
      <c r="A1294" t="s">
        <v>3266</v>
      </c>
      <c r="B1294" t="s">
        <v>546</v>
      </c>
      <c r="C1294">
        <v>20000</v>
      </c>
      <c r="D1294" t="s">
        <v>3260</v>
      </c>
      <c r="E1294" t="s">
        <v>173</v>
      </c>
      <c r="F1294" t="s">
        <v>554</v>
      </c>
      <c r="G1294" s="30">
        <v>46144</v>
      </c>
      <c r="H1294" t="s">
        <v>3261</v>
      </c>
      <c r="I1294">
        <v>1180170</v>
      </c>
      <c r="J1294" s="123">
        <v>0</v>
      </c>
      <c r="K1294" s="123">
        <v>0</v>
      </c>
      <c r="L1294" s="123">
        <v>0</v>
      </c>
      <c r="M1294">
        <v>0</v>
      </c>
      <c r="N1294">
        <v>0</v>
      </c>
      <c r="O1294">
        <v>0</v>
      </c>
      <c r="P1294" s="216">
        <v>20000</v>
      </c>
      <c r="Q1294" s="217" t="s">
        <v>27</v>
      </c>
      <c r="R1294" s="217" t="s">
        <v>554</v>
      </c>
      <c r="S1294" s="218">
        <v>0.3</v>
      </c>
      <c r="T1294" t="s">
        <v>550</v>
      </c>
      <c r="U1294" t="s">
        <v>51</v>
      </c>
      <c r="V1294" s="219" t="s">
        <v>6575</v>
      </c>
      <c r="W1294" s="219" t="s">
        <v>67</v>
      </c>
    </row>
    <row r="1295" spans="1:23" ht="15" customHeight="1" x14ac:dyDescent="0.25">
      <c r="A1295" t="s">
        <v>3267</v>
      </c>
      <c r="B1295" t="s">
        <v>546</v>
      </c>
      <c r="C1295">
        <v>20000</v>
      </c>
      <c r="D1295" t="s">
        <v>3260</v>
      </c>
      <c r="E1295" t="s">
        <v>173</v>
      </c>
      <c r="F1295" t="s">
        <v>554</v>
      </c>
      <c r="G1295" s="30">
        <v>46144</v>
      </c>
      <c r="H1295" t="s">
        <v>3261</v>
      </c>
      <c r="I1295">
        <v>1180170</v>
      </c>
      <c r="J1295" s="123">
        <v>0</v>
      </c>
      <c r="K1295" s="123">
        <v>0</v>
      </c>
      <c r="L1295" s="123">
        <v>0</v>
      </c>
      <c r="M1295">
        <v>0</v>
      </c>
      <c r="N1295">
        <v>0</v>
      </c>
      <c r="O1295">
        <v>0</v>
      </c>
      <c r="P1295" s="216">
        <v>20000</v>
      </c>
      <c r="Q1295" s="217" t="s">
        <v>27</v>
      </c>
      <c r="R1295" s="217" t="s">
        <v>554</v>
      </c>
      <c r="S1295" s="218">
        <v>0.3</v>
      </c>
      <c r="T1295" t="s">
        <v>550</v>
      </c>
      <c r="U1295" t="s">
        <v>51</v>
      </c>
      <c r="V1295" s="219" t="s">
        <v>6576</v>
      </c>
      <c r="W1295" s="219" t="s">
        <v>67</v>
      </c>
    </row>
    <row r="1296" spans="1:23" ht="15" customHeight="1" x14ac:dyDescent="0.25">
      <c r="A1296" t="s">
        <v>3268</v>
      </c>
      <c r="B1296" t="s">
        <v>546</v>
      </c>
      <c r="C1296">
        <v>191446</v>
      </c>
      <c r="D1296" t="s">
        <v>3269</v>
      </c>
      <c r="E1296" t="s">
        <v>307</v>
      </c>
      <c r="F1296" t="s">
        <v>548</v>
      </c>
      <c r="G1296" s="30">
        <v>46147</v>
      </c>
      <c r="H1296" t="s">
        <v>3270</v>
      </c>
      <c r="I1296">
        <v>1914459</v>
      </c>
      <c r="J1296" s="123">
        <v>0</v>
      </c>
      <c r="K1296" s="123">
        <v>0</v>
      </c>
      <c r="L1296" s="123">
        <v>0</v>
      </c>
      <c r="M1296">
        <v>0</v>
      </c>
      <c r="N1296">
        <v>0</v>
      </c>
      <c r="O1296">
        <v>0</v>
      </c>
      <c r="P1296" s="216">
        <v>191446</v>
      </c>
      <c r="Q1296" s="217" t="s">
        <v>49</v>
      </c>
      <c r="R1296" s="217" t="s">
        <v>62</v>
      </c>
      <c r="S1296" s="218">
        <v>0.40000015670223288</v>
      </c>
      <c r="T1296" t="s">
        <v>550</v>
      </c>
      <c r="U1296" t="s">
        <v>51</v>
      </c>
      <c r="V1296" s="219">
        <v>0</v>
      </c>
      <c r="W1296" s="219">
        <v>0</v>
      </c>
    </row>
    <row r="1297" spans="1:23" ht="15" customHeight="1" x14ac:dyDescent="0.25">
      <c r="A1297" t="s">
        <v>3271</v>
      </c>
      <c r="B1297" t="s">
        <v>546</v>
      </c>
      <c r="C1297">
        <v>11446</v>
      </c>
      <c r="D1297" t="s">
        <v>3269</v>
      </c>
      <c r="E1297" t="s">
        <v>307</v>
      </c>
      <c r="F1297" t="s">
        <v>554</v>
      </c>
      <c r="G1297" s="30">
        <v>46147</v>
      </c>
      <c r="H1297" t="s">
        <v>3270</v>
      </c>
      <c r="I1297">
        <v>1914459</v>
      </c>
      <c r="J1297" s="123">
        <v>0</v>
      </c>
      <c r="K1297" s="123">
        <v>0</v>
      </c>
      <c r="L1297" s="123">
        <v>0</v>
      </c>
      <c r="M1297">
        <v>0</v>
      </c>
      <c r="N1297">
        <v>0</v>
      </c>
      <c r="O1297">
        <v>0</v>
      </c>
      <c r="P1297" s="216">
        <v>11446</v>
      </c>
      <c r="Q1297" s="217" t="s">
        <v>49</v>
      </c>
      <c r="R1297" s="217" t="s">
        <v>554</v>
      </c>
      <c r="S1297" s="218">
        <v>0.40000015670223288</v>
      </c>
      <c r="T1297" t="s">
        <v>550</v>
      </c>
      <c r="U1297" t="s">
        <v>51</v>
      </c>
      <c r="V1297" s="219" t="s">
        <v>6577</v>
      </c>
      <c r="W1297" s="219" t="s">
        <v>67</v>
      </c>
    </row>
    <row r="1298" spans="1:23" ht="15" customHeight="1" x14ac:dyDescent="0.25">
      <c r="A1298" t="s">
        <v>3272</v>
      </c>
      <c r="B1298" t="s">
        <v>546</v>
      </c>
      <c r="C1298">
        <v>60000</v>
      </c>
      <c r="D1298" t="s">
        <v>3269</v>
      </c>
      <c r="E1298" t="s">
        <v>307</v>
      </c>
      <c r="F1298" t="s">
        <v>554</v>
      </c>
      <c r="G1298" s="30">
        <v>46147</v>
      </c>
      <c r="H1298" t="s">
        <v>3270</v>
      </c>
      <c r="I1298">
        <v>1914459</v>
      </c>
      <c r="J1298" s="123">
        <v>0</v>
      </c>
      <c r="K1298" s="123">
        <v>0</v>
      </c>
      <c r="L1298" s="123">
        <v>0</v>
      </c>
      <c r="M1298">
        <v>0</v>
      </c>
      <c r="N1298">
        <v>0</v>
      </c>
      <c r="O1298">
        <v>0</v>
      </c>
      <c r="P1298" s="216">
        <v>60000</v>
      </c>
      <c r="Q1298" s="217" t="s">
        <v>49</v>
      </c>
      <c r="R1298" s="217" t="s">
        <v>554</v>
      </c>
      <c r="S1298" s="218">
        <v>0.40000015670223288</v>
      </c>
      <c r="T1298" t="s">
        <v>550</v>
      </c>
      <c r="U1298" t="s">
        <v>51</v>
      </c>
      <c r="V1298" s="219" t="s">
        <v>6578</v>
      </c>
      <c r="W1298" s="219" t="s">
        <v>67</v>
      </c>
    </row>
    <row r="1299" spans="1:23" ht="15" customHeight="1" x14ac:dyDescent="0.25">
      <c r="A1299" t="s">
        <v>3273</v>
      </c>
      <c r="B1299" t="s">
        <v>546</v>
      </c>
      <c r="C1299">
        <v>60000</v>
      </c>
      <c r="D1299" t="s">
        <v>3269</v>
      </c>
      <c r="E1299" t="s">
        <v>307</v>
      </c>
      <c r="F1299" t="s">
        <v>554</v>
      </c>
      <c r="G1299" s="30">
        <v>46147</v>
      </c>
      <c r="H1299" t="s">
        <v>3270</v>
      </c>
      <c r="I1299">
        <v>1914459</v>
      </c>
      <c r="J1299" s="123">
        <v>0</v>
      </c>
      <c r="K1299" s="123">
        <v>0</v>
      </c>
      <c r="L1299" s="123">
        <v>0</v>
      </c>
      <c r="M1299">
        <v>0</v>
      </c>
      <c r="N1299">
        <v>0</v>
      </c>
      <c r="O1299">
        <v>0</v>
      </c>
      <c r="P1299" s="216">
        <v>60000</v>
      </c>
      <c r="Q1299" s="217" t="s">
        <v>49</v>
      </c>
      <c r="R1299" s="217" t="s">
        <v>554</v>
      </c>
      <c r="S1299" s="218">
        <v>0.40000015670223288</v>
      </c>
      <c r="T1299" t="s">
        <v>550</v>
      </c>
      <c r="U1299" t="s">
        <v>51</v>
      </c>
      <c r="V1299" s="219" t="s">
        <v>6579</v>
      </c>
      <c r="W1299" s="219" t="s">
        <v>67</v>
      </c>
    </row>
    <row r="1300" spans="1:23" ht="15" customHeight="1" x14ac:dyDescent="0.25">
      <c r="A1300" t="s">
        <v>3274</v>
      </c>
      <c r="B1300" t="s">
        <v>546</v>
      </c>
      <c r="C1300">
        <v>60000</v>
      </c>
      <c r="D1300" t="s">
        <v>3269</v>
      </c>
      <c r="E1300" t="s">
        <v>307</v>
      </c>
      <c r="F1300" t="s">
        <v>548</v>
      </c>
      <c r="G1300" s="30">
        <v>46147</v>
      </c>
      <c r="H1300" t="s">
        <v>3270</v>
      </c>
      <c r="I1300">
        <v>1914459</v>
      </c>
      <c r="J1300" s="123">
        <v>0</v>
      </c>
      <c r="K1300" s="123">
        <v>0</v>
      </c>
      <c r="L1300" s="123">
        <v>0</v>
      </c>
      <c r="M1300">
        <v>0</v>
      </c>
      <c r="N1300">
        <v>0</v>
      </c>
      <c r="O1300">
        <v>0</v>
      </c>
      <c r="P1300" s="216">
        <v>60000</v>
      </c>
      <c r="Q1300" s="217" t="s">
        <v>49</v>
      </c>
      <c r="R1300" s="217" t="s">
        <v>62</v>
      </c>
      <c r="S1300" s="218">
        <v>0.40000015670223288</v>
      </c>
      <c r="T1300" t="s">
        <v>550</v>
      </c>
      <c r="U1300" t="s">
        <v>51</v>
      </c>
      <c r="V1300" s="219">
        <v>0</v>
      </c>
      <c r="W1300" s="219">
        <v>0</v>
      </c>
    </row>
    <row r="1301" spans="1:23" ht="15" customHeight="1" x14ac:dyDescent="0.25">
      <c r="A1301" t="s">
        <v>3275</v>
      </c>
      <c r="B1301" t="s">
        <v>546</v>
      </c>
      <c r="C1301">
        <v>60000</v>
      </c>
      <c r="D1301" t="s">
        <v>3269</v>
      </c>
      <c r="E1301" t="s">
        <v>307</v>
      </c>
      <c r="F1301" t="s">
        <v>554</v>
      </c>
      <c r="G1301" s="30">
        <v>46147</v>
      </c>
      <c r="H1301" t="s">
        <v>3270</v>
      </c>
      <c r="I1301">
        <v>1914459</v>
      </c>
      <c r="J1301" s="123">
        <v>0</v>
      </c>
      <c r="K1301" s="123">
        <v>0</v>
      </c>
      <c r="L1301" s="123">
        <v>0</v>
      </c>
      <c r="M1301">
        <v>0</v>
      </c>
      <c r="N1301">
        <v>0</v>
      </c>
      <c r="O1301">
        <v>0</v>
      </c>
      <c r="P1301" s="216">
        <v>60000</v>
      </c>
      <c r="Q1301" s="217" t="s">
        <v>49</v>
      </c>
      <c r="R1301" s="217" t="s">
        <v>554</v>
      </c>
      <c r="S1301" s="218">
        <v>0.40000015670223288</v>
      </c>
      <c r="T1301" t="s">
        <v>550</v>
      </c>
      <c r="U1301" t="s">
        <v>51</v>
      </c>
      <c r="V1301" s="219" t="s">
        <v>6580</v>
      </c>
      <c r="W1301" s="219" t="s">
        <v>67</v>
      </c>
    </row>
    <row r="1302" spans="1:23" ht="15" customHeight="1" x14ac:dyDescent="0.25">
      <c r="A1302" t="s">
        <v>3276</v>
      </c>
      <c r="B1302" t="s">
        <v>546</v>
      </c>
      <c r="C1302">
        <v>191446</v>
      </c>
      <c r="D1302" t="s">
        <v>3269</v>
      </c>
      <c r="E1302" t="s">
        <v>307</v>
      </c>
      <c r="F1302" t="s">
        <v>548</v>
      </c>
      <c r="G1302" s="30">
        <v>46147</v>
      </c>
      <c r="H1302" t="s">
        <v>3270</v>
      </c>
      <c r="I1302">
        <v>1914459</v>
      </c>
      <c r="J1302" s="123">
        <v>0</v>
      </c>
      <c r="K1302" s="123">
        <v>0</v>
      </c>
      <c r="L1302" s="123">
        <v>0</v>
      </c>
      <c r="M1302">
        <v>0</v>
      </c>
      <c r="N1302">
        <v>0</v>
      </c>
      <c r="O1302">
        <v>0</v>
      </c>
      <c r="P1302" s="216">
        <v>191446</v>
      </c>
      <c r="Q1302" s="217" t="s">
        <v>49</v>
      </c>
      <c r="R1302" s="217" t="s">
        <v>62</v>
      </c>
      <c r="S1302" s="218">
        <v>0.40000015670223288</v>
      </c>
      <c r="T1302" t="s">
        <v>550</v>
      </c>
      <c r="U1302" t="s">
        <v>51</v>
      </c>
      <c r="V1302" s="219">
        <v>0</v>
      </c>
      <c r="W1302" s="219">
        <v>0</v>
      </c>
    </row>
    <row r="1303" spans="1:23" ht="15" customHeight="1" x14ac:dyDescent="0.25">
      <c r="A1303" t="s">
        <v>3277</v>
      </c>
      <c r="B1303" t="s">
        <v>546</v>
      </c>
      <c r="C1303">
        <v>51650</v>
      </c>
      <c r="D1303" t="s">
        <v>3278</v>
      </c>
      <c r="E1303" t="s">
        <v>553</v>
      </c>
      <c r="F1303" t="s">
        <v>554</v>
      </c>
      <c r="G1303" s="30">
        <v>46146</v>
      </c>
      <c r="H1303" t="s">
        <v>3279</v>
      </c>
      <c r="I1303">
        <v>1280136.3999999999</v>
      </c>
      <c r="J1303" s="123">
        <v>46146</v>
      </c>
      <c r="K1303" s="123">
        <v>0</v>
      </c>
      <c r="L1303" s="123">
        <v>46146</v>
      </c>
      <c r="M1303">
        <v>0</v>
      </c>
      <c r="N1303">
        <v>0</v>
      </c>
      <c r="O1303" t="s">
        <v>556</v>
      </c>
      <c r="P1303" s="216">
        <v>51650</v>
      </c>
      <c r="Q1303" s="217" t="s">
        <v>27</v>
      </c>
      <c r="R1303" s="217" t="s">
        <v>554</v>
      </c>
      <c r="S1303" s="218">
        <v>0.50000062493340558</v>
      </c>
      <c r="T1303" t="s">
        <v>550</v>
      </c>
      <c r="U1303" t="s">
        <v>51</v>
      </c>
      <c r="V1303" s="219" t="s">
        <v>6581</v>
      </c>
      <c r="W1303" s="219" t="s">
        <v>67</v>
      </c>
    </row>
    <row r="1304" spans="1:23" ht="15" customHeight="1" x14ac:dyDescent="0.25">
      <c r="A1304" t="s">
        <v>3280</v>
      </c>
      <c r="B1304" t="s">
        <v>546</v>
      </c>
      <c r="C1304">
        <v>15000</v>
      </c>
      <c r="D1304" t="s">
        <v>3281</v>
      </c>
      <c r="E1304" t="s">
        <v>2688</v>
      </c>
      <c r="F1304" t="s">
        <v>554</v>
      </c>
      <c r="G1304" s="30">
        <v>46148</v>
      </c>
      <c r="H1304" t="s">
        <v>3282</v>
      </c>
      <c r="I1304">
        <v>1198391.3</v>
      </c>
      <c r="J1304" s="123">
        <v>0</v>
      </c>
      <c r="K1304" s="123">
        <v>0</v>
      </c>
      <c r="L1304" s="123">
        <v>0</v>
      </c>
      <c r="M1304">
        <v>0</v>
      </c>
      <c r="N1304">
        <v>0</v>
      </c>
      <c r="O1304">
        <v>0</v>
      </c>
      <c r="P1304" s="216">
        <v>15000</v>
      </c>
      <c r="Q1304" s="217" t="s">
        <v>49</v>
      </c>
      <c r="R1304" s="217" t="s">
        <v>554</v>
      </c>
      <c r="S1304" s="218">
        <v>0.5294138901041755</v>
      </c>
      <c r="T1304" t="s">
        <v>550</v>
      </c>
      <c r="U1304" t="s">
        <v>51</v>
      </c>
      <c r="V1304" s="219" t="s">
        <v>6582</v>
      </c>
      <c r="W1304" s="219" t="s">
        <v>67</v>
      </c>
    </row>
    <row r="1305" spans="1:23" ht="15" customHeight="1" x14ac:dyDescent="0.25">
      <c r="A1305" t="s">
        <v>3283</v>
      </c>
      <c r="B1305" t="s">
        <v>546</v>
      </c>
      <c r="C1305">
        <v>15750</v>
      </c>
      <c r="D1305" t="s">
        <v>3281</v>
      </c>
      <c r="E1305" t="s">
        <v>2688</v>
      </c>
      <c r="F1305" t="s">
        <v>548</v>
      </c>
      <c r="G1305" s="30">
        <v>46148</v>
      </c>
      <c r="H1305" t="s">
        <v>3282</v>
      </c>
      <c r="I1305">
        <v>1198391.3</v>
      </c>
      <c r="J1305" s="123">
        <v>0</v>
      </c>
      <c r="K1305" s="123">
        <v>0</v>
      </c>
      <c r="L1305" s="123">
        <v>0</v>
      </c>
      <c r="M1305">
        <v>0</v>
      </c>
      <c r="N1305">
        <v>0</v>
      </c>
      <c r="O1305">
        <v>0</v>
      </c>
      <c r="P1305" s="216">
        <v>15750</v>
      </c>
      <c r="Q1305" s="217" t="s">
        <v>49</v>
      </c>
      <c r="R1305" s="217" t="s">
        <v>62</v>
      </c>
      <c r="S1305" s="218">
        <v>0.5294138901041755</v>
      </c>
      <c r="T1305" t="s">
        <v>550</v>
      </c>
      <c r="U1305" t="s">
        <v>51</v>
      </c>
      <c r="V1305" s="219">
        <v>0</v>
      </c>
      <c r="W1305" s="219">
        <v>0</v>
      </c>
    </row>
    <row r="1306" spans="1:23" ht="15" customHeight="1" x14ac:dyDescent="0.25">
      <c r="A1306" t="s">
        <v>3284</v>
      </c>
      <c r="B1306" t="s">
        <v>595</v>
      </c>
      <c r="C1306">
        <v>380242</v>
      </c>
      <c r="D1306" t="s">
        <v>3285</v>
      </c>
      <c r="E1306" t="s">
        <v>1700</v>
      </c>
      <c r="F1306" t="s">
        <v>554</v>
      </c>
      <c r="G1306" s="30">
        <v>46148</v>
      </c>
      <c r="H1306" t="s">
        <v>3286</v>
      </c>
      <c r="I1306">
        <v>3802428.5</v>
      </c>
      <c r="J1306" s="123">
        <v>0</v>
      </c>
      <c r="K1306" s="123">
        <v>0</v>
      </c>
      <c r="L1306" s="123">
        <v>46147</v>
      </c>
      <c r="M1306">
        <v>0</v>
      </c>
      <c r="N1306">
        <v>0</v>
      </c>
      <c r="O1306">
        <v>0</v>
      </c>
      <c r="P1306" s="216">
        <v>380242</v>
      </c>
      <c r="Q1306" s="217" t="s">
        <v>47</v>
      </c>
      <c r="R1306" s="217" t="s">
        <v>554</v>
      </c>
      <c r="S1306" s="218">
        <v>0.40788981304973915</v>
      </c>
      <c r="T1306" t="s">
        <v>550</v>
      </c>
      <c r="U1306" t="s">
        <v>51</v>
      </c>
      <c r="V1306" s="219">
        <v>0</v>
      </c>
      <c r="W1306" s="219" t="s">
        <v>72</v>
      </c>
    </row>
    <row r="1307" spans="1:23" ht="15" customHeight="1" x14ac:dyDescent="0.25">
      <c r="A1307" t="s">
        <v>3287</v>
      </c>
      <c r="B1307" t="s">
        <v>546</v>
      </c>
      <c r="C1307">
        <v>60000</v>
      </c>
      <c r="D1307" t="s">
        <v>3288</v>
      </c>
      <c r="E1307" t="s">
        <v>553</v>
      </c>
      <c r="F1307" t="s">
        <v>554</v>
      </c>
      <c r="G1307" s="30">
        <v>46148</v>
      </c>
      <c r="H1307" t="s">
        <v>3289</v>
      </c>
      <c r="I1307">
        <v>2054333.6</v>
      </c>
      <c r="J1307" s="123">
        <v>46147</v>
      </c>
      <c r="K1307" s="123">
        <v>0</v>
      </c>
      <c r="L1307" s="123">
        <v>46147</v>
      </c>
      <c r="M1307">
        <v>0</v>
      </c>
      <c r="N1307">
        <v>0</v>
      </c>
      <c r="O1307" t="s">
        <v>556</v>
      </c>
      <c r="P1307" s="216">
        <v>60000</v>
      </c>
      <c r="Q1307" s="217" t="s">
        <v>34</v>
      </c>
      <c r="R1307" s="217" t="s">
        <v>554</v>
      </c>
      <c r="S1307" s="218">
        <v>0.22925404617828377</v>
      </c>
      <c r="T1307" t="s">
        <v>550</v>
      </c>
      <c r="U1307" t="s">
        <v>51</v>
      </c>
      <c r="V1307" s="219" t="s">
        <v>6583</v>
      </c>
      <c r="W1307" s="219" t="s">
        <v>67</v>
      </c>
    </row>
    <row r="1308" spans="1:23" ht="15" customHeight="1" x14ac:dyDescent="0.25">
      <c r="A1308" t="s">
        <v>3290</v>
      </c>
      <c r="B1308" t="s">
        <v>546</v>
      </c>
      <c r="C1308">
        <v>205334.71</v>
      </c>
      <c r="D1308" t="s">
        <v>3288</v>
      </c>
      <c r="E1308" t="s">
        <v>553</v>
      </c>
      <c r="F1308" t="s">
        <v>548</v>
      </c>
      <c r="G1308" s="30">
        <v>46148</v>
      </c>
      <c r="H1308" t="s">
        <v>3289</v>
      </c>
      <c r="I1308">
        <v>2054333.6</v>
      </c>
      <c r="J1308" s="123">
        <v>46147</v>
      </c>
      <c r="K1308" s="123">
        <v>0</v>
      </c>
      <c r="L1308" s="123">
        <v>46147</v>
      </c>
      <c r="M1308">
        <v>0</v>
      </c>
      <c r="N1308">
        <v>0</v>
      </c>
      <c r="O1308" t="s">
        <v>556</v>
      </c>
      <c r="P1308" s="216">
        <v>205334.71</v>
      </c>
      <c r="Q1308" s="217" t="s">
        <v>34</v>
      </c>
      <c r="R1308" s="217" t="s">
        <v>62</v>
      </c>
      <c r="S1308" s="218">
        <v>0.22925404617828377</v>
      </c>
      <c r="T1308" t="s">
        <v>550</v>
      </c>
      <c r="U1308" t="s">
        <v>51</v>
      </c>
      <c r="V1308" s="219">
        <v>0</v>
      </c>
      <c r="W1308" s="219">
        <v>0</v>
      </c>
    </row>
    <row r="1309" spans="1:23" ht="15" customHeight="1" x14ac:dyDescent="0.25">
      <c r="A1309" t="s">
        <v>3291</v>
      </c>
      <c r="B1309" t="s">
        <v>595</v>
      </c>
      <c r="C1309">
        <v>72000</v>
      </c>
      <c r="D1309" t="s">
        <v>3292</v>
      </c>
      <c r="E1309" t="s">
        <v>141</v>
      </c>
      <c r="F1309" t="s">
        <v>580</v>
      </c>
      <c r="G1309" s="30">
        <v>46149</v>
      </c>
      <c r="H1309" t="s">
        <v>3293</v>
      </c>
      <c r="I1309">
        <v>2640010.4</v>
      </c>
      <c r="J1309" s="123">
        <v>0</v>
      </c>
      <c r="K1309" s="123">
        <v>0</v>
      </c>
      <c r="L1309" s="123">
        <v>46147</v>
      </c>
      <c r="M1309">
        <v>0</v>
      </c>
      <c r="N1309">
        <v>0</v>
      </c>
      <c r="O1309">
        <v>0</v>
      </c>
      <c r="P1309" s="216">
        <v>72000</v>
      </c>
      <c r="Q1309" s="217" t="s">
        <v>34</v>
      </c>
      <c r="R1309" s="217" t="s">
        <v>582</v>
      </c>
      <c r="S1309" s="218">
        <v>0.20000000757572772</v>
      </c>
      <c r="T1309" t="s">
        <v>550</v>
      </c>
      <c r="U1309" t="s">
        <v>51</v>
      </c>
      <c r="V1309" s="219">
        <v>0</v>
      </c>
      <c r="W1309" s="219">
        <v>0</v>
      </c>
    </row>
    <row r="1310" spans="1:23" ht="15" customHeight="1" x14ac:dyDescent="0.25">
      <c r="A1310" t="s">
        <v>3294</v>
      </c>
      <c r="B1310" t="s">
        <v>595</v>
      </c>
      <c r="C1310">
        <v>50000</v>
      </c>
      <c r="D1310" t="s">
        <v>3295</v>
      </c>
      <c r="E1310" t="s">
        <v>1700</v>
      </c>
      <c r="F1310" t="s">
        <v>580</v>
      </c>
      <c r="G1310" s="30">
        <v>46149</v>
      </c>
      <c r="H1310" t="s">
        <v>3296</v>
      </c>
      <c r="I1310">
        <v>1917924.8</v>
      </c>
      <c r="J1310" s="123">
        <v>0</v>
      </c>
      <c r="K1310" s="123">
        <v>0</v>
      </c>
      <c r="L1310" s="123">
        <v>46148</v>
      </c>
      <c r="M1310">
        <v>0</v>
      </c>
      <c r="N1310">
        <v>0</v>
      </c>
      <c r="O1310">
        <v>0</v>
      </c>
      <c r="P1310" s="216">
        <v>50000</v>
      </c>
      <c r="Q1310" s="217" t="s">
        <v>47</v>
      </c>
      <c r="R1310" s="217" t="s">
        <v>582</v>
      </c>
      <c r="S1310" s="218">
        <v>0.29659555473707833</v>
      </c>
      <c r="T1310" t="s">
        <v>550</v>
      </c>
      <c r="U1310" t="s">
        <v>51</v>
      </c>
      <c r="V1310" s="219">
        <v>0</v>
      </c>
      <c r="W1310" s="219">
        <v>0</v>
      </c>
    </row>
    <row r="1311" spans="1:23" ht="15" customHeight="1" x14ac:dyDescent="0.25">
      <c r="A1311" t="s">
        <v>3297</v>
      </c>
      <c r="B1311" t="s">
        <v>575</v>
      </c>
      <c r="C1311">
        <v>55000</v>
      </c>
      <c r="D1311" t="s">
        <v>3298</v>
      </c>
      <c r="E1311" t="s">
        <v>198</v>
      </c>
      <c r="F1311" t="s">
        <v>580</v>
      </c>
      <c r="G1311" s="30">
        <v>46149</v>
      </c>
      <c r="H1311" t="s">
        <v>3299</v>
      </c>
      <c r="I1311">
        <v>1223042</v>
      </c>
      <c r="J1311" s="123">
        <v>0</v>
      </c>
      <c r="K1311" s="123">
        <v>0</v>
      </c>
      <c r="L1311" s="123">
        <v>46145</v>
      </c>
      <c r="M1311">
        <v>0</v>
      </c>
      <c r="N1311">
        <v>0</v>
      </c>
      <c r="O1311">
        <v>0</v>
      </c>
      <c r="P1311" s="216">
        <v>55000</v>
      </c>
      <c r="Q1311" s="217" t="s">
        <v>29</v>
      </c>
      <c r="R1311" s="217" t="s">
        <v>582</v>
      </c>
      <c r="S1311" s="218">
        <v>0.29999967294663632</v>
      </c>
      <c r="T1311" t="s">
        <v>550</v>
      </c>
      <c r="U1311" t="s">
        <v>51</v>
      </c>
      <c r="V1311" s="219">
        <v>0</v>
      </c>
      <c r="W1311" s="219">
        <v>0</v>
      </c>
    </row>
    <row r="1312" spans="1:23" ht="15" customHeight="1" x14ac:dyDescent="0.25">
      <c r="A1312" t="s">
        <v>3300</v>
      </c>
      <c r="B1312" t="s">
        <v>603</v>
      </c>
      <c r="C1312">
        <v>277801</v>
      </c>
      <c r="D1312" t="s">
        <v>3301</v>
      </c>
      <c r="E1312" t="s">
        <v>605</v>
      </c>
      <c r="F1312" t="s">
        <v>554</v>
      </c>
      <c r="G1312" s="30">
        <v>46146</v>
      </c>
      <c r="H1312" t="s">
        <v>3302</v>
      </c>
      <c r="I1312">
        <v>3168900</v>
      </c>
      <c r="J1312" s="123">
        <v>46146</v>
      </c>
      <c r="K1312" s="123">
        <v>0</v>
      </c>
      <c r="L1312" s="123">
        <v>0</v>
      </c>
      <c r="M1312">
        <v>0</v>
      </c>
      <c r="N1312">
        <v>0</v>
      </c>
      <c r="O1312">
        <v>0</v>
      </c>
      <c r="P1312" s="216">
        <v>277801</v>
      </c>
      <c r="Q1312" s="217" t="s">
        <v>38</v>
      </c>
      <c r="R1312" s="217" t="s">
        <v>554</v>
      </c>
      <c r="S1312" s="218">
        <v>0.4</v>
      </c>
      <c r="T1312" t="s">
        <v>550</v>
      </c>
      <c r="U1312" t="s">
        <v>51</v>
      </c>
      <c r="V1312" s="219" t="s">
        <v>6584</v>
      </c>
      <c r="W1312" s="219" t="s">
        <v>67</v>
      </c>
    </row>
    <row r="1313" spans="1:23" ht="15" customHeight="1" x14ac:dyDescent="0.25">
      <c r="A1313" t="s">
        <v>3303</v>
      </c>
      <c r="B1313" t="s">
        <v>595</v>
      </c>
      <c r="C1313">
        <v>105904.16</v>
      </c>
      <c r="D1313" t="s">
        <v>3304</v>
      </c>
      <c r="E1313" t="s">
        <v>243</v>
      </c>
      <c r="F1313" t="s">
        <v>585</v>
      </c>
      <c r="G1313" s="30">
        <v>46147</v>
      </c>
      <c r="H1313" t="s">
        <v>3305</v>
      </c>
      <c r="I1313">
        <v>2607530.75</v>
      </c>
      <c r="J1313" s="123">
        <v>0</v>
      </c>
      <c r="K1313" s="123">
        <v>0</v>
      </c>
      <c r="L1313" s="123">
        <v>46129</v>
      </c>
      <c r="M1313">
        <v>0</v>
      </c>
      <c r="N1313">
        <v>0</v>
      </c>
      <c r="O1313">
        <v>0</v>
      </c>
      <c r="P1313" s="216">
        <v>105904.16</v>
      </c>
      <c r="Q1313" s="217" t="s">
        <v>21</v>
      </c>
      <c r="R1313" s="217" t="s">
        <v>61</v>
      </c>
      <c r="S1313" s="218">
        <v>0.25937206301402199</v>
      </c>
      <c r="T1313" t="s">
        <v>550</v>
      </c>
      <c r="U1313" t="s">
        <v>51</v>
      </c>
      <c r="V1313" s="219">
        <v>0</v>
      </c>
      <c r="W1313" s="219">
        <v>0</v>
      </c>
    </row>
    <row r="1314" spans="1:23" ht="15" customHeight="1" x14ac:dyDescent="0.25">
      <c r="A1314" t="s">
        <v>3306</v>
      </c>
      <c r="B1314" t="s">
        <v>595</v>
      </c>
      <c r="C1314">
        <v>260753</v>
      </c>
      <c r="D1314" t="s">
        <v>3307</v>
      </c>
      <c r="E1314" t="s">
        <v>151</v>
      </c>
      <c r="F1314" t="s">
        <v>554</v>
      </c>
      <c r="G1314" s="30">
        <v>46146</v>
      </c>
      <c r="H1314" t="s">
        <v>3308</v>
      </c>
      <c r="I1314">
        <v>2607530.75</v>
      </c>
      <c r="J1314" s="123">
        <v>0</v>
      </c>
      <c r="K1314" s="123">
        <v>0</v>
      </c>
      <c r="L1314" s="123">
        <v>46146</v>
      </c>
      <c r="M1314">
        <v>0</v>
      </c>
      <c r="N1314">
        <v>0</v>
      </c>
      <c r="O1314">
        <v>0</v>
      </c>
      <c r="P1314" s="216">
        <v>260753</v>
      </c>
      <c r="Q1314" s="217" t="s">
        <v>25</v>
      </c>
      <c r="R1314" s="217" t="s">
        <v>554</v>
      </c>
      <c r="S1314" s="218">
        <v>0.30000029721605392</v>
      </c>
      <c r="T1314" t="s">
        <v>550</v>
      </c>
      <c r="U1314" t="s">
        <v>51</v>
      </c>
      <c r="V1314" s="219" t="s">
        <v>6585</v>
      </c>
      <c r="W1314" s="219" t="s">
        <v>67</v>
      </c>
    </row>
    <row r="1315" spans="1:23" ht="15" customHeight="1" x14ac:dyDescent="0.25">
      <c r="A1315" t="s">
        <v>3309</v>
      </c>
      <c r="B1315" t="s">
        <v>575</v>
      </c>
      <c r="C1315">
        <v>176049</v>
      </c>
      <c r="D1315" t="s">
        <v>3310</v>
      </c>
      <c r="E1315" t="s">
        <v>151</v>
      </c>
      <c r="F1315" t="s">
        <v>580</v>
      </c>
      <c r="G1315" s="30">
        <v>46149</v>
      </c>
      <c r="H1315" t="s">
        <v>3311</v>
      </c>
      <c r="I1315">
        <v>1760493.9</v>
      </c>
      <c r="J1315" s="123">
        <v>0</v>
      </c>
      <c r="K1315" s="123">
        <v>0</v>
      </c>
      <c r="L1315" s="123">
        <v>46149</v>
      </c>
      <c r="M1315">
        <v>0</v>
      </c>
      <c r="N1315">
        <v>0</v>
      </c>
      <c r="O1315">
        <v>0</v>
      </c>
      <c r="P1315" s="216">
        <v>176049</v>
      </c>
      <c r="Q1315" s="217" t="s">
        <v>25</v>
      </c>
      <c r="R1315" s="217" t="s">
        <v>582</v>
      </c>
      <c r="S1315" s="218">
        <v>0.20000012496493172</v>
      </c>
      <c r="T1315" t="s">
        <v>550</v>
      </c>
      <c r="U1315" t="s">
        <v>51</v>
      </c>
      <c r="V1315" s="219">
        <v>0</v>
      </c>
      <c r="W1315" s="219">
        <v>0</v>
      </c>
    </row>
    <row r="1316" spans="1:23" ht="15" customHeight="1" x14ac:dyDescent="0.25">
      <c r="A1316" t="s">
        <v>3312</v>
      </c>
      <c r="B1316" t="s">
        <v>575</v>
      </c>
      <c r="C1316">
        <v>105790</v>
      </c>
      <c r="D1316" t="s">
        <v>3313</v>
      </c>
      <c r="E1316" t="s">
        <v>2548</v>
      </c>
      <c r="F1316" t="s">
        <v>554</v>
      </c>
      <c r="G1316" s="30">
        <v>46147</v>
      </c>
      <c r="H1316" t="s">
        <v>3314</v>
      </c>
      <c r="I1316">
        <v>2607530.75</v>
      </c>
      <c r="J1316" s="123">
        <v>0</v>
      </c>
      <c r="K1316" s="123">
        <v>0</v>
      </c>
      <c r="L1316" s="123">
        <v>46142</v>
      </c>
      <c r="M1316">
        <v>0</v>
      </c>
      <c r="N1316">
        <v>0</v>
      </c>
      <c r="O1316">
        <v>0</v>
      </c>
      <c r="P1316" s="216">
        <v>105790</v>
      </c>
      <c r="Q1316" s="217" t="s">
        <v>25</v>
      </c>
      <c r="R1316" s="217" t="s">
        <v>554</v>
      </c>
      <c r="S1316" s="218">
        <v>0.2444941445081712</v>
      </c>
      <c r="T1316" t="s">
        <v>550</v>
      </c>
      <c r="U1316" t="s">
        <v>51</v>
      </c>
      <c r="V1316" s="219" t="s">
        <v>6586</v>
      </c>
      <c r="W1316" s="219" t="s">
        <v>67</v>
      </c>
    </row>
    <row r="1317" spans="1:23" ht="15" customHeight="1" x14ac:dyDescent="0.25">
      <c r="A1317" t="s">
        <v>3315</v>
      </c>
      <c r="B1317" t="s">
        <v>668</v>
      </c>
      <c r="C1317">
        <v>20000</v>
      </c>
      <c r="D1317" t="s">
        <v>3316</v>
      </c>
      <c r="E1317" t="s">
        <v>273</v>
      </c>
      <c r="F1317" t="s">
        <v>554</v>
      </c>
      <c r="G1317" s="30">
        <v>46147</v>
      </c>
      <c r="H1317" t="s">
        <v>3317</v>
      </c>
      <c r="I1317">
        <v>1569096</v>
      </c>
      <c r="J1317" s="123">
        <v>46142</v>
      </c>
      <c r="K1317" s="123">
        <v>0</v>
      </c>
      <c r="L1317" s="123">
        <v>46142</v>
      </c>
      <c r="M1317">
        <v>0</v>
      </c>
      <c r="N1317">
        <v>0</v>
      </c>
      <c r="O1317">
        <v>0</v>
      </c>
      <c r="P1317" s="216">
        <v>20000</v>
      </c>
      <c r="Q1317" s="217" t="s">
        <v>38</v>
      </c>
      <c r="R1317" s="217" t="s">
        <v>554</v>
      </c>
      <c r="S1317" s="218">
        <v>0.35427469064990286</v>
      </c>
      <c r="T1317" t="s">
        <v>550</v>
      </c>
      <c r="U1317" t="s">
        <v>51</v>
      </c>
      <c r="V1317" s="219" t="s">
        <v>6587</v>
      </c>
      <c r="W1317" s="219" t="s">
        <v>67</v>
      </c>
    </row>
    <row r="1318" spans="1:23" ht="15" customHeight="1" x14ac:dyDescent="0.25">
      <c r="A1318" t="s">
        <v>3318</v>
      </c>
      <c r="B1318" t="s">
        <v>64</v>
      </c>
      <c r="C1318">
        <v>198220</v>
      </c>
      <c r="D1318" t="s">
        <v>3319</v>
      </c>
      <c r="E1318" t="s">
        <v>2699</v>
      </c>
      <c r="F1318" t="s">
        <v>580</v>
      </c>
      <c r="G1318" s="30">
        <v>46148</v>
      </c>
      <c r="H1318" t="s">
        <v>3320</v>
      </c>
      <c r="I1318">
        <v>1982197.8</v>
      </c>
      <c r="J1318" s="123">
        <v>0</v>
      </c>
      <c r="K1318" s="123">
        <v>46141</v>
      </c>
      <c r="L1318" s="123">
        <v>0</v>
      </c>
      <c r="M1318">
        <v>0</v>
      </c>
      <c r="N1318">
        <v>0</v>
      </c>
      <c r="O1318" t="s">
        <v>556</v>
      </c>
      <c r="P1318" s="216">
        <v>198220</v>
      </c>
      <c r="Q1318" s="217" t="s">
        <v>25</v>
      </c>
      <c r="R1318" s="217" t="s">
        <v>582</v>
      </c>
      <c r="S1318" s="218">
        <v>0.20000022197582903</v>
      </c>
      <c r="T1318" t="s">
        <v>550</v>
      </c>
      <c r="U1318" t="s">
        <v>51</v>
      </c>
      <c r="V1318" s="219">
        <v>0</v>
      </c>
      <c r="W1318" s="219">
        <v>0</v>
      </c>
    </row>
    <row r="1319" spans="1:23" ht="15" customHeight="1" x14ac:dyDescent="0.25">
      <c r="A1319" t="s">
        <v>3321</v>
      </c>
      <c r="B1319" t="s">
        <v>64</v>
      </c>
      <c r="C1319">
        <v>198220</v>
      </c>
      <c r="D1319" t="s">
        <v>3319</v>
      </c>
      <c r="E1319" t="s">
        <v>2699</v>
      </c>
      <c r="F1319" t="s">
        <v>554</v>
      </c>
      <c r="G1319" s="30">
        <v>46148</v>
      </c>
      <c r="H1319" t="s">
        <v>3320</v>
      </c>
      <c r="I1319">
        <v>1982197.8</v>
      </c>
      <c r="J1319" s="123">
        <v>0</v>
      </c>
      <c r="K1319" s="123">
        <v>46141</v>
      </c>
      <c r="L1319" s="123">
        <v>0</v>
      </c>
      <c r="M1319">
        <v>0</v>
      </c>
      <c r="N1319">
        <v>0</v>
      </c>
      <c r="O1319" t="s">
        <v>556</v>
      </c>
      <c r="P1319" s="216">
        <v>198220</v>
      </c>
      <c r="Q1319" s="217" t="s">
        <v>25</v>
      </c>
      <c r="R1319" s="217" t="s">
        <v>554</v>
      </c>
      <c r="S1319" s="218">
        <v>0.20000022197582903</v>
      </c>
      <c r="T1319" t="s">
        <v>550</v>
      </c>
      <c r="U1319" t="s">
        <v>51</v>
      </c>
      <c r="V1319" s="219" t="s">
        <v>6588</v>
      </c>
      <c r="W1319" s="219" t="s">
        <v>71</v>
      </c>
    </row>
    <row r="1320" spans="1:23" ht="15" customHeight="1" x14ac:dyDescent="0.25">
      <c r="A1320" t="s">
        <v>3322</v>
      </c>
      <c r="B1320" t="s">
        <v>668</v>
      </c>
      <c r="C1320">
        <v>19000</v>
      </c>
      <c r="D1320" t="s">
        <v>3323</v>
      </c>
      <c r="E1320" t="s">
        <v>151</v>
      </c>
      <c r="F1320" t="s">
        <v>580</v>
      </c>
      <c r="G1320" s="30">
        <v>46149</v>
      </c>
      <c r="H1320" t="s">
        <v>3324</v>
      </c>
      <c r="I1320">
        <v>2007027</v>
      </c>
      <c r="J1320" s="123">
        <v>46099</v>
      </c>
      <c r="K1320" s="123">
        <v>0</v>
      </c>
      <c r="L1320" s="123">
        <v>46099</v>
      </c>
      <c r="M1320">
        <v>0</v>
      </c>
      <c r="N1320">
        <v>0</v>
      </c>
      <c r="O1320">
        <v>0</v>
      </c>
      <c r="P1320" s="216">
        <v>19000</v>
      </c>
      <c r="Q1320" s="217" t="s">
        <v>25</v>
      </c>
      <c r="R1320" s="217" t="s">
        <v>582</v>
      </c>
      <c r="S1320" s="218">
        <v>0.2936844895459802</v>
      </c>
      <c r="T1320" t="s">
        <v>550</v>
      </c>
      <c r="U1320" t="s">
        <v>51</v>
      </c>
      <c r="V1320" s="219">
        <v>0</v>
      </c>
      <c r="W1320" s="219">
        <v>0</v>
      </c>
    </row>
    <row r="1321" spans="1:23" ht="15" customHeight="1" x14ac:dyDescent="0.25">
      <c r="A1321" t="s">
        <v>3325</v>
      </c>
      <c r="B1321" t="s">
        <v>595</v>
      </c>
      <c r="C1321">
        <v>200653</v>
      </c>
      <c r="D1321" t="s">
        <v>3326</v>
      </c>
      <c r="E1321" t="s">
        <v>151</v>
      </c>
      <c r="F1321" t="s">
        <v>554</v>
      </c>
      <c r="G1321" s="30">
        <v>46143</v>
      </c>
      <c r="H1321" t="s">
        <v>3327</v>
      </c>
      <c r="I1321">
        <v>2007027</v>
      </c>
      <c r="J1321" s="123">
        <v>0</v>
      </c>
      <c r="K1321" s="123">
        <v>0</v>
      </c>
      <c r="L1321" s="123">
        <v>46142</v>
      </c>
      <c r="M1321">
        <v>0</v>
      </c>
      <c r="N1321">
        <v>0</v>
      </c>
      <c r="O1321">
        <v>0</v>
      </c>
      <c r="P1321" s="216">
        <v>200653</v>
      </c>
      <c r="Q1321" s="217" t="s">
        <v>25</v>
      </c>
      <c r="R1321" s="217" t="s">
        <v>554</v>
      </c>
      <c r="S1321" s="218">
        <v>0.29989028049946514</v>
      </c>
      <c r="T1321" t="s">
        <v>550</v>
      </c>
      <c r="U1321" t="s">
        <v>51</v>
      </c>
      <c r="V1321" s="219" t="s">
        <v>6589</v>
      </c>
      <c r="W1321" s="219" t="s">
        <v>67</v>
      </c>
    </row>
    <row r="1322" spans="1:23" ht="15" customHeight="1" x14ac:dyDescent="0.25">
      <c r="A1322" t="s">
        <v>3328</v>
      </c>
      <c r="B1322" t="s">
        <v>64</v>
      </c>
      <c r="C1322">
        <v>129216</v>
      </c>
      <c r="D1322" t="s">
        <v>3329</v>
      </c>
      <c r="E1322" t="s">
        <v>243</v>
      </c>
      <c r="F1322" t="s">
        <v>554</v>
      </c>
      <c r="G1322" s="30">
        <v>46143</v>
      </c>
      <c r="H1322" t="s">
        <v>3330</v>
      </c>
      <c r="I1322">
        <v>1292160.75</v>
      </c>
      <c r="J1322" s="123">
        <v>0</v>
      </c>
      <c r="K1322" s="123">
        <v>46143</v>
      </c>
      <c r="L1322" s="123">
        <v>46143</v>
      </c>
      <c r="M1322">
        <v>0</v>
      </c>
      <c r="N1322">
        <v>0</v>
      </c>
      <c r="O1322" t="s">
        <v>556</v>
      </c>
      <c r="P1322" s="216">
        <v>129216</v>
      </c>
      <c r="Q1322" s="217" t="s">
        <v>21</v>
      </c>
      <c r="R1322" s="217" t="s">
        <v>554</v>
      </c>
      <c r="S1322" s="218">
        <v>0.40000131562578417</v>
      </c>
      <c r="T1322" t="s">
        <v>550</v>
      </c>
      <c r="U1322" t="s">
        <v>51</v>
      </c>
      <c r="V1322" s="219" t="s">
        <v>6590</v>
      </c>
      <c r="W1322" s="219" t="s">
        <v>71</v>
      </c>
    </row>
    <row r="1323" spans="1:23" ht="15" customHeight="1" x14ac:dyDescent="0.25">
      <c r="A1323" t="s">
        <v>3331</v>
      </c>
      <c r="B1323" t="s">
        <v>64</v>
      </c>
      <c r="C1323">
        <v>130213</v>
      </c>
      <c r="D1323" t="s">
        <v>3332</v>
      </c>
      <c r="E1323" t="s">
        <v>243</v>
      </c>
      <c r="F1323" t="s">
        <v>554</v>
      </c>
      <c r="G1323" s="30">
        <v>46143</v>
      </c>
      <c r="H1323" t="s">
        <v>3333</v>
      </c>
      <c r="I1323">
        <v>1302126</v>
      </c>
      <c r="J1323" s="123">
        <v>0</v>
      </c>
      <c r="K1323" s="123">
        <v>46143</v>
      </c>
      <c r="L1323" s="123">
        <v>0</v>
      </c>
      <c r="M1323">
        <v>0</v>
      </c>
      <c r="N1323">
        <v>0</v>
      </c>
      <c r="O1323" t="s">
        <v>556</v>
      </c>
      <c r="P1323" s="216">
        <v>130213</v>
      </c>
      <c r="Q1323" s="217" t="s">
        <v>21</v>
      </c>
      <c r="R1323" s="217" t="s">
        <v>554</v>
      </c>
      <c r="S1323" s="218">
        <v>0.40000122875973598</v>
      </c>
      <c r="T1323" t="s">
        <v>550</v>
      </c>
      <c r="U1323" t="s">
        <v>51</v>
      </c>
      <c r="V1323" s="219" t="s">
        <v>6591</v>
      </c>
      <c r="W1323" s="219" t="s">
        <v>71</v>
      </c>
    </row>
    <row r="1324" spans="1:23" ht="15" customHeight="1" x14ac:dyDescent="0.25">
      <c r="A1324" t="s">
        <v>3334</v>
      </c>
      <c r="B1324" t="s">
        <v>546</v>
      </c>
      <c r="C1324">
        <v>40000</v>
      </c>
      <c r="D1324" t="s">
        <v>3335</v>
      </c>
      <c r="E1324" t="s">
        <v>553</v>
      </c>
      <c r="F1324" t="s">
        <v>554</v>
      </c>
      <c r="G1324" s="30">
        <v>46143</v>
      </c>
      <c r="H1324" t="s">
        <v>3336</v>
      </c>
      <c r="I1324">
        <v>1335343.5</v>
      </c>
      <c r="J1324" s="123">
        <v>46143</v>
      </c>
      <c r="K1324" s="123">
        <v>0</v>
      </c>
      <c r="L1324" s="123">
        <v>46143</v>
      </c>
      <c r="M1324">
        <v>0</v>
      </c>
      <c r="N1324">
        <v>0</v>
      </c>
      <c r="O1324" t="s">
        <v>556</v>
      </c>
      <c r="P1324" s="216">
        <v>40000</v>
      </c>
      <c r="Q1324" s="217" t="s">
        <v>21</v>
      </c>
      <c r="R1324" s="217" t="s">
        <v>554</v>
      </c>
      <c r="S1324" s="218">
        <v>0.37501436896199369</v>
      </c>
      <c r="T1324" t="s">
        <v>550</v>
      </c>
      <c r="U1324" t="s">
        <v>51</v>
      </c>
      <c r="V1324" s="219" t="s">
        <v>6592</v>
      </c>
      <c r="W1324" s="219" t="s">
        <v>67</v>
      </c>
    </row>
    <row r="1325" spans="1:23" ht="15" customHeight="1" x14ac:dyDescent="0.25">
      <c r="A1325" t="s">
        <v>3337</v>
      </c>
      <c r="B1325" t="s">
        <v>546</v>
      </c>
      <c r="C1325">
        <v>44000</v>
      </c>
      <c r="D1325" t="s">
        <v>3335</v>
      </c>
      <c r="E1325" t="s">
        <v>553</v>
      </c>
      <c r="F1325" t="s">
        <v>548</v>
      </c>
      <c r="G1325" s="30">
        <v>46143</v>
      </c>
      <c r="H1325" t="s">
        <v>3336</v>
      </c>
      <c r="I1325">
        <v>1335343.5</v>
      </c>
      <c r="J1325" s="123">
        <v>46143</v>
      </c>
      <c r="K1325" s="123">
        <v>0</v>
      </c>
      <c r="L1325" s="123">
        <v>46143</v>
      </c>
      <c r="M1325">
        <v>0</v>
      </c>
      <c r="N1325">
        <v>0</v>
      </c>
      <c r="O1325" t="s">
        <v>556</v>
      </c>
      <c r="P1325" s="216">
        <v>44000</v>
      </c>
      <c r="Q1325" s="217" t="s">
        <v>21</v>
      </c>
      <c r="R1325" s="217" t="s">
        <v>62</v>
      </c>
      <c r="S1325" s="218">
        <v>0.37501436896199369</v>
      </c>
      <c r="T1325" t="s">
        <v>550</v>
      </c>
      <c r="U1325" t="s">
        <v>51</v>
      </c>
      <c r="V1325" s="219">
        <v>0</v>
      </c>
      <c r="W1325" s="219">
        <v>0</v>
      </c>
    </row>
    <row r="1326" spans="1:23" ht="15" customHeight="1" x14ac:dyDescent="0.25">
      <c r="A1326" t="s">
        <v>3338</v>
      </c>
      <c r="B1326" t="s">
        <v>546</v>
      </c>
      <c r="C1326">
        <v>44000</v>
      </c>
      <c r="D1326" t="s">
        <v>3335</v>
      </c>
      <c r="E1326" t="s">
        <v>553</v>
      </c>
      <c r="F1326" t="s">
        <v>548</v>
      </c>
      <c r="G1326" s="30">
        <v>46143</v>
      </c>
      <c r="H1326" t="s">
        <v>3336</v>
      </c>
      <c r="I1326">
        <v>1335343.5</v>
      </c>
      <c r="J1326" s="123">
        <v>46143</v>
      </c>
      <c r="K1326" s="123">
        <v>0</v>
      </c>
      <c r="L1326" s="123">
        <v>46143</v>
      </c>
      <c r="M1326">
        <v>0</v>
      </c>
      <c r="N1326">
        <v>0</v>
      </c>
      <c r="O1326" t="s">
        <v>556</v>
      </c>
      <c r="P1326" s="216">
        <v>44000</v>
      </c>
      <c r="Q1326" s="217" t="s">
        <v>21</v>
      </c>
      <c r="R1326" s="217" t="s">
        <v>62</v>
      </c>
      <c r="S1326" s="218">
        <v>0.37501436896199369</v>
      </c>
      <c r="T1326" t="s">
        <v>550</v>
      </c>
      <c r="U1326" t="s">
        <v>51</v>
      </c>
      <c r="V1326" s="219">
        <v>0</v>
      </c>
      <c r="W1326" s="219">
        <v>0</v>
      </c>
    </row>
    <row r="1327" spans="1:23" ht="15" customHeight="1" x14ac:dyDescent="0.25">
      <c r="A1327" t="s">
        <v>3339</v>
      </c>
      <c r="B1327" t="s">
        <v>546</v>
      </c>
      <c r="C1327">
        <v>49000</v>
      </c>
      <c r="D1327" t="s">
        <v>3335</v>
      </c>
      <c r="E1327" t="s">
        <v>553</v>
      </c>
      <c r="F1327" t="s">
        <v>554</v>
      </c>
      <c r="G1327" s="30">
        <v>46143</v>
      </c>
      <c r="H1327" t="s">
        <v>3336</v>
      </c>
      <c r="I1327">
        <v>1335343.5</v>
      </c>
      <c r="J1327" s="123">
        <v>46143</v>
      </c>
      <c r="K1327" s="123">
        <v>0</v>
      </c>
      <c r="L1327" s="123">
        <v>46143</v>
      </c>
      <c r="M1327">
        <v>0</v>
      </c>
      <c r="N1327">
        <v>0</v>
      </c>
      <c r="O1327" t="s">
        <v>556</v>
      </c>
      <c r="P1327" s="216">
        <v>49000</v>
      </c>
      <c r="Q1327" s="217" t="s">
        <v>21</v>
      </c>
      <c r="R1327" s="217" t="s">
        <v>554</v>
      </c>
      <c r="S1327" s="218">
        <v>0.37501436896199369</v>
      </c>
      <c r="T1327" t="s">
        <v>550</v>
      </c>
      <c r="U1327" t="s">
        <v>51</v>
      </c>
      <c r="V1327" s="219" t="s">
        <v>6593</v>
      </c>
      <c r="W1327" s="219" t="s">
        <v>67</v>
      </c>
    </row>
    <row r="1328" spans="1:23" ht="15" customHeight="1" x14ac:dyDescent="0.25">
      <c r="A1328" t="s">
        <v>3340</v>
      </c>
      <c r="B1328" t="s">
        <v>546</v>
      </c>
      <c r="C1328">
        <v>93000</v>
      </c>
      <c r="D1328" t="s">
        <v>3335</v>
      </c>
      <c r="E1328" t="s">
        <v>553</v>
      </c>
      <c r="F1328" t="s">
        <v>548</v>
      </c>
      <c r="G1328" s="30">
        <v>46143</v>
      </c>
      <c r="H1328" t="s">
        <v>3336</v>
      </c>
      <c r="I1328">
        <v>1335343.5</v>
      </c>
      <c r="J1328" s="123">
        <v>46143</v>
      </c>
      <c r="K1328" s="123">
        <v>0</v>
      </c>
      <c r="L1328" s="123">
        <v>46143</v>
      </c>
      <c r="M1328">
        <v>0</v>
      </c>
      <c r="N1328">
        <v>0</v>
      </c>
      <c r="O1328" t="s">
        <v>556</v>
      </c>
      <c r="P1328" s="216">
        <v>93000</v>
      </c>
      <c r="Q1328" s="217" t="s">
        <v>21</v>
      </c>
      <c r="R1328" s="217" t="s">
        <v>62</v>
      </c>
      <c r="S1328" s="218">
        <v>0.37501436896199369</v>
      </c>
      <c r="T1328" t="s">
        <v>550</v>
      </c>
      <c r="U1328" t="s">
        <v>51</v>
      </c>
      <c r="V1328" s="219">
        <v>0</v>
      </c>
      <c r="W1328" s="219">
        <v>0</v>
      </c>
    </row>
    <row r="1329" spans="1:23" ht="15" customHeight="1" x14ac:dyDescent="0.25">
      <c r="A1329" t="s">
        <v>3341</v>
      </c>
      <c r="B1329" t="s">
        <v>595</v>
      </c>
      <c r="C1329">
        <v>359.21</v>
      </c>
      <c r="D1329" t="s">
        <v>3342</v>
      </c>
      <c r="E1329" t="s">
        <v>238</v>
      </c>
      <c r="F1329" t="s">
        <v>585</v>
      </c>
      <c r="G1329" s="30">
        <v>46146</v>
      </c>
      <c r="H1329" t="s">
        <v>3343</v>
      </c>
      <c r="I1329">
        <v>1252559</v>
      </c>
      <c r="J1329" s="123">
        <v>0</v>
      </c>
      <c r="K1329" s="123">
        <v>0</v>
      </c>
      <c r="L1329" s="123">
        <v>46143</v>
      </c>
      <c r="M1329">
        <v>0</v>
      </c>
      <c r="N1329">
        <v>0</v>
      </c>
      <c r="O1329">
        <v>0</v>
      </c>
      <c r="P1329" s="216">
        <v>359.21</v>
      </c>
      <c r="Q1329" s="217" t="s">
        <v>19</v>
      </c>
      <c r="R1329" s="217" t="s">
        <v>61</v>
      </c>
      <c r="S1329" s="218">
        <v>0.30083373318143097</v>
      </c>
      <c r="T1329" t="s">
        <v>550</v>
      </c>
      <c r="U1329" t="s">
        <v>51</v>
      </c>
      <c r="V1329" s="219">
        <v>0</v>
      </c>
      <c r="W1329" s="219">
        <v>0</v>
      </c>
    </row>
    <row r="1330" spans="1:23" ht="15" customHeight="1" x14ac:dyDescent="0.25">
      <c r="A1330" t="s">
        <v>3344</v>
      </c>
      <c r="B1330" t="s">
        <v>575</v>
      </c>
      <c r="C1330">
        <v>142906</v>
      </c>
      <c r="D1330" t="s">
        <v>3345</v>
      </c>
      <c r="E1330" t="s">
        <v>173</v>
      </c>
      <c r="F1330" t="s">
        <v>554</v>
      </c>
      <c r="G1330" s="30">
        <v>46143</v>
      </c>
      <c r="H1330" t="s">
        <v>3346</v>
      </c>
      <c r="I1330">
        <v>1429057.4</v>
      </c>
      <c r="J1330" s="123">
        <v>0</v>
      </c>
      <c r="K1330" s="123">
        <v>0</v>
      </c>
      <c r="L1330" s="123">
        <v>46105</v>
      </c>
      <c r="M1330">
        <v>0</v>
      </c>
      <c r="N1330">
        <v>0</v>
      </c>
      <c r="O1330">
        <v>0</v>
      </c>
      <c r="P1330" s="216">
        <v>142906</v>
      </c>
      <c r="Q1330" s="217" t="s">
        <v>27</v>
      </c>
      <c r="R1330" s="217" t="s">
        <v>554</v>
      </c>
      <c r="S1330" s="218">
        <v>0.51000190755108932</v>
      </c>
      <c r="T1330" t="s">
        <v>550</v>
      </c>
      <c r="U1330" t="s">
        <v>51</v>
      </c>
      <c r="V1330" s="219" t="s">
        <v>6594</v>
      </c>
      <c r="W1330" s="219" t="s">
        <v>67</v>
      </c>
    </row>
    <row r="1331" spans="1:23" ht="15" customHeight="1" x14ac:dyDescent="0.25">
      <c r="A1331" t="s">
        <v>3347</v>
      </c>
      <c r="B1331" t="s">
        <v>575</v>
      </c>
      <c r="C1331">
        <v>100000</v>
      </c>
      <c r="D1331" t="s">
        <v>3348</v>
      </c>
      <c r="E1331" t="s">
        <v>173</v>
      </c>
      <c r="F1331" t="s">
        <v>585</v>
      </c>
      <c r="G1331" s="30">
        <v>46148</v>
      </c>
      <c r="H1331" t="s">
        <v>3349</v>
      </c>
      <c r="I1331">
        <v>1198520.3999999999</v>
      </c>
      <c r="J1331" s="123">
        <v>0</v>
      </c>
      <c r="K1331" s="123">
        <v>0</v>
      </c>
      <c r="L1331" s="123">
        <v>46122</v>
      </c>
      <c r="M1331">
        <v>0</v>
      </c>
      <c r="N1331">
        <v>0</v>
      </c>
      <c r="O1331">
        <v>0</v>
      </c>
      <c r="P1331" s="216">
        <v>100000</v>
      </c>
      <c r="Q1331" s="217" t="s">
        <v>27</v>
      </c>
      <c r="R1331" s="217" t="s">
        <v>61</v>
      </c>
      <c r="S1331" s="218">
        <v>0.40108954340702091</v>
      </c>
      <c r="T1331" t="s">
        <v>550</v>
      </c>
      <c r="U1331" t="s">
        <v>51</v>
      </c>
      <c r="V1331" s="219">
        <v>0</v>
      </c>
      <c r="W1331" s="219">
        <v>0</v>
      </c>
    </row>
    <row r="1332" spans="1:23" ht="15" customHeight="1" x14ac:dyDescent="0.25">
      <c r="A1332" t="s">
        <v>3350</v>
      </c>
      <c r="B1332" t="s">
        <v>595</v>
      </c>
      <c r="C1332">
        <v>49000</v>
      </c>
      <c r="D1332" t="s">
        <v>3351</v>
      </c>
      <c r="E1332" t="s">
        <v>263</v>
      </c>
      <c r="F1332" t="s">
        <v>554</v>
      </c>
      <c r="G1332" s="30">
        <v>46146</v>
      </c>
      <c r="H1332" t="s">
        <v>3352</v>
      </c>
      <c r="I1332">
        <v>1735911.91</v>
      </c>
      <c r="J1332" s="123">
        <v>0</v>
      </c>
      <c r="K1332" s="123">
        <v>0</v>
      </c>
      <c r="L1332" s="123">
        <v>46145</v>
      </c>
      <c r="M1332">
        <v>0</v>
      </c>
      <c r="N1332">
        <v>0</v>
      </c>
      <c r="O1332">
        <v>0</v>
      </c>
      <c r="P1332" s="216">
        <v>49000</v>
      </c>
      <c r="Q1332" s="217" t="s">
        <v>8</v>
      </c>
      <c r="R1332" s="217" t="s">
        <v>554</v>
      </c>
      <c r="S1332" s="218">
        <v>0.25709625438309253</v>
      </c>
      <c r="T1332" t="s">
        <v>550</v>
      </c>
      <c r="U1332" t="s">
        <v>74</v>
      </c>
      <c r="V1332" s="219" t="s">
        <v>6595</v>
      </c>
      <c r="W1332" s="219" t="s">
        <v>67</v>
      </c>
    </row>
    <row r="1333" spans="1:23" ht="15" customHeight="1" x14ac:dyDescent="0.25">
      <c r="A1333" t="s">
        <v>3353</v>
      </c>
      <c r="B1333" t="s">
        <v>595</v>
      </c>
      <c r="C1333">
        <v>50000</v>
      </c>
      <c r="D1333" t="s">
        <v>3351</v>
      </c>
      <c r="E1333" t="s">
        <v>263</v>
      </c>
      <c r="F1333" t="s">
        <v>554</v>
      </c>
      <c r="G1333" s="30">
        <v>46146</v>
      </c>
      <c r="H1333" t="s">
        <v>3352</v>
      </c>
      <c r="I1333">
        <v>1735911.91</v>
      </c>
      <c r="J1333" s="123">
        <v>0</v>
      </c>
      <c r="K1333" s="123">
        <v>0</v>
      </c>
      <c r="L1333" s="123">
        <v>46140</v>
      </c>
      <c r="M1333">
        <v>0</v>
      </c>
      <c r="N1333">
        <v>0</v>
      </c>
      <c r="O1333">
        <v>0</v>
      </c>
      <c r="P1333" s="216">
        <v>50000</v>
      </c>
      <c r="Q1333" s="217" t="s">
        <v>8</v>
      </c>
      <c r="R1333" s="217" t="s">
        <v>554</v>
      </c>
      <c r="S1333" s="218">
        <v>0.25709625438309253</v>
      </c>
      <c r="T1333" t="s">
        <v>550</v>
      </c>
      <c r="U1333" t="s">
        <v>74</v>
      </c>
      <c r="V1333" s="219" t="s">
        <v>6596</v>
      </c>
      <c r="W1333" s="219" t="s">
        <v>67</v>
      </c>
    </row>
    <row r="1334" spans="1:23" ht="15" customHeight="1" x14ac:dyDescent="0.25">
      <c r="A1334" t="s">
        <v>3354</v>
      </c>
      <c r="B1334" t="s">
        <v>595</v>
      </c>
      <c r="C1334">
        <v>178500</v>
      </c>
      <c r="D1334" t="s">
        <v>3355</v>
      </c>
      <c r="E1334" t="s">
        <v>263</v>
      </c>
      <c r="F1334" t="s">
        <v>554</v>
      </c>
      <c r="G1334" s="30">
        <v>46143</v>
      </c>
      <c r="H1334" t="s">
        <v>3356</v>
      </c>
      <c r="I1334">
        <v>1776281.95</v>
      </c>
      <c r="J1334" s="123">
        <v>0</v>
      </c>
      <c r="K1334" s="123">
        <v>0</v>
      </c>
      <c r="L1334" s="123">
        <v>46143</v>
      </c>
      <c r="M1334">
        <v>0</v>
      </c>
      <c r="N1334">
        <v>0</v>
      </c>
      <c r="O1334">
        <v>0</v>
      </c>
      <c r="P1334" s="216">
        <v>178500</v>
      </c>
      <c r="Q1334" s="217" t="s">
        <v>8</v>
      </c>
      <c r="R1334" s="217" t="s">
        <v>554</v>
      </c>
      <c r="S1334" s="218">
        <v>0.50065630346209222</v>
      </c>
      <c r="T1334" t="s">
        <v>550</v>
      </c>
      <c r="U1334" t="s">
        <v>74</v>
      </c>
      <c r="V1334" s="219" t="s">
        <v>6597</v>
      </c>
      <c r="W1334" s="219" t="s">
        <v>67</v>
      </c>
    </row>
    <row r="1335" spans="1:23" ht="15" customHeight="1" x14ac:dyDescent="0.25">
      <c r="A1335" t="s">
        <v>3357</v>
      </c>
      <c r="B1335" t="s">
        <v>546</v>
      </c>
      <c r="C1335">
        <v>70426</v>
      </c>
      <c r="D1335" t="s">
        <v>3358</v>
      </c>
      <c r="E1335" t="s">
        <v>3359</v>
      </c>
      <c r="F1335" t="s">
        <v>554</v>
      </c>
      <c r="G1335" s="30">
        <v>46143</v>
      </c>
      <c r="H1335" t="s">
        <v>3360</v>
      </c>
      <c r="I1335">
        <v>2181930.66</v>
      </c>
      <c r="J1335" s="123">
        <v>0</v>
      </c>
      <c r="K1335" s="123">
        <v>0</v>
      </c>
      <c r="L1335" s="123">
        <v>0</v>
      </c>
      <c r="M1335">
        <v>0</v>
      </c>
      <c r="N1335">
        <v>0</v>
      </c>
      <c r="O1335">
        <v>0</v>
      </c>
      <c r="P1335" s="216">
        <v>70426</v>
      </c>
      <c r="Q1335" s="217" t="s">
        <v>8</v>
      </c>
      <c r="R1335" s="217" t="s">
        <v>554</v>
      </c>
      <c r="S1335" s="218">
        <v>0.40050151089356112</v>
      </c>
      <c r="T1335" t="s">
        <v>550</v>
      </c>
      <c r="U1335" t="s">
        <v>74</v>
      </c>
      <c r="V1335" s="219" t="s">
        <v>6598</v>
      </c>
      <c r="W1335" s="219" t="s">
        <v>67</v>
      </c>
    </row>
    <row r="1336" spans="1:23" ht="15" customHeight="1" x14ac:dyDescent="0.25">
      <c r="A1336" t="s">
        <v>3361</v>
      </c>
      <c r="B1336" t="s">
        <v>546</v>
      </c>
      <c r="C1336">
        <v>117376</v>
      </c>
      <c r="D1336" t="s">
        <v>3358</v>
      </c>
      <c r="E1336" t="s">
        <v>3359</v>
      </c>
      <c r="F1336" t="s">
        <v>554</v>
      </c>
      <c r="G1336" s="30">
        <v>46143</v>
      </c>
      <c r="H1336" t="s">
        <v>3360</v>
      </c>
      <c r="I1336">
        <v>2181930.66</v>
      </c>
      <c r="J1336" s="123">
        <v>0</v>
      </c>
      <c r="K1336" s="123">
        <v>0</v>
      </c>
      <c r="L1336" s="123">
        <v>0</v>
      </c>
      <c r="M1336">
        <v>0</v>
      </c>
      <c r="N1336">
        <v>0</v>
      </c>
      <c r="O1336">
        <v>0</v>
      </c>
      <c r="P1336" s="216">
        <v>117376</v>
      </c>
      <c r="Q1336" s="217" t="s">
        <v>8</v>
      </c>
      <c r="R1336" s="217" t="s">
        <v>554</v>
      </c>
      <c r="S1336" s="218">
        <v>0.40050151089356112</v>
      </c>
      <c r="T1336" t="s">
        <v>550</v>
      </c>
      <c r="U1336" t="s">
        <v>74</v>
      </c>
      <c r="V1336" s="219" t="s">
        <v>6599</v>
      </c>
      <c r="W1336" s="219" t="s">
        <v>67</v>
      </c>
    </row>
    <row r="1337" spans="1:23" ht="15" customHeight="1" x14ac:dyDescent="0.25">
      <c r="A1337" t="s">
        <v>3362</v>
      </c>
      <c r="B1337" t="s">
        <v>546</v>
      </c>
      <c r="C1337">
        <v>72731</v>
      </c>
      <c r="D1337" t="s">
        <v>3358</v>
      </c>
      <c r="E1337" t="s">
        <v>3359</v>
      </c>
      <c r="F1337" t="s">
        <v>548</v>
      </c>
      <c r="G1337" s="30">
        <v>46143</v>
      </c>
      <c r="H1337" t="s">
        <v>3360</v>
      </c>
      <c r="I1337">
        <v>2181930.66</v>
      </c>
      <c r="J1337" s="123">
        <v>0</v>
      </c>
      <c r="K1337" s="123">
        <v>0</v>
      </c>
      <c r="L1337" s="123">
        <v>0</v>
      </c>
      <c r="M1337">
        <v>0</v>
      </c>
      <c r="N1337">
        <v>0</v>
      </c>
      <c r="O1337">
        <v>0</v>
      </c>
      <c r="P1337" s="216">
        <v>72731</v>
      </c>
      <c r="Q1337" s="217" t="s">
        <v>8</v>
      </c>
      <c r="R1337" s="217" t="s">
        <v>62</v>
      </c>
      <c r="S1337" s="218">
        <v>0.40050151089356112</v>
      </c>
      <c r="T1337" t="s">
        <v>550</v>
      </c>
      <c r="U1337" t="s">
        <v>74</v>
      </c>
      <c r="V1337" s="219">
        <v>0</v>
      </c>
      <c r="W1337" s="219">
        <v>0</v>
      </c>
    </row>
    <row r="1338" spans="1:23" ht="15" customHeight="1" x14ac:dyDescent="0.25">
      <c r="A1338" t="s">
        <v>3363</v>
      </c>
      <c r="B1338" t="s">
        <v>546</v>
      </c>
      <c r="C1338">
        <v>72731</v>
      </c>
      <c r="D1338" t="s">
        <v>3358</v>
      </c>
      <c r="E1338" t="s">
        <v>3359</v>
      </c>
      <c r="F1338" t="s">
        <v>548</v>
      </c>
      <c r="G1338" s="30">
        <v>46143</v>
      </c>
      <c r="H1338" t="s">
        <v>3360</v>
      </c>
      <c r="I1338">
        <v>2181930.66</v>
      </c>
      <c r="J1338" s="123">
        <v>0</v>
      </c>
      <c r="K1338" s="123">
        <v>0</v>
      </c>
      <c r="L1338" s="123">
        <v>0</v>
      </c>
      <c r="M1338">
        <v>0</v>
      </c>
      <c r="N1338">
        <v>0</v>
      </c>
      <c r="O1338">
        <v>0</v>
      </c>
      <c r="P1338" s="216">
        <v>72731</v>
      </c>
      <c r="Q1338" s="217" t="s">
        <v>8</v>
      </c>
      <c r="R1338" s="217" t="s">
        <v>62</v>
      </c>
      <c r="S1338" s="218">
        <v>0.40050151089356112</v>
      </c>
      <c r="T1338" t="s">
        <v>550</v>
      </c>
      <c r="U1338" t="s">
        <v>74</v>
      </c>
      <c r="V1338" s="219">
        <v>0</v>
      </c>
      <c r="W1338" s="219">
        <v>0</v>
      </c>
    </row>
    <row r="1339" spans="1:23" ht="15" customHeight="1" x14ac:dyDescent="0.25">
      <c r="A1339" t="s">
        <v>3364</v>
      </c>
      <c r="B1339" t="s">
        <v>546</v>
      </c>
      <c r="C1339">
        <v>72731</v>
      </c>
      <c r="D1339" t="s">
        <v>3358</v>
      </c>
      <c r="E1339" t="s">
        <v>3359</v>
      </c>
      <c r="F1339" t="s">
        <v>548</v>
      </c>
      <c r="G1339" s="30">
        <v>46143</v>
      </c>
      <c r="H1339" t="s">
        <v>3360</v>
      </c>
      <c r="I1339">
        <v>2181930.66</v>
      </c>
      <c r="J1339" s="123">
        <v>0</v>
      </c>
      <c r="K1339" s="123">
        <v>0</v>
      </c>
      <c r="L1339" s="123">
        <v>0</v>
      </c>
      <c r="M1339">
        <v>0</v>
      </c>
      <c r="N1339">
        <v>0</v>
      </c>
      <c r="O1339">
        <v>0</v>
      </c>
      <c r="P1339" s="216">
        <v>72731</v>
      </c>
      <c r="Q1339" s="217" t="s">
        <v>8</v>
      </c>
      <c r="R1339" s="217" t="s">
        <v>62</v>
      </c>
      <c r="S1339" s="218">
        <v>0.40050151089356112</v>
      </c>
      <c r="T1339" t="s">
        <v>550</v>
      </c>
      <c r="U1339" t="s">
        <v>74</v>
      </c>
      <c r="V1339" s="219">
        <v>0</v>
      </c>
      <c r="W1339" s="219">
        <v>0</v>
      </c>
    </row>
    <row r="1340" spans="1:23" ht="15" customHeight="1" x14ac:dyDescent="0.25">
      <c r="A1340" t="s">
        <v>3365</v>
      </c>
      <c r="B1340" t="s">
        <v>546</v>
      </c>
      <c r="C1340">
        <v>30580</v>
      </c>
      <c r="D1340" t="s">
        <v>3358</v>
      </c>
      <c r="E1340" t="s">
        <v>3359</v>
      </c>
      <c r="F1340" t="s">
        <v>548</v>
      </c>
      <c r="G1340" s="30">
        <v>46143</v>
      </c>
      <c r="H1340" t="s">
        <v>3360</v>
      </c>
      <c r="I1340">
        <v>2181930.66</v>
      </c>
      <c r="J1340" s="123">
        <v>0</v>
      </c>
      <c r="K1340" s="123">
        <v>0</v>
      </c>
      <c r="L1340" s="123">
        <v>0</v>
      </c>
      <c r="M1340">
        <v>0</v>
      </c>
      <c r="N1340">
        <v>0</v>
      </c>
      <c r="O1340">
        <v>0</v>
      </c>
      <c r="P1340" s="216">
        <v>30580</v>
      </c>
      <c r="Q1340" s="217" t="s">
        <v>8</v>
      </c>
      <c r="R1340" s="217" t="s">
        <v>62</v>
      </c>
      <c r="S1340" s="218">
        <v>0.40050151089356112</v>
      </c>
      <c r="T1340" t="s">
        <v>550</v>
      </c>
      <c r="U1340" t="s">
        <v>74</v>
      </c>
      <c r="V1340" s="219">
        <v>0</v>
      </c>
      <c r="W1340" s="219">
        <v>0</v>
      </c>
    </row>
    <row r="1341" spans="1:23" ht="15" customHeight="1" x14ac:dyDescent="0.25">
      <c r="A1341" t="s">
        <v>3366</v>
      </c>
      <c r="B1341" t="s">
        <v>546</v>
      </c>
      <c r="C1341">
        <v>30580</v>
      </c>
      <c r="D1341" t="s">
        <v>3358</v>
      </c>
      <c r="E1341" t="s">
        <v>3359</v>
      </c>
      <c r="F1341" t="s">
        <v>548</v>
      </c>
      <c r="G1341" s="30">
        <v>46146</v>
      </c>
      <c r="H1341" t="s">
        <v>3360</v>
      </c>
      <c r="I1341">
        <v>2181930.66</v>
      </c>
      <c r="J1341" s="123">
        <v>0</v>
      </c>
      <c r="K1341" s="123">
        <v>0</v>
      </c>
      <c r="L1341" s="123">
        <v>0</v>
      </c>
      <c r="M1341">
        <v>0</v>
      </c>
      <c r="N1341">
        <v>0</v>
      </c>
      <c r="O1341">
        <v>0</v>
      </c>
      <c r="P1341" s="216">
        <v>30580</v>
      </c>
      <c r="Q1341" s="217" t="s">
        <v>8</v>
      </c>
      <c r="R1341" s="217" t="s">
        <v>62</v>
      </c>
      <c r="S1341" s="218">
        <v>0.40050151089356112</v>
      </c>
      <c r="T1341" t="s">
        <v>550</v>
      </c>
      <c r="U1341" t="s">
        <v>74</v>
      </c>
      <c r="V1341" s="219">
        <v>0</v>
      </c>
      <c r="W1341" s="219">
        <v>0</v>
      </c>
    </row>
    <row r="1342" spans="1:23" ht="15" customHeight="1" x14ac:dyDescent="0.25">
      <c r="A1342" t="s">
        <v>3367</v>
      </c>
      <c r="B1342" t="s">
        <v>546</v>
      </c>
      <c r="C1342">
        <v>30580</v>
      </c>
      <c r="D1342" t="s">
        <v>3358</v>
      </c>
      <c r="E1342" t="s">
        <v>3359</v>
      </c>
      <c r="F1342" t="s">
        <v>548</v>
      </c>
      <c r="G1342" s="30">
        <v>46147</v>
      </c>
      <c r="H1342" t="s">
        <v>3360</v>
      </c>
      <c r="I1342">
        <v>2181930.66</v>
      </c>
      <c r="J1342" s="123">
        <v>0</v>
      </c>
      <c r="K1342" s="123">
        <v>0</v>
      </c>
      <c r="L1342" s="123">
        <v>0</v>
      </c>
      <c r="M1342">
        <v>0</v>
      </c>
      <c r="N1342">
        <v>0</v>
      </c>
      <c r="O1342">
        <v>0</v>
      </c>
      <c r="P1342" s="216">
        <v>30580</v>
      </c>
      <c r="Q1342" s="217" t="s">
        <v>8</v>
      </c>
      <c r="R1342" s="217" t="s">
        <v>62</v>
      </c>
      <c r="S1342" s="218">
        <v>0.40050151089356112</v>
      </c>
      <c r="T1342" t="s">
        <v>550</v>
      </c>
      <c r="U1342" t="s">
        <v>74</v>
      </c>
      <c r="V1342" s="219">
        <v>0</v>
      </c>
      <c r="W1342" s="219">
        <v>0</v>
      </c>
    </row>
    <row r="1343" spans="1:23" ht="15" customHeight="1" x14ac:dyDescent="0.25">
      <c r="A1343" t="s">
        <v>3368</v>
      </c>
      <c r="B1343" t="s">
        <v>546</v>
      </c>
      <c r="C1343">
        <v>30580</v>
      </c>
      <c r="D1343" t="s">
        <v>3358</v>
      </c>
      <c r="E1343" t="s">
        <v>3359</v>
      </c>
      <c r="F1343" t="s">
        <v>554</v>
      </c>
      <c r="G1343" s="30">
        <v>46147</v>
      </c>
      <c r="H1343" t="s">
        <v>3360</v>
      </c>
      <c r="I1343">
        <v>2181930.66</v>
      </c>
      <c r="J1343" s="123">
        <v>0</v>
      </c>
      <c r="K1343" s="123">
        <v>0</v>
      </c>
      <c r="L1343" s="123">
        <v>0</v>
      </c>
      <c r="M1343">
        <v>0</v>
      </c>
      <c r="N1343">
        <v>0</v>
      </c>
      <c r="O1343">
        <v>0</v>
      </c>
      <c r="P1343" s="216">
        <v>30580</v>
      </c>
      <c r="Q1343" s="217" t="s">
        <v>8</v>
      </c>
      <c r="R1343" s="217" t="s">
        <v>554</v>
      </c>
      <c r="S1343" s="218">
        <v>0.40050151089356112</v>
      </c>
      <c r="T1343" t="s">
        <v>550</v>
      </c>
      <c r="U1343" t="s">
        <v>74</v>
      </c>
      <c r="V1343" s="219" t="s">
        <v>6600</v>
      </c>
      <c r="W1343" s="219" t="s">
        <v>67</v>
      </c>
    </row>
    <row r="1344" spans="1:23" ht="15" customHeight="1" x14ac:dyDescent="0.25">
      <c r="A1344" t="s">
        <v>3369</v>
      </c>
      <c r="B1344" t="s">
        <v>575</v>
      </c>
      <c r="C1344">
        <v>110850.87</v>
      </c>
      <c r="D1344" t="s">
        <v>3370</v>
      </c>
      <c r="E1344" t="s">
        <v>553</v>
      </c>
      <c r="F1344" t="s">
        <v>554</v>
      </c>
      <c r="G1344" s="30">
        <v>46146</v>
      </c>
      <c r="H1344" t="s">
        <v>3371</v>
      </c>
      <c r="I1344">
        <v>1108521.27</v>
      </c>
      <c r="J1344" s="123">
        <v>46146</v>
      </c>
      <c r="K1344" s="123">
        <v>0</v>
      </c>
      <c r="L1344" s="123">
        <v>46146</v>
      </c>
      <c r="M1344">
        <v>0</v>
      </c>
      <c r="N1344">
        <v>0</v>
      </c>
      <c r="O1344" t="s">
        <v>556</v>
      </c>
      <c r="P1344" s="216">
        <v>110850.87</v>
      </c>
      <c r="Q1344" s="217" t="s">
        <v>8</v>
      </c>
      <c r="R1344" s="217" t="s">
        <v>554</v>
      </c>
      <c r="S1344" s="218">
        <v>0.39999954173184243</v>
      </c>
      <c r="T1344" t="s">
        <v>550</v>
      </c>
      <c r="U1344" t="s">
        <v>74</v>
      </c>
      <c r="V1344" s="219" t="s">
        <v>6601</v>
      </c>
      <c r="W1344" s="219" t="s">
        <v>67</v>
      </c>
    </row>
    <row r="1345" spans="1:23" ht="15" customHeight="1" x14ac:dyDescent="0.25">
      <c r="A1345" t="s">
        <v>3372</v>
      </c>
      <c r="B1345" t="s">
        <v>546</v>
      </c>
      <c r="C1345">
        <v>10000</v>
      </c>
      <c r="D1345" t="s">
        <v>3373</v>
      </c>
      <c r="E1345" t="s">
        <v>553</v>
      </c>
      <c r="F1345" t="s">
        <v>554</v>
      </c>
      <c r="G1345" s="30">
        <v>46148</v>
      </c>
      <c r="H1345" t="s">
        <v>3374</v>
      </c>
      <c r="I1345">
        <v>1133116.8</v>
      </c>
      <c r="J1345" s="123">
        <v>46148</v>
      </c>
      <c r="K1345" s="123">
        <v>0</v>
      </c>
      <c r="L1345" s="123">
        <v>46148</v>
      </c>
      <c r="M1345">
        <v>0</v>
      </c>
      <c r="N1345">
        <v>0</v>
      </c>
      <c r="O1345" t="s">
        <v>556</v>
      </c>
      <c r="P1345" s="216">
        <v>10000</v>
      </c>
      <c r="Q1345" s="217" t="s">
        <v>8</v>
      </c>
      <c r="R1345" s="217" t="s">
        <v>554</v>
      </c>
      <c r="S1345" s="218">
        <v>0.4933626392851766</v>
      </c>
      <c r="T1345" t="s">
        <v>550</v>
      </c>
      <c r="U1345" t="s">
        <v>74</v>
      </c>
      <c r="V1345" s="219" t="s">
        <v>6602</v>
      </c>
      <c r="W1345" s="219" t="s">
        <v>67</v>
      </c>
    </row>
    <row r="1346" spans="1:23" ht="15" customHeight="1" x14ac:dyDescent="0.25">
      <c r="A1346" t="s">
        <v>3375</v>
      </c>
      <c r="B1346" t="s">
        <v>546</v>
      </c>
      <c r="C1346">
        <v>17517.5</v>
      </c>
      <c r="D1346" t="s">
        <v>3373</v>
      </c>
      <c r="E1346" t="s">
        <v>553</v>
      </c>
      <c r="F1346" t="s">
        <v>548</v>
      </c>
      <c r="G1346" s="30">
        <v>46148</v>
      </c>
      <c r="H1346" t="s">
        <v>3374</v>
      </c>
      <c r="I1346">
        <v>1133116.8</v>
      </c>
      <c r="J1346" s="123">
        <v>46148</v>
      </c>
      <c r="K1346" s="123">
        <v>0</v>
      </c>
      <c r="L1346" s="123">
        <v>46148</v>
      </c>
      <c r="M1346">
        <v>0</v>
      </c>
      <c r="N1346">
        <v>0</v>
      </c>
      <c r="O1346" t="s">
        <v>556</v>
      </c>
      <c r="P1346" s="216">
        <v>17517.5</v>
      </c>
      <c r="Q1346" s="217" t="s">
        <v>8</v>
      </c>
      <c r="R1346" s="217" t="s">
        <v>62</v>
      </c>
      <c r="S1346" s="218">
        <v>0.4933626392851766</v>
      </c>
      <c r="T1346" t="s">
        <v>550</v>
      </c>
      <c r="U1346" t="s">
        <v>74</v>
      </c>
      <c r="V1346" s="219">
        <v>0</v>
      </c>
      <c r="W1346" s="219">
        <v>0</v>
      </c>
    </row>
    <row r="1347" spans="1:23" ht="15" customHeight="1" x14ac:dyDescent="0.25">
      <c r="A1347" t="s">
        <v>3376</v>
      </c>
      <c r="B1347" t="s">
        <v>595</v>
      </c>
      <c r="C1347">
        <v>31024</v>
      </c>
      <c r="D1347" t="s">
        <v>3377</v>
      </c>
      <c r="E1347" t="s">
        <v>263</v>
      </c>
      <c r="F1347" t="s">
        <v>580</v>
      </c>
      <c r="G1347" s="30">
        <v>46149</v>
      </c>
      <c r="H1347" t="s">
        <v>3378</v>
      </c>
      <c r="I1347">
        <v>1132406.3899999999</v>
      </c>
      <c r="J1347" s="123">
        <v>0</v>
      </c>
      <c r="K1347" s="123">
        <v>0</v>
      </c>
      <c r="L1347" s="123">
        <v>46145</v>
      </c>
      <c r="M1347">
        <v>0</v>
      </c>
      <c r="N1347">
        <v>0</v>
      </c>
      <c r="O1347">
        <v>0</v>
      </c>
      <c r="P1347" s="216">
        <v>31024</v>
      </c>
      <c r="Q1347" s="217" t="s">
        <v>8</v>
      </c>
      <c r="R1347" s="217" t="s">
        <v>582</v>
      </c>
      <c r="S1347" s="218">
        <v>0.40011628687471468</v>
      </c>
      <c r="T1347" t="s">
        <v>550</v>
      </c>
      <c r="U1347" t="s">
        <v>74</v>
      </c>
      <c r="V1347" s="219">
        <v>0</v>
      </c>
      <c r="W1347" s="219">
        <v>0</v>
      </c>
    </row>
    <row r="1348" spans="1:23" ht="15" customHeight="1" x14ac:dyDescent="0.25">
      <c r="A1348" t="s">
        <v>3379</v>
      </c>
      <c r="B1348" t="s">
        <v>595</v>
      </c>
      <c r="C1348">
        <v>62425.96</v>
      </c>
      <c r="D1348" t="s">
        <v>3380</v>
      </c>
      <c r="E1348" t="s">
        <v>263</v>
      </c>
      <c r="F1348" t="s">
        <v>580</v>
      </c>
      <c r="G1348" s="30">
        <v>46147</v>
      </c>
      <c r="H1348" t="s">
        <v>3381</v>
      </c>
      <c r="I1348">
        <v>2278547.52</v>
      </c>
      <c r="J1348" s="123">
        <v>0</v>
      </c>
      <c r="K1348" s="123">
        <v>0</v>
      </c>
      <c r="L1348" s="123">
        <v>46146</v>
      </c>
      <c r="M1348">
        <v>0</v>
      </c>
      <c r="N1348">
        <v>0</v>
      </c>
      <c r="O1348">
        <v>0</v>
      </c>
      <c r="P1348" s="216">
        <v>62425.96</v>
      </c>
      <c r="Q1348" s="217" t="s">
        <v>8</v>
      </c>
      <c r="R1348" s="217" t="s">
        <v>582</v>
      </c>
      <c r="S1348" s="218">
        <v>0.30027955703991638</v>
      </c>
      <c r="T1348" t="s">
        <v>550</v>
      </c>
      <c r="U1348" t="s">
        <v>74</v>
      </c>
      <c r="V1348" s="219">
        <v>0</v>
      </c>
      <c r="W1348" s="219">
        <v>0</v>
      </c>
    </row>
    <row r="1349" spans="1:23" ht="15" customHeight="1" x14ac:dyDescent="0.25">
      <c r="A1349" t="s">
        <v>3382</v>
      </c>
      <c r="B1349" t="s">
        <v>575</v>
      </c>
      <c r="C1349">
        <v>114128</v>
      </c>
      <c r="D1349" t="s">
        <v>3383</v>
      </c>
      <c r="E1349" t="s">
        <v>298</v>
      </c>
      <c r="F1349" t="s">
        <v>580</v>
      </c>
      <c r="G1349" s="30">
        <v>46149</v>
      </c>
      <c r="H1349" t="s">
        <v>3384</v>
      </c>
      <c r="I1349">
        <v>1189026.7</v>
      </c>
      <c r="J1349" s="123">
        <v>0</v>
      </c>
      <c r="K1349" s="123">
        <v>0</v>
      </c>
      <c r="L1349" s="123">
        <v>46148</v>
      </c>
      <c r="M1349">
        <v>0</v>
      </c>
      <c r="N1349">
        <v>0</v>
      </c>
      <c r="O1349">
        <v>0</v>
      </c>
      <c r="P1349" s="216">
        <v>114128</v>
      </c>
      <c r="Q1349" s="217" t="s">
        <v>45</v>
      </c>
      <c r="R1349" s="217" t="s">
        <v>582</v>
      </c>
      <c r="S1349" s="218">
        <v>0.50205667700242262</v>
      </c>
      <c r="T1349" t="s">
        <v>550</v>
      </c>
      <c r="U1349" t="s">
        <v>74</v>
      </c>
      <c r="V1349" s="219">
        <v>0</v>
      </c>
      <c r="W1349" s="219">
        <v>0</v>
      </c>
    </row>
    <row r="1350" spans="1:23" ht="15" customHeight="1" x14ac:dyDescent="0.25">
      <c r="A1350" t="s">
        <v>3385</v>
      </c>
      <c r="B1350" t="s">
        <v>575</v>
      </c>
      <c r="C1350">
        <v>112024</v>
      </c>
      <c r="D1350" t="s">
        <v>3386</v>
      </c>
      <c r="E1350" t="s">
        <v>263</v>
      </c>
      <c r="F1350" t="s">
        <v>585</v>
      </c>
      <c r="G1350" s="30">
        <v>46144</v>
      </c>
      <c r="H1350" t="s">
        <v>3387</v>
      </c>
      <c r="I1350">
        <v>1120240.48</v>
      </c>
      <c r="J1350" s="123">
        <v>0</v>
      </c>
      <c r="K1350" s="123">
        <v>0</v>
      </c>
      <c r="L1350" s="123">
        <v>46132</v>
      </c>
      <c r="M1350">
        <v>0</v>
      </c>
      <c r="N1350">
        <v>0</v>
      </c>
      <c r="O1350">
        <v>0</v>
      </c>
      <c r="P1350" s="216">
        <v>112024</v>
      </c>
      <c r="Q1350" s="217" t="s">
        <v>8</v>
      </c>
      <c r="R1350" s="217" t="s">
        <v>61</v>
      </c>
      <c r="S1350" s="218">
        <v>0.30439714158517106</v>
      </c>
      <c r="T1350" t="s">
        <v>550</v>
      </c>
      <c r="U1350" t="s">
        <v>74</v>
      </c>
      <c r="V1350" s="219">
        <v>0</v>
      </c>
      <c r="W1350" s="219">
        <v>0</v>
      </c>
    </row>
    <row r="1351" spans="1:23" ht="15" customHeight="1" x14ac:dyDescent="0.25">
      <c r="A1351" t="s">
        <v>3388</v>
      </c>
      <c r="B1351" t="s">
        <v>595</v>
      </c>
      <c r="C1351">
        <v>163758</v>
      </c>
      <c r="D1351" t="s">
        <v>3389</v>
      </c>
      <c r="E1351" t="s">
        <v>298</v>
      </c>
      <c r="F1351" t="s">
        <v>554</v>
      </c>
      <c r="G1351" s="30">
        <v>46143</v>
      </c>
      <c r="H1351" t="s">
        <v>3390</v>
      </c>
      <c r="I1351">
        <v>1191015.8700000001</v>
      </c>
      <c r="J1351" s="123">
        <v>0</v>
      </c>
      <c r="K1351" s="123">
        <v>0</v>
      </c>
      <c r="L1351" s="123">
        <v>46143</v>
      </c>
      <c r="M1351">
        <v>0</v>
      </c>
      <c r="N1351">
        <v>0</v>
      </c>
      <c r="O1351">
        <v>0</v>
      </c>
      <c r="P1351" s="216">
        <v>163758</v>
      </c>
      <c r="Q1351" s="217" t="s">
        <v>45</v>
      </c>
      <c r="R1351" s="217" t="s">
        <v>554</v>
      </c>
      <c r="S1351" s="218">
        <v>0.76885373492126508</v>
      </c>
      <c r="T1351" t="s">
        <v>550</v>
      </c>
      <c r="U1351" t="s">
        <v>74</v>
      </c>
      <c r="V1351" s="219">
        <v>0</v>
      </c>
      <c r="W1351" s="219" t="s">
        <v>72</v>
      </c>
    </row>
    <row r="1352" spans="1:23" ht="15" customHeight="1" x14ac:dyDescent="0.25">
      <c r="A1352" t="s">
        <v>3391</v>
      </c>
      <c r="B1352" t="s">
        <v>595</v>
      </c>
      <c r="C1352">
        <v>163758</v>
      </c>
      <c r="D1352" t="s">
        <v>3392</v>
      </c>
      <c r="E1352" t="s">
        <v>298</v>
      </c>
      <c r="F1352" t="s">
        <v>585</v>
      </c>
      <c r="G1352" s="30">
        <v>46143</v>
      </c>
      <c r="H1352" t="s">
        <v>3393</v>
      </c>
      <c r="I1352">
        <v>1106669.8799999999</v>
      </c>
      <c r="J1352" s="123">
        <v>0</v>
      </c>
      <c r="K1352" s="123">
        <v>0</v>
      </c>
      <c r="L1352" s="123">
        <v>46143</v>
      </c>
      <c r="M1352">
        <v>0</v>
      </c>
      <c r="N1352">
        <v>0</v>
      </c>
      <c r="O1352">
        <v>0</v>
      </c>
      <c r="P1352" s="216">
        <v>163758</v>
      </c>
      <c r="Q1352" s="217" t="s">
        <v>45</v>
      </c>
      <c r="R1352" s="217" t="s">
        <v>61</v>
      </c>
      <c r="S1352" s="218">
        <v>0.60880847321877063</v>
      </c>
      <c r="T1352" t="s">
        <v>550</v>
      </c>
      <c r="U1352" t="s">
        <v>74</v>
      </c>
      <c r="V1352" s="219">
        <v>0</v>
      </c>
      <c r="W1352" s="219">
        <v>0</v>
      </c>
    </row>
    <row r="1353" spans="1:23" ht="15" customHeight="1" x14ac:dyDescent="0.25">
      <c r="A1353" t="s">
        <v>3394</v>
      </c>
      <c r="B1353" t="s">
        <v>546</v>
      </c>
      <c r="C1353">
        <v>40000</v>
      </c>
      <c r="D1353" t="s">
        <v>3395</v>
      </c>
      <c r="E1353" t="s">
        <v>553</v>
      </c>
      <c r="F1353" t="s">
        <v>554</v>
      </c>
      <c r="G1353" s="30">
        <v>46143</v>
      </c>
      <c r="H1353" t="s">
        <v>3396</v>
      </c>
      <c r="I1353">
        <v>1409372.56</v>
      </c>
      <c r="J1353" s="123">
        <v>46143</v>
      </c>
      <c r="K1353" s="123">
        <v>0</v>
      </c>
      <c r="L1353" s="123">
        <v>46143</v>
      </c>
      <c r="M1353">
        <v>0</v>
      </c>
      <c r="N1353">
        <v>0</v>
      </c>
      <c r="O1353" t="s">
        <v>556</v>
      </c>
      <c r="P1353" s="216">
        <v>40000</v>
      </c>
      <c r="Q1353" s="217" t="s">
        <v>8</v>
      </c>
      <c r="R1353" s="217" t="s">
        <v>554</v>
      </c>
      <c r="S1353" s="218">
        <v>0.29157442940424494</v>
      </c>
      <c r="T1353" t="s">
        <v>550</v>
      </c>
      <c r="U1353" t="s">
        <v>74</v>
      </c>
      <c r="V1353" s="219" t="s">
        <v>6603</v>
      </c>
      <c r="W1353" s="219" t="s">
        <v>67</v>
      </c>
    </row>
    <row r="1354" spans="1:23" ht="15" customHeight="1" x14ac:dyDescent="0.25">
      <c r="A1354" t="s">
        <v>3397</v>
      </c>
      <c r="B1354" t="s">
        <v>575</v>
      </c>
      <c r="C1354">
        <v>110128</v>
      </c>
      <c r="D1354" t="s">
        <v>3398</v>
      </c>
      <c r="E1354" t="s">
        <v>263</v>
      </c>
      <c r="F1354" t="s">
        <v>585</v>
      </c>
      <c r="G1354" s="30">
        <v>46144</v>
      </c>
      <c r="H1354" t="s">
        <v>3399</v>
      </c>
      <c r="I1354">
        <v>1123752.2</v>
      </c>
      <c r="J1354" s="123">
        <v>0</v>
      </c>
      <c r="K1354" s="123">
        <v>0</v>
      </c>
      <c r="L1354" s="123">
        <v>46144</v>
      </c>
      <c r="M1354">
        <v>0</v>
      </c>
      <c r="N1354">
        <v>0</v>
      </c>
      <c r="O1354">
        <v>0</v>
      </c>
      <c r="P1354" s="216">
        <v>110128</v>
      </c>
      <c r="Q1354" s="217" t="s">
        <v>8</v>
      </c>
      <c r="R1354" s="217" t="s">
        <v>61</v>
      </c>
      <c r="S1354" s="218">
        <v>0.40090816012201691</v>
      </c>
      <c r="T1354" t="s">
        <v>550</v>
      </c>
      <c r="U1354" t="s">
        <v>74</v>
      </c>
      <c r="V1354" s="219">
        <v>0</v>
      </c>
      <c r="W1354" s="219">
        <v>0</v>
      </c>
    </row>
    <row r="1355" spans="1:23" ht="15" customHeight="1" x14ac:dyDescent="0.25">
      <c r="A1355" t="s">
        <v>3400</v>
      </c>
      <c r="B1355" t="s">
        <v>575</v>
      </c>
      <c r="C1355">
        <v>230123.33</v>
      </c>
      <c r="D1355" t="s">
        <v>3401</v>
      </c>
      <c r="E1355" t="s">
        <v>263</v>
      </c>
      <c r="F1355" t="s">
        <v>554</v>
      </c>
      <c r="G1355" s="30">
        <v>46143</v>
      </c>
      <c r="H1355" t="s">
        <v>3402</v>
      </c>
      <c r="I1355">
        <v>2278633.63</v>
      </c>
      <c r="J1355" s="123">
        <v>0</v>
      </c>
      <c r="K1355" s="123">
        <v>0</v>
      </c>
      <c r="L1355" s="123">
        <v>46143</v>
      </c>
      <c r="M1355">
        <v>0</v>
      </c>
      <c r="N1355">
        <v>0</v>
      </c>
      <c r="O1355">
        <v>0</v>
      </c>
      <c r="P1355" s="216">
        <v>230123.33</v>
      </c>
      <c r="Q1355" s="217" t="s">
        <v>8</v>
      </c>
      <c r="R1355" s="217" t="s">
        <v>554</v>
      </c>
      <c r="S1355" s="218">
        <v>0.50132064451273817</v>
      </c>
      <c r="T1355" t="s">
        <v>550</v>
      </c>
      <c r="U1355" t="s">
        <v>74</v>
      </c>
      <c r="V1355" s="219" t="s">
        <v>6604</v>
      </c>
      <c r="W1355" s="219" t="s">
        <v>67</v>
      </c>
    </row>
    <row r="1356" spans="1:23" ht="15" customHeight="1" x14ac:dyDescent="0.25">
      <c r="A1356" t="s">
        <v>3403</v>
      </c>
      <c r="B1356" t="s">
        <v>595</v>
      </c>
      <c r="C1356">
        <v>30370</v>
      </c>
      <c r="D1356" t="s">
        <v>3404</v>
      </c>
      <c r="E1356" t="s">
        <v>263</v>
      </c>
      <c r="F1356" t="s">
        <v>580</v>
      </c>
      <c r="G1356" s="30">
        <v>46149</v>
      </c>
      <c r="H1356" t="s">
        <v>3405</v>
      </c>
      <c r="I1356">
        <v>1108521.27</v>
      </c>
      <c r="J1356" s="123">
        <v>0</v>
      </c>
      <c r="K1356" s="123">
        <v>0</v>
      </c>
      <c r="L1356" s="123">
        <v>46148</v>
      </c>
      <c r="M1356">
        <v>0</v>
      </c>
      <c r="N1356">
        <v>0</v>
      </c>
      <c r="O1356">
        <v>0</v>
      </c>
      <c r="P1356" s="216">
        <v>30370</v>
      </c>
      <c r="Q1356" s="217" t="s">
        <v>8</v>
      </c>
      <c r="R1356" s="217" t="s">
        <v>582</v>
      </c>
      <c r="S1356" s="218">
        <v>0.39977852657712198</v>
      </c>
      <c r="T1356" t="s">
        <v>550</v>
      </c>
      <c r="U1356" t="s">
        <v>74</v>
      </c>
      <c r="V1356" s="219">
        <v>0</v>
      </c>
      <c r="W1356" s="219">
        <v>0</v>
      </c>
    </row>
    <row r="1357" spans="1:23" ht="15" customHeight="1" x14ac:dyDescent="0.25">
      <c r="A1357" t="s">
        <v>3406</v>
      </c>
      <c r="B1357" t="s">
        <v>546</v>
      </c>
      <c r="C1357">
        <v>40000</v>
      </c>
      <c r="D1357" t="s">
        <v>3407</v>
      </c>
      <c r="E1357" t="s">
        <v>263</v>
      </c>
      <c r="F1357" t="s">
        <v>554</v>
      </c>
      <c r="G1357" s="30">
        <v>46143</v>
      </c>
      <c r="H1357" t="s">
        <v>3408</v>
      </c>
      <c r="I1357">
        <v>1441911.85</v>
      </c>
      <c r="J1357" s="123">
        <v>0</v>
      </c>
      <c r="K1357" s="123">
        <v>0</v>
      </c>
      <c r="L1357" s="123">
        <v>0</v>
      </c>
      <c r="M1357">
        <v>0</v>
      </c>
      <c r="N1357">
        <v>0</v>
      </c>
      <c r="O1357">
        <v>0</v>
      </c>
      <c r="P1357" s="216">
        <v>40000</v>
      </c>
      <c r="Q1357" s="217" t="s">
        <v>8</v>
      </c>
      <c r="R1357" s="217" t="s">
        <v>554</v>
      </c>
      <c r="S1357" s="218">
        <v>0.42771754736601963</v>
      </c>
      <c r="T1357" t="s">
        <v>550</v>
      </c>
      <c r="U1357" t="s">
        <v>74</v>
      </c>
      <c r="V1357" s="219" t="s">
        <v>6605</v>
      </c>
      <c r="W1357" s="219" t="s">
        <v>67</v>
      </c>
    </row>
    <row r="1358" spans="1:23" ht="15" customHeight="1" x14ac:dyDescent="0.25">
      <c r="A1358" t="s">
        <v>3409</v>
      </c>
      <c r="B1358" t="s">
        <v>575</v>
      </c>
      <c r="C1358">
        <v>40000</v>
      </c>
      <c r="D1358" t="s">
        <v>3410</v>
      </c>
      <c r="E1358" t="s">
        <v>553</v>
      </c>
      <c r="F1358" t="s">
        <v>580</v>
      </c>
      <c r="G1358" s="30">
        <v>46149</v>
      </c>
      <c r="H1358" t="s">
        <v>3411</v>
      </c>
      <c r="I1358">
        <v>1474440.39</v>
      </c>
      <c r="J1358" s="123">
        <v>46149</v>
      </c>
      <c r="K1358" s="123">
        <v>0</v>
      </c>
      <c r="L1358" s="123">
        <v>46149</v>
      </c>
      <c r="M1358">
        <v>0</v>
      </c>
      <c r="N1358">
        <v>0</v>
      </c>
      <c r="O1358" t="s">
        <v>556</v>
      </c>
      <c r="P1358" s="216">
        <v>40000</v>
      </c>
      <c r="Q1358" s="217" t="s">
        <v>8</v>
      </c>
      <c r="R1358" s="217" t="s">
        <v>582</v>
      </c>
      <c r="S1358" s="218">
        <v>0.39999989419714693</v>
      </c>
      <c r="T1358" t="s">
        <v>550</v>
      </c>
      <c r="U1358" t="s">
        <v>74</v>
      </c>
      <c r="V1358" s="219">
        <v>0</v>
      </c>
      <c r="W1358" s="219">
        <v>0</v>
      </c>
    </row>
    <row r="1359" spans="1:23" ht="15" customHeight="1" x14ac:dyDescent="0.25">
      <c r="A1359" t="s">
        <v>3412</v>
      </c>
      <c r="B1359" t="s">
        <v>575</v>
      </c>
      <c r="C1359">
        <v>117773</v>
      </c>
      <c r="D1359" t="s">
        <v>3413</v>
      </c>
      <c r="E1359" t="s">
        <v>263</v>
      </c>
      <c r="F1359" t="s">
        <v>554</v>
      </c>
      <c r="G1359" s="30">
        <v>46144</v>
      </c>
      <c r="H1359" t="s">
        <v>3414</v>
      </c>
      <c r="I1359">
        <v>1177727.43</v>
      </c>
      <c r="J1359" s="123">
        <v>0</v>
      </c>
      <c r="K1359" s="123">
        <v>0</v>
      </c>
      <c r="L1359" s="123">
        <v>46143</v>
      </c>
      <c r="M1359">
        <v>0</v>
      </c>
      <c r="N1359">
        <v>0</v>
      </c>
      <c r="O1359">
        <v>0</v>
      </c>
      <c r="P1359" s="216">
        <v>117773</v>
      </c>
      <c r="Q1359" s="217" t="s">
        <v>8</v>
      </c>
      <c r="R1359" s="217" t="s">
        <v>554</v>
      </c>
      <c r="S1359" s="218">
        <v>0.49983020264714395</v>
      </c>
      <c r="T1359" t="s">
        <v>550</v>
      </c>
      <c r="U1359" t="s">
        <v>74</v>
      </c>
      <c r="V1359" s="219" t="s">
        <v>6606</v>
      </c>
      <c r="W1359" s="219" t="s">
        <v>67</v>
      </c>
    </row>
    <row r="1360" spans="1:23" ht="15" customHeight="1" x14ac:dyDescent="0.25">
      <c r="A1360" t="s">
        <v>3415</v>
      </c>
      <c r="B1360" t="s">
        <v>64</v>
      </c>
      <c r="C1360">
        <v>151450.47</v>
      </c>
      <c r="D1360" t="s">
        <v>3416</v>
      </c>
      <c r="E1360" t="s">
        <v>2909</v>
      </c>
      <c r="F1360" t="s">
        <v>683</v>
      </c>
      <c r="G1360" s="30">
        <v>46149</v>
      </c>
      <c r="H1360" t="s">
        <v>3417</v>
      </c>
      <c r="I1360">
        <v>1514504.74</v>
      </c>
      <c r="J1360" s="123">
        <v>0</v>
      </c>
      <c r="K1360" s="123">
        <v>46150</v>
      </c>
      <c r="L1360" s="123">
        <v>0</v>
      </c>
      <c r="M1360">
        <v>0</v>
      </c>
      <c r="N1360">
        <v>0</v>
      </c>
      <c r="O1360" t="s">
        <v>556</v>
      </c>
      <c r="P1360" s="216">
        <v>151450.47</v>
      </c>
      <c r="Q1360" s="217" t="s">
        <v>8</v>
      </c>
      <c r="R1360" s="217" t="s">
        <v>62</v>
      </c>
      <c r="S1360" s="218">
        <v>0.4010145719319439</v>
      </c>
      <c r="T1360" t="s">
        <v>550</v>
      </c>
      <c r="U1360" t="s">
        <v>74</v>
      </c>
      <c r="V1360" s="219">
        <v>0</v>
      </c>
      <c r="W1360" s="219">
        <v>0</v>
      </c>
    </row>
    <row r="1361" spans="1:23" ht="15" customHeight="1" x14ac:dyDescent="0.25">
      <c r="A1361" t="s">
        <v>3418</v>
      </c>
      <c r="B1361" t="s">
        <v>64</v>
      </c>
      <c r="C1361">
        <v>151450.47</v>
      </c>
      <c r="D1361" t="s">
        <v>3416</v>
      </c>
      <c r="E1361" t="s">
        <v>2909</v>
      </c>
      <c r="F1361" t="s">
        <v>683</v>
      </c>
      <c r="G1361" s="30">
        <v>46149</v>
      </c>
      <c r="H1361" t="s">
        <v>3417</v>
      </c>
      <c r="I1361">
        <v>1514504.74</v>
      </c>
      <c r="J1361" s="123">
        <v>0</v>
      </c>
      <c r="K1361" s="123">
        <v>46150</v>
      </c>
      <c r="L1361" s="123">
        <v>0</v>
      </c>
      <c r="M1361">
        <v>0</v>
      </c>
      <c r="N1361">
        <v>0</v>
      </c>
      <c r="O1361" t="s">
        <v>556</v>
      </c>
      <c r="P1361" s="216">
        <v>151450.47</v>
      </c>
      <c r="Q1361" s="217" t="s">
        <v>8</v>
      </c>
      <c r="R1361" s="217" t="s">
        <v>62</v>
      </c>
      <c r="S1361" s="218">
        <v>0.4010145719319439</v>
      </c>
      <c r="T1361" t="s">
        <v>550</v>
      </c>
      <c r="U1361" t="s">
        <v>74</v>
      </c>
      <c r="V1361" s="219">
        <v>0</v>
      </c>
      <c r="W1361" s="219">
        <v>0</v>
      </c>
    </row>
    <row r="1362" spans="1:23" ht="15" customHeight="1" x14ac:dyDescent="0.25">
      <c r="A1362" t="s">
        <v>3419</v>
      </c>
      <c r="B1362" t="s">
        <v>595</v>
      </c>
      <c r="C1362">
        <v>1000</v>
      </c>
      <c r="D1362" t="s">
        <v>3420</v>
      </c>
      <c r="E1362" t="s">
        <v>263</v>
      </c>
      <c r="F1362" t="s">
        <v>580</v>
      </c>
      <c r="G1362" s="30">
        <v>46144</v>
      </c>
      <c r="H1362" t="s">
        <v>3421</v>
      </c>
      <c r="I1362">
        <v>1187099</v>
      </c>
      <c r="J1362" s="123">
        <v>0</v>
      </c>
      <c r="K1362" s="123">
        <v>0</v>
      </c>
      <c r="L1362" s="123">
        <v>46144</v>
      </c>
      <c r="M1362">
        <v>0</v>
      </c>
      <c r="N1362">
        <v>0</v>
      </c>
      <c r="O1362">
        <v>0</v>
      </c>
      <c r="P1362" s="216">
        <v>1000</v>
      </c>
      <c r="Q1362" s="217" t="s">
        <v>8</v>
      </c>
      <c r="R1362" s="217" t="s">
        <v>582</v>
      </c>
      <c r="S1362" s="218">
        <v>0.30000014320625323</v>
      </c>
      <c r="T1362" t="s">
        <v>550</v>
      </c>
      <c r="U1362" t="s">
        <v>74</v>
      </c>
      <c r="V1362" s="219">
        <v>0</v>
      </c>
      <c r="W1362" s="219">
        <v>0</v>
      </c>
    </row>
    <row r="1363" spans="1:23" ht="15" customHeight="1" x14ac:dyDescent="0.25">
      <c r="A1363" t="s">
        <v>3422</v>
      </c>
      <c r="B1363" t="s">
        <v>603</v>
      </c>
      <c r="C1363">
        <v>117640</v>
      </c>
      <c r="D1363" t="s">
        <v>3423</v>
      </c>
      <c r="E1363" t="s">
        <v>605</v>
      </c>
      <c r="F1363" t="s">
        <v>554</v>
      </c>
      <c r="G1363" s="30">
        <v>46149</v>
      </c>
      <c r="H1363" t="s">
        <v>3424</v>
      </c>
      <c r="I1363">
        <v>1185859.96</v>
      </c>
      <c r="J1363" s="123">
        <v>46149</v>
      </c>
      <c r="K1363" s="123">
        <v>0</v>
      </c>
      <c r="L1363" s="123">
        <v>0</v>
      </c>
      <c r="M1363">
        <v>0</v>
      </c>
      <c r="N1363">
        <v>0</v>
      </c>
      <c r="O1363">
        <v>0</v>
      </c>
      <c r="P1363" s="216">
        <v>117640</v>
      </c>
      <c r="Q1363" s="217" t="s">
        <v>8</v>
      </c>
      <c r="R1363" s="217" t="s">
        <v>554</v>
      </c>
      <c r="S1363" s="218">
        <v>0.50000001686539786</v>
      </c>
      <c r="T1363" t="s">
        <v>550</v>
      </c>
      <c r="U1363" t="s">
        <v>74</v>
      </c>
      <c r="V1363" s="219" t="s">
        <v>6607</v>
      </c>
      <c r="W1363" s="219" t="s">
        <v>67</v>
      </c>
    </row>
    <row r="1364" spans="1:23" ht="15" customHeight="1" x14ac:dyDescent="0.25">
      <c r="A1364" t="s">
        <v>3425</v>
      </c>
      <c r="B1364" t="s">
        <v>595</v>
      </c>
      <c r="C1364">
        <v>819738</v>
      </c>
      <c r="D1364" t="s">
        <v>3426</v>
      </c>
      <c r="E1364" t="s">
        <v>243</v>
      </c>
      <c r="F1364" t="s">
        <v>580</v>
      </c>
      <c r="G1364" s="30">
        <v>46148</v>
      </c>
      <c r="H1364" t="s">
        <v>3427</v>
      </c>
      <c r="I1364">
        <v>8198404.5</v>
      </c>
      <c r="J1364" s="123">
        <v>0</v>
      </c>
      <c r="K1364" s="123">
        <v>0</v>
      </c>
      <c r="L1364" s="123">
        <v>46142</v>
      </c>
      <c r="M1364">
        <v>0</v>
      </c>
      <c r="N1364">
        <v>0</v>
      </c>
      <c r="O1364">
        <v>0</v>
      </c>
      <c r="P1364" s="216">
        <v>819738</v>
      </c>
      <c r="Q1364" s="217" t="s">
        <v>21</v>
      </c>
      <c r="R1364" s="217" t="s">
        <v>582</v>
      </c>
      <c r="S1364" s="218">
        <v>0.40001246584015221</v>
      </c>
      <c r="T1364" t="s">
        <v>550</v>
      </c>
      <c r="U1364" t="s">
        <v>51</v>
      </c>
      <c r="V1364" s="219">
        <v>0</v>
      </c>
      <c r="W1364" s="219">
        <v>0</v>
      </c>
    </row>
    <row r="1365" spans="1:23" ht="15" customHeight="1" x14ac:dyDescent="0.25">
      <c r="A1365" t="s">
        <v>3428</v>
      </c>
      <c r="B1365" t="s">
        <v>595</v>
      </c>
      <c r="C1365">
        <v>818047</v>
      </c>
      <c r="D1365" t="s">
        <v>3429</v>
      </c>
      <c r="E1365" t="s">
        <v>243</v>
      </c>
      <c r="F1365" t="s">
        <v>580</v>
      </c>
      <c r="G1365" s="30">
        <v>46148</v>
      </c>
      <c r="H1365" t="s">
        <v>3430</v>
      </c>
      <c r="I1365">
        <v>8180469</v>
      </c>
      <c r="J1365" s="123">
        <v>0</v>
      </c>
      <c r="K1365" s="123">
        <v>0</v>
      </c>
      <c r="L1365" s="123">
        <v>46142</v>
      </c>
      <c r="M1365">
        <v>0</v>
      </c>
      <c r="N1365">
        <v>0</v>
      </c>
      <c r="O1365">
        <v>0</v>
      </c>
      <c r="P1365" s="216">
        <v>818047</v>
      </c>
      <c r="Q1365" s="217" t="s">
        <v>21</v>
      </c>
      <c r="R1365" s="217" t="s">
        <v>582</v>
      </c>
      <c r="S1365" s="218">
        <v>0.39999943768505203</v>
      </c>
      <c r="T1365" t="s">
        <v>550</v>
      </c>
      <c r="U1365" t="s">
        <v>51</v>
      </c>
      <c r="V1365" s="219">
        <v>0</v>
      </c>
      <c r="W1365" s="219">
        <v>0</v>
      </c>
    </row>
    <row r="1366" spans="1:23" ht="15" customHeight="1" x14ac:dyDescent="0.25">
      <c r="A1366" t="s">
        <v>3431</v>
      </c>
      <c r="B1366" t="s">
        <v>595</v>
      </c>
      <c r="C1366">
        <v>819838</v>
      </c>
      <c r="D1366" t="s">
        <v>3432</v>
      </c>
      <c r="E1366" t="s">
        <v>243</v>
      </c>
      <c r="F1366" t="s">
        <v>585</v>
      </c>
      <c r="G1366" s="30">
        <v>46148</v>
      </c>
      <c r="H1366" t="s">
        <v>3433</v>
      </c>
      <c r="I1366">
        <v>8198404.5</v>
      </c>
      <c r="J1366" s="123">
        <v>0</v>
      </c>
      <c r="K1366" s="123">
        <v>0</v>
      </c>
      <c r="L1366" s="123">
        <v>46142</v>
      </c>
      <c r="M1366">
        <v>0</v>
      </c>
      <c r="N1366">
        <v>0</v>
      </c>
      <c r="O1366">
        <v>0</v>
      </c>
      <c r="P1366" s="216">
        <v>819838</v>
      </c>
      <c r="Q1366" s="217" t="s">
        <v>21</v>
      </c>
      <c r="R1366" s="217" t="s">
        <v>61</v>
      </c>
      <c r="S1366" s="218">
        <v>0.40000026834489566</v>
      </c>
      <c r="T1366" t="s">
        <v>550</v>
      </c>
      <c r="U1366" t="s">
        <v>51</v>
      </c>
      <c r="V1366" s="219">
        <v>0</v>
      </c>
      <c r="W1366" s="219">
        <v>0</v>
      </c>
    </row>
    <row r="1367" spans="1:23" ht="15" customHeight="1" x14ac:dyDescent="0.25">
      <c r="A1367" t="s">
        <v>3434</v>
      </c>
      <c r="B1367" t="s">
        <v>575</v>
      </c>
      <c r="C1367">
        <v>850000</v>
      </c>
      <c r="D1367" t="s">
        <v>3435</v>
      </c>
      <c r="E1367" t="s">
        <v>243</v>
      </c>
      <c r="F1367" t="s">
        <v>554</v>
      </c>
      <c r="G1367" s="30">
        <v>46143</v>
      </c>
      <c r="H1367" t="s">
        <v>3436</v>
      </c>
      <c r="I1367">
        <v>8198404.5</v>
      </c>
      <c r="J1367" s="123">
        <v>0</v>
      </c>
      <c r="K1367" s="123">
        <v>0</v>
      </c>
      <c r="L1367" s="123">
        <v>46143</v>
      </c>
      <c r="M1367">
        <v>0</v>
      </c>
      <c r="N1367">
        <v>0</v>
      </c>
      <c r="O1367">
        <v>0</v>
      </c>
      <c r="P1367" s="216">
        <v>850000</v>
      </c>
      <c r="Q1367" s="217" t="s">
        <v>21</v>
      </c>
      <c r="R1367" s="217" t="s">
        <v>554</v>
      </c>
      <c r="S1367" s="218">
        <v>0.30367884385309363</v>
      </c>
      <c r="T1367" t="s">
        <v>550</v>
      </c>
      <c r="U1367" t="s">
        <v>51</v>
      </c>
      <c r="V1367" s="219" t="s">
        <v>6608</v>
      </c>
      <c r="W1367" s="219" t="s">
        <v>67</v>
      </c>
    </row>
    <row r="1368" spans="1:23" ht="15" customHeight="1" x14ac:dyDescent="0.25">
      <c r="A1368" t="s">
        <v>3437</v>
      </c>
      <c r="B1368" t="s">
        <v>575</v>
      </c>
      <c r="C1368">
        <v>789681</v>
      </c>
      <c r="D1368" t="s">
        <v>3435</v>
      </c>
      <c r="E1368" t="s">
        <v>243</v>
      </c>
      <c r="F1368" t="s">
        <v>580</v>
      </c>
      <c r="G1368" s="30">
        <v>46144</v>
      </c>
      <c r="H1368" t="s">
        <v>3436</v>
      </c>
      <c r="I1368">
        <v>8198404.5</v>
      </c>
      <c r="J1368" s="123">
        <v>0</v>
      </c>
      <c r="K1368" s="123">
        <v>0</v>
      </c>
      <c r="L1368" s="123">
        <v>46144</v>
      </c>
      <c r="M1368">
        <v>0</v>
      </c>
      <c r="N1368">
        <v>0</v>
      </c>
      <c r="O1368">
        <v>0</v>
      </c>
      <c r="P1368" s="216">
        <v>789681</v>
      </c>
      <c r="Q1368" s="217" t="s">
        <v>21</v>
      </c>
      <c r="R1368" s="217" t="s">
        <v>582</v>
      </c>
      <c r="S1368" s="218">
        <v>0.30367884385309363</v>
      </c>
      <c r="T1368" t="s">
        <v>550</v>
      </c>
      <c r="U1368" t="s">
        <v>51</v>
      </c>
      <c r="V1368" s="219">
        <v>0</v>
      </c>
      <c r="W1368" s="219">
        <v>0</v>
      </c>
    </row>
    <row r="1369" spans="1:23" ht="15" customHeight="1" x14ac:dyDescent="0.25">
      <c r="A1369" t="s">
        <v>3438</v>
      </c>
      <c r="B1369" t="s">
        <v>546</v>
      </c>
      <c r="C1369">
        <v>100000</v>
      </c>
      <c r="D1369" t="s">
        <v>3439</v>
      </c>
      <c r="E1369" t="s">
        <v>553</v>
      </c>
      <c r="F1369" t="s">
        <v>554</v>
      </c>
      <c r="G1369" s="30">
        <v>46143</v>
      </c>
      <c r="H1369" t="s">
        <v>3440</v>
      </c>
      <c r="I1369">
        <v>8198404.5</v>
      </c>
      <c r="J1369" s="123">
        <v>46142</v>
      </c>
      <c r="K1369" s="123">
        <v>0</v>
      </c>
      <c r="L1369" s="123">
        <v>46142</v>
      </c>
      <c r="M1369">
        <v>0</v>
      </c>
      <c r="N1369">
        <v>0</v>
      </c>
      <c r="O1369" t="s">
        <v>556</v>
      </c>
      <c r="P1369" s="216">
        <v>100000</v>
      </c>
      <c r="Q1369" s="217" t="s">
        <v>21</v>
      </c>
      <c r="R1369" s="217" t="s">
        <v>554</v>
      </c>
      <c r="S1369" s="218">
        <v>0.3820167119102259</v>
      </c>
      <c r="T1369" t="s">
        <v>550</v>
      </c>
      <c r="U1369" t="s">
        <v>51</v>
      </c>
      <c r="V1369" s="219" t="s">
        <v>6609</v>
      </c>
      <c r="W1369" s="219" t="s">
        <v>67</v>
      </c>
    </row>
    <row r="1370" spans="1:23" ht="15" customHeight="1" x14ac:dyDescent="0.25">
      <c r="A1370" t="s">
        <v>3441</v>
      </c>
      <c r="B1370" t="s">
        <v>546</v>
      </c>
      <c r="C1370">
        <v>100000</v>
      </c>
      <c r="D1370" t="s">
        <v>3439</v>
      </c>
      <c r="E1370" t="s">
        <v>553</v>
      </c>
      <c r="F1370" t="s">
        <v>554</v>
      </c>
      <c r="G1370" s="30">
        <v>46148</v>
      </c>
      <c r="H1370" t="s">
        <v>3440</v>
      </c>
      <c r="I1370">
        <v>8198404.5</v>
      </c>
      <c r="J1370" s="123">
        <v>46147</v>
      </c>
      <c r="K1370" s="123">
        <v>0</v>
      </c>
      <c r="L1370" s="123">
        <v>46147</v>
      </c>
      <c r="M1370">
        <v>0</v>
      </c>
      <c r="N1370">
        <v>0</v>
      </c>
      <c r="O1370" t="s">
        <v>556</v>
      </c>
      <c r="P1370" s="216">
        <v>100000</v>
      </c>
      <c r="Q1370" s="217" t="s">
        <v>21</v>
      </c>
      <c r="R1370" s="217" t="s">
        <v>554</v>
      </c>
      <c r="S1370" s="218">
        <v>0.3820167119102259</v>
      </c>
      <c r="T1370" t="s">
        <v>550</v>
      </c>
      <c r="U1370" t="s">
        <v>51</v>
      </c>
      <c r="V1370" s="219" t="s">
        <v>6610</v>
      </c>
      <c r="W1370" s="219" t="s">
        <v>67</v>
      </c>
    </row>
    <row r="1371" spans="1:23" ht="15" customHeight="1" x14ac:dyDescent="0.25">
      <c r="A1371" t="s">
        <v>3442</v>
      </c>
      <c r="B1371" t="s">
        <v>595</v>
      </c>
      <c r="C1371">
        <v>794997</v>
      </c>
      <c r="D1371" t="s">
        <v>3443</v>
      </c>
      <c r="E1371" t="s">
        <v>243</v>
      </c>
      <c r="F1371" t="s">
        <v>554</v>
      </c>
      <c r="G1371" s="30">
        <v>46147</v>
      </c>
      <c r="H1371" t="s">
        <v>3444</v>
      </c>
      <c r="I1371">
        <v>8198404.5</v>
      </c>
      <c r="J1371" s="123">
        <v>0</v>
      </c>
      <c r="K1371" s="123">
        <v>0</v>
      </c>
      <c r="L1371" s="123">
        <v>46146</v>
      </c>
      <c r="M1371">
        <v>0</v>
      </c>
      <c r="N1371">
        <v>0</v>
      </c>
      <c r="O1371">
        <v>0</v>
      </c>
      <c r="P1371" s="216">
        <v>794997</v>
      </c>
      <c r="Q1371" s="217" t="s">
        <v>21</v>
      </c>
      <c r="R1371" s="217" t="s">
        <v>554</v>
      </c>
      <c r="S1371" s="218">
        <v>0.50002138373387162</v>
      </c>
      <c r="T1371" t="s">
        <v>550</v>
      </c>
      <c r="U1371" t="s">
        <v>51</v>
      </c>
      <c r="V1371" s="219" t="s">
        <v>6611</v>
      </c>
      <c r="W1371" s="219" t="s">
        <v>67</v>
      </c>
    </row>
    <row r="1372" spans="1:23" ht="15" customHeight="1" x14ac:dyDescent="0.25">
      <c r="A1372" t="s">
        <v>3445</v>
      </c>
      <c r="B1372" t="s">
        <v>595</v>
      </c>
      <c r="C1372">
        <v>649827</v>
      </c>
      <c r="D1372" t="s">
        <v>3446</v>
      </c>
      <c r="E1372" t="s">
        <v>243</v>
      </c>
      <c r="F1372" t="s">
        <v>585</v>
      </c>
      <c r="G1372" s="30">
        <v>46148</v>
      </c>
      <c r="H1372" t="s">
        <v>3447</v>
      </c>
      <c r="I1372">
        <v>8198404.5</v>
      </c>
      <c r="J1372" s="123">
        <v>0</v>
      </c>
      <c r="K1372" s="123">
        <v>0</v>
      </c>
      <c r="L1372" s="123">
        <v>46142</v>
      </c>
      <c r="M1372">
        <v>0</v>
      </c>
      <c r="N1372">
        <v>0</v>
      </c>
      <c r="O1372">
        <v>0</v>
      </c>
      <c r="P1372" s="216">
        <v>649827</v>
      </c>
      <c r="Q1372" s="217" t="s">
        <v>21</v>
      </c>
      <c r="R1372" s="217" t="s">
        <v>61</v>
      </c>
      <c r="S1372" s="218">
        <v>0.40000010691866933</v>
      </c>
      <c r="T1372" t="s">
        <v>550</v>
      </c>
      <c r="U1372" t="s">
        <v>51</v>
      </c>
      <c r="V1372" s="219">
        <v>0</v>
      </c>
      <c r="W1372" s="219">
        <v>0</v>
      </c>
    </row>
    <row r="1373" spans="1:23" ht="15" customHeight="1" x14ac:dyDescent="0.25">
      <c r="A1373" t="s">
        <v>3448</v>
      </c>
      <c r="B1373" t="s">
        <v>595</v>
      </c>
      <c r="C1373">
        <v>145274</v>
      </c>
      <c r="D1373" t="s">
        <v>3446</v>
      </c>
      <c r="E1373" t="s">
        <v>243</v>
      </c>
      <c r="F1373" t="s">
        <v>585</v>
      </c>
      <c r="G1373" s="30">
        <v>46148</v>
      </c>
      <c r="H1373" t="s">
        <v>3447</v>
      </c>
      <c r="I1373">
        <v>8198404.5</v>
      </c>
      <c r="J1373" s="123">
        <v>0</v>
      </c>
      <c r="K1373" s="123">
        <v>0</v>
      </c>
      <c r="L1373" s="123">
        <v>46143</v>
      </c>
      <c r="M1373">
        <v>0</v>
      </c>
      <c r="N1373">
        <v>0</v>
      </c>
      <c r="O1373">
        <v>0</v>
      </c>
      <c r="P1373" s="216">
        <v>145274</v>
      </c>
      <c r="Q1373" s="217" t="s">
        <v>21</v>
      </c>
      <c r="R1373" s="217" t="s">
        <v>61</v>
      </c>
      <c r="S1373" s="218">
        <v>0.40000010691866933</v>
      </c>
      <c r="T1373" t="s">
        <v>550</v>
      </c>
      <c r="U1373" t="s">
        <v>51</v>
      </c>
      <c r="V1373" s="219">
        <v>0</v>
      </c>
      <c r="W1373" s="219">
        <v>0</v>
      </c>
    </row>
    <row r="1374" spans="1:23" ht="15" customHeight="1" x14ac:dyDescent="0.25">
      <c r="A1374" t="s">
        <v>3449</v>
      </c>
      <c r="B1374" t="s">
        <v>595</v>
      </c>
      <c r="C1374">
        <v>818050</v>
      </c>
      <c r="D1374" t="s">
        <v>3450</v>
      </c>
      <c r="E1374" t="s">
        <v>243</v>
      </c>
      <c r="F1374" t="s">
        <v>580</v>
      </c>
      <c r="G1374" s="30">
        <v>46148</v>
      </c>
      <c r="H1374" t="s">
        <v>3451</v>
      </c>
      <c r="I1374">
        <v>8180469</v>
      </c>
      <c r="J1374" s="123">
        <v>0</v>
      </c>
      <c r="K1374" s="123">
        <v>0</v>
      </c>
      <c r="L1374" s="123">
        <v>46142</v>
      </c>
      <c r="M1374">
        <v>0</v>
      </c>
      <c r="N1374">
        <v>0</v>
      </c>
      <c r="O1374">
        <v>0</v>
      </c>
      <c r="P1374" s="216">
        <v>818050</v>
      </c>
      <c r="Q1374" s="217" t="s">
        <v>21</v>
      </c>
      <c r="R1374" s="217" t="s">
        <v>582</v>
      </c>
      <c r="S1374" s="218">
        <v>0.39999968216981202</v>
      </c>
      <c r="T1374" t="s">
        <v>550</v>
      </c>
      <c r="U1374" t="s">
        <v>51</v>
      </c>
      <c r="V1374" s="219">
        <v>0</v>
      </c>
      <c r="W1374" s="219">
        <v>0</v>
      </c>
    </row>
    <row r="1375" spans="1:23" ht="15" customHeight="1" x14ac:dyDescent="0.25">
      <c r="A1375" t="s">
        <v>3452</v>
      </c>
      <c r="B1375" t="s">
        <v>546</v>
      </c>
      <c r="C1375">
        <v>192489</v>
      </c>
      <c r="D1375" t="s">
        <v>3453</v>
      </c>
      <c r="E1375" t="s">
        <v>553</v>
      </c>
      <c r="F1375" t="s">
        <v>554</v>
      </c>
      <c r="G1375" s="30">
        <v>46147</v>
      </c>
      <c r="H1375" t="s">
        <v>3454</v>
      </c>
      <c r="I1375">
        <v>1924891.6</v>
      </c>
      <c r="J1375" s="123">
        <v>46146</v>
      </c>
      <c r="K1375" s="123">
        <v>0</v>
      </c>
      <c r="L1375" s="123">
        <v>46146</v>
      </c>
      <c r="M1375">
        <v>0</v>
      </c>
      <c r="N1375">
        <v>0</v>
      </c>
      <c r="O1375" t="s">
        <v>556</v>
      </c>
      <c r="P1375" s="216">
        <v>192489</v>
      </c>
      <c r="Q1375" s="217" t="s">
        <v>34</v>
      </c>
      <c r="R1375" s="217" t="s">
        <v>554</v>
      </c>
      <c r="S1375" s="218">
        <v>0.29999975063530848</v>
      </c>
      <c r="T1375" t="s">
        <v>550</v>
      </c>
      <c r="U1375" t="s">
        <v>51</v>
      </c>
      <c r="V1375" s="219" t="s">
        <v>6612</v>
      </c>
      <c r="W1375" s="219" t="s">
        <v>67</v>
      </c>
    </row>
    <row r="1376" spans="1:23" ht="15" customHeight="1" x14ac:dyDescent="0.25">
      <c r="A1376" t="s">
        <v>3455</v>
      </c>
      <c r="B1376" t="s">
        <v>668</v>
      </c>
      <c r="C1376">
        <v>98500</v>
      </c>
      <c r="D1376" t="s">
        <v>3456</v>
      </c>
      <c r="E1376" t="s">
        <v>151</v>
      </c>
      <c r="F1376" t="s">
        <v>585</v>
      </c>
      <c r="G1376" s="30">
        <v>46148</v>
      </c>
      <c r="H1376" t="s">
        <v>3457</v>
      </c>
      <c r="I1376">
        <v>3832444</v>
      </c>
      <c r="J1376" s="123">
        <v>46147</v>
      </c>
      <c r="K1376" s="123">
        <v>0</v>
      </c>
      <c r="L1376" s="123">
        <v>46147</v>
      </c>
      <c r="M1376">
        <v>0</v>
      </c>
      <c r="N1376">
        <v>0</v>
      </c>
      <c r="O1376">
        <v>0</v>
      </c>
      <c r="P1376" s="216">
        <v>98500</v>
      </c>
      <c r="Q1376" s="217" t="s">
        <v>25</v>
      </c>
      <c r="R1376" s="217" t="s">
        <v>61</v>
      </c>
      <c r="S1376" s="218">
        <v>0.26523231650612505</v>
      </c>
      <c r="T1376" t="s">
        <v>550</v>
      </c>
      <c r="U1376" t="s">
        <v>51</v>
      </c>
      <c r="V1376" s="219">
        <v>0</v>
      </c>
      <c r="W1376" s="219">
        <v>0</v>
      </c>
    </row>
    <row r="1377" spans="1:23" ht="15" customHeight="1" x14ac:dyDescent="0.25">
      <c r="A1377" t="s">
        <v>3458</v>
      </c>
      <c r="B1377" t="s">
        <v>668</v>
      </c>
      <c r="C1377">
        <v>36000</v>
      </c>
      <c r="D1377" t="s">
        <v>3456</v>
      </c>
      <c r="E1377" t="s">
        <v>151</v>
      </c>
      <c r="F1377" t="s">
        <v>580</v>
      </c>
      <c r="G1377" s="30">
        <v>46148</v>
      </c>
      <c r="H1377" t="s">
        <v>3457</v>
      </c>
      <c r="I1377">
        <v>3832444</v>
      </c>
      <c r="J1377" s="123">
        <v>46146</v>
      </c>
      <c r="K1377" s="123">
        <v>0</v>
      </c>
      <c r="L1377" s="123">
        <v>46146</v>
      </c>
      <c r="M1377">
        <v>0</v>
      </c>
      <c r="N1377">
        <v>0</v>
      </c>
      <c r="O1377">
        <v>0</v>
      </c>
      <c r="P1377" s="216">
        <v>36000</v>
      </c>
      <c r="Q1377" s="217" t="s">
        <v>25</v>
      </c>
      <c r="R1377" s="217" t="s">
        <v>582</v>
      </c>
      <c r="S1377" s="218">
        <v>0.26523231650612505</v>
      </c>
      <c r="T1377" t="s">
        <v>550</v>
      </c>
      <c r="U1377" t="s">
        <v>51</v>
      </c>
      <c r="V1377" s="219">
        <v>0</v>
      </c>
      <c r="W1377" s="219">
        <v>0</v>
      </c>
    </row>
    <row r="1378" spans="1:23" ht="15" customHeight="1" x14ac:dyDescent="0.25">
      <c r="A1378" t="s">
        <v>3459</v>
      </c>
      <c r="B1378" t="s">
        <v>668</v>
      </c>
      <c r="C1378">
        <v>200000</v>
      </c>
      <c r="D1378" t="s">
        <v>3456</v>
      </c>
      <c r="E1378" t="s">
        <v>151</v>
      </c>
      <c r="F1378" t="s">
        <v>554</v>
      </c>
      <c r="G1378" s="30">
        <v>46148</v>
      </c>
      <c r="H1378" t="s">
        <v>3457</v>
      </c>
      <c r="I1378">
        <v>3832444</v>
      </c>
      <c r="J1378" s="123">
        <v>46147</v>
      </c>
      <c r="K1378" s="123">
        <v>0</v>
      </c>
      <c r="L1378" s="123">
        <v>46147</v>
      </c>
      <c r="M1378">
        <v>0</v>
      </c>
      <c r="N1378">
        <v>0</v>
      </c>
      <c r="O1378">
        <v>0</v>
      </c>
      <c r="P1378" s="216">
        <v>200000</v>
      </c>
      <c r="Q1378" s="217" t="s">
        <v>25</v>
      </c>
      <c r="R1378" s="217" t="s">
        <v>554</v>
      </c>
      <c r="S1378" s="218">
        <v>0.26523231650612505</v>
      </c>
      <c r="T1378" t="s">
        <v>550</v>
      </c>
      <c r="U1378" t="s">
        <v>51</v>
      </c>
      <c r="V1378" s="219" t="s">
        <v>6613</v>
      </c>
      <c r="W1378" s="219" t="s">
        <v>67</v>
      </c>
    </row>
    <row r="1379" spans="1:23" ht="15" customHeight="1" x14ac:dyDescent="0.25">
      <c r="A1379" t="s">
        <v>3460</v>
      </c>
      <c r="B1379" t="s">
        <v>668</v>
      </c>
      <c r="C1379">
        <v>50000</v>
      </c>
      <c r="D1379" t="s">
        <v>3456</v>
      </c>
      <c r="E1379" t="s">
        <v>151</v>
      </c>
      <c r="F1379" t="s">
        <v>554</v>
      </c>
      <c r="G1379" s="30">
        <v>46148</v>
      </c>
      <c r="H1379" t="s">
        <v>3457</v>
      </c>
      <c r="I1379">
        <v>3832444</v>
      </c>
      <c r="J1379" s="123">
        <v>46146</v>
      </c>
      <c r="K1379" s="123">
        <v>0</v>
      </c>
      <c r="L1379" s="123">
        <v>46146</v>
      </c>
      <c r="M1379">
        <v>0</v>
      </c>
      <c r="N1379">
        <v>0</v>
      </c>
      <c r="O1379">
        <v>0</v>
      </c>
      <c r="P1379" s="216">
        <v>50000</v>
      </c>
      <c r="Q1379" s="217" t="s">
        <v>25</v>
      </c>
      <c r="R1379" s="217" t="s">
        <v>554</v>
      </c>
      <c r="S1379" s="218">
        <v>0.26523231650612505</v>
      </c>
      <c r="T1379" t="s">
        <v>550</v>
      </c>
      <c r="U1379" t="s">
        <v>51</v>
      </c>
      <c r="V1379" s="219" t="s">
        <v>6614</v>
      </c>
      <c r="W1379" s="219" t="s">
        <v>67</v>
      </c>
    </row>
    <row r="1380" spans="1:23" ht="15" customHeight="1" x14ac:dyDescent="0.25">
      <c r="A1380" t="s">
        <v>3461</v>
      </c>
      <c r="B1380" t="s">
        <v>546</v>
      </c>
      <c r="C1380">
        <v>7200</v>
      </c>
      <c r="D1380" t="s">
        <v>3462</v>
      </c>
      <c r="E1380" t="s">
        <v>151</v>
      </c>
      <c r="F1380" t="s">
        <v>548</v>
      </c>
      <c r="G1380" s="30">
        <v>46146</v>
      </c>
      <c r="H1380" t="s">
        <v>3463</v>
      </c>
      <c r="I1380">
        <v>2087379</v>
      </c>
      <c r="J1380" s="123">
        <v>0</v>
      </c>
      <c r="K1380" s="123">
        <v>0</v>
      </c>
      <c r="L1380" s="123">
        <v>0</v>
      </c>
      <c r="M1380">
        <v>0</v>
      </c>
      <c r="N1380">
        <v>0</v>
      </c>
      <c r="O1380">
        <v>0</v>
      </c>
      <c r="P1380" s="216">
        <v>7200</v>
      </c>
      <c r="Q1380" s="217" t="s">
        <v>25</v>
      </c>
      <c r="R1380" s="217" t="s">
        <v>62</v>
      </c>
      <c r="S1380" s="218">
        <v>0.11294546893496581</v>
      </c>
      <c r="T1380" t="s">
        <v>550</v>
      </c>
      <c r="U1380" t="s">
        <v>51</v>
      </c>
      <c r="V1380" s="219">
        <v>0</v>
      </c>
      <c r="W1380" s="219">
        <v>0</v>
      </c>
    </row>
    <row r="1381" spans="1:23" ht="15" customHeight="1" x14ac:dyDescent="0.25">
      <c r="A1381" t="s">
        <v>3464</v>
      </c>
      <c r="B1381" t="s">
        <v>546</v>
      </c>
      <c r="C1381">
        <v>9000</v>
      </c>
      <c r="D1381" t="s">
        <v>3462</v>
      </c>
      <c r="E1381" t="s">
        <v>151</v>
      </c>
      <c r="F1381" t="s">
        <v>548</v>
      </c>
      <c r="G1381" s="30">
        <v>46146</v>
      </c>
      <c r="H1381" t="s">
        <v>3463</v>
      </c>
      <c r="I1381">
        <v>2087379</v>
      </c>
      <c r="J1381" s="123">
        <v>0</v>
      </c>
      <c r="K1381" s="123">
        <v>0</v>
      </c>
      <c r="L1381" s="123">
        <v>0</v>
      </c>
      <c r="M1381">
        <v>0</v>
      </c>
      <c r="N1381">
        <v>0</v>
      </c>
      <c r="O1381">
        <v>0</v>
      </c>
      <c r="P1381" s="216">
        <v>9000</v>
      </c>
      <c r="Q1381" s="217" t="s">
        <v>25</v>
      </c>
      <c r="R1381" s="217" t="s">
        <v>62</v>
      </c>
      <c r="S1381" s="218">
        <v>0.11294546893496581</v>
      </c>
      <c r="T1381" t="s">
        <v>550</v>
      </c>
      <c r="U1381" t="s">
        <v>51</v>
      </c>
      <c r="V1381" s="219">
        <v>0</v>
      </c>
      <c r="W1381" s="219">
        <v>0</v>
      </c>
    </row>
    <row r="1382" spans="1:23" ht="15" customHeight="1" x14ac:dyDescent="0.25">
      <c r="A1382" t="s">
        <v>3465</v>
      </c>
      <c r="B1382" t="s">
        <v>546</v>
      </c>
      <c r="C1382">
        <v>18500</v>
      </c>
      <c r="D1382" t="s">
        <v>3462</v>
      </c>
      <c r="E1382" t="s">
        <v>151</v>
      </c>
      <c r="F1382" t="s">
        <v>548</v>
      </c>
      <c r="G1382" s="30">
        <v>46146</v>
      </c>
      <c r="H1382" t="s">
        <v>3463</v>
      </c>
      <c r="I1382">
        <v>2087379</v>
      </c>
      <c r="J1382" s="123">
        <v>0</v>
      </c>
      <c r="K1382" s="123">
        <v>0</v>
      </c>
      <c r="L1382" s="123">
        <v>0</v>
      </c>
      <c r="M1382">
        <v>0</v>
      </c>
      <c r="N1382">
        <v>0</v>
      </c>
      <c r="O1382">
        <v>0</v>
      </c>
      <c r="P1382" s="216">
        <v>18500</v>
      </c>
      <c r="Q1382" s="217" t="s">
        <v>25</v>
      </c>
      <c r="R1382" s="217" t="s">
        <v>62</v>
      </c>
      <c r="S1382" s="218">
        <v>0.11294546893496581</v>
      </c>
      <c r="T1382" t="s">
        <v>550</v>
      </c>
      <c r="U1382" t="s">
        <v>51</v>
      </c>
      <c r="V1382" s="219">
        <v>0</v>
      </c>
      <c r="W1382" s="219">
        <v>0</v>
      </c>
    </row>
    <row r="1383" spans="1:23" ht="15" customHeight="1" x14ac:dyDescent="0.25">
      <c r="A1383" t="s">
        <v>3466</v>
      </c>
      <c r="B1383" t="s">
        <v>546</v>
      </c>
      <c r="C1383">
        <v>5000</v>
      </c>
      <c r="D1383" t="s">
        <v>3462</v>
      </c>
      <c r="E1383" t="s">
        <v>553</v>
      </c>
      <c r="F1383" t="s">
        <v>548</v>
      </c>
      <c r="G1383" s="30">
        <v>46148</v>
      </c>
      <c r="H1383" t="s">
        <v>3463</v>
      </c>
      <c r="I1383">
        <v>2087379</v>
      </c>
      <c r="J1383" s="123">
        <v>46148</v>
      </c>
      <c r="K1383" s="123">
        <v>0</v>
      </c>
      <c r="L1383" s="123">
        <v>46148</v>
      </c>
      <c r="M1383">
        <v>0</v>
      </c>
      <c r="N1383">
        <v>0</v>
      </c>
      <c r="O1383" t="s">
        <v>556</v>
      </c>
      <c r="P1383" s="216">
        <v>5000</v>
      </c>
      <c r="Q1383" s="217" t="s">
        <v>25</v>
      </c>
      <c r="R1383" s="217" t="s">
        <v>62</v>
      </c>
      <c r="S1383" s="218">
        <v>0.11294546893496581</v>
      </c>
      <c r="T1383" t="s">
        <v>550</v>
      </c>
      <c r="U1383" t="s">
        <v>51</v>
      </c>
      <c r="V1383" s="219">
        <v>0</v>
      </c>
      <c r="W1383" s="219">
        <v>0</v>
      </c>
    </row>
    <row r="1384" spans="1:23" ht="15" customHeight="1" x14ac:dyDescent="0.25">
      <c r="A1384" t="s">
        <v>3467</v>
      </c>
      <c r="B1384" t="s">
        <v>546</v>
      </c>
      <c r="C1384">
        <v>181716</v>
      </c>
      <c r="D1384" t="s">
        <v>3462</v>
      </c>
      <c r="E1384" t="s">
        <v>553</v>
      </c>
      <c r="F1384" t="s">
        <v>548</v>
      </c>
      <c r="G1384" s="30">
        <v>46148</v>
      </c>
      <c r="H1384" t="s">
        <v>3463</v>
      </c>
      <c r="I1384">
        <v>2087379</v>
      </c>
      <c r="J1384" s="123">
        <v>46148</v>
      </c>
      <c r="K1384" s="123">
        <v>0</v>
      </c>
      <c r="L1384" s="123">
        <v>46148</v>
      </c>
      <c r="M1384">
        <v>0</v>
      </c>
      <c r="N1384">
        <v>0</v>
      </c>
      <c r="O1384" t="s">
        <v>556</v>
      </c>
      <c r="P1384" s="216">
        <v>181716</v>
      </c>
      <c r="Q1384" s="217" t="s">
        <v>25</v>
      </c>
      <c r="R1384" s="217" t="s">
        <v>62</v>
      </c>
      <c r="S1384" s="218">
        <v>0.11294546893496581</v>
      </c>
      <c r="T1384" t="s">
        <v>550</v>
      </c>
      <c r="U1384" t="s">
        <v>51</v>
      </c>
      <c r="V1384" s="219">
        <v>0</v>
      </c>
      <c r="W1384" s="219">
        <v>0</v>
      </c>
    </row>
    <row r="1385" spans="1:23" ht="15" customHeight="1" x14ac:dyDescent="0.25">
      <c r="A1385" t="s">
        <v>3468</v>
      </c>
      <c r="B1385" t="s">
        <v>546</v>
      </c>
      <c r="C1385">
        <v>5000</v>
      </c>
      <c r="D1385" t="s">
        <v>3462</v>
      </c>
      <c r="E1385" t="s">
        <v>553</v>
      </c>
      <c r="F1385" t="s">
        <v>554</v>
      </c>
      <c r="G1385" s="30">
        <v>46147</v>
      </c>
      <c r="H1385" t="s">
        <v>3463</v>
      </c>
      <c r="I1385">
        <v>2087379</v>
      </c>
      <c r="J1385" s="123">
        <v>46147</v>
      </c>
      <c r="K1385" s="123">
        <v>0</v>
      </c>
      <c r="L1385" s="123">
        <v>46147</v>
      </c>
      <c r="M1385">
        <v>0</v>
      </c>
      <c r="N1385">
        <v>0</v>
      </c>
      <c r="O1385" t="s">
        <v>556</v>
      </c>
      <c r="P1385" s="216">
        <v>5000</v>
      </c>
      <c r="Q1385" s="217" t="s">
        <v>25</v>
      </c>
      <c r="R1385" s="217" t="s">
        <v>554</v>
      </c>
      <c r="S1385" s="218">
        <v>0.11294546893496581</v>
      </c>
      <c r="T1385" t="s">
        <v>550</v>
      </c>
      <c r="U1385" t="s">
        <v>51</v>
      </c>
      <c r="V1385" s="219" t="s">
        <v>6615</v>
      </c>
      <c r="W1385" s="219" t="s">
        <v>67</v>
      </c>
    </row>
    <row r="1386" spans="1:23" ht="15" customHeight="1" x14ac:dyDescent="0.25">
      <c r="A1386" t="s">
        <v>3469</v>
      </c>
      <c r="B1386" t="s">
        <v>546</v>
      </c>
      <c r="C1386">
        <v>5000</v>
      </c>
      <c r="D1386" t="s">
        <v>3462</v>
      </c>
      <c r="E1386" t="s">
        <v>553</v>
      </c>
      <c r="F1386" t="s">
        <v>548</v>
      </c>
      <c r="G1386" s="30">
        <v>46148</v>
      </c>
      <c r="H1386" t="s">
        <v>3463</v>
      </c>
      <c r="I1386">
        <v>2087379</v>
      </c>
      <c r="J1386" s="123">
        <v>46148</v>
      </c>
      <c r="K1386" s="123">
        <v>0</v>
      </c>
      <c r="L1386" s="123">
        <v>46148</v>
      </c>
      <c r="M1386">
        <v>0</v>
      </c>
      <c r="N1386">
        <v>0</v>
      </c>
      <c r="O1386" t="s">
        <v>556</v>
      </c>
      <c r="P1386" s="216">
        <v>5000</v>
      </c>
      <c r="Q1386" s="217" t="s">
        <v>25</v>
      </c>
      <c r="R1386" s="217" t="s">
        <v>62</v>
      </c>
      <c r="S1386" s="218">
        <v>0.11294546893496581</v>
      </c>
      <c r="T1386" t="s">
        <v>550</v>
      </c>
      <c r="U1386" t="s">
        <v>51</v>
      </c>
      <c r="V1386" s="219">
        <v>0</v>
      </c>
      <c r="W1386" s="219">
        <v>0</v>
      </c>
    </row>
    <row r="1387" spans="1:23" ht="15" customHeight="1" x14ac:dyDescent="0.25">
      <c r="A1387" t="s">
        <v>3470</v>
      </c>
      <c r="B1387" t="s">
        <v>546</v>
      </c>
      <c r="C1387">
        <v>181716</v>
      </c>
      <c r="D1387" t="s">
        <v>3462</v>
      </c>
      <c r="E1387" t="s">
        <v>553</v>
      </c>
      <c r="F1387" t="s">
        <v>548</v>
      </c>
      <c r="G1387" s="30">
        <v>46148</v>
      </c>
      <c r="H1387" t="s">
        <v>3463</v>
      </c>
      <c r="I1387">
        <v>2087379</v>
      </c>
      <c r="J1387" s="123">
        <v>46148</v>
      </c>
      <c r="K1387" s="123">
        <v>0</v>
      </c>
      <c r="L1387" s="123">
        <v>46148</v>
      </c>
      <c r="M1387">
        <v>0</v>
      </c>
      <c r="N1387">
        <v>0</v>
      </c>
      <c r="O1387" t="s">
        <v>556</v>
      </c>
      <c r="P1387" s="216">
        <v>181716</v>
      </c>
      <c r="Q1387" s="217" t="s">
        <v>25</v>
      </c>
      <c r="R1387" s="217" t="s">
        <v>62</v>
      </c>
      <c r="S1387" s="218">
        <v>0.11294546893496581</v>
      </c>
      <c r="T1387" t="s">
        <v>550</v>
      </c>
      <c r="U1387" t="s">
        <v>51</v>
      </c>
      <c r="V1387" s="219">
        <v>0</v>
      </c>
      <c r="W1387" s="219">
        <v>0</v>
      </c>
    </row>
    <row r="1388" spans="1:23" ht="15" customHeight="1" x14ac:dyDescent="0.25">
      <c r="A1388" t="s">
        <v>3471</v>
      </c>
      <c r="B1388" t="s">
        <v>546</v>
      </c>
      <c r="C1388">
        <v>5000</v>
      </c>
      <c r="D1388" t="s">
        <v>3462</v>
      </c>
      <c r="E1388" t="s">
        <v>553</v>
      </c>
      <c r="F1388" t="s">
        <v>548</v>
      </c>
      <c r="G1388" s="30">
        <v>46148</v>
      </c>
      <c r="H1388" t="s">
        <v>3463</v>
      </c>
      <c r="I1388">
        <v>2087379</v>
      </c>
      <c r="J1388" s="123">
        <v>46148</v>
      </c>
      <c r="K1388" s="123">
        <v>0</v>
      </c>
      <c r="L1388" s="123">
        <v>46148</v>
      </c>
      <c r="M1388">
        <v>0</v>
      </c>
      <c r="N1388">
        <v>0</v>
      </c>
      <c r="O1388" t="s">
        <v>556</v>
      </c>
      <c r="P1388" s="216">
        <v>5000</v>
      </c>
      <c r="Q1388" s="217" t="s">
        <v>25</v>
      </c>
      <c r="R1388" s="217" t="s">
        <v>62</v>
      </c>
      <c r="S1388" s="218">
        <v>0.11294546893496581</v>
      </c>
      <c r="T1388" t="s">
        <v>550</v>
      </c>
      <c r="U1388" t="s">
        <v>51</v>
      </c>
      <c r="V1388" s="219">
        <v>0</v>
      </c>
      <c r="W1388" s="219">
        <v>0</v>
      </c>
    </row>
    <row r="1389" spans="1:23" ht="15" customHeight="1" x14ac:dyDescent="0.25">
      <c r="A1389" t="s">
        <v>3472</v>
      </c>
      <c r="B1389" t="s">
        <v>546</v>
      </c>
      <c r="C1389">
        <v>70000</v>
      </c>
      <c r="D1389" t="s">
        <v>3473</v>
      </c>
      <c r="E1389" t="s">
        <v>2186</v>
      </c>
      <c r="F1389" t="s">
        <v>554</v>
      </c>
      <c r="G1389" s="30">
        <v>46143</v>
      </c>
      <c r="H1389" t="s">
        <v>3474</v>
      </c>
      <c r="I1389">
        <v>2223042.9</v>
      </c>
      <c r="J1389" s="123">
        <v>0</v>
      </c>
      <c r="K1389" s="123">
        <v>0</v>
      </c>
      <c r="L1389" s="123">
        <v>0</v>
      </c>
      <c r="M1389">
        <v>0</v>
      </c>
      <c r="N1389">
        <v>0</v>
      </c>
      <c r="O1389">
        <v>0</v>
      </c>
      <c r="P1389" s="216">
        <v>70000</v>
      </c>
      <c r="Q1389" s="217" t="s">
        <v>25</v>
      </c>
      <c r="R1389" s="217" t="s">
        <v>554</v>
      </c>
      <c r="S1389" s="218">
        <v>0.2</v>
      </c>
      <c r="T1389" t="s">
        <v>550</v>
      </c>
      <c r="U1389" t="s">
        <v>51</v>
      </c>
      <c r="V1389" s="219" t="s">
        <v>6616</v>
      </c>
      <c r="W1389" s="219" t="s">
        <v>67</v>
      </c>
    </row>
    <row r="1390" spans="1:23" ht="15" customHeight="1" x14ac:dyDescent="0.25">
      <c r="A1390" t="s">
        <v>3475</v>
      </c>
      <c r="B1390" t="s">
        <v>546</v>
      </c>
      <c r="C1390">
        <v>35000</v>
      </c>
      <c r="D1390" t="s">
        <v>3473</v>
      </c>
      <c r="E1390" t="s">
        <v>2186</v>
      </c>
      <c r="F1390" t="s">
        <v>554</v>
      </c>
      <c r="G1390" s="30">
        <v>46144</v>
      </c>
      <c r="H1390" t="s">
        <v>3474</v>
      </c>
      <c r="I1390">
        <v>2223042.9</v>
      </c>
      <c r="J1390" s="123">
        <v>0</v>
      </c>
      <c r="K1390" s="123">
        <v>0</v>
      </c>
      <c r="L1390" s="123">
        <v>0</v>
      </c>
      <c r="M1390">
        <v>0</v>
      </c>
      <c r="N1390">
        <v>0</v>
      </c>
      <c r="O1390">
        <v>0</v>
      </c>
      <c r="P1390" s="216">
        <v>35000</v>
      </c>
      <c r="Q1390" s="217" t="s">
        <v>25</v>
      </c>
      <c r="R1390" s="217" t="s">
        <v>554</v>
      </c>
      <c r="S1390" s="218">
        <v>0.2</v>
      </c>
      <c r="T1390" t="s">
        <v>550</v>
      </c>
      <c r="U1390" t="s">
        <v>51</v>
      </c>
      <c r="V1390" s="219" t="s">
        <v>6617</v>
      </c>
      <c r="W1390" s="219" t="s">
        <v>67</v>
      </c>
    </row>
    <row r="1391" spans="1:23" ht="15" customHeight="1" x14ac:dyDescent="0.25">
      <c r="A1391" t="s">
        <v>3476</v>
      </c>
      <c r="B1391" t="s">
        <v>546</v>
      </c>
      <c r="C1391">
        <v>42889.18</v>
      </c>
      <c r="D1391" t="s">
        <v>3473</v>
      </c>
      <c r="E1391" t="s">
        <v>2186</v>
      </c>
      <c r="F1391" t="s">
        <v>554</v>
      </c>
      <c r="G1391" s="30">
        <v>46146</v>
      </c>
      <c r="H1391" t="s">
        <v>3474</v>
      </c>
      <c r="I1391">
        <v>2223042.9</v>
      </c>
      <c r="J1391" s="123">
        <v>0</v>
      </c>
      <c r="K1391" s="123">
        <v>0</v>
      </c>
      <c r="L1391" s="123">
        <v>0</v>
      </c>
      <c r="M1391">
        <v>0</v>
      </c>
      <c r="N1391">
        <v>0</v>
      </c>
      <c r="O1391">
        <v>0</v>
      </c>
      <c r="P1391" s="216">
        <v>42889.18</v>
      </c>
      <c r="Q1391" s="217" t="s">
        <v>25</v>
      </c>
      <c r="R1391" s="217" t="s">
        <v>554</v>
      </c>
      <c r="S1391" s="218">
        <v>0.2</v>
      </c>
      <c r="T1391" t="s">
        <v>550</v>
      </c>
      <c r="U1391" t="s">
        <v>51</v>
      </c>
      <c r="V1391" s="219" t="s">
        <v>6618</v>
      </c>
      <c r="W1391" s="219" t="s">
        <v>67</v>
      </c>
    </row>
    <row r="1392" spans="1:23" ht="15" customHeight="1" x14ac:dyDescent="0.25">
      <c r="A1392" t="s">
        <v>3477</v>
      </c>
      <c r="B1392" t="s">
        <v>575</v>
      </c>
      <c r="C1392">
        <v>71434</v>
      </c>
      <c r="D1392" t="s">
        <v>3478</v>
      </c>
      <c r="E1392" t="s">
        <v>151</v>
      </c>
      <c r="F1392" t="s">
        <v>554</v>
      </c>
      <c r="G1392" s="30">
        <v>46148</v>
      </c>
      <c r="H1392" t="s">
        <v>3479</v>
      </c>
      <c r="I1392">
        <v>3458175</v>
      </c>
      <c r="J1392" s="123">
        <v>0</v>
      </c>
      <c r="K1392" s="123">
        <v>0</v>
      </c>
      <c r="L1392" s="123">
        <v>46148</v>
      </c>
      <c r="M1392">
        <v>0</v>
      </c>
      <c r="N1392">
        <v>0</v>
      </c>
      <c r="O1392">
        <v>0</v>
      </c>
      <c r="P1392" s="216">
        <v>71434</v>
      </c>
      <c r="Q1392" s="217" t="s">
        <v>25</v>
      </c>
      <c r="R1392" s="217" t="s">
        <v>554</v>
      </c>
      <c r="S1392" s="218">
        <v>0.29989416382918738</v>
      </c>
      <c r="T1392" t="s">
        <v>550</v>
      </c>
      <c r="U1392" t="s">
        <v>51</v>
      </c>
      <c r="V1392" s="219" t="s">
        <v>6619</v>
      </c>
      <c r="W1392" s="219" t="s">
        <v>67</v>
      </c>
    </row>
    <row r="1393" spans="1:23" ht="15" customHeight="1" x14ac:dyDescent="0.25">
      <c r="A1393" t="s">
        <v>3480</v>
      </c>
      <c r="B1393" t="s">
        <v>595</v>
      </c>
      <c r="C1393">
        <v>4660.2700000000004</v>
      </c>
      <c r="D1393" t="s">
        <v>3481</v>
      </c>
      <c r="E1393" t="s">
        <v>151</v>
      </c>
      <c r="F1393" t="s">
        <v>554</v>
      </c>
      <c r="G1393" s="30">
        <v>46147</v>
      </c>
      <c r="H1393" t="s">
        <v>3482</v>
      </c>
      <c r="I1393">
        <v>3458175</v>
      </c>
      <c r="J1393" s="123">
        <v>0</v>
      </c>
      <c r="K1393" s="123">
        <v>0</v>
      </c>
      <c r="L1393" s="123">
        <v>46146</v>
      </c>
      <c r="M1393">
        <v>0</v>
      </c>
      <c r="N1393">
        <v>0</v>
      </c>
      <c r="O1393">
        <v>0</v>
      </c>
      <c r="P1393" s="216">
        <v>4660.2700000000004</v>
      </c>
      <c r="Q1393" s="217" t="s">
        <v>25</v>
      </c>
      <c r="R1393" s="217" t="s">
        <v>554</v>
      </c>
      <c r="S1393" s="218">
        <v>0.29998114612476234</v>
      </c>
      <c r="T1393" t="s">
        <v>550</v>
      </c>
      <c r="U1393" t="s">
        <v>51</v>
      </c>
      <c r="V1393" s="219" t="s">
        <v>6620</v>
      </c>
      <c r="W1393" s="219" t="s">
        <v>67</v>
      </c>
    </row>
    <row r="1394" spans="1:23" ht="15" customHeight="1" x14ac:dyDescent="0.25">
      <c r="A1394" t="s">
        <v>3483</v>
      </c>
      <c r="B1394" t="s">
        <v>546</v>
      </c>
      <c r="C1394">
        <v>50000</v>
      </c>
      <c r="D1394" t="s">
        <v>3484</v>
      </c>
      <c r="E1394" t="s">
        <v>553</v>
      </c>
      <c r="F1394" t="s">
        <v>548</v>
      </c>
      <c r="G1394" s="30">
        <v>46146</v>
      </c>
      <c r="H1394" t="s">
        <v>3485</v>
      </c>
      <c r="I1394">
        <v>5531793</v>
      </c>
      <c r="J1394" s="123">
        <v>46145</v>
      </c>
      <c r="K1394" s="123">
        <v>0</v>
      </c>
      <c r="L1394" s="123">
        <v>46145</v>
      </c>
      <c r="M1394">
        <v>0</v>
      </c>
      <c r="N1394">
        <v>0</v>
      </c>
      <c r="O1394" t="s">
        <v>556</v>
      </c>
      <c r="P1394" s="216">
        <v>50000</v>
      </c>
      <c r="Q1394" s="217" t="s">
        <v>25</v>
      </c>
      <c r="R1394" s="217" t="s">
        <v>62</v>
      </c>
      <c r="S1394" s="218">
        <v>0.29999983730410734</v>
      </c>
      <c r="T1394" t="s">
        <v>550</v>
      </c>
      <c r="U1394" t="s">
        <v>51</v>
      </c>
      <c r="V1394" s="219">
        <v>0</v>
      </c>
      <c r="W1394" s="219">
        <v>0</v>
      </c>
    </row>
    <row r="1395" spans="1:23" ht="15" customHeight="1" x14ac:dyDescent="0.25">
      <c r="A1395" t="s">
        <v>3486</v>
      </c>
      <c r="B1395" t="s">
        <v>546</v>
      </c>
      <c r="C1395">
        <v>50000</v>
      </c>
      <c r="D1395" t="s">
        <v>3484</v>
      </c>
      <c r="E1395" t="s">
        <v>553</v>
      </c>
      <c r="F1395" t="s">
        <v>548</v>
      </c>
      <c r="G1395" s="30">
        <v>46146</v>
      </c>
      <c r="H1395" t="s">
        <v>3485</v>
      </c>
      <c r="I1395">
        <v>5531793</v>
      </c>
      <c r="J1395" s="123">
        <v>46145</v>
      </c>
      <c r="K1395" s="123">
        <v>0</v>
      </c>
      <c r="L1395" s="123">
        <v>46145</v>
      </c>
      <c r="M1395">
        <v>0</v>
      </c>
      <c r="N1395">
        <v>0</v>
      </c>
      <c r="O1395" t="s">
        <v>556</v>
      </c>
      <c r="P1395" s="216">
        <v>50000</v>
      </c>
      <c r="Q1395" s="217" t="s">
        <v>25</v>
      </c>
      <c r="R1395" s="217" t="s">
        <v>62</v>
      </c>
      <c r="S1395" s="218">
        <v>0.29999983730410734</v>
      </c>
      <c r="T1395" t="s">
        <v>550</v>
      </c>
      <c r="U1395" t="s">
        <v>51</v>
      </c>
      <c r="V1395" s="219">
        <v>0</v>
      </c>
      <c r="W1395" s="219">
        <v>0</v>
      </c>
    </row>
    <row r="1396" spans="1:23" ht="15" customHeight="1" x14ac:dyDescent="0.25">
      <c r="A1396" t="s">
        <v>3487</v>
      </c>
      <c r="B1396" t="s">
        <v>546</v>
      </c>
      <c r="C1396">
        <v>350000</v>
      </c>
      <c r="D1396" t="s">
        <v>3484</v>
      </c>
      <c r="E1396" t="s">
        <v>553</v>
      </c>
      <c r="F1396" t="s">
        <v>548</v>
      </c>
      <c r="G1396" s="30">
        <v>46146</v>
      </c>
      <c r="H1396" t="s">
        <v>3485</v>
      </c>
      <c r="I1396">
        <v>5531793</v>
      </c>
      <c r="J1396" s="123">
        <v>46145</v>
      </c>
      <c r="K1396" s="123">
        <v>0</v>
      </c>
      <c r="L1396" s="123">
        <v>46145</v>
      </c>
      <c r="M1396">
        <v>0</v>
      </c>
      <c r="N1396">
        <v>0</v>
      </c>
      <c r="O1396" t="s">
        <v>556</v>
      </c>
      <c r="P1396" s="216">
        <v>350000</v>
      </c>
      <c r="Q1396" s="217" t="s">
        <v>25</v>
      </c>
      <c r="R1396" s="217" t="s">
        <v>62</v>
      </c>
      <c r="S1396" s="218">
        <v>0.29999983730410734</v>
      </c>
      <c r="T1396" t="s">
        <v>550</v>
      </c>
      <c r="U1396" t="s">
        <v>51</v>
      </c>
      <c r="V1396" s="219">
        <v>0</v>
      </c>
      <c r="W1396" s="219">
        <v>0</v>
      </c>
    </row>
    <row r="1397" spans="1:23" ht="15" customHeight="1" x14ac:dyDescent="0.25">
      <c r="A1397" t="s">
        <v>3488</v>
      </c>
      <c r="B1397" t="s">
        <v>546</v>
      </c>
      <c r="C1397">
        <v>50000</v>
      </c>
      <c r="D1397" t="s">
        <v>3484</v>
      </c>
      <c r="E1397" t="s">
        <v>553</v>
      </c>
      <c r="F1397" t="s">
        <v>548</v>
      </c>
      <c r="G1397" s="30">
        <v>46146</v>
      </c>
      <c r="H1397" t="s">
        <v>3485</v>
      </c>
      <c r="I1397">
        <v>5531793</v>
      </c>
      <c r="J1397" s="123">
        <v>46145</v>
      </c>
      <c r="K1397" s="123">
        <v>0</v>
      </c>
      <c r="L1397" s="123">
        <v>46145</v>
      </c>
      <c r="M1397">
        <v>0</v>
      </c>
      <c r="N1397">
        <v>0</v>
      </c>
      <c r="O1397" t="s">
        <v>556</v>
      </c>
      <c r="P1397" s="216">
        <v>50000</v>
      </c>
      <c r="Q1397" s="217" t="s">
        <v>25</v>
      </c>
      <c r="R1397" s="217" t="s">
        <v>62</v>
      </c>
      <c r="S1397" s="218">
        <v>0.29999983730410734</v>
      </c>
      <c r="T1397" t="s">
        <v>550</v>
      </c>
      <c r="U1397" t="s">
        <v>51</v>
      </c>
      <c r="V1397" s="219">
        <v>0</v>
      </c>
      <c r="W1397" s="219">
        <v>0</v>
      </c>
    </row>
    <row r="1398" spans="1:23" ht="15" customHeight="1" x14ac:dyDescent="0.25">
      <c r="A1398" t="s">
        <v>3489</v>
      </c>
      <c r="B1398" t="s">
        <v>546</v>
      </c>
      <c r="C1398">
        <v>50000</v>
      </c>
      <c r="D1398" t="s">
        <v>3484</v>
      </c>
      <c r="E1398" t="s">
        <v>553</v>
      </c>
      <c r="F1398" t="s">
        <v>554</v>
      </c>
      <c r="G1398" s="30">
        <v>46146</v>
      </c>
      <c r="H1398" t="s">
        <v>3485</v>
      </c>
      <c r="I1398">
        <v>5531793</v>
      </c>
      <c r="J1398" s="123">
        <v>46145</v>
      </c>
      <c r="K1398" s="123">
        <v>0</v>
      </c>
      <c r="L1398" s="123">
        <v>46145</v>
      </c>
      <c r="M1398">
        <v>0</v>
      </c>
      <c r="N1398">
        <v>0</v>
      </c>
      <c r="O1398" t="s">
        <v>556</v>
      </c>
      <c r="P1398" s="216">
        <v>50000</v>
      </c>
      <c r="Q1398" s="217" t="s">
        <v>25</v>
      </c>
      <c r="R1398" s="217" t="s">
        <v>554</v>
      </c>
      <c r="S1398" s="218">
        <v>0.29999983730410734</v>
      </c>
      <c r="T1398" t="s">
        <v>550</v>
      </c>
      <c r="U1398" t="s">
        <v>51</v>
      </c>
      <c r="V1398" s="219" t="s">
        <v>6621</v>
      </c>
      <c r="W1398" s="219" t="s">
        <v>67</v>
      </c>
    </row>
    <row r="1399" spans="1:23" ht="15" customHeight="1" x14ac:dyDescent="0.25">
      <c r="A1399" t="s">
        <v>3490</v>
      </c>
      <c r="B1399" t="s">
        <v>546</v>
      </c>
      <c r="C1399">
        <v>75000</v>
      </c>
      <c r="D1399" t="s">
        <v>3484</v>
      </c>
      <c r="E1399" t="s">
        <v>553</v>
      </c>
      <c r="F1399" t="s">
        <v>548</v>
      </c>
      <c r="G1399" s="30">
        <v>46146</v>
      </c>
      <c r="H1399" t="s">
        <v>3485</v>
      </c>
      <c r="I1399">
        <v>5531793</v>
      </c>
      <c r="J1399" s="123">
        <v>46145</v>
      </c>
      <c r="K1399" s="123">
        <v>0</v>
      </c>
      <c r="L1399" s="123">
        <v>46145</v>
      </c>
      <c r="M1399">
        <v>0</v>
      </c>
      <c r="N1399">
        <v>0</v>
      </c>
      <c r="O1399" t="s">
        <v>556</v>
      </c>
      <c r="P1399" s="216">
        <v>75000</v>
      </c>
      <c r="Q1399" s="217" t="s">
        <v>25</v>
      </c>
      <c r="R1399" s="217" t="s">
        <v>62</v>
      </c>
      <c r="S1399" s="218">
        <v>0.29999983730410734</v>
      </c>
      <c r="T1399" t="s">
        <v>550</v>
      </c>
      <c r="U1399" t="s">
        <v>51</v>
      </c>
      <c r="V1399" s="219">
        <v>0</v>
      </c>
      <c r="W1399" s="219">
        <v>0</v>
      </c>
    </row>
    <row r="1400" spans="1:23" ht="15" customHeight="1" x14ac:dyDescent="0.25">
      <c r="A1400" t="s">
        <v>3491</v>
      </c>
      <c r="B1400" t="s">
        <v>546</v>
      </c>
      <c r="C1400">
        <v>100000</v>
      </c>
      <c r="D1400" t="s">
        <v>3484</v>
      </c>
      <c r="E1400" t="s">
        <v>553</v>
      </c>
      <c r="F1400" t="s">
        <v>548</v>
      </c>
      <c r="G1400" s="30">
        <v>46146</v>
      </c>
      <c r="H1400" t="s">
        <v>3485</v>
      </c>
      <c r="I1400">
        <v>5531793</v>
      </c>
      <c r="J1400" s="123">
        <v>46145</v>
      </c>
      <c r="K1400" s="123">
        <v>0</v>
      </c>
      <c r="L1400" s="123">
        <v>46145</v>
      </c>
      <c r="M1400">
        <v>0</v>
      </c>
      <c r="N1400">
        <v>0</v>
      </c>
      <c r="O1400" t="s">
        <v>556</v>
      </c>
      <c r="P1400" s="216">
        <v>100000</v>
      </c>
      <c r="Q1400" s="217" t="s">
        <v>25</v>
      </c>
      <c r="R1400" s="217" t="s">
        <v>62</v>
      </c>
      <c r="S1400" s="218">
        <v>0.29999983730410734</v>
      </c>
      <c r="T1400" t="s">
        <v>550</v>
      </c>
      <c r="U1400" t="s">
        <v>51</v>
      </c>
      <c r="V1400" s="219">
        <v>0</v>
      </c>
      <c r="W1400" s="219">
        <v>0</v>
      </c>
    </row>
    <row r="1401" spans="1:23" ht="15" customHeight="1" x14ac:dyDescent="0.25">
      <c r="A1401" t="s">
        <v>3492</v>
      </c>
      <c r="B1401" t="s">
        <v>546</v>
      </c>
      <c r="C1401">
        <v>97860.54</v>
      </c>
      <c r="D1401" t="s">
        <v>3484</v>
      </c>
      <c r="E1401" t="s">
        <v>553</v>
      </c>
      <c r="F1401" t="s">
        <v>554</v>
      </c>
      <c r="G1401" s="30">
        <v>46146</v>
      </c>
      <c r="H1401" t="s">
        <v>3485</v>
      </c>
      <c r="I1401">
        <v>5531793</v>
      </c>
      <c r="J1401" s="123">
        <v>46145</v>
      </c>
      <c r="K1401" s="123">
        <v>0</v>
      </c>
      <c r="L1401" s="123">
        <v>46145</v>
      </c>
      <c r="M1401">
        <v>0</v>
      </c>
      <c r="N1401">
        <v>0</v>
      </c>
      <c r="O1401" t="s">
        <v>556</v>
      </c>
      <c r="P1401" s="216">
        <v>97860.54</v>
      </c>
      <c r="Q1401" s="217" t="s">
        <v>25</v>
      </c>
      <c r="R1401" s="217" t="s">
        <v>554</v>
      </c>
      <c r="S1401" s="218">
        <v>0.29999983730410734</v>
      </c>
      <c r="T1401" t="s">
        <v>550</v>
      </c>
      <c r="U1401" t="s">
        <v>51</v>
      </c>
      <c r="V1401" s="219" t="s">
        <v>6622</v>
      </c>
      <c r="W1401" s="219" t="s">
        <v>67</v>
      </c>
    </row>
    <row r="1402" spans="1:23" ht="15" customHeight="1" x14ac:dyDescent="0.25">
      <c r="A1402" t="s">
        <v>3493</v>
      </c>
      <c r="B1402" t="s">
        <v>546</v>
      </c>
      <c r="C1402">
        <v>497860.54</v>
      </c>
      <c r="D1402" t="s">
        <v>3484</v>
      </c>
      <c r="E1402" t="s">
        <v>553</v>
      </c>
      <c r="F1402" t="s">
        <v>548</v>
      </c>
      <c r="G1402" s="30">
        <v>46146</v>
      </c>
      <c r="H1402" t="s">
        <v>3485</v>
      </c>
      <c r="I1402">
        <v>5531793</v>
      </c>
      <c r="J1402" s="123">
        <v>46145</v>
      </c>
      <c r="K1402" s="123">
        <v>0</v>
      </c>
      <c r="L1402" s="123">
        <v>46145</v>
      </c>
      <c r="M1402">
        <v>0</v>
      </c>
      <c r="N1402">
        <v>0</v>
      </c>
      <c r="O1402" t="s">
        <v>556</v>
      </c>
      <c r="P1402" s="216">
        <v>497860.54</v>
      </c>
      <c r="Q1402" s="217" t="s">
        <v>25</v>
      </c>
      <c r="R1402" s="217" t="s">
        <v>62</v>
      </c>
      <c r="S1402" s="218">
        <v>0.29999983730410734</v>
      </c>
      <c r="T1402" t="s">
        <v>550</v>
      </c>
      <c r="U1402" t="s">
        <v>51</v>
      </c>
      <c r="V1402" s="219">
        <v>0</v>
      </c>
      <c r="W1402" s="219">
        <v>0</v>
      </c>
    </row>
    <row r="1403" spans="1:23" ht="15" customHeight="1" x14ac:dyDescent="0.25">
      <c r="A1403" t="s">
        <v>3494</v>
      </c>
      <c r="B1403" t="s">
        <v>546</v>
      </c>
      <c r="C1403">
        <v>97860.54</v>
      </c>
      <c r="D1403" t="s">
        <v>3484</v>
      </c>
      <c r="E1403" t="s">
        <v>553</v>
      </c>
      <c r="F1403" t="s">
        <v>548</v>
      </c>
      <c r="G1403" s="30">
        <v>46146</v>
      </c>
      <c r="H1403" t="s">
        <v>3485</v>
      </c>
      <c r="I1403">
        <v>5531793</v>
      </c>
      <c r="J1403" s="123">
        <v>46145</v>
      </c>
      <c r="K1403" s="123">
        <v>0</v>
      </c>
      <c r="L1403" s="123">
        <v>46145</v>
      </c>
      <c r="M1403">
        <v>0</v>
      </c>
      <c r="N1403">
        <v>0</v>
      </c>
      <c r="O1403" t="s">
        <v>556</v>
      </c>
      <c r="P1403" s="216">
        <v>97860.54</v>
      </c>
      <c r="Q1403" s="217" t="s">
        <v>25</v>
      </c>
      <c r="R1403" s="217" t="s">
        <v>62</v>
      </c>
      <c r="S1403" s="218">
        <v>0.29999983730410734</v>
      </c>
      <c r="T1403" t="s">
        <v>550</v>
      </c>
      <c r="U1403" t="s">
        <v>51</v>
      </c>
      <c r="V1403" s="219">
        <v>0</v>
      </c>
      <c r="W1403" s="219">
        <v>0</v>
      </c>
    </row>
    <row r="1404" spans="1:23" ht="15" customHeight="1" x14ac:dyDescent="0.25">
      <c r="A1404" t="s">
        <v>3495</v>
      </c>
      <c r="B1404" t="s">
        <v>546</v>
      </c>
      <c r="C1404">
        <v>497860.54</v>
      </c>
      <c r="D1404" t="s">
        <v>3484</v>
      </c>
      <c r="E1404" t="s">
        <v>553</v>
      </c>
      <c r="F1404" t="s">
        <v>548</v>
      </c>
      <c r="G1404" s="30">
        <v>46146</v>
      </c>
      <c r="H1404" t="s">
        <v>3485</v>
      </c>
      <c r="I1404">
        <v>5531793</v>
      </c>
      <c r="J1404" s="123">
        <v>46145</v>
      </c>
      <c r="K1404" s="123">
        <v>0</v>
      </c>
      <c r="L1404" s="123">
        <v>46145</v>
      </c>
      <c r="M1404">
        <v>0</v>
      </c>
      <c r="N1404">
        <v>0</v>
      </c>
      <c r="O1404" t="s">
        <v>556</v>
      </c>
      <c r="P1404" s="216">
        <v>497860.54</v>
      </c>
      <c r="Q1404" s="217" t="s">
        <v>25</v>
      </c>
      <c r="R1404" s="217" t="s">
        <v>62</v>
      </c>
      <c r="S1404" s="218">
        <v>0.29999983730410734</v>
      </c>
      <c r="T1404" t="s">
        <v>550</v>
      </c>
      <c r="U1404" t="s">
        <v>51</v>
      </c>
      <c r="V1404" s="219">
        <v>0</v>
      </c>
      <c r="W1404" s="219">
        <v>0</v>
      </c>
    </row>
    <row r="1405" spans="1:23" ht="15" customHeight="1" x14ac:dyDescent="0.25">
      <c r="A1405" t="s">
        <v>3496</v>
      </c>
      <c r="B1405" t="s">
        <v>546</v>
      </c>
      <c r="C1405">
        <v>497860.54</v>
      </c>
      <c r="D1405" t="s">
        <v>3484</v>
      </c>
      <c r="E1405" t="s">
        <v>553</v>
      </c>
      <c r="F1405" t="s">
        <v>548</v>
      </c>
      <c r="G1405" s="30">
        <v>46145</v>
      </c>
      <c r="H1405" t="s">
        <v>3485</v>
      </c>
      <c r="I1405">
        <v>5531793</v>
      </c>
      <c r="J1405" s="123">
        <v>46145</v>
      </c>
      <c r="K1405" s="123">
        <v>0</v>
      </c>
      <c r="L1405" s="123">
        <v>46145</v>
      </c>
      <c r="M1405">
        <v>0</v>
      </c>
      <c r="N1405">
        <v>0</v>
      </c>
      <c r="O1405" t="s">
        <v>556</v>
      </c>
      <c r="P1405" s="216">
        <v>497860.54</v>
      </c>
      <c r="Q1405" s="217" t="s">
        <v>25</v>
      </c>
      <c r="R1405" s="217" t="s">
        <v>62</v>
      </c>
      <c r="S1405" s="218">
        <v>0.29999983730410734</v>
      </c>
      <c r="T1405" t="s">
        <v>550</v>
      </c>
      <c r="U1405" t="s">
        <v>51</v>
      </c>
      <c r="V1405" s="219">
        <v>0</v>
      </c>
      <c r="W1405" s="219">
        <v>0</v>
      </c>
    </row>
    <row r="1406" spans="1:23" ht="15" customHeight="1" x14ac:dyDescent="0.25">
      <c r="A1406" t="s">
        <v>3497</v>
      </c>
      <c r="B1406" t="s">
        <v>546</v>
      </c>
      <c r="C1406">
        <v>497860.54</v>
      </c>
      <c r="D1406" t="s">
        <v>3484</v>
      </c>
      <c r="E1406" t="s">
        <v>553</v>
      </c>
      <c r="F1406" t="s">
        <v>548</v>
      </c>
      <c r="G1406" s="30">
        <v>46145</v>
      </c>
      <c r="H1406" t="s">
        <v>3485</v>
      </c>
      <c r="I1406">
        <v>5531793</v>
      </c>
      <c r="J1406" s="123">
        <v>46145</v>
      </c>
      <c r="K1406" s="123">
        <v>0</v>
      </c>
      <c r="L1406" s="123">
        <v>46145</v>
      </c>
      <c r="M1406">
        <v>0</v>
      </c>
      <c r="N1406">
        <v>0</v>
      </c>
      <c r="O1406" t="s">
        <v>556</v>
      </c>
      <c r="P1406" s="216">
        <v>497860.54</v>
      </c>
      <c r="Q1406" s="217" t="s">
        <v>25</v>
      </c>
      <c r="R1406" s="217" t="s">
        <v>62</v>
      </c>
      <c r="S1406" s="218">
        <v>0.29999983730410734</v>
      </c>
      <c r="T1406" t="s">
        <v>550</v>
      </c>
      <c r="U1406" t="s">
        <v>51</v>
      </c>
      <c r="V1406" s="219">
        <v>0</v>
      </c>
      <c r="W1406" s="219">
        <v>0</v>
      </c>
    </row>
    <row r="1407" spans="1:23" ht="15" customHeight="1" x14ac:dyDescent="0.25">
      <c r="A1407" t="s">
        <v>3498</v>
      </c>
      <c r="B1407" t="s">
        <v>546</v>
      </c>
      <c r="C1407">
        <v>50000</v>
      </c>
      <c r="D1407" t="s">
        <v>3484</v>
      </c>
      <c r="E1407" t="s">
        <v>553</v>
      </c>
      <c r="F1407" t="s">
        <v>548</v>
      </c>
      <c r="G1407" s="30">
        <v>46146</v>
      </c>
      <c r="H1407" t="s">
        <v>3485</v>
      </c>
      <c r="I1407">
        <v>5531793</v>
      </c>
      <c r="J1407" s="123">
        <v>46146</v>
      </c>
      <c r="K1407" s="123">
        <v>0</v>
      </c>
      <c r="L1407" s="123">
        <v>46146</v>
      </c>
      <c r="M1407">
        <v>0</v>
      </c>
      <c r="N1407">
        <v>0</v>
      </c>
      <c r="O1407" t="s">
        <v>556</v>
      </c>
      <c r="P1407" s="216">
        <v>50000</v>
      </c>
      <c r="Q1407" s="217" t="s">
        <v>25</v>
      </c>
      <c r="R1407" s="217" t="s">
        <v>62</v>
      </c>
      <c r="S1407" s="218">
        <v>0.29999983730410734</v>
      </c>
      <c r="T1407" t="s">
        <v>550</v>
      </c>
      <c r="U1407" t="s">
        <v>51</v>
      </c>
      <c r="V1407" s="219">
        <v>0</v>
      </c>
      <c r="W1407" s="219">
        <v>0</v>
      </c>
    </row>
    <row r="1408" spans="1:23" ht="15" customHeight="1" x14ac:dyDescent="0.25">
      <c r="A1408" t="s">
        <v>3499</v>
      </c>
      <c r="B1408" t="s">
        <v>546</v>
      </c>
      <c r="C1408">
        <v>397860.54</v>
      </c>
      <c r="D1408" t="s">
        <v>3484</v>
      </c>
      <c r="E1408" t="s">
        <v>553</v>
      </c>
      <c r="F1408" t="s">
        <v>548</v>
      </c>
      <c r="G1408" s="30">
        <v>46147</v>
      </c>
      <c r="H1408" t="s">
        <v>3485</v>
      </c>
      <c r="I1408">
        <v>5531793</v>
      </c>
      <c r="J1408" s="123">
        <v>46147</v>
      </c>
      <c r="K1408" s="123">
        <v>0</v>
      </c>
      <c r="L1408" s="123">
        <v>46147</v>
      </c>
      <c r="M1408">
        <v>0</v>
      </c>
      <c r="N1408">
        <v>0</v>
      </c>
      <c r="O1408" t="s">
        <v>556</v>
      </c>
      <c r="P1408" s="216">
        <v>397860.54</v>
      </c>
      <c r="Q1408" s="217" t="s">
        <v>25</v>
      </c>
      <c r="R1408" s="217" t="s">
        <v>62</v>
      </c>
      <c r="S1408" s="218">
        <v>0.29999983730410734</v>
      </c>
      <c r="T1408" t="s">
        <v>550</v>
      </c>
      <c r="U1408" t="s">
        <v>51</v>
      </c>
      <c r="V1408" s="219">
        <v>0</v>
      </c>
      <c r="W1408" s="219">
        <v>0</v>
      </c>
    </row>
    <row r="1409" spans="1:23" ht="15" customHeight="1" x14ac:dyDescent="0.25">
      <c r="A1409" t="s">
        <v>3500</v>
      </c>
      <c r="B1409" t="s">
        <v>546</v>
      </c>
      <c r="C1409">
        <v>100000</v>
      </c>
      <c r="D1409" t="s">
        <v>3484</v>
      </c>
      <c r="E1409" t="s">
        <v>553</v>
      </c>
      <c r="F1409" t="s">
        <v>554</v>
      </c>
      <c r="G1409" s="30">
        <v>46147</v>
      </c>
      <c r="H1409" t="s">
        <v>3485</v>
      </c>
      <c r="I1409">
        <v>5531793</v>
      </c>
      <c r="J1409" s="123">
        <v>46147</v>
      </c>
      <c r="K1409" s="123">
        <v>0</v>
      </c>
      <c r="L1409" s="123">
        <v>46147</v>
      </c>
      <c r="M1409">
        <v>0</v>
      </c>
      <c r="N1409">
        <v>0</v>
      </c>
      <c r="O1409" t="s">
        <v>556</v>
      </c>
      <c r="P1409" s="216">
        <v>100000</v>
      </c>
      <c r="Q1409" s="217" t="s">
        <v>25</v>
      </c>
      <c r="R1409" s="217" t="s">
        <v>554</v>
      </c>
      <c r="S1409" s="218">
        <v>0.29999983730410734</v>
      </c>
      <c r="T1409" t="s">
        <v>550</v>
      </c>
      <c r="U1409" t="s">
        <v>51</v>
      </c>
      <c r="V1409" s="219" t="s">
        <v>6623</v>
      </c>
      <c r="W1409" s="219" t="s">
        <v>67</v>
      </c>
    </row>
    <row r="1410" spans="1:23" ht="15" customHeight="1" x14ac:dyDescent="0.25">
      <c r="A1410" t="s">
        <v>3501</v>
      </c>
      <c r="B1410" t="s">
        <v>546</v>
      </c>
      <c r="C1410">
        <v>150000</v>
      </c>
      <c r="D1410" t="s">
        <v>3484</v>
      </c>
      <c r="E1410" t="s">
        <v>553</v>
      </c>
      <c r="F1410" t="s">
        <v>548</v>
      </c>
      <c r="G1410" s="30">
        <v>46147</v>
      </c>
      <c r="H1410" t="s">
        <v>3485</v>
      </c>
      <c r="I1410">
        <v>5531793</v>
      </c>
      <c r="J1410" s="123">
        <v>46147</v>
      </c>
      <c r="K1410" s="123">
        <v>0</v>
      </c>
      <c r="L1410" s="123">
        <v>46147</v>
      </c>
      <c r="M1410">
        <v>0</v>
      </c>
      <c r="N1410">
        <v>0</v>
      </c>
      <c r="O1410" t="s">
        <v>556</v>
      </c>
      <c r="P1410" s="216">
        <v>150000</v>
      </c>
      <c r="Q1410" s="217" t="s">
        <v>25</v>
      </c>
      <c r="R1410" s="217" t="s">
        <v>62</v>
      </c>
      <c r="S1410" s="218">
        <v>0.29999983730410734</v>
      </c>
      <c r="T1410" t="s">
        <v>550</v>
      </c>
      <c r="U1410" t="s">
        <v>51</v>
      </c>
      <c r="V1410" s="219">
        <v>0</v>
      </c>
      <c r="W1410" s="219">
        <v>0</v>
      </c>
    </row>
    <row r="1411" spans="1:23" ht="15" customHeight="1" x14ac:dyDescent="0.25">
      <c r="A1411" t="s">
        <v>3502</v>
      </c>
      <c r="B1411" t="s">
        <v>546</v>
      </c>
      <c r="C1411">
        <v>45000</v>
      </c>
      <c r="D1411" t="s">
        <v>3484</v>
      </c>
      <c r="E1411" t="s">
        <v>553</v>
      </c>
      <c r="F1411" t="s">
        <v>554</v>
      </c>
      <c r="G1411" s="30">
        <v>46147</v>
      </c>
      <c r="H1411" t="s">
        <v>3485</v>
      </c>
      <c r="I1411">
        <v>5531793</v>
      </c>
      <c r="J1411" s="123">
        <v>46147</v>
      </c>
      <c r="K1411" s="123">
        <v>0</v>
      </c>
      <c r="L1411" s="123">
        <v>46147</v>
      </c>
      <c r="M1411">
        <v>0</v>
      </c>
      <c r="N1411">
        <v>0</v>
      </c>
      <c r="O1411" t="s">
        <v>556</v>
      </c>
      <c r="P1411" s="216">
        <v>45000</v>
      </c>
      <c r="Q1411" s="217" t="s">
        <v>25</v>
      </c>
      <c r="R1411" s="217" t="s">
        <v>554</v>
      </c>
      <c r="S1411" s="218">
        <v>0.29999983730410734</v>
      </c>
      <c r="T1411" t="s">
        <v>550</v>
      </c>
      <c r="U1411" t="s">
        <v>51</v>
      </c>
      <c r="V1411" s="219" t="s">
        <v>6624</v>
      </c>
      <c r="W1411" s="219" t="s">
        <v>67</v>
      </c>
    </row>
    <row r="1412" spans="1:23" ht="15" customHeight="1" x14ac:dyDescent="0.25">
      <c r="A1412" t="s">
        <v>3503</v>
      </c>
      <c r="B1412" t="s">
        <v>546</v>
      </c>
      <c r="C1412">
        <v>50000</v>
      </c>
      <c r="D1412" t="s">
        <v>3484</v>
      </c>
      <c r="E1412" t="s">
        <v>553</v>
      </c>
      <c r="F1412" t="s">
        <v>548</v>
      </c>
      <c r="G1412" s="30">
        <v>46147</v>
      </c>
      <c r="H1412" t="s">
        <v>3485</v>
      </c>
      <c r="I1412">
        <v>5531793</v>
      </c>
      <c r="J1412" s="123">
        <v>46147</v>
      </c>
      <c r="K1412" s="123">
        <v>0</v>
      </c>
      <c r="L1412" s="123">
        <v>46147</v>
      </c>
      <c r="M1412">
        <v>0</v>
      </c>
      <c r="N1412">
        <v>0</v>
      </c>
      <c r="O1412" t="s">
        <v>556</v>
      </c>
      <c r="P1412" s="216">
        <v>50000</v>
      </c>
      <c r="Q1412" s="217" t="s">
        <v>25</v>
      </c>
      <c r="R1412" s="217" t="s">
        <v>62</v>
      </c>
      <c r="S1412" s="218">
        <v>0.29999983730410734</v>
      </c>
      <c r="T1412" t="s">
        <v>550</v>
      </c>
      <c r="U1412" t="s">
        <v>51</v>
      </c>
      <c r="V1412" s="219">
        <v>0</v>
      </c>
      <c r="W1412" s="219">
        <v>0</v>
      </c>
    </row>
    <row r="1413" spans="1:23" ht="15" customHeight="1" x14ac:dyDescent="0.25">
      <c r="A1413" t="s">
        <v>3504</v>
      </c>
      <c r="B1413" t="s">
        <v>546</v>
      </c>
      <c r="C1413">
        <v>100000</v>
      </c>
      <c r="D1413" t="s">
        <v>3484</v>
      </c>
      <c r="E1413" t="s">
        <v>553</v>
      </c>
      <c r="F1413" t="s">
        <v>548</v>
      </c>
      <c r="G1413" s="30">
        <v>46147</v>
      </c>
      <c r="H1413" t="s">
        <v>3485</v>
      </c>
      <c r="I1413">
        <v>5531793</v>
      </c>
      <c r="J1413" s="123">
        <v>46147</v>
      </c>
      <c r="K1413" s="123">
        <v>0</v>
      </c>
      <c r="L1413" s="123">
        <v>46147</v>
      </c>
      <c r="M1413">
        <v>0</v>
      </c>
      <c r="N1413">
        <v>0</v>
      </c>
      <c r="O1413" t="s">
        <v>556</v>
      </c>
      <c r="P1413" s="216">
        <v>100000</v>
      </c>
      <c r="Q1413" s="217" t="s">
        <v>25</v>
      </c>
      <c r="R1413" s="217" t="s">
        <v>62</v>
      </c>
      <c r="S1413" s="218">
        <v>0.29999983730410734</v>
      </c>
      <c r="T1413" t="s">
        <v>550</v>
      </c>
      <c r="U1413" t="s">
        <v>51</v>
      </c>
      <c r="V1413" s="219">
        <v>0</v>
      </c>
      <c r="W1413" s="219">
        <v>0</v>
      </c>
    </row>
    <row r="1414" spans="1:23" ht="15" customHeight="1" x14ac:dyDescent="0.25">
      <c r="A1414" t="s">
        <v>3505</v>
      </c>
      <c r="B1414" t="s">
        <v>546</v>
      </c>
      <c r="C1414">
        <v>45000</v>
      </c>
      <c r="D1414" t="s">
        <v>3484</v>
      </c>
      <c r="E1414" t="s">
        <v>553</v>
      </c>
      <c r="F1414" t="s">
        <v>554</v>
      </c>
      <c r="G1414" s="30">
        <v>46148</v>
      </c>
      <c r="H1414" t="s">
        <v>3485</v>
      </c>
      <c r="I1414">
        <v>5531793</v>
      </c>
      <c r="J1414" s="123">
        <v>46147</v>
      </c>
      <c r="K1414" s="123">
        <v>0</v>
      </c>
      <c r="L1414" s="123">
        <v>46147</v>
      </c>
      <c r="M1414">
        <v>0</v>
      </c>
      <c r="N1414">
        <v>0</v>
      </c>
      <c r="O1414" t="s">
        <v>556</v>
      </c>
      <c r="P1414" s="216">
        <v>45000</v>
      </c>
      <c r="Q1414" s="217" t="s">
        <v>25</v>
      </c>
      <c r="R1414" s="217" t="s">
        <v>554</v>
      </c>
      <c r="S1414" s="218">
        <v>0.29999983730410734</v>
      </c>
      <c r="T1414" t="s">
        <v>550</v>
      </c>
      <c r="U1414" t="s">
        <v>51</v>
      </c>
      <c r="V1414" s="219" t="s">
        <v>6625</v>
      </c>
      <c r="W1414" s="219" t="s">
        <v>67</v>
      </c>
    </row>
    <row r="1415" spans="1:23" ht="15" customHeight="1" x14ac:dyDescent="0.25">
      <c r="A1415" t="s">
        <v>3506</v>
      </c>
      <c r="B1415" t="s">
        <v>546</v>
      </c>
      <c r="C1415">
        <v>100000</v>
      </c>
      <c r="D1415" t="s">
        <v>3484</v>
      </c>
      <c r="E1415" t="s">
        <v>553</v>
      </c>
      <c r="F1415" t="s">
        <v>554</v>
      </c>
      <c r="G1415" s="30">
        <v>46148</v>
      </c>
      <c r="H1415" t="s">
        <v>3485</v>
      </c>
      <c r="I1415">
        <v>5531793</v>
      </c>
      <c r="J1415" s="123">
        <v>46147</v>
      </c>
      <c r="K1415" s="123">
        <v>0</v>
      </c>
      <c r="L1415" s="123">
        <v>46147</v>
      </c>
      <c r="M1415">
        <v>0</v>
      </c>
      <c r="N1415">
        <v>0</v>
      </c>
      <c r="O1415" t="s">
        <v>556</v>
      </c>
      <c r="P1415" s="216">
        <v>100000</v>
      </c>
      <c r="Q1415" s="217" t="s">
        <v>25</v>
      </c>
      <c r="R1415" s="217" t="s">
        <v>554</v>
      </c>
      <c r="S1415" s="218">
        <v>0.29999983730410734</v>
      </c>
      <c r="T1415" t="s">
        <v>550</v>
      </c>
      <c r="U1415" t="s">
        <v>51</v>
      </c>
      <c r="V1415" s="219" t="s">
        <v>6626</v>
      </c>
      <c r="W1415" s="219" t="s">
        <v>67</v>
      </c>
    </row>
    <row r="1416" spans="1:23" ht="15" customHeight="1" x14ac:dyDescent="0.25">
      <c r="A1416" t="s">
        <v>3507</v>
      </c>
      <c r="B1416" t="s">
        <v>546</v>
      </c>
      <c r="C1416">
        <v>60000</v>
      </c>
      <c r="D1416" t="s">
        <v>3484</v>
      </c>
      <c r="E1416" t="s">
        <v>553</v>
      </c>
      <c r="F1416" t="s">
        <v>548</v>
      </c>
      <c r="G1416" s="30">
        <v>46149</v>
      </c>
      <c r="H1416" t="s">
        <v>3485</v>
      </c>
      <c r="I1416">
        <v>5531793</v>
      </c>
      <c r="J1416" s="123">
        <v>46148</v>
      </c>
      <c r="K1416" s="123">
        <v>0</v>
      </c>
      <c r="L1416" s="123">
        <v>46148</v>
      </c>
      <c r="M1416">
        <v>0</v>
      </c>
      <c r="N1416">
        <v>0</v>
      </c>
      <c r="O1416" t="s">
        <v>556</v>
      </c>
      <c r="P1416" s="216">
        <v>60000</v>
      </c>
      <c r="Q1416" s="217" t="s">
        <v>25</v>
      </c>
      <c r="R1416" s="217" t="s">
        <v>62</v>
      </c>
      <c r="S1416" s="218">
        <v>0.29999983730410734</v>
      </c>
      <c r="T1416" t="s">
        <v>550</v>
      </c>
      <c r="U1416" t="s">
        <v>51</v>
      </c>
      <c r="V1416" s="219">
        <v>0</v>
      </c>
      <c r="W1416" s="219">
        <v>0</v>
      </c>
    </row>
    <row r="1417" spans="1:23" ht="15" customHeight="1" x14ac:dyDescent="0.25">
      <c r="A1417" t="s">
        <v>3508</v>
      </c>
      <c r="B1417" t="s">
        <v>546</v>
      </c>
      <c r="C1417">
        <v>60000</v>
      </c>
      <c r="D1417" t="s">
        <v>3484</v>
      </c>
      <c r="E1417" t="s">
        <v>553</v>
      </c>
      <c r="F1417" t="s">
        <v>554</v>
      </c>
      <c r="G1417" s="30">
        <v>46149</v>
      </c>
      <c r="H1417" t="s">
        <v>3485</v>
      </c>
      <c r="I1417">
        <v>5531793</v>
      </c>
      <c r="J1417" s="123">
        <v>46149</v>
      </c>
      <c r="K1417" s="123">
        <v>0</v>
      </c>
      <c r="L1417" s="123">
        <v>46149</v>
      </c>
      <c r="M1417">
        <v>0</v>
      </c>
      <c r="N1417">
        <v>0</v>
      </c>
      <c r="O1417" t="s">
        <v>556</v>
      </c>
      <c r="P1417" s="216">
        <v>60000</v>
      </c>
      <c r="Q1417" s="217" t="s">
        <v>25</v>
      </c>
      <c r="R1417" s="217" t="s">
        <v>554</v>
      </c>
      <c r="S1417" s="218">
        <v>0.29999983730410734</v>
      </c>
      <c r="T1417" t="s">
        <v>550</v>
      </c>
      <c r="U1417" t="s">
        <v>51</v>
      </c>
      <c r="V1417" s="219" t="s">
        <v>6627</v>
      </c>
      <c r="W1417" s="219" t="s">
        <v>67</v>
      </c>
    </row>
    <row r="1418" spans="1:23" ht="15" customHeight="1" x14ac:dyDescent="0.25">
      <c r="A1418" t="s">
        <v>3509</v>
      </c>
      <c r="B1418" t="s">
        <v>546</v>
      </c>
      <c r="C1418">
        <v>50000</v>
      </c>
      <c r="D1418" t="s">
        <v>3510</v>
      </c>
      <c r="E1418" t="s">
        <v>151</v>
      </c>
      <c r="F1418" t="s">
        <v>554</v>
      </c>
      <c r="G1418" s="30">
        <v>46146</v>
      </c>
      <c r="H1418" t="s">
        <v>3511</v>
      </c>
      <c r="I1418">
        <v>4675773</v>
      </c>
      <c r="J1418" s="123">
        <v>0</v>
      </c>
      <c r="K1418" s="123">
        <v>0</v>
      </c>
      <c r="L1418" s="123">
        <v>0</v>
      </c>
      <c r="M1418">
        <v>0</v>
      </c>
      <c r="N1418">
        <v>0</v>
      </c>
      <c r="O1418">
        <v>0</v>
      </c>
      <c r="P1418" s="216">
        <v>50000</v>
      </c>
      <c r="Q1418" s="217" t="s">
        <v>25</v>
      </c>
      <c r="R1418" s="217" t="s">
        <v>554</v>
      </c>
      <c r="S1418" s="218">
        <v>0.27005844808975971</v>
      </c>
      <c r="T1418" t="s">
        <v>550</v>
      </c>
      <c r="U1418" t="s">
        <v>51</v>
      </c>
      <c r="V1418" s="219" t="s">
        <v>6628</v>
      </c>
      <c r="W1418" s="219" t="s">
        <v>67</v>
      </c>
    </row>
    <row r="1419" spans="1:23" ht="15" customHeight="1" x14ac:dyDescent="0.25">
      <c r="A1419" t="s">
        <v>3512</v>
      </c>
      <c r="B1419" t="s">
        <v>546</v>
      </c>
      <c r="C1419">
        <v>30000</v>
      </c>
      <c r="D1419" t="s">
        <v>3510</v>
      </c>
      <c r="E1419" t="s">
        <v>151</v>
      </c>
      <c r="F1419" t="s">
        <v>554</v>
      </c>
      <c r="G1419" s="30">
        <v>46146</v>
      </c>
      <c r="H1419" t="s">
        <v>3511</v>
      </c>
      <c r="I1419">
        <v>4675773</v>
      </c>
      <c r="J1419" s="123">
        <v>0</v>
      </c>
      <c r="K1419" s="123">
        <v>0</v>
      </c>
      <c r="L1419" s="123">
        <v>0</v>
      </c>
      <c r="M1419">
        <v>0</v>
      </c>
      <c r="N1419">
        <v>0</v>
      </c>
      <c r="O1419">
        <v>0</v>
      </c>
      <c r="P1419" s="216">
        <v>30000</v>
      </c>
      <c r="Q1419" s="217" t="s">
        <v>25</v>
      </c>
      <c r="R1419" s="217" t="s">
        <v>554</v>
      </c>
      <c r="S1419" s="218">
        <v>0.27005844808975971</v>
      </c>
      <c r="T1419" t="s">
        <v>550</v>
      </c>
      <c r="U1419" t="s">
        <v>51</v>
      </c>
      <c r="V1419" s="219" t="s">
        <v>6629</v>
      </c>
      <c r="W1419" s="219" t="s">
        <v>67</v>
      </c>
    </row>
    <row r="1420" spans="1:23" ht="15" customHeight="1" x14ac:dyDescent="0.25">
      <c r="A1420" t="s">
        <v>3513</v>
      </c>
      <c r="B1420" t="s">
        <v>546</v>
      </c>
      <c r="C1420">
        <v>30000</v>
      </c>
      <c r="D1420" t="s">
        <v>3510</v>
      </c>
      <c r="E1420" t="s">
        <v>151</v>
      </c>
      <c r="F1420" t="s">
        <v>554</v>
      </c>
      <c r="G1420" s="30">
        <v>46146</v>
      </c>
      <c r="H1420" t="s">
        <v>3511</v>
      </c>
      <c r="I1420">
        <v>4675773</v>
      </c>
      <c r="J1420" s="123">
        <v>0</v>
      </c>
      <c r="K1420" s="123">
        <v>0</v>
      </c>
      <c r="L1420" s="123">
        <v>0</v>
      </c>
      <c r="M1420">
        <v>0</v>
      </c>
      <c r="N1420">
        <v>0</v>
      </c>
      <c r="O1420">
        <v>0</v>
      </c>
      <c r="P1420" s="216">
        <v>30000</v>
      </c>
      <c r="Q1420" s="217" t="s">
        <v>25</v>
      </c>
      <c r="R1420" s="217" t="s">
        <v>554</v>
      </c>
      <c r="S1420" s="218">
        <v>0.27005844808975971</v>
      </c>
      <c r="T1420" t="s">
        <v>550</v>
      </c>
      <c r="U1420" t="s">
        <v>51</v>
      </c>
      <c r="V1420" s="219" t="s">
        <v>6630</v>
      </c>
      <c r="W1420" s="219" t="s">
        <v>67</v>
      </c>
    </row>
    <row r="1421" spans="1:23" ht="15" customHeight="1" x14ac:dyDescent="0.25">
      <c r="A1421" t="s">
        <v>3514</v>
      </c>
      <c r="B1421" t="s">
        <v>546</v>
      </c>
      <c r="C1421">
        <v>20077</v>
      </c>
      <c r="D1421" t="s">
        <v>3510</v>
      </c>
      <c r="E1421" t="s">
        <v>151</v>
      </c>
      <c r="F1421" t="s">
        <v>554</v>
      </c>
      <c r="G1421" s="30">
        <v>46146</v>
      </c>
      <c r="H1421" t="s">
        <v>3511</v>
      </c>
      <c r="I1421">
        <v>4675773</v>
      </c>
      <c r="J1421" s="123">
        <v>0</v>
      </c>
      <c r="K1421" s="123">
        <v>0</v>
      </c>
      <c r="L1421" s="123">
        <v>0</v>
      </c>
      <c r="M1421">
        <v>0</v>
      </c>
      <c r="N1421">
        <v>0</v>
      </c>
      <c r="O1421">
        <v>0</v>
      </c>
      <c r="P1421" s="216">
        <v>20077</v>
      </c>
      <c r="Q1421" s="217" t="s">
        <v>25</v>
      </c>
      <c r="R1421" s="217" t="s">
        <v>554</v>
      </c>
      <c r="S1421" s="218">
        <v>0.27005844808975971</v>
      </c>
      <c r="T1421" t="s">
        <v>550</v>
      </c>
      <c r="U1421" t="s">
        <v>51</v>
      </c>
      <c r="V1421" s="219" t="s">
        <v>6631</v>
      </c>
      <c r="W1421" s="219" t="s">
        <v>67</v>
      </c>
    </row>
    <row r="1422" spans="1:23" ht="15" customHeight="1" x14ac:dyDescent="0.25">
      <c r="A1422" t="s">
        <v>3515</v>
      </c>
      <c r="B1422" t="s">
        <v>575</v>
      </c>
      <c r="C1422">
        <v>30699</v>
      </c>
      <c r="D1422" t="s">
        <v>3516</v>
      </c>
      <c r="E1422" t="s">
        <v>151</v>
      </c>
      <c r="F1422" t="s">
        <v>585</v>
      </c>
      <c r="G1422" s="30">
        <v>46147</v>
      </c>
      <c r="H1422" t="s">
        <v>3517</v>
      </c>
      <c r="I1422">
        <v>7984986.4000000004</v>
      </c>
      <c r="J1422" s="123">
        <v>0</v>
      </c>
      <c r="K1422" s="123">
        <v>0</v>
      </c>
      <c r="L1422" s="123">
        <v>46133</v>
      </c>
      <c r="M1422">
        <v>0</v>
      </c>
      <c r="N1422">
        <v>0</v>
      </c>
      <c r="O1422">
        <v>0</v>
      </c>
      <c r="P1422" s="216">
        <v>30699</v>
      </c>
      <c r="Q1422" s="217" t="s">
        <v>25</v>
      </c>
      <c r="R1422" s="217" t="s">
        <v>61</v>
      </c>
      <c r="S1422" s="218">
        <v>0.2961554198764822</v>
      </c>
      <c r="T1422" t="s">
        <v>550</v>
      </c>
      <c r="U1422" t="s">
        <v>51</v>
      </c>
      <c r="V1422" s="219">
        <v>0</v>
      </c>
      <c r="W1422" s="219">
        <v>0</v>
      </c>
    </row>
    <row r="1423" spans="1:23" ht="15" customHeight="1" x14ac:dyDescent="0.25">
      <c r="A1423" t="s">
        <v>3518</v>
      </c>
      <c r="B1423" t="s">
        <v>595</v>
      </c>
      <c r="C1423">
        <v>24922</v>
      </c>
      <c r="D1423" t="s">
        <v>3519</v>
      </c>
      <c r="E1423" t="s">
        <v>208</v>
      </c>
      <c r="F1423" t="s">
        <v>554</v>
      </c>
      <c r="G1423" s="30">
        <v>46145</v>
      </c>
      <c r="H1423" t="s">
        <v>3520</v>
      </c>
      <c r="I1423">
        <v>1668963.3</v>
      </c>
      <c r="J1423" s="123">
        <v>0</v>
      </c>
      <c r="K1423" s="123">
        <v>0</v>
      </c>
      <c r="L1423" s="123">
        <v>46115</v>
      </c>
      <c r="M1423">
        <v>0</v>
      </c>
      <c r="N1423">
        <v>0</v>
      </c>
      <c r="O1423">
        <v>0</v>
      </c>
      <c r="P1423" s="216">
        <v>24922</v>
      </c>
      <c r="Q1423" s="217" t="s">
        <v>23</v>
      </c>
      <c r="R1423" s="217" t="s">
        <v>554</v>
      </c>
      <c r="S1423" s="218">
        <v>0.29878108164511463</v>
      </c>
      <c r="T1423" t="s">
        <v>550</v>
      </c>
      <c r="U1423" t="s">
        <v>51</v>
      </c>
      <c r="V1423" s="219" t="s">
        <v>6632</v>
      </c>
      <c r="W1423" s="219" t="s">
        <v>67</v>
      </c>
    </row>
    <row r="1424" spans="1:23" ht="15" customHeight="1" x14ac:dyDescent="0.25">
      <c r="A1424" t="s">
        <v>3521</v>
      </c>
      <c r="B1424" t="s">
        <v>575</v>
      </c>
      <c r="C1424">
        <v>40000</v>
      </c>
      <c r="D1424" t="s">
        <v>3519</v>
      </c>
      <c r="E1424" t="s">
        <v>208</v>
      </c>
      <c r="F1424" t="s">
        <v>554</v>
      </c>
      <c r="G1424" s="30">
        <v>46145</v>
      </c>
      <c r="H1424" t="s">
        <v>3520</v>
      </c>
      <c r="I1424">
        <v>1668963.3</v>
      </c>
      <c r="J1424" s="123">
        <v>0</v>
      </c>
      <c r="K1424" s="123">
        <v>0</v>
      </c>
      <c r="L1424" s="123">
        <v>46118</v>
      </c>
      <c r="M1424">
        <v>0</v>
      </c>
      <c r="N1424">
        <v>0</v>
      </c>
      <c r="O1424">
        <v>0</v>
      </c>
      <c r="P1424" s="216">
        <v>40000</v>
      </c>
      <c r="Q1424" s="217" t="s">
        <v>23</v>
      </c>
      <c r="R1424" s="217" t="s">
        <v>554</v>
      </c>
      <c r="S1424" s="218">
        <v>0.29878108164511463</v>
      </c>
      <c r="T1424" t="s">
        <v>550</v>
      </c>
      <c r="U1424" t="s">
        <v>51</v>
      </c>
      <c r="V1424" s="219" t="s">
        <v>6633</v>
      </c>
      <c r="W1424" s="219" t="s">
        <v>67</v>
      </c>
    </row>
    <row r="1425" spans="1:23" ht="15" customHeight="1" x14ac:dyDescent="0.25">
      <c r="A1425" t="s">
        <v>3522</v>
      </c>
      <c r="B1425" t="s">
        <v>575</v>
      </c>
      <c r="C1425">
        <v>194428</v>
      </c>
      <c r="D1425" t="s">
        <v>3523</v>
      </c>
      <c r="E1425" t="s">
        <v>208</v>
      </c>
      <c r="F1425" t="s">
        <v>554</v>
      </c>
      <c r="G1425" s="30">
        <v>46147</v>
      </c>
      <c r="H1425" t="s">
        <v>3524</v>
      </c>
      <c r="I1425">
        <v>1944282</v>
      </c>
      <c r="J1425" s="123">
        <v>0</v>
      </c>
      <c r="K1425" s="123">
        <v>0</v>
      </c>
      <c r="L1425" s="123">
        <v>46147</v>
      </c>
      <c r="M1425">
        <v>0</v>
      </c>
      <c r="N1425">
        <v>0</v>
      </c>
      <c r="O1425">
        <v>0</v>
      </c>
      <c r="P1425" s="216">
        <v>194428</v>
      </c>
      <c r="Q1425" s="217" t="s">
        <v>23</v>
      </c>
      <c r="R1425" s="217" t="s">
        <v>554</v>
      </c>
      <c r="S1425" s="218">
        <v>0.4000002057314731</v>
      </c>
      <c r="T1425" t="s">
        <v>550</v>
      </c>
      <c r="U1425" t="s">
        <v>51</v>
      </c>
      <c r="V1425" s="219" t="s">
        <v>6634</v>
      </c>
      <c r="W1425" s="219" t="s">
        <v>67</v>
      </c>
    </row>
    <row r="1426" spans="1:23" ht="15" customHeight="1" x14ac:dyDescent="0.25">
      <c r="A1426" t="s">
        <v>3525</v>
      </c>
      <c r="B1426" t="s">
        <v>546</v>
      </c>
      <c r="C1426">
        <v>12500</v>
      </c>
      <c r="D1426" t="s">
        <v>3526</v>
      </c>
      <c r="E1426" t="s">
        <v>553</v>
      </c>
      <c r="F1426" t="s">
        <v>554</v>
      </c>
      <c r="G1426" s="30">
        <v>46145</v>
      </c>
      <c r="H1426" t="s">
        <v>3527</v>
      </c>
      <c r="I1426">
        <v>1163983.2</v>
      </c>
      <c r="J1426" s="123">
        <v>46145</v>
      </c>
      <c r="K1426" s="123">
        <v>0</v>
      </c>
      <c r="L1426" s="123">
        <v>46145</v>
      </c>
      <c r="M1426">
        <v>0</v>
      </c>
      <c r="N1426">
        <v>0</v>
      </c>
      <c r="O1426" t="s">
        <v>556</v>
      </c>
      <c r="P1426" s="216">
        <v>12500</v>
      </c>
      <c r="Q1426" s="217" t="s">
        <v>49</v>
      </c>
      <c r="R1426" s="217" t="s">
        <v>554</v>
      </c>
      <c r="S1426" s="218">
        <v>0.33221613507823827</v>
      </c>
      <c r="T1426" t="s">
        <v>550</v>
      </c>
      <c r="U1426" t="s">
        <v>51</v>
      </c>
      <c r="V1426" s="219" t="s">
        <v>6635</v>
      </c>
      <c r="W1426" s="219" t="s">
        <v>67</v>
      </c>
    </row>
    <row r="1427" spans="1:23" ht="15" customHeight="1" x14ac:dyDescent="0.25">
      <c r="A1427" t="s">
        <v>3528</v>
      </c>
      <c r="B1427" t="s">
        <v>546</v>
      </c>
      <c r="C1427">
        <v>12500</v>
      </c>
      <c r="D1427" t="s">
        <v>3526</v>
      </c>
      <c r="E1427" t="s">
        <v>553</v>
      </c>
      <c r="F1427" t="s">
        <v>548</v>
      </c>
      <c r="G1427" s="30">
        <v>46145</v>
      </c>
      <c r="H1427" t="s">
        <v>3527</v>
      </c>
      <c r="I1427">
        <v>1163983.2</v>
      </c>
      <c r="J1427" s="123">
        <v>46145</v>
      </c>
      <c r="K1427" s="123">
        <v>0</v>
      </c>
      <c r="L1427" s="123">
        <v>46145</v>
      </c>
      <c r="M1427">
        <v>0</v>
      </c>
      <c r="N1427">
        <v>0</v>
      </c>
      <c r="O1427" t="s">
        <v>556</v>
      </c>
      <c r="P1427" s="216">
        <v>12500</v>
      </c>
      <c r="Q1427" s="217" t="s">
        <v>49</v>
      </c>
      <c r="R1427" s="217" t="s">
        <v>62</v>
      </c>
      <c r="S1427" s="218">
        <v>0.33221613507823827</v>
      </c>
      <c r="T1427" t="s">
        <v>550</v>
      </c>
      <c r="U1427" t="s">
        <v>51</v>
      </c>
      <c r="V1427" s="219">
        <v>0</v>
      </c>
      <c r="W1427" s="219">
        <v>0</v>
      </c>
    </row>
    <row r="1428" spans="1:23" ht="15" customHeight="1" x14ac:dyDescent="0.25">
      <c r="A1428" t="s">
        <v>3529</v>
      </c>
      <c r="B1428" t="s">
        <v>595</v>
      </c>
      <c r="C1428">
        <v>15001</v>
      </c>
      <c r="D1428" t="s">
        <v>3530</v>
      </c>
      <c r="E1428" t="s">
        <v>203</v>
      </c>
      <c r="F1428" t="s">
        <v>554</v>
      </c>
      <c r="G1428" s="30">
        <v>46144</v>
      </c>
      <c r="H1428" t="s">
        <v>3531</v>
      </c>
      <c r="I1428">
        <v>1154263.6000000001</v>
      </c>
      <c r="J1428" s="123">
        <v>0</v>
      </c>
      <c r="K1428" s="123">
        <v>0</v>
      </c>
      <c r="L1428" s="123">
        <v>46142</v>
      </c>
      <c r="M1428">
        <v>0</v>
      </c>
      <c r="N1428">
        <v>0</v>
      </c>
      <c r="O1428">
        <v>0</v>
      </c>
      <c r="P1428" s="216">
        <v>15001</v>
      </c>
      <c r="Q1428" s="217" t="s">
        <v>22</v>
      </c>
      <c r="R1428" s="217" t="s">
        <v>554</v>
      </c>
      <c r="S1428" s="218">
        <v>0.30000024257890484</v>
      </c>
      <c r="T1428" t="s">
        <v>550</v>
      </c>
      <c r="U1428" t="s">
        <v>51</v>
      </c>
      <c r="V1428" s="219" t="s">
        <v>6636</v>
      </c>
      <c r="W1428" s="219" t="s">
        <v>67</v>
      </c>
    </row>
    <row r="1429" spans="1:23" ht="15" customHeight="1" x14ac:dyDescent="0.25">
      <c r="A1429" t="s">
        <v>3532</v>
      </c>
      <c r="B1429" t="s">
        <v>546</v>
      </c>
      <c r="C1429">
        <v>129442</v>
      </c>
      <c r="D1429" t="s">
        <v>3533</v>
      </c>
      <c r="E1429" t="s">
        <v>553</v>
      </c>
      <c r="F1429" t="s">
        <v>554</v>
      </c>
      <c r="G1429" s="30">
        <v>46146</v>
      </c>
      <c r="H1429" t="s">
        <v>3534</v>
      </c>
      <c r="I1429">
        <v>1294418.75</v>
      </c>
      <c r="J1429" s="123">
        <v>46146</v>
      </c>
      <c r="K1429" s="123">
        <v>0</v>
      </c>
      <c r="L1429" s="123">
        <v>46146</v>
      </c>
      <c r="M1429">
        <v>0</v>
      </c>
      <c r="N1429">
        <v>0</v>
      </c>
      <c r="O1429" t="s">
        <v>556</v>
      </c>
      <c r="P1429" s="216">
        <v>129442</v>
      </c>
      <c r="Q1429" s="217" t="s">
        <v>49</v>
      </c>
      <c r="R1429" s="217" t="s">
        <v>554</v>
      </c>
      <c r="S1429" s="218">
        <v>0.60134066352175441</v>
      </c>
      <c r="T1429" t="s">
        <v>550</v>
      </c>
      <c r="U1429" t="s">
        <v>51</v>
      </c>
      <c r="V1429" s="219" t="s">
        <v>6637</v>
      </c>
      <c r="W1429" s="219" t="s">
        <v>67</v>
      </c>
    </row>
    <row r="1430" spans="1:23" ht="15" customHeight="1" x14ac:dyDescent="0.25">
      <c r="A1430" t="s">
        <v>3535</v>
      </c>
      <c r="B1430" t="s">
        <v>546</v>
      </c>
      <c r="C1430">
        <v>129442</v>
      </c>
      <c r="D1430" t="s">
        <v>3533</v>
      </c>
      <c r="E1430" t="s">
        <v>553</v>
      </c>
      <c r="F1430" t="s">
        <v>548</v>
      </c>
      <c r="G1430" s="30">
        <v>46146</v>
      </c>
      <c r="H1430" t="s">
        <v>3534</v>
      </c>
      <c r="I1430">
        <v>1294418.75</v>
      </c>
      <c r="J1430" s="123">
        <v>46146</v>
      </c>
      <c r="K1430" s="123">
        <v>0</v>
      </c>
      <c r="L1430" s="123">
        <v>46146</v>
      </c>
      <c r="M1430">
        <v>0</v>
      </c>
      <c r="N1430">
        <v>0</v>
      </c>
      <c r="O1430" t="s">
        <v>556</v>
      </c>
      <c r="P1430" s="216">
        <v>129442</v>
      </c>
      <c r="Q1430" s="217" t="s">
        <v>49</v>
      </c>
      <c r="R1430" s="217" t="s">
        <v>62</v>
      </c>
      <c r="S1430" s="218">
        <v>0.60134066352175441</v>
      </c>
      <c r="T1430" t="s">
        <v>550</v>
      </c>
      <c r="U1430" t="s">
        <v>51</v>
      </c>
      <c r="V1430" s="219">
        <v>0</v>
      </c>
      <c r="W1430" s="219">
        <v>0</v>
      </c>
    </row>
    <row r="1431" spans="1:23" ht="15" customHeight="1" x14ac:dyDescent="0.25">
      <c r="A1431" t="s">
        <v>3536</v>
      </c>
      <c r="B1431" t="s">
        <v>546</v>
      </c>
      <c r="C1431">
        <v>25000</v>
      </c>
      <c r="D1431" t="s">
        <v>3537</v>
      </c>
      <c r="E1431" t="s">
        <v>553</v>
      </c>
      <c r="F1431" t="s">
        <v>554</v>
      </c>
      <c r="G1431" s="30">
        <v>46143</v>
      </c>
      <c r="H1431" t="s">
        <v>3538</v>
      </c>
      <c r="I1431">
        <v>1201619.5</v>
      </c>
      <c r="J1431" s="123">
        <v>46143</v>
      </c>
      <c r="K1431" s="123">
        <v>0</v>
      </c>
      <c r="L1431" s="123">
        <v>46143</v>
      </c>
      <c r="M1431">
        <v>0</v>
      </c>
      <c r="N1431">
        <v>0</v>
      </c>
      <c r="O1431" t="s">
        <v>556</v>
      </c>
      <c r="P1431" s="216">
        <v>25000</v>
      </c>
      <c r="Q1431" s="217" t="s">
        <v>49</v>
      </c>
      <c r="R1431" s="217" t="s">
        <v>554</v>
      </c>
      <c r="S1431" s="218">
        <v>0.34161063464765679</v>
      </c>
      <c r="T1431" t="s">
        <v>550</v>
      </c>
      <c r="U1431" t="s">
        <v>51</v>
      </c>
      <c r="V1431" s="219" t="s">
        <v>6638</v>
      </c>
      <c r="W1431" s="219" t="s">
        <v>67</v>
      </c>
    </row>
    <row r="1432" spans="1:23" ht="15" customHeight="1" x14ac:dyDescent="0.25">
      <c r="A1432" t="s">
        <v>3539</v>
      </c>
      <c r="B1432" t="s">
        <v>575</v>
      </c>
      <c r="C1432">
        <v>124072</v>
      </c>
      <c r="D1432" t="s">
        <v>3540</v>
      </c>
      <c r="E1432" t="s">
        <v>208</v>
      </c>
      <c r="F1432" t="s">
        <v>580</v>
      </c>
      <c r="G1432" s="30">
        <v>46149</v>
      </c>
      <c r="H1432" t="s">
        <v>3541</v>
      </c>
      <c r="I1432">
        <v>1240719.2</v>
      </c>
      <c r="J1432" s="123">
        <v>0</v>
      </c>
      <c r="K1432" s="123">
        <v>0</v>
      </c>
      <c r="L1432" s="123">
        <v>46143</v>
      </c>
      <c r="M1432">
        <v>0</v>
      </c>
      <c r="N1432">
        <v>0</v>
      </c>
      <c r="O1432">
        <v>0</v>
      </c>
      <c r="P1432" s="216">
        <v>124072</v>
      </c>
      <c r="Q1432" s="217" t="s">
        <v>23</v>
      </c>
      <c r="R1432" s="217" t="s">
        <v>582</v>
      </c>
      <c r="S1432" s="218">
        <v>0.32712994205296414</v>
      </c>
      <c r="T1432" t="s">
        <v>550</v>
      </c>
      <c r="U1432" t="s">
        <v>51</v>
      </c>
      <c r="V1432" s="219">
        <v>0</v>
      </c>
      <c r="W1432" s="219">
        <v>0</v>
      </c>
    </row>
    <row r="1433" spans="1:23" ht="15" customHeight="1" x14ac:dyDescent="0.25">
      <c r="A1433" t="s">
        <v>3542</v>
      </c>
      <c r="B1433" t="s">
        <v>546</v>
      </c>
      <c r="C1433">
        <v>26405</v>
      </c>
      <c r="D1433" t="s">
        <v>3543</v>
      </c>
      <c r="E1433" t="s">
        <v>203</v>
      </c>
      <c r="F1433" t="s">
        <v>554</v>
      </c>
      <c r="G1433" s="30">
        <v>46146</v>
      </c>
      <c r="H1433" t="s">
        <v>3544</v>
      </c>
      <c r="I1433">
        <v>1193043.3</v>
      </c>
      <c r="J1433" s="123">
        <v>0</v>
      </c>
      <c r="K1433" s="123">
        <v>0</v>
      </c>
      <c r="L1433" s="123">
        <v>0</v>
      </c>
      <c r="M1433">
        <v>0</v>
      </c>
      <c r="N1433">
        <v>0</v>
      </c>
      <c r="O1433">
        <v>0</v>
      </c>
      <c r="P1433" s="216">
        <v>26405</v>
      </c>
      <c r="Q1433" s="217" t="s">
        <v>22</v>
      </c>
      <c r="R1433" s="217" t="s">
        <v>554</v>
      </c>
      <c r="S1433" s="218">
        <v>0.39926887817064138</v>
      </c>
      <c r="T1433" t="s">
        <v>550</v>
      </c>
      <c r="U1433" t="s">
        <v>51</v>
      </c>
      <c r="V1433" s="219" t="s">
        <v>6639</v>
      </c>
      <c r="W1433" s="219" t="s">
        <v>67</v>
      </c>
    </row>
    <row r="1434" spans="1:23" ht="15" customHeight="1" x14ac:dyDescent="0.25">
      <c r="A1434" t="s">
        <v>3545</v>
      </c>
      <c r="B1434" t="s">
        <v>546</v>
      </c>
      <c r="C1434">
        <v>29000</v>
      </c>
      <c r="D1434" t="s">
        <v>3546</v>
      </c>
      <c r="E1434" t="s">
        <v>553</v>
      </c>
      <c r="F1434" t="s">
        <v>554</v>
      </c>
      <c r="G1434" s="30">
        <v>46146</v>
      </c>
      <c r="H1434" t="s">
        <v>3547</v>
      </c>
      <c r="I1434">
        <v>1196328.5</v>
      </c>
      <c r="J1434" s="123">
        <v>46145</v>
      </c>
      <c r="K1434" s="123">
        <v>0</v>
      </c>
      <c r="L1434" s="123">
        <v>46145</v>
      </c>
      <c r="M1434">
        <v>0</v>
      </c>
      <c r="N1434">
        <v>0</v>
      </c>
      <c r="O1434" t="s">
        <v>556</v>
      </c>
      <c r="P1434" s="216">
        <v>29000</v>
      </c>
      <c r="Q1434" s="217" t="s">
        <v>49</v>
      </c>
      <c r="R1434" s="217" t="s">
        <v>554</v>
      </c>
      <c r="S1434" s="218">
        <v>0.38841003955017372</v>
      </c>
      <c r="T1434" t="s">
        <v>550</v>
      </c>
      <c r="U1434" t="s">
        <v>51</v>
      </c>
      <c r="V1434" s="219" t="s">
        <v>6640</v>
      </c>
      <c r="W1434" s="219" t="s">
        <v>67</v>
      </c>
    </row>
    <row r="1435" spans="1:23" ht="15" customHeight="1" x14ac:dyDescent="0.25">
      <c r="A1435" t="s">
        <v>3548</v>
      </c>
      <c r="B1435" t="s">
        <v>546</v>
      </c>
      <c r="C1435">
        <v>10000</v>
      </c>
      <c r="D1435" t="s">
        <v>3546</v>
      </c>
      <c r="E1435" t="s">
        <v>553</v>
      </c>
      <c r="F1435" t="s">
        <v>554</v>
      </c>
      <c r="G1435" s="30">
        <v>46146</v>
      </c>
      <c r="H1435" t="s">
        <v>3547</v>
      </c>
      <c r="I1435">
        <v>1196328.5</v>
      </c>
      <c r="J1435" s="123">
        <v>46145</v>
      </c>
      <c r="K1435" s="123">
        <v>0</v>
      </c>
      <c r="L1435" s="123">
        <v>46145</v>
      </c>
      <c r="M1435">
        <v>0</v>
      </c>
      <c r="N1435">
        <v>0</v>
      </c>
      <c r="O1435" t="s">
        <v>556</v>
      </c>
      <c r="P1435" s="216">
        <v>10000</v>
      </c>
      <c r="Q1435" s="217" t="s">
        <v>49</v>
      </c>
      <c r="R1435" s="217" t="s">
        <v>554</v>
      </c>
      <c r="S1435" s="218">
        <v>0.38841003955017372</v>
      </c>
      <c r="T1435" t="s">
        <v>550</v>
      </c>
      <c r="U1435" t="s">
        <v>51</v>
      </c>
      <c r="V1435" s="219" t="s">
        <v>6641</v>
      </c>
      <c r="W1435" s="219" t="s">
        <v>67</v>
      </c>
    </row>
    <row r="1436" spans="1:23" ht="15" customHeight="1" x14ac:dyDescent="0.25">
      <c r="A1436" t="s">
        <v>3549</v>
      </c>
      <c r="B1436" t="s">
        <v>546</v>
      </c>
      <c r="C1436">
        <v>39000</v>
      </c>
      <c r="D1436" t="s">
        <v>3546</v>
      </c>
      <c r="E1436" t="s">
        <v>553</v>
      </c>
      <c r="F1436" t="s">
        <v>548</v>
      </c>
      <c r="G1436" s="30">
        <v>46146</v>
      </c>
      <c r="H1436" t="s">
        <v>3547</v>
      </c>
      <c r="I1436">
        <v>1196328.5</v>
      </c>
      <c r="J1436" s="123">
        <v>46145</v>
      </c>
      <c r="K1436" s="123">
        <v>0</v>
      </c>
      <c r="L1436" s="123">
        <v>46145</v>
      </c>
      <c r="M1436">
        <v>0</v>
      </c>
      <c r="N1436">
        <v>0</v>
      </c>
      <c r="O1436" t="s">
        <v>556</v>
      </c>
      <c r="P1436" s="216">
        <v>39000</v>
      </c>
      <c r="Q1436" s="217" t="s">
        <v>49</v>
      </c>
      <c r="R1436" s="217" t="s">
        <v>62</v>
      </c>
      <c r="S1436" s="218">
        <v>0.38841003955017372</v>
      </c>
      <c r="T1436" t="s">
        <v>550</v>
      </c>
      <c r="U1436" t="s">
        <v>51</v>
      </c>
      <c r="V1436" s="219">
        <v>0</v>
      </c>
      <c r="W1436" s="219">
        <v>0</v>
      </c>
    </row>
    <row r="1437" spans="1:23" ht="15" customHeight="1" x14ac:dyDescent="0.25">
      <c r="A1437" t="s">
        <v>3550</v>
      </c>
      <c r="B1437" t="s">
        <v>546</v>
      </c>
      <c r="C1437">
        <v>39000</v>
      </c>
      <c r="D1437" t="s">
        <v>3546</v>
      </c>
      <c r="E1437" t="s">
        <v>553</v>
      </c>
      <c r="F1437" t="s">
        <v>548</v>
      </c>
      <c r="G1437" s="30">
        <v>46146</v>
      </c>
      <c r="H1437" t="s">
        <v>3547</v>
      </c>
      <c r="I1437">
        <v>1196328.5</v>
      </c>
      <c r="J1437" s="123">
        <v>46145</v>
      </c>
      <c r="K1437" s="123">
        <v>0</v>
      </c>
      <c r="L1437" s="123">
        <v>46145</v>
      </c>
      <c r="M1437">
        <v>0</v>
      </c>
      <c r="N1437">
        <v>0</v>
      </c>
      <c r="O1437" t="s">
        <v>556</v>
      </c>
      <c r="P1437" s="216">
        <v>39000</v>
      </c>
      <c r="Q1437" s="217" t="s">
        <v>49</v>
      </c>
      <c r="R1437" s="217" t="s">
        <v>62</v>
      </c>
      <c r="S1437" s="218">
        <v>0.38841003955017372</v>
      </c>
      <c r="T1437" t="s">
        <v>550</v>
      </c>
      <c r="U1437" t="s">
        <v>51</v>
      </c>
      <c r="V1437" s="219">
        <v>0</v>
      </c>
      <c r="W1437" s="219">
        <v>0</v>
      </c>
    </row>
    <row r="1438" spans="1:23" ht="15" customHeight="1" x14ac:dyDescent="0.25">
      <c r="A1438" t="s">
        <v>3551</v>
      </c>
      <c r="B1438" t="s">
        <v>546</v>
      </c>
      <c r="C1438">
        <v>25000</v>
      </c>
      <c r="D1438" t="s">
        <v>3552</v>
      </c>
      <c r="E1438" t="s">
        <v>553</v>
      </c>
      <c r="F1438" t="s">
        <v>548</v>
      </c>
      <c r="G1438" s="30">
        <v>46143</v>
      </c>
      <c r="H1438" t="s">
        <v>3553</v>
      </c>
      <c r="I1438">
        <v>1614991.85</v>
      </c>
      <c r="J1438" s="123">
        <v>46143</v>
      </c>
      <c r="K1438" s="123">
        <v>0</v>
      </c>
      <c r="L1438" s="123">
        <v>46143</v>
      </c>
      <c r="M1438">
        <v>0</v>
      </c>
      <c r="N1438">
        <v>0</v>
      </c>
      <c r="O1438" t="s">
        <v>556</v>
      </c>
      <c r="P1438" s="216">
        <v>25000</v>
      </c>
      <c r="Q1438" s="217" t="s">
        <v>49</v>
      </c>
      <c r="R1438" s="217" t="s">
        <v>62</v>
      </c>
      <c r="S1438" s="218">
        <v>0.33095956490430584</v>
      </c>
      <c r="T1438" t="s">
        <v>550</v>
      </c>
      <c r="U1438" t="s">
        <v>51</v>
      </c>
      <c r="V1438" s="219">
        <v>0</v>
      </c>
      <c r="W1438" s="219">
        <v>0</v>
      </c>
    </row>
    <row r="1439" spans="1:23" ht="15" customHeight="1" x14ac:dyDescent="0.25">
      <c r="A1439" t="s">
        <v>3554</v>
      </c>
      <c r="B1439" t="s">
        <v>546</v>
      </c>
      <c r="C1439">
        <v>25000</v>
      </c>
      <c r="D1439" t="s">
        <v>3552</v>
      </c>
      <c r="E1439" t="s">
        <v>553</v>
      </c>
      <c r="F1439" t="s">
        <v>554</v>
      </c>
      <c r="G1439" s="30">
        <v>46144</v>
      </c>
      <c r="H1439" t="s">
        <v>3553</v>
      </c>
      <c r="I1439">
        <v>1614991.85</v>
      </c>
      <c r="J1439" s="123">
        <v>46144</v>
      </c>
      <c r="K1439" s="123">
        <v>0</v>
      </c>
      <c r="L1439" s="123">
        <v>46144</v>
      </c>
      <c r="M1439">
        <v>0</v>
      </c>
      <c r="N1439">
        <v>0</v>
      </c>
      <c r="O1439" t="s">
        <v>556</v>
      </c>
      <c r="P1439" s="216">
        <v>25000</v>
      </c>
      <c r="Q1439" s="217" t="s">
        <v>49</v>
      </c>
      <c r="R1439" s="217" t="s">
        <v>554</v>
      </c>
      <c r="S1439" s="218">
        <v>0.33095956490430584</v>
      </c>
      <c r="T1439" t="s">
        <v>550</v>
      </c>
      <c r="U1439" t="s">
        <v>51</v>
      </c>
      <c r="V1439" s="219" t="s">
        <v>6642</v>
      </c>
      <c r="W1439" s="219" t="s">
        <v>67</v>
      </c>
    </row>
    <row r="1440" spans="1:23" ht="15" customHeight="1" x14ac:dyDescent="0.25">
      <c r="A1440" t="s">
        <v>3555</v>
      </c>
      <c r="B1440" t="s">
        <v>575</v>
      </c>
      <c r="C1440">
        <v>49000</v>
      </c>
      <c r="D1440" t="s">
        <v>3556</v>
      </c>
      <c r="E1440" t="s">
        <v>208</v>
      </c>
      <c r="F1440" t="s">
        <v>554</v>
      </c>
      <c r="G1440" s="30">
        <v>46147</v>
      </c>
      <c r="H1440" t="s">
        <v>3557</v>
      </c>
      <c r="I1440">
        <v>1209068.2</v>
      </c>
      <c r="J1440" s="123">
        <v>0</v>
      </c>
      <c r="K1440" s="123">
        <v>0</v>
      </c>
      <c r="L1440" s="123">
        <v>46143</v>
      </c>
      <c r="M1440">
        <v>0</v>
      </c>
      <c r="N1440">
        <v>0</v>
      </c>
      <c r="O1440">
        <v>0</v>
      </c>
      <c r="P1440" s="216">
        <v>49000</v>
      </c>
      <c r="Q1440" s="217" t="s">
        <v>23</v>
      </c>
      <c r="R1440" s="217" t="s">
        <v>554</v>
      </c>
      <c r="S1440" s="218">
        <v>0.37783663485649532</v>
      </c>
      <c r="T1440" t="s">
        <v>550</v>
      </c>
      <c r="U1440" t="s">
        <v>51</v>
      </c>
      <c r="V1440" s="219" t="s">
        <v>6643</v>
      </c>
      <c r="W1440" s="219" t="s">
        <v>67</v>
      </c>
    </row>
    <row r="1441" spans="1:23" ht="15" customHeight="1" x14ac:dyDescent="0.25">
      <c r="A1441" t="s">
        <v>3558</v>
      </c>
      <c r="B1441" t="s">
        <v>575</v>
      </c>
      <c r="C1441">
        <v>50000</v>
      </c>
      <c r="D1441" t="s">
        <v>3556</v>
      </c>
      <c r="E1441" t="s">
        <v>208</v>
      </c>
      <c r="F1441" t="s">
        <v>683</v>
      </c>
      <c r="G1441" s="30">
        <v>46147</v>
      </c>
      <c r="H1441" t="s">
        <v>3557</v>
      </c>
      <c r="I1441">
        <v>1209068.2</v>
      </c>
      <c r="J1441" s="123">
        <v>0</v>
      </c>
      <c r="K1441" s="123">
        <v>0</v>
      </c>
      <c r="L1441" s="123">
        <v>46141</v>
      </c>
      <c r="M1441">
        <v>0</v>
      </c>
      <c r="N1441">
        <v>0</v>
      </c>
      <c r="O1441">
        <v>0</v>
      </c>
      <c r="P1441" s="216">
        <v>50000</v>
      </c>
      <c r="Q1441" s="217" t="s">
        <v>23</v>
      </c>
      <c r="R1441" s="217" t="s">
        <v>62</v>
      </c>
      <c r="S1441" s="218">
        <v>0.37783663485649532</v>
      </c>
      <c r="T1441" t="s">
        <v>550</v>
      </c>
      <c r="U1441" t="s">
        <v>51</v>
      </c>
      <c r="V1441" s="219">
        <v>0</v>
      </c>
      <c r="W1441" s="219">
        <v>0</v>
      </c>
    </row>
    <row r="1442" spans="1:23" ht="15" customHeight="1" x14ac:dyDescent="0.25">
      <c r="A1442" t="s">
        <v>3559</v>
      </c>
      <c r="B1442" t="s">
        <v>575</v>
      </c>
      <c r="C1442">
        <v>124072</v>
      </c>
      <c r="D1442" t="s">
        <v>3560</v>
      </c>
      <c r="E1442" t="s">
        <v>208</v>
      </c>
      <c r="F1442" t="s">
        <v>580</v>
      </c>
      <c r="G1442" s="30">
        <v>46149</v>
      </c>
      <c r="H1442" t="s">
        <v>3561</v>
      </c>
      <c r="I1442">
        <v>1240719.2</v>
      </c>
      <c r="J1442" s="123">
        <v>0</v>
      </c>
      <c r="K1442" s="123">
        <v>0</v>
      </c>
      <c r="L1442" s="123">
        <v>46143</v>
      </c>
      <c r="M1442">
        <v>0</v>
      </c>
      <c r="N1442">
        <v>0</v>
      </c>
      <c r="O1442">
        <v>0</v>
      </c>
      <c r="P1442" s="216">
        <v>124072</v>
      </c>
      <c r="Q1442" s="217" t="s">
        <v>23</v>
      </c>
      <c r="R1442" s="217" t="s">
        <v>582</v>
      </c>
      <c r="S1442" s="218">
        <v>0.32712994205296414</v>
      </c>
      <c r="T1442" t="s">
        <v>550</v>
      </c>
      <c r="U1442" t="s">
        <v>51</v>
      </c>
      <c r="V1442" s="219">
        <v>0</v>
      </c>
      <c r="W1442" s="219">
        <v>0</v>
      </c>
    </row>
    <row r="1443" spans="1:23" ht="15" customHeight="1" x14ac:dyDescent="0.25">
      <c r="A1443" t="s">
        <v>3562</v>
      </c>
      <c r="B1443" t="s">
        <v>595</v>
      </c>
      <c r="C1443">
        <v>224252.21</v>
      </c>
      <c r="D1443" t="s">
        <v>3563</v>
      </c>
      <c r="E1443" t="s">
        <v>268</v>
      </c>
      <c r="F1443" t="s">
        <v>554</v>
      </c>
      <c r="G1443" s="30">
        <v>46146</v>
      </c>
      <c r="H1443" t="s">
        <v>3564</v>
      </c>
      <c r="I1443">
        <v>2242822.11</v>
      </c>
      <c r="J1443" s="123">
        <v>0</v>
      </c>
      <c r="K1443" s="123">
        <v>0</v>
      </c>
      <c r="L1443" s="123">
        <v>46139</v>
      </c>
      <c r="M1443">
        <v>0</v>
      </c>
      <c r="N1443">
        <v>0</v>
      </c>
      <c r="O1443">
        <v>0</v>
      </c>
      <c r="P1443" s="216">
        <v>224252.21</v>
      </c>
      <c r="Q1443" s="217" t="s">
        <v>10</v>
      </c>
      <c r="R1443" s="217" t="s">
        <v>554</v>
      </c>
      <c r="S1443" s="218">
        <v>0.3002133816132212</v>
      </c>
      <c r="T1443" t="s">
        <v>550</v>
      </c>
      <c r="U1443" t="s">
        <v>74</v>
      </c>
      <c r="V1443" s="219" t="s">
        <v>6644</v>
      </c>
      <c r="W1443" s="219" t="s">
        <v>67</v>
      </c>
    </row>
    <row r="1444" spans="1:23" ht="15" customHeight="1" x14ac:dyDescent="0.25">
      <c r="A1444" t="s">
        <v>3565</v>
      </c>
      <c r="B1444" t="s">
        <v>575</v>
      </c>
      <c r="C1444">
        <v>146506</v>
      </c>
      <c r="D1444" t="s">
        <v>3566</v>
      </c>
      <c r="E1444" t="s">
        <v>268</v>
      </c>
      <c r="F1444" t="s">
        <v>585</v>
      </c>
      <c r="G1444" s="30">
        <v>46148</v>
      </c>
      <c r="H1444" t="s">
        <v>3567</v>
      </c>
      <c r="I1444">
        <v>1457777.86</v>
      </c>
      <c r="J1444" s="123">
        <v>0</v>
      </c>
      <c r="K1444" s="123">
        <v>0</v>
      </c>
      <c r="L1444" s="123">
        <v>46147</v>
      </c>
      <c r="M1444">
        <v>0</v>
      </c>
      <c r="N1444">
        <v>0</v>
      </c>
      <c r="O1444">
        <v>0</v>
      </c>
      <c r="P1444" s="216">
        <v>146506</v>
      </c>
      <c r="Q1444" s="217" t="s">
        <v>10</v>
      </c>
      <c r="R1444" s="217" t="s">
        <v>61</v>
      </c>
      <c r="S1444" s="218">
        <v>0.40096717479300992</v>
      </c>
      <c r="T1444" t="s">
        <v>550</v>
      </c>
      <c r="U1444" t="s">
        <v>74</v>
      </c>
      <c r="V1444" s="219">
        <v>0</v>
      </c>
      <c r="W1444" s="219">
        <v>0</v>
      </c>
    </row>
    <row r="1445" spans="1:23" ht="15" customHeight="1" x14ac:dyDescent="0.25">
      <c r="A1445" t="s">
        <v>3568</v>
      </c>
      <c r="B1445" t="s">
        <v>1118</v>
      </c>
      <c r="C1445">
        <v>13345</v>
      </c>
      <c r="D1445" t="s">
        <v>3569</v>
      </c>
      <c r="E1445" t="s">
        <v>263</v>
      </c>
      <c r="F1445" t="s">
        <v>554</v>
      </c>
      <c r="G1445" s="30">
        <v>46147</v>
      </c>
      <c r="H1445" t="s">
        <v>3570</v>
      </c>
      <c r="I1445">
        <v>1133353.6100000001</v>
      </c>
      <c r="J1445" s="123">
        <v>46118</v>
      </c>
      <c r="K1445" s="123">
        <v>0</v>
      </c>
      <c r="L1445" s="123">
        <v>0</v>
      </c>
      <c r="M1445">
        <v>0</v>
      </c>
      <c r="N1445">
        <v>0</v>
      </c>
      <c r="O1445">
        <v>0</v>
      </c>
      <c r="P1445" s="216">
        <v>13345</v>
      </c>
      <c r="Q1445" s="217" t="s">
        <v>8</v>
      </c>
      <c r="R1445" s="217" t="s">
        <v>554</v>
      </c>
      <c r="S1445" s="218">
        <v>0.49999928971859009</v>
      </c>
      <c r="T1445" t="s">
        <v>550</v>
      </c>
      <c r="U1445" t="s">
        <v>74</v>
      </c>
      <c r="V1445" s="219" t="s">
        <v>6645</v>
      </c>
      <c r="W1445" s="219" t="s">
        <v>71</v>
      </c>
    </row>
    <row r="1446" spans="1:23" ht="15" customHeight="1" x14ac:dyDescent="0.25">
      <c r="A1446" t="s">
        <v>3571</v>
      </c>
      <c r="B1446" t="s">
        <v>595</v>
      </c>
      <c r="C1446">
        <v>44970</v>
      </c>
      <c r="D1446" t="s">
        <v>3572</v>
      </c>
      <c r="E1446" t="s">
        <v>263</v>
      </c>
      <c r="F1446" t="s">
        <v>554</v>
      </c>
      <c r="G1446" s="30">
        <v>46146</v>
      </c>
      <c r="H1446" t="s">
        <v>3573</v>
      </c>
      <c r="I1446">
        <v>1120474.5900000001</v>
      </c>
      <c r="J1446" s="123">
        <v>0</v>
      </c>
      <c r="K1446" s="123">
        <v>0</v>
      </c>
      <c r="L1446" s="123">
        <v>46143</v>
      </c>
      <c r="M1446">
        <v>0</v>
      </c>
      <c r="N1446">
        <v>0</v>
      </c>
      <c r="O1446">
        <v>0</v>
      </c>
      <c r="P1446" s="216">
        <v>44970</v>
      </c>
      <c r="Q1446" s="217" t="s">
        <v>8</v>
      </c>
      <c r="R1446" s="217" t="s">
        <v>554</v>
      </c>
      <c r="S1446" s="218">
        <v>0.49875829848136044</v>
      </c>
      <c r="T1446" t="s">
        <v>550</v>
      </c>
      <c r="U1446" t="s">
        <v>74</v>
      </c>
      <c r="V1446" s="219" t="s">
        <v>6646</v>
      </c>
      <c r="W1446" s="219" t="s">
        <v>67</v>
      </c>
    </row>
    <row r="1447" spans="1:23" ht="15" customHeight="1" x14ac:dyDescent="0.25">
      <c r="A1447" t="s">
        <v>3574</v>
      </c>
      <c r="B1447" t="s">
        <v>575</v>
      </c>
      <c r="C1447">
        <v>40000</v>
      </c>
      <c r="D1447" t="s">
        <v>3572</v>
      </c>
      <c r="E1447" t="s">
        <v>263</v>
      </c>
      <c r="F1447" t="s">
        <v>554</v>
      </c>
      <c r="G1447" s="30">
        <v>46147</v>
      </c>
      <c r="H1447" t="s">
        <v>3573</v>
      </c>
      <c r="I1447">
        <v>1120474.5900000001</v>
      </c>
      <c r="J1447" s="123">
        <v>0</v>
      </c>
      <c r="K1447" s="123">
        <v>0</v>
      </c>
      <c r="L1447" s="123">
        <v>46147</v>
      </c>
      <c r="M1447">
        <v>0</v>
      </c>
      <c r="N1447">
        <v>0</v>
      </c>
      <c r="O1447">
        <v>0</v>
      </c>
      <c r="P1447" s="216">
        <v>40000</v>
      </c>
      <c r="Q1447" s="217" t="s">
        <v>8</v>
      </c>
      <c r="R1447" s="217" t="s">
        <v>554</v>
      </c>
      <c r="S1447" s="218">
        <v>0.49875829848136044</v>
      </c>
      <c r="T1447" t="s">
        <v>550</v>
      </c>
      <c r="U1447" t="s">
        <v>74</v>
      </c>
      <c r="V1447" s="219" t="s">
        <v>6647</v>
      </c>
      <c r="W1447" s="219" t="s">
        <v>67</v>
      </c>
    </row>
    <row r="1448" spans="1:23" ht="15" customHeight="1" x14ac:dyDescent="0.25">
      <c r="A1448" t="s">
        <v>3575</v>
      </c>
      <c r="B1448" t="s">
        <v>595</v>
      </c>
      <c r="C1448">
        <v>19117.61</v>
      </c>
      <c r="D1448" t="s">
        <v>3576</v>
      </c>
      <c r="E1448" t="s">
        <v>268</v>
      </c>
      <c r="F1448" t="s">
        <v>554</v>
      </c>
      <c r="G1448" s="30">
        <v>46144</v>
      </c>
      <c r="H1448" t="s">
        <v>3577</v>
      </c>
      <c r="I1448">
        <v>1120474.5900000001</v>
      </c>
      <c r="J1448" s="123">
        <v>0</v>
      </c>
      <c r="K1448" s="123">
        <v>0</v>
      </c>
      <c r="L1448" s="123">
        <v>46143</v>
      </c>
      <c r="M1448">
        <v>0</v>
      </c>
      <c r="N1448">
        <v>0</v>
      </c>
      <c r="O1448">
        <v>0</v>
      </c>
      <c r="P1448" s="216">
        <v>19117.61</v>
      </c>
      <c r="Q1448" s="217" t="s">
        <v>10</v>
      </c>
      <c r="R1448" s="217" t="s">
        <v>554</v>
      </c>
      <c r="S1448" s="218">
        <v>0.39032711130022141</v>
      </c>
      <c r="T1448" t="s">
        <v>550</v>
      </c>
      <c r="U1448" t="s">
        <v>74</v>
      </c>
      <c r="V1448" s="219" t="s">
        <v>6648</v>
      </c>
      <c r="W1448" s="219" t="s">
        <v>67</v>
      </c>
    </row>
    <row r="1449" spans="1:23" ht="15" customHeight="1" x14ac:dyDescent="0.25">
      <c r="A1449" t="s">
        <v>3578</v>
      </c>
      <c r="B1449" t="s">
        <v>595</v>
      </c>
      <c r="C1449">
        <v>10843</v>
      </c>
      <c r="D1449" t="s">
        <v>3576</v>
      </c>
      <c r="E1449" t="s">
        <v>268</v>
      </c>
      <c r="F1449" t="s">
        <v>554</v>
      </c>
      <c r="G1449" s="30">
        <v>46146</v>
      </c>
      <c r="H1449" t="s">
        <v>3577</v>
      </c>
      <c r="I1449">
        <v>1120474.5900000001</v>
      </c>
      <c r="J1449" s="123">
        <v>0</v>
      </c>
      <c r="K1449" s="123">
        <v>0</v>
      </c>
      <c r="L1449" s="123">
        <v>46145</v>
      </c>
      <c r="M1449">
        <v>0</v>
      </c>
      <c r="N1449">
        <v>0</v>
      </c>
      <c r="O1449">
        <v>0</v>
      </c>
      <c r="P1449" s="216">
        <v>10843</v>
      </c>
      <c r="Q1449" s="217" t="s">
        <v>10</v>
      </c>
      <c r="R1449" s="217" t="s">
        <v>554</v>
      </c>
      <c r="S1449" s="218">
        <v>0.39032711130022141</v>
      </c>
      <c r="T1449" t="s">
        <v>550</v>
      </c>
      <c r="U1449" t="s">
        <v>74</v>
      </c>
      <c r="V1449" s="219">
        <v>0</v>
      </c>
      <c r="W1449" s="219" t="s">
        <v>72</v>
      </c>
    </row>
    <row r="1450" spans="1:23" ht="15" customHeight="1" x14ac:dyDescent="0.25">
      <c r="A1450" t="s">
        <v>3579</v>
      </c>
      <c r="B1450" t="s">
        <v>546</v>
      </c>
      <c r="C1450">
        <v>153119</v>
      </c>
      <c r="D1450" t="s">
        <v>3580</v>
      </c>
      <c r="E1450" t="s">
        <v>268</v>
      </c>
      <c r="F1450" t="s">
        <v>548</v>
      </c>
      <c r="G1450" s="30">
        <v>46143</v>
      </c>
      <c r="H1450" t="s">
        <v>3581</v>
      </c>
      <c r="I1450">
        <v>1119304.02</v>
      </c>
      <c r="J1450" s="123">
        <v>0</v>
      </c>
      <c r="K1450" s="123">
        <v>0</v>
      </c>
      <c r="L1450" s="123">
        <v>0</v>
      </c>
      <c r="M1450">
        <v>0</v>
      </c>
      <c r="N1450">
        <v>0</v>
      </c>
      <c r="O1450">
        <v>0</v>
      </c>
      <c r="P1450" s="216">
        <v>153119</v>
      </c>
      <c r="Q1450" s="217" t="s">
        <v>10</v>
      </c>
      <c r="R1450" s="217" t="s">
        <v>62</v>
      </c>
      <c r="S1450" s="218">
        <v>0.36322035187544488</v>
      </c>
      <c r="T1450" t="s">
        <v>550</v>
      </c>
      <c r="U1450" t="s">
        <v>74</v>
      </c>
      <c r="V1450" s="219">
        <v>0</v>
      </c>
      <c r="W1450" s="219">
        <v>0</v>
      </c>
    </row>
    <row r="1451" spans="1:23" ht="15" customHeight="1" x14ac:dyDescent="0.25">
      <c r="A1451" t="s">
        <v>3582</v>
      </c>
      <c r="B1451" t="s">
        <v>546</v>
      </c>
      <c r="C1451">
        <v>20000</v>
      </c>
      <c r="D1451" t="s">
        <v>3583</v>
      </c>
      <c r="E1451" t="s">
        <v>553</v>
      </c>
      <c r="F1451" t="s">
        <v>554</v>
      </c>
      <c r="G1451" s="30">
        <v>46147</v>
      </c>
      <c r="H1451" t="s">
        <v>3584</v>
      </c>
      <c r="I1451">
        <v>1135721.67</v>
      </c>
      <c r="J1451" s="123">
        <v>46147</v>
      </c>
      <c r="K1451" s="123">
        <v>0</v>
      </c>
      <c r="L1451" s="123">
        <v>46147</v>
      </c>
      <c r="M1451">
        <v>0</v>
      </c>
      <c r="N1451">
        <v>0</v>
      </c>
      <c r="O1451" t="s">
        <v>556</v>
      </c>
      <c r="P1451" s="216">
        <v>20000</v>
      </c>
      <c r="Q1451" s="217" t="s">
        <v>8</v>
      </c>
      <c r="R1451" s="217" t="s">
        <v>554</v>
      </c>
      <c r="S1451" s="218">
        <v>0.46918273559049029</v>
      </c>
      <c r="T1451" t="s">
        <v>550</v>
      </c>
      <c r="U1451" t="s">
        <v>74</v>
      </c>
      <c r="V1451" s="219" t="s">
        <v>6649</v>
      </c>
      <c r="W1451" s="219" t="s">
        <v>67</v>
      </c>
    </row>
    <row r="1452" spans="1:23" ht="15" customHeight="1" x14ac:dyDescent="0.25">
      <c r="A1452" t="s">
        <v>3585</v>
      </c>
      <c r="B1452" t="s">
        <v>575</v>
      </c>
      <c r="C1452">
        <v>235000</v>
      </c>
      <c r="D1452" t="s">
        <v>3586</v>
      </c>
      <c r="E1452" t="s">
        <v>268</v>
      </c>
      <c r="F1452" t="s">
        <v>580</v>
      </c>
      <c r="G1452" s="30">
        <v>46147</v>
      </c>
      <c r="H1452" t="s">
        <v>3587</v>
      </c>
      <c r="I1452">
        <v>2466065.7400000002</v>
      </c>
      <c r="J1452" s="123">
        <v>0</v>
      </c>
      <c r="K1452" s="123">
        <v>0</v>
      </c>
      <c r="L1452" s="123">
        <v>46112</v>
      </c>
      <c r="M1452">
        <v>0</v>
      </c>
      <c r="N1452">
        <v>0</v>
      </c>
      <c r="O1452">
        <v>0</v>
      </c>
      <c r="P1452" s="216">
        <v>235000</v>
      </c>
      <c r="Q1452" s="217" t="s">
        <v>10</v>
      </c>
      <c r="R1452" s="217" t="s">
        <v>582</v>
      </c>
      <c r="S1452" s="218">
        <v>0.3049257734099407</v>
      </c>
      <c r="T1452" t="s">
        <v>550</v>
      </c>
      <c r="U1452" t="s">
        <v>74</v>
      </c>
      <c r="V1452" s="219">
        <v>0</v>
      </c>
      <c r="W1452" s="219">
        <v>0</v>
      </c>
    </row>
    <row r="1453" spans="1:23" ht="15" customHeight="1" x14ac:dyDescent="0.25">
      <c r="A1453" t="s">
        <v>3588</v>
      </c>
      <c r="B1453" t="s">
        <v>575</v>
      </c>
      <c r="C1453">
        <v>113260</v>
      </c>
      <c r="D1453" t="s">
        <v>3589</v>
      </c>
      <c r="E1453" t="s">
        <v>268</v>
      </c>
      <c r="F1453" t="s">
        <v>585</v>
      </c>
      <c r="G1453" s="30">
        <v>46143</v>
      </c>
      <c r="H1453" t="s">
        <v>3590</v>
      </c>
      <c r="I1453">
        <v>1132169.58</v>
      </c>
      <c r="J1453" s="123">
        <v>0</v>
      </c>
      <c r="K1453" s="123">
        <v>0</v>
      </c>
      <c r="L1453" s="123">
        <v>46143</v>
      </c>
      <c r="M1453">
        <v>0</v>
      </c>
      <c r="N1453">
        <v>0</v>
      </c>
      <c r="O1453">
        <v>0</v>
      </c>
      <c r="P1453" s="216">
        <v>113260</v>
      </c>
      <c r="Q1453" s="217" t="s">
        <v>10</v>
      </c>
      <c r="R1453" s="217" t="s">
        <v>61</v>
      </c>
      <c r="S1453" s="218">
        <v>0.40015330565585411</v>
      </c>
      <c r="T1453" t="s">
        <v>550</v>
      </c>
      <c r="U1453" t="s">
        <v>74</v>
      </c>
      <c r="V1453" s="219">
        <v>0</v>
      </c>
      <c r="W1453" s="219">
        <v>0</v>
      </c>
    </row>
    <row r="1454" spans="1:23" ht="15" customHeight="1" x14ac:dyDescent="0.25">
      <c r="A1454" t="s">
        <v>3591</v>
      </c>
      <c r="B1454" t="s">
        <v>595</v>
      </c>
      <c r="C1454">
        <v>89900</v>
      </c>
      <c r="D1454" t="s">
        <v>3592</v>
      </c>
      <c r="E1454" t="s">
        <v>263</v>
      </c>
      <c r="F1454" t="s">
        <v>580</v>
      </c>
      <c r="G1454" s="30">
        <v>46148</v>
      </c>
      <c r="H1454" t="s">
        <v>3593</v>
      </c>
      <c r="I1454">
        <v>3281258.35</v>
      </c>
      <c r="J1454" s="123">
        <v>0</v>
      </c>
      <c r="K1454" s="123">
        <v>0</v>
      </c>
      <c r="L1454" s="123">
        <v>46147</v>
      </c>
      <c r="M1454">
        <v>0</v>
      </c>
      <c r="N1454">
        <v>0</v>
      </c>
      <c r="O1454">
        <v>0</v>
      </c>
      <c r="P1454" s="216">
        <v>89900</v>
      </c>
      <c r="Q1454" s="217" t="s">
        <v>8</v>
      </c>
      <c r="R1454" s="217" t="s">
        <v>582</v>
      </c>
      <c r="S1454" s="218">
        <v>0.40091925404166967</v>
      </c>
      <c r="T1454" t="s">
        <v>550</v>
      </c>
      <c r="U1454" t="s">
        <v>74</v>
      </c>
      <c r="V1454" s="219">
        <v>0</v>
      </c>
      <c r="W1454" s="219">
        <v>0</v>
      </c>
    </row>
    <row r="1455" spans="1:23" ht="15" customHeight="1" x14ac:dyDescent="0.25">
      <c r="A1455" t="s">
        <v>3594</v>
      </c>
      <c r="B1455" t="s">
        <v>1118</v>
      </c>
      <c r="C1455">
        <v>830303</v>
      </c>
      <c r="D1455" t="s">
        <v>3595</v>
      </c>
      <c r="E1455" t="s">
        <v>326</v>
      </c>
      <c r="F1455" t="s">
        <v>554</v>
      </c>
      <c r="G1455" s="30">
        <v>46143</v>
      </c>
      <c r="H1455" t="s">
        <v>3596</v>
      </c>
      <c r="I1455">
        <v>8261814</v>
      </c>
      <c r="J1455" s="123">
        <v>46141</v>
      </c>
      <c r="K1455" s="123">
        <v>0</v>
      </c>
      <c r="L1455" s="123">
        <v>0</v>
      </c>
      <c r="M1455">
        <v>0</v>
      </c>
      <c r="N1455">
        <v>0</v>
      </c>
      <c r="O1455">
        <v>0</v>
      </c>
      <c r="P1455" s="216">
        <v>830303</v>
      </c>
      <c r="Q1455" s="217" t="s">
        <v>44</v>
      </c>
      <c r="R1455" s="217" t="s">
        <v>554</v>
      </c>
      <c r="S1455" s="218">
        <v>0.40000004841551745</v>
      </c>
      <c r="T1455" t="s">
        <v>550</v>
      </c>
      <c r="U1455" t="s">
        <v>51</v>
      </c>
      <c r="V1455" s="219" t="s">
        <v>6650</v>
      </c>
      <c r="W1455" s="219" t="s">
        <v>67</v>
      </c>
    </row>
    <row r="1456" spans="1:23" ht="15" customHeight="1" x14ac:dyDescent="0.25">
      <c r="A1456" t="s">
        <v>3597</v>
      </c>
      <c r="B1456" t="s">
        <v>546</v>
      </c>
      <c r="C1456">
        <v>63107</v>
      </c>
      <c r="D1456" t="s">
        <v>3598</v>
      </c>
      <c r="E1456" t="s">
        <v>163</v>
      </c>
      <c r="F1456" t="s">
        <v>548</v>
      </c>
      <c r="G1456" s="30">
        <v>46147</v>
      </c>
      <c r="H1456" t="s">
        <v>3599</v>
      </c>
      <c r="I1456">
        <v>1051781.5</v>
      </c>
      <c r="J1456" s="123">
        <v>0</v>
      </c>
      <c r="K1456" s="123">
        <v>0</v>
      </c>
      <c r="L1456" s="123">
        <v>0</v>
      </c>
      <c r="M1456">
        <v>0</v>
      </c>
      <c r="N1456">
        <v>0</v>
      </c>
      <c r="O1456">
        <v>0</v>
      </c>
      <c r="P1456" s="216">
        <v>63107</v>
      </c>
      <c r="Q1456" s="217" t="s">
        <v>15</v>
      </c>
      <c r="R1456" s="217" t="s">
        <v>62</v>
      </c>
      <c r="S1456" s="218">
        <v>0.37999992393857474</v>
      </c>
      <c r="T1456" t="s">
        <v>550</v>
      </c>
      <c r="U1456" t="s">
        <v>51</v>
      </c>
      <c r="V1456" s="219">
        <v>0</v>
      </c>
      <c r="W1456" s="219">
        <v>0</v>
      </c>
    </row>
    <row r="1457" spans="1:23" ht="15" customHeight="1" x14ac:dyDescent="0.25">
      <c r="A1457" t="s">
        <v>3600</v>
      </c>
      <c r="B1457" t="s">
        <v>546</v>
      </c>
      <c r="C1457">
        <v>63107</v>
      </c>
      <c r="D1457" t="s">
        <v>3598</v>
      </c>
      <c r="E1457" t="s">
        <v>163</v>
      </c>
      <c r="F1457" t="s">
        <v>554</v>
      </c>
      <c r="G1457" s="30">
        <v>46148</v>
      </c>
      <c r="H1457" t="s">
        <v>3599</v>
      </c>
      <c r="I1457">
        <v>1051781.5</v>
      </c>
      <c r="J1457" s="123">
        <v>0</v>
      </c>
      <c r="K1457" s="123">
        <v>0</v>
      </c>
      <c r="L1457" s="123">
        <v>0</v>
      </c>
      <c r="M1457">
        <v>0</v>
      </c>
      <c r="N1457">
        <v>0</v>
      </c>
      <c r="O1457">
        <v>0</v>
      </c>
      <c r="P1457" s="216">
        <v>63107</v>
      </c>
      <c r="Q1457" s="217" t="s">
        <v>15</v>
      </c>
      <c r="R1457" s="217" t="s">
        <v>554</v>
      </c>
      <c r="S1457" s="218">
        <v>0.37999992393857474</v>
      </c>
      <c r="T1457" t="s">
        <v>550</v>
      </c>
      <c r="U1457" t="s">
        <v>51</v>
      </c>
      <c r="V1457" s="219" t="s">
        <v>6651</v>
      </c>
      <c r="W1457" s="219" t="s">
        <v>67</v>
      </c>
    </row>
    <row r="1458" spans="1:23" ht="15" customHeight="1" x14ac:dyDescent="0.25">
      <c r="A1458" t="s">
        <v>3601</v>
      </c>
      <c r="B1458" t="s">
        <v>595</v>
      </c>
      <c r="C1458">
        <v>31653</v>
      </c>
      <c r="D1458" t="s">
        <v>3602</v>
      </c>
      <c r="E1458" t="s">
        <v>178</v>
      </c>
      <c r="F1458" t="s">
        <v>554</v>
      </c>
      <c r="G1458" s="30">
        <v>46143</v>
      </c>
      <c r="H1458" t="s">
        <v>3603</v>
      </c>
      <c r="I1458">
        <v>1033939.6</v>
      </c>
      <c r="J1458" s="123">
        <v>0</v>
      </c>
      <c r="K1458" s="123">
        <v>0</v>
      </c>
      <c r="L1458" s="123">
        <v>46142</v>
      </c>
      <c r="M1458">
        <v>0</v>
      </c>
      <c r="N1458">
        <v>0</v>
      </c>
      <c r="O1458">
        <v>0</v>
      </c>
      <c r="P1458" s="216">
        <v>31653</v>
      </c>
      <c r="Q1458" s="217" t="s">
        <v>32</v>
      </c>
      <c r="R1458" s="217" t="s">
        <v>554</v>
      </c>
      <c r="S1458" s="218">
        <v>0.29511588491242624</v>
      </c>
      <c r="T1458" t="s">
        <v>550</v>
      </c>
      <c r="U1458" t="s">
        <v>51</v>
      </c>
      <c r="V1458" s="219" t="s">
        <v>6652</v>
      </c>
      <c r="W1458" s="219" t="s">
        <v>67</v>
      </c>
    </row>
    <row r="1459" spans="1:23" ht="15" customHeight="1" x14ac:dyDescent="0.25">
      <c r="A1459" t="s">
        <v>3604</v>
      </c>
      <c r="B1459" t="s">
        <v>595</v>
      </c>
      <c r="C1459">
        <v>128897.32</v>
      </c>
      <c r="D1459" t="s">
        <v>3605</v>
      </c>
      <c r="E1459" t="s">
        <v>163</v>
      </c>
      <c r="F1459" t="s">
        <v>554</v>
      </c>
      <c r="G1459" s="30">
        <v>46143</v>
      </c>
      <c r="H1459" t="s">
        <v>3606</v>
      </c>
      <c r="I1459">
        <v>1287212</v>
      </c>
      <c r="J1459" s="123">
        <v>0</v>
      </c>
      <c r="K1459" s="123">
        <v>0</v>
      </c>
      <c r="L1459" s="123">
        <v>46142</v>
      </c>
      <c r="M1459">
        <v>0</v>
      </c>
      <c r="N1459">
        <v>0</v>
      </c>
      <c r="O1459">
        <v>0</v>
      </c>
      <c r="P1459" s="216">
        <v>128897.32</v>
      </c>
      <c r="Q1459" s="217" t="s">
        <v>15</v>
      </c>
      <c r="R1459" s="217" t="s">
        <v>554</v>
      </c>
      <c r="S1459" s="218">
        <v>0.4005664723448818</v>
      </c>
      <c r="T1459" t="s">
        <v>550</v>
      </c>
      <c r="U1459" t="s">
        <v>51</v>
      </c>
      <c r="V1459" s="219" t="s">
        <v>6653</v>
      </c>
      <c r="W1459" s="219" t="s">
        <v>67</v>
      </c>
    </row>
    <row r="1460" spans="1:23" ht="15" customHeight="1" x14ac:dyDescent="0.25">
      <c r="A1460" t="s">
        <v>3607</v>
      </c>
      <c r="B1460" t="s">
        <v>595</v>
      </c>
      <c r="C1460">
        <v>97361.82</v>
      </c>
      <c r="D1460" t="s">
        <v>3608</v>
      </c>
      <c r="E1460" t="s">
        <v>178</v>
      </c>
      <c r="F1460" t="s">
        <v>554</v>
      </c>
      <c r="G1460" s="30">
        <v>46147</v>
      </c>
      <c r="H1460" t="s">
        <v>3609</v>
      </c>
      <c r="I1460">
        <v>1054725.7</v>
      </c>
      <c r="J1460" s="123">
        <v>0</v>
      </c>
      <c r="K1460" s="123">
        <v>0</v>
      </c>
      <c r="L1460" s="123">
        <v>46128</v>
      </c>
      <c r="M1460">
        <v>0</v>
      </c>
      <c r="N1460">
        <v>0</v>
      </c>
      <c r="O1460">
        <v>0</v>
      </c>
      <c r="P1460" s="216">
        <v>97361.82</v>
      </c>
      <c r="Q1460" s="217" t="s">
        <v>32</v>
      </c>
      <c r="R1460" s="217" t="s">
        <v>554</v>
      </c>
      <c r="S1460" s="218">
        <v>0.29556255242476787</v>
      </c>
      <c r="T1460" t="s">
        <v>550</v>
      </c>
      <c r="U1460" t="s">
        <v>51</v>
      </c>
      <c r="V1460" s="219">
        <v>0</v>
      </c>
      <c r="W1460" s="219" t="s">
        <v>72</v>
      </c>
    </row>
    <row r="1461" spans="1:23" ht="15" customHeight="1" x14ac:dyDescent="0.25">
      <c r="A1461" t="s">
        <v>3610</v>
      </c>
      <c r="B1461" t="s">
        <v>595</v>
      </c>
      <c r="C1461">
        <v>26050</v>
      </c>
      <c r="D1461" t="s">
        <v>3611</v>
      </c>
      <c r="E1461" t="s">
        <v>178</v>
      </c>
      <c r="F1461" t="s">
        <v>580</v>
      </c>
      <c r="G1461" s="30">
        <v>46149</v>
      </c>
      <c r="H1461" t="s">
        <v>3612</v>
      </c>
      <c r="I1461">
        <v>1054513.3999999999</v>
      </c>
      <c r="J1461" s="123">
        <v>0</v>
      </c>
      <c r="K1461" s="123">
        <v>0</v>
      </c>
      <c r="L1461" s="123">
        <v>46107</v>
      </c>
      <c r="M1461">
        <v>0</v>
      </c>
      <c r="N1461">
        <v>0</v>
      </c>
      <c r="O1461">
        <v>0</v>
      </c>
      <c r="P1461" s="216">
        <v>26050</v>
      </c>
      <c r="Q1461" s="217" t="s">
        <v>32</v>
      </c>
      <c r="R1461" s="217" t="s">
        <v>582</v>
      </c>
      <c r="S1461" s="218">
        <v>0.31340147977256622</v>
      </c>
      <c r="T1461" t="s">
        <v>550</v>
      </c>
      <c r="U1461" t="s">
        <v>51</v>
      </c>
      <c r="V1461" s="219">
        <v>0</v>
      </c>
      <c r="W1461" s="219">
        <v>0</v>
      </c>
    </row>
    <row r="1462" spans="1:23" ht="15" customHeight="1" x14ac:dyDescent="0.25">
      <c r="A1462" t="s">
        <v>3613</v>
      </c>
      <c r="B1462" t="s">
        <v>546</v>
      </c>
      <c r="C1462">
        <v>15719</v>
      </c>
      <c r="D1462" t="s">
        <v>3614</v>
      </c>
      <c r="E1462" t="s">
        <v>553</v>
      </c>
      <c r="F1462" t="s">
        <v>548</v>
      </c>
      <c r="G1462" s="30">
        <v>46144</v>
      </c>
      <c r="H1462" t="s">
        <v>3615</v>
      </c>
      <c r="I1462">
        <v>1027194.4</v>
      </c>
      <c r="J1462" s="123">
        <v>46144</v>
      </c>
      <c r="K1462" s="123">
        <v>0</v>
      </c>
      <c r="L1462" s="123">
        <v>46144</v>
      </c>
      <c r="M1462">
        <v>0</v>
      </c>
      <c r="N1462">
        <v>0</v>
      </c>
      <c r="O1462" t="s">
        <v>556</v>
      </c>
      <c r="P1462" s="216">
        <v>15719</v>
      </c>
      <c r="Q1462" s="217" t="s">
        <v>32</v>
      </c>
      <c r="R1462" s="217" t="s">
        <v>62</v>
      </c>
      <c r="S1462" s="218">
        <v>0.49995891722151131</v>
      </c>
      <c r="T1462" t="s">
        <v>550</v>
      </c>
      <c r="U1462" t="s">
        <v>51</v>
      </c>
      <c r="V1462" s="219">
        <v>0</v>
      </c>
      <c r="W1462" s="219">
        <v>0</v>
      </c>
    </row>
    <row r="1463" spans="1:23" ht="15" customHeight="1" x14ac:dyDescent="0.25">
      <c r="A1463" t="s">
        <v>3616</v>
      </c>
      <c r="B1463" t="s">
        <v>546</v>
      </c>
      <c r="C1463">
        <v>15719</v>
      </c>
      <c r="D1463" t="s">
        <v>3614</v>
      </c>
      <c r="E1463" t="s">
        <v>553</v>
      </c>
      <c r="F1463" t="s">
        <v>554</v>
      </c>
      <c r="G1463" s="30">
        <v>46144</v>
      </c>
      <c r="H1463" t="s">
        <v>3615</v>
      </c>
      <c r="I1463">
        <v>1027194.4</v>
      </c>
      <c r="J1463" s="123">
        <v>46144</v>
      </c>
      <c r="K1463" s="123">
        <v>0</v>
      </c>
      <c r="L1463" s="123">
        <v>46144</v>
      </c>
      <c r="M1463">
        <v>0</v>
      </c>
      <c r="N1463">
        <v>0</v>
      </c>
      <c r="O1463" t="s">
        <v>556</v>
      </c>
      <c r="P1463" s="216">
        <v>15719</v>
      </c>
      <c r="Q1463" s="217" t="s">
        <v>32</v>
      </c>
      <c r="R1463" s="217" t="s">
        <v>554</v>
      </c>
      <c r="S1463" s="218">
        <v>0.49995891722151131</v>
      </c>
      <c r="T1463" t="s">
        <v>550</v>
      </c>
      <c r="U1463" t="s">
        <v>51</v>
      </c>
      <c r="V1463" s="219" t="s">
        <v>6654</v>
      </c>
      <c r="W1463" s="219" t="s">
        <v>67</v>
      </c>
    </row>
    <row r="1464" spans="1:23" ht="15" customHeight="1" x14ac:dyDescent="0.25">
      <c r="A1464" t="s">
        <v>3617</v>
      </c>
      <c r="B1464" t="s">
        <v>546</v>
      </c>
      <c r="C1464">
        <v>15719</v>
      </c>
      <c r="D1464" t="s">
        <v>3614</v>
      </c>
      <c r="E1464" t="s">
        <v>553</v>
      </c>
      <c r="F1464" t="s">
        <v>548</v>
      </c>
      <c r="G1464" s="30">
        <v>46144</v>
      </c>
      <c r="H1464" t="s">
        <v>3615</v>
      </c>
      <c r="I1464">
        <v>1027194.4</v>
      </c>
      <c r="J1464" s="123">
        <v>46144</v>
      </c>
      <c r="K1464" s="123">
        <v>0</v>
      </c>
      <c r="L1464" s="123">
        <v>46144</v>
      </c>
      <c r="M1464">
        <v>0</v>
      </c>
      <c r="N1464">
        <v>0</v>
      </c>
      <c r="O1464" t="s">
        <v>556</v>
      </c>
      <c r="P1464" s="216">
        <v>15719</v>
      </c>
      <c r="Q1464" s="217" t="s">
        <v>32</v>
      </c>
      <c r="R1464" s="217" t="s">
        <v>62</v>
      </c>
      <c r="S1464" s="218">
        <v>0.49995891722151131</v>
      </c>
      <c r="T1464" t="s">
        <v>550</v>
      </c>
      <c r="U1464" t="s">
        <v>51</v>
      </c>
      <c r="V1464" s="219">
        <v>0</v>
      </c>
      <c r="W1464" s="219">
        <v>0</v>
      </c>
    </row>
    <row r="1465" spans="1:23" ht="15" customHeight="1" x14ac:dyDescent="0.25">
      <c r="A1465" t="s">
        <v>3618</v>
      </c>
      <c r="B1465" t="s">
        <v>546</v>
      </c>
      <c r="C1465">
        <v>15719</v>
      </c>
      <c r="D1465" t="s">
        <v>3614</v>
      </c>
      <c r="E1465" t="s">
        <v>553</v>
      </c>
      <c r="F1465" t="s">
        <v>548</v>
      </c>
      <c r="G1465" s="30">
        <v>46144</v>
      </c>
      <c r="H1465" t="s">
        <v>3615</v>
      </c>
      <c r="I1465">
        <v>1027194.4</v>
      </c>
      <c r="J1465" s="123">
        <v>46144</v>
      </c>
      <c r="K1465" s="123">
        <v>0</v>
      </c>
      <c r="L1465" s="123">
        <v>46144</v>
      </c>
      <c r="M1465">
        <v>0</v>
      </c>
      <c r="N1465">
        <v>0</v>
      </c>
      <c r="O1465" t="s">
        <v>556</v>
      </c>
      <c r="P1465" s="216">
        <v>15719</v>
      </c>
      <c r="Q1465" s="217" t="s">
        <v>32</v>
      </c>
      <c r="R1465" s="217" t="s">
        <v>62</v>
      </c>
      <c r="S1465" s="218">
        <v>0.49995891722151131</v>
      </c>
      <c r="T1465" t="s">
        <v>550</v>
      </c>
      <c r="U1465" t="s">
        <v>51</v>
      </c>
      <c r="V1465" s="219">
        <v>0</v>
      </c>
      <c r="W1465" s="219">
        <v>0</v>
      </c>
    </row>
    <row r="1466" spans="1:23" ht="15" customHeight="1" x14ac:dyDescent="0.25">
      <c r="A1466" t="s">
        <v>3619</v>
      </c>
      <c r="B1466" t="s">
        <v>595</v>
      </c>
      <c r="C1466">
        <v>106331</v>
      </c>
      <c r="D1466" t="s">
        <v>3620</v>
      </c>
      <c r="E1466" t="s">
        <v>178</v>
      </c>
      <c r="F1466" t="s">
        <v>580</v>
      </c>
      <c r="G1466" s="30">
        <v>46149</v>
      </c>
      <c r="H1466" t="s">
        <v>3621</v>
      </c>
      <c r="I1466">
        <v>1062709.1000000001</v>
      </c>
      <c r="J1466" s="123">
        <v>0</v>
      </c>
      <c r="K1466" s="123">
        <v>0</v>
      </c>
      <c r="L1466" s="123">
        <v>46129</v>
      </c>
      <c r="M1466">
        <v>0</v>
      </c>
      <c r="N1466">
        <v>0</v>
      </c>
      <c r="O1466">
        <v>0</v>
      </c>
      <c r="P1466" s="216">
        <v>106331</v>
      </c>
      <c r="Q1466" s="217" t="s">
        <v>32</v>
      </c>
      <c r="R1466" s="217" t="s">
        <v>582</v>
      </c>
      <c r="S1466" s="218">
        <v>0.29994370990142077</v>
      </c>
      <c r="T1466" t="s">
        <v>550</v>
      </c>
      <c r="U1466" t="s">
        <v>51</v>
      </c>
      <c r="V1466" s="219">
        <v>0</v>
      </c>
      <c r="W1466" s="219">
        <v>0</v>
      </c>
    </row>
    <row r="1467" spans="1:23" ht="15" customHeight="1" x14ac:dyDescent="0.25">
      <c r="A1467" t="s">
        <v>3622</v>
      </c>
      <c r="B1467" t="s">
        <v>575</v>
      </c>
      <c r="C1467">
        <v>109025</v>
      </c>
      <c r="D1467" t="s">
        <v>3623</v>
      </c>
      <c r="E1467" t="s">
        <v>321</v>
      </c>
      <c r="F1467" t="s">
        <v>580</v>
      </c>
      <c r="G1467" s="30">
        <v>46149</v>
      </c>
      <c r="H1467" t="s">
        <v>3624</v>
      </c>
      <c r="I1467">
        <v>1090247.55</v>
      </c>
      <c r="J1467" s="123">
        <v>0</v>
      </c>
      <c r="K1467" s="123">
        <v>0</v>
      </c>
      <c r="L1467" s="123">
        <v>46149</v>
      </c>
      <c r="M1467">
        <v>0</v>
      </c>
      <c r="N1467">
        <v>0</v>
      </c>
      <c r="O1467">
        <v>0</v>
      </c>
      <c r="P1467" s="216">
        <v>109025</v>
      </c>
      <c r="Q1467" s="217" t="s">
        <v>43</v>
      </c>
      <c r="R1467" s="217" t="s">
        <v>582</v>
      </c>
      <c r="S1467" s="218">
        <v>0.30017861539794333</v>
      </c>
      <c r="T1467" t="s">
        <v>550</v>
      </c>
      <c r="U1467" t="s">
        <v>51</v>
      </c>
      <c r="V1467" s="219">
        <v>0</v>
      </c>
      <c r="W1467" s="219">
        <v>0</v>
      </c>
    </row>
    <row r="1468" spans="1:23" ht="15" customHeight="1" x14ac:dyDescent="0.25">
      <c r="A1468" t="s">
        <v>3625</v>
      </c>
      <c r="B1468" t="s">
        <v>595</v>
      </c>
      <c r="C1468">
        <v>104280</v>
      </c>
      <c r="D1468" t="s">
        <v>3626</v>
      </c>
      <c r="E1468" t="s">
        <v>163</v>
      </c>
      <c r="F1468" t="s">
        <v>580</v>
      </c>
      <c r="G1468" s="30">
        <v>46149</v>
      </c>
      <c r="H1468" t="s">
        <v>3627</v>
      </c>
      <c r="I1468">
        <v>1042764.5</v>
      </c>
      <c r="J1468" s="123">
        <v>0</v>
      </c>
      <c r="K1468" s="123">
        <v>0</v>
      </c>
      <c r="L1468" s="123">
        <v>46148</v>
      </c>
      <c r="M1468">
        <v>0</v>
      </c>
      <c r="N1468">
        <v>0</v>
      </c>
      <c r="O1468">
        <v>0</v>
      </c>
      <c r="P1468" s="216">
        <v>104280</v>
      </c>
      <c r="Q1468" s="217" t="s">
        <v>15</v>
      </c>
      <c r="R1468" s="217" t="s">
        <v>582</v>
      </c>
      <c r="S1468" s="218">
        <v>0.39989853893184896</v>
      </c>
      <c r="T1468" t="s">
        <v>550</v>
      </c>
      <c r="U1468" t="s">
        <v>51</v>
      </c>
      <c r="V1468" s="219">
        <v>0</v>
      </c>
      <c r="W1468" s="219">
        <v>0</v>
      </c>
    </row>
    <row r="1469" spans="1:23" ht="15" customHeight="1" x14ac:dyDescent="0.25">
      <c r="A1469" t="s">
        <v>3628</v>
      </c>
      <c r="B1469" t="s">
        <v>575</v>
      </c>
      <c r="C1469">
        <v>126819.16</v>
      </c>
      <c r="D1469" t="s">
        <v>3629</v>
      </c>
      <c r="E1469" t="s">
        <v>178</v>
      </c>
      <c r="F1469" t="s">
        <v>554</v>
      </c>
      <c r="G1469" s="30">
        <v>46148</v>
      </c>
      <c r="H1469" t="s">
        <v>3630</v>
      </c>
      <c r="I1469">
        <v>1269413.6000000001</v>
      </c>
      <c r="J1469" s="123">
        <v>0</v>
      </c>
      <c r="K1469" s="123">
        <v>0</v>
      </c>
      <c r="L1469" s="123">
        <v>46134</v>
      </c>
      <c r="M1469">
        <v>0</v>
      </c>
      <c r="N1469">
        <v>0</v>
      </c>
      <c r="O1469">
        <v>0</v>
      </c>
      <c r="P1469" s="216">
        <v>126819.16</v>
      </c>
      <c r="Q1469" s="217" t="s">
        <v>32</v>
      </c>
      <c r="R1469" s="217" t="s">
        <v>554</v>
      </c>
      <c r="S1469" s="218">
        <v>0.4999036720577123</v>
      </c>
      <c r="T1469" t="s">
        <v>550</v>
      </c>
      <c r="U1469" t="s">
        <v>51</v>
      </c>
      <c r="V1469" s="219" t="s">
        <v>6655</v>
      </c>
      <c r="W1469" s="219" t="s">
        <v>67</v>
      </c>
    </row>
    <row r="1470" spans="1:23" ht="15" customHeight="1" x14ac:dyDescent="0.25">
      <c r="A1470" t="s">
        <v>3631</v>
      </c>
      <c r="B1470" t="s">
        <v>64</v>
      </c>
      <c r="C1470">
        <v>131636</v>
      </c>
      <c r="D1470" t="s">
        <v>3632</v>
      </c>
      <c r="E1470" t="s">
        <v>178</v>
      </c>
      <c r="F1470" t="s">
        <v>585</v>
      </c>
      <c r="G1470" s="30">
        <v>46146</v>
      </c>
      <c r="H1470" t="s">
        <v>3633</v>
      </c>
      <c r="I1470">
        <v>1317372.3999999999</v>
      </c>
      <c r="J1470" s="123">
        <v>0</v>
      </c>
      <c r="K1470" s="123">
        <v>46146</v>
      </c>
      <c r="L1470" s="123">
        <v>0</v>
      </c>
      <c r="M1470">
        <v>0</v>
      </c>
      <c r="N1470">
        <v>0</v>
      </c>
      <c r="O1470" t="s">
        <v>556</v>
      </c>
      <c r="P1470" s="216">
        <v>131636</v>
      </c>
      <c r="Q1470" s="217" t="s">
        <v>32</v>
      </c>
      <c r="R1470" s="217" t="s">
        <v>61</v>
      </c>
      <c r="S1470" s="218">
        <v>0.39969335929612615</v>
      </c>
      <c r="T1470" t="s">
        <v>550</v>
      </c>
      <c r="U1470" t="s">
        <v>51</v>
      </c>
      <c r="V1470" s="219">
        <v>0</v>
      </c>
      <c r="W1470" s="219">
        <v>0</v>
      </c>
    </row>
    <row r="1471" spans="1:23" ht="15" customHeight="1" x14ac:dyDescent="0.25">
      <c r="A1471" t="s">
        <v>3634</v>
      </c>
      <c r="B1471" t="s">
        <v>64</v>
      </c>
      <c r="C1471">
        <v>131636</v>
      </c>
      <c r="D1471" t="s">
        <v>3632</v>
      </c>
      <c r="E1471" t="s">
        <v>178</v>
      </c>
      <c r="F1471" t="s">
        <v>580</v>
      </c>
      <c r="G1471" s="30">
        <v>46147</v>
      </c>
      <c r="H1471" t="s">
        <v>3633</v>
      </c>
      <c r="I1471">
        <v>1317372.3999999999</v>
      </c>
      <c r="J1471" s="123">
        <v>0</v>
      </c>
      <c r="K1471" s="123">
        <v>46146</v>
      </c>
      <c r="L1471" s="123">
        <v>0</v>
      </c>
      <c r="M1471">
        <v>0</v>
      </c>
      <c r="N1471">
        <v>0</v>
      </c>
      <c r="O1471" t="s">
        <v>556</v>
      </c>
      <c r="P1471" s="216">
        <v>131636</v>
      </c>
      <c r="Q1471" s="217" t="s">
        <v>32</v>
      </c>
      <c r="R1471" s="217" t="s">
        <v>582</v>
      </c>
      <c r="S1471" s="218">
        <v>0.39969335929612615</v>
      </c>
      <c r="T1471" t="s">
        <v>550</v>
      </c>
      <c r="U1471" t="s">
        <v>51</v>
      </c>
      <c r="V1471" s="219">
        <v>0</v>
      </c>
      <c r="W1471" s="219">
        <v>0</v>
      </c>
    </row>
    <row r="1472" spans="1:23" ht="15" customHeight="1" x14ac:dyDescent="0.25">
      <c r="A1472" t="s">
        <v>3635</v>
      </c>
      <c r="B1472" t="s">
        <v>64</v>
      </c>
      <c r="C1472">
        <v>131636</v>
      </c>
      <c r="D1472" t="s">
        <v>3632</v>
      </c>
      <c r="E1472" t="s">
        <v>1126</v>
      </c>
      <c r="F1472" t="s">
        <v>580</v>
      </c>
      <c r="G1472" s="30">
        <v>46147</v>
      </c>
      <c r="H1472" t="s">
        <v>3633</v>
      </c>
      <c r="I1472">
        <v>1317372.3999999999</v>
      </c>
      <c r="J1472" s="123">
        <v>0</v>
      </c>
      <c r="K1472" s="123">
        <v>46146</v>
      </c>
      <c r="L1472" s="123">
        <v>0</v>
      </c>
      <c r="M1472">
        <v>0</v>
      </c>
      <c r="N1472">
        <v>0</v>
      </c>
      <c r="O1472" t="s">
        <v>556</v>
      </c>
      <c r="P1472" s="216">
        <v>131636</v>
      </c>
      <c r="Q1472" s="217" t="s">
        <v>32</v>
      </c>
      <c r="R1472" s="217" t="s">
        <v>582</v>
      </c>
      <c r="S1472" s="218">
        <v>0.39969335929612615</v>
      </c>
      <c r="T1472" t="s">
        <v>550</v>
      </c>
      <c r="U1472" t="s">
        <v>51</v>
      </c>
      <c r="V1472" s="219">
        <v>0</v>
      </c>
      <c r="W1472" s="219">
        <v>0</v>
      </c>
    </row>
    <row r="1473" spans="1:23" ht="15" customHeight="1" x14ac:dyDescent="0.25">
      <c r="A1473" t="s">
        <v>3636</v>
      </c>
      <c r="B1473" t="s">
        <v>546</v>
      </c>
      <c r="C1473">
        <v>25000</v>
      </c>
      <c r="D1473" t="s">
        <v>3637</v>
      </c>
      <c r="E1473" t="s">
        <v>3638</v>
      </c>
      <c r="F1473" t="s">
        <v>554</v>
      </c>
      <c r="G1473" s="30">
        <v>46147</v>
      </c>
      <c r="H1473" t="s">
        <v>3639</v>
      </c>
      <c r="I1473">
        <v>1082204.1000000001</v>
      </c>
      <c r="J1473" s="123">
        <v>0</v>
      </c>
      <c r="K1473" s="123">
        <v>0</v>
      </c>
      <c r="L1473" s="123">
        <v>0</v>
      </c>
      <c r="M1473">
        <v>0</v>
      </c>
      <c r="N1473">
        <v>0</v>
      </c>
      <c r="O1473">
        <v>0</v>
      </c>
      <c r="P1473" s="216">
        <v>25000</v>
      </c>
      <c r="Q1473" s="217" t="s">
        <v>19</v>
      </c>
      <c r="R1473" s="217" t="s">
        <v>554</v>
      </c>
      <c r="S1473" s="218">
        <v>0.39999848457421289</v>
      </c>
      <c r="T1473" t="s">
        <v>550</v>
      </c>
      <c r="U1473" t="s">
        <v>51</v>
      </c>
      <c r="V1473" s="219" t="s">
        <v>6656</v>
      </c>
      <c r="W1473" s="219" t="s">
        <v>67</v>
      </c>
    </row>
    <row r="1474" spans="1:23" ht="15" customHeight="1" x14ac:dyDescent="0.25">
      <c r="A1474" t="s">
        <v>3640</v>
      </c>
      <c r="B1474" t="s">
        <v>668</v>
      </c>
      <c r="C1474">
        <v>50000</v>
      </c>
      <c r="D1474" t="s">
        <v>3637</v>
      </c>
      <c r="E1474" t="s">
        <v>3638</v>
      </c>
      <c r="F1474" t="s">
        <v>554</v>
      </c>
      <c r="G1474" s="30">
        <v>46148</v>
      </c>
      <c r="H1474" t="s">
        <v>3639</v>
      </c>
      <c r="I1474">
        <v>1082204.1000000001</v>
      </c>
      <c r="J1474" s="123">
        <v>46148</v>
      </c>
      <c r="K1474" s="123">
        <v>0</v>
      </c>
      <c r="L1474" s="123">
        <v>46148</v>
      </c>
      <c r="M1474">
        <v>0</v>
      </c>
      <c r="N1474">
        <v>0</v>
      </c>
      <c r="O1474">
        <v>0</v>
      </c>
      <c r="P1474" s="216">
        <v>50000</v>
      </c>
      <c r="Q1474" s="217" t="s">
        <v>19</v>
      </c>
      <c r="R1474" s="217" t="s">
        <v>554</v>
      </c>
      <c r="S1474" s="218">
        <v>0.39999848457421289</v>
      </c>
      <c r="T1474" t="s">
        <v>550</v>
      </c>
      <c r="U1474" t="s">
        <v>51</v>
      </c>
      <c r="V1474" s="219" t="s">
        <v>6657</v>
      </c>
      <c r="W1474" s="219" t="s">
        <v>67</v>
      </c>
    </row>
    <row r="1475" spans="1:23" ht="15" customHeight="1" x14ac:dyDescent="0.25">
      <c r="A1475" t="s">
        <v>3641</v>
      </c>
      <c r="B1475" t="s">
        <v>546</v>
      </c>
      <c r="C1475">
        <v>8220</v>
      </c>
      <c r="D1475" t="s">
        <v>3637</v>
      </c>
      <c r="E1475" t="s">
        <v>3638</v>
      </c>
      <c r="F1475" t="s">
        <v>554</v>
      </c>
      <c r="G1475" s="30">
        <v>46149</v>
      </c>
      <c r="H1475" t="s">
        <v>3639</v>
      </c>
      <c r="I1475">
        <v>1082204.1000000001</v>
      </c>
      <c r="J1475" s="123">
        <v>0</v>
      </c>
      <c r="K1475" s="123">
        <v>0</v>
      </c>
      <c r="L1475" s="123">
        <v>0</v>
      </c>
      <c r="M1475">
        <v>0</v>
      </c>
      <c r="N1475">
        <v>0</v>
      </c>
      <c r="O1475">
        <v>0</v>
      </c>
      <c r="P1475" s="216">
        <v>8220</v>
      </c>
      <c r="Q1475" s="217" t="s">
        <v>19</v>
      </c>
      <c r="R1475" s="217" t="s">
        <v>554</v>
      </c>
      <c r="S1475" s="218">
        <v>0.39999848457421289</v>
      </c>
      <c r="T1475" t="s">
        <v>550</v>
      </c>
      <c r="U1475" t="s">
        <v>51</v>
      </c>
      <c r="V1475" s="219" t="s">
        <v>6658</v>
      </c>
      <c r="W1475" s="219" t="s">
        <v>67</v>
      </c>
    </row>
    <row r="1476" spans="1:23" ht="15" customHeight="1" x14ac:dyDescent="0.25">
      <c r="A1476" t="s">
        <v>3642</v>
      </c>
      <c r="B1476" t="s">
        <v>595</v>
      </c>
      <c r="C1476">
        <v>106170.6</v>
      </c>
      <c r="D1476" t="s">
        <v>3643</v>
      </c>
      <c r="E1476" t="s">
        <v>163</v>
      </c>
      <c r="F1476" t="s">
        <v>554</v>
      </c>
      <c r="G1476" s="30">
        <v>46147</v>
      </c>
      <c r="H1476" t="s">
        <v>3644</v>
      </c>
      <c r="I1476">
        <v>1051781.5</v>
      </c>
      <c r="J1476" s="123">
        <v>0</v>
      </c>
      <c r="K1476" s="123">
        <v>0</v>
      </c>
      <c r="L1476" s="123">
        <v>46098</v>
      </c>
      <c r="M1476">
        <v>0</v>
      </c>
      <c r="N1476">
        <v>0</v>
      </c>
      <c r="O1476">
        <v>0</v>
      </c>
      <c r="P1476" s="216">
        <v>106170.6</v>
      </c>
      <c r="Q1476" s="217" t="s">
        <v>15</v>
      </c>
      <c r="R1476" s="217" t="s">
        <v>554</v>
      </c>
      <c r="S1476" s="218">
        <v>0.50518933827986146</v>
      </c>
      <c r="T1476" t="s">
        <v>550</v>
      </c>
      <c r="U1476" t="s">
        <v>51</v>
      </c>
      <c r="V1476" s="219" t="s">
        <v>6659</v>
      </c>
      <c r="W1476" s="219" t="s">
        <v>67</v>
      </c>
    </row>
    <row r="1477" spans="1:23" ht="15" customHeight="1" x14ac:dyDescent="0.25">
      <c r="A1477" t="s">
        <v>3645</v>
      </c>
      <c r="B1477" t="s">
        <v>546</v>
      </c>
      <c r="C1477">
        <v>105178</v>
      </c>
      <c r="D1477" t="s">
        <v>3646</v>
      </c>
      <c r="E1477" t="s">
        <v>163</v>
      </c>
      <c r="F1477" t="s">
        <v>548</v>
      </c>
      <c r="G1477" s="30">
        <v>46148</v>
      </c>
      <c r="H1477" t="s">
        <v>3647</v>
      </c>
      <c r="I1477">
        <v>1079100.5</v>
      </c>
      <c r="J1477" s="123">
        <v>0</v>
      </c>
      <c r="K1477" s="123">
        <v>0</v>
      </c>
      <c r="L1477" s="123">
        <v>0</v>
      </c>
      <c r="M1477">
        <v>0</v>
      </c>
      <c r="N1477">
        <v>0</v>
      </c>
      <c r="O1477">
        <v>0</v>
      </c>
      <c r="P1477" s="216">
        <v>105178</v>
      </c>
      <c r="Q1477" s="217" t="s">
        <v>15</v>
      </c>
      <c r="R1477" s="217" t="s">
        <v>62</v>
      </c>
      <c r="S1477" s="218">
        <v>0.40009450632094212</v>
      </c>
      <c r="T1477" t="s">
        <v>550</v>
      </c>
      <c r="U1477" t="s">
        <v>51</v>
      </c>
      <c r="V1477" s="219">
        <v>0</v>
      </c>
      <c r="W1477" s="219">
        <v>0</v>
      </c>
    </row>
    <row r="1478" spans="1:23" ht="15" customHeight="1" x14ac:dyDescent="0.25">
      <c r="A1478" t="s">
        <v>3648</v>
      </c>
      <c r="B1478" t="s">
        <v>575</v>
      </c>
      <c r="C1478">
        <v>105096</v>
      </c>
      <c r="D1478" t="s">
        <v>3649</v>
      </c>
      <c r="E1478" t="s">
        <v>163</v>
      </c>
      <c r="F1478" t="s">
        <v>554</v>
      </c>
      <c r="G1478" s="30">
        <v>46143</v>
      </c>
      <c r="H1478" t="s">
        <v>3650</v>
      </c>
      <c r="I1478">
        <v>1050953.75</v>
      </c>
      <c r="J1478" s="123">
        <v>0</v>
      </c>
      <c r="K1478" s="123">
        <v>0</v>
      </c>
      <c r="L1478" s="123">
        <v>46143</v>
      </c>
      <c r="M1478">
        <v>0</v>
      </c>
      <c r="N1478">
        <v>0</v>
      </c>
      <c r="O1478">
        <v>0</v>
      </c>
      <c r="P1478" s="216">
        <v>105096</v>
      </c>
      <c r="Q1478" s="217" t="s">
        <v>15</v>
      </c>
      <c r="R1478" s="217" t="s">
        <v>554</v>
      </c>
      <c r="S1478" s="218">
        <v>0.40000052333416192</v>
      </c>
      <c r="T1478" t="s">
        <v>550</v>
      </c>
      <c r="U1478" t="s">
        <v>51</v>
      </c>
      <c r="V1478" s="219" t="s">
        <v>6660</v>
      </c>
      <c r="W1478" s="219" t="s">
        <v>67</v>
      </c>
    </row>
    <row r="1479" spans="1:23" ht="15" customHeight="1" x14ac:dyDescent="0.25">
      <c r="A1479" t="s">
        <v>3651</v>
      </c>
      <c r="B1479" t="s">
        <v>575</v>
      </c>
      <c r="C1479">
        <v>44500</v>
      </c>
      <c r="D1479" t="s">
        <v>3652</v>
      </c>
      <c r="E1479" t="s">
        <v>178</v>
      </c>
      <c r="F1479" t="s">
        <v>580</v>
      </c>
      <c r="G1479" s="30">
        <v>46149</v>
      </c>
      <c r="H1479" t="s">
        <v>3653</v>
      </c>
      <c r="I1479">
        <v>1107373.2</v>
      </c>
      <c r="J1479" s="123">
        <v>0</v>
      </c>
      <c r="K1479" s="123">
        <v>0</v>
      </c>
      <c r="L1479" s="123">
        <v>46137</v>
      </c>
      <c r="M1479">
        <v>0</v>
      </c>
      <c r="N1479">
        <v>0</v>
      </c>
      <c r="O1479">
        <v>0</v>
      </c>
      <c r="P1479" s="216">
        <v>44500</v>
      </c>
      <c r="Q1479" s="217" t="s">
        <v>32</v>
      </c>
      <c r="R1479" s="217" t="s">
        <v>582</v>
      </c>
      <c r="S1479" s="218">
        <v>0.19999971102786307</v>
      </c>
      <c r="T1479" t="s">
        <v>550</v>
      </c>
      <c r="U1479" t="s">
        <v>51</v>
      </c>
      <c r="V1479" s="219">
        <v>0</v>
      </c>
      <c r="W1479" s="219">
        <v>0</v>
      </c>
    </row>
    <row r="1480" spans="1:23" ht="15" customHeight="1" x14ac:dyDescent="0.25">
      <c r="A1480" t="s">
        <v>3654</v>
      </c>
      <c r="B1480" t="s">
        <v>546</v>
      </c>
      <c r="C1480">
        <v>50000</v>
      </c>
      <c r="D1480" t="s">
        <v>3655</v>
      </c>
      <c r="E1480" t="s">
        <v>553</v>
      </c>
      <c r="F1480" t="s">
        <v>554</v>
      </c>
      <c r="G1480" s="30">
        <v>46146</v>
      </c>
      <c r="H1480" t="s">
        <v>3656</v>
      </c>
      <c r="I1480">
        <v>1227283.75</v>
      </c>
      <c r="J1480" s="123">
        <v>46146</v>
      </c>
      <c r="K1480" s="123">
        <v>0</v>
      </c>
      <c r="L1480" s="123">
        <v>46146</v>
      </c>
      <c r="M1480">
        <v>0</v>
      </c>
      <c r="N1480">
        <v>0</v>
      </c>
      <c r="O1480" t="s">
        <v>556</v>
      </c>
      <c r="P1480" s="216">
        <v>50000</v>
      </c>
      <c r="Q1480" s="217" t="s">
        <v>15</v>
      </c>
      <c r="R1480" s="217" t="s">
        <v>554</v>
      </c>
      <c r="S1480" s="218">
        <v>0.49998504420839923</v>
      </c>
      <c r="T1480" t="s">
        <v>550</v>
      </c>
      <c r="U1480" t="s">
        <v>51</v>
      </c>
      <c r="V1480" s="219" t="s">
        <v>6661</v>
      </c>
      <c r="W1480" s="219" t="s">
        <v>67</v>
      </c>
    </row>
    <row r="1481" spans="1:23" ht="15" customHeight="1" x14ac:dyDescent="0.25">
      <c r="A1481" t="s">
        <v>3657</v>
      </c>
      <c r="B1481" t="s">
        <v>595</v>
      </c>
      <c r="C1481">
        <v>27721.05</v>
      </c>
      <c r="D1481" t="s">
        <v>3658</v>
      </c>
      <c r="E1481" t="s">
        <v>321</v>
      </c>
      <c r="F1481" t="s">
        <v>580</v>
      </c>
      <c r="G1481" s="30">
        <v>46148</v>
      </c>
      <c r="H1481" t="s">
        <v>3659</v>
      </c>
      <c r="I1481">
        <v>1184954.1000000001</v>
      </c>
      <c r="J1481" s="123">
        <v>0</v>
      </c>
      <c r="K1481" s="123">
        <v>0</v>
      </c>
      <c r="L1481" s="123">
        <v>46148</v>
      </c>
      <c r="M1481">
        <v>0</v>
      </c>
      <c r="N1481">
        <v>0</v>
      </c>
      <c r="O1481">
        <v>0</v>
      </c>
      <c r="P1481" s="216">
        <v>27721.05</v>
      </c>
      <c r="Q1481" s="217" t="s">
        <v>43</v>
      </c>
      <c r="R1481" s="217" t="s">
        <v>582</v>
      </c>
      <c r="S1481" s="218">
        <v>0.30000064981419955</v>
      </c>
      <c r="T1481" t="s">
        <v>550</v>
      </c>
      <c r="U1481" t="s">
        <v>51</v>
      </c>
      <c r="V1481" s="219">
        <v>0</v>
      </c>
      <c r="W1481" s="219">
        <v>0</v>
      </c>
    </row>
    <row r="1482" spans="1:23" ht="15" customHeight="1" x14ac:dyDescent="0.25">
      <c r="A1482" t="s">
        <v>3660</v>
      </c>
      <c r="B1482" t="s">
        <v>546</v>
      </c>
      <c r="C1482">
        <v>1000</v>
      </c>
      <c r="D1482" t="s">
        <v>3661</v>
      </c>
      <c r="E1482" t="s">
        <v>553</v>
      </c>
      <c r="F1482" t="s">
        <v>554</v>
      </c>
      <c r="G1482" s="30">
        <v>46146</v>
      </c>
      <c r="H1482" t="s">
        <v>3662</v>
      </c>
      <c r="I1482">
        <v>1299586.75</v>
      </c>
      <c r="J1482" s="123">
        <v>46146</v>
      </c>
      <c r="K1482" s="123">
        <v>0</v>
      </c>
      <c r="L1482" s="123">
        <v>46146</v>
      </c>
      <c r="M1482">
        <v>0</v>
      </c>
      <c r="N1482">
        <v>0</v>
      </c>
      <c r="O1482" t="s">
        <v>556</v>
      </c>
      <c r="P1482" s="216">
        <v>1000</v>
      </c>
      <c r="Q1482" s="217" t="s">
        <v>15</v>
      </c>
      <c r="R1482" s="217" t="s">
        <v>554</v>
      </c>
      <c r="S1482" s="218">
        <v>0.43213198349398374</v>
      </c>
      <c r="T1482" t="s">
        <v>550</v>
      </c>
      <c r="U1482" t="s">
        <v>51</v>
      </c>
      <c r="V1482" s="219" t="s">
        <v>6662</v>
      </c>
      <c r="W1482" s="219" t="s">
        <v>67</v>
      </c>
    </row>
    <row r="1483" spans="1:23" ht="15" customHeight="1" x14ac:dyDescent="0.25">
      <c r="A1483" t="s">
        <v>3663</v>
      </c>
      <c r="B1483" t="s">
        <v>546</v>
      </c>
      <c r="C1483">
        <v>40000</v>
      </c>
      <c r="D1483" t="s">
        <v>3661</v>
      </c>
      <c r="E1483" t="s">
        <v>553</v>
      </c>
      <c r="F1483" t="s">
        <v>554</v>
      </c>
      <c r="G1483" s="30">
        <v>46146</v>
      </c>
      <c r="H1483" t="s">
        <v>3662</v>
      </c>
      <c r="I1483">
        <v>1299586.75</v>
      </c>
      <c r="J1483" s="123">
        <v>46146</v>
      </c>
      <c r="K1483" s="123">
        <v>0</v>
      </c>
      <c r="L1483" s="123">
        <v>46146</v>
      </c>
      <c r="M1483">
        <v>0</v>
      </c>
      <c r="N1483">
        <v>0</v>
      </c>
      <c r="O1483" t="s">
        <v>556</v>
      </c>
      <c r="P1483" s="216">
        <v>40000</v>
      </c>
      <c r="Q1483" s="217" t="s">
        <v>15</v>
      </c>
      <c r="R1483" s="217" t="s">
        <v>554</v>
      </c>
      <c r="S1483" s="218">
        <v>0.43213198349398374</v>
      </c>
      <c r="T1483" t="s">
        <v>550</v>
      </c>
      <c r="U1483" t="s">
        <v>51</v>
      </c>
      <c r="V1483" s="219" t="s">
        <v>6663</v>
      </c>
      <c r="W1483" s="219" t="s">
        <v>67</v>
      </c>
    </row>
    <row r="1484" spans="1:23" ht="15" customHeight="1" x14ac:dyDescent="0.25">
      <c r="A1484" t="s">
        <v>3664</v>
      </c>
      <c r="B1484" t="s">
        <v>64</v>
      </c>
      <c r="C1484">
        <v>108252</v>
      </c>
      <c r="D1484" t="s">
        <v>3665</v>
      </c>
      <c r="E1484" t="s">
        <v>178</v>
      </c>
      <c r="F1484" t="s">
        <v>554</v>
      </c>
      <c r="G1484" s="30">
        <v>46146</v>
      </c>
      <c r="H1484" t="s">
        <v>3666</v>
      </c>
      <c r="I1484">
        <v>1082515</v>
      </c>
      <c r="J1484" s="123">
        <v>0</v>
      </c>
      <c r="K1484" s="123">
        <v>46146</v>
      </c>
      <c r="L1484" s="123">
        <v>0</v>
      </c>
      <c r="M1484">
        <v>0</v>
      </c>
      <c r="N1484">
        <v>0</v>
      </c>
      <c r="O1484" t="s">
        <v>556</v>
      </c>
      <c r="P1484" s="216">
        <v>108252</v>
      </c>
      <c r="Q1484" s="217" t="s">
        <v>32</v>
      </c>
      <c r="R1484" s="217" t="s">
        <v>554</v>
      </c>
      <c r="S1484" s="218">
        <v>0.50000230943682078</v>
      </c>
      <c r="T1484" t="s">
        <v>550</v>
      </c>
      <c r="U1484" t="s">
        <v>51</v>
      </c>
      <c r="V1484" s="219" t="s">
        <v>6664</v>
      </c>
      <c r="W1484" s="219" t="s">
        <v>67</v>
      </c>
    </row>
    <row r="1485" spans="1:23" ht="15" customHeight="1" x14ac:dyDescent="0.25">
      <c r="A1485" t="s">
        <v>3667</v>
      </c>
      <c r="B1485" t="s">
        <v>64</v>
      </c>
      <c r="C1485">
        <v>108252</v>
      </c>
      <c r="D1485" t="s">
        <v>3665</v>
      </c>
      <c r="E1485" t="s">
        <v>1126</v>
      </c>
      <c r="F1485" t="s">
        <v>580</v>
      </c>
      <c r="G1485" s="30">
        <v>46147</v>
      </c>
      <c r="H1485" t="s">
        <v>3666</v>
      </c>
      <c r="I1485">
        <v>1082515</v>
      </c>
      <c r="J1485" s="123">
        <v>0</v>
      </c>
      <c r="K1485" s="123">
        <v>46146</v>
      </c>
      <c r="L1485" s="123">
        <v>0</v>
      </c>
      <c r="M1485">
        <v>0</v>
      </c>
      <c r="N1485">
        <v>0</v>
      </c>
      <c r="O1485" t="s">
        <v>556</v>
      </c>
      <c r="P1485" s="216">
        <v>108252</v>
      </c>
      <c r="Q1485" s="217" t="s">
        <v>32</v>
      </c>
      <c r="R1485" s="217" t="s">
        <v>582</v>
      </c>
      <c r="S1485" s="218">
        <v>0.50000230943682078</v>
      </c>
      <c r="T1485" t="s">
        <v>550</v>
      </c>
      <c r="U1485" t="s">
        <v>51</v>
      </c>
      <c r="V1485" s="219">
        <v>0</v>
      </c>
      <c r="W1485" s="219">
        <v>0</v>
      </c>
    </row>
    <row r="1486" spans="1:23" ht="15" customHeight="1" x14ac:dyDescent="0.25">
      <c r="A1486" t="s">
        <v>3668</v>
      </c>
      <c r="B1486" t="s">
        <v>575</v>
      </c>
      <c r="C1486">
        <v>24045</v>
      </c>
      <c r="D1486" t="s">
        <v>3669</v>
      </c>
      <c r="E1486" t="s">
        <v>3670</v>
      </c>
      <c r="F1486" t="s">
        <v>554</v>
      </c>
      <c r="G1486" s="30">
        <v>46143</v>
      </c>
      <c r="H1486" t="s">
        <v>3671</v>
      </c>
      <c r="I1486">
        <v>1202252.7</v>
      </c>
      <c r="J1486" s="123">
        <v>0</v>
      </c>
      <c r="K1486" s="123">
        <v>0</v>
      </c>
      <c r="L1486" s="123">
        <v>46074</v>
      </c>
      <c r="M1486">
        <v>0</v>
      </c>
      <c r="N1486">
        <v>0</v>
      </c>
      <c r="O1486">
        <v>0</v>
      </c>
      <c r="P1486" s="216">
        <v>24045</v>
      </c>
      <c r="Q1486" s="217" t="s">
        <v>32</v>
      </c>
      <c r="R1486" s="217" t="s">
        <v>554</v>
      </c>
      <c r="S1486" s="218">
        <v>0.30813462926720814</v>
      </c>
      <c r="T1486" t="s">
        <v>550</v>
      </c>
      <c r="U1486" t="s">
        <v>51</v>
      </c>
      <c r="V1486" s="219" t="s">
        <v>6665</v>
      </c>
      <c r="W1486" s="219" t="s">
        <v>67</v>
      </c>
    </row>
    <row r="1487" spans="1:23" ht="15" customHeight="1" x14ac:dyDescent="0.25">
      <c r="A1487" t="s">
        <v>3672</v>
      </c>
      <c r="B1487" t="s">
        <v>595</v>
      </c>
      <c r="C1487">
        <v>84117</v>
      </c>
      <c r="D1487" t="s">
        <v>3673</v>
      </c>
      <c r="E1487" t="s">
        <v>178</v>
      </c>
      <c r="F1487" t="s">
        <v>580</v>
      </c>
      <c r="G1487" s="30">
        <v>46149</v>
      </c>
      <c r="H1487" t="s">
        <v>3674</v>
      </c>
      <c r="I1487">
        <v>1090757.5</v>
      </c>
      <c r="J1487" s="123">
        <v>0</v>
      </c>
      <c r="K1487" s="123">
        <v>0</v>
      </c>
      <c r="L1487" s="123">
        <v>46122</v>
      </c>
      <c r="M1487">
        <v>0</v>
      </c>
      <c r="N1487">
        <v>0</v>
      </c>
      <c r="O1487">
        <v>0</v>
      </c>
      <c r="P1487" s="216">
        <v>84117</v>
      </c>
      <c r="Q1487" s="217" t="s">
        <v>32</v>
      </c>
      <c r="R1487" s="217" t="s">
        <v>582</v>
      </c>
      <c r="S1487" s="218">
        <v>0.43319138305260335</v>
      </c>
      <c r="T1487" t="s">
        <v>550</v>
      </c>
      <c r="U1487" t="s">
        <v>51</v>
      </c>
      <c r="V1487" s="219">
        <v>0</v>
      </c>
      <c r="W1487" s="219">
        <v>0</v>
      </c>
    </row>
    <row r="1488" spans="1:23" ht="15" customHeight="1" x14ac:dyDescent="0.25">
      <c r="A1488" t="s">
        <v>3675</v>
      </c>
      <c r="B1488" t="s">
        <v>546</v>
      </c>
      <c r="C1488">
        <v>16499</v>
      </c>
      <c r="D1488" t="s">
        <v>3676</v>
      </c>
      <c r="E1488" t="s">
        <v>178</v>
      </c>
      <c r="F1488" t="s">
        <v>554</v>
      </c>
      <c r="G1488" s="30">
        <v>46143</v>
      </c>
      <c r="H1488" t="s">
        <v>3677</v>
      </c>
      <c r="I1488">
        <v>1315421.75</v>
      </c>
      <c r="J1488" s="123">
        <v>0</v>
      </c>
      <c r="K1488" s="123">
        <v>0</v>
      </c>
      <c r="L1488" s="123">
        <v>0</v>
      </c>
      <c r="M1488">
        <v>0</v>
      </c>
      <c r="N1488">
        <v>0</v>
      </c>
      <c r="O1488">
        <v>0</v>
      </c>
      <c r="P1488" s="216">
        <v>16499</v>
      </c>
      <c r="Q1488" s="217" t="s">
        <v>32</v>
      </c>
      <c r="R1488" s="217" t="s">
        <v>554</v>
      </c>
      <c r="S1488" s="218">
        <v>0.50000009502655707</v>
      </c>
      <c r="T1488" t="s">
        <v>550</v>
      </c>
      <c r="U1488" t="s">
        <v>51</v>
      </c>
      <c r="V1488" s="219" t="s">
        <v>6666</v>
      </c>
      <c r="W1488" s="219" t="s">
        <v>67</v>
      </c>
    </row>
    <row r="1489" spans="1:23" ht="15" customHeight="1" x14ac:dyDescent="0.25">
      <c r="A1489" t="s">
        <v>3678</v>
      </c>
      <c r="B1489" t="s">
        <v>546</v>
      </c>
      <c r="C1489">
        <v>65000</v>
      </c>
      <c r="D1489" t="s">
        <v>3676</v>
      </c>
      <c r="E1489" t="s">
        <v>178</v>
      </c>
      <c r="F1489" t="s">
        <v>554</v>
      </c>
      <c r="G1489" s="30">
        <v>46143</v>
      </c>
      <c r="H1489" t="s">
        <v>3677</v>
      </c>
      <c r="I1489">
        <v>1315421.75</v>
      </c>
      <c r="J1489" s="123">
        <v>0</v>
      </c>
      <c r="K1489" s="123">
        <v>0</v>
      </c>
      <c r="L1489" s="123">
        <v>0</v>
      </c>
      <c r="M1489">
        <v>0</v>
      </c>
      <c r="N1489">
        <v>0</v>
      </c>
      <c r="O1489">
        <v>0</v>
      </c>
      <c r="P1489" s="216">
        <v>65000</v>
      </c>
      <c r="Q1489" s="217" t="s">
        <v>32</v>
      </c>
      <c r="R1489" s="217" t="s">
        <v>554</v>
      </c>
      <c r="S1489" s="218">
        <v>0.50000009502655707</v>
      </c>
      <c r="T1489" t="s">
        <v>550</v>
      </c>
      <c r="U1489" t="s">
        <v>51</v>
      </c>
      <c r="V1489" s="219" t="s">
        <v>6667</v>
      </c>
      <c r="W1489" s="219" t="s">
        <v>67</v>
      </c>
    </row>
    <row r="1490" spans="1:23" ht="15" customHeight="1" x14ac:dyDescent="0.25">
      <c r="A1490" t="s">
        <v>3679</v>
      </c>
      <c r="B1490" t="s">
        <v>546</v>
      </c>
      <c r="C1490">
        <v>50000</v>
      </c>
      <c r="D1490" t="s">
        <v>3676</v>
      </c>
      <c r="E1490" t="s">
        <v>178</v>
      </c>
      <c r="F1490" t="s">
        <v>554</v>
      </c>
      <c r="G1490" s="30">
        <v>46143</v>
      </c>
      <c r="H1490" t="s">
        <v>3677</v>
      </c>
      <c r="I1490">
        <v>1315421.75</v>
      </c>
      <c r="J1490" s="123">
        <v>0</v>
      </c>
      <c r="K1490" s="123">
        <v>0</v>
      </c>
      <c r="L1490" s="123">
        <v>0</v>
      </c>
      <c r="M1490">
        <v>0</v>
      </c>
      <c r="N1490">
        <v>0</v>
      </c>
      <c r="O1490">
        <v>0</v>
      </c>
      <c r="P1490" s="216">
        <v>50000</v>
      </c>
      <c r="Q1490" s="217" t="s">
        <v>32</v>
      </c>
      <c r="R1490" s="217" t="s">
        <v>554</v>
      </c>
      <c r="S1490" s="218">
        <v>0.50000009502655707</v>
      </c>
      <c r="T1490" t="s">
        <v>550</v>
      </c>
      <c r="U1490" t="s">
        <v>51</v>
      </c>
      <c r="V1490" s="219" t="s">
        <v>6668</v>
      </c>
      <c r="W1490" s="219" t="s">
        <v>67</v>
      </c>
    </row>
    <row r="1491" spans="1:23" ht="15" customHeight="1" x14ac:dyDescent="0.25">
      <c r="A1491" t="s">
        <v>3680</v>
      </c>
      <c r="B1491" t="s">
        <v>546</v>
      </c>
      <c r="C1491">
        <v>131499</v>
      </c>
      <c r="D1491" t="s">
        <v>3676</v>
      </c>
      <c r="E1491" t="s">
        <v>178</v>
      </c>
      <c r="F1491" t="s">
        <v>548</v>
      </c>
      <c r="G1491" s="30">
        <v>46143</v>
      </c>
      <c r="H1491" t="s">
        <v>3677</v>
      </c>
      <c r="I1491">
        <v>1315421.75</v>
      </c>
      <c r="J1491" s="123">
        <v>0</v>
      </c>
      <c r="K1491" s="123">
        <v>0</v>
      </c>
      <c r="L1491" s="123">
        <v>0</v>
      </c>
      <c r="M1491">
        <v>0</v>
      </c>
      <c r="N1491">
        <v>0</v>
      </c>
      <c r="O1491">
        <v>0</v>
      </c>
      <c r="P1491" s="216">
        <v>131499</v>
      </c>
      <c r="Q1491" s="217" t="s">
        <v>32</v>
      </c>
      <c r="R1491" s="217" t="s">
        <v>62</v>
      </c>
      <c r="S1491" s="218">
        <v>0.50000009502655707</v>
      </c>
      <c r="T1491" t="s">
        <v>550</v>
      </c>
      <c r="U1491" t="s">
        <v>51</v>
      </c>
      <c r="V1491" s="219">
        <v>0</v>
      </c>
      <c r="W1491" s="219">
        <v>0</v>
      </c>
    </row>
    <row r="1492" spans="1:23" ht="15" customHeight="1" x14ac:dyDescent="0.25">
      <c r="A1492" t="s">
        <v>3681</v>
      </c>
      <c r="B1492" t="s">
        <v>595</v>
      </c>
      <c r="C1492">
        <v>108371.11</v>
      </c>
      <c r="D1492" t="s">
        <v>3682</v>
      </c>
      <c r="E1492" t="s">
        <v>178</v>
      </c>
      <c r="F1492" t="s">
        <v>554</v>
      </c>
      <c r="G1492" s="30">
        <v>46148</v>
      </c>
      <c r="H1492" t="s">
        <v>3683</v>
      </c>
      <c r="I1492">
        <v>1083710.75</v>
      </c>
      <c r="J1492" s="123">
        <v>0</v>
      </c>
      <c r="K1492" s="123">
        <v>0</v>
      </c>
      <c r="L1492" s="123">
        <v>46129</v>
      </c>
      <c r="M1492">
        <v>0</v>
      </c>
      <c r="N1492">
        <v>0</v>
      </c>
      <c r="O1492">
        <v>0</v>
      </c>
      <c r="P1492" s="216">
        <v>108371.11</v>
      </c>
      <c r="Q1492" s="217" t="s">
        <v>32</v>
      </c>
      <c r="R1492" s="217" t="s">
        <v>554</v>
      </c>
      <c r="S1492" s="218">
        <v>0.40041096759444345</v>
      </c>
      <c r="T1492" t="s">
        <v>550</v>
      </c>
      <c r="U1492" t="s">
        <v>51</v>
      </c>
      <c r="V1492" s="219">
        <v>0</v>
      </c>
      <c r="W1492" s="219" t="s">
        <v>72</v>
      </c>
    </row>
    <row r="1493" spans="1:23" ht="15" customHeight="1" x14ac:dyDescent="0.25">
      <c r="A1493" t="s">
        <v>3684</v>
      </c>
      <c r="B1493" t="s">
        <v>546</v>
      </c>
      <c r="C1493">
        <v>46500</v>
      </c>
      <c r="D1493" t="s">
        <v>3685</v>
      </c>
      <c r="E1493" t="s">
        <v>3686</v>
      </c>
      <c r="F1493" t="s">
        <v>554</v>
      </c>
      <c r="G1493" s="30">
        <v>46145</v>
      </c>
      <c r="H1493" t="s">
        <v>3687</v>
      </c>
      <c r="I1493">
        <v>10607498</v>
      </c>
      <c r="J1493" s="123">
        <v>0</v>
      </c>
      <c r="K1493" s="123">
        <v>0</v>
      </c>
      <c r="L1493" s="123">
        <v>0</v>
      </c>
      <c r="M1493">
        <v>0</v>
      </c>
      <c r="N1493">
        <v>0</v>
      </c>
      <c r="O1493">
        <v>0</v>
      </c>
      <c r="P1493" s="216">
        <v>46500</v>
      </c>
      <c r="Q1493" s="217" t="s">
        <v>10</v>
      </c>
      <c r="R1493" s="217" t="s">
        <v>554</v>
      </c>
      <c r="S1493" s="218">
        <v>0.4093802327372581</v>
      </c>
      <c r="T1493" t="s">
        <v>550</v>
      </c>
      <c r="U1493" t="s">
        <v>74</v>
      </c>
      <c r="V1493" s="219" t="s">
        <v>6669</v>
      </c>
      <c r="W1493" s="219" t="s">
        <v>67</v>
      </c>
    </row>
    <row r="1494" spans="1:23" ht="15" customHeight="1" x14ac:dyDescent="0.25">
      <c r="A1494" t="s">
        <v>3688</v>
      </c>
      <c r="B1494" t="s">
        <v>546</v>
      </c>
      <c r="C1494">
        <v>100000</v>
      </c>
      <c r="D1494" t="s">
        <v>3685</v>
      </c>
      <c r="E1494" t="s">
        <v>553</v>
      </c>
      <c r="F1494" t="s">
        <v>554</v>
      </c>
      <c r="G1494" s="30">
        <v>46149</v>
      </c>
      <c r="H1494" t="s">
        <v>3687</v>
      </c>
      <c r="I1494">
        <v>10607498</v>
      </c>
      <c r="J1494" s="123">
        <v>46149</v>
      </c>
      <c r="K1494" s="123">
        <v>0</v>
      </c>
      <c r="L1494" s="123">
        <v>46149</v>
      </c>
      <c r="M1494">
        <v>0</v>
      </c>
      <c r="N1494">
        <v>0</v>
      </c>
      <c r="O1494" t="s">
        <v>556</v>
      </c>
      <c r="P1494" s="216">
        <v>100000</v>
      </c>
      <c r="Q1494" s="217" t="s">
        <v>10</v>
      </c>
      <c r="R1494" s="217" t="s">
        <v>554</v>
      </c>
      <c r="S1494" s="218">
        <v>0.4093802327372581</v>
      </c>
      <c r="T1494" t="s">
        <v>550</v>
      </c>
      <c r="U1494" t="s">
        <v>74</v>
      </c>
      <c r="V1494" s="219" t="s">
        <v>6670</v>
      </c>
      <c r="W1494" s="219" t="s">
        <v>67</v>
      </c>
    </row>
    <row r="1495" spans="1:23" ht="15" customHeight="1" x14ac:dyDescent="0.25">
      <c r="A1495" t="s">
        <v>3689</v>
      </c>
      <c r="B1495" t="s">
        <v>546</v>
      </c>
      <c r="C1495">
        <v>5525</v>
      </c>
      <c r="D1495" t="s">
        <v>3690</v>
      </c>
      <c r="E1495" t="s">
        <v>553</v>
      </c>
      <c r="F1495" t="s">
        <v>554</v>
      </c>
      <c r="G1495" s="30">
        <v>46148</v>
      </c>
      <c r="H1495" t="s">
        <v>3691</v>
      </c>
      <c r="I1495">
        <v>10746494</v>
      </c>
      <c r="J1495" s="123">
        <v>46148</v>
      </c>
      <c r="K1495" s="123">
        <v>0</v>
      </c>
      <c r="L1495" s="123">
        <v>46148</v>
      </c>
      <c r="M1495">
        <v>0</v>
      </c>
      <c r="N1495">
        <v>0</v>
      </c>
      <c r="O1495" t="s">
        <v>556</v>
      </c>
      <c r="P1495" s="216">
        <v>5525</v>
      </c>
      <c r="Q1495" s="217" t="s">
        <v>8</v>
      </c>
      <c r="R1495" s="217" t="s">
        <v>554</v>
      </c>
      <c r="S1495" s="218">
        <v>0.15107615562805879</v>
      </c>
      <c r="T1495" t="s">
        <v>550</v>
      </c>
      <c r="U1495" t="s">
        <v>74</v>
      </c>
      <c r="V1495" s="219" t="s">
        <v>6671</v>
      </c>
      <c r="W1495" s="219" t="s">
        <v>67</v>
      </c>
    </row>
    <row r="1496" spans="1:23" ht="15" customHeight="1" x14ac:dyDescent="0.25">
      <c r="A1496" t="s">
        <v>3692</v>
      </c>
      <c r="B1496" t="s">
        <v>595</v>
      </c>
      <c r="C1496">
        <v>268662.5</v>
      </c>
      <c r="D1496" t="s">
        <v>3693</v>
      </c>
      <c r="E1496" t="s">
        <v>263</v>
      </c>
      <c r="F1496" t="s">
        <v>580</v>
      </c>
      <c r="G1496" s="30">
        <v>46149</v>
      </c>
      <c r="H1496" t="s">
        <v>3694</v>
      </c>
      <c r="I1496">
        <v>10746494</v>
      </c>
      <c r="J1496" s="123">
        <v>0</v>
      </c>
      <c r="K1496" s="123">
        <v>0</v>
      </c>
      <c r="L1496" s="123">
        <v>46149</v>
      </c>
      <c r="M1496">
        <v>0</v>
      </c>
      <c r="N1496">
        <v>0</v>
      </c>
      <c r="O1496">
        <v>0</v>
      </c>
      <c r="P1496" s="216">
        <v>268662.5</v>
      </c>
      <c r="Q1496" s="217" t="s">
        <v>8</v>
      </c>
      <c r="R1496" s="217" t="s">
        <v>582</v>
      </c>
      <c r="S1496" s="218">
        <v>0.20099504080121386</v>
      </c>
      <c r="T1496" t="s">
        <v>550</v>
      </c>
      <c r="U1496" t="s">
        <v>74</v>
      </c>
      <c r="V1496" s="219">
        <v>0</v>
      </c>
      <c r="W1496" s="219">
        <v>0</v>
      </c>
    </row>
    <row r="1497" spans="1:23" ht="15" customHeight="1" x14ac:dyDescent="0.25">
      <c r="A1497" t="s">
        <v>3695</v>
      </c>
      <c r="B1497" t="s">
        <v>595</v>
      </c>
      <c r="C1497">
        <v>268662.5</v>
      </c>
      <c r="D1497" t="s">
        <v>3693</v>
      </c>
      <c r="E1497" t="s">
        <v>263</v>
      </c>
      <c r="F1497" t="s">
        <v>580</v>
      </c>
      <c r="G1497" s="30">
        <v>46149</v>
      </c>
      <c r="H1497" t="s">
        <v>3694</v>
      </c>
      <c r="I1497">
        <v>10746494</v>
      </c>
      <c r="J1497" s="123">
        <v>0</v>
      </c>
      <c r="K1497" s="123">
        <v>0</v>
      </c>
      <c r="L1497" s="123">
        <v>46148</v>
      </c>
      <c r="M1497">
        <v>0</v>
      </c>
      <c r="N1497">
        <v>0</v>
      </c>
      <c r="O1497">
        <v>0</v>
      </c>
      <c r="P1497" s="216">
        <v>268662.5</v>
      </c>
      <c r="Q1497" s="217" t="s">
        <v>8</v>
      </c>
      <c r="R1497" s="217" t="s">
        <v>582</v>
      </c>
      <c r="S1497" s="218">
        <v>0.20099504080121386</v>
      </c>
      <c r="T1497" t="s">
        <v>550</v>
      </c>
      <c r="U1497" t="s">
        <v>74</v>
      </c>
      <c r="V1497" s="219">
        <v>0</v>
      </c>
      <c r="W1497" s="219">
        <v>0</v>
      </c>
    </row>
    <row r="1498" spans="1:23" ht="15" customHeight="1" x14ac:dyDescent="0.25">
      <c r="A1498" t="s">
        <v>3696</v>
      </c>
      <c r="B1498" t="s">
        <v>546</v>
      </c>
      <c r="C1498">
        <v>533865</v>
      </c>
      <c r="D1498" t="s">
        <v>3697</v>
      </c>
      <c r="E1498" t="s">
        <v>553</v>
      </c>
      <c r="F1498" t="s">
        <v>548</v>
      </c>
      <c r="G1498" s="30">
        <v>46147</v>
      </c>
      <c r="H1498" t="s">
        <v>3698</v>
      </c>
      <c r="I1498">
        <v>5338651.5</v>
      </c>
      <c r="J1498" s="123">
        <v>46147</v>
      </c>
      <c r="K1498" s="123">
        <v>0</v>
      </c>
      <c r="L1498" s="123">
        <v>46147</v>
      </c>
      <c r="M1498">
        <v>0</v>
      </c>
      <c r="N1498">
        <v>0</v>
      </c>
      <c r="O1498" t="s">
        <v>556</v>
      </c>
      <c r="P1498" s="216">
        <v>533865</v>
      </c>
      <c r="Q1498" s="217" t="s">
        <v>22</v>
      </c>
      <c r="R1498" s="217" t="s">
        <v>62</v>
      </c>
      <c r="S1498" s="218">
        <v>0.38429086446268312</v>
      </c>
      <c r="T1498" t="s">
        <v>550</v>
      </c>
      <c r="U1498" t="s">
        <v>51</v>
      </c>
      <c r="V1498" s="219">
        <v>0</v>
      </c>
      <c r="W1498" s="219">
        <v>0</v>
      </c>
    </row>
    <row r="1499" spans="1:23" ht="15" customHeight="1" x14ac:dyDescent="0.25">
      <c r="A1499" t="s">
        <v>3699</v>
      </c>
      <c r="B1499" t="s">
        <v>546</v>
      </c>
      <c r="C1499">
        <v>100000</v>
      </c>
      <c r="D1499" t="s">
        <v>3697</v>
      </c>
      <c r="E1499" t="s">
        <v>553</v>
      </c>
      <c r="F1499" t="s">
        <v>554</v>
      </c>
      <c r="G1499" s="30">
        <v>46147</v>
      </c>
      <c r="H1499" t="s">
        <v>3698</v>
      </c>
      <c r="I1499">
        <v>5338651.5</v>
      </c>
      <c r="J1499" s="123">
        <v>46147</v>
      </c>
      <c r="K1499" s="123">
        <v>0</v>
      </c>
      <c r="L1499" s="123">
        <v>46147</v>
      </c>
      <c r="M1499">
        <v>0</v>
      </c>
      <c r="N1499">
        <v>0</v>
      </c>
      <c r="O1499" t="s">
        <v>556</v>
      </c>
      <c r="P1499" s="216">
        <v>100000</v>
      </c>
      <c r="Q1499" s="217" t="s">
        <v>22</v>
      </c>
      <c r="R1499" s="217" t="s">
        <v>554</v>
      </c>
      <c r="S1499" s="218">
        <v>0.38429086446268312</v>
      </c>
      <c r="T1499" t="s">
        <v>550</v>
      </c>
      <c r="U1499" t="s">
        <v>51</v>
      </c>
      <c r="V1499" s="219" t="s">
        <v>6672</v>
      </c>
      <c r="W1499" s="219" t="s">
        <v>67</v>
      </c>
    </row>
    <row r="1500" spans="1:23" ht="15" customHeight="1" x14ac:dyDescent="0.25">
      <c r="A1500" t="s">
        <v>3700</v>
      </c>
      <c r="B1500" t="s">
        <v>546</v>
      </c>
      <c r="C1500">
        <v>150000</v>
      </c>
      <c r="D1500" t="s">
        <v>3697</v>
      </c>
      <c r="E1500" t="s">
        <v>553</v>
      </c>
      <c r="F1500" t="s">
        <v>548</v>
      </c>
      <c r="G1500" s="30">
        <v>46147</v>
      </c>
      <c r="H1500" t="s">
        <v>3698</v>
      </c>
      <c r="I1500">
        <v>5338651.5</v>
      </c>
      <c r="J1500" s="123">
        <v>46147</v>
      </c>
      <c r="K1500" s="123">
        <v>0</v>
      </c>
      <c r="L1500" s="123">
        <v>46147</v>
      </c>
      <c r="M1500">
        <v>0</v>
      </c>
      <c r="N1500">
        <v>0</v>
      </c>
      <c r="O1500" t="s">
        <v>556</v>
      </c>
      <c r="P1500" s="216">
        <v>150000</v>
      </c>
      <c r="Q1500" s="217" t="s">
        <v>22</v>
      </c>
      <c r="R1500" s="217" t="s">
        <v>62</v>
      </c>
      <c r="S1500" s="218">
        <v>0.38429086446268312</v>
      </c>
      <c r="T1500" t="s">
        <v>550</v>
      </c>
      <c r="U1500" t="s">
        <v>51</v>
      </c>
      <c r="V1500" s="219">
        <v>0</v>
      </c>
      <c r="W1500" s="219">
        <v>0</v>
      </c>
    </row>
    <row r="1501" spans="1:23" ht="15" customHeight="1" x14ac:dyDescent="0.25">
      <c r="A1501" t="s">
        <v>3701</v>
      </c>
      <c r="B1501" t="s">
        <v>546</v>
      </c>
      <c r="C1501">
        <v>150000</v>
      </c>
      <c r="D1501" t="s">
        <v>3697</v>
      </c>
      <c r="E1501" t="s">
        <v>553</v>
      </c>
      <c r="F1501" t="s">
        <v>548</v>
      </c>
      <c r="G1501" s="30">
        <v>46147</v>
      </c>
      <c r="H1501" t="s">
        <v>3698</v>
      </c>
      <c r="I1501">
        <v>5338651.5</v>
      </c>
      <c r="J1501" s="123">
        <v>46147</v>
      </c>
      <c r="K1501" s="123">
        <v>0</v>
      </c>
      <c r="L1501" s="123">
        <v>46147</v>
      </c>
      <c r="M1501">
        <v>0</v>
      </c>
      <c r="N1501">
        <v>0</v>
      </c>
      <c r="O1501" t="s">
        <v>556</v>
      </c>
      <c r="P1501" s="216">
        <v>150000</v>
      </c>
      <c r="Q1501" s="217" t="s">
        <v>22</v>
      </c>
      <c r="R1501" s="217" t="s">
        <v>62</v>
      </c>
      <c r="S1501" s="218">
        <v>0.38429086446268312</v>
      </c>
      <c r="T1501" t="s">
        <v>550</v>
      </c>
      <c r="U1501" t="s">
        <v>51</v>
      </c>
      <c r="V1501" s="219">
        <v>0</v>
      </c>
      <c r="W1501" s="219">
        <v>0</v>
      </c>
    </row>
    <row r="1502" spans="1:23" ht="15" customHeight="1" x14ac:dyDescent="0.25">
      <c r="A1502" t="s">
        <v>3702</v>
      </c>
      <c r="B1502" t="s">
        <v>546</v>
      </c>
      <c r="C1502">
        <v>200000</v>
      </c>
      <c r="D1502" t="s">
        <v>3697</v>
      </c>
      <c r="E1502" t="s">
        <v>553</v>
      </c>
      <c r="F1502" t="s">
        <v>554</v>
      </c>
      <c r="G1502" s="30">
        <v>46147</v>
      </c>
      <c r="H1502" t="s">
        <v>3698</v>
      </c>
      <c r="I1502">
        <v>5338651.5</v>
      </c>
      <c r="J1502" s="123">
        <v>46147</v>
      </c>
      <c r="K1502" s="123">
        <v>0</v>
      </c>
      <c r="L1502" s="123">
        <v>46147</v>
      </c>
      <c r="M1502">
        <v>0</v>
      </c>
      <c r="N1502">
        <v>0</v>
      </c>
      <c r="O1502" t="s">
        <v>556</v>
      </c>
      <c r="P1502" s="216">
        <v>200000</v>
      </c>
      <c r="Q1502" s="217" t="s">
        <v>22</v>
      </c>
      <c r="R1502" s="217" t="s">
        <v>554</v>
      </c>
      <c r="S1502" s="218">
        <v>0.38429086446268312</v>
      </c>
      <c r="T1502" t="s">
        <v>550</v>
      </c>
      <c r="U1502" t="s">
        <v>51</v>
      </c>
      <c r="V1502" s="219" t="s">
        <v>6673</v>
      </c>
      <c r="W1502" s="219" t="s">
        <v>67</v>
      </c>
    </row>
    <row r="1503" spans="1:23" ht="15" customHeight="1" x14ac:dyDescent="0.25">
      <c r="A1503" t="s">
        <v>3703</v>
      </c>
      <c r="B1503" t="s">
        <v>546</v>
      </c>
      <c r="C1503">
        <v>533865</v>
      </c>
      <c r="D1503" t="s">
        <v>3697</v>
      </c>
      <c r="E1503" t="s">
        <v>553</v>
      </c>
      <c r="F1503" t="s">
        <v>548</v>
      </c>
      <c r="G1503" s="30">
        <v>46147</v>
      </c>
      <c r="H1503" t="s">
        <v>3698</v>
      </c>
      <c r="I1503">
        <v>5338651.5</v>
      </c>
      <c r="J1503" s="123">
        <v>46147</v>
      </c>
      <c r="K1503" s="123">
        <v>0</v>
      </c>
      <c r="L1503" s="123">
        <v>46147</v>
      </c>
      <c r="M1503">
        <v>0</v>
      </c>
      <c r="N1503">
        <v>0</v>
      </c>
      <c r="O1503" t="s">
        <v>556</v>
      </c>
      <c r="P1503" s="216">
        <v>533865</v>
      </c>
      <c r="Q1503" s="217" t="s">
        <v>22</v>
      </c>
      <c r="R1503" s="217" t="s">
        <v>62</v>
      </c>
      <c r="S1503" s="218">
        <v>0.38429086446268312</v>
      </c>
      <c r="T1503" t="s">
        <v>550</v>
      </c>
      <c r="U1503" t="s">
        <v>51</v>
      </c>
      <c r="V1503" s="219">
        <v>0</v>
      </c>
      <c r="W1503" s="219">
        <v>0</v>
      </c>
    </row>
    <row r="1504" spans="1:23" ht="15" customHeight="1" x14ac:dyDescent="0.25">
      <c r="A1504" t="s">
        <v>3704</v>
      </c>
      <c r="B1504" t="s">
        <v>546</v>
      </c>
      <c r="C1504">
        <v>83865</v>
      </c>
      <c r="D1504" t="s">
        <v>3697</v>
      </c>
      <c r="E1504" t="s">
        <v>553</v>
      </c>
      <c r="F1504" t="s">
        <v>548</v>
      </c>
      <c r="G1504" s="30">
        <v>46149</v>
      </c>
      <c r="H1504" t="s">
        <v>3698</v>
      </c>
      <c r="I1504">
        <v>5338651.5</v>
      </c>
      <c r="J1504" s="123">
        <v>46149</v>
      </c>
      <c r="K1504" s="123">
        <v>0</v>
      </c>
      <c r="L1504" s="123">
        <v>46149</v>
      </c>
      <c r="M1504">
        <v>0</v>
      </c>
      <c r="N1504">
        <v>0</v>
      </c>
      <c r="O1504" t="s">
        <v>556</v>
      </c>
      <c r="P1504" s="216">
        <v>83865</v>
      </c>
      <c r="Q1504" s="217" t="s">
        <v>22</v>
      </c>
      <c r="R1504" s="217" t="s">
        <v>62</v>
      </c>
      <c r="S1504" s="218">
        <v>0.38429086446268312</v>
      </c>
      <c r="T1504" t="s">
        <v>550</v>
      </c>
      <c r="U1504" t="s">
        <v>51</v>
      </c>
      <c r="V1504" s="219">
        <v>0</v>
      </c>
      <c r="W1504" s="219">
        <v>0</v>
      </c>
    </row>
    <row r="1505" spans="1:23" ht="15" customHeight="1" x14ac:dyDescent="0.25">
      <c r="A1505" t="s">
        <v>3705</v>
      </c>
      <c r="B1505" t="s">
        <v>546</v>
      </c>
      <c r="C1505">
        <v>150000</v>
      </c>
      <c r="D1505" t="s">
        <v>3697</v>
      </c>
      <c r="E1505" t="s">
        <v>553</v>
      </c>
      <c r="F1505" t="s">
        <v>554</v>
      </c>
      <c r="G1505" s="30">
        <v>46148</v>
      </c>
      <c r="H1505" t="s">
        <v>3698</v>
      </c>
      <c r="I1505">
        <v>5338651.5</v>
      </c>
      <c r="J1505" s="123">
        <v>46148</v>
      </c>
      <c r="K1505" s="123">
        <v>0</v>
      </c>
      <c r="L1505" s="123">
        <v>46148</v>
      </c>
      <c r="M1505">
        <v>0</v>
      </c>
      <c r="N1505">
        <v>0</v>
      </c>
      <c r="O1505" t="s">
        <v>556</v>
      </c>
      <c r="P1505" s="216">
        <v>150000</v>
      </c>
      <c r="Q1505" s="217" t="s">
        <v>22</v>
      </c>
      <c r="R1505" s="217" t="s">
        <v>554</v>
      </c>
      <c r="S1505" s="218">
        <v>0.38429086446268312</v>
      </c>
      <c r="T1505" t="s">
        <v>550</v>
      </c>
      <c r="U1505" t="s">
        <v>51</v>
      </c>
      <c r="V1505" s="219" t="s">
        <v>6674</v>
      </c>
      <c r="W1505" s="219" t="s">
        <v>67</v>
      </c>
    </row>
    <row r="1506" spans="1:23" ht="15" customHeight="1" x14ac:dyDescent="0.25">
      <c r="A1506" t="s">
        <v>3706</v>
      </c>
      <c r="B1506" t="s">
        <v>595</v>
      </c>
      <c r="C1506">
        <v>28250.46</v>
      </c>
      <c r="D1506" t="s">
        <v>3707</v>
      </c>
      <c r="E1506" t="s">
        <v>268</v>
      </c>
      <c r="F1506" t="s">
        <v>580</v>
      </c>
      <c r="G1506" s="30">
        <v>46149</v>
      </c>
      <c r="H1506" t="s">
        <v>3708</v>
      </c>
      <c r="I1506">
        <v>1173695.25</v>
      </c>
      <c r="J1506" s="123">
        <v>0</v>
      </c>
      <c r="K1506" s="123">
        <v>0</v>
      </c>
      <c r="L1506" s="123">
        <v>46149</v>
      </c>
      <c r="M1506">
        <v>0</v>
      </c>
      <c r="N1506">
        <v>0</v>
      </c>
      <c r="O1506">
        <v>0</v>
      </c>
      <c r="P1506" s="216">
        <v>28250.46</v>
      </c>
      <c r="Q1506" s="217" t="s">
        <v>10</v>
      </c>
      <c r="R1506" s="217" t="s">
        <v>582</v>
      </c>
      <c r="S1506" s="218">
        <v>0.3769253304893242</v>
      </c>
      <c r="T1506" t="s">
        <v>550</v>
      </c>
      <c r="U1506" t="s">
        <v>74</v>
      </c>
      <c r="V1506" s="219">
        <v>0</v>
      </c>
      <c r="W1506" s="219">
        <v>0</v>
      </c>
    </row>
    <row r="1507" spans="1:23" ht="15" customHeight="1" x14ac:dyDescent="0.25">
      <c r="A1507" t="s">
        <v>3709</v>
      </c>
      <c r="B1507" t="s">
        <v>595</v>
      </c>
      <c r="C1507">
        <v>705881</v>
      </c>
      <c r="D1507" t="s">
        <v>3710</v>
      </c>
      <c r="E1507" t="s">
        <v>288</v>
      </c>
      <c r="F1507" t="s">
        <v>554</v>
      </c>
      <c r="G1507" s="30">
        <v>46148</v>
      </c>
      <c r="H1507" t="s">
        <v>3711</v>
      </c>
      <c r="I1507">
        <v>2352936.25</v>
      </c>
      <c r="J1507" s="123">
        <v>0</v>
      </c>
      <c r="K1507" s="123">
        <v>0</v>
      </c>
      <c r="L1507" s="123">
        <v>46148</v>
      </c>
      <c r="M1507">
        <v>0</v>
      </c>
      <c r="N1507">
        <v>0</v>
      </c>
      <c r="O1507">
        <v>0</v>
      </c>
      <c r="P1507" s="216">
        <v>705881</v>
      </c>
      <c r="Q1507" s="217" t="s">
        <v>48</v>
      </c>
      <c r="R1507" s="217" t="s">
        <v>554</v>
      </c>
      <c r="S1507" s="218">
        <v>0.30168741715802966</v>
      </c>
      <c r="T1507" t="s">
        <v>550</v>
      </c>
      <c r="U1507" t="s">
        <v>74</v>
      </c>
      <c r="V1507" s="219">
        <v>0</v>
      </c>
      <c r="W1507" s="219" t="s">
        <v>72</v>
      </c>
    </row>
    <row r="1508" spans="1:23" ht="15" customHeight="1" x14ac:dyDescent="0.25">
      <c r="A1508" t="s">
        <v>3712</v>
      </c>
      <c r="B1508" t="s">
        <v>595</v>
      </c>
      <c r="C1508">
        <v>149407</v>
      </c>
      <c r="D1508" t="s">
        <v>3713</v>
      </c>
      <c r="E1508" t="s">
        <v>268</v>
      </c>
      <c r="F1508" t="s">
        <v>554</v>
      </c>
      <c r="G1508" s="30">
        <v>46146</v>
      </c>
      <c r="H1508" t="s">
        <v>3714</v>
      </c>
      <c r="I1508">
        <v>1494067.5</v>
      </c>
      <c r="J1508" s="123">
        <v>0</v>
      </c>
      <c r="K1508" s="123">
        <v>0</v>
      </c>
      <c r="L1508" s="123">
        <v>46143</v>
      </c>
      <c r="M1508">
        <v>0</v>
      </c>
      <c r="N1508">
        <v>0</v>
      </c>
      <c r="O1508">
        <v>0</v>
      </c>
      <c r="P1508" s="216">
        <v>149407</v>
      </c>
      <c r="Q1508" s="217" t="s">
        <v>10</v>
      </c>
      <c r="R1508" s="217" t="s">
        <v>554</v>
      </c>
      <c r="S1508" s="218">
        <v>0.42583551278640358</v>
      </c>
      <c r="T1508" t="s">
        <v>550</v>
      </c>
      <c r="U1508" t="s">
        <v>74</v>
      </c>
      <c r="V1508" s="219" t="s">
        <v>6675</v>
      </c>
      <c r="W1508" s="219" t="s">
        <v>67</v>
      </c>
    </row>
    <row r="1509" spans="1:23" ht="15" customHeight="1" x14ac:dyDescent="0.25">
      <c r="A1509" t="s">
        <v>3715</v>
      </c>
      <c r="B1509" t="s">
        <v>546</v>
      </c>
      <c r="C1509">
        <v>44000</v>
      </c>
      <c r="D1509" t="s">
        <v>3713</v>
      </c>
      <c r="E1509" t="s">
        <v>288</v>
      </c>
      <c r="F1509" t="s">
        <v>554</v>
      </c>
      <c r="G1509" s="30">
        <v>46148</v>
      </c>
      <c r="H1509" t="s">
        <v>3714</v>
      </c>
      <c r="I1509">
        <v>1494067.5</v>
      </c>
      <c r="J1509" s="123">
        <v>0</v>
      </c>
      <c r="K1509" s="123">
        <v>0</v>
      </c>
      <c r="L1509" s="123">
        <v>0</v>
      </c>
      <c r="M1509">
        <v>0</v>
      </c>
      <c r="N1509">
        <v>0</v>
      </c>
      <c r="O1509">
        <v>0</v>
      </c>
      <c r="P1509" s="216">
        <v>44000</v>
      </c>
      <c r="Q1509" s="217" t="s">
        <v>48</v>
      </c>
      <c r="R1509" s="217" t="s">
        <v>554</v>
      </c>
      <c r="S1509" s="218">
        <v>0.42583551278640358</v>
      </c>
      <c r="T1509" t="s">
        <v>550</v>
      </c>
      <c r="U1509" t="s">
        <v>74</v>
      </c>
      <c r="V1509" s="219" t="s">
        <v>6676</v>
      </c>
      <c r="W1509" s="219" t="s">
        <v>67</v>
      </c>
    </row>
    <row r="1510" spans="1:23" ht="15" customHeight="1" x14ac:dyDescent="0.25">
      <c r="A1510" t="s">
        <v>3716</v>
      </c>
      <c r="B1510" t="s">
        <v>575</v>
      </c>
      <c r="C1510">
        <v>116008</v>
      </c>
      <c r="D1510" t="s">
        <v>3717</v>
      </c>
      <c r="E1510" t="s">
        <v>268</v>
      </c>
      <c r="F1510" t="s">
        <v>585</v>
      </c>
      <c r="G1510" s="30">
        <v>46145</v>
      </c>
      <c r="H1510" t="s">
        <v>3718</v>
      </c>
      <c r="I1510">
        <v>1160077.5</v>
      </c>
      <c r="J1510" s="123">
        <v>0</v>
      </c>
      <c r="K1510" s="123">
        <v>0</v>
      </c>
      <c r="L1510" s="123">
        <v>46145</v>
      </c>
      <c r="M1510">
        <v>0</v>
      </c>
      <c r="N1510">
        <v>0</v>
      </c>
      <c r="O1510">
        <v>0</v>
      </c>
      <c r="P1510" s="216">
        <v>116008</v>
      </c>
      <c r="Q1510" s="217" t="s">
        <v>10</v>
      </c>
      <c r="R1510" s="217" t="s">
        <v>61</v>
      </c>
      <c r="S1510" s="218">
        <v>0.4</v>
      </c>
      <c r="T1510" t="s">
        <v>550</v>
      </c>
      <c r="U1510" t="s">
        <v>74</v>
      </c>
      <c r="V1510" s="219">
        <v>0</v>
      </c>
      <c r="W1510" s="219">
        <v>0</v>
      </c>
    </row>
    <row r="1511" spans="1:23" ht="15" customHeight="1" x14ac:dyDescent="0.25">
      <c r="A1511" t="s">
        <v>3719</v>
      </c>
      <c r="B1511" t="s">
        <v>575</v>
      </c>
      <c r="C1511">
        <v>116008</v>
      </c>
      <c r="D1511" t="s">
        <v>3720</v>
      </c>
      <c r="E1511" t="s">
        <v>268</v>
      </c>
      <c r="F1511" t="s">
        <v>554</v>
      </c>
      <c r="G1511" s="30">
        <v>46144</v>
      </c>
      <c r="H1511" t="s">
        <v>3721</v>
      </c>
      <c r="I1511">
        <v>1160077.5</v>
      </c>
      <c r="J1511" s="123">
        <v>0</v>
      </c>
      <c r="K1511" s="123">
        <v>0</v>
      </c>
      <c r="L1511" s="123">
        <v>46144</v>
      </c>
      <c r="M1511">
        <v>0</v>
      </c>
      <c r="N1511">
        <v>0</v>
      </c>
      <c r="O1511">
        <v>0</v>
      </c>
      <c r="P1511" s="216">
        <v>116008</v>
      </c>
      <c r="Q1511" s="217" t="s">
        <v>10</v>
      </c>
      <c r="R1511" s="217" t="s">
        <v>554</v>
      </c>
      <c r="S1511" s="218">
        <v>0.50000129301706131</v>
      </c>
      <c r="T1511" t="s">
        <v>550</v>
      </c>
      <c r="U1511" t="s">
        <v>74</v>
      </c>
      <c r="V1511" s="219" t="s">
        <v>6677</v>
      </c>
      <c r="W1511" s="219" t="s">
        <v>67</v>
      </c>
    </row>
    <row r="1512" spans="1:23" ht="15" customHeight="1" x14ac:dyDescent="0.25">
      <c r="A1512" t="s">
        <v>3722</v>
      </c>
      <c r="B1512" t="s">
        <v>595</v>
      </c>
      <c r="C1512">
        <v>116755</v>
      </c>
      <c r="D1512" t="s">
        <v>3723</v>
      </c>
      <c r="E1512" t="s">
        <v>268</v>
      </c>
      <c r="F1512" t="s">
        <v>554</v>
      </c>
      <c r="G1512" s="30">
        <v>46148</v>
      </c>
      <c r="H1512" t="s">
        <v>3724</v>
      </c>
      <c r="I1512">
        <v>1172967.25</v>
      </c>
      <c r="J1512" s="123">
        <v>0</v>
      </c>
      <c r="K1512" s="123">
        <v>0</v>
      </c>
      <c r="L1512" s="123">
        <v>46141</v>
      </c>
      <c r="M1512">
        <v>0</v>
      </c>
      <c r="N1512">
        <v>0</v>
      </c>
      <c r="O1512">
        <v>0</v>
      </c>
      <c r="P1512" s="216">
        <v>116755</v>
      </c>
      <c r="Q1512" s="217" t="s">
        <v>10</v>
      </c>
      <c r="R1512" s="217" t="s">
        <v>554</v>
      </c>
      <c r="S1512" s="218">
        <v>0.50097382514302935</v>
      </c>
      <c r="T1512" t="s">
        <v>550</v>
      </c>
      <c r="U1512" t="s">
        <v>74</v>
      </c>
      <c r="V1512" s="219" t="s">
        <v>6678</v>
      </c>
      <c r="W1512" s="219" t="s">
        <v>67</v>
      </c>
    </row>
    <row r="1513" spans="1:23" ht="15" customHeight="1" x14ac:dyDescent="0.25">
      <c r="A1513" t="s">
        <v>3725</v>
      </c>
      <c r="B1513" t="s">
        <v>575</v>
      </c>
      <c r="C1513">
        <v>114552</v>
      </c>
      <c r="D1513" t="s">
        <v>3726</v>
      </c>
      <c r="E1513" t="s">
        <v>268</v>
      </c>
      <c r="F1513" t="s">
        <v>554</v>
      </c>
      <c r="G1513" s="30">
        <v>46146</v>
      </c>
      <c r="H1513" t="s">
        <v>3727</v>
      </c>
      <c r="I1513">
        <v>1145519</v>
      </c>
      <c r="J1513" s="123">
        <v>0</v>
      </c>
      <c r="K1513" s="123">
        <v>0</v>
      </c>
      <c r="L1513" s="123">
        <v>46146</v>
      </c>
      <c r="M1513">
        <v>0</v>
      </c>
      <c r="N1513">
        <v>0</v>
      </c>
      <c r="O1513">
        <v>0</v>
      </c>
      <c r="P1513" s="216">
        <v>114552</v>
      </c>
      <c r="Q1513" s="217" t="s">
        <v>10</v>
      </c>
      <c r="R1513" s="217" t="s">
        <v>554</v>
      </c>
      <c r="S1513" s="218">
        <v>0.50000043648337567</v>
      </c>
      <c r="T1513" t="s">
        <v>550</v>
      </c>
      <c r="U1513" t="s">
        <v>74</v>
      </c>
      <c r="V1513" s="219" t="s">
        <v>6679</v>
      </c>
      <c r="W1513" s="219" t="s">
        <v>67</v>
      </c>
    </row>
    <row r="1514" spans="1:23" ht="15" customHeight="1" x14ac:dyDescent="0.25">
      <c r="A1514" t="s">
        <v>3728</v>
      </c>
      <c r="B1514" t="s">
        <v>595</v>
      </c>
      <c r="C1514">
        <v>116008</v>
      </c>
      <c r="D1514" t="s">
        <v>3729</v>
      </c>
      <c r="E1514" t="s">
        <v>263</v>
      </c>
      <c r="F1514" t="s">
        <v>585</v>
      </c>
      <c r="G1514" s="30">
        <v>46147</v>
      </c>
      <c r="H1514" t="s">
        <v>3730</v>
      </c>
      <c r="I1514">
        <v>1160077.5</v>
      </c>
      <c r="J1514" s="123">
        <v>0</v>
      </c>
      <c r="K1514" s="123">
        <v>0</v>
      </c>
      <c r="L1514" s="123">
        <v>46136</v>
      </c>
      <c r="M1514">
        <v>0</v>
      </c>
      <c r="N1514">
        <v>0</v>
      </c>
      <c r="O1514">
        <v>0</v>
      </c>
      <c r="P1514" s="216">
        <v>116008</v>
      </c>
      <c r="Q1514" s="217" t="s">
        <v>8</v>
      </c>
      <c r="R1514" s="217" t="s">
        <v>61</v>
      </c>
      <c r="S1514" s="218">
        <v>0.40000302565992357</v>
      </c>
      <c r="T1514" t="s">
        <v>550</v>
      </c>
      <c r="U1514" t="s">
        <v>74</v>
      </c>
      <c r="V1514" s="219">
        <v>0</v>
      </c>
      <c r="W1514" s="219">
        <v>0</v>
      </c>
    </row>
    <row r="1515" spans="1:23" ht="15" customHeight="1" x14ac:dyDescent="0.25">
      <c r="A1515" t="s">
        <v>3731</v>
      </c>
      <c r="B1515" t="s">
        <v>546</v>
      </c>
      <c r="C1515">
        <v>3023</v>
      </c>
      <c r="D1515" t="s">
        <v>3732</v>
      </c>
      <c r="E1515" t="s">
        <v>268</v>
      </c>
      <c r="F1515" t="s">
        <v>554</v>
      </c>
      <c r="G1515" s="30">
        <v>46147</v>
      </c>
      <c r="H1515" t="s">
        <v>3733</v>
      </c>
      <c r="I1515">
        <v>1520829</v>
      </c>
      <c r="J1515" s="123">
        <v>0</v>
      </c>
      <c r="K1515" s="123">
        <v>0</v>
      </c>
      <c r="L1515" s="123">
        <v>0</v>
      </c>
      <c r="M1515">
        <v>3023</v>
      </c>
      <c r="N1515">
        <v>0</v>
      </c>
      <c r="O1515">
        <v>0</v>
      </c>
      <c r="P1515" s="216">
        <v>0</v>
      </c>
      <c r="Q1515" s="217" t="s">
        <v>10</v>
      </c>
      <c r="R1515" s="217" t="s">
        <v>554</v>
      </c>
      <c r="S1515" s="218">
        <v>0.30062551411105393</v>
      </c>
      <c r="T1515" t="s">
        <v>550</v>
      </c>
      <c r="U1515" t="s">
        <v>74</v>
      </c>
      <c r="V1515" s="219" t="s">
        <v>6680</v>
      </c>
      <c r="W1515" s="219" t="s">
        <v>67</v>
      </c>
    </row>
    <row r="1516" spans="1:23" ht="15" customHeight="1" x14ac:dyDescent="0.25">
      <c r="A1516" t="s">
        <v>3734</v>
      </c>
      <c r="B1516" t="s">
        <v>575</v>
      </c>
      <c r="C1516">
        <v>102569</v>
      </c>
      <c r="D1516" t="s">
        <v>3735</v>
      </c>
      <c r="E1516" t="s">
        <v>268</v>
      </c>
      <c r="F1516" t="s">
        <v>554</v>
      </c>
      <c r="G1516" s="30">
        <v>46143</v>
      </c>
      <c r="H1516" t="s">
        <v>3736</v>
      </c>
      <c r="I1516">
        <v>1258684.0900000001</v>
      </c>
      <c r="J1516" s="123">
        <v>0</v>
      </c>
      <c r="K1516" s="123">
        <v>0</v>
      </c>
      <c r="L1516" s="123">
        <v>46143</v>
      </c>
      <c r="M1516">
        <v>0</v>
      </c>
      <c r="N1516">
        <v>0</v>
      </c>
      <c r="O1516">
        <v>0</v>
      </c>
      <c r="P1516" s="216">
        <v>102569</v>
      </c>
      <c r="Q1516" s="217" t="s">
        <v>10</v>
      </c>
      <c r="R1516" s="217" t="s">
        <v>554</v>
      </c>
      <c r="S1516" s="218">
        <v>0.50396702003280269</v>
      </c>
      <c r="T1516" t="s">
        <v>550</v>
      </c>
      <c r="U1516" t="s">
        <v>74</v>
      </c>
      <c r="V1516" s="219" t="s">
        <v>6681</v>
      </c>
      <c r="W1516" s="219" t="s">
        <v>67</v>
      </c>
    </row>
    <row r="1517" spans="1:23" ht="15" customHeight="1" x14ac:dyDescent="0.25">
      <c r="A1517" t="s">
        <v>3737</v>
      </c>
      <c r="B1517" t="s">
        <v>595</v>
      </c>
      <c r="C1517">
        <v>316680</v>
      </c>
      <c r="D1517" t="s">
        <v>3738</v>
      </c>
      <c r="E1517" t="s">
        <v>268</v>
      </c>
      <c r="F1517" t="s">
        <v>580</v>
      </c>
      <c r="G1517" s="30">
        <v>46149</v>
      </c>
      <c r="H1517" t="s">
        <v>3739</v>
      </c>
      <c r="I1517">
        <v>1583394.75</v>
      </c>
      <c r="J1517" s="123">
        <v>0</v>
      </c>
      <c r="K1517" s="123">
        <v>0</v>
      </c>
      <c r="L1517" s="123">
        <v>46149</v>
      </c>
      <c r="M1517">
        <v>0</v>
      </c>
      <c r="N1517">
        <v>0</v>
      </c>
      <c r="O1517">
        <v>0</v>
      </c>
      <c r="P1517" s="216">
        <v>316680</v>
      </c>
      <c r="Q1517" s="217" t="s">
        <v>10</v>
      </c>
      <c r="R1517" s="217" t="s">
        <v>582</v>
      </c>
      <c r="S1517" s="218">
        <v>0.39999943160099527</v>
      </c>
      <c r="T1517" t="s">
        <v>550</v>
      </c>
      <c r="U1517" t="s">
        <v>74</v>
      </c>
      <c r="V1517" s="219">
        <v>0</v>
      </c>
      <c r="W1517" s="219">
        <v>0</v>
      </c>
    </row>
    <row r="1518" spans="1:23" ht="15" customHeight="1" x14ac:dyDescent="0.25">
      <c r="A1518" t="s">
        <v>3740</v>
      </c>
      <c r="B1518" t="s">
        <v>595</v>
      </c>
      <c r="C1518">
        <v>117126.1</v>
      </c>
      <c r="D1518" t="s">
        <v>3741</v>
      </c>
      <c r="E1518" t="s">
        <v>268</v>
      </c>
      <c r="F1518" t="s">
        <v>554</v>
      </c>
      <c r="G1518" s="30">
        <v>46148</v>
      </c>
      <c r="H1518" t="s">
        <v>3742</v>
      </c>
      <c r="I1518">
        <v>1171261</v>
      </c>
      <c r="J1518" s="123">
        <v>0</v>
      </c>
      <c r="K1518" s="123">
        <v>0</v>
      </c>
      <c r="L1518" s="123">
        <v>46148</v>
      </c>
      <c r="M1518">
        <v>0</v>
      </c>
      <c r="N1518">
        <v>0</v>
      </c>
      <c r="O1518">
        <v>0</v>
      </c>
      <c r="P1518" s="216">
        <v>117126.1</v>
      </c>
      <c r="Q1518" s="217" t="s">
        <v>10</v>
      </c>
      <c r="R1518" s="217" t="s">
        <v>554</v>
      </c>
      <c r="S1518" s="218">
        <v>0.40120425763343953</v>
      </c>
      <c r="T1518" t="s">
        <v>550</v>
      </c>
      <c r="U1518" t="s">
        <v>74</v>
      </c>
      <c r="V1518" s="219" t="s">
        <v>6682</v>
      </c>
      <c r="W1518" s="219" t="s">
        <v>67</v>
      </c>
    </row>
    <row r="1519" spans="1:23" ht="15" customHeight="1" x14ac:dyDescent="0.25">
      <c r="A1519" t="s">
        <v>3743</v>
      </c>
      <c r="B1519" t="s">
        <v>595</v>
      </c>
      <c r="C1519">
        <v>116291.67</v>
      </c>
      <c r="D1519" t="s">
        <v>3744</v>
      </c>
      <c r="E1519" t="s">
        <v>268</v>
      </c>
      <c r="F1519" t="s">
        <v>554</v>
      </c>
      <c r="G1519" s="30">
        <v>46146</v>
      </c>
      <c r="H1519" t="s">
        <v>3745</v>
      </c>
      <c r="I1519">
        <v>1159830</v>
      </c>
      <c r="J1519" s="123">
        <v>0</v>
      </c>
      <c r="K1519" s="123">
        <v>0</v>
      </c>
      <c r="L1519" s="123">
        <v>46146</v>
      </c>
      <c r="M1519">
        <v>0</v>
      </c>
      <c r="N1519">
        <v>0</v>
      </c>
      <c r="O1519">
        <v>0</v>
      </c>
      <c r="P1519" s="216">
        <v>116291.67</v>
      </c>
      <c r="Q1519" s="217" t="s">
        <v>10</v>
      </c>
      <c r="R1519" s="217" t="s">
        <v>554</v>
      </c>
      <c r="S1519" s="218">
        <v>0.5022124449272739</v>
      </c>
      <c r="T1519" t="s">
        <v>550</v>
      </c>
      <c r="U1519" t="s">
        <v>74</v>
      </c>
      <c r="V1519" s="219" t="s">
        <v>6683</v>
      </c>
      <c r="W1519" s="219" t="s">
        <v>67</v>
      </c>
    </row>
    <row r="1520" spans="1:23" ht="15" customHeight="1" x14ac:dyDescent="0.25">
      <c r="A1520" t="s">
        <v>3746</v>
      </c>
      <c r="B1520" t="s">
        <v>546</v>
      </c>
      <c r="C1520">
        <v>30000</v>
      </c>
      <c r="D1520" t="s">
        <v>3747</v>
      </c>
      <c r="E1520" t="s">
        <v>268</v>
      </c>
      <c r="F1520" t="s">
        <v>554</v>
      </c>
      <c r="G1520" s="30">
        <v>46143</v>
      </c>
      <c r="H1520" t="s">
        <v>3748</v>
      </c>
      <c r="I1520">
        <v>1256853.1499999999</v>
      </c>
      <c r="J1520" s="123">
        <v>0</v>
      </c>
      <c r="K1520" s="123">
        <v>0</v>
      </c>
      <c r="L1520" s="123">
        <v>0</v>
      </c>
      <c r="M1520">
        <v>0</v>
      </c>
      <c r="N1520">
        <v>0</v>
      </c>
      <c r="O1520">
        <v>0</v>
      </c>
      <c r="P1520" s="216">
        <v>30000</v>
      </c>
      <c r="Q1520" s="217" t="s">
        <v>10</v>
      </c>
      <c r="R1520" s="217" t="s">
        <v>554</v>
      </c>
      <c r="S1520" s="218">
        <v>0.49999317740501348</v>
      </c>
      <c r="T1520" t="s">
        <v>550</v>
      </c>
      <c r="U1520" t="s">
        <v>74</v>
      </c>
      <c r="V1520" s="219" t="s">
        <v>6684</v>
      </c>
      <c r="W1520" s="219" t="s">
        <v>67</v>
      </c>
    </row>
    <row r="1521" spans="1:23" ht="15" customHeight="1" x14ac:dyDescent="0.25">
      <c r="A1521" t="s">
        <v>3749</v>
      </c>
      <c r="B1521" t="s">
        <v>546</v>
      </c>
      <c r="C1521">
        <v>30000</v>
      </c>
      <c r="D1521" t="s">
        <v>3747</v>
      </c>
      <c r="E1521" t="s">
        <v>268</v>
      </c>
      <c r="F1521" t="s">
        <v>554</v>
      </c>
      <c r="G1521" s="30">
        <v>46143</v>
      </c>
      <c r="H1521" t="s">
        <v>3748</v>
      </c>
      <c r="I1521">
        <v>1256853.1499999999</v>
      </c>
      <c r="J1521" s="123">
        <v>0</v>
      </c>
      <c r="K1521" s="123">
        <v>0</v>
      </c>
      <c r="L1521" s="123">
        <v>0</v>
      </c>
      <c r="M1521">
        <v>0</v>
      </c>
      <c r="N1521">
        <v>0</v>
      </c>
      <c r="O1521">
        <v>0</v>
      </c>
      <c r="P1521" s="216">
        <v>30000</v>
      </c>
      <c r="Q1521" s="217" t="s">
        <v>10</v>
      </c>
      <c r="R1521" s="217" t="s">
        <v>554</v>
      </c>
      <c r="S1521" s="218">
        <v>0.49999317740501348</v>
      </c>
      <c r="T1521" t="s">
        <v>550</v>
      </c>
      <c r="U1521" t="s">
        <v>74</v>
      </c>
      <c r="V1521" s="219" t="s">
        <v>6685</v>
      </c>
      <c r="W1521" s="219" t="s">
        <v>67</v>
      </c>
    </row>
    <row r="1522" spans="1:23" ht="15" customHeight="1" x14ac:dyDescent="0.25">
      <c r="A1522" t="s">
        <v>3750</v>
      </c>
      <c r="B1522" t="s">
        <v>546</v>
      </c>
      <c r="C1522">
        <v>30000</v>
      </c>
      <c r="D1522" t="s">
        <v>3747</v>
      </c>
      <c r="E1522" t="s">
        <v>188</v>
      </c>
      <c r="F1522" t="s">
        <v>548</v>
      </c>
      <c r="G1522" s="30">
        <v>46143</v>
      </c>
      <c r="H1522" t="s">
        <v>3748</v>
      </c>
      <c r="I1522">
        <v>1256853.1499999999</v>
      </c>
      <c r="J1522" s="123">
        <v>0</v>
      </c>
      <c r="K1522" s="123">
        <v>0</v>
      </c>
      <c r="L1522" s="123">
        <v>0</v>
      </c>
      <c r="M1522">
        <v>0</v>
      </c>
      <c r="N1522">
        <v>0</v>
      </c>
      <c r="O1522">
        <v>0</v>
      </c>
      <c r="P1522" s="216">
        <v>30000</v>
      </c>
      <c r="Q1522" s="217" t="s">
        <v>17</v>
      </c>
      <c r="R1522" s="217" t="s">
        <v>62</v>
      </c>
      <c r="S1522" s="218">
        <v>0.49999317740501348</v>
      </c>
      <c r="T1522" t="s">
        <v>550</v>
      </c>
      <c r="U1522" t="s">
        <v>74</v>
      </c>
      <c r="V1522" s="219">
        <v>0</v>
      </c>
      <c r="W1522" s="219">
        <v>0</v>
      </c>
    </row>
    <row r="1523" spans="1:23" ht="15" customHeight="1" x14ac:dyDescent="0.25">
      <c r="A1523" t="s">
        <v>3751</v>
      </c>
      <c r="B1523" t="s">
        <v>546</v>
      </c>
      <c r="C1523">
        <v>30000</v>
      </c>
      <c r="D1523" t="s">
        <v>3747</v>
      </c>
      <c r="E1523" t="s">
        <v>188</v>
      </c>
      <c r="F1523" t="s">
        <v>548</v>
      </c>
      <c r="G1523" s="30">
        <v>46143</v>
      </c>
      <c r="H1523" t="s">
        <v>3748</v>
      </c>
      <c r="I1523">
        <v>1256853.1499999999</v>
      </c>
      <c r="J1523" s="123">
        <v>0</v>
      </c>
      <c r="K1523" s="123">
        <v>0</v>
      </c>
      <c r="L1523" s="123">
        <v>0</v>
      </c>
      <c r="M1523">
        <v>0</v>
      </c>
      <c r="N1523">
        <v>0</v>
      </c>
      <c r="O1523">
        <v>0</v>
      </c>
      <c r="P1523" s="216">
        <v>30000</v>
      </c>
      <c r="Q1523" s="217" t="s">
        <v>17</v>
      </c>
      <c r="R1523" s="217" t="s">
        <v>62</v>
      </c>
      <c r="S1523" s="218">
        <v>0.49999317740501348</v>
      </c>
      <c r="T1523" t="s">
        <v>550</v>
      </c>
      <c r="U1523" t="s">
        <v>74</v>
      </c>
      <c r="V1523" s="219">
        <v>0</v>
      </c>
      <c r="W1523" s="219">
        <v>0</v>
      </c>
    </row>
    <row r="1524" spans="1:23" ht="15" customHeight="1" x14ac:dyDescent="0.25">
      <c r="A1524" t="s">
        <v>3752</v>
      </c>
      <c r="B1524" t="s">
        <v>546</v>
      </c>
      <c r="C1524">
        <v>50000</v>
      </c>
      <c r="D1524" t="s">
        <v>3747</v>
      </c>
      <c r="E1524" t="s">
        <v>188</v>
      </c>
      <c r="F1524" t="s">
        <v>548</v>
      </c>
      <c r="G1524" s="30">
        <v>46143</v>
      </c>
      <c r="H1524" t="s">
        <v>3748</v>
      </c>
      <c r="I1524">
        <v>1256853.1499999999</v>
      </c>
      <c r="J1524" s="123">
        <v>0</v>
      </c>
      <c r="K1524" s="123">
        <v>0</v>
      </c>
      <c r="L1524" s="123">
        <v>0</v>
      </c>
      <c r="M1524">
        <v>0</v>
      </c>
      <c r="N1524">
        <v>0</v>
      </c>
      <c r="O1524">
        <v>0</v>
      </c>
      <c r="P1524" s="216">
        <v>50000</v>
      </c>
      <c r="Q1524" s="217" t="s">
        <v>17</v>
      </c>
      <c r="R1524" s="217" t="s">
        <v>62</v>
      </c>
      <c r="S1524" s="218">
        <v>0.49999317740501348</v>
      </c>
      <c r="T1524" t="s">
        <v>550</v>
      </c>
      <c r="U1524" t="s">
        <v>74</v>
      </c>
      <c r="V1524" s="219">
        <v>0</v>
      </c>
      <c r="W1524" s="219">
        <v>0</v>
      </c>
    </row>
    <row r="1525" spans="1:23" ht="15" customHeight="1" x14ac:dyDescent="0.25">
      <c r="A1525" t="s">
        <v>3753</v>
      </c>
      <c r="B1525" t="s">
        <v>546</v>
      </c>
      <c r="C1525">
        <v>50000</v>
      </c>
      <c r="D1525" t="s">
        <v>3747</v>
      </c>
      <c r="E1525" t="s">
        <v>188</v>
      </c>
      <c r="F1525" t="s">
        <v>548</v>
      </c>
      <c r="G1525" s="30">
        <v>46143</v>
      </c>
      <c r="H1525" t="s">
        <v>3748</v>
      </c>
      <c r="I1525">
        <v>1256853.1499999999</v>
      </c>
      <c r="J1525" s="123">
        <v>0</v>
      </c>
      <c r="K1525" s="123">
        <v>0</v>
      </c>
      <c r="L1525" s="123">
        <v>0</v>
      </c>
      <c r="M1525">
        <v>0</v>
      </c>
      <c r="N1525">
        <v>0</v>
      </c>
      <c r="O1525">
        <v>0</v>
      </c>
      <c r="P1525" s="216">
        <v>50000</v>
      </c>
      <c r="Q1525" s="217" t="s">
        <v>17</v>
      </c>
      <c r="R1525" s="217" t="s">
        <v>62</v>
      </c>
      <c r="S1525" s="218">
        <v>0.49999317740501348</v>
      </c>
      <c r="T1525" t="s">
        <v>550</v>
      </c>
      <c r="U1525" t="s">
        <v>74</v>
      </c>
      <c r="V1525" s="219">
        <v>0</v>
      </c>
      <c r="W1525" s="219">
        <v>0</v>
      </c>
    </row>
    <row r="1526" spans="1:23" ht="15" customHeight="1" x14ac:dyDescent="0.25">
      <c r="A1526" t="s">
        <v>3754</v>
      </c>
      <c r="B1526" t="s">
        <v>546</v>
      </c>
      <c r="C1526">
        <v>25624</v>
      </c>
      <c r="D1526" t="s">
        <v>3747</v>
      </c>
      <c r="E1526" t="s">
        <v>188</v>
      </c>
      <c r="F1526" t="s">
        <v>548</v>
      </c>
      <c r="G1526" s="30">
        <v>46143</v>
      </c>
      <c r="H1526" t="s">
        <v>3748</v>
      </c>
      <c r="I1526">
        <v>1256853.1499999999</v>
      </c>
      <c r="J1526" s="123">
        <v>0</v>
      </c>
      <c r="K1526" s="123">
        <v>0</v>
      </c>
      <c r="L1526" s="123">
        <v>0</v>
      </c>
      <c r="M1526">
        <v>0</v>
      </c>
      <c r="N1526">
        <v>0</v>
      </c>
      <c r="O1526">
        <v>0</v>
      </c>
      <c r="P1526" s="216">
        <v>25624</v>
      </c>
      <c r="Q1526" s="217" t="s">
        <v>17</v>
      </c>
      <c r="R1526" s="217" t="s">
        <v>62</v>
      </c>
      <c r="S1526" s="218">
        <v>0.49999317740501348</v>
      </c>
      <c r="T1526" t="s">
        <v>550</v>
      </c>
      <c r="U1526" t="s">
        <v>74</v>
      </c>
      <c r="V1526" s="219">
        <v>0</v>
      </c>
      <c r="W1526" s="219">
        <v>0</v>
      </c>
    </row>
    <row r="1527" spans="1:23" ht="15" customHeight="1" x14ac:dyDescent="0.25">
      <c r="A1527" t="s">
        <v>3755</v>
      </c>
      <c r="B1527" t="s">
        <v>546</v>
      </c>
      <c r="C1527">
        <v>125636</v>
      </c>
      <c r="D1527" t="s">
        <v>3747</v>
      </c>
      <c r="E1527" t="s">
        <v>553</v>
      </c>
      <c r="F1527" t="s">
        <v>548</v>
      </c>
      <c r="G1527" s="30">
        <v>46143</v>
      </c>
      <c r="H1527" t="s">
        <v>3748</v>
      </c>
      <c r="I1527">
        <v>1256853.1499999999</v>
      </c>
      <c r="J1527" s="123">
        <v>46143</v>
      </c>
      <c r="K1527" s="123">
        <v>0</v>
      </c>
      <c r="L1527" s="123">
        <v>46143</v>
      </c>
      <c r="M1527">
        <v>0</v>
      </c>
      <c r="N1527">
        <v>0</v>
      </c>
      <c r="O1527" t="s">
        <v>556</v>
      </c>
      <c r="P1527" s="216">
        <v>125636</v>
      </c>
      <c r="Q1527" s="217" t="s">
        <v>10</v>
      </c>
      <c r="R1527" s="217" t="s">
        <v>62</v>
      </c>
      <c r="S1527" s="218">
        <v>0.49999317740501348</v>
      </c>
      <c r="T1527" t="s">
        <v>550</v>
      </c>
      <c r="U1527" t="s">
        <v>74</v>
      </c>
      <c r="V1527" s="219">
        <v>0</v>
      </c>
      <c r="W1527" s="219">
        <v>0</v>
      </c>
    </row>
    <row r="1528" spans="1:23" ht="15" customHeight="1" x14ac:dyDescent="0.25">
      <c r="A1528" t="s">
        <v>3756</v>
      </c>
      <c r="B1528" t="s">
        <v>546</v>
      </c>
      <c r="C1528">
        <v>125636</v>
      </c>
      <c r="D1528" t="s">
        <v>3747</v>
      </c>
      <c r="E1528" t="s">
        <v>553</v>
      </c>
      <c r="F1528" t="s">
        <v>548</v>
      </c>
      <c r="G1528" s="30">
        <v>46143</v>
      </c>
      <c r="H1528" t="s">
        <v>3748</v>
      </c>
      <c r="I1528">
        <v>1256853.1499999999</v>
      </c>
      <c r="J1528" s="123">
        <v>46143</v>
      </c>
      <c r="K1528" s="123">
        <v>0</v>
      </c>
      <c r="L1528" s="123">
        <v>46143</v>
      </c>
      <c r="M1528">
        <v>0</v>
      </c>
      <c r="N1528">
        <v>0</v>
      </c>
      <c r="O1528" t="s">
        <v>556</v>
      </c>
      <c r="P1528" s="216">
        <v>125636</v>
      </c>
      <c r="Q1528" s="217" t="s">
        <v>10</v>
      </c>
      <c r="R1528" s="217" t="s">
        <v>62</v>
      </c>
      <c r="S1528" s="218">
        <v>0.49999317740501348</v>
      </c>
      <c r="T1528" t="s">
        <v>550</v>
      </c>
      <c r="U1528" t="s">
        <v>74</v>
      </c>
      <c r="V1528" s="219">
        <v>0</v>
      </c>
      <c r="W1528" s="219">
        <v>0</v>
      </c>
    </row>
    <row r="1529" spans="1:23" ht="15" customHeight="1" x14ac:dyDescent="0.25">
      <c r="A1529" t="s">
        <v>3757</v>
      </c>
      <c r="B1529" t="s">
        <v>546</v>
      </c>
      <c r="C1529">
        <v>125636</v>
      </c>
      <c r="D1529" t="s">
        <v>3747</v>
      </c>
      <c r="E1529" t="s">
        <v>553</v>
      </c>
      <c r="F1529" t="s">
        <v>548</v>
      </c>
      <c r="G1529" s="30">
        <v>46143</v>
      </c>
      <c r="H1529" t="s">
        <v>3748</v>
      </c>
      <c r="I1529">
        <v>1256853.1499999999</v>
      </c>
      <c r="J1529" s="123">
        <v>46143</v>
      </c>
      <c r="K1529" s="123">
        <v>0</v>
      </c>
      <c r="L1529" s="123">
        <v>46143</v>
      </c>
      <c r="M1529">
        <v>0</v>
      </c>
      <c r="N1529">
        <v>0</v>
      </c>
      <c r="O1529" t="s">
        <v>556</v>
      </c>
      <c r="P1529" s="216">
        <v>125636</v>
      </c>
      <c r="Q1529" s="217" t="s">
        <v>10</v>
      </c>
      <c r="R1529" s="217" t="s">
        <v>62</v>
      </c>
      <c r="S1529" s="218">
        <v>0.49999317740501348</v>
      </c>
      <c r="T1529" t="s">
        <v>550</v>
      </c>
      <c r="U1529" t="s">
        <v>74</v>
      </c>
      <c r="V1529" s="219">
        <v>0</v>
      </c>
      <c r="W1529" s="219">
        <v>0</v>
      </c>
    </row>
    <row r="1530" spans="1:23" ht="15" customHeight="1" x14ac:dyDescent="0.25">
      <c r="A1530" t="s">
        <v>3758</v>
      </c>
      <c r="B1530" t="s">
        <v>546</v>
      </c>
      <c r="C1530">
        <v>33629</v>
      </c>
      <c r="D1530" t="s">
        <v>3747</v>
      </c>
      <c r="E1530" t="s">
        <v>268</v>
      </c>
      <c r="F1530" t="s">
        <v>554</v>
      </c>
      <c r="G1530" s="30">
        <v>46146</v>
      </c>
      <c r="H1530" t="s">
        <v>3748</v>
      </c>
      <c r="I1530">
        <v>1256853.1499999999</v>
      </c>
      <c r="J1530" s="123">
        <v>0</v>
      </c>
      <c r="K1530" s="123">
        <v>0</v>
      </c>
      <c r="L1530" s="123">
        <v>0</v>
      </c>
      <c r="M1530">
        <v>0</v>
      </c>
      <c r="N1530">
        <v>0</v>
      </c>
      <c r="O1530">
        <v>0</v>
      </c>
      <c r="P1530" s="216">
        <v>33629</v>
      </c>
      <c r="Q1530" s="217" t="s">
        <v>10</v>
      </c>
      <c r="R1530" s="217" t="s">
        <v>554</v>
      </c>
      <c r="S1530" s="218">
        <v>0.49999317740501348</v>
      </c>
      <c r="T1530" t="s">
        <v>550</v>
      </c>
      <c r="U1530" t="s">
        <v>74</v>
      </c>
      <c r="V1530" s="219" t="s">
        <v>6686</v>
      </c>
      <c r="W1530" s="219" t="s">
        <v>67</v>
      </c>
    </row>
    <row r="1531" spans="1:23" ht="15" customHeight="1" x14ac:dyDescent="0.25">
      <c r="A1531" t="s">
        <v>3759</v>
      </c>
      <c r="B1531" t="s">
        <v>546</v>
      </c>
      <c r="C1531">
        <v>32000</v>
      </c>
      <c r="D1531" t="s">
        <v>3747</v>
      </c>
      <c r="E1531" t="s">
        <v>268</v>
      </c>
      <c r="F1531" t="s">
        <v>554</v>
      </c>
      <c r="G1531" s="30">
        <v>46146</v>
      </c>
      <c r="H1531" t="s">
        <v>3748</v>
      </c>
      <c r="I1531">
        <v>1256853.1499999999</v>
      </c>
      <c r="J1531" s="123">
        <v>0</v>
      </c>
      <c r="K1531" s="123">
        <v>0</v>
      </c>
      <c r="L1531" s="123">
        <v>0</v>
      </c>
      <c r="M1531">
        <v>0</v>
      </c>
      <c r="N1531">
        <v>0</v>
      </c>
      <c r="O1531">
        <v>0</v>
      </c>
      <c r="P1531" s="216">
        <v>32000</v>
      </c>
      <c r="Q1531" s="217" t="s">
        <v>10</v>
      </c>
      <c r="R1531" s="217" t="s">
        <v>554</v>
      </c>
      <c r="S1531" s="218">
        <v>0.49999317740501348</v>
      </c>
      <c r="T1531" t="s">
        <v>550</v>
      </c>
      <c r="U1531" t="s">
        <v>74</v>
      </c>
      <c r="V1531" s="219" t="s">
        <v>6687</v>
      </c>
      <c r="W1531" s="219" t="s">
        <v>67</v>
      </c>
    </row>
    <row r="1532" spans="1:23" ht="15" customHeight="1" x14ac:dyDescent="0.25">
      <c r="A1532" t="s">
        <v>3760</v>
      </c>
      <c r="B1532" t="s">
        <v>595</v>
      </c>
      <c r="C1532">
        <v>125760</v>
      </c>
      <c r="D1532" t="s">
        <v>3761</v>
      </c>
      <c r="E1532" t="s">
        <v>268</v>
      </c>
      <c r="F1532" t="s">
        <v>580</v>
      </c>
      <c r="G1532" s="30">
        <v>46148</v>
      </c>
      <c r="H1532" t="s">
        <v>3762</v>
      </c>
      <c r="I1532">
        <v>1257902.8899999999</v>
      </c>
      <c r="J1532" s="123">
        <v>0</v>
      </c>
      <c r="K1532" s="123">
        <v>0</v>
      </c>
      <c r="L1532" s="123">
        <v>46148</v>
      </c>
      <c r="M1532">
        <v>0</v>
      </c>
      <c r="N1532">
        <v>0</v>
      </c>
      <c r="O1532">
        <v>0</v>
      </c>
      <c r="P1532" s="216">
        <v>125760</v>
      </c>
      <c r="Q1532" s="217" t="s">
        <v>10</v>
      </c>
      <c r="R1532" s="217" t="s">
        <v>582</v>
      </c>
      <c r="S1532" s="218">
        <v>0.40014297129089199</v>
      </c>
      <c r="T1532" t="s">
        <v>550</v>
      </c>
      <c r="U1532" t="s">
        <v>74</v>
      </c>
      <c r="V1532" s="219">
        <v>0</v>
      </c>
      <c r="W1532" s="219">
        <v>0</v>
      </c>
    </row>
    <row r="1533" spans="1:23" ht="15" customHeight="1" x14ac:dyDescent="0.25">
      <c r="A1533" t="s">
        <v>3763</v>
      </c>
      <c r="B1533" t="s">
        <v>595</v>
      </c>
      <c r="C1533">
        <v>33302.19</v>
      </c>
      <c r="D1533" t="s">
        <v>3764</v>
      </c>
      <c r="E1533" t="s">
        <v>268</v>
      </c>
      <c r="F1533" t="s">
        <v>580</v>
      </c>
      <c r="G1533" s="30">
        <v>46147</v>
      </c>
      <c r="H1533" t="s">
        <v>3765</v>
      </c>
      <c r="I1533">
        <v>1215529.8799999999</v>
      </c>
      <c r="J1533" s="123">
        <v>0</v>
      </c>
      <c r="K1533" s="123">
        <v>0</v>
      </c>
      <c r="L1533" s="123">
        <v>46146</v>
      </c>
      <c r="M1533">
        <v>0</v>
      </c>
      <c r="N1533">
        <v>0</v>
      </c>
      <c r="O1533">
        <v>0</v>
      </c>
      <c r="P1533" s="216">
        <v>33302.19</v>
      </c>
      <c r="Q1533" s="217" t="s">
        <v>10</v>
      </c>
      <c r="R1533" s="217" t="s">
        <v>582</v>
      </c>
      <c r="S1533" s="218">
        <v>0.40182158253485306</v>
      </c>
      <c r="T1533" t="s">
        <v>550</v>
      </c>
      <c r="U1533" t="s">
        <v>74</v>
      </c>
      <c r="V1533" s="219">
        <v>0</v>
      </c>
      <c r="W1533" s="219">
        <v>0</v>
      </c>
    </row>
    <row r="1534" spans="1:23" ht="15" customHeight="1" x14ac:dyDescent="0.25">
      <c r="A1534" t="s">
        <v>3766</v>
      </c>
      <c r="B1534" t="s">
        <v>595</v>
      </c>
      <c r="C1534">
        <v>151488</v>
      </c>
      <c r="D1534" t="s">
        <v>3767</v>
      </c>
      <c r="E1534" t="s">
        <v>268</v>
      </c>
      <c r="F1534" t="s">
        <v>554</v>
      </c>
      <c r="G1534" s="30">
        <v>46145</v>
      </c>
      <c r="H1534" t="s">
        <v>3768</v>
      </c>
      <c r="I1534">
        <v>1514880</v>
      </c>
      <c r="J1534" s="123">
        <v>0</v>
      </c>
      <c r="K1534" s="123">
        <v>0</v>
      </c>
      <c r="L1534" s="123">
        <v>46144</v>
      </c>
      <c r="M1534">
        <v>0</v>
      </c>
      <c r="N1534">
        <v>0</v>
      </c>
      <c r="O1534">
        <v>0</v>
      </c>
      <c r="P1534" s="216">
        <v>151488</v>
      </c>
      <c r="Q1534" s="217" t="s">
        <v>10</v>
      </c>
      <c r="R1534" s="217" t="s">
        <v>554</v>
      </c>
      <c r="S1534" s="218">
        <v>0.49992936734262777</v>
      </c>
      <c r="T1534" t="s">
        <v>550</v>
      </c>
      <c r="U1534" t="s">
        <v>74</v>
      </c>
      <c r="V1534" s="219" t="s">
        <v>6688</v>
      </c>
      <c r="W1534" s="219" t="s">
        <v>67</v>
      </c>
    </row>
    <row r="1535" spans="1:23" ht="15" customHeight="1" x14ac:dyDescent="0.25">
      <c r="A1535" t="s">
        <v>3769</v>
      </c>
      <c r="B1535" t="s">
        <v>546</v>
      </c>
      <c r="C1535">
        <v>125318</v>
      </c>
      <c r="D1535" t="s">
        <v>3770</v>
      </c>
      <c r="E1535" t="s">
        <v>553</v>
      </c>
      <c r="F1535" t="s">
        <v>554</v>
      </c>
      <c r="G1535" s="30">
        <v>46148</v>
      </c>
      <c r="H1535" t="s">
        <v>3771</v>
      </c>
      <c r="I1535">
        <v>2353197.5</v>
      </c>
      <c r="J1535" s="123">
        <v>46148</v>
      </c>
      <c r="K1535" s="123">
        <v>0</v>
      </c>
      <c r="L1535" s="123">
        <v>46148</v>
      </c>
      <c r="M1535">
        <v>0</v>
      </c>
      <c r="N1535">
        <v>0</v>
      </c>
      <c r="O1535" t="s">
        <v>556</v>
      </c>
      <c r="P1535" s="216">
        <v>125318</v>
      </c>
      <c r="Q1535" s="217" t="s">
        <v>10</v>
      </c>
      <c r="R1535" s="217" t="s">
        <v>554</v>
      </c>
      <c r="S1535" s="218">
        <v>0.49999925633101344</v>
      </c>
      <c r="T1535" t="s">
        <v>550</v>
      </c>
      <c r="U1535" t="s">
        <v>74</v>
      </c>
      <c r="V1535" s="219" t="s">
        <v>6689</v>
      </c>
      <c r="W1535" s="219" t="s">
        <v>67</v>
      </c>
    </row>
    <row r="1536" spans="1:23" ht="15" customHeight="1" x14ac:dyDescent="0.25">
      <c r="A1536" t="s">
        <v>3772</v>
      </c>
      <c r="B1536" t="s">
        <v>595</v>
      </c>
      <c r="C1536">
        <v>148862</v>
      </c>
      <c r="D1536" t="s">
        <v>3773</v>
      </c>
      <c r="E1536" t="s">
        <v>268</v>
      </c>
      <c r="F1536" t="s">
        <v>554</v>
      </c>
      <c r="G1536" s="30">
        <v>46147</v>
      </c>
      <c r="H1536" t="s">
        <v>3774</v>
      </c>
      <c r="I1536">
        <v>1488623.5</v>
      </c>
      <c r="J1536" s="123">
        <v>0</v>
      </c>
      <c r="K1536" s="123">
        <v>0</v>
      </c>
      <c r="L1536" s="123">
        <v>46146</v>
      </c>
      <c r="M1536">
        <v>0</v>
      </c>
      <c r="N1536">
        <v>0</v>
      </c>
      <c r="O1536">
        <v>0</v>
      </c>
      <c r="P1536" s="216">
        <v>148862</v>
      </c>
      <c r="Q1536" s="217" t="s">
        <v>10</v>
      </c>
      <c r="R1536" s="217" t="s">
        <v>554</v>
      </c>
      <c r="S1536" s="218">
        <v>0.49994709877951005</v>
      </c>
      <c r="T1536" t="s">
        <v>550</v>
      </c>
      <c r="U1536" t="s">
        <v>74</v>
      </c>
      <c r="V1536" s="219" t="s">
        <v>6690</v>
      </c>
      <c r="W1536" s="219" t="s">
        <v>67</v>
      </c>
    </row>
    <row r="1537" spans="1:23" ht="15" customHeight="1" x14ac:dyDescent="0.25">
      <c r="A1537" t="s">
        <v>3775</v>
      </c>
      <c r="B1537" t="s">
        <v>546</v>
      </c>
      <c r="C1537">
        <v>163166</v>
      </c>
      <c r="D1537" t="s">
        <v>3776</v>
      </c>
      <c r="E1537" t="s">
        <v>553</v>
      </c>
      <c r="F1537" t="s">
        <v>554</v>
      </c>
      <c r="G1537" s="30">
        <v>46148</v>
      </c>
      <c r="H1537" t="s">
        <v>3777</v>
      </c>
      <c r="I1537">
        <v>1631760.38</v>
      </c>
      <c r="J1537" s="123">
        <v>46148</v>
      </c>
      <c r="K1537" s="123">
        <v>0</v>
      </c>
      <c r="L1537" s="123">
        <v>46148</v>
      </c>
      <c r="M1537">
        <v>0</v>
      </c>
      <c r="N1537">
        <v>0</v>
      </c>
      <c r="O1537" t="s">
        <v>556</v>
      </c>
      <c r="P1537" s="216">
        <v>163166</v>
      </c>
      <c r="Q1537" s="217" t="s">
        <v>10</v>
      </c>
      <c r="R1537" s="217" t="s">
        <v>554</v>
      </c>
      <c r="S1537" s="218">
        <v>0.39999990684906817</v>
      </c>
      <c r="T1537" t="s">
        <v>550</v>
      </c>
      <c r="U1537" t="s">
        <v>74</v>
      </c>
      <c r="V1537" s="219" t="s">
        <v>6691</v>
      </c>
      <c r="W1537" s="219" t="s">
        <v>67</v>
      </c>
    </row>
    <row r="1538" spans="1:23" ht="15" customHeight="1" x14ac:dyDescent="0.25">
      <c r="A1538" t="s">
        <v>3778</v>
      </c>
      <c r="B1538" t="s">
        <v>575</v>
      </c>
      <c r="C1538">
        <v>122376.63</v>
      </c>
      <c r="D1538" t="s">
        <v>3779</v>
      </c>
      <c r="E1538" t="s">
        <v>268</v>
      </c>
      <c r="F1538" t="s">
        <v>585</v>
      </c>
      <c r="G1538" s="30">
        <v>46144</v>
      </c>
      <c r="H1538" t="s">
        <v>3780</v>
      </c>
      <c r="I1538">
        <v>1223766.25</v>
      </c>
      <c r="J1538" s="123">
        <v>0</v>
      </c>
      <c r="K1538" s="123">
        <v>0</v>
      </c>
      <c r="L1538" s="123">
        <v>46144</v>
      </c>
      <c r="M1538">
        <v>0</v>
      </c>
      <c r="N1538">
        <v>0</v>
      </c>
      <c r="O1538">
        <v>0</v>
      </c>
      <c r="P1538" s="216">
        <v>122376.63</v>
      </c>
      <c r="Q1538" s="217" t="s">
        <v>10</v>
      </c>
      <c r="R1538" s="217" t="s">
        <v>61</v>
      </c>
      <c r="S1538" s="218">
        <v>0.30104816994258504</v>
      </c>
      <c r="T1538" t="s">
        <v>550</v>
      </c>
      <c r="U1538" t="s">
        <v>74</v>
      </c>
      <c r="V1538" s="219">
        <v>0</v>
      </c>
      <c r="W1538" s="219">
        <v>0</v>
      </c>
    </row>
    <row r="1539" spans="1:23" ht="15" customHeight="1" x14ac:dyDescent="0.25">
      <c r="A1539" t="s">
        <v>3781</v>
      </c>
      <c r="B1539" t="s">
        <v>546</v>
      </c>
      <c r="C1539">
        <v>400</v>
      </c>
      <c r="D1539" t="s">
        <v>3782</v>
      </c>
      <c r="E1539" t="s">
        <v>553</v>
      </c>
      <c r="F1539" t="s">
        <v>548</v>
      </c>
      <c r="G1539" s="30">
        <v>46143</v>
      </c>
      <c r="H1539" t="s">
        <v>3783</v>
      </c>
      <c r="I1539">
        <v>1172717</v>
      </c>
      <c r="J1539" s="123">
        <v>46143</v>
      </c>
      <c r="K1539" s="123">
        <v>0</v>
      </c>
      <c r="L1539" s="123">
        <v>46143</v>
      </c>
      <c r="M1539">
        <v>0</v>
      </c>
      <c r="N1539">
        <v>0</v>
      </c>
      <c r="O1539" t="s">
        <v>556</v>
      </c>
      <c r="P1539" s="216">
        <v>400</v>
      </c>
      <c r="Q1539" s="217" t="s">
        <v>10</v>
      </c>
      <c r="R1539" s="217" t="s">
        <v>62</v>
      </c>
      <c r="S1539" s="218">
        <v>0.39999999999999997</v>
      </c>
      <c r="T1539" t="s">
        <v>550</v>
      </c>
      <c r="U1539" t="s">
        <v>74</v>
      </c>
      <c r="V1539" s="219">
        <v>0</v>
      </c>
      <c r="W1539" s="219">
        <v>0</v>
      </c>
    </row>
    <row r="1540" spans="1:23" ht="15" customHeight="1" x14ac:dyDescent="0.25">
      <c r="A1540" t="s">
        <v>3784</v>
      </c>
      <c r="B1540" t="s">
        <v>546</v>
      </c>
      <c r="C1540">
        <v>117270.2</v>
      </c>
      <c r="D1540" t="s">
        <v>3782</v>
      </c>
      <c r="E1540" t="s">
        <v>553</v>
      </c>
      <c r="F1540" t="s">
        <v>548</v>
      </c>
      <c r="G1540" s="30">
        <v>46143</v>
      </c>
      <c r="H1540" t="s">
        <v>3783</v>
      </c>
      <c r="I1540">
        <v>1172717</v>
      </c>
      <c r="J1540" s="123">
        <v>46143</v>
      </c>
      <c r="K1540" s="123">
        <v>0</v>
      </c>
      <c r="L1540" s="123">
        <v>46143</v>
      </c>
      <c r="M1540">
        <v>0</v>
      </c>
      <c r="N1540">
        <v>0</v>
      </c>
      <c r="O1540" t="s">
        <v>556</v>
      </c>
      <c r="P1540" s="216">
        <v>117270.2</v>
      </c>
      <c r="Q1540" s="217" t="s">
        <v>10</v>
      </c>
      <c r="R1540" s="217" t="s">
        <v>62</v>
      </c>
      <c r="S1540" s="218">
        <v>0.39999999999999997</v>
      </c>
      <c r="T1540" t="s">
        <v>550</v>
      </c>
      <c r="U1540" t="s">
        <v>74</v>
      </c>
      <c r="V1540" s="219">
        <v>0</v>
      </c>
      <c r="W1540" s="219">
        <v>0</v>
      </c>
    </row>
    <row r="1541" spans="1:23" ht="15" customHeight="1" x14ac:dyDescent="0.25">
      <c r="A1541" t="s">
        <v>3785</v>
      </c>
      <c r="B1541" t="s">
        <v>546</v>
      </c>
      <c r="C1541">
        <v>100</v>
      </c>
      <c r="D1541" t="s">
        <v>3782</v>
      </c>
      <c r="E1541" t="s">
        <v>553</v>
      </c>
      <c r="F1541" t="s">
        <v>548</v>
      </c>
      <c r="G1541" s="30">
        <v>46146</v>
      </c>
      <c r="H1541" t="s">
        <v>3783</v>
      </c>
      <c r="I1541">
        <v>1172717</v>
      </c>
      <c r="J1541" s="123">
        <v>46146</v>
      </c>
      <c r="K1541" s="123">
        <v>0</v>
      </c>
      <c r="L1541" s="123">
        <v>46146</v>
      </c>
      <c r="M1541">
        <v>0</v>
      </c>
      <c r="N1541">
        <v>0</v>
      </c>
      <c r="O1541" t="s">
        <v>556</v>
      </c>
      <c r="P1541" s="216">
        <v>100</v>
      </c>
      <c r="Q1541" s="217" t="s">
        <v>10</v>
      </c>
      <c r="R1541" s="217" t="s">
        <v>62</v>
      </c>
      <c r="S1541" s="218">
        <v>0.39999999999999997</v>
      </c>
      <c r="T1541" t="s">
        <v>550</v>
      </c>
      <c r="U1541" t="s">
        <v>74</v>
      </c>
      <c r="V1541" s="219">
        <v>0</v>
      </c>
      <c r="W1541" s="219">
        <v>0</v>
      </c>
    </row>
    <row r="1542" spans="1:23" ht="15" customHeight="1" x14ac:dyDescent="0.25">
      <c r="A1542" t="s">
        <v>3786</v>
      </c>
      <c r="B1542" t="s">
        <v>546</v>
      </c>
      <c r="C1542">
        <v>100</v>
      </c>
      <c r="D1542" t="s">
        <v>3782</v>
      </c>
      <c r="E1542" t="s">
        <v>553</v>
      </c>
      <c r="F1542" t="s">
        <v>548</v>
      </c>
      <c r="G1542" s="30">
        <v>46145</v>
      </c>
      <c r="H1542" t="s">
        <v>3783</v>
      </c>
      <c r="I1542">
        <v>1172717</v>
      </c>
      <c r="J1542" s="123">
        <v>46145</v>
      </c>
      <c r="K1542" s="123">
        <v>0</v>
      </c>
      <c r="L1542" s="123">
        <v>46145</v>
      </c>
      <c r="M1542">
        <v>0</v>
      </c>
      <c r="N1542">
        <v>0</v>
      </c>
      <c r="O1542" t="s">
        <v>556</v>
      </c>
      <c r="P1542" s="216">
        <v>100</v>
      </c>
      <c r="Q1542" s="217" t="s">
        <v>10</v>
      </c>
      <c r="R1542" s="217" t="s">
        <v>62</v>
      </c>
      <c r="S1542" s="218">
        <v>0.39999999999999997</v>
      </c>
      <c r="T1542" t="s">
        <v>550</v>
      </c>
      <c r="U1542" t="s">
        <v>74</v>
      </c>
      <c r="V1542" s="219">
        <v>0</v>
      </c>
      <c r="W1542" s="219">
        <v>0</v>
      </c>
    </row>
    <row r="1543" spans="1:23" ht="15" customHeight="1" x14ac:dyDescent="0.25">
      <c r="A1543" t="s">
        <v>3787</v>
      </c>
      <c r="B1543" t="s">
        <v>546</v>
      </c>
      <c r="C1543">
        <v>100</v>
      </c>
      <c r="D1543" t="s">
        <v>3782</v>
      </c>
      <c r="E1543" t="s">
        <v>553</v>
      </c>
      <c r="F1543" t="s">
        <v>548</v>
      </c>
      <c r="G1543" s="30">
        <v>46146</v>
      </c>
      <c r="H1543" t="s">
        <v>3783</v>
      </c>
      <c r="I1543">
        <v>1172717</v>
      </c>
      <c r="J1543" s="123">
        <v>46146</v>
      </c>
      <c r="K1543" s="123">
        <v>0</v>
      </c>
      <c r="L1543" s="123">
        <v>46146</v>
      </c>
      <c r="M1543">
        <v>0</v>
      </c>
      <c r="N1543">
        <v>0</v>
      </c>
      <c r="O1543" t="s">
        <v>556</v>
      </c>
      <c r="P1543" s="216">
        <v>100</v>
      </c>
      <c r="Q1543" s="217" t="s">
        <v>10</v>
      </c>
      <c r="R1543" s="217" t="s">
        <v>62</v>
      </c>
      <c r="S1543" s="218">
        <v>0.39999999999999997</v>
      </c>
      <c r="T1543" t="s">
        <v>550</v>
      </c>
      <c r="U1543" t="s">
        <v>74</v>
      </c>
      <c r="V1543" s="219">
        <v>0</v>
      </c>
      <c r="W1543" s="219">
        <v>0</v>
      </c>
    </row>
    <row r="1544" spans="1:23" ht="15" customHeight="1" x14ac:dyDescent="0.25">
      <c r="A1544" t="s">
        <v>3788</v>
      </c>
      <c r="B1544" t="s">
        <v>546</v>
      </c>
      <c r="C1544">
        <v>117271.7</v>
      </c>
      <c r="D1544" t="s">
        <v>3782</v>
      </c>
      <c r="E1544" t="s">
        <v>268</v>
      </c>
      <c r="F1544" t="s">
        <v>548</v>
      </c>
      <c r="G1544" s="30">
        <v>46146</v>
      </c>
      <c r="H1544" t="s">
        <v>3783</v>
      </c>
      <c r="I1544">
        <v>1172717</v>
      </c>
      <c r="J1544" s="123">
        <v>0</v>
      </c>
      <c r="K1544" s="123">
        <v>0</v>
      </c>
      <c r="L1544" s="123">
        <v>0</v>
      </c>
      <c r="M1544">
        <v>0</v>
      </c>
      <c r="N1544">
        <v>0</v>
      </c>
      <c r="O1544">
        <v>0</v>
      </c>
      <c r="P1544" s="216">
        <v>117271.7</v>
      </c>
      <c r="Q1544" s="217" t="s">
        <v>10</v>
      </c>
      <c r="R1544" s="217" t="s">
        <v>62</v>
      </c>
      <c r="S1544" s="218">
        <v>0.39999999999999997</v>
      </c>
      <c r="T1544" t="s">
        <v>550</v>
      </c>
      <c r="U1544" t="s">
        <v>74</v>
      </c>
      <c r="V1544" s="219">
        <v>0</v>
      </c>
      <c r="W1544" s="219">
        <v>0</v>
      </c>
    </row>
    <row r="1545" spans="1:23" ht="15" customHeight="1" x14ac:dyDescent="0.25">
      <c r="A1545" t="s">
        <v>3789</v>
      </c>
      <c r="B1545" t="s">
        <v>546</v>
      </c>
      <c r="C1545">
        <v>117271</v>
      </c>
      <c r="D1545" t="s">
        <v>3782</v>
      </c>
      <c r="E1545" t="s">
        <v>268</v>
      </c>
      <c r="F1545" t="s">
        <v>548</v>
      </c>
      <c r="G1545" s="30">
        <v>46146</v>
      </c>
      <c r="H1545" t="s">
        <v>3783</v>
      </c>
      <c r="I1545">
        <v>1172717</v>
      </c>
      <c r="J1545" s="123">
        <v>0</v>
      </c>
      <c r="K1545" s="123">
        <v>0</v>
      </c>
      <c r="L1545" s="123">
        <v>0</v>
      </c>
      <c r="M1545">
        <v>0</v>
      </c>
      <c r="N1545">
        <v>0</v>
      </c>
      <c r="O1545">
        <v>0</v>
      </c>
      <c r="P1545" s="216">
        <v>117271</v>
      </c>
      <c r="Q1545" s="217" t="s">
        <v>10</v>
      </c>
      <c r="R1545" s="217" t="s">
        <v>62</v>
      </c>
      <c r="S1545" s="218">
        <v>0.39999999999999997</v>
      </c>
      <c r="T1545" t="s">
        <v>550</v>
      </c>
      <c r="U1545" t="s">
        <v>74</v>
      </c>
      <c r="V1545" s="219">
        <v>0</v>
      </c>
      <c r="W1545" s="219">
        <v>0</v>
      </c>
    </row>
    <row r="1546" spans="1:23" ht="15" customHeight="1" x14ac:dyDescent="0.25">
      <c r="A1546" t="s">
        <v>3790</v>
      </c>
      <c r="B1546" t="s">
        <v>546</v>
      </c>
      <c r="C1546">
        <v>100</v>
      </c>
      <c r="D1546" t="s">
        <v>3782</v>
      </c>
      <c r="E1546" t="s">
        <v>553</v>
      </c>
      <c r="F1546" t="s">
        <v>548</v>
      </c>
      <c r="G1546" s="30">
        <v>46146</v>
      </c>
      <c r="H1546" t="s">
        <v>3783</v>
      </c>
      <c r="I1546">
        <v>1172717</v>
      </c>
      <c r="J1546" s="123">
        <v>46146</v>
      </c>
      <c r="K1546" s="123">
        <v>0</v>
      </c>
      <c r="L1546" s="123">
        <v>46146</v>
      </c>
      <c r="M1546">
        <v>0</v>
      </c>
      <c r="N1546">
        <v>0</v>
      </c>
      <c r="O1546" t="s">
        <v>556</v>
      </c>
      <c r="P1546" s="216">
        <v>100</v>
      </c>
      <c r="Q1546" s="217" t="s">
        <v>10</v>
      </c>
      <c r="R1546" s="217" t="s">
        <v>62</v>
      </c>
      <c r="S1546" s="218">
        <v>0.39999999999999997</v>
      </c>
      <c r="T1546" t="s">
        <v>550</v>
      </c>
      <c r="U1546" t="s">
        <v>74</v>
      </c>
      <c r="V1546" s="219">
        <v>0</v>
      </c>
      <c r="W1546" s="219">
        <v>0</v>
      </c>
    </row>
    <row r="1547" spans="1:23" ht="15" customHeight="1" x14ac:dyDescent="0.25">
      <c r="A1547" t="s">
        <v>3791</v>
      </c>
      <c r="B1547" t="s">
        <v>546</v>
      </c>
      <c r="C1547">
        <v>100</v>
      </c>
      <c r="D1547" t="s">
        <v>3782</v>
      </c>
      <c r="E1547" t="s">
        <v>553</v>
      </c>
      <c r="F1547" t="s">
        <v>548</v>
      </c>
      <c r="G1547" s="30">
        <v>46146</v>
      </c>
      <c r="H1547" t="s">
        <v>3783</v>
      </c>
      <c r="I1547">
        <v>1172717</v>
      </c>
      <c r="J1547" s="123">
        <v>46146</v>
      </c>
      <c r="K1547" s="123">
        <v>0</v>
      </c>
      <c r="L1547" s="123">
        <v>46146</v>
      </c>
      <c r="M1547">
        <v>0</v>
      </c>
      <c r="N1547">
        <v>0</v>
      </c>
      <c r="O1547" t="s">
        <v>556</v>
      </c>
      <c r="P1547" s="216">
        <v>100</v>
      </c>
      <c r="Q1547" s="217" t="s">
        <v>10</v>
      </c>
      <c r="R1547" s="217" t="s">
        <v>62</v>
      </c>
      <c r="S1547" s="218">
        <v>0.39999999999999997</v>
      </c>
      <c r="T1547" t="s">
        <v>550</v>
      </c>
      <c r="U1547" t="s">
        <v>74</v>
      </c>
      <c r="V1547" s="219">
        <v>0</v>
      </c>
      <c r="W1547" s="219">
        <v>0</v>
      </c>
    </row>
    <row r="1548" spans="1:23" ht="15" customHeight="1" x14ac:dyDescent="0.25">
      <c r="A1548" t="s">
        <v>3792</v>
      </c>
      <c r="B1548" t="s">
        <v>546</v>
      </c>
      <c r="C1548">
        <v>117270.2</v>
      </c>
      <c r="D1548" t="s">
        <v>3782</v>
      </c>
      <c r="E1548" t="s">
        <v>553</v>
      </c>
      <c r="F1548" t="s">
        <v>548</v>
      </c>
      <c r="G1548" s="30">
        <v>46147</v>
      </c>
      <c r="H1548" t="s">
        <v>3783</v>
      </c>
      <c r="I1548">
        <v>1172717</v>
      </c>
      <c r="J1548" s="123">
        <v>46147</v>
      </c>
      <c r="K1548" s="123">
        <v>0</v>
      </c>
      <c r="L1548" s="123">
        <v>46147</v>
      </c>
      <c r="M1548">
        <v>0</v>
      </c>
      <c r="N1548">
        <v>0</v>
      </c>
      <c r="O1548" t="s">
        <v>556</v>
      </c>
      <c r="P1548" s="216">
        <v>117270.2</v>
      </c>
      <c r="Q1548" s="217" t="s">
        <v>10</v>
      </c>
      <c r="R1548" s="217" t="s">
        <v>62</v>
      </c>
      <c r="S1548" s="218">
        <v>0.39999999999999997</v>
      </c>
      <c r="T1548" t="s">
        <v>550</v>
      </c>
      <c r="U1548" t="s">
        <v>74</v>
      </c>
      <c r="V1548" s="219">
        <v>0</v>
      </c>
      <c r="W1548" s="219">
        <v>0</v>
      </c>
    </row>
    <row r="1549" spans="1:23" ht="15" customHeight="1" x14ac:dyDescent="0.25">
      <c r="A1549" t="s">
        <v>3793</v>
      </c>
      <c r="B1549" t="s">
        <v>546</v>
      </c>
      <c r="C1549">
        <v>100</v>
      </c>
      <c r="D1549" t="s">
        <v>3782</v>
      </c>
      <c r="E1549" t="s">
        <v>553</v>
      </c>
      <c r="F1549" t="s">
        <v>548</v>
      </c>
      <c r="G1549" s="30">
        <v>46147</v>
      </c>
      <c r="H1549" t="s">
        <v>3783</v>
      </c>
      <c r="I1549">
        <v>1172717</v>
      </c>
      <c r="J1549" s="123">
        <v>46147</v>
      </c>
      <c r="K1549" s="123">
        <v>0</v>
      </c>
      <c r="L1549" s="123">
        <v>46147</v>
      </c>
      <c r="M1549">
        <v>0</v>
      </c>
      <c r="N1549">
        <v>0</v>
      </c>
      <c r="O1549" t="s">
        <v>556</v>
      </c>
      <c r="P1549" s="216">
        <v>100</v>
      </c>
      <c r="Q1549" s="217" t="s">
        <v>10</v>
      </c>
      <c r="R1549" s="217" t="s">
        <v>62</v>
      </c>
      <c r="S1549" s="218">
        <v>0.39999999999999997</v>
      </c>
      <c r="T1549" t="s">
        <v>550</v>
      </c>
      <c r="U1549" t="s">
        <v>74</v>
      </c>
      <c r="V1549" s="219">
        <v>0</v>
      </c>
      <c r="W1549" s="219">
        <v>0</v>
      </c>
    </row>
    <row r="1550" spans="1:23" ht="15" customHeight="1" x14ac:dyDescent="0.25">
      <c r="A1550" t="s">
        <v>3794</v>
      </c>
      <c r="B1550" t="s">
        <v>546</v>
      </c>
      <c r="C1550">
        <v>117270.2</v>
      </c>
      <c r="D1550" t="s">
        <v>3782</v>
      </c>
      <c r="E1550" t="s">
        <v>553</v>
      </c>
      <c r="F1550" t="s">
        <v>548</v>
      </c>
      <c r="G1550" s="30">
        <v>46148</v>
      </c>
      <c r="H1550" t="s">
        <v>3783</v>
      </c>
      <c r="I1550">
        <v>1172717</v>
      </c>
      <c r="J1550" s="123">
        <v>46148</v>
      </c>
      <c r="K1550" s="123">
        <v>0</v>
      </c>
      <c r="L1550" s="123">
        <v>46148</v>
      </c>
      <c r="M1550">
        <v>0</v>
      </c>
      <c r="N1550">
        <v>0</v>
      </c>
      <c r="O1550" t="s">
        <v>556</v>
      </c>
      <c r="P1550" s="216">
        <v>117270.2</v>
      </c>
      <c r="Q1550" s="217" t="s">
        <v>10</v>
      </c>
      <c r="R1550" s="217" t="s">
        <v>62</v>
      </c>
      <c r="S1550" s="218">
        <v>0.39999999999999997</v>
      </c>
      <c r="T1550" t="s">
        <v>550</v>
      </c>
      <c r="U1550" t="s">
        <v>74</v>
      </c>
      <c r="V1550" s="219">
        <v>0</v>
      </c>
      <c r="W1550" s="219">
        <v>0</v>
      </c>
    </row>
    <row r="1551" spans="1:23" ht="15" customHeight="1" x14ac:dyDescent="0.25">
      <c r="A1551" t="s">
        <v>3795</v>
      </c>
      <c r="B1551" t="s">
        <v>546</v>
      </c>
      <c r="C1551">
        <v>1000</v>
      </c>
      <c r="D1551" t="s">
        <v>3782</v>
      </c>
      <c r="E1551" t="s">
        <v>553</v>
      </c>
      <c r="F1551" t="s">
        <v>548</v>
      </c>
      <c r="G1551" s="30">
        <v>46148</v>
      </c>
      <c r="H1551" t="s">
        <v>3783</v>
      </c>
      <c r="I1551">
        <v>1172717</v>
      </c>
      <c r="J1551" s="123">
        <v>46148</v>
      </c>
      <c r="K1551" s="123">
        <v>0</v>
      </c>
      <c r="L1551" s="123">
        <v>46148</v>
      </c>
      <c r="M1551">
        <v>0</v>
      </c>
      <c r="N1551">
        <v>0</v>
      </c>
      <c r="O1551" t="s">
        <v>556</v>
      </c>
      <c r="P1551" s="216">
        <v>1000</v>
      </c>
      <c r="Q1551" s="217" t="s">
        <v>10</v>
      </c>
      <c r="R1551" s="217" t="s">
        <v>62</v>
      </c>
      <c r="S1551" s="218">
        <v>0.39999999999999997</v>
      </c>
      <c r="T1551" t="s">
        <v>550</v>
      </c>
      <c r="U1551" t="s">
        <v>74</v>
      </c>
      <c r="V1551" s="219">
        <v>0</v>
      </c>
      <c r="W1551" s="219">
        <v>0</v>
      </c>
    </row>
    <row r="1552" spans="1:23" ht="15" customHeight="1" x14ac:dyDescent="0.25">
      <c r="A1552" t="s">
        <v>3796</v>
      </c>
      <c r="B1552" t="s">
        <v>546</v>
      </c>
      <c r="C1552">
        <v>117270.2</v>
      </c>
      <c r="D1552" t="s">
        <v>3782</v>
      </c>
      <c r="E1552" t="s">
        <v>553</v>
      </c>
      <c r="F1552" t="s">
        <v>548</v>
      </c>
      <c r="G1552" s="30">
        <v>46149</v>
      </c>
      <c r="H1552" t="s">
        <v>3783</v>
      </c>
      <c r="I1552">
        <v>1172717</v>
      </c>
      <c r="J1552" s="123">
        <v>46149</v>
      </c>
      <c r="K1552" s="123">
        <v>0</v>
      </c>
      <c r="L1552" s="123">
        <v>46149</v>
      </c>
      <c r="M1552">
        <v>0</v>
      </c>
      <c r="N1552">
        <v>0</v>
      </c>
      <c r="O1552" t="s">
        <v>556</v>
      </c>
      <c r="P1552" s="216">
        <v>117270.2</v>
      </c>
      <c r="Q1552" s="217" t="s">
        <v>10</v>
      </c>
      <c r="R1552" s="217" t="s">
        <v>62</v>
      </c>
      <c r="S1552" s="218">
        <v>0.39999999999999997</v>
      </c>
      <c r="T1552" t="s">
        <v>550</v>
      </c>
      <c r="U1552" t="s">
        <v>74</v>
      </c>
      <c r="V1552" s="219">
        <v>0</v>
      </c>
      <c r="W1552" s="219">
        <v>0</v>
      </c>
    </row>
    <row r="1553" spans="1:23" ht="15" customHeight="1" x14ac:dyDescent="0.25">
      <c r="A1553" t="s">
        <v>3797</v>
      </c>
      <c r="B1553" t="s">
        <v>546</v>
      </c>
      <c r="C1553">
        <v>1270</v>
      </c>
      <c r="D1553" t="s">
        <v>3782</v>
      </c>
      <c r="E1553" t="s">
        <v>553</v>
      </c>
      <c r="F1553" t="s">
        <v>548</v>
      </c>
      <c r="G1553" s="30">
        <v>46149</v>
      </c>
      <c r="H1553" t="s">
        <v>3783</v>
      </c>
      <c r="I1553">
        <v>1172717</v>
      </c>
      <c r="J1553" s="123">
        <v>46149</v>
      </c>
      <c r="K1553" s="123">
        <v>0</v>
      </c>
      <c r="L1553" s="123">
        <v>46149</v>
      </c>
      <c r="M1553">
        <v>0</v>
      </c>
      <c r="N1553">
        <v>0</v>
      </c>
      <c r="O1553" t="s">
        <v>556</v>
      </c>
      <c r="P1553" s="216">
        <v>1270</v>
      </c>
      <c r="Q1553" s="217" t="s">
        <v>10</v>
      </c>
      <c r="R1553" s="217" t="s">
        <v>62</v>
      </c>
      <c r="S1553" s="218">
        <v>0.39999999999999997</v>
      </c>
      <c r="T1553" t="s">
        <v>550</v>
      </c>
      <c r="U1553" t="s">
        <v>74</v>
      </c>
      <c r="V1553" s="219">
        <v>0</v>
      </c>
      <c r="W1553" s="219">
        <v>0</v>
      </c>
    </row>
    <row r="1554" spans="1:23" ht="15" customHeight="1" x14ac:dyDescent="0.25">
      <c r="A1554" t="s">
        <v>3798</v>
      </c>
      <c r="B1554" t="s">
        <v>546</v>
      </c>
      <c r="C1554">
        <v>117270.2</v>
      </c>
      <c r="D1554" t="s">
        <v>3782</v>
      </c>
      <c r="E1554" t="s">
        <v>553</v>
      </c>
      <c r="F1554" t="s">
        <v>548</v>
      </c>
      <c r="G1554" s="30">
        <v>46149</v>
      </c>
      <c r="H1554" t="s">
        <v>3783</v>
      </c>
      <c r="I1554">
        <v>1172717</v>
      </c>
      <c r="J1554" s="123">
        <v>46149</v>
      </c>
      <c r="K1554" s="123">
        <v>0</v>
      </c>
      <c r="L1554" s="123">
        <v>46149</v>
      </c>
      <c r="M1554">
        <v>0</v>
      </c>
      <c r="N1554">
        <v>0</v>
      </c>
      <c r="O1554" t="s">
        <v>556</v>
      </c>
      <c r="P1554" s="216">
        <v>117270.2</v>
      </c>
      <c r="Q1554" s="217" t="s">
        <v>10</v>
      </c>
      <c r="R1554" s="217" t="s">
        <v>62</v>
      </c>
      <c r="S1554" s="218">
        <v>0.39999999999999997</v>
      </c>
      <c r="T1554" t="s">
        <v>550</v>
      </c>
      <c r="U1554" t="s">
        <v>74</v>
      </c>
      <c r="V1554" s="219">
        <v>0</v>
      </c>
      <c r="W1554" s="219">
        <v>0</v>
      </c>
    </row>
    <row r="1555" spans="1:23" ht="15" customHeight="1" x14ac:dyDescent="0.25">
      <c r="A1555" t="s">
        <v>3799</v>
      </c>
      <c r="B1555" t="s">
        <v>595</v>
      </c>
      <c r="C1555">
        <v>24550</v>
      </c>
      <c r="D1555" t="s">
        <v>3800</v>
      </c>
      <c r="E1555" t="s">
        <v>268</v>
      </c>
      <c r="F1555" t="s">
        <v>585</v>
      </c>
      <c r="G1555" s="30">
        <v>46144</v>
      </c>
      <c r="H1555" t="s">
        <v>3801</v>
      </c>
      <c r="I1555">
        <v>1223766.25</v>
      </c>
      <c r="J1555" s="123">
        <v>0</v>
      </c>
      <c r="K1555" s="123">
        <v>0</v>
      </c>
      <c r="L1555" s="123">
        <v>46144</v>
      </c>
      <c r="M1555">
        <v>0</v>
      </c>
      <c r="N1555">
        <v>0</v>
      </c>
      <c r="O1555">
        <v>0</v>
      </c>
      <c r="P1555" s="216">
        <v>24550</v>
      </c>
      <c r="Q1555" s="217" t="s">
        <v>10</v>
      </c>
      <c r="R1555" s="217" t="s">
        <v>61</v>
      </c>
      <c r="S1555" s="218">
        <v>0.39995219675326066</v>
      </c>
      <c r="T1555" t="s">
        <v>550</v>
      </c>
      <c r="U1555" t="s">
        <v>74</v>
      </c>
      <c r="V1555" s="219">
        <v>0</v>
      </c>
      <c r="W1555" s="219">
        <v>0</v>
      </c>
    </row>
    <row r="1556" spans="1:23" ht="15" customHeight="1" x14ac:dyDescent="0.25">
      <c r="A1556" t="s">
        <v>3802</v>
      </c>
      <c r="B1556" t="s">
        <v>603</v>
      </c>
      <c r="C1556">
        <v>1000</v>
      </c>
      <c r="D1556" t="s">
        <v>3800</v>
      </c>
      <c r="E1556" t="s">
        <v>3803</v>
      </c>
      <c r="F1556" t="s">
        <v>554</v>
      </c>
      <c r="G1556" s="30">
        <v>46144</v>
      </c>
      <c r="H1556" t="s">
        <v>3801</v>
      </c>
      <c r="I1556">
        <v>1223766.25</v>
      </c>
      <c r="J1556" s="123">
        <v>46146</v>
      </c>
      <c r="K1556" s="123">
        <v>0</v>
      </c>
      <c r="L1556" s="123">
        <v>0</v>
      </c>
      <c r="M1556">
        <v>1000</v>
      </c>
      <c r="N1556">
        <v>0</v>
      </c>
      <c r="O1556">
        <v>0</v>
      </c>
      <c r="P1556" s="216">
        <v>0</v>
      </c>
      <c r="Q1556" s="217" t="s">
        <v>10</v>
      </c>
      <c r="R1556" s="217" t="s">
        <v>554</v>
      </c>
      <c r="S1556" s="218">
        <v>0.39995219675326066</v>
      </c>
      <c r="T1556" t="s">
        <v>550</v>
      </c>
      <c r="U1556" t="s">
        <v>74</v>
      </c>
      <c r="V1556" s="219" t="s">
        <v>6692</v>
      </c>
      <c r="W1556" s="219" t="s">
        <v>67</v>
      </c>
    </row>
    <row r="1557" spans="1:23" ht="15" customHeight="1" x14ac:dyDescent="0.25">
      <c r="A1557" t="s">
        <v>3804</v>
      </c>
      <c r="B1557" t="s">
        <v>603</v>
      </c>
      <c r="C1557">
        <v>1000</v>
      </c>
      <c r="D1557" t="s">
        <v>3805</v>
      </c>
      <c r="E1557" t="s">
        <v>3803</v>
      </c>
      <c r="F1557" t="s">
        <v>585</v>
      </c>
      <c r="G1557" s="30">
        <v>46144</v>
      </c>
      <c r="H1557" t="s">
        <v>3806</v>
      </c>
      <c r="I1557">
        <v>1160077.5</v>
      </c>
      <c r="J1557" s="123">
        <v>0</v>
      </c>
      <c r="K1557" s="123">
        <v>0</v>
      </c>
      <c r="L1557" s="123">
        <v>0</v>
      </c>
      <c r="M1557">
        <v>1000</v>
      </c>
      <c r="N1557">
        <v>0</v>
      </c>
      <c r="O1557">
        <v>0</v>
      </c>
      <c r="P1557" s="216">
        <v>0</v>
      </c>
      <c r="Q1557" s="217" t="s">
        <v>10</v>
      </c>
      <c r="R1557" s="217" t="s">
        <v>61</v>
      </c>
      <c r="S1557" s="218">
        <v>0.39994914132891984</v>
      </c>
      <c r="T1557" t="s">
        <v>550</v>
      </c>
      <c r="U1557" t="s">
        <v>74</v>
      </c>
      <c r="V1557" s="219">
        <v>0</v>
      </c>
      <c r="W1557" s="219">
        <v>0</v>
      </c>
    </row>
    <row r="1558" spans="1:23" ht="15" customHeight="1" x14ac:dyDescent="0.25">
      <c r="A1558" t="s">
        <v>3807</v>
      </c>
      <c r="B1558" t="s">
        <v>603</v>
      </c>
      <c r="C1558">
        <v>1000</v>
      </c>
      <c r="D1558" t="s">
        <v>3805</v>
      </c>
      <c r="E1558" t="s">
        <v>3803</v>
      </c>
      <c r="F1558" t="s">
        <v>554</v>
      </c>
      <c r="G1558" s="30">
        <v>46144</v>
      </c>
      <c r="H1558" t="s">
        <v>3806</v>
      </c>
      <c r="I1558">
        <v>1160077.5</v>
      </c>
      <c r="J1558" s="123">
        <v>46146</v>
      </c>
      <c r="K1558" s="123">
        <v>0</v>
      </c>
      <c r="L1558" s="123">
        <v>0</v>
      </c>
      <c r="M1558">
        <v>1000</v>
      </c>
      <c r="N1558">
        <v>0</v>
      </c>
      <c r="O1558">
        <v>0</v>
      </c>
      <c r="P1558" s="216">
        <v>0</v>
      </c>
      <c r="Q1558" s="217" t="s">
        <v>10</v>
      </c>
      <c r="R1558" s="217" t="s">
        <v>554</v>
      </c>
      <c r="S1558" s="218">
        <v>0.39994914132891984</v>
      </c>
      <c r="T1558" t="s">
        <v>550</v>
      </c>
      <c r="U1558" t="s">
        <v>74</v>
      </c>
      <c r="V1558" s="219" t="s">
        <v>6693</v>
      </c>
      <c r="W1558" s="219" t="s">
        <v>67</v>
      </c>
    </row>
    <row r="1559" spans="1:23" ht="15" customHeight="1" x14ac:dyDescent="0.25">
      <c r="A1559" t="s">
        <v>3808</v>
      </c>
      <c r="B1559" t="s">
        <v>595</v>
      </c>
      <c r="C1559">
        <v>23270</v>
      </c>
      <c r="D1559" t="s">
        <v>3805</v>
      </c>
      <c r="E1559" t="s">
        <v>268</v>
      </c>
      <c r="F1559" t="s">
        <v>585</v>
      </c>
      <c r="G1559" s="30">
        <v>46145</v>
      </c>
      <c r="H1559" t="s">
        <v>3806</v>
      </c>
      <c r="I1559">
        <v>1160077.5</v>
      </c>
      <c r="J1559" s="123">
        <v>0</v>
      </c>
      <c r="K1559" s="123">
        <v>0</v>
      </c>
      <c r="L1559" s="123">
        <v>46145</v>
      </c>
      <c r="M1559">
        <v>0</v>
      </c>
      <c r="N1559">
        <v>0</v>
      </c>
      <c r="O1559">
        <v>0</v>
      </c>
      <c r="P1559" s="216">
        <v>23270</v>
      </c>
      <c r="Q1559" s="217" t="s">
        <v>10</v>
      </c>
      <c r="R1559" s="217" t="s">
        <v>61</v>
      </c>
      <c r="S1559" s="218">
        <v>0.39994914132891984</v>
      </c>
      <c r="T1559" t="s">
        <v>550</v>
      </c>
      <c r="U1559" t="s">
        <v>74</v>
      </c>
      <c r="V1559" s="219">
        <v>0</v>
      </c>
      <c r="W1559" s="219">
        <v>0</v>
      </c>
    </row>
    <row r="1560" spans="1:23" ht="15" customHeight="1" x14ac:dyDescent="0.25">
      <c r="A1560" t="s">
        <v>3809</v>
      </c>
      <c r="B1560" t="s">
        <v>546</v>
      </c>
      <c r="C1560">
        <v>50000</v>
      </c>
      <c r="D1560" t="s">
        <v>3810</v>
      </c>
      <c r="E1560" t="s">
        <v>553</v>
      </c>
      <c r="F1560" t="s">
        <v>554</v>
      </c>
      <c r="G1560" s="30">
        <v>46148</v>
      </c>
      <c r="H1560" t="s">
        <v>3811</v>
      </c>
      <c r="I1560">
        <v>2352936.25</v>
      </c>
      <c r="J1560" s="123">
        <v>46147</v>
      </c>
      <c r="K1560" s="123">
        <v>0</v>
      </c>
      <c r="L1560" s="123">
        <v>46147</v>
      </c>
      <c r="M1560">
        <v>0</v>
      </c>
      <c r="N1560">
        <v>0</v>
      </c>
      <c r="O1560" t="s">
        <v>556</v>
      </c>
      <c r="P1560" s="216">
        <v>50000</v>
      </c>
      <c r="Q1560" s="217" t="s">
        <v>10</v>
      </c>
      <c r="R1560" s="217" t="s">
        <v>554</v>
      </c>
      <c r="S1560" s="218">
        <v>0.60042664989329819</v>
      </c>
      <c r="T1560" t="s">
        <v>550</v>
      </c>
      <c r="U1560" t="s">
        <v>74</v>
      </c>
      <c r="V1560" s="219" t="s">
        <v>6694</v>
      </c>
      <c r="W1560" s="219" t="s">
        <v>67</v>
      </c>
    </row>
    <row r="1561" spans="1:23" ht="15" customHeight="1" x14ac:dyDescent="0.25">
      <c r="A1561" t="s">
        <v>3812</v>
      </c>
      <c r="B1561" t="s">
        <v>575</v>
      </c>
      <c r="C1561">
        <v>324872</v>
      </c>
      <c r="D1561" t="s">
        <v>3813</v>
      </c>
      <c r="E1561" t="s">
        <v>268</v>
      </c>
      <c r="F1561" t="s">
        <v>554</v>
      </c>
      <c r="G1561" s="30">
        <v>46147</v>
      </c>
      <c r="H1561" t="s">
        <v>3814</v>
      </c>
      <c r="I1561">
        <v>3248715</v>
      </c>
      <c r="J1561" s="123">
        <v>0</v>
      </c>
      <c r="K1561" s="123">
        <v>0</v>
      </c>
      <c r="L1561" s="123">
        <v>46142</v>
      </c>
      <c r="M1561">
        <v>0</v>
      </c>
      <c r="N1561">
        <v>0</v>
      </c>
      <c r="O1561">
        <v>0</v>
      </c>
      <c r="P1561" s="216">
        <v>324872</v>
      </c>
      <c r="Q1561" s="217" t="s">
        <v>10</v>
      </c>
      <c r="R1561" s="217" t="s">
        <v>554</v>
      </c>
      <c r="S1561" s="218">
        <v>0.39996506310956792</v>
      </c>
      <c r="T1561" t="s">
        <v>550</v>
      </c>
      <c r="U1561" t="s">
        <v>74</v>
      </c>
      <c r="V1561" s="219" t="s">
        <v>6695</v>
      </c>
      <c r="W1561" s="219" t="s">
        <v>67</v>
      </c>
    </row>
    <row r="1562" spans="1:23" ht="15" customHeight="1" x14ac:dyDescent="0.25">
      <c r="A1562" t="s">
        <v>3815</v>
      </c>
      <c r="B1562" t="s">
        <v>595</v>
      </c>
      <c r="C1562">
        <v>124953</v>
      </c>
      <c r="D1562" t="s">
        <v>3816</v>
      </c>
      <c r="E1562" t="s">
        <v>268</v>
      </c>
      <c r="F1562" t="s">
        <v>554</v>
      </c>
      <c r="G1562" s="30">
        <v>46146</v>
      </c>
      <c r="H1562" t="s">
        <v>3817</v>
      </c>
      <c r="I1562">
        <v>1249529.75</v>
      </c>
      <c r="J1562" s="123">
        <v>0</v>
      </c>
      <c r="K1562" s="123">
        <v>0</v>
      </c>
      <c r="L1562" s="123">
        <v>46146</v>
      </c>
      <c r="M1562">
        <v>0</v>
      </c>
      <c r="N1562">
        <v>0</v>
      </c>
      <c r="O1562">
        <v>0</v>
      </c>
      <c r="P1562" s="216">
        <v>124953</v>
      </c>
      <c r="Q1562" s="217" t="s">
        <v>10</v>
      </c>
      <c r="R1562" s="217" t="s">
        <v>554</v>
      </c>
      <c r="S1562" s="218">
        <v>0.50000008403161267</v>
      </c>
      <c r="T1562" t="s">
        <v>550</v>
      </c>
      <c r="U1562" t="s">
        <v>74</v>
      </c>
      <c r="V1562" s="219" t="s">
        <v>6696</v>
      </c>
      <c r="W1562" s="219" t="s">
        <v>67</v>
      </c>
    </row>
    <row r="1563" spans="1:23" ht="15" customHeight="1" x14ac:dyDescent="0.25">
      <c r="A1563" t="s">
        <v>3818</v>
      </c>
      <c r="B1563" t="s">
        <v>546</v>
      </c>
      <c r="C1563">
        <v>251596.05</v>
      </c>
      <c r="D1563" t="s">
        <v>3819</v>
      </c>
      <c r="E1563" t="s">
        <v>553</v>
      </c>
      <c r="F1563" t="s">
        <v>554</v>
      </c>
      <c r="G1563" s="30">
        <v>46144</v>
      </c>
      <c r="H1563" t="s">
        <v>3820</v>
      </c>
      <c r="I1563">
        <v>2513924.75</v>
      </c>
      <c r="J1563" s="123">
        <v>46143</v>
      </c>
      <c r="K1563" s="123">
        <v>0</v>
      </c>
      <c r="L1563" s="123">
        <v>46143</v>
      </c>
      <c r="M1563">
        <v>0</v>
      </c>
      <c r="N1563">
        <v>0</v>
      </c>
      <c r="O1563" t="s">
        <v>556</v>
      </c>
      <c r="P1563" s="216">
        <v>251596.05</v>
      </c>
      <c r="Q1563" s="217" t="s">
        <v>10</v>
      </c>
      <c r="R1563" s="217" t="s">
        <v>554</v>
      </c>
      <c r="S1563" s="218">
        <v>0.3999996419940573</v>
      </c>
      <c r="T1563" t="s">
        <v>550</v>
      </c>
      <c r="U1563" t="s">
        <v>74</v>
      </c>
      <c r="V1563" s="219" t="s">
        <v>6697</v>
      </c>
      <c r="W1563" s="219" t="s">
        <v>67</v>
      </c>
    </row>
    <row r="1564" spans="1:23" ht="15" customHeight="1" x14ac:dyDescent="0.25">
      <c r="A1564" t="s">
        <v>3821</v>
      </c>
      <c r="B1564" t="s">
        <v>595</v>
      </c>
      <c r="C1564">
        <v>235345.88</v>
      </c>
      <c r="D1564" t="s">
        <v>3822</v>
      </c>
      <c r="E1564" t="s">
        <v>268</v>
      </c>
      <c r="F1564" t="s">
        <v>554</v>
      </c>
      <c r="G1564" s="30">
        <v>46147</v>
      </c>
      <c r="H1564" t="s">
        <v>3823</v>
      </c>
      <c r="I1564">
        <v>2353458.75</v>
      </c>
      <c r="J1564" s="123">
        <v>0</v>
      </c>
      <c r="K1564" s="123">
        <v>0</v>
      </c>
      <c r="L1564" s="123">
        <v>46147</v>
      </c>
      <c r="M1564">
        <v>0</v>
      </c>
      <c r="N1564">
        <v>0</v>
      </c>
      <c r="O1564">
        <v>0</v>
      </c>
      <c r="P1564" s="216">
        <v>235345.88</v>
      </c>
      <c r="Q1564" s="217" t="s">
        <v>10</v>
      </c>
      <c r="R1564" s="217" t="s">
        <v>554</v>
      </c>
      <c r="S1564" s="218">
        <v>0.50000021457779953</v>
      </c>
      <c r="T1564" t="s">
        <v>550</v>
      </c>
      <c r="U1564" t="s">
        <v>74</v>
      </c>
      <c r="V1564" s="219" t="s">
        <v>6698</v>
      </c>
      <c r="W1564" s="219" t="s">
        <v>67</v>
      </c>
    </row>
    <row r="1565" spans="1:23" ht="15" customHeight="1" x14ac:dyDescent="0.25">
      <c r="A1565" t="s">
        <v>3824</v>
      </c>
      <c r="B1565" t="s">
        <v>595</v>
      </c>
      <c r="C1565">
        <v>251393</v>
      </c>
      <c r="D1565" t="s">
        <v>3825</v>
      </c>
      <c r="E1565" t="s">
        <v>268</v>
      </c>
      <c r="F1565" t="s">
        <v>554</v>
      </c>
      <c r="G1565" s="30">
        <v>46147</v>
      </c>
      <c r="H1565" t="s">
        <v>3826</v>
      </c>
      <c r="I1565">
        <v>2513924.75</v>
      </c>
      <c r="J1565" s="123">
        <v>0</v>
      </c>
      <c r="K1565" s="123">
        <v>0</v>
      </c>
      <c r="L1565" s="123">
        <v>46146</v>
      </c>
      <c r="M1565">
        <v>0</v>
      </c>
      <c r="N1565">
        <v>0</v>
      </c>
      <c r="O1565">
        <v>0</v>
      </c>
      <c r="P1565" s="216">
        <v>251393</v>
      </c>
      <c r="Q1565" s="217" t="s">
        <v>10</v>
      </c>
      <c r="R1565" s="217" t="s">
        <v>554</v>
      </c>
      <c r="S1565" s="218">
        <v>0.40043421347436908</v>
      </c>
      <c r="T1565" t="s">
        <v>550</v>
      </c>
      <c r="U1565" t="s">
        <v>74</v>
      </c>
      <c r="V1565" s="219" t="s">
        <v>6699</v>
      </c>
      <c r="W1565" s="219" t="s">
        <v>67</v>
      </c>
    </row>
    <row r="1566" spans="1:23" ht="15" customHeight="1" x14ac:dyDescent="0.25">
      <c r="A1566" t="s">
        <v>3827</v>
      </c>
      <c r="B1566" t="s">
        <v>546</v>
      </c>
      <c r="C1566">
        <v>15790</v>
      </c>
      <c r="D1566" t="s">
        <v>3828</v>
      </c>
      <c r="E1566" t="s">
        <v>553</v>
      </c>
      <c r="F1566" t="s">
        <v>554</v>
      </c>
      <c r="G1566" s="30">
        <v>46148</v>
      </c>
      <c r="H1566" t="s">
        <v>3829</v>
      </c>
      <c r="I1566">
        <v>1219420</v>
      </c>
      <c r="J1566" s="123">
        <v>46148</v>
      </c>
      <c r="K1566" s="123">
        <v>0</v>
      </c>
      <c r="L1566" s="123">
        <v>46148</v>
      </c>
      <c r="M1566">
        <v>0</v>
      </c>
      <c r="N1566">
        <v>0</v>
      </c>
      <c r="O1566" t="s">
        <v>556</v>
      </c>
      <c r="P1566" s="216">
        <v>15790</v>
      </c>
      <c r="Q1566" s="217" t="s">
        <v>10</v>
      </c>
      <c r="R1566" s="217" t="s">
        <v>554</v>
      </c>
      <c r="S1566" s="218">
        <v>0.5</v>
      </c>
      <c r="T1566" t="s">
        <v>550</v>
      </c>
      <c r="U1566" t="s">
        <v>74</v>
      </c>
      <c r="V1566" s="219" t="s">
        <v>6700</v>
      </c>
      <c r="W1566" s="219" t="s">
        <v>67</v>
      </c>
    </row>
    <row r="1567" spans="1:23" ht="15" customHeight="1" x14ac:dyDescent="0.25">
      <c r="A1567" t="s">
        <v>3830</v>
      </c>
      <c r="B1567" t="s">
        <v>546</v>
      </c>
      <c r="C1567">
        <v>30000</v>
      </c>
      <c r="D1567" t="s">
        <v>3831</v>
      </c>
      <c r="E1567" t="s">
        <v>553</v>
      </c>
      <c r="F1567" t="s">
        <v>548</v>
      </c>
      <c r="G1567" s="30">
        <v>46143</v>
      </c>
      <c r="H1567" t="s">
        <v>3832</v>
      </c>
      <c r="I1567">
        <v>1198746.75</v>
      </c>
      <c r="J1567" s="123">
        <v>46143</v>
      </c>
      <c r="K1567" s="123">
        <v>0</v>
      </c>
      <c r="L1567" s="123">
        <v>46143</v>
      </c>
      <c r="M1567">
        <v>0</v>
      </c>
      <c r="N1567">
        <v>0</v>
      </c>
      <c r="O1567" t="s">
        <v>556</v>
      </c>
      <c r="P1567" s="216">
        <v>30000</v>
      </c>
      <c r="Q1567" s="217" t="s">
        <v>8</v>
      </c>
      <c r="R1567" s="217" t="s">
        <v>62</v>
      </c>
      <c r="S1567" s="218">
        <v>0.50179489537719291</v>
      </c>
      <c r="T1567" t="s">
        <v>550</v>
      </c>
      <c r="U1567" t="s">
        <v>74</v>
      </c>
      <c r="V1567" s="219">
        <v>0</v>
      </c>
      <c r="W1567" s="219">
        <v>0</v>
      </c>
    </row>
    <row r="1568" spans="1:23" ht="15" customHeight="1" x14ac:dyDescent="0.25">
      <c r="A1568" t="s">
        <v>3833</v>
      </c>
      <c r="B1568" t="s">
        <v>546</v>
      </c>
      <c r="C1568">
        <v>29000</v>
      </c>
      <c r="D1568" t="s">
        <v>3831</v>
      </c>
      <c r="E1568" t="s">
        <v>553</v>
      </c>
      <c r="F1568" t="s">
        <v>554</v>
      </c>
      <c r="G1568" s="30">
        <v>46144</v>
      </c>
      <c r="H1568" t="s">
        <v>3832</v>
      </c>
      <c r="I1568">
        <v>1198746.75</v>
      </c>
      <c r="J1568" s="123">
        <v>46144</v>
      </c>
      <c r="K1568" s="123">
        <v>0</v>
      </c>
      <c r="L1568" s="123">
        <v>46144</v>
      </c>
      <c r="M1568">
        <v>0</v>
      </c>
      <c r="N1568">
        <v>0</v>
      </c>
      <c r="O1568" t="s">
        <v>556</v>
      </c>
      <c r="P1568" s="216">
        <v>29000</v>
      </c>
      <c r="Q1568" s="217" t="s">
        <v>8</v>
      </c>
      <c r="R1568" s="217" t="s">
        <v>554</v>
      </c>
      <c r="S1568" s="218">
        <v>0.50179489537719291</v>
      </c>
      <c r="T1568" t="s">
        <v>550</v>
      </c>
      <c r="U1568" t="s">
        <v>74</v>
      </c>
      <c r="V1568" s="219" t="s">
        <v>6701</v>
      </c>
      <c r="W1568" s="219" t="s">
        <v>67</v>
      </c>
    </row>
    <row r="1569" spans="1:23" ht="15" customHeight="1" x14ac:dyDescent="0.25">
      <c r="A1569" t="s">
        <v>3834</v>
      </c>
      <c r="B1569" t="s">
        <v>546</v>
      </c>
      <c r="C1569">
        <v>30000</v>
      </c>
      <c r="D1569" t="s">
        <v>3831</v>
      </c>
      <c r="E1569" t="s">
        <v>553</v>
      </c>
      <c r="F1569" t="s">
        <v>554</v>
      </c>
      <c r="G1569" s="30">
        <v>46144</v>
      </c>
      <c r="H1569" t="s">
        <v>3832</v>
      </c>
      <c r="I1569">
        <v>1198746.75</v>
      </c>
      <c r="J1569" s="123">
        <v>46144</v>
      </c>
      <c r="K1569" s="123">
        <v>0</v>
      </c>
      <c r="L1569" s="123">
        <v>46144</v>
      </c>
      <c r="M1569">
        <v>0</v>
      </c>
      <c r="N1569">
        <v>0</v>
      </c>
      <c r="O1569" t="s">
        <v>556</v>
      </c>
      <c r="P1569" s="216">
        <v>30000</v>
      </c>
      <c r="Q1569" s="217" t="s">
        <v>8</v>
      </c>
      <c r="R1569" s="217" t="s">
        <v>554</v>
      </c>
      <c r="S1569" s="218">
        <v>0.50179489537719291</v>
      </c>
      <c r="T1569" t="s">
        <v>550</v>
      </c>
      <c r="U1569" t="s">
        <v>74</v>
      </c>
      <c r="V1569" s="219" t="s">
        <v>6702</v>
      </c>
      <c r="W1569" s="219" t="s">
        <v>67</v>
      </c>
    </row>
    <row r="1570" spans="1:23" ht="15" customHeight="1" x14ac:dyDescent="0.25">
      <c r="A1570" t="s">
        <v>3835</v>
      </c>
      <c r="B1570" t="s">
        <v>546</v>
      </c>
      <c r="C1570">
        <v>500</v>
      </c>
      <c r="D1570" t="s">
        <v>3831</v>
      </c>
      <c r="E1570" t="s">
        <v>553</v>
      </c>
      <c r="F1570" t="s">
        <v>554</v>
      </c>
      <c r="G1570" s="30">
        <v>46147</v>
      </c>
      <c r="H1570" t="s">
        <v>3832</v>
      </c>
      <c r="I1570">
        <v>1198746.75</v>
      </c>
      <c r="J1570" s="123">
        <v>46147</v>
      </c>
      <c r="K1570" s="123">
        <v>0</v>
      </c>
      <c r="L1570" s="123">
        <v>46147</v>
      </c>
      <c r="M1570">
        <v>0</v>
      </c>
      <c r="N1570">
        <v>0</v>
      </c>
      <c r="O1570" t="s">
        <v>556</v>
      </c>
      <c r="P1570" s="216">
        <v>500</v>
      </c>
      <c r="Q1570" s="217" t="s">
        <v>8</v>
      </c>
      <c r="R1570" s="217" t="s">
        <v>554</v>
      </c>
      <c r="S1570" s="218">
        <v>0.50179489537719291</v>
      </c>
      <c r="T1570" t="s">
        <v>550</v>
      </c>
      <c r="U1570" t="s">
        <v>74</v>
      </c>
      <c r="V1570" s="219" t="s">
        <v>6703</v>
      </c>
      <c r="W1570" s="219" t="s">
        <v>67</v>
      </c>
    </row>
    <row r="1571" spans="1:23" ht="15" customHeight="1" x14ac:dyDescent="0.25">
      <c r="A1571" t="s">
        <v>3836</v>
      </c>
      <c r="B1571" t="s">
        <v>546</v>
      </c>
      <c r="C1571">
        <v>124849</v>
      </c>
      <c r="D1571" t="s">
        <v>3837</v>
      </c>
      <c r="E1571" t="s">
        <v>268</v>
      </c>
      <c r="F1571" t="s">
        <v>548</v>
      </c>
      <c r="G1571" s="30">
        <v>46148</v>
      </c>
      <c r="H1571" t="s">
        <v>3838</v>
      </c>
      <c r="I1571">
        <v>1248487</v>
      </c>
      <c r="J1571" s="123">
        <v>0</v>
      </c>
      <c r="K1571" s="123">
        <v>0</v>
      </c>
      <c r="L1571" s="123">
        <v>0</v>
      </c>
      <c r="M1571">
        <v>0</v>
      </c>
      <c r="N1571">
        <v>0</v>
      </c>
      <c r="O1571">
        <v>0</v>
      </c>
      <c r="P1571" s="216">
        <v>124849</v>
      </c>
      <c r="Q1571" s="217" t="s">
        <v>10</v>
      </c>
      <c r="R1571" s="217" t="s">
        <v>62</v>
      </c>
      <c r="S1571" s="218">
        <v>0.39924636780358946</v>
      </c>
      <c r="T1571" t="s">
        <v>550</v>
      </c>
      <c r="U1571" t="s">
        <v>74</v>
      </c>
      <c r="V1571" s="219">
        <v>0</v>
      </c>
      <c r="W1571" s="219">
        <v>0</v>
      </c>
    </row>
    <row r="1572" spans="1:23" ht="15" customHeight="1" x14ac:dyDescent="0.25">
      <c r="A1572" t="s">
        <v>3839</v>
      </c>
      <c r="B1572" t="s">
        <v>546</v>
      </c>
      <c r="C1572">
        <v>124849</v>
      </c>
      <c r="D1572" t="s">
        <v>3837</v>
      </c>
      <c r="E1572" t="s">
        <v>268</v>
      </c>
      <c r="F1572" t="s">
        <v>548</v>
      </c>
      <c r="G1572" s="30">
        <v>46149</v>
      </c>
      <c r="H1572" t="s">
        <v>3838</v>
      </c>
      <c r="I1572">
        <v>1248487</v>
      </c>
      <c r="J1572" s="123">
        <v>0</v>
      </c>
      <c r="K1572" s="123">
        <v>0</v>
      </c>
      <c r="L1572" s="123">
        <v>0</v>
      </c>
      <c r="M1572">
        <v>0</v>
      </c>
      <c r="N1572">
        <v>0</v>
      </c>
      <c r="O1572">
        <v>0</v>
      </c>
      <c r="P1572" s="216">
        <v>124849</v>
      </c>
      <c r="Q1572" s="217" t="s">
        <v>10</v>
      </c>
      <c r="R1572" s="217" t="s">
        <v>62</v>
      </c>
      <c r="S1572" s="218">
        <v>0.39924636780358946</v>
      </c>
      <c r="T1572" t="s">
        <v>550</v>
      </c>
      <c r="U1572" t="s">
        <v>74</v>
      </c>
      <c r="V1572" s="219">
        <v>0</v>
      </c>
      <c r="W1572" s="219">
        <v>0</v>
      </c>
    </row>
    <row r="1573" spans="1:23" ht="15" customHeight="1" x14ac:dyDescent="0.25">
      <c r="A1573" t="s">
        <v>3840</v>
      </c>
      <c r="B1573" t="s">
        <v>595</v>
      </c>
      <c r="C1573">
        <v>251392</v>
      </c>
      <c r="D1573" t="s">
        <v>3841</v>
      </c>
      <c r="E1573" t="s">
        <v>268</v>
      </c>
      <c r="F1573" t="s">
        <v>554</v>
      </c>
      <c r="G1573" s="30">
        <v>46147</v>
      </c>
      <c r="H1573" t="s">
        <v>3842</v>
      </c>
      <c r="I1573">
        <v>2513924.75</v>
      </c>
      <c r="J1573" s="123">
        <v>0</v>
      </c>
      <c r="K1573" s="123">
        <v>0</v>
      </c>
      <c r="L1573" s="123">
        <v>46146</v>
      </c>
      <c r="M1573">
        <v>0</v>
      </c>
      <c r="N1573">
        <v>0</v>
      </c>
      <c r="O1573">
        <v>0</v>
      </c>
      <c r="P1573" s="216">
        <v>251392</v>
      </c>
      <c r="Q1573" s="217" t="s">
        <v>10</v>
      </c>
      <c r="R1573" s="217" t="s">
        <v>554</v>
      </c>
      <c r="S1573" s="218">
        <v>0.50000581759656892</v>
      </c>
      <c r="T1573" t="s">
        <v>550</v>
      </c>
      <c r="U1573" t="s">
        <v>74</v>
      </c>
      <c r="V1573" s="219" t="s">
        <v>6704</v>
      </c>
      <c r="W1573" s="219" t="s">
        <v>67</v>
      </c>
    </row>
    <row r="1574" spans="1:23" ht="15" customHeight="1" x14ac:dyDescent="0.25">
      <c r="A1574" t="s">
        <v>3843</v>
      </c>
      <c r="B1574" t="s">
        <v>603</v>
      </c>
      <c r="C1574">
        <v>442949</v>
      </c>
      <c r="D1574" t="s">
        <v>3844</v>
      </c>
      <c r="E1574" t="s">
        <v>605</v>
      </c>
      <c r="F1574" t="s">
        <v>683</v>
      </c>
      <c r="G1574" s="30">
        <v>46147</v>
      </c>
      <c r="H1574" t="s">
        <v>3845</v>
      </c>
      <c r="I1574">
        <v>17730216</v>
      </c>
      <c r="J1574" s="123">
        <v>0</v>
      </c>
      <c r="K1574" s="123">
        <v>0</v>
      </c>
      <c r="L1574" s="123">
        <v>0</v>
      </c>
      <c r="M1574">
        <v>0</v>
      </c>
      <c r="N1574">
        <v>0</v>
      </c>
      <c r="O1574">
        <v>0</v>
      </c>
      <c r="P1574" s="216">
        <v>442949</v>
      </c>
      <c r="Q1574" s="217" t="s">
        <v>10</v>
      </c>
      <c r="R1574" s="217" t="s">
        <v>62</v>
      </c>
      <c r="S1574" s="218">
        <v>0.39999999548792864</v>
      </c>
      <c r="T1574" t="s">
        <v>550</v>
      </c>
      <c r="U1574" t="s">
        <v>74</v>
      </c>
      <c r="V1574" s="219">
        <v>0</v>
      </c>
      <c r="W1574" s="219">
        <v>0</v>
      </c>
    </row>
    <row r="1575" spans="1:23" ht="15" customHeight="1" x14ac:dyDescent="0.25">
      <c r="A1575" t="s">
        <v>3846</v>
      </c>
      <c r="B1575" t="s">
        <v>603</v>
      </c>
      <c r="C1575">
        <v>1122989</v>
      </c>
      <c r="D1575" t="s">
        <v>3847</v>
      </c>
      <c r="E1575" t="s">
        <v>605</v>
      </c>
      <c r="F1575" t="s">
        <v>554</v>
      </c>
      <c r="G1575" s="30">
        <v>46143</v>
      </c>
      <c r="H1575" t="s">
        <v>3848</v>
      </c>
      <c r="I1575">
        <v>17730216</v>
      </c>
      <c r="J1575" s="123">
        <v>46143</v>
      </c>
      <c r="K1575" s="123">
        <v>0</v>
      </c>
      <c r="L1575" s="123">
        <v>0</v>
      </c>
      <c r="M1575">
        <v>0</v>
      </c>
      <c r="N1575">
        <v>0</v>
      </c>
      <c r="O1575">
        <v>0</v>
      </c>
      <c r="P1575" s="216">
        <v>1122989</v>
      </c>
      <c r="Q1575" s="217" t="s">
        <v>8</v>
      </c>
      <c r="R1575" s="217" t="s">
        <v>554</v>
      </c>
      <c r="S1575" s="218">
        <v>0.20000001861229438</v>
      </c>
      <c r="T1575" t="s">
        <v>550</v>
      </c>
      <c r="U1575" t="s">
        <v>74</v>
      </c>
      <c r="V1575" s="219" t="s">
        <v>6705</v>
      </c>
      <c r="W1575" s="219" t="s">
        <v>67</v>
      </c>
    </row>
    <row r="1576" spans="1:23" ht="15" customHeight="1" x14ac:dyDescent="0.25">
      <c r="A1576" t="s">
        <v>3849</v>
      </c>
      <c r="B1576" t="s">
        <v>603</v>
      </c>
      <c r="C1576">
        <v>1200000</v>
      </c>
      <c r="D1576" t="s">
        <v>3847</v>
      </c>
      <c r="E1576" t="s">
        <v>605</v>
      </c>
      <c r="F1576" t="s">
        <v>585</v>
      </c>
      <c r="G1576" s="30">
        <v>46143</v>
      </c>
      <c r="H1576" t="s">
        <v>3848</v>
      </c>
      <c r="I1576">
        <v>17730216</v>
      </c>
      <c r="J1576" s="123">
        <v>0</v>
      </c>
      <c r="K1576" s="123">
        <v>0</v>
      </c>
      <c r="L1576" s="123">
        <v>0</v>
      </c>
      <c r="M1576">
        <v>0</v>
      </c>
      <c r="N1576">
        <v>0</v>
      </c>
      <c r="O1576">
        <v>0</v>
      </c>
      <c r="P1576" s="216">
        <v>1200000</v>
      </c>
      <c r="Q1576" s="217" t="s">
        <v>8</v>
      </c>
      <c r="R1576" s="217" t="s">
        <v>61</v>
      </c>
      <c r="S1576" s="218">
        <v>0.20000001861229438</v>
      </c>
      <c r="T1576" t="s">
        <v>550</v>
      </c>
      <c r="U1576" t="s">
        <v>74</v>
      </c>
      <c r="V1576" s="219">
        <v>0</v>
      </c>
      <c r="W1576" s="219">
        <v>0</v>
      </c>
    </row>
    <row r="1577" spans="1:23" ht="15" customHeight="1" x14ac:dyDescent="0.25">
      <c r="A1577" t="s">
        <v>3850</v>
      </c>
      <c r="B1577" t="s">
        <v>595</v>
      </c>
      <c r="C1577">
        <v>1300</v>
      </c>
      <c r="D1577" t="s">
        <v>3847</v>
      </c>
      <c r="E1577" t="s">
        <v>3851</v>
      </c>
      <c r="F1577" t="s">
        <v>580</v>
      </c>
      <c r="G1577" s="30">
        <v>46149</v>
      </c>
      <c r="H1577" t="s">
        <v>3848</v>
      </c>
      <c r="I1577">
        <v>17730216</v>
      </c>
      <c r="J1577" s="123">
        <v>0</v>
      </c>
      <c r="K1577" s="123">
        <v>0</v>
      </c>
      <c r="L1577" s="123">
        <v>46146</v>
      </c>
      <c r="M1577">
        <v>0</v>
      </c>
      <c r="N1577">
        <v>0</v>
      </c>
      <c r="O1577">
        <v>0</v>
      </c>
      <c r="P1577" s="216">
        <v>1300</v>
      </c>
      <c r="Q1577" s="217" t="s">
        <v>8</v>
      </c>
      <c r="R1577" s="217" t="s">
        <v>582</v>
      </c>
      <c r="S1577" s="218">
        <v>0.20000001861229438</v>
      </c>
      <c r="T1577" t="s">
        <v>550</v>
      </c>
      <c r="U1577" t="s">
        <v>74</v>
      </c>
      <c r="V1577" s="219">
        <v>0</v>
      </c>
      <c r="W1577" s="219">
        <v>0</v>
      </c>
    </row>
    <row r="1578" spans="1:23" ht="15" customHeight="1" x14ac:dyDescent="0.25">
      <c r="A1578" t="s">
        <v>3852</v>
      </c>
      <c r="B1578" t="s">
        <v>595</v>
      </c>
      <c r="C1578">
        <v>5000</v>
      </c>
      <c r="D1578" t="s">
        <v>3847</v>
      </c>
      <c r="E1578" t="s">
        <v>3851</v>
      </c>
      <c r="F1578" t="s">
        <v>580</v>
      </c>
      <c r="G1578" s="30">
        <v>46149</v>
      </c>
      <c r="H1578" t="s">
        <v>3848</v>
      </c>
      <c r="I1578">
        <v>17730216</v>
      </c>
      <c r="J1578" s="123">
        <v>0</v>
      </c>
      <c r="K1578" s="123">
        <v>0</v>
      </c>
      <c r="L1578" s="123">
        <v>46146</v>
      </c>
      <c r="M1578">
        <v>0</v>
      </c>
      <c r="N1578">
        <v>0</v>
      </c>
      <c r="O1578">
        <v>0</v>
      </c>
      <c r="P1578" s="216">
        <v>5000</v>
      </c>
      <c r="Q1578" s="217" t="s">
        <v>8</v>
      </c>
      <c r="R1578" s="217" t="s">
        <v>582</v>
      </c>
      <c r="S1578" s="218">
        <v>0.20000001861229438</v>
      </c>
      <c r="T1578" t="s">
        <v>550</v>
      </c>
      <c r="U1578" t="s">
        <v>74</v>
      </c>
      <c r="V1578" s="219">
        <v>0</v>
      </c>
      <c r="W1578" s="219">
        <v>0</v>
      </c>
    </row>
    <row r="1579" spans="1:23" ht="15" customHeight="1" x14ac:dyDescent="0.25">
      <c r="A1579" t="s">
        <v>3853</v>
      </c>
      <c r="B1579" t="s">
        <v>603</v>
      </c>
      <c r="C1579">
        <v>2577558</v>
      </c>
      <c r="D1579" t="s">
        <v>3854</v>
      </c>
      <c r="E1579" t="s">
        <v>605</v>
      </c>
      <c r="F1579" t="s">
        <v>554</v>
      </c>
      <c r="G1579" s="30">
        <v>46143</v>
      </c>
      <c r="H1579" t="s">
        <v>3855</v>
      </c>
      <c r="I1579">
        <v>25775580</v>
      </c>
      <c r="J1579" s="123">
        <v>46143</v>
      </c>
      <c r="K1579" s="123">
        <v>0</v>
      </c>
      <c r="L1579" s="123">
        <v>0</v>
      </c>
      <c r="M1579">
        <v>0</v>
      </c>
      <c r="N1579">
        <v>0</v>
      </c>
      <c r="O1579">
        <v>0</v>
      </c>
      <c r="P1579" s="216">
        <v>2577558</v>
      </c>
      <c r="Q1579" s="217" t="s">
        <v>40</v>
      </c>
      <c r="R1579" s="217" t="s">
        <v>554</v>
      </c>
      <c r="S1579" s="218">
        <v>0.50062074257882849</v>
      </c>
      <c r="T1579" t="s">
        <v>550</v>
      </c>
      <c r="U1579" t="s">
        <v>51</v>
      </c>
      <c r="V1579" s="219" t="s">
        <v>6706</v>
      </c>
      <c r="W1579" s="219" t="s">
        <v>67</v>
      </c>
    </row>
    <row r="1580" spans="1:23" ht="15" customHeight="1" x14ac:dyDescent="0.25">
      <c r="A1580" t="s">
        <v>3856</v>
      </c>
      <c r="B1580" t="s">
        <v>595</v>
      </c>
      <c r="C1580">
        <v>101505</v>
      </c>
      <c r="D1580" t="s">
        <v>3857</v>
      </c>
      <c r="E1580" t="s">
        <v>243</v>
      </c>
      <c r="F1580" t="s">
        <v>554</v>
      </c>
      <c r="G1580" s="30">
        <v>46143</v>
      </c>
      <c r="H1580" t="s">
        <v>3858</v>
      </c>
      <c r="I1580">
        <v>1015049.6</v>
      </c>
      <c r="J1580" s="123">
        <v>0</v>
      </c>
      <c r="K1580" s="123">
        <v>0</v>
      </c>
      <c r="L1580" s="123">
        <v>46140</v>
      </c>
      <c r="M1580">
        <v>0</v>
      </c>
      <c r="N1580">
        <v>0</v>
      </c>
      <c r="O1580">
        <v>0</v>
      </c>
      <c r="P1580" s="216">
        <v>101505</v>
      </c>
      <c r="Q1580" s="217" t="s">
        <v>21</v>
      </c>
      <c r="R1580" s="217" t="s">
        <v>554</v>
      </c>
      <c r="S1580" s="218">
        <v>0.50000015762776517</v>
      </c>
      <c r="T1580" t="s">
        <v>550</v>
      </c>
      <c r="U1580" t="s">
        <v>51</v>
      </c>
      <c r="V1580" s="219" t="s">
        <v>6707</v>
      </c>
      <c r="W1580" s="219" t="s">
        <v>67</v>
      </c>
    </row>
    <row r="1581" spans="1:23" ht="15" customHeight="1" x14ac:dyDescent="0.25">
      <c r="A1581" t="s">
        <v>3859</v>
      </c>
      <c r="B1581" t="s">
        <v>546</v>
      </c>
      <c r="C1581">
        <v>12500</v>
      </c>
      <c r="D1581" t="s">
        <v>3860</v>
      </c>
      <c r="E1581" t="s">
        <v>553</v>
      </c>
      <c r="F1581" t="s">
        <v>554</v>
      </c>
      <c r="G1581" s="30">
        <v>46145</v>
      </c>
      <c r="H1581" t="s">
        <v>3861</v>
      </c>
      <c r="I1581">
        <v>1159132.8</v>
      </c>
      <c r="J1581" s="123">
        <v>46145</v>
      </c>
      <c r="K1581" s="123">
        <v>0</v>
      </c>
      <c r="L1581" s="123">
        <v>46145</v>
      </c>
      <c r="M1581">
        <v>0</v>
      </c>
      <c r="N1581">
        <v>0</v>
      </c>
      <c r="O1581" t="s">
        <v>556</v>
      </c>
      <c r="P1581" s="216">
        <v>12500</v>
      </c>
      <c r="Q1581" s="217" t="s">
        <v>49</v>
      </c>
      <c r="R1581" s="217" t="s">
        <v>554</v>
      </c>
      <c r="S1581" s="218">
        <v>0.33235104726567999</v>
      </c>
      <c r="T1581" t="s">
        <v>550</v>
      </c>
      <c r="U1581" t="s">
        <v>51</v>
      </c>
      <c r="V1581" s="219" t="s">
        <v>6708</v>
      </c>
      <c r="W1581" s="219" t="s">
        <v>67</v>
      </c>
    </row>
    <row r="1582" spans="1:23" ht="15" customHeight="1" x14ac:dyDescent="0.25">
      <c r="A1582" t="s">
        <v>3862</v>
      </c>
      <c r="B1582" t="s">
        <v>603</v>
      </c>
      <c r="C1582">
        <v>253901</v>
      </c>
      <c r="D1582" t="s">
        <v>3863</v>
      </c>
      <c r="E1582" t="s">
        <v>605</v>
      </c>
      <c r="F1582" t="s">
        <v>554</v>
      </c>
      <c r="G1582" s="30">
        <v>46147</v>
      </c>
      <c r="H1582" t="s">
        <v>3864</v>
      </c>
      <c r="I1582">
        <v>2537730.7999999998</v>
      </c>
      <c r="J1582" s="123">
        <v>46147</v>
      </c>
      <c r="K1582" s="123">
        <v>0</v>
      </c>
      <c r="L1582" s="123">
        <v>0</v>
      </c>
      <c r="M1582">
        <v>0</v>
      </c>
      <c r="N1582">
        <v>0</v>
      </c>
      <c r="O1582">
        <v>0</v>
      </c>
      <c r="P1582" s="216">
        <v>253901</v>
      </c>
      <c r="Q1582" s="217" t="s">
        <v>9</v>
      </c>
      <c r="R1582" s="217" t="s">
        <v>554</v>
      </c>
      <c r="S1582" s="218">
        <v>0.49999984237886858</v>
      </c>
      <c r="T1582" t="s">
        <v>550</v>
      </c>
      <c r="U1582" t="s">
        <v>74</v>
      </c>
      <c r="V1582" s="219" t="s">
        <v>6709</v>
      </c>
      <c r="W1582" s="219" t="s">
        <v>67</v>
      </c>
    </row>
    <row r="1583" spans="1:23" ht="15" customHeight="1" x14ac:dyDescent="0.25">
      <c r="A1583" t="s">
        <v>3865</v>
      </c>
      <c r="B1583" t="s">
        <v>546</v>
      </c>
      <c r="C1583">
        <v>176090</v>
      </c>
      <c r="D1583" t="s">
        <v>3866</v>
      </c>
      <c r="E1583" t="s">
        <v>258</v>
      </c>
      <c r="F1583" t="s">
        <v>554</v>
      </c>
      <c r="G1583" s="30">
        <v>46147</v>
      </c>
      <c r="H1583" t="s">
        <v>3867</v>
      </c>
      <c r="I1583">
        <v>3521721.44</v>
      </c>
      <c r="J1583" s="123">
        <v>0</v>
      </c>
      <c r="K1583" s="123">
        <v>0</v>
      </c>
      <c r="L1583" s="123">
        <v>0</v>
      </c>
      <c r="M1583">
        <v>0</v>
      </c>
      <c r="N1583">
        <v>0</v>
      </c>
      <c r="O1583">
        <v>0</v>
      </c>
      <c r="P1583" s="216">
        <v>176090</v>
      </c>
      <c r="Q1583" s="217" t="s">
        <v>9</v>
      </c>
      <c r="R1583" s="217" t="s">
        <v>554</v>
      </c>
      <c r="S1583" s="218">
        <v>0.45000237284525935</v>
      </c>
      <c r="T1583" t="s">
        <v>550</v>
      </c>
      <c r="U1583" t="s">
        <v>74</v>
      </c>
      <c r="V1583" s="219" t="s">
        <v>6710</v>
      </c>
      <c r="W1583" s="219" t="s">
        <v>67</v>
      </c>
    </row>
    <row r="1584" spans="1:23" ht="15" customHeight="1" x14ac:dyDescent="0.25">
      <c r="A1584" t="s">
        <v>3868</v>
      </c>
      <c r="B1584" t="s">
        <v>64</v>
      </c>
      <c r="C1584">
        <v>176078</v>
      </c>
      <c r="D1584" t="s">
        <v>3866</v>
      </c>
      <c r="E1584" t="s">
        <v>258</v>
      </c>
      <c r="F1584" t="s">
        <v>554</v>
      </c>
      <c r="G1584" s="30">
        <v>46147</v>
      </c>
      <c r="H1584" t="s">
        <v>3867</v>
      </c>
      <c r="I1584">
        <v>3521721.44</v>
      </c>
      <c r="J1584" s="123">
        <v>0</v>
      </c>
      <c r="K1584" s="123">
        <v>46146</v>
      </c>
      <c r="L1584" s="123">
        <v>0</v>
      </c>
      <c r="M1584">
        <v>0</v>
      </c>
      <c r="N1584">
        <v>0</v>
      </c>
      <c r="O1584" t="s">
        <v>556</v>
      </c>
      <c r="P1584" s="216">
        <v>176078</v>
      </c>
      <c r="Q1584" s="217" t="s">
        <v>9</v>
      </c>
      <c r="R1584" s="217" t="s">
        <v>554</v>
      </c>
      <c r="S1584" s="218">
        <v>0.45000237284525935</v>
      </c>
      <c r="T1584" t="s">
        <v>550</v>
      </c>
      <c r="U1584" t="s">
        <v>74</v>
      </c>
      <c r="V1584" s="219" t="s">
        <v>6711</v>
      </c>
      <c r="W1584" s="219" t="s">
        <v>71</v>
      </c>
    </row>
    <row r="1585" spans="1:23" ht="15" customHeight="1" x14ac:dyDescent="0.25">
      <c r="A1585" t="s">
        <v>3869</v>
      </c>
      <c r="B1585" t="s">
        <v>546</v>
      </c>
      <c r="C1585">
        <v>97583</v>
      </c>
      <c r="D1585" t="s">
        <v>3870</v>
      </c>
      <c r="E1585" t="s">
        <v>553</v>
      </c>
      <c r="F1585" t="s">
        <v>548</v>
      </c>
      <c r="G1585" s="30">
        <v>46144</v>
      </c>
      <c r="H1585" t="s">
        <v>3871</v>
      </c>
      <c r="I1585">
        <v>1183155.75</v>
      </c>
      <c r="J1585" s="123">
        <v>46144</v>
      </c>
      <c r="K1585" s="123">
        <v>0</v>
      </c>
      <c r="L1585" s="123">
        <v>46144</v>
      </c>
      <c r="M1585">
        <v>0</v>
      </c>
      <c r="N1585">
        <v>0</v>
      </c>
      <c r="O1585" t="s">
        <v>556</v>
      </c>
      <c r="P1585" s="216">
        <v>97583</v>
      </c>
      <c r="Q1585" s="217" t="s">
        <v>9</v>
      </c>
      <c r="R1585" s="217" t="s">
        <v>62</v>
      </c>
      <c r="S1585" s="218">
        <v>0.50000095084691931</v>
      </c>
      <c r="T1585" t="s">
        <v>550</v>
      </c>
      <c r="U1585" t="s">
        <v>74</v>
      </c>
      <c r="V1585" s="219">
        <v>0</v>
      </c>
      <c r="W1585" s="219">
        <v>0</v>
      </c>
    </row>
    <row r="1586" spans="1:23" ht="15" customHeight="1" x14ac:dyDescent="0.25">
      <c r="A1586" t="s">
        <v>3872</v>
      </c>
      <c r="B1586" t="s">
        <v>546</v>
      </c>
      <c r="C1586">
        <v>97583</v>
      </c>
      <c r="D1586" t="s">
        <v>3870</v>
      </c>
      <c r="E1586" t="s">
        <v>553</v>
      </c>
      <c r="F1586" t="s">
        <v>548</v>
      </c>
      <c r="G1586" s="30">
        <v>46144</v>
      </c>
      <c r="H1586" t="s">
        <v>3871</v>
      </c>
      <c r="I1586">
        <v>1183155.75</v>
      </c>
      <c r="J1586" s="123">
        <v>46144</v>
      </c>
      <c r="K1586" s="123">
        <v>0</v>
      </c>
      <c r="L1586" s="123">
        <v>46144</v>
      </c>
      <c r="M1586">
        <v>0</v>
      </c>
      <c r="N1586">
        <v>0</v>
      </c>
      <c r="O1586" t="s">
        <v>556</v>
      </c>
      <c r="P1586" s="216">
        <v>97583</v>
      </c>
      <c r="Q1586" s="217" t="s">
        <v>9</v>
      </c>
      <c r="R1586" s="217" t="s">
        <v>62</v>
      </c>
      <c r="S1586" s="218">
        <v>0.50000095084691931</v>
      </c>
      <c r="T1586" t="s">
        <v>550</v>
      </c>
      <c r="U1586" t="s">
        <v>74</v>
      </c>
      <c r="V1586" s="219">
        <v>0</v>
      </c>
      <c r="W1586" s="219">
        <v>0</v>
      </c>
    </row>
    <row r="1587" spans="1:23" ht="15" customHeight="1" x14ac:dyDescent="0.25">
      <c r="A1587" t="s">
        <v>3873</v>
      </c>
      <c r="B1587" t="s">
        <v>546</v>
      </c>
      <c r="C1587">
        <v>97583</v>
      </c>
      <c r="D1587" t="s">
        <v>3870</v>
      </c>
      <c r="E1587" t="s">
        <v>553</v>
      </c>
      <c r="F1587" t="s">
        <v>548</v>
      </c>
      <c r="G1587" s="30">
        <v>46144</v>
      </c>
      <c r="H1587" t="s">
        <v>3871</v>
      </c>
      <c r="I1587">
        <v>1183155.75</v>
      </c>
      <c r="J1587" s="123">
        <v>46144</v>
      </c>
      <c r="K1587" s="123">
        <v>0</v>
      </c>
      <c r="L1587" s="123">
        <v>46144</v>
      </c>
      <c r="M1587">
        <v>0</v>
      </c>
      <c r="N1587">
        <v>0</v>
      </c>
      <c r="O1587" t="s">
        <v>556</v>
      </c>
      <c r="P1587" s="216">
        <v>97583</v>
      </c>
      <c r="Q1587" s="217" t="s">
        <v>9</v>
      </c>
      <c r="R1587" s="217" t="s">
        <v>62</v>
      </c>
      <c r="S1587" s="218">
        <v>0.50000095084691931</v>
      </c>
      <c r="T1587" t="s">
        <v>550</v>
      </c>
      <c r="U1587" t="s">
        <v>74</v>
      </c>
      <c r="V1587" s="219">
        <v>0</v>
      </c>
      <c r="W1587" s="219">
        <v>0</v>
      </c>
    </row>
    <row r="1588" spans="1:23" ht="15" customHeight="1" x14ac:dyDescent="0.25">
      <c r="A1588" t="s">
        <v>3874</v>
      </c>
      <c r="B1588" t="s">
        <v>546</v>
      </c>
      <c r="C1588">
        <v>97583</v>
      </c>
      <c r="D1588" t="s">
        <v>3870</v>
      </c>
      <c r="E1588" t="s">
        <v>553</v>
      </c>
      <c r="F1588" t="s">
        <v>554</v>
      </c>
      <c r="G1588" s="30">
        <v>46146</v>
      </c>
      <c r="H1588" t="s">
        <v>3871</v>
      </c>
      <c r="I1588">
        <v>1183155.75</v>
      </c>
      <c r="J1588" s="123">
        <v>46146</v>
      </c>
      <c r="K1588" s="123">
        <v>0</v>
      </c>
      <c r="L1588" s="123">
        <v>46146</v>
      </c>
      <c r="M1588">
        <v>0</v>
      </c>
      <c r="N1588">
        <v>0</v>
      </c>
      <c r="O1588" t="s">
        <v>556</v>
      </c>
      <c r="P1588" s="216">
        <v>97583</v>
      </c>
      <c r="Q1588" s="217" t="s">
        <v>9</v>
      </c>
      <c r="R1588" s="217" t="s">
        <v>554</v>
      </c>
      <c r="S1588" s="218">
        <v>0.50000095084691931</v>
      </c>
      <c r="T1588" t="s">
        <v>550</v>
      </c>
      <c r="U1588" t="s">
        <v>74</v>
      </c>
      <c r="V1588" s="219" t="s">
        <v>6712</v>
      </c>
      <c r="W1588" s="219" t="s">
        <v>67</v>
      </c>
    </row>
    <row r="1589" spans="1:23" ht="15" customHeight="1" x14ac:dyDescent="0.25">
      <c r="A1589" t="s">
        <v>3875</v>
      </c>
      <c r="B1589" t="s">
        <v>575</v>
      </c>
      <c r="C1589">
        <v>189643</v>
      </c>
      <c r="D1589" t="s">
        <v>3876</v>
      </c>
      <c r="E1589" t="s">
        <v>258</v>
      </c>
      <c r="F1589" t="s">
        <v>580</v>
      </c>
      <c r="G1589" s="30">
        <v>46149</v>
      </c>
      <c r="H1589" t="s">
        <v>3877</v>
      </c>
      <c r="I1589">
        <v>1896428.07</v>
      </c>
      <c r="J1589" s="123">
        <v>0</v>
      </c>
      <c r="K1589" s="123">
        <v>0</v>
      </c>
      <c r="L1589" s="123">
        <v>46149</v>
      </c>
      <c r="M1589">
        <v>0</v>
      </c>
      <c r="N1589">
        <v>0</v>
      </c>
      <c r="O1589">
        <v>0</v>
      </c>
      <c r="P1589" s="216">
        <v>189643</v>
      </c>
      <c r="Q1589" s="217" t="s">
        <v>9</v>
      </c>
      <c r="R1589" s="217" t="s">
        <v>582</v>
      </c>
      <c r="S1589" s="218">
        <v>0.30000030531081517</v>
      </c>
      <c r="T1589" t="s">
        <v>550</v>
      </c>
      <c r="U1589" t="s">
        <v>74</v>
      </c>
      <c r="V1589" s="219">
        <v>0</v>
      </c>
      <c r="W1589" s="219">
        <v>0</v>
      </c>
    </row>
    <row r="1590" spans="1:23" ht="15" customHeight="1" x14ac:dyDescent="0.25">
      <c r="A1590" t="s">
        <v>3878</v>
      </c>
      <c r="B1590" t="s">
        <v>64</v>
      </c>
      <c r="C1590">
        <v>154127</v>
      </c>
      <c r="D1590" t="s">
        <v>3879</v>
      </c>
      <c r="E1590" t="s">
        <v>258</v>
      </c>
      <c r="F1590" t="s">
        <v>580</v>
      </c>
      <c r="G1590" s="30">
        <v>46149</v>
      </c>
      <c r="H1590" t="s">
        <v>3880</v>
      </c>
      <c r="I1590">
        <v>1541268.77</v>
      </c>
      <c r="J1590" s="123">
        <v>0</v>
      </c>
      <c r="K1590" s="123">
        <v>46162</v>
      </c>
      <c r="L1590" s="123">
        <v>0</v>
      </c>
      <c r="M1590">
        <v>0</v>
      </c>
      <c r="N1590">
        <v>0</v>
      </c>
      <c r="O1590" t="s">
        <v>556</v>
      </c>
      <c r="P1590" s="216">
        <v>154127</v>
      </c>
      <c r="Q1590" s="217" t="s">
        <v>9</v>
      </c>
      <c r="R1590" s="217" t="s">
        <v>582</v>
      </c>
      <c r="S1590" s="218">
        <v>0.41000044398486057</v>
      </c>
      <c r="T1590" t="s">
        <v>550</v>
      </c>
      <c r="U1590" t="s">
        <v>74</v>
      </c>
      <c r="V1590" s="219">
        <v>0</v>
      </c>
      <c r="W1590" s="219">
        <v>0</v>
      </c>
    </row>
    <row r="1591" spans="1:23" ht="15" customHeight="1" x14ac:dyDescent="0.25">
      <c r="A1591" t="s">
        <v>3881</v>
      </c>
      <c r="B1591" t="s">
        <v>546</v>
      </c>
      <c r="C1591">
        <v>80000</v>
      </c>
      <c r="D1591" t="s">
        <v>3882</v>
      </c>
      <c r="E1591" t="s">
        <v>553</v>
      </c>
      <c r="F1591" t="s">
        <v>554</v>
      </c>
      <c r="G1591" s="30">
        <v>46146</v>
      </c>
      <c r="H1591" t="s">
        <v>3883</v>
      </c>
      <c r="I1591">
        <v>2537176.7799999998</v>
      </c>
      <c r="J1591" s="123">
        <v>46146</v>
      </c>
      <c r="K1591" s="123">
        <v>0</v>
      </c>
      <c r="L1591" s="123">
        <v>46146</v>
      </c>
      <c r="M1591">
        <v>0</v>
      </c>
      <c r="N1591">
        <v>0</v>
      </c>
      <c r="O1591" t="s">
        <v>556</v>
      </c>
      <c r="P1591" s="216">
        <v>80000</v>
      </c>
      <c r="Q1591" s="217" t="s">
        <v>9</v>
      </c>
      <c r="R1591" s="217" t="s">
        <v>554</v>
      </c>
      <c r="S1591" s="218">
        <v>0.30061681512242444</v>
      </c>
      <c r="T1591" t="s">
        <v>550</v>
      </c>
      <c r="U1591" t="s">
        <v>74</v>
      </c>
      <c r="V1591" s="219" t="s">
        <v>6713</v>
      </c>
      <c r="W1591" s="219" t="s">
        <v>67</v>
      </c>
    </row>
    <row r="1592" spans="1:23" ht="15" customHeight="1" x14ac:dyDescent="0.25">
      <c r="A1592" t="s">
        <v>3884</v>
      </c>
      <c r="B1592" t="s">
        <v>546</v>
      </c>
      <c r="C1592">
        <v>80000</v>
      </c>
      <c r="D1592" t="s">
        <v>3882</v>
      </c>
      <c r="E1592" t="s">
        <v>553</v>
      </c>
      <c r="F1592" t="s">
        <v>548</v>
      </c>
      <c r="G1592" s="30">
        <v>46146</v>
      </c>
      <c r="H1592" t="s">
        <v>3883</v>
      </c>
      <c r="I1592">
        <v>2537176.7799999998</v>
      </c>
      <c r="J1592" s="123">
        <v>46146</v>
      </c>
      <c r="K1592" s="123">
        <v>0</v>
      </c>
      <c r="L1592" s="123">
        <v>46146</v>
      </c>
      <c r="M1592">
        <v>0</v>
      </c>
      <c r="N1592">
        <v>0</v>
      </c>
      <c r="O1592" t="s">
        <v>556</v>
      </c>
      <c r="P1592" s="216">
        <v>80000</v>
      </c>
      <c r="Q1592" s="217" t="s">
        <v>9</v>
      </c>
      <c r="R1592" s="217" t="s">
        <v>62</v>
      </c>
      <c r="S1592" s="218">
        <v>0.30061681512242444</v>
      </c>
      <c r="T1592" t="s">
        <v>550</v>
      </c>
      <c r="U1592" t="s">
        <v>74</v>
      </c>
      <c r="V1592" s="219">
        <v>0</v>
      </c>
      <c r="W1592" s="219">
        <v>0</v>
      </c>
    </row>
    <row r="1593" spans="1:23" ht="15" customHeight="1" x14ac:dyDescent="0.25">
      <c r="A1593" t="s">
        <v>3885</v>
      </c>
      <c r="B1593" t="s">
        <v>546</v>
      </c>
      <c r="C1593">
        <v>50000</v>
      </c>
      <c r="D1593" t="s">
        <v>3882</v>
      </c>
      <c r="E1593" t="s">
        <v>553</v>
      </c>
      <c r="F1593" t="s">
        <v>554</v>
      </c>
      <c r="G1593" s="30">
        <v>46148</v>
      </c>
      <c r="H1593" t="s">
        <v>3883</v>
      </c>
      <c r="I1593">
        <v>2537176.7799999998</v>
      </c>
      <c r="J1593" s="123">
        <v>46148</v>
      </c>
      <c r="K1593" s="123">
        <v>0</v>
      </c>
      <c r="L1593" s="123">
        <v>46148</v>
      </c>
      <c r="M1593">
        <v>0</v>
      </c>
      <c r="N1593">
        <v>0</v>
      </c>
      <c r="O1593" t="s">
        <v>556</v>
      </c>
      <c r="P1593" s="216">
        <v>50000</v>
      </c>
      <c r="Q1593" s="217" t="s">
        <v>9</v>
      </c>
      <c r="R1593" s="217" t="s">
        <v>554</v>
      </c>
      <c r="S1593" s="218">
        <v>0.30061681512242444</v>
      </c>
      <c r="T1593" t="s">
        <v>550</v>
      </c>
      <c r="U1593" t="s">
        <v>74</v>
      </c>
      <c r="V1593" s="219" t="s">
        <v>6714</v>
      </c>
      <c r="W1593" s="219" t="s">
        <v>67</v>
      </c>
    </row>
    <row r="1594" spans="1:23" ht="15" customHeight="1" x14ac:dyDescent="0.25">
      <c r="A1594" t="s">
        <v>3886</v>
      </c>
      <c r="B1594" t="s">
        <v>546</v>
      </c>
      <c r="C1594">
        <v>15000</v>
      </c>
      <c r="D1594" t="s">
        <v>3882</v>
      </c>
      <c r="E1594" t="s">
        <v>553</v>
      </c>
      <c r="F1594" t="s">
        <v>554</v>
      </c>
      <c r="G1594" s="30">
        <v>46148</v>
      </c>
      <c r="H1594" t="s">
        <v>3883</v>
      </c>
      <c r="I1594">
        <v>2537176.7799999998</v>
      </c>
      <c r="J1594" s="123">
        <v>46148</v>
      </c>
      <c r="K1594" s="123">
        <v>0</v>
      </c>
      <c r="L1594" s="123">
        <v>46148</v>
      </c>
      <c r="M1594">
        <v>0</v>
      </c>
      <c r="N1594">
        <v>0</v>
      </c>
      <c r="O1594" t="s">
        <v>556</v>
      </c>
      <c r="P1594" s="216">
        <v>15000</v>
      </c>
      <c r="Q1594" s="217" t="s">
        <v>9</v>
      </c>
      <c r="R1594" s="217" t="s">
        <v>554</v>
      </c>
      <c r="S1594" s="218">
        <v>0.30061681512242444</v>
      </c>
      <c r="T1594" t="s">
        <v>550</v>
      </c>
      <c r="U1594" t="s">
        <v>74</v>
      </c>
      <c r="V1594" s="219" t="s">
        <v>6715</v>
      </c>
      <c r="W1594" s="219" t="s">
        <v>67</v>
      </c>
    </row>
    <row r="1595" spans="1:23" ht="15" customHeight="1" x14ac:dyDescent="0.25">
      <c r="A1595" t="s">
        <v>3887</v>
      </c>
      <c r="B1595" t="s">
        <v>546</v>
      </c>
      <c r="C1595">
        <v>110000</v>
      </c>
      <c r="D1595" t="s">
        <v>3882</v>
      </c>
      <c r="E1595" t="s">
        <v>553</v>
      </c>
      <c r="F1595" t="s">
        <v>554</v>
      </c>
      <c r="G1595" s="30">
        <v>46148</v>
      </c>
      <c r="H1595" t="s">
        <v>3883</v>
      </c>
      <c r="I1595">
        <v>2537176.7799999998</v>
      </c>
      <c r="J1595" s="123">
        <v>46148</v>
      </c>
      <c r="K1595" s="123">
        <v>0</v>
      </c>
      <c r="L1595" s="123">
        <v>46148</v>
      </c>
      <c r="M1595">
        <v>0</v>
      </c>
      <c r="N1595">
        <v>0</v>
      </c>
      <c r="O1595" t="s">
        <v>556</v>
      </c>
      <c r="P1595" s="216">
        <v>110000</v>
      </c>
      <c r="Q1595" s="217" t="s">
        <v>9</v>
      </c>
      <c r="R1595" s="217" t="s">
        <v>554</v>
      </c>
      <c r="S1595" s="218">
        <v>0.30061681512242444</v>
      </c>
      <c r="T1595" t="s">
        <v>550</v>
      </c>
      <c r="U1595" t="s">
        <v>74</v>
      </c>
      <c r="V1595" s="219" t="s">
        <v>6716</v>
      </c>
      <c r="W1595" s="219" t="s">
        <v>67</v>
      </c>
    </row>
    <row r="1596" spans="1:23" ht="15" customHeight="1" x14ac:dyDescent="0.25">
      <c r="A1596" t="s">
        <v>3888</v>
      </c>
      <c r="B1596" t="s">
        <v>575</v>
      </c>
      <c r="C1596">
        <v>151232</v>
      </c>
      <c r="D1596" t="s">
        <v>3889</v>
      </c>
      <c r="E1596" t="s">
        <v>298</v>
      </c>
      <c r="F1596" t="s">
        <v>554</v>
      </c>
      <c r="G1596" s="30">
        <v>46143</v>
      </c>
      <c r="H1596" t="s">
        <v>3890</v>
      </c>
      <c r="I1596">
        <v>1512319.24</v>
      </c>
      <c r="J1596" s="123">
        <v>0</v>
      </c>
      <c r="K1596" s="123">
        <v>0</v>
      </c>
      <c r="L1596" s="123">
        <v>46139</v>
      </c>
      <c r="M1596">
        <v>0</v>
      </c>
      <c r="N1596">
        <v>0</v>
      </c>
      <c r="O1596">
        <v>0</v>
      </c>
      <c r="P1596" s="216">
        <v>151232</v>
      </c>
      <c r="Q1596" s="217" t="s">
        <v>45</v>
      </c>
      <c r="R1596" s="217" t="s">
        <v>554</v>
      </c>
      <c r="S1596" s="218">
        <v>0.73443686400498354</v>
      </c>
      <c r="T1596" t="s">
        <v>550</v>
      </c>
      <c r="U1596" t="s">
        <v>74</v>
      </c>
      <c r="V1596" s="219" t="s">
        <v>6717</v>
      </c>
      <c r="W1596" s="219" t="s">
        <v>67</v>
      </c>
    </row>
    <row r="1597" spans="1:23" ht="15" customHeight="1" x14ac:dyDescent="0.25">
      <c r="A1597" t="s">
        <v>3891</v>
      </c>
      <c r="B1597" t="s">
        <v>575</v>
      </c>
      <c r="C1597">
        <v>156911</v>
      </c>
      <c r="D1597" t="s">
        <v>3892</v>
      </c>
      <c r="E1597" t="s">
        <v>258</v>
      </c>
      <c r="F1597" t="s">
        <v>580</v>
      </c>
      <c r="G1597" s="30">
        <v>46149</v>
      </c>
      <c r="H1597" t="s">
        <v>3893</v>
      </c>
      <c r="I1597">
        <v>1577213.34</v>
      </c>
      <c r="J1597" s="123">
        <v>0</v>
      </c>
      <c r="K1597" s="123">
        <v>0</v>
      </c>
      <c r="L1597" s="123">
        <v>46149</v>
      </c>
      <c r="M1597">
        <v>0</v>
      </c>
      <c r="N1597">
        <v>0</v>
      </c>
      <c r="O1597">
        <v>0</v>
      </c>
      <c r="P1597" s="216">
        <v>156911</v>
      </c>
      <c r="Q1597" s="217" t="s">
        <v>9</v>
      </c>
      <c r="R1597" s="217" t="s">
        <v>582</v>
      </c>
      <c r="S1597" s="218">
        <v>0.40051530378255606</v>
      </c>
      <c r="T1597" t="s">
        <v>550</v>
      </c>
      <c r="U1597" t="s">
        <v>74</v>
      </c>
      <c r="V1597" s="219">
        <v>0</v>
      </c>
      <c r="W1597" s="219">
        <v>0</v>
      </c>
    </row>
    <row r="1598" spans="1:23" ht="15" customHeight="1" x14ac:dyDescent="0.25">
      <c r="A1598" t="s">
        <v>3894</v>
      </c>
      <c r="B1598" t="s">
        <v>546</v>
      </c>
      <c r="C1598">
        <v>12089</v>
      </c>
      <c r="D1598" t="s">
        <v>3895</v>
      </c>
      <c r="E1598" t="s">
        <v>258</v>
      </c>
      <c r="F1598" t="s">
        <v>554</v>
      </c>
      <c r="G1598" s="30">
        <v>46148</v>
      </c>
      <c r="H1598" t="s">
        <v>3896</v>
      </c>
      <c r="I1598">
        <v>1183898.78</v>
      </c>
      <c r="J1598" s="123">
        <v>0</v>
      </c>
      <c r="K1598" s="123">
        <v>0</v>
      </c>
      <c r="L1598" s="123">
        <v>0</v>
      </c>
      <c r="M1598">
        <v>0</v>
      </c>
      <c r="N1598">
        <v>0</v>
      </c>
      <c r="O1598">
        <v>0</v>
      </c>
      <c r="P1598" s="216">
        <v>12089</v>
      </c>
      <c r="Q1598" s="217" t="s">
        <v>9</v>
      </c>
      <c r="R1598" s="217" t="s">
        <v>554</v>
      </c>
      <c r="S1598" s="218">
        <v>0.49999967057994604</v>
      </c>
      <c r="T1598" t="s">
        <v>550</v>
      </c>
      <c r="U1598" t="s">
        <v>74</v>
      </c>
      <c r="V1598" s="219" t="s">
        <v>6718</v>
      </c>
      <c r="W1598" s="219" t="s">
        <v>67</v>
      </c>
    </row>
    <row r="1599" spans="1:23" ht="15" customHeight="1" x14ac:dyDescent="0.25">
      <c r="A1599" t="s">
        <v>3897</v>
      </c>
      <c r="B1599" t="s">
        <v>575</v>
      </c>
      <c r="C1599">
        <v>154100</v>
      </c>
      <c r="D1599" t="s">
        <v>3898</v>
      </c>
      <c r="E1599" t="s">
        <v>258</v>
      </c>
      <c r="F1599" t="s">
        <v>554</v>
      </c>
      <c r="G1599" s="30">
        <v>46145</v>
      </c>
      <c r="H1599" t="s">
        <v>3899</v>
      </c>
      <c r="I1599">
        <v>1550461.58</v>
      </c>
      <c r="J1599" s="123">
        <v>0</v>
      </c>
      <c r="K1599" s="123">
        <v>0</v>
      </c>
      <c r="L1599" s="123">
        <v>46145</v>
      </c>
      <c r="M1599">
        <v>0</v>
      </c>
      <c r="N1599">
        <v>0</v>
      </c>
      <c r="O1599">
        <v>0</v>
      </c>
      <c r="P1599" s="216">
        <v>154100</v>
      </c>
      <c r="Q1599" s="217" t="s">
        <v>9</v>
      </c>
      <c r="R1599" s="217" t="s">
        <v>554</v>
      </c>
      <c r="S1599" s="218">
        <v>0.50001238985876706</v>
      </c>
      <c r="T1599" t="s">
        <v>550</v>
      </c>
      <c r="U1599" t="s">
        <v>74</v>
      </c>
      <c r="V1599" s="219" t="s">
        <v>6719</v>
      </c>
      <c r="W1599" s="219" t="s">
        <v>67</v>
      </c>
    </row>
    <row r="1600" spans="1:23" ht="15" customHeight="1" x14ac:dyDescent="0.25">
      <c r="A1600" t="s">
        <v>3900</v>
      </c>
      <c r="B1600" t="s">
        <v>64</v>
      </c>
      <c r="C1600">
        <v>154442</v>
      </c>
      <c r="D1600" t="s">
        <v>3901</v>
      </c>
      <c r="E1600" t="s">
        <v>258</v>
      </c>
      <c r="F1600" t="s">
        <v>554</v>
      </c>
      <c r="G1600" s="30">
        <v>46148</v>
      </c>
      <c r="H1600" t="s">
        <v>3902</v>
      </c>
      <c r="I1600">
        <v>1544422.28</v>
      </c>
      <c r="J1600" s="123">
        <v>0</v>
      </c>
      <c r="K1600" s="123">
        <v>46148</v>
      </c>
      <c r="L1600" s="123">
        <v>0</v>
      </c>
      <c r="M1600">
        <v>0</v>
      </c>
      <c r="N1600">
        <v>0</v>
      </c>
      <c r="O1600" t="s">
        <v>556</v>
      </c>
      <c r="P1600" s="216">
        <v>154442</v>
      </c>
      <c r="Q1600" s="217" t="s">
        <v>9</v>
      </c>
      <c r="R1600" s="217" t="s">
        <v>554</v>
      </c>
      <c r="S1600" s="218">
        <v>0.40000005697923496</v>
      </c>
      <c r="T1600" t="s">
        <v>550</v>
      </c>
      <c r="U1600" t="s">
        <v>74</v>
      </c>
      <c r="V1600" s="219" t="s">
        <v>6720</v>
      </c>
      <c r="W1600" s="219" t="s">
        <v>71</v>
      </c>
    </row>
    <row r="1601" spans="1:23" ht="15" customHeight="1" x14ac:dyDescent="0.25">
      <c r="A1601" t="s">
        <v>3903</v>
      </c>
      <c r="B1601" t="s">
        <v>575</v>
      </c>
      <c r="C1601">
        <v>132568</v>
      </c>
      <c r="D1601" t="s">
        <v>3904</v>
      </c>
      <c r="E1601" t="s">
        <v>258</v>
      </c>
      <c r="F1601" t="s">
        <v>585</v>
      </c>
      <c r="G1601" s="30">
        <v>46146</v>
      </c>
      <c r="H1601" t="s">
        <v>3905</v>
      </c>
      <c r="I1601">
        <v>1299017.33</v>
      </c>
      <c r="J1601" s="123">
        <v>0</v>
      </c>
      <c r="K1601" s="123">
        <v>0</v>
      </c>
      <c r="L1601" s="123">
        <v>46140</v>
      </c>
      <c r="M1601">
        <v>0</v>
      </c>
      <c r="N1601">
        <v>0</v>
      </c>
      <c r="O1601">
        <v>0</v>
      </c>
      <c r="P1601" s="216">
        <v>132568</v>
      </c>
      <c r="Q1601" s="217" t="s">
        <v>9</v>
      </c>
      <c r="R1601" s="217" t="s">
        <v>61</v>
      </c>
      <c r="S1601" s="218">
        <v>0.39794696195469537</v>
      </c>
      <c r="T1601" t="s">
        <v>550</v>
      </c>
      <c r="U1601" t="s">
        <v>74</v>
      </c>
      <c r="V1601" s="219">
        <v>0</v>
      </c>
      <c r="W1601" s="219">
        <v>0</v>
      </c>
    </row>
    <row r="1602" spans="1:23" ht="15" customHeight="1" x14ac:dyDescent="0.25">
      <c r="A1602" t="s">
        <v>3906</v>
      </c>
      <c r="B1602" t="s">
        <v>546</v>
      </c>
      <c r="C1602">
        <v>30000</v>
      </c>
      <c r="D1602" t="s">
        <v>3907</v>
      </c>
      <c r="E1602" t="s">
        <v>553</v>
      </c>
      <c r="F1602" t="s">
        <v>554</v>
      </c>
      <c r="G1602" s="30">
        <v>46143</v>
      </c>
      <c r="H1602" t="s">
        <v>3908</v>
      </c>
      <c r="I1602">
        <v>1274091.44</v>
      </c>
      <c r="J1602" s="123">
        <v>46143</v>
      </c>
      <c r="K1602" s="123">
        <v>0</v>
      </c>
      <c r="L1602" s="123">
        <v>46143</v>
      </c>
      <c r="M1602">
        <v>0</v>
      </c>
      <c r="N1602">
        <v>0</v>
      </c>
      <c r="O1602" t="s">
        <v>556</v>
      </c>
      <c r="P1602" s="216">
        <v>30000</v>
      </c>
      <c r="Q1602" s="217" t="s">
        <v>38</v>
      </c>
      <c r="R1602" s="217" t="s">
        <v>554</v>
      </c>
      <c r="S1602" s="218">
        <v>0.59924984662011382</v>
      </c>
      <c r="T1602" t="s">
        <v>550</v>
      </c>
      <c r="U1602" t="s">
        <v>74</v>
      </c>
      <c r="V1602" s="219" t="s">
        <v>6721</v>
      </c>
      <c r="W1602" s="219" t="s">
        <v>67</v>
      </c>
    </row>
    <row r="1603" spans="1:23" ht="15" customHeight="1" x14ac:dyDescent="0.25">
      <c r="A1603" t="s">
        <v>3909</v>
      </c>
      <c r="B1603" t="s">
        <v>595</v>
      </c>
      <c r="C1603">
        <v>42209</v>
      </c>
      <c r="D1603" t="s">
        <v>3910</v>
      </c>
      <c r="E1603" t="s">
        <v>258</v>
      </c>
      <c r="F1603" t="s">
        <v>580</v>
      </c>
      <c r="G1603" s="30">
        <v>46147</v>
      </c>
      <c r="H1603" t="s">
        <v>3911</v>
      </c>
      <c r="I1603">
        <v>1540626.38</v>
      </c>
      <c r="J1603" s="123">
        <v>0</v>
      </c>
      <c r="K1603" s="123">
        <v>0</v>
      </c>
      <c r="L1603" s="123">
        <v>46147</v>
      </c>
      <c r="M1603">
        <v>0</v>
      </c>
      <c r="N1603">
        <v>0</v>
      </c>
      <c r="O1603">
        <v>0</v>
      </c>
      <c r="P1603" s="216">
        <v>42209</v>
      </c>
      <c r="Q1603" s="217" t="s">
        <v>9</v>
      </c>
      <c r="R1603" s="217" t="s">
        <v>582</v>
      </c>
      <c r="S1603" s="218">
        <v>0.40058629919085248</v>
      </c>
      <c r="T1603" t="s">
        <v>550</v>
      </c>
      <c r="U1603" t="s">
        <v>74</v>
      </c>
      <c r="V1603" s="219">
        <v>0</v>
      </c>
      <c r="W1603" s="219">
        <v>0</v>
      </c>
    </row>
    <row r="1604" spans="1:23" ht="15" customHeight="1" x14ac:dyDescent="0.25">
      <c r="A1604" t="s">
        <v>3912</v>
      </c>
      <c r="B1604" t="s">
        <v>575</v>
      </c>
      <c r="C1604">
        <v>118390</v>
      </c>
      <c r="D1604" t="s">
        <v>3913</v>
      </c>
      <c r="E1604" t="s">
        <v>258</v>
      </c>
      <c r="F1604" t="s">
        <v>554</v>
      </c>
      <c r="G1604" s="30">
        <v>46147</v>
      </c>
      <c r="H1604" t="s">
        <v>3914</v>
      </c>
      <c r="I1604">
        <v>1183898.78</v>
      </c>
      <c r="J1604" s="123">
        <v>0</v>
      </c>
      <c r="K1604" s="123">
        <v>0</v>
      </c>
      <c r="L1604" s="123">
        <v>46147</v>
      </c>
      <c r="M1604">
        <v>0</v>
      </c>
      <c r="N1604">
        <v>0</v>
      </c>
      <c r="O1604">
        <v>0</v>
      </c>
      <c r="P1604" s="216">
        <v>118390</v>
      </c>
      <c r="Q1604" s="217" t="s">
        <v>9</v>
      </c>
      <c r="R1604" s="217" t="s">
        <v>554</v>
      </c>
      <c r="S1604" s="218">
        <v>0.50018634194386113</v>
      </c>
      <c r="T1604" t="s">
        <v>550</v>
      </c>
      <c r="U1604" t="s">
        <v>74</v>
      </c>
      <c r="V1604" s="219" t="s">
        <v>6722</v>
      </c>
      <c r="W1604" s="219" t="s">
        <v>67</v>
      </c>
    </row>
    <row r="1605" spans="1:23" ht="15" customHeight="1" x14ac:dyDescent="0.25">
      <c r="A1605" t="s">
        <v>3915</v>
      </c>
      <c r="B1605" t="s">
        <v>546</v>
      </c>
      <c r="C1605">
        <v>106485</v>
      </c>
      <c r="D1605" t="s">
        <v>3916</v>
      </c>
      <c r="E1605" t="s">
        <v>2760</v>
      </c>
      <c r="F1605" t="s">
        <v>548</v>
      </c>
      <c r="G1605" s="30">
        <v>46148</v>
      </c>
      <c r="H1605" t="s">
        <v>3917</v>
      </c>
      <c r="I1605">
        <v>1183155.75</v>
      </c>
      <c r="J1605" s="123">
        <v>0</v>
      </c>
      <c r="K1605" s="123">
        <v>0</v>
      </c>
      <c r="L1605" s="123">
        <v>0</v>
      </c>
      <c r="M1605">
        <v>0</v>
      </c>
      <c r="N1605">
        <v>0</v>
      </c>
      <c r="O1605">
        <v>0</v>
      </c>
      <c r="P1605" s="216">
        <v>106485</v>
      </c>
      <c r="Q1605" s="217" t="s">
        <v>9</v>
      </c>
      <c r="R1605" s="217" t="s">
        <v>62</v>
      </c>
      <c r="S1605" s="218">
        <v>0.40000059163808316</v>
      </c>
      <c r="T1605" t="s">
        <v>550</v>
      </c>
      <c r="U1605" t="s">
        <v>74</v>
      </c>
      <c r="V1605" s="219">
        <v>0</v>
      </c>
      <c r="W1605" s="219">
        <v>0</v>
      </c>
    </row>
    <row r="1606" spans="1:23" ht="15" customHeight="1" x14ac:dyDescent="0.25">
      <c r="A1606" t="s">
        <v>3918</v>
      </c>
      <c r="B1606" t="s">
        <v>546</v>
      </c>
      <c r="C1606">
        <v>106485</v>
      </c>
      <c r="D1606" t="s">
        <v>3916</v>
      </c>
      <c r="E1606" t="s">
        <v>2760</v>
      </c>
      <c r="F1606" t="s">
        <v>554</v>
      </c>
      <c r="G1606" s="30">
        <v>46149</v>
      </c>
      <c r="H1606" t="s">
        <v>3917</v>
      </c>
      <c r="I1606">
        <v>1183155.75</v>
      </c>
      <c r="J1606" s="123">
        <v>0</v>
      </c>
      <c r="K1606" s="123">
        <v>0</v>
      </c>
      <c r="L1606" s="123">
        <v>0</v>
      </c>
      <c r="M1606">
        <v>0</v>
      </c>
      <c r="N1606">
        <v>0</v>
      </c>
      <c r="O1606">
        <v>0</v>
      </c>
      <c r="P1606" s="216">
        <v>106485</v>
      </c>
      <c r="Q1606" s="217" t="s">
        <v>9</v>
      </c>
      <c r="R1606" s="217" t="s">
        <v>554</v>
      </c>
      <c r="S1606" s="218">
        <v>0.40000059163808316</v>
      </c>
      <c r="T1606" t="s">
        <v>550</v>
      </c>
      <c r="U1606" t="s">
        <v>74</v>
      </c>
      <c r="V1606" s="219" t="s">
        <v>6723</v>
      </c>
      <c r="W1606" s="219" t="s">
        <v>67</v>
      </c>
    </row>
    <row r="1607" spans="1:23" ht="15" customHeight="1" x14ac:dyDescent="0.25">
      <c r="A1607" t="s">
        <v>3919</v>
      </c>
      <c r="B1607" t="s">
        <v>575</v>
      </c>
      <c r="C1607">
        <v>30500</v>
      </c>
      <c r="D1607" t="s">
        <v>3920</v>
      </c>
      <c r="E1607" t="s">
        <v>258</v>
      </c>
      <c r="F1607" t="s">
        <v>580</v>
      </c>
      <c r="G1607" s="30">
        <v>46149</v>
      </c>
      <c r="H1607" t="s">
        <v>3921</v>
      </c>
      <c r="I1607">
        <v>1551452.29</v>
      </c>
      <c r="J1607" s="123">
        <v>0</v>
      </c>
      <c r="K1607" s="123">
        <v>0</v>
      </c>
      <c r="L1607" s="123">
        <v>46148</v>
      </c>
      <c r="M1607">
        <v>0</v>
      </c>
      <c r="N1607">
        <v>0</v>
      </c>
      <c r="O1607">
        <v>0</v>
      </c>
      <c r="P1607" s="216">
        <v>30500</v>
      </c>
      <c r="Q1607" s="217" t="s">
        <v>9</v>
      </c>
      <c r="R1607" s="217" t="s">
        <v>582</v>
      </c>
      <c r="S1607" s="218">
        <v>0.38057245060368566</v>
      </c>
      <c r="T1607" t="s">
        <v>550</v>
      </c>
      <c r="U1607" t="s">
        <v>74</v>
      </c>
      <c r="V1607" s="219">
        <v>0</v>
      </c>
      <c r="W1607" s="219">
        <v>0</v>
      </c>
    </row>
    <row r="1608" spans="1:23" ht="15" customHeight="1" x14ac:dyDescent="0.25">
      <c r="A1608" t="s">
        <v>3922</v>
      </c>
      <c r="B1608" t="s">
        <v>595</v>
      </c>
      <c r="C1608">
        <v>118155</v>
      </c>
      <c r="D1608" t="s">
        <v>3923</v>
      </c>
      <c r="E1608" t="s">
        <v>258</v>
      </c>
      <c r="F1608" t="s">
        <v>554</v>
      </c>
      <c r="G1608" s="30">
        <v>46147</v>
      </c>
      <c r="H1608" t="s">
        <v>3924</v>
      </c>
      <c r="I1608">
        <v>1183651.1000000001</v>
      </c>
      <c r="J1608" s="123">
        <v>0</v>
      </c>
      <c r="K1608" s="123">
        <v>0</v>
      </c>
      <c r="L1608" s="123">
        <v>46147</v>
      </c>
      <c r="M1608">
        <v>0</v>
      </c>
      <c r="N1608">
        <v>0</v>
      </c>
      <c r="O1608">
        <v>0</v>
      </c>
      <c r="P1608" s="216">
        <v>118155</v>
      </c>
      <c r="Q1608" s="217" t="s">
        <v>9</v>
      </c>
      <c r="R1608" s="217" t="s">
        <v>554</v>
      </c>
      <c r="S1608" s="218">
        <v>0.49932535018131607</v>
      </c>
      <c r="T1608" t="s">
        <v>550</v>
      </c>
      <c r="U1608" t="s">
        <v>74</v>
      </c>
      <c r="V1608" s="219" t="s">
        <v>6724</v>
      </c>
      <c r="W1608" s="219" t="s">
        <v>67</v>
      </c>
    </row>
    <row r="1609" spans="1:23" ht="15" customHeight="1" x14ac:dyDescent="0.25">
      <c r="A1609" t="s">
        <v>3925</v>
      </c>
      <c r="B1609" t="s">
        <v>595</v>
      </c>
      <c r="C1609">
        <v>118056</v>
      </c>
      <c r="D1609" t="s">
        <v>3926</v>
      </c>
      <c r="E1609" t="s">
        <v>258</v>
      </c>
      <c r="F1609" t="s">
        <v>554</v>
      </c>
      <c r="G1609" s="30">
        <v>46147</v>
      </c>
      <c r="H1609" t="s">
        <v>3927</v>
      </c>
      <c r="I1609">
        <v>1182660.3899999999</v>
      </c>
      <c r="J1609" s="123">
        <v>0</v>
      </c>
      <c r="K1609" s="123">
        <v>0</v>
      </c>
      <c r="L1609" s="123">
        <v>46147</v>
      </c>
      <c r="M1609">
        <v>0</v>
      </c>
      <c r="N1609">
        <v>0</v>
      </c>
      <c r="O1609">
        <v>0</v>
      </c>
      <c r="P1609" s="216">
        <v>118056</v>
      </c>
      <c r="Q1609" s="217" t="s">
        <v>9</v>
      </c>
      <c r="R1609" s="217" t="s">
        <v>554</v>
      </c>
      <c r="S1609" s="218">
        <v>0.49938258268715674</v>
      </c>
      <c r="T1609" t="s">
        <v>550</v>
      </c>
      <c r="U1609" t="s">
        <v>74</v>
      </c>
      <c r="V1609" s="219" t="s">
        <v>6725</v>
      </c>
      <c r="W1609" s="219" t="s">
        <v>67</v>
      </c>
    </row>
    <row r="1610" spans="1:23" ht="15" customHeight="1" x14ac:dyDescent="0.25">
      <c r="A1610" t="s">
        <v>3928</v>
      </c>
      <c r="B1610" t="s">
        <v>575</v>
      </c>
      <c r="C1610">
        <v>119601</v>
      </c>
      <c r="D1610" t="s">
        <v>3929</v>
      </c>
      <c r="E1610" t="s">
        <v>298</v>
      </c>
      <c r="F1610" t="s">
        <v>683</v>
      </c>
      <c r="G1610" s="30">
        <v>46143</v>
      </c>
      <c r="H1610" t="s">
        <v>3930</v>
      </c>
      <c r="I1610">
        <v>1196010.55</v>
      </c>
      <c r="J1610" s="123">
        <v>0</v>
      </c>
      <c r="K1610" s="123">
        <v>0</v>
      </c>
      <c r="L1610" s="123">
        <v>46171</v>
      </c>
      <c r="M1610">
        <v>0</v>
      </c>
      <c r="N1610">
        <v>0</v>
      </c>
      <c r="O1610">
        <v>0</v>
      </c>
      <c r="P1610" s="216">
        <v>119601</v>
      </c>
      <c r="Q1610" s="217" t="s">
        <v>45</v>
      </c>
      <c r="R1610" s="217" t="s">
        <v>62</v>
      </c>
      <c r="S1610" s="218">
        <v>0.39999985786078557</v>
      </c>
      <c r="T1610" t="s">
        <v>550</v>
      </c>
      <c r="U1610" t="s">
        <v>74</v>
      </c>
      <c r="V1610" s="219">
        <v>0</v>
      </c>
      <c r="W1610" s="219">
        <v>0</v>
      </c>
    </row>
    <row r="1611" spans="1:23" ht="15" customHeight="1" x14ac:dyDescent="0.25">
      <c r="A1611" t="s">
        <v>3931</v>
      </c>
      <c r="B1611" t="s">
        <v>575</v>
      </c>
      <c r="C1611">
        <v>60000</v>
      </c>
      <c r="D1611" t="s">
        <v>3932</v>
      </c>
      <c r="E1611" t="s">
        <v>258</v>
      </c>
      <c r="F1611" t="s">
        <v>554</v>
      </c>
      <c r="G1611" s="30">
        <v>46147</v>
      </c>
      <c r="H1611" t="s">
        <v>3933</v>
      </c>
      <c r="I1611">
        <v>1185384.8500000001</v>
      </c>
      <c r="J1611" s="123">
        <v>0</v>
      </c>
      <c r="K1611" s="123">
        <v>0</v>
      </c>
      <c r="L1611" s="123">
        <v>46146</v>
      </c>
      <c r="M1611">
        <v>0</v>
      </c>
      <c r="N1611">
        <v>0</v>
      </c>
      <c r="O1611">
        <v>0</v>
      </c>
      <c r="P1611" s="216">
        <v>60000</v>
      </c>
      <c r="Q1611" s="217" t="s">
        <v>9</v>
      </c>
      <c r="R1611" s="217" t="s">
        <v>554</v>
      </c>
      <c r="S1611" s="218">
        <v>0.45064048130756473</v>
      </c>
      <c r="T1611" t="s">
        <v>550</v>
      </c>
      <c r="U1611" t="s">
        <v>74</v>
      </c>
      <c r="V1611" s="219" t="s">
        <v>6726</v>
      </c>
      <c r="W1611" s="219" t="s">
        <v>67</v>
      </c>
    </row>
    <row r="1612" spans="1:23" ht="15" customHeight="1" x14ac:dyDescent="0.25">
      <c r="A1612" t="s">
        <v>3934</v>
      </c>
      <c r="B1612" t="s">
        <v>575</v>
      </c>
      <c r="C1612">
        <v>154442</v>
      </c>
      <c r="D1612" t="s">
        <v>3935</v>
      </c>
      <c r="E1612" t="s">
        <v>258</v>
      </c>
      <c r="F1612" t="s">
        <v>554</v>
      </c>
      <c r="G1612" s="30">
        <v>46144</v>
      </c>
      <c r="H1612" t="s">
        <v>3936</v>
      </c>
      <c r="I1612">
        <v>1544422.28</v>
      </c>
      <c r="J1612" s="123">
        <v>0</v>
      </c>
      <c r="K1612" s="123">
        <v>0</v>
      </c>
      <c r="L1612" s="123">
        <v>46143</v>
      </c>
      <c r="M1612">
        <v>0</v>
      </c>
      <c r="N1612">
        <v>0</v>
      </c>
      <c r="O1612">
        <v>0</v>
      </c>
      <c r="P1612" s="216">
        <v>154442</v>
      </c>
      <c r="Q1612" s="217" t="s">
        <v>9</v>
      </c>
      <c r="R1612" s="217" t="s">
        <v>554</v>
      </c>
      <c r="S1612" s="218">
        <v>0.50064734885850004</v>
      </c>
      <c r="T1612" t="s">
        <v>550</v>
      </c>
      <c r="U1612" t="s">
        <v>74</v>
      </c>
      <c r="V1612" s="219" t="s">
        <v>6727</v>
      </c>
      <c r="W1612" s="219" t="s">
        <v>67</v>
      </c>
    </row>
    <row r="1613" spans="1:23" ht="15" customHeight="1" x14ac:dyDescent="0.25">
      <c r="A1613" t="s">
        <v>3937</v>
      </c>
      <c r="B1613" t="s">
        <v>595</v>
      </c>
      <c r="C1613">
        <v>48000</v>
      </c>
      <c r="D1613" t="s">
        <v>3938</v>
      </c>
      <c r="E1613" t="s">
        <v>258</v>
      </c>
      <c r="F1613" t="s">
        <v>580</v>
      </c>
      <c r="G1613" s="30">
        <v>46149</v>
      </c>
      <c r="H1613" t="s">
        <v>3939</v>
      </c>
      <c r="I1613">
        <v>1326068.92</v>
      </c>
      <c r="J1613" s="123">
        <v>0</v>
      </c>
      <c r="K1613" s="123">
        <v>0</v>
      </c>
      <c r="L1613" s="123">
        <v>46149</v>
      </c>
      <c r="M1613">
        <v>0</v>
      </c>
      <c r="N1613">
        <v>0</v>
      </c>
      <c r="O1613">
        <v>0</v>
      </c>
      <c r="P1613" s="216">
        <v>48000</v>
      </c>
      <c r="Q1613" s="217" t="s">
        <v>9</v>
      </c>
      <c r="R1613" s="217" t="s">
        <v>582</v>
      </c>
      <c r="S1613" s="218">
        <v>0.40324262331704452</v>
      </c>
      <c r="T1613" t="s">
        <v>550</v>
      </c>
      <c r="U1613" t="s">
        <v>74</v>
      </c>
      <c r="V1613" s="219">
        <v>0</v>
      </c>
      <c r="W1613" s="219">
        <v>0</v>
      </c>
    </row>
    <row r="1614" spans="1:23" ht="15" customHeight="1" x14ac:dyDescent="0.25">
      <c r="A1614" t="s">
        <v>3940</v>
      </c>
      <c r="B1614" t="s">
        <v>603</v>
      </c>
      <c r="C1614">
        <v>132195</v>
      </c>
      <c r="D1614" t="s">
        <v>3941</v>
      </c>
      <c r="E1614" t="s">
        <v>605</v>
      </c>
      <c r="F1614" t="s">
        <v>554</v>
      </c>
      <c r="G1614" s="30">
        <v>46147</v>
      </c>
      <c r="H1614" t="s">
        <v>3942</v>
      </c>
      <c r="I1614">
        <v>1326068.92</v>
      </c>
      <c r="J1614" s="123">
        <v>46147</v>
      </c>
      <c r="K1614" s="123">
        <v>0</v>
      </c>
      <c r="L1614" s="123">
        <v>0</v>
      </c>
      <c r="M1614">
        <v>0</v>
      </c>
      <c r="N1614">
        <v>0</v>
      </c>
      <c r="O1614">
        <v>0</v>
      </c>
      <c r="P1614" s="216">
        <v>132195</v>
      </c>
      <c r="Q1614" s="217" t="s">
        <v>9</v>
      </c>
      <c r="R1614" s="217" t="s">
        <v>554</v>
      </c>
      <c r="S1614" s="218">
        <v>0.49999965311003597</v>
      </c>
      <c r="T1614" t="s">
        <v>550</v>
      </c>
      <c r="U1614" t="s">
        <v>74</v>
      </c>
      <c r="V1614" s="219" t="s">
        <v>6728</v>
      </c>
      <c r="W1614" s="219" t="s">
        <v>67</v>
      </c>
    </row>
    <row r="1615" spans="1:23" ht="15" customHeight="1" x14ac:dyDescent="0.25">
      <c r="A1615" t="s">
        <v>3943</v>
      </c>
      <c r="B1615" t="s">
        <v>595</v>
      </c>
      <c r="C1615">
        <v>19970</v>
      </c>
      <c r="D1615" t="s">
        <v>3944</v>
      </c>
      <c r="E1615" t="s">
        <v>258</v>
      </c>
      <c r="F1615" t="s">
        <v>554</v>
      </c>
      <c r="G1615" s="30">
        <v>46143</v>
      </c>
      <c r="H1615" t="s">
        <v>3945</v>
      </c>
      <c r="I1615">
        <v>1711761.29</v>
      </c>
      <c r="J1615" s="123">
        <v>0</v>
      </c>
      <c r="K1615" s="123">
        <v>0</v>
      </c>
      <c r="L1615" s="123">
        <v>46140</v>
      </c>
      <c r="M1615">
        <v>0</v>
      </c>
      <c r="N1615">
        <v>0</v>
      </c>
      <c r="O1615">
        <v>0</v>
      </c>
      <c r="P1615" s="216">
        <v>19970</v>
      </c>
      <c r="Q1615" s="217" t="s">
        <v>9</v>
      </c>
      <c r="R1615" s="217" t="s">
        <v>554</v>
      </c>
      <c r="S1615" s="218">
        <v>0.47724819153960418</v>
      </c>
      <c r="T1615" t="s">
        <v>550</v>
      </c>
      <c r="U1615" t="s">
        <v>74</v>
      </c>
      <c r="V1615" s="219" t="s">
        <v>6729</v>
      </c>
      <c r="W1615" s="219" t="s">
        <v>67</v>
      </c>
    </row>
    <row r="1616" spans="1:23" ht="15" customHeight="1" x14ac:dyDescent="0.25">
      <c r="A1616" t="s">
        <v>3946</v>
      </c>
      <c r="B1616" t="s">
        <v>595</v>
      </c>
      <c r="C1616">
        <v>40000</v>
      </c>
      <c r="D1616" t="s">
        <v>3944</v>
      </c>
      <c r="E1616" t="s">
        <v>258</v>
      </c>
      <c r="F1616" t="s">
        <v>580</v>
      </c>
      <c r="G1616" s="30">
        <v>46143</v>
      </c>
      <c r="H1616" t="s">
        <v>3945</v>
      </c>
      <c r="I1616">
        <v>1711761.29</v>
      </c>
      <c r="J1616" s="123">
        <v>0</v>
      </c>
      <c r="K1616" s="123">
        <v>0</v>
      </c>
      <c r="L1616" s="123">
        <v>46141</v>
      </c>
      <c r="M1616">
        <v>0</v>
      </c>
      <c r="N1616">
        <v>0</v>
      </c>
      <c r="O1616">
        <v>0</v>
      </c>
      <c r="P1616" s="216">
        <v>40000</v>
      </c>
      <c r="Q1616" s="217" t="s">
        <v>9</v>
      </c>
      <c r="R1616" s="217" t="s">
        <v>582</v>
      </c>
      <c r="S1616" s="218">
        <v>0.47724819153960418</v>
      </c>
      <c r="T1616" t="s">
        <v>550</v>
      </c>
      <c r="U1616" t="s">
        <v>74</v>
      </c>
      <c r="V1616" s="219">
        <v>0</v>
      </c>
      <c r="W1616" s="219">
        <v>0</v>
      </c>
    </row>
    <row r="1617" spans="1:23" ht="15" customHeight="1" x14ac:dyDescent="0.25">
      <c r="A1617" t="s">
        <v>3947</v>
      </c>
      <c r="B1617" t="s">
        <v>595</v>
      </c>
      <c r="C1617">
        <v>29970</v>
      </c>
      <c r="D1617" t="s">
        <v>3944</v>
      </c>
      <c r="E1617" t="s">
        <v>258</v>
      </c>
      <c r="F1617" t="s">
        <v>554</v>
      </c>
      <c r="G1617" s="30">
        <v>46143</v>
      </c>
      <c r="H1617" t="s">
        <v>3945</v>
      </c>
      <c r="I1617">
        <v>1711761.29</v>
      </c>
      <c r="J1617" s="123">
        <v>0</v>
      </c>
      <c r="K1617" s="123">
        <v>0</v>
      </c>
      <c r="L1617" s="123">
        <v>46140</v>
      </c>
      <c r="M1617">
        <v>0</v>
      </c>
      <c r="N1617">
        <v>0</v>
      </c>
      <c r="O1617">
        <v>0</v>
      </c>
      <c r="P1617" s="216">
        <v>29970</v>
      </c>
      <c r="Q1617" s="217" t="s">
        <v>9</v>
      </c>
      <c r="R1617" s="217" t="s">
        <v>554</v>
      </c>
      <c r="S1617" s="218">
        <v>0.47724819153960418</v>
      </c>
      <c r="T1617" t="s">
        <v>550</v>
      </c>
      <c r="U1617" t="s">
        <v>74</v>
      </c>
      <c r="V1617" s="219" t="s">
        <v>6730</v>
      </c>
      <c r="W1617" s="219" t="s">
        <v>67</v>
      </c>
    </row>
    <row r="1618" spans="1:23" ht="15" customHeight="1" x14ac:dyDescent="0.25">
      <c r="A1618" t="s">
        <v>3948</v>
      </c>
      <c r="B1618" t="s">
        <v>595</v>
      </c>
      <c r="C1618">
        <v>2470</v>
      </c>
      <c r="D1618" t="s">
        <v>3944</v>
      </c>
      <c r="E1618" t="s">
        <v>258</v>
      </c>
      <c r="F1618" t="s">
        <v>554</v>
      </c>
      <c r="G1618" s="30">
        <v>46143</v>
      </c>
      <c r="H1618" t="s">
        <v>3945</v>
      </c>
      <c r="I1618">
        <v>1711761.29</v>
      </c>
      <c r="J1618" s="123">
        <v>0</v>
      </c>
      <c r="K1618" s="123">
        <v>0</v>
      </c>
      <c r="L1618" s="123">
        <v>46139</v>
      </c>
      <c r="M1618">
        <v>0</v>
      </c>
      <c r="N1618">
        <v>0</v>
      </c>
      <c r="O1618">
        <v>0</v>
      </c>
      <c r="P1618" s="216">
        <v>2470</v>
      </c>
      <c r="Q1618" s="217" t="s">
        <v>9</v>
      </c>
      <c r="R1618" s="217" t="s">
        <v>554</v>
      </c>
      <c r="S1618" s="218">
        <v>0.47724819153960418</v>
      </c>
      <c r="T1618" t="s">
        <v>550</v>
      </c>
      <c r="U1618" t="s">
        <v>74</v>
      </c>
      <c r="V1618" s="219" t="s">
        <v>6731</v>
      </c>
      <c r="W1618" s="219" t="s">
        <v>67</v>
      </c>
    </row>
    <row r="1619" spans="1:23" ht="15" customHeight="1" x14ac:dyDescent="0.25">
      <c r="A1619" t="s">
        <v>3949</v>
      </c>
      <c r="B1619" t="s">
        <v>595</v>
      </c>
      <c r="C1619">
        <v>39970</v>
      </c>
      <c r="D1619" t="s">
        <v>3944</v>
      </c>
      <c r="E1619" t="s">
        <v>258</v>
      </c>
      <c r="F1619" t="s">
        <v>554</v>
      </c>
      <c r="G1619" s="30">
        <v>46143</v>
      </c>
      <c r="H1619" t="s">
        <v>3945</v>
      </c>
      <c r="I1619">
        <v>1711761.29</v>
      </c>
      <c r="J1619" s="123">
        <v>0</v>
      </c>
      <c r="K1619" s="123">
        <v>0</v>
      </c>
      <c r="L1619" s="123">
        <v>46141</v>
      </c>
      <c r="M1619">
        <v>0</v>
      </c>
      <c r="N1619">
        <v>0</v>
      </c>
      <c r="O1619">
        <v>0</v>
      </c>
      <c r="P1619" s="216">
        <v>39970</v>
      </c>
      <c r="Q1619" s="217" t="s">
        <v>9</v>
      </c>
      <c r="R1619" s="217" t="s">
        <v>554</v>
      </c>
      <c r="S1619" s="218">
        <v>0.47724819153960418</v>
      </c>
      <c r="T1619" t="s">
        <v>550</v>
      </c>
      <c r="U1619" t="s">
        <v>74</v>
      </c>
      <c r="V1619" s="219" t="s">
        <v>6732</v>
      </c>
      <c r="W1619" s="219" t="s">
        <v>67</v>
      </c>
    </row>
    <row r="1620" spans="1:23" ht="15" customHeight="1" x14ac:dyDescent="0.25">
      <c r="A1620" t="s">
        <v>3950</v>
      </c>
      <c r="B1620" t="s">
        <v>595</v>
      </c>
      <c r="C1620">
        <v>37970</v>
      </c>
      <c r="D1620" t="s">
        <v>3944</v>
      </c>
      <c r="E1620" t="s">
        <v>258</v>
      </c>
      <c r="F1620" t="s">
        <v>554</v>
      </c>
      <c r="G1620" s="30">
        <v>46143</v>
      </c>
      <c r="H1620" t="s">
        <v>3945</v>
      </c>
      <c r="I1620">
        <v>1711761.29</v>
      </c>
      <c r="J1620" s="123">
        <v>0</v>
      </c>
      <c r="K1620" s="123">
        <v>0</v>
      </c>
      <c r="L1620" s="123">
        <v>46142</v>
      </c>
      <c r="M1620">
        <v>0</v>
      </c>
      <c r="N1620">
        <v>0</v>
      </c>
      <c r="O1620">
        <v>0</v>
      </c>
      <c r="P1620" s="216">
        <v>37970</v>
      </c>
      <c r="Q1620" s="217" t="s">
        <v>9</v>
      </c>
      <c r="R1620" s="217" t="s">
        <v>554</v>
      </c>
      <c r="S1620" s="218">
        <v>0.47724819153960418</v>
      </c>
      <c r="T1620" t="s">
        <v>550</v>
      </c>
      <c r="U1620" t="s">
        <v>74</v>
      </c>
      <c r="V1620" s="219" t="s">
        <v>6733</v>
      </c>
      <c r="W1620" s="219" t="s">
        <v>67</v>
      </c>
    </row>
    <row r="1621" spans="1:23" ht="15" customHeight="1" x14ac:dyDescent="0.25">
      <c r="A1621" t="s">
        <v>3951</v>
      </c>
      <c r="B1621" t="s">
        <v>595</v>
      </c>
      <c r="C1621">
        <v>123086.39999999999</v>
      </c>
      <c r="D1621" t="s">
        <v>3952</v>
      </c>
      <c r="E1621" t="s">
        <v>258</v>
      </c>
      <c r="F1621" t="s">
        <v>554</v>
      </c>
      <c r="G1621" s="30">
        <v>46147</v>
      </c>
      <c r="H1621" t="s">
        <v>3953</v>
      </c>
      <c r="I1621">
        <v>1211395.94</v>
      </c>
      <c r="J1621" s="123">
        <v>0</v>
      </c>
      <c r="K1621" s="123">
        <v>0</v>
      </c>
      <c r="L1621" s="123">
        <v>46146</v>
      </c>
      <c r="M1621">
        <v>0</v>
      </c>
      <c r="N1621">
        <v>0</v>
      </c>
      <c r="O1621">
        <v>0</v>
      </c>
      <c r="P1621" s="216">
        <v>123086.39999999999</v>
      </c>
      <c r="Q1621" s="217" t="s">
        <v>9</v>
      </c>
      <c r="R1621" s="217" t="s">
        <v>554</v>
      </c>
      <c r="S1621" s="218">
        <v>0.5018511123621564</v>
      </c>
      <c r="T1621" t="s">
        <v>550</v>
      </c>
      <c r="U1621" t="s">
        <v>74</v>
      </c>
      <c r="V1621" s="219" t="s">
        <v>6734</v>
      </c>
      <c r="W1621" s="219" t="s">
        <v>67</v>
      </c>
    </row>
    <row r="1622" spans="1:23" ht="15" customHeight="1" x14ac:dyDescent="0.25">
      <c r="A1622" t="s">
        <v>3954</v>
      </c>
      <c r="B1622" t="s">
        <v>546</v>
      </c>
      <c r="C1622">
        <v>38000</v>
      </c>
      <c r="D1622" t="s">
        <v>3955</v>
      </c>
      <c r="E1622" t="s">
        <v>553</v>
      </c>
      <c r="F1622" t="s">
        <v>554</v>
      </c>
      <c r="G1622" s="30">
        <v>46144</v>
      </c>
      <c r="H1622" t="s">
        <v>3956</v>
      </c>
      <c r="I1622">
        <v>1616329.14</v>
      </c>
      <c r="J1622" s="123">
        <v>46144</v>
      </c>
      <c r="K1622" s="123">
        <v>0</v>
      </c>
      <c r="L1622" s="123">
        <v>46144</v>
      </c>
      <c r="M1622">
        <v>0</v>
      </c>
      <c r="N1622">
        <v>0</v>
      </c>
      <c r="O1622" t="s">
        <v>556</v>
      </c>
      <c r="P1622" s="216">
        <v>38000</v>
      </c>
      <c r="Q1622" s="217" t="s">
        <v>9</v>
      </c>
      <c r="R1622" s="217" t="s">
        <v>554</v>
      </c>
      <c r="S1622" s="218">
        <v>0.42435585860934244</v>
      </c>
      <c r="T1622" t="s">
        <v>550</v>
      </c>
      <c r="U1622" t="s">
        <v>74</v>
      </c>
      <c r="V1622" s="219" t="s">
        <v>6735</v>
      </c>
      <c r="W1622" s="219" t="s">
        <v>67</v>
      </c>
    </row>
    <row r="1623" spans="1:23" ht="15" customHeight="1" x14ac:dyDescent="0.25">
      <c r="A1623" t="s">
        <v>3957</v>
      </c>
      <c r="B1623" t="s">
        <v>595</v>
      </c>
      <c r="C1623">
        <v>168785</v>
      </c>
      <c r="D1623" t="s">
        <v>3958</v>
      </c>
      <c r="E1623" t="s">
        <v>258</v>
      </c>
      <c r="F1623" t="s">
        <v>554</v>
      </c>
      <c r="G1623" s="30">
        <v>46144</v>
      </c>
      <c r="H1623" t="s">
        <v>3959</v>
      </c>
      <c r="I1623">
        <v>1687849.99</v>
      </c>
      <c r="J1623" s="123">
        <v>0</v>
      </c>
      <c r="K1623" s="123">
        <v>0</v>
      </c>
      <c r="L1623" s="123">
        <v>46143</v>
      </c>
      <c r="M1623">
        <v>0</v>
      </c>
      <c r="N1623">
        <v>0</v>
      </c>
      <c r="O1623">
        <v>0</v>
      </c>
      <c r="P1623" s="216">
        <v>168785</v>
      </c>
      <c r="Q1623" s="217" t="s">
        <v>9</v>
      </c>
      <c r="R1623" s="217" t="s">
        <v>554</v>
      </c>
      <c r="S1623" s="218">
        <v>0.50000023995023402</v>
      </c>
      <c r="T1623" t="s">
        <v>550</v>
      </c>
      <c r="U1623" t="s">
        <v>74</v>
      </c>
      <c r="V1623" s="219" t="s">
        <v>6736</v>
      </c>
      <c r="W1623" s="219" t="s">
        <v>67</v>
      </c>
    </row>
    <row r="1624" spans="1:23" ht="15" customHeight="1" x14ac:dyDescent="0.25">
      <c r="A1624" t="s">
        <v>3960</v>
      </c>
      <c r="B1624" t="s">
        <v>546</v>
      </c>
      <c r="C1624">
        <v>44500</v>
      </c>
      <c r="D1624" t="s">
        <v>3961</v>
      </c>
      <c r="E1624" t="s">
        <v>258</v>
      </c>
      <c r="F1624" t="s">
        <v>554</v>
      </c>
      <c r="G1624" s="30">
        <v>46148</v>
      </c>
      <c r="H1624" t="s">
        <v>3962</v>
      </c>
      <c r="I1624">
        <v>2422032.71</v>
      </c>
      <c r="J1624" s="123">
        <v>0</v>
      </c>
      <c r="K1624" s="123">
        <v>0</v>
      </c>
      <c r="L1624" s="123">
        <v>0</v>
      </c>
      <c r="M1624">
        <v>0</v>
      </c>
      <c r="N1624">
        <v>0</v>
      </c>
      <c r="O1624">
        <v>0</v>
      </c>
      <c r="P1624" s="216">
        <v>44500</v>
      </c>
      <c r="Q1624" s="217" t="s">
        <v>9</v>
      </c>
      <c r="R1624" s="217" t="s">
        <v>554</v>
      </c>
      <c r="S1624" s="218">
        <v>0.21840309175016506</v>
      </c>
      <c r="T1624" t="s">
        <v>550</v>
      </c>
      <c r="U1624" t="s">
        <v>74</v>
      </c>
      <c r="V1624" s="219" t="s">
        <v>6737</v>
      </c>
      <c r="W1624" s="219" t="s">
        <v>67</v>
      </c>
    </row>
    <row r="1625" spans="1:23" ht="15" customHeight="1" x14ac:dyDescent="0.25">
      <c r="A1625" t="s">
        <v>3963</v>
      </c>
      <c r="B1625" t="s">
        <v>575</v>
      </c>
      <c r="C1625">
        <v>154063</v>
      </c>
      <c r="D1625" t="s">
        <v>3964</v>
      </c>
      <c r="E1625" t="s">
        <v>258</v>
      </c>
      <c r="F1625" t="s">
        <v>580</v>
      </c>
      <c r="G1625" s="30">
        <v>46148</v>
      </c>
      <c r="H1625" t="s">
        <v>3965</v>
      </c>
      <c r="I1625">
        <v>1540626.38</v>
      </c>
      <c r="J1625" s="123">
        <v>0</v>
      </c>
      <c r="K1625" s="123">
        <v>0</v>
      </c>
      <c r="L1625" s="123">
        <v>46148</v>
      </c>
      <c r="M1625">
        <v>0</v>
      </c>
      <c r="N1625">
        <v>0</v>
      </c>
      <c r="O1625">
        <v>0</v>
      </c>
      <c r="P1625" s="216">
        <v>154063</v>
      </c>
      <c r="Q1625" s="217" t="s">
        <v>9</v>
      </c>
      <c r="R1625" s="217" t="s">
        <v>582</v>
      </c>
      <c r="S1625" s="218">
        <v>0.40000029079081462</v>
      </c>
      <c r="T1625" t="s">
        <v>550</v>
      </c>
      <c r="U1625" t="s">
        <v>74</v>
      </c>
      <c r="V1625" s="219">
        <v>0</v>
      </c>
      <c r="W1625" s="219">
        <v>0</v>
      </c>
    </row>
    <row r="1626" spans="1:23" ht="15" customHeight="1" x14ac:dyDescent="0.25">
      <c r="A1626" t="s">
        <v>3966</v>
      </c>
      <c r="B1626" t="s">
        <v>575</v>
      </c>
      <c r="C1626">
        <v>121038</v>
      </c>
      <c r="D1626" t="s">
        <v>3967</v>
      </c>
      <c r="E1626" t="s">
        <v>258</v>
      </c>
      <c r="F1626" t="s">
        <v>554</v>
      </c>
      <c r="G1626" s="30">
        <v>46146</v>
      </c>
      <c r="H1626" t="s">
        <v>3968</v>
      </c>
      <c r="I1626">
        <v>1210383.7</v>
      </c>
      <c r="J1626" s="123">
        <v>0</v>
      </c>
      <c r="K1626" s="123">
        <v>0</v>
      </c>
      <c r="L1626" s="123">
        <v>46146</v>
      </c>
      <c r="M1626">
        <v>0</v>
      </c>
      <c r="N1626">
        <v>0</v>
      </c>
      <c r="O1626">
        <v>0</v>
      </c>
      <c r="P1626" s="216">
        <v>121038</v>
      </c>
      <c r="Q1626" s="217" t="s">
        <v>9</v>
      </c>
      <c r="R1626" s="217" t="s">
        <v>554</v>
      </c>
      <c r="S1626" s="218">
        <v>0.39999974388286952</v>
      </c>
      <c r="T1626" t="s">
        <v>550</v>
      </c>
      <c r="U1626" t="s">
        <v>74</v>
      </c>
      <c r="V1626" s="219" t="s">
        <v>6738</v>
      </c>
      <c r="W1626" s="219" t="s">
        <v>67</v>
      </c>
    </row>
    <row r="1627" spans="1:23" ht="15" customHeight="1" x14ac:dyDescent="0.25">
      <c r="A1627" t="s">
        <v>3969</v>
      </c>
      <c r="B1627" t="s">
        <v>575</v>
      </c>
      <c r="C1627">
        <v>121292</v>
      </c>
      <c r="D1627" t="s">
        <v>3970</v>
      </c>
      <c r="E1627" t="s">
        <v>258</v>
      </c>
      <c r="F1627" t="s">
        <v>554</v>
      </c>
      <c r="G1627" s="30">
        <v>46146</v>
      </c>
      <c r="H1627" t="s">
        <v>3971</v>
      </c>
      <c r="I1627">
        <v>1212914.3</v>
      </c>
      <c r="J1627" s="123">
        <v>0</v>
      </c>
      <c r="K1627" s="123">
        <v>0</v>
      </c>
      <c r="L1627" s="123">
        <v>46145</v>
      </c>
      <c r="M1627">
        <v>0</v>
      </c>
      <c r="N1627">
        <v>0</v>
      </c>
      <c r="O1627">
        <v>0</v>
      </c>
      <c r="P1627" s="216">
        <v>121292</v>
      </c>
      <c r="Q1627" s="217" t="s">
        <v>9</v>
      </c>
      <c r="R1627" s="217" t="s">
        <v>554</v>
      </c>
      <c r="S1627" s="218">
        <v>0.50001719000262423</v>
      </c>
      <c r="T1627" t="s">
        <v>550</v>
      </c>
      <c r="U1627" t="s">
        <v>74</v>
      </c>
      <c r="V1627" s="219" t="s">
        <v>6739</v>
      </c>
      <c r="W1627" s="219" t="s">
        <v>67</v>
      </c>
    </row>
    <row r="1628" spans="1:23" ht="15" customHeight="1" x14ac:dyDescent="0.25">
      <c r="A1628" t="s">
        <v>3972</v>
      </c>
      <c r="B1628" t="s">
        <v>595</v>
      </c>
      <c r="C1628">
        <v>217829.5</v>
      </c>
      <c r="D1628" t="s">
        <v>3973</v>
      </c>
      <c r="E1628" t="s">
        <v>258</v>
      </c>
      <c r="F1628" t="s">
        <v>554</v>
      </c>
      <c r="G1628" s="30">
        <v>46145</v>
      </c>
      <c r="H1628" t="s">
        <v>3974</v>
      </c>
      <c r="I1628">
        <v>2378436.9300000002</v>
      </c>
      <c r="J1628" s="123">
        <v>0</v>
      </c>
      <c r="K1628" s="123">
        <v>0</v>
      </c>
      <c r="L1628" s="123">
        <v>46144</v>
      </c>
      <c r="M1628">
        <v>0</v>
      </c>
      <c r="N1628">
        <v>0</v>
      </c>
      <c r="O1628">
        <v>0</v>
      </c>
      <c r="P1628" s="216">
        <v>217829.5</v>
      </c>
      <c r="Q1628" s="217" t="s">
        <v>9</v>
      </c>
      <c r="R1628" s="217" t="s">
        <v>554</v>
      </c>
      <c r="S1628" s="218">
        <v>0.39265919487720025</v>
      </c>
      <c r="T1628" t="s">
        <v>550</v>
      </c>
      <c r="U1628" t="s">
        <v>74</v>
      </c>
      <c r="V1628" s="219" t="s">
        <v>6740</v>
      </c>
      <c r="W1628" s="219" t="s">
        <v>67</v>
      </c>
    </row>
    <row r="1629" spans="1:23" ht="15" customHeight="1" x14ac:dyDescent="0.25">
      <c r="A1629" t="s">
        <v>3975</v>
      </c>
      <c r="B1629" t="s">
        <v>546</v>
      </c>
      <c r="C1629">
        <v>154261.76999999999</v>
      </c>
      <c r="D1629" t="s">
        <v>3976</v>
      </c>
      <c r="E1629" t="s">
        <v>553</v>
      </c>
      <c r="F1629" t="s">
        <v>554</v>
      </c>
      <c r="G1629" s="30">
        <v>46143</v>
      </c>
      <c r="H1629" t="s">
        <v>3977</v>
      </c>
      <c r="I1629">
        <v>1544422.28</v>
      </c>
      <c r="J1629" s="123">
        <v>46143</v>
      </c>
      <c r="K1629" s="123">
        <v>0</v>
      </c>
      <c r="L1629" s="123">
        <v>46143</v>
      </c>
      <c r="M1629">
        <v>0</v>
      </c>
      <c r="N1629">
        <v>0</v>
      </c>
      <c r="O1629" t="s">
        <v>556</v>
      </c>
      <c r="P1629" s="216">
        <v>154261.76999999999</v>
      </c>
      <c r="Q1629" s="217" t="s">
        <v>9</v>
      </c>
      <c r="R1629" s="217" t="s">
        <v>554</v>
      </c>
      <c r="S1629" s="218">
        <v>0.50000249931644347</v>
      </c>
      <c r="T1629" t="s">
        <v>550</v>
      </c>
      <c r="U1629" t="s">
        <v>74</v>
      </c>
      <c r="V1629" s="219" t="s">
        <v>6741</v>
      </c>
      <c r="W1629" s="219" t="s">
        <v>67</v>
      </c>
    </row>
    <row r="1630" spans="1:23" ht="15" customHeight="1" x14ac:dyDescent="0.25">
      <c r="A1630" t="s">
        <v>3978</v>
      </c>
      <c r="B1630" t="s">
        <v>575</v>
      </c>
      <c r="C1630">
        <v>125479</v>
      </c>
      <c r="D1630" t="s">
        <v>3979</v>
      </c>
      <c r="E1630" t="s">
        <v>258</v>
      </c>
      <c r="F1630" t="s">
        <v>683</v>
      </c>
      <c r="G1630" s="30">
        <v>46148</v>
      </c>
      <c r="H1630" t="s">
        <v>3980</v>
      </c>
      <c r="I1630">
        <v>1196511.28</v>
      </c>
      <c r="J1630" s="123">
        <v>0</v>
      </c>
      <c r="K1630" s="123">
        <v>0</v>
      </c>
      <c r="L1630" s="123">
        <v>46132</v>
      </c>
      <c r="M1630">
        <v>0</v>
      </c>
      <c r="N1630">
        <v>0</v>
      </c>
      <c r="O1630">
        <v>0</v>
      </c>
      <c r="P1630" s="216">
        <v>125479</v>
      </c>
      <c r="Q1630" s="217" t="s">
        <v>9</v>
      </c>
      <c r="R1630" s="217" t="s">
        <v>62</v>
      </c>
      <c r="S1630" s="218">
        <v>0.40000040785240237</v>
      </c>
      <c r="T1630" t="s">
        <v>550</v>
      </c>
      <c r="U1630" t="s">
        <v>74</v>
      </c>
      <c r="V1630" s="219">
        <v>0</v>
      </c>
      <c r="W1630" s="219">
        <v>0</v>
      </c>
    </row>
    <row r="1631" spans="1:23" ht="15" customHeight="1" x14ac:dyDescent="0.25">
      <c r="A1631" t="s">
        <v>3981</v>
      </c>
      <c r="B1631" t="s">
        <v>546</v>
      </c>
      <c r="C1631">
        <v>149969.23000000001</v>
      </c>
      <c r="D1631" t="s">
        <v>3982</v>
      </c>
      <c r="E1631" t="s">
        <v>553</v>
      </c>
      <c r="F1631" t="s">
        <v>548</v>
      </c>
      <c r="G1631" s="30">
        <v>46148</v>
      </c>
      <c r="H1631" t="s">
        <v>3983</v>
      </c>
      <c r="I1631">
        <v>1499687.68</v>
      </c>
      <c r="J1631" s="123">
        <v>46148</v>
      </c>
      <c r="K1631" s="123">
        <v>0</v>
      </c>
      <c r="L1631" s="123">
        <v>46148</v>
      </c>
      <c r="M1631">
        <v>0</v>
      </c>
      <c r="N1631">
        <v>0</v>
      </c>
      <c r="O1631" t="s">
        <v>556</v>
      </c>
      <c r="P1631" s="216">
        <v>149969.23000000001</v>
      </c>
      <c r="Q1631" s="217" t="s">
        <v>9</v>
      </c>
      <c r="R1631" s="217" t="s">
        <v>62</v>
      </c>
      <c r="S1631" s="218">
        <v>0.50000077349438521</v>
      </c>
      <c r="T1631" t="s">
        <v>550</v>
      </c>
      <c r="U1631" t="s">
        <v>74</v>
      </c>
      <c r="V1631" s="219">
        <v>0</v>
      </c>
      <c r="W1631" s="219">
        <v>0</v>
      </c>
    </row>
    <row r="1632" spans="1:23" ht="15" customHeight="1" x14ac:dyDescent="0.25">
      <c r="A1632" t="s">
        <v>3984</v>
      </c>
      <c r="B1632" t="s">
        <v>546</v>
      </c>
      <c r="C1632">
        <v>149969.23000000001</v>
      </c>
      <c r="D1632" t="s">
        <v>3982</v>
      </c>
      <c r="E1632" t="s">
        <v>553</v>
      </c>
      <c r="F1632" t="s">
        <v>554</v>
      </c>
      <c r="G1632" s="30">
        <v>46149</v>
      </c>
      <c r="H1632" t="s">
        <v>3983</v>
      </c>
      <c r="I1632">
        <v>1499687.68</v>
      </c>
      <c r="J1632" s="123">
        <v>46149</v>
      </c>
      <c r="K1632" s="123">
        <v>0</v>
      </c>
      <c r="L1632" s="123">
        <v>46149</v>
      </c>
      <c r="M1632">
        <v>0</v>
      </c>
      <c r="N1632">
        <v>0</v>
      </c>
      <c r="O1632" t="s">
        <v>556</v>
      </c>
      <c r="P1632" s="216">
        <v>149969.23000000001</v>
      </c>
      <c r="Q1632" s="217" t="s">
        <v>9</v>
      </c>
      <c r="R1632" s="217" t="s">
        <v>554</v>
      </c>
      <c r="S1632" s="218">
        <v>0.50000077349438521</v>
      </c>
      <c r="T1632" t="s">
        <v>550</v>
      </c>
      <c r="U1632" t="s">
        <v>74</v>
      </c>
      <c r="V1632" s="219" t="s">
        <v>6742</v>
      </c>
      <c r="W1632" s="219" t="s">
        <v>67</v>
      </c>
    </row>
    <row r="1633" spans="1:23" ht="15" customHeight="1" x14ac:dyDescent="0.25">
      <c r="A1633" t="s">
        <v>3985</v>
      </c>
      <c r="B1633" t="s">
        <v>595</v>
      </c>
      <c r="C1633">
        <v>122198</v>
      </c>
      <c r="D1633" t="s">
        <v>3986</v>
      </c>
      <c r="E1633" t="s">
        <v>258</v>
      </c>
      <c r="F1633" t="s">
        <v>554</v>
      </c>
      <c r="G1633" s="30">
        <v>46148</v>
      </c>
      <c r="H1633" t="s">
        <v>3987</v>
      </c>
      <c r="I1633">
        <v>1221975.8999999999</v>
      </c>
      <c r="J1633" s="123">
        <v>0</v>
      </c>
      <c r="K1633" s="123">
        <v>0</v>
      </c>
      <c r="L1633" s="123">
        <v>46147</v>
      </c>
      <c r="M1633">
        <v>0</v>
      </c>
      <c r="N1633">
        <v>0</v>
      </c>
      <c r="O1633">
        <v>0</v>
      </c>
      <c r="P1633" s="216">
        <v>122198</v>
      </c>
      <c r="Q1633" s="217" t="s">
        <v>9</v>
      </c>
      <c r="R1633" s="217" t="s">
        <v>554</v>
      </c>
      <c r="S1633" s="218">
        <v>0.50000461547564068</v>
      </c>
      <c r="T1633" t="s">
        <v>550</v>
      </c>
      <c r="U1633" t="s">
        <v>74</v>
      </c>
      <c r="V1633" s="219" t="s">
        <v>6743</v>
      </c>
      <c r="W1633" s="219" t="s">
        <v>67</v>
      </c>
    </row>
    <row r="1634" spans="1:23" ht="15" customHeight="1" x14ac:dyDescent="0.25">
      <c r="A1634" t="s">
        <v>3988</v>
      </c>
      <c r="B1634" t="s">
        <v>575</v>
      </c>
      <c r="C1634">
        <v>100000</v>
      </c>
      <c r="D1634" t="s">
        <v>3989</v>
      </c>
      <c r="E1634" t="s">
        <v>258</v>
      </c>
      <c r="F1634" t="s">
        <v>554</v>
      </c>
      <c r="G1634" s="30">
        <v>46146</v>
      </c>
      <c r="H1634" t="s">
        <v>3990</v>
      </c>
      <c r="I1634">
        <v>1191503.9099999999</v>
      </c>
      <c r="J1634" s="123">
        <v>0</v>
      </c>
      <c r="K1634" s="123">
        <v>0</v>
      </c>
      <c r="L1634" s="123">
        <v>46146</v>
      </c>
      <c r="M1634">
        <v>0</v>
      </c>
      <c r="N1634">
        <v>0</v>
      </c>
      <c r="O1634">
        <v>0</v>
      </c>
      <c r="P1634" s="216">
        <v>100000</v>
      </c>
      <c r="Q1634" s="217" t="s">
        <v>9</v>
      </c>
      <c r="R1634" s="217" t="s">
        <v>554</v>
      </c>
      <c r="S1634" s="218">
        <v>0.49999835921646285</v>
      </c>
      <c r="T1634" t="s">
        <v>550</v>
      </c>
      <c r="U1634" t="s">
        <v>74</v>
      </c>
      <c r="V1634" s="219" t="s">
        <v>6744</v>
      </c>
      <c r="W1634" s="219" t="s">
        <v>67</v>
      </c>
    </row>
    <row r="1635" spans="1:23" ht="15" customHeight="1" x14ac:dyDescent="0.25">
      <c r="A1635" t="s">
        <v>3991</v>
      </c>
      <c r="B1635" t="s">
        <v>575</v>
      </c>
      <c r="C1635">
        <v>19150</v>
      </c>
      <c r="D1635" t="s">
        <v>3989</v>
      </c>
      <c r="E1635" t="s">
        <v>258</v>
      </c>
      <c r="F1635" t="s">
        <v>554</v>
      </c>
      <c r="G1635" s="30">
        <v>46147</v>
      </c>
      <c r="H1635" t="s">
        <v>3990</v>
      </c>
      <c r="I1635">
        <v>1191503.9099999999</v>
      </c>
      <c r="J1635" s="123">
        <v>0</v>
      </c>
      <c r="K1635" s="123">
        <v>0</v>
      </c>
      <c r="L1635" s="123">
        <v>46147</v>
      </c>
      <c r="M1635">
        <v>0</v>
      </c>
      <c r="N1635">
        <v>0</v>
      </c>
      <c r="O1635">
        <v>0</v>
      </c>
      <c r="P1635" s="216">
        <v>19150</v>
      </c>
      <c r="Q1635" s="217" t="s">
        <v>9</v>
      </c>
      <c r="R1635" s="217" t="s">
        <v>554</v>
      </c>
      <c r="S1635" s="218">
        <v>0.49999835921646285</v>
      </c>
      <c r="T1635" t="s">
        <v>550</v>
      </c>
      <c r="U1635" t="s">
        <v>74</v>
      </c>
      <c r="V1635" s="219" t="s">
        <v>6745</v>
      </c>
      <c r="W1635" s="219" t="s">
        <v>67</v>
      </c>
    </row>
    <row r="1636" spans="1:23" ht="15" customHeight="1" x14ac:dyDescent="0.25">
      <c r="A1636" t="s">
        <v>3992</v>
      </c>
      <c r="B1636" t="s">
        <v>575</v>
      </c>
      <c r="C1636">
        <v>128437.89</v>
      </c>
      <c r="D1636" t="s">
        <v>3993</v>
      </c>
      <c r="E1636" t="s">
        <v>258</v>
      </c>
      <c r="F1636" t="s">
        <v>554</v>
      </c>
      <c r="G1636" s="30">
        <v>46146</v>
      </c>
      <c r="H1636" t="s">
        <v>3994</v>
      </c>
      <c r="I1636">
        <v>1284378.9099999999</v>
      </c>
      <c r="J1636" s="123">
        <v>0</v>
      </c>
      <c r="K1636" s="123">
        <v>0</v>
      </c>
      <c r="L1636" s="123">
        <v>46146</v>
      </c>
      <c r="M1636">
        <v>0</v>
      </c>
      <c r="N1636">
        <v>0</v>
      </c>
      <c r="O1636">
        <v>0</v>
      </c>
      <c r="P1636" s="216">
        <v>128437.89</v>
      </c>
      <c r="Q1636" s="217" t="s">
        <v>9</v>
      </c>
      <c r="R1636" s="217" t="s">
        <v>554</v>
      </c>
      <c r="S1636" s="218">
        <v>0.50000406032827194</v>
      </c>
      <c r="T1636" t="s">
        <v>550</v>
      </c>
      <c r="U1636" t="s">
        <v>74</v>
      </c>
      <c r="V1636" s="219" t="s">
        <v>6746</v>
      </c>
      <c r="W1636" s="219" t="s">
        <v>67</v>
      </c>
    </row>
    <row r="1637" spans="1:23" ht="15" customHeight="1" x14ac:dyDescent="0.25">
      <c r="A1637" t="s">
        <v>3995</v>
      </c>
      <c r="B1637" t="s">
        <v>546</v>
      </c>
      <c r="C1637">
        <v>121359</v>
      </c>
      <c r="D1637" t="s">
        <v>3996</v>
      </c>
      <c r="E1637" t="s">
        <v>553</v>
      </c>
      <c r="F1637" t="s">
        <v>548</v>
      </c>
      <c r="G1637" s="30">
        <v>46144</v>
      </c>
      <c r="H1637" t="s">
        <v>3997</v>
      </c>
      <c r="I1637">
        <v>1213926.54</v>
      </c>
      <c r="J1637" s="123">
        <v>46143</v>
      </c>
      <c r="K1637" s="123">
        <v>0</v>
      </c>
      <c r="L1637" s="123">
        <v>46143</v>
      </c>
      <c r="M1637">
        <v>0</v>
      </c>
      <c r="N1637">
        <v>0</v>
      </c>
      <c r="O1637" t="s">
        <v>556</v>
      </c>
      <c r="P1637" s="216">
        <v>121359</v>
      </c>
      <c r="Q1637" s="217" t="s">
        <v>9</v>
      </c>
      <c r="R1637" s="217" t="s">
        <v>62</v>
      </c>
      <c r="S1637" s="218">
        <v>0.40002914838652426</v>
      </c>
      <c r="T1637" t="s">
        <v>550</v>
      </c>
      <c r="U1637" t="s">
        <v>74</v>
      </c>
      <c r="V1637" s="219">
        <v>0</v>
      </c>
      <c r="W1637" s="219">
        <v>0</v>
      </c>
    </row>
    <row r="1638" spans="1:23" ht="15" customHeight="1" x14ac:dyDescent="0.25">
      <c r="A1638" t="s">
        <v>3998</v>
      </c>
      <c r="B1638" t="s">
        <v>546</v>
      </c>
      <c r="C1638">
        <v>121359</v>
      </c>
      <c r="D1638" t="s">
        <v>3996</v>
      </c>
      <c r="E1638" t="s">
        <v>553</v>
      </c>
      <c r="F1638" t="s">
        <v>548</v>
      </c>
      <c r="G1638" s="30">
        <v>46144</v>
      </c>
      <c r="H1638" t="s">
        <v>3997</v>
      </c>
      <c r="I1638">
        <v>1213926.54</v>
      </c>
      <c r="J1638" s="123">
        <v>46143</v>
      </c>
      <c r="K1638" s="123">
        <v>0</v>
      </c>
      <c r="L1638" s="123">
        <v>46143</v>
      </c>
      <c r="M1638">
        <v>0</v>
      </c>
      <c r="N1638">
        <v>0</v>
      </c>
      <c r="O1638" t="s">
        <v>556</v>
      </c>
      <c r="P1638" s="216">
        <v>121359</v>
      </c>
      <c r="Q1638" s="217" t="s">
        <v>9</v>
      </c>
      <c r="R1638" s="217" t="s">
        <v>62</v>
      </c>
      <c r="S1638" s="218">
        <v>0.40002914838652426</v>
      </c>
      <c r="T1638" t="s">
        <v>550</v>
      </c>
      <c r="U1638" t="s">
        <v>74</v>
      </c>
      <c r="V1638" s="219">
        <v>0</v>
      </c>
      <c r="W1638" s="219">
        <v>0</v>
      </c>
    </row>
    <row r="1639" spans="1:23" ht="15" customHeight="1" x14ac:dyDescent="0.25">
      <c r="A1639" t="s">
        <v>3999</v>
      </c>
      <c r="B1639" t="s">
        <v>575</v>
      </c>
      <c r="C1639">
        <v>121393</v>
      </c>
      <c r="D1639" t="s">
        <v>3996</v>
      </c>
      <c r="E1639" t="s">
        <v>553</v>
      </c>
      <c r="F1639" t="s">
        <v>683</v>
      </c>
      <c r="G1639" s="30">
        <v>46146</v>
      </c>
      <c r="H1639" t="s">
        <v>3997</v>
      </c>
      <c r="I1639">
        <v>1213926.54</v>
      </c>
      <c r="J1639" s="123">
        <v>46145</v>
      </c>
      <c r="K1639" s="123">
        <v>0</v>
      </c>
      <c r="L1639" s="123">
        <v>46145</v>
      </c>
      <c r="M1639">
        <v>0</v>
      </c>
      <c r="N1639">
        <v>0</v>
      </c>
      <c r="O1639" t="s">
        <v>556</v>
      </c>
      <c r="P1639" s="216">
        <v>121393</v>
      </c>
      <c r="Q1639" s="217" t="s">
        <v>9</v>
      </c>
      <c r="R1639" s="217" t="s">
        <v>62</v>
      </c>
      <c r="S1639" s="218">
        <v>0.40002914838652426</v>
      </c>
      <c r="T1639" t="s">
        <v>550</v>
      </c>
      <c r="U1639" t="s">
        <v>74</v>
      </c>
      <c r="V1639" s="219">
        <v>0</v>
      </c>
      <c r="W1639" s="219">
        <v>0</v>
      </c>
    </row>
    <row r="1640" spans="1:23" ht="15" customHeight="1" x14ac:dyDescent="0.25">
      <c r="A1640" t="s">
        <v>4000</v>
      </c>
      <c r="B1640" t="s">
        <v>546</v>
      </c>
      <c r="C1640">
        <v>57000</v>
      </c>
      <c r="D1640" t="s">
        <v>4001</v>
      </c>
      <c r="E1640" t="s">
        <v>553</v>
      </c>
      <c r="F1640" t="s">
        <v>554</v>
      </c>
      <c r="G1640" s="30">
        <v>46146</v>
      </c>
      <c r="H1640" t="s">
        <v>4002</v>
      </c>
      <c r="I1640">
        <v>1211142.8799999999</v>
      </c>
      <c r="J1640" s="123">
        <v>46146</v>
      </c>
      <c r="K1640" s="123">
        <v>0</v>
      </c>
      <c r="L1640" s="123">
        <v>46146</v>
      </c>
      <c r="M1640">
        <v>0</v>
      </c>
      <c r="N1640">
        <v>0</v>
      </c>
      <c r="O1640" t="s">
        <v>556</v>
      </c>
      <c r="P1640" s="216">
        <v>57000</v>
      </c>
      <c r="Q1640" s="217" t="s">
        <v>9</v>
      </c>
      <c r="R1640" s="217" t="s">
        <v>554</v>
      </c>
      <c r="S1640" s="218">
        <v>0.39999904883228976</v>
      </c>
      <c r="T1640" t="s">
        <v>550</v>
      </c>
      <c r="U1640" t="s">
        <v>74</v>
      </c>
      <c r="V1640" s="219" t="s">
        <v>6747</v>
      </c>
      <c r="W1640" s="219" t="s">
        <v>67</v>
      </c>
    </row>
    <row r="1641" spans="1:23" ht="15" customHeight="1" x14ac:dyDescent="0.25">
      <c r="A1641" t="s">
        <v>4003</v>
      </c>
      <c r="B1641" t="s">
        <v>546</v>
      </c>
      <c r="C1641">
        <v>68573</v>
      </c>
      <c r="D1641" t="s">
        <v>4004</v>
      </c>
      <c r="E1641" t="s">
        <v>553</v>
      </c>
      <c r="F1641" t="s">
        <v>554</v>
      </c>
      <c r="G1641" s="30">
        <v>46148</v>
      </c>
      <c r="H1641" t="s">
        <v>4005</v>
      </c>
      <c r="I1641">
        <v>1285724.94</v>
      </c>
      <c r="J1641" s="123">
        <v>46148</v>
      </c>
      <c r="K1641" s="123">
        <v>0</v>
      </c>
      <c r="L1641" s="123">
        <v>46148</v>
      </c>
      <c r="M1641">
        <v>0</v>
      </c>
      <c r="N1641">
        <v>0</v>
      </c>
      <c r="O1641" t="s">
        <v>556</v>
      </c>
      <c r="P1641" s="216">
        <v>68573</v>
      </c>
      <c r="Q1641" s="217" t="s">
        <v>9</v>
      </c>
      <c r="R1641" s="217" t="s">
        <v>554</v>
      </c>
      <c r="S1641" s="218">
        <v>0.45333491003137888</v>
      </c>
      <c r="T1641" t="s">
        <v>550</v>
      </c>
      <c r="U1641" t="s">
        <v>74</v>
      </c>
      <c r="V1641" s="219" t="s">
        <v>6748</v>
      </c>
      <c r="W1641" s="219" t="s">
        <v>67</v>
      </c>
    </row>
    <row r="1642" spans="1:23" ht="15" customHeight="1" x14ac:dyDescent="0.25">
      <c r="A1642" t="s">
        <v>4006</v>
      </c>
      <c r="B1642" t="s">
        <v>595</v>
      </c>
      <c r="C1642">
        <v>122714</v>
      </c>
      <c r="D1642" t="s">
        <v>4007</v>
      </c>
      <c r="E1642" t="s">
        <v>258</v>
      </c>
      <c r="F1642" t="s">
        <v>580</v>
      </c>
      <c r="G1642" s="30">
        <v>46148</v>
      </c>
      <c r="H1642" t="s">
        <v>4008</v>
      </c>
      <c r="I1642">
        <v>1226835.1599999999</v>
      </c>
      <c r="J1642" s="123">
        <v>0</v>
      </c>
      <c r="K1642" s="123">
        <v>0</v>
      </c>
      <c r="L1642" s="123">
        <v>46148</v>
      </c>
      <c r="M1642">
        <v>0</v>
      </c>
      <c r="N1642">
        <v>0</v>
      </c>
      <c r="O1642">
        <v>0</v>
      </c>
      <c r="P1642" s="216">
        <v>122714</v>
      </c>
      <c r="Q1642" s="217" t="s">
        <v>9</v>
      </c>
      <c r="R1642" s="217" t="s">
        <v>582</v>
      </c>
      <c r="S1642" s="218">
        <v>0.39997630977579746</v>
      </c>
      <c r="T1642" t="s">
        <v>550</v>
      </c>
      <c r="U1642" t="s">
        <v>74</v>
      </c>
      <c r="V1642" s="219">
        <v>0</v>
      </c>
      <c r="W1642" s="219">
        <v>0</v>
      </c>
    </row>
    <row r="1643" spans="1:23" ht="15" customHeight="1" x14ac:dyDescent="0.25">
      <c r="A1643" t="s">
        <v>4009</v>
      </c>
      <c r="B1643" t="s">
        <v>575</v>
      </c>
      <c r="C1643">
        <v>154852</v>
      </c>
      <c r="D1643" t="s">
        <v>4010</v>
      </c>
      <c r="E1643" t="s">
        <v>258</v>
      </c>
      <c r="F1643" t="s">
        <v>585</v>
      </c>
      <c r="G1643" s="30">
        <v>46148</v>
      </c>
      <c r="H1643" t="s">
        <v>4011</v>
      </c>
      <c r="I1643">
        <v>1574067.05</v>
      </c>
      <c r="J1643" s="123">
        <v>0</v>
      </c>
      <c r="K1643" s="123">
        <v>0</v>
      </c>
      <c r="L1643" s="123">
        <v>46144</v>
      </c>
      <c r="M1643">
        <v>0</v>
      </c>
      <c r="N1643">
        <v>0</v>
      </c>
      <c r="O1643">
        <v>0</v>
      </c>
      <c r="P1643" s="216">
        <v>154852</v>
      </c>
      <c r="Q1643" s="217" t="s">
        <v>9</v>
      </c>
      <c r="R1643" s="217" t="s">
        <v>61</v>
      </c>
      <c r="S1643" s="218">
        <v>0.40225943361180194</v>
      </c>
      <c r="T1643" t="s">
        <v>550</v>
      </c>
      <c r="U1643" t="s">
        <v>74</v>
      </c>
      <c r="V1643" s="219">
        <v>0</v>
      </c>
      <c r="W1643" s="219">
        <v>0</v>
      </c>
    </row>
    <row r="1644" spans="1:23" ht="15" customHeight="1" x14ac:dyDescent="0.25">
      <c r="A1644" t="s">
        <v>4012</v>
      </c>
      <c r="B1644" t="s">
        <v>595</v>
      </c>
      <c r="C1644">
        <v>220000</v>
      </c>
      <c r="D1644" t="s">
        <v>4013</v>
      </c>
      <c r="E1644" t="s">
        <v>263</v>
      </c>
      <c r="F1644" t="s">
        <v>580</v>
      </c>
      <c r="G1644" s="30">
        <v>46146</v>
      </c>
      <c r="H1644" t="s">
        <v>4014</v>
      </c>
      <c r="I1644">
        <v>10607498</v>
      </c>
      <c r="J1644" s="123">
        <v>0</v>
      </c>
      <c r="K1644" s="123">
        <v>0</v>
      </c>
      <c r="L1644" s="123">
        <v>46145</v>
      </c>
      <c r="M1644">
        <v>0</v>
      </c>
      <c r="N1644">
        <v>0</v>
      </c>
      <c r="O1644">
        <v>0</v>
      </c>
      <c r="P1644" s="216">
        <v>220000</v>
      </c>
      <c r="Q1644" s="217" t="s">
        <v>8</v>
      </c>
      <c r="R1644" s="217" t="s">
        <v>582</v>
      </c>
      <c r="S1644" s="218">
        <v>0.32219404411217606</v>
      </c>
      <c r="T1644" t="s">
        <v>550</v>
      </c>
      <c r="U1644" t="s">
        <v>74</v>
      </c>
      <c r="V1644" s="219">
        <v>0</v>
      </c>
      <c r="W1644" s="219">
        <v>0</v>
      </c>
    </row>
    <row r="1645" spans="1:23" ht="15" customHeight="1" x14ac:dyDescent="0.25">
      <c r="A1645" t="s">
        <v>4015</v>
      </c>
      <c r="B1645" t="s">
        <v>595</v>
      </c>
      <c r="C1645">
        <v>214899.55</v>
      </c>
      <c r="D1645" t="s">
        <v>4016</v>
      </c>
      <c r="E1645" t="s">
        <v>141</v>
      </c>
      <c r="F1645" t="s">
        <v>683</v>
      </c>
      <c r="G1645" s="30">
        <v>46143</v>
      </c>
      <c r="H1645" t="s">
        <v>4017</v>
      </c>
      <c r="I1645">
        <v>2161464</v>
      </c>
      <c r="J1645" s="123">
        <v>0</v>
      </c>
      <c r="K1645" s="123">
        <v>0</v>
      </c>
      <c r="L1645" s="123">
        <v>46143</v>
      </c>
      <c r="M1645">
        <v>0</v>
      </c>
      <c r="N1645">
        <v>0</v>
      </c>
      <c r="O1645">
        <v>0</v>
      </c>
      <c r="P1645" s="216">
        <v>214899.55</v>
      </c>
      <c r="Q1645" s="217" t="s">
        <v>34</v>
      </c>
      <c r="R1645" s="217" t="s">
        <v>62</v>
      </c>
      <c r="S1645" s="218">
        <v>0.20022552769789365</v>
      </c>
      <c r="T1645" t="s">
        <v>550</v>
      </c>
      <c r="U1645" t="s">
        <v>51</v>
      </c>
      <c r="V1645" s="219">
        <v>0</v>
      </c>
      <c r="W1645" s="219">
        <v>0</v>
      </c>
    </row>
    <row r="1646" spans="1:23" ht="15" customHeight="1" x14ac:dyDescent="0.25">
      <c r="A1646" t="s">
        <v>4018</v>
      </c>
      <c r="B1646" t="s">
        <v>595</v>
      </c>
      <c r="C1646">
        <v>196768</v>
      </c>
      <c r="D1646" t="s">
        <v>4019</v>
      </c>
      <c r="E1646" t="s">
        <v>141</v>
      </c>
      <c r="F1646" t="s">
        <v>554</v>
      </c>
      <c r="G1646" s="30">
        <v>46146</v>
      </c>
      <c r="H1646" t="s">
        <v>4020</v>
      </c>
      <c r="I1646">
        <v>1967680.2</v>
      </c>
      <c r="J1646" s="123">
        <v>0</v>
      </c>
      <c r="K1646" s="123">
        <v>0</v>
      </c>
      <c r="L1646" s="123">
        <v>46146</v>
      </c>
      <c r="M1646">
        <v>0</v>
      </c>
      <c r="N1646">
        <v>0</v>
      </c>
      <c r="O1646">
        <v>0</v>
      </c>
      <c r="P1646" s="216">
        <v>196768</v>
      </c>
      <c r="Q1646" s="217" t="s">
        <v>34</v>
      </c>
      <c r="R1646" s="217" t="s">
        <v>554</v>
      </c>
      <c r="S1646" s="218">
        <v>0.30002499389890697</v>
      </c>
      <c r="T1646" t="s">
        <v>550</v>
      </c>
      <c r="U1646" t="s">
        <v>51</v>
      </c>
      <c r="V1646" s="219" t="s">
        <v>6749</v>
      </c>
      <c r="W1646" s="219" t="s">
        <v>67</v>
      </c>
    </row>
    <row r="1647" spans="1:23" ht="15" customHeight="1" x14ac:dyDescent="0.25">
      <c r="A1647" t="s">
        <v>4021</v>
      </c>
      <c r="B1647" t="s">
        <v>595</v>
      </c>
      <c r="C1647">
        <v>25700</v>
      </c>
      <c r="D1647" t="s">
        <v>4022</v>
      </c>
      <c r="E1647" t="s">
        <v>178</v>
      </c>
      <c r="F1647" t="s">
        <v>585</v>
      </c>
      <c r="G1647" s="30">
        <v>46146</v>
      </c>
      <c r="H1647" t="s">
        <v>4023</v>
      </c>
      <c r="I1647">
        <v>2174707.5</v>
      </c>
      <c r="J1647" s="123">
        <v>0</v>
      </c>
      <c r="K1647" s="123">
        <v>0</v>
      </c>
      <c r="L1647" s="123">
        <v>46140</v>
      </c>
      <c r="M1647">
        <v>0</v>
      </c>
      <c r="N1647">
        <v>0</v>
      </c>
      <c r="O1647">
        <v>0</v>
      </c>
      <c r="P1647" s="216">
        <v>25700</v>
      </c>
      <c r="Q1647" s="217" t="s">
        <v>32</v>
      </c>
      <c r="R1647" s="217" t="s">
        <v>61</v>
      </c>
      <c r="S1647" s="218">
        <v>0.28526494712507311</v>
      </c>
      <c r="T1647" t="s">
        <v>550</v>
      </c>
      <c r="U1647" t="s">
        <v>51</v>
      </c>
      <c r="V1647" s="219">
        <v>0</v>
      </c>
      <c r="W1647" s="219">
        <v>0</v>
      </c>
    </row>
    <row r="1648" spans="1:23" ht="15" customHeight="1" x14ac:dyDescent="0.25">
      <c r="A1648" t="s">
        <v>4024</v>
      </c>
      <c r="B1648" t="s">
        <v>595</v>
      </c>
      <c r="C1648">
        <v>6344</v>
      </c>
      <c r="D1648" t="s">
        <v>4022</v>
      </c>
      <c r="E1648" t="s">
        <v>178</v>
      </c>
      <c r="F1648" t="s">
        <v>683</v>
      </c>
      <c r="G1648" s="30">
        <v>46146</v>
      </c>
      <c r="H1648" t="s">
        <v>4023</v>
      </c>
      <c r="I1648">
        <v>2174707.5</v>
      </c>
      <c r="J1648" s="123">
        <v>0</v>
      </c>
      <c r="K1648" s="123">
        <v>0</v>
      </c>
      <c r="L1648" s="123">
        <v>46140</v>
      </c>
      <c r="M1648">
        <v>0</v>
      </c>
      <c r="N1648">
        <v>0</v>
      </c>
      <c r="O1648">
        <v>0</v>
      </c>
      <c r="P1648" s="216">
        <v>6344</v>
      </c>
      <c r="Q1648" s="217" t="s">
        <v>32</v>
      </c>
      <c r="R1648" s="217" t="s">
        <v>62</v>
      </c>
      <c r="S1648" s="218">
        <v>0.28526494712507311</v>
      </c>
      <c r="T1648" t="s">
        <v>550</v>
      </c>
      <c r="U1648" t="s">
        <v>51</v>
      </c>
      <c r="V1648" s="219">
        <v>0</v>
      </c>
      <c r="W1648" s="219">
        <v>0</v>
      </c>
    </row>
    <row r="1649" spans="1:23" ht="15" customHeight="1" x14ac:dyDescent="0.25">
      <c r="A1649" t="s">
        <v>4025</v>
      </c>
      <c r="B1649" t="s">
        <v>546</v>
      </c>
      <c r="C1649">
        <v>50000</v>
      </c>
      <c r="D1649" t="s">
        <v>4026</v>
      </c>
      <c r="E1649" t="s">
        <v>141</v>
      </c>
      <c r="F1649" t="s">
        <v>554</v>
      </c>
      <c r="G1649" s="30">
        <v>46143</v>
      </c>
      <c r="H1649" t="s">
        <v>4027</v>
      </c>
      <c r="I1649">
        <v>2777216.9</v>
      </c>
      <c r="J1649" s="123">
        <v>0</v>
      </c>
      <c r="K1649" s="123">
        <v>0</v>
      </c>
      <c r="L1649" s="123">
        <v>0</v>
      </c>
      <c r="M1649">
        <v>0</v>
      </c>
      <c r="N1649">
        <v>0</v>
      </c>
      <c r="O1649">
        <v>0</v>
      </c>
      <c r="P1649" s="216">
        <v>50000</v>
      </c>
      <c r="Q1649" s="217" t="s">
        <v>34</v>
      </c>
      <c r="R1649" s="217" t="s">
        <v>554</v>
      </c>
      <c r="S1649" s="218">
        <v>0.25418324366382761</v>
      </c>
      <c r="T1649" t="s">
        <v>550</v>
      </c>
      <c r="U1649" t="s">
        <v>51</v>
      </c>
      <c r="V1649" s="219" t="s">
        <v>6750</v>
      </c>
      <c r="W1649" s="219" t="s">
        <v>67</v>
      </c>
    </row>
    <row r="1650" spans="1:23" ht="15" customHeight="1" x14ac:dyDescent="0.25">
      <c r="A1650" t="s">
        <v>4028</v>
      </c>
      <c r="B1650" t="s">
        <v>546</v>
      </c>
      <c r="C1650">
        <v>50000</v>
      </c>
      <c r="D1650" t="s">
        <v>4026</v>
      </c>
      <c r="E1650" t="s">
        <v>141</v>
      </c>
      <c r="F1650" t="s">
        <v>554</v>
      </c>
      <c r="G1650" s="30">
        <v>46144</v>
      </c>
      <c r="H1650" t="s">
        <v>4027</v>
      </c>
      <c r="I1650">
        <v>2777216.9</v>
      </c>
      <c r="J1650" s="123">
        <v>0</v>
      </c>
      <c r="K1650" s="123">
        <v>0</v>
      </c>
      <c r="L1650" s="123">
        <v>0</v>
      </c>
      <c r="M1650">
        <v>0</v>
      </c>
      <c r="N1650">
        <v>0</v>
      </c>
      <c r="O1650">
        <v>0</v>
      </c>
      <c r="P1650" s="216">
        <v>50000</v>
      </c>
      <c r="Q1650" s="217" t="s">
        <v>34</v>
      </c>
      <c r="R1650" s="217" t="s">
        <v>554</v>
      </c>
      <c r="S1650" s="218">
        <v>0.25418324366382761</v>
      </c>
      <c r="T1650" t="s">
        <v>550</v>
      </c>
      <c r="U1650" t="s">
        <v>51</v>
      </c>
      <c r="V1650" s="219" t="s">
        <v>6751</v>
      </c>
      <c r="W1650" s="219" t="s">
        <v>67</v>
      </c>
    </row>
    <row r="1651" spans="1:23" ht="15" customHeight="1" x14ac:dyDescent="0.25">
      <c r="A1651" t="s">
        <v>4029</v>
      </c>
      <c r="B1651" t="s">
        <v>575</v>
      </c>
      <c r="C1651">
        <v>9645</v>
      </c>
      <c r="D1651" t="s">
        <v>4030</v>
      </c>
      <c r="E1651" t="s">
        <v>141</v>
      </c>
      <c r="F1651" t="s">
        <v>585</v>
      </c>
      <c r="G1651" s="30">
        <v>46146</v>
      </c>
      <c r="H1651" t="s">
        <v>4031</v>
      </c>
      <c r="I1651">
        <v>2380662.6</v>
      </c>
      <c r="J1651" s="123">
        <v>0</v>
      </c>
      <c r="K1651" s="123">
        <v>0</v>
      </c>
      <c r="L1651" s="123">
        <v>46145</v>
      </c>
      <c r="M1651">
        <v>0</v>
      </c>
      <c r="N1651">
        <v>0</v>
      </c>
      <c r="O1651">
        <v>0</v>
      </c>
      <c r="P1651" s="216">
        <v>9645</v>
      </c>
      <c r="Q1651" s="217" t="s">
        <v>34</v>
      </c>
      <c r="R1651" s="217" t="s">
        <v>61</v>
      </c>
      <c r="S1651" s="218">
        <v>0.26821037554838723</v>
      </c>
      <c r="T1651" t="s">
        <v>550</v>
      </c>
      <c r="U1651" t="s">
        <v>51</v>
      </c>
      <c r="V1651" s="219">
        <v>0</v>
      </c>
      <c r="W1651" s="219">
        <v>0</v>
      </c>
    </row>
    <row r="1652" spans="1:23" ht="15" customHeight="1" x14ac:dyDescent="0.25">
      <c r="A1652" t="s">
        <v>4032</v>
      </c>
      <c r="B1652" t="s">
        <v>575</v>
      </c>
      <c r="C1652">
        <v>133983.56</v>
      </c>
      <c r="D1652" t="s">
        <v>4033</v>
      </c>
      <c r="E1652" t="s">
        <v>298</v>
      </c>
      <c r="F1652" t="s">
        <v>580</v>
      </c>
      <c r="G1652" s="30">
        <v>46149</v>
      </c>
      <c r="H1652" t="s">
        <v>4034</v>
      </c>
      <c r="I1652">
        <v>1339835.55</v>
      </c>
      <c r="J1652" s="123">
        <v>0</v>
      </c>
      <c r="K1652" s="123">
        <v>0</v>
      </c>
      <c r="L1652" s="123">
        <v>46148</v>
      </c>
      <c r="M1652">
        <v>0</v>
      </c>
      <c r="N1652">
        <v>0</v>
      </c>
      <c r="O1652">
        <v>0</v>
      </c>
      <c r="P1652" s="216">
        <v>133983.56</v>
      </c>
      <c r="Q1652" s="217" t="s">
        <v>45</v>
      </c>
      <c r="R1652" s="217" t="s">
        <v>582</v>
      </c>
      <c r="S1652" s="218">
        <v>0.50000058589279861</v>
      </c>
      <c r="T1652" t="s">
        <v>550</v>
      </c>
      <c r="U1652" t="s">
        <v>51</v>
      </c>
      <c r="V1652" s="219">
        <v>0</v>
      </c>
      <c r="W1652" s="219">
        <v>0</v>
      </c>
    </row>
    <row r="1653" spans="1:23" ht="15" customHeight="1" x14ac:dyDescent="0.25">
      <c r="A1653" t="s">
        <v>4035</v>
      </c>
      <c r="B1653" t="s">
        <v>546</v>
      </c>
      <c r="C1653">
        <v>132148</v>
      </c>
      <c r="D1653" t="s">
        <v>4036</v>
      </c>
      <c r="E1653" t="s">
        <v>553</v>
      </c>
      <c r="F1653" t="s">
        <v>554</v>
      </c>
      <c r="G1653" s="30">
        <v>46146</v>
      </c>
      <c r="H1653" t="s">
        <v>4037</v>
      </c>
      <c r="I1653">
        <v>2322282.2000000002</v>
      </c>
      <c r="J1653" s="123">
        <v>46146</v>
      </c>
      <c r="K1653" s="123">
        <v>0</v>
      </c>
      <c r="L1653" s="123">
        <v>46146</v>
      </c>
      <c r="M1653">
        <v>0</v>
      </c>
      <c r="N1653">
        <v>0</v>
      </c>
      <c r="O1653" t="s">
        <v>556</v>
      </c>
      <c r="P1653" s="216">
        <v>132148</v>
      </c>
      <c r="Q1653" s="217" t="s">
        <v>34</v>
      </c>
      <c r="R1653" s="217" t="s">
        <v>554</v>
      </c>
      <c r="S1653" s="218">
        <v>0.25690460875082277</v>
      </c>
      <c r="T1653" t="s">
        <v>550</v>
      </c>
      <c r="U1653" t="s">
        <v>51</v>
      </c>
      <c r="V1653" s="219" t="s">
        <v>6752</v>
      </c>
      <c r="W1653" s="219" t="s">
        <v>67</v>
      </c>
    </row>
    <row r="1654" spans="1:23" ht="15" customHeight="1" x14ac:dyDescent="0.25">
      <c r="A1654" t="s">
        <v>4038</v>
      </c>
      <c r="B1654" t="s">
        <v>668</v>
      </c>
      <c r="C1654">
        <v>26000</v>
      </c>
      <c r="D1654" t="s">
        <v>4039</v>
      </c>
      <c r="E1654" t="s">
        <v>141</v>
      </c>
      <c r="F1654" t="s">
        <v>585</v>
      </c>
      <c r="G1654" s="30">
        <v>46146</v>
      </c>
      <c r="H1654" t="s">
        <v>4040</v>
      </c>
      <c r="I1654">
        <v>1348867.2</v>
      </c>
      <c r="J1654" s="123">
        <v>46142</v>
      </c>
      <c r="K1654" s="123">
        <v>0</v>
      </c>
      <c r="L1654" s="123">
        <v>46142</v>
      </c>
      <c r="M1654">
        <v>0</v>
      </c>
      <c r="N1654">
        <v>0</v>
      </c>
      <c r="O1654">
        <v>0</v>
      </c>
      <c r="P1654" s="216">
        <v>26000</v>
      </c>
      <c r="Q1654" s="217" t="s">
        <v>34</v>
      </c>
      <c r="R1654" s="217" t="s">
        <v>61</v>
      </c>
      <c r="S1654" s="218">
        <v>0.27819640065382273</v>
      </c>
      <c r="T1654" t="s">
        <v>550</v>
      </c>
      <c r="U1654" t="s">
        <v>51</v>
      </c>
      <c r="V1654" s="219">
        <v>0</v>
      </c>
      <c r="W1654" s="219">
        <v>0</v>
      </c>
    </row>
    <row r="1655" spans="1:23" ht="15" customHeight="1" x14ac:dyDescent="0.25">
      <c r="A1655" t="s">
        <v>4041</v>
      </c>
      <c r="B1655" t="s">
        <v>595</v>
      </c>
      <c r="C1655">
        <v>197968</v>
      </c>
      <c r="D1655" t="s">
        <v>4042</v>
      </c>
      <c r="E1655" t="s">
        <v>141</v>
      </c>
      <c r="F1655" t="s">
        <v>554</v>
      </c>
      <c r="G1655" s="30">
        <v>46146</v>
      </c>
      <c r="H1655" t="s">
        <v>4043</v>
      </c>
      <c r="I1655">
        <v>1979678.25</v>
      </c>
      <c r="J1655" s="123">
        <v>0</v>
      </c>
      <c r="K1655" s="123">
        <v>0</v>
      </c>
      <c r="L1655" s="123">
        <v>46146</v>
      </c>
      <c r="M1655">
        <v>0</v>
      </c>
      <c r="N1655">
        <v>0</v>
      </c>
      <c r="O1655">
        <v>0</v>
      </c>
      <c r="P1655" s="216">
        <v>197968</v>
      </c>
      <c r="Q1655" s="217" t="s">
        <v>34</v>
      </c>
      <c r="R1655" s="217" t="s">
        <v>554</v>
      </c>
      <c r="S1655" s="218">
        <v>0.30002559759395248</v>
      </c>
      <c r="T1655" t="s">
        <v>550</v>
      </c>
      <c r="U1655" t="s">
        <v>51</v>
      </c>
      <c r="V1655" s="219" t="s">
        <v>6753</v>
      </c>
      <c r="W1655" s="219" t="s">
        <v>67</v>
      </c>
    </row>
    <row r="1656" spans="1:23" ht="15" customHeight="1" x14ac:dyDescent="0.25">
      <c r="A1656" t="s">
        <v>4044</v>
      </c>
      <c r="B1656" t="s">
        <v>546</v>
      </c>
      <c r="C1656">
        <v>73650</v>
      </c>
      <c r="D1656" t="s">
        <v>4045</v>
      </c>
      <c r="E1656" t="s">
        <v>298</v>
      </c>
      <c r="F1656" t="s">
        <v>554</v>
      </c>
      <c r="G1656" s="30">
        <v>46148</v>
      </c>
      <c r="H1656" t="s">
        <v>4046</v>
      </c>
      <c r="I1656">
        <v>1473014.17</v>
      </c>
      <c r="J1656" s="123">
        <v>0</v>
      </c>
      <c r="K1656" s="123">
        <v>0</v>
      </c>
      <c r="L1656" s="123">
        <v>0</v>
      </c>
      <c r="M1656">
        <v>0</v>
      </c>
      <c r="N1656">
        <v>0</v>
      </c>
      <c r="O1656">
        <v>0</v>
      </c>
      <c r="P1656" s="216">
        <v>73650</v>
      </c>
      <c r="Q1656" s="217" t="s">
        <v>45</v>
      </c>
      <c r="R1656" s="217" t="s">
        <v>554</v>
      </c>
      <c r="S1656" s="218">
        <v>0.50000062117528721</v>
      </c>
      <c r="T1656" t="s">
        <v>550</v>
      </c>
      <c r="U1656" t="s">
        <v>74</v>
      </c>
      <c r="V1656" s="219" t="s">
        <v>6754</v>
      </c>
      <c r="W1656" s="219" t="s">
        <v>67</v>
      </c>
    </row>
    <row r="1657" spans="1:23" ht="15" customHeight="1" x14ac:dyDescent="0.25">
      <c r="A1657" t="s">
        <v>4047</v>
      </c>
      <c r="B1657" t="s">
        <v>546</v>
      </c>
      <c r="C1657">
        <v>73650</v>
      </c>
      <c r="D1657" t="s">
        <v>4045</v>
      </c>
      <c r="E1657" t="s">
        <v>298</v>
      </c>
      <c r="F1657" t="s">
        <v>548</v>
      </c>
      <c r="G1657" s="30">
        <v>46148</v>
      </c>
      <c r="H1657" t="s">
        <v>4046</v>
      </c>
      <c r="I1657">
        <v>1473014.17</v>
      </c>
      <c r="J1657" s="123">
        <v>0</v>
      </c>
      <c r="K1657" s="123">
        <v>0</v>
      </c>
      <c r="L1657" s="123">
        <v>0</v>
      </c>
      <c r="M1657">
        <v>0</v>
      </c>
      <c r="N1657">
        <v>0</v>
      </c>
      <c r="O1657">
        <v>0</v>
      </c>
      <c r="P1657" s="216">
        <v>73650</v>
      </c>
      <c r="Q1657" s="217" t="s">
        <v>45</v>
      </c>
      <c r="R1657" s="217" t="s">
        <v>62</v>
      </c>
      <c r="S1657" s="218">
        <v>0.50000062117528721</v>
      </c>
      <c r="T1657" t="s">
        <v>550</v>
      </c>
      <c r="U1657" t="s">
        <v>74</v>
      </c>
      <c r="V1657" s="219">
        <v>0</v>
      </c>
      <c r="W1657" s="219">
        <v>0</v>
      </c>
    </row>
    <row r="1658" spans="1:23" ht="15" customHeight="1" x14ac:dyDescent="0.25">
      <c r="A1658" t="s">
        <v>4048</v>
      </c>
      <c r="B1658" t="s">
        <v>546</v>
      </c>
      <c r="C1658">
        <v>73650</v>
      </c>
      <c r="D1658" t="s">
        <v>4045</v>
      </c>
      <c r="E1658" t="s">
        <v>298</v>
      </c>
      <c r="F1658" t="s">
        <v>554</v>
      </c>
      <c r="G1658" s="30">
        <v>46148</v>
      </c>
      <c r="H1658" t="s">
        <v>4046</v>
      </c>
      <c r="I1658">
        <v>1473014.17</v>
      </c>
      <c r="J1658" s="123">
        <v>0</v>
      </c>
      <c r="K1658" s="123">
        <v>0</v>
      </c>
      <c r="L1658" s="123">
        <v>0</v>
      </c>
      <c r="M1658">
        <v>0</v>
      </c>
      <c r="N1658">
        <v>0</v>
      </c>
      <c r="O1658">
        <v>0</v>
      </c>
      <c r="P1658" s="216">
        <v>73650</v>
      </c>
      <c r="Q1658" s="217" t="s">
        <v>45</v>
      </c>
      <c r="R1658" s="217" t="s">
        <v>554</v>
      </c>
      <c r="S1658" s="218">
        <v>0.50000062117528721</v>
      </c>
      <c r="T1658" t="s">
        <v>550</v>
      </c>
      <c r="U1658" t="s">
        <v>74</v>
      </c>
      <c r="V1658" s="219" t="s">
        <v>6755</v>
      </c>
      <c r="W1658" s="219" t="s">
        <v>67</v>
      </c>
    </row>
    <row r="1659" spans="1:23" ht="15" customHeight="1" x14ac:dyDescent="0.25">
      <c r="A1659" t="s">
        <v>4049</v>
      </c>
      <c r="B1659" t="s">
        <v>546</v>
      </c>
      <c r="C1659">
        <v>63000</v>
      </c>
      <c r="D1659" t="s">
        <v>4050</v>
      </c>
      <c r="E1659" t="s">
        <v>263</v>
      </c>
      <c r="F1659" t="s">
        <v>548</v>
      </c>
      <c r="G1659" s="30">
        <v>46143</v>
      </c>
      <c r="H1659" t="s">
        <v>4051</v>
      </c>
      <c r="I1659">
        <v>1214814.8799999999</v>
      </c>
      <c r="J1659" s="123">
        <v>0</v>
      </c>
      <c r="K1659" s="123">
        <v>0</v>
      </c>
      <c r="L1659" s="123">
        <v>0</v>
      </c>
      <c r="M1659">
        <v>0</v>
      </c>
      <c r="N1659">
        <v>0</v>
      </c>
      <c r="O1659">
        <v>0</v>
      </c>
      <c r="P1659" s="216">
        <v>63000</v>
      </c>
      <c r="Q1659" s="217" t="s">
        <v>8</v>
      </c>
      <c r="R1659" s="217" t="s">
        <v>62</v>
      </c>
      <c r="S1659" s="218">
        <v>0.36530257186181325</v>
      </c>
      <c r="T1659" t="s">
        <v>550</v>
      </c>
      <c r="U1659" t="s">
        <v>74</v>
      </c>
      <c r="V1659" s="219">
        <v>0</v>
      </c>
      <c r="W1659" s="219">
        <v>0</v>
      </c>
    </row>
    <row r="1660" spans="1:23" ht="15" customHeight="1" x14ac:dyDescent="0.25">
      <c r="A1660" t="s">
        <v>4052</v>
      </c>
      <c r="B1660" t="s">
        <v>546</v>
      </c>
      <c r="C1660">
        <v>63000</v>
      </c>
      <c r="D1660" t="s">
        <v>4050</v>
      </c>
      <c r="E1660" t="s">
        <v>263</v>
      </c>
      <c r="F1660" t="s">
        <v>554</v>
      </c>
      <c r="G1660" s="30">
        <v>46146</v>
      </c>
      <c r="H1660" t="s">
        <v>4051</v>
      </c>
      <c r="I1660">
        <v>1214814.8799999999</v>
      </c>
      <c r="J1660" s="123">
        <v>0</v>
      </c>
      <c r="K1660" s="123">
        <v>0</v>
      </c>
      <c r="L1660" s="123">
        <v>0</v>
      </c>
      <c r="M1660">
        <v>0</v>
      </c>
      <c r="N1660">
        <v>0</v>
      </c>
      <c r="O1660">
        <v>0</v>
      </c>
      <c r="P1660" s="216">
        <v>63000</v>
      </c>
      <c r="Q1660" s="217" t="s">
        <v>8</v>
      </c>
      <c r="R1660" s="217" t="s">
        <v>554</v>
      </c>
      <c r="S1660" s="218">
        <v>0.36530257186181325</v>
      </c>
      <c r="T1660" t="s">
        <v>550</v>
      </c>
      <c r="U1660" t="s">
        <v>74</v>
      </c>
      <c r="V1660" s="219" t="s">
        <v>6756</v>
      </c>
      <c r="W1660" s="219" t="s">
        <v>67</v>
      </c>
    </row>
    <row r="1661" spans="1:23" ht="15" customHeight="1" x14ac:dyDescent="0.25">
      <c r="A1661" t="s">
        <v>4053</v>
      </c>
      <c r="B1661" t="s">
        <v>546</v>
      </c>
      <c r="C1661">
        <v>1000</v>
      </c>
      <c r="D1661" t="s">
        <v>4054</v>
      </c>
      <c r="E1661" t="s">
        <v>553</v>
      </c>
      <c r="F1661" t="s">
        <v>554</v>
      </c>
      <c r="G1661" s="30">
        <v>46145</v>
      </c>
      <c r="H1661" t="s">
        <v>4055</v>
      </c>
      <c r="I1661">
        <v>1283642.28</v>
      </c>
      <c r="J1661" s="123">
        <v>46145</v>
      </c>
      <c r="K1661" s="123">
        <v>0</v>
      </c>
      <c r="L1661" s="123">
        <v>46145</v>
      </c>
      <c r="M1661">
        <v>0</v>
      </c>
      <c r="N1661">
        <v>0</v>
      </c>
      <c r="O1661" t="s">
        <v>556</v>
      </c>
      <c r="P1661" s="216">
        <v>1000</v>
      </c>
      <c r="Q1661" s="217" t="s">
        <v>8</v>
      </c>
      <c r="R1661" s="217" t="s">
        <v>554</v>
      </c>
      <c r="S1661" s="218">
        <v>0.46495118562158921</v>
      </c>
      <c r="T1661" t="s">
        <v>550</v>
      </c>
      <c r="U1661" t="s">
        <v>74</v>
      </c>
      <c r="V1661" s="219" t="s">
        <v>6757</v>
      </c>
      <c r="W1661" s="219" t="s">
        <v>67</v>
      </c>
    </row>
    <row r="1662" spans="1:23" ht="15" customHeight="1" x14ac:dyDescent="0.25">
      <c r="A1662" t="s">
        <v>4056</v>
      </c>
      <c r="B1662" t="s">
        <v>546</v>
      </c>
      <c r="C1662">
        <v>22000</v>
      </c>
      <c r="D1662" t="s">
        <v>4054</v>
      </c>
      <c r="E1662" t="s">
        <v>553</v>
      </c>
      <c r="F1662" t="s">
        <v>554</v>
      </c>
      <c r="G1662" s="30">
        <v>46149</v>
      </c>
      <c r="H1662" t="s">
        <v>4055</v>
      </c>
      <c r="I1662">
        <v>1283642.28</v>
      </c>
      <c r="J1662" s="123">
        <v>46149</v>
      </c>
      <c r="K1662" s="123">
        <v>0</v>
      </c>
      <c r="L1662" s="123">
        <v>46149</v>
      </c>
      <c r="M1662">
        <v>0</v>
      </c>
      <c r="N1662">
        <v>0</v>
      </c>
      <c r="O1662" t="s">
        <v>556</v>
      </c>
      <c r="P1662" s="216">
        <v>22000</v>
      </c>
      <c r="Q1662" s="217" t="s">
        <v>8</v>
      </c>
      <c r="R1662" s="217" t="s">
        <v>554</v>
      </c>
      <c r="S1662" s="218">
        <v>0.46495118562158921</v>
      </c>
      <c r="T1662" t="s">
        <v>550</v>
      </c>
      <c r="U1662" t="s">
        <v>74</v>
      </c>
      <c r="V1662" s="219" t="s">
        <v>6758</v>
      </c>
      <c r="W1662" s="219" t="s">
        <v>67</v>
      </c>
    </row>
    <row r="1663" spans="1:23" ht="15" customHeight="1" x14ac:dyDescent="0.25">
      <c r="A1663" t="s">
        <v>4057</v>
      </c>
      <c r="B1663" t="s">
        <v>546</v>
      </c>
      <c r="C1663">
        <v>10000</v>
      </c>
      <c r="D1663" t="s">
        <v>4054</v>
      </c>
      <c r="E1663" t="s">
        <v>553</v>
      </c>
      <c r="F1663" t="s">
        <v>554</v>
      </c>
      <c r="G1663" s="30">
        <v>46149</v>
      </c>
      <c r="H1663" t="s">
        <v>4055</v>
      </c>
      <c r="I1663">
        <v>1283642.28</v>
      </c>
      <c r="J1663" s="123">
        <v>46149</v>
      </c>
      <c r="K1663" s="123">
        <v>0</v>
      </c>
      <c r="L1663" s="123">
        <v>46149</v>
      </c>
      <c r="M1663">
        <v>0</v>
      </c>
      <c r="N1663">
        <v>0</v>
      </c>
      <c r="O1663" t="s">
        <v>556</v>
      </c>
      <c r="P1663" s="216">
        <v>10000</v>
      </c>
      <c r="Q1663" s="217" t="s">
        <v>8</v>
      </c>
      <c r="R1663" s="217" t="s">
        <v>554</v>
      </c>
      <c r="S1663" s="218">
        <v>0.46495118562158921</v>
      </c>
      <c r="T1663" t="s">
        <v>550</v>
      </c>
      <c r="U1663" t="s">
        <v>74</v>
      </c>
      <c r="V1663" s="219" t="s">
        <v>6759</v>
      </c>
      <c r="W1663" s="219" t="s">
        <v>67</v>
      </c>
    </row>
    <row r="1664" spans="1:23" ht="15" customHeight="1" x14ac:dyDescent="0.25">
      <c r="A1664" t="s">
        <v>4058</v>
      </c>
      <c r="B1664" t="s">
        <v>546</v>
      </c>
      <c r="C1664">
        <v>10000</v>
      </c>
      <c r="D1664" t="s">
        <v>4054</v>
      </c>
      <c r="E1664" t="s">
        <v>553</v>
      </c>
      <c r="F1664" t="s">
        <v>554</v>
      </c>
      <c r="G1664" s="30">
        <v>46149</v>
      </c>
      <c r="H1664" t="s">
        <v>4055</v>
      </c>
      <c r="I1664">
        <v>1283642.28</v>
      </c>
      <c r="J1664" s="123">
        <v>46149</v>
      </c>
      <c r="K1664" s="123">
        <v>0</v>
      </c>
      <c r="L1664" s="123">
        <v>46149</v>
      </c>
      <c r="M1664">
        <v>0</v>
      </c>
      <c r="N1664">
        <v>0</v>
      </c>
      <c r="O1664" t="s">
        <v>556</v>
      </c>
      <c r="P1664" s="216">
        <v>10000</v>
      </c>
      <c r="Q1664" s="217" t="s">
        <v>8</v>
      </c>
      <c r="R1664" s="217" t="s">
        <v>554</v>
      </c>
      <c r="S1664" s="218">
        <v>0.46495118562158921</v>
      </c>
      <c r="T1664" t="s">
        <v>550</v>
      </c>
      <c r="U1664" t="s">
        <v>74</v>
      </c>
      <c r="V1664" s="219" t="s">
        <v>6760</v>
      </c>
      <c r="W1664" s="219" t="s">
        <v>67</v>
      </c>
    </row>
    <row r="1665" spans="1:23" ht="15" customHeight="1" x14ac:dyDescent="0.25">
      <c r="A1665" t="s">
        <v>4059</v>
      </c>
      <c r="B1665" t="s">
        <v>595</v>
      </c>
      <c r="C1665">
        <v>242621.99</v>
      </c>
      <c r="D1665" t="s">
        <v>4060</v>
      </c>
      <c r="E1665" t="s">
        <v>263</v>
      </c>
      <c r="F1665" t="s">
        <v>554</v>
      </c>
      <c r="G1665" s="30">
        <v>46146</v>
      </c>
      <c r="H1665" t="s">
        <v>4061</v>
      </c>
      <c r="I1665">
        <v>2425219.9300000002</v>
      </c>
      <c r="J1665" s="123">
        <v>0</v>
      </c>
      <c r="K1665" s="123">
        <v>0</v>
      </c>
      <c r="L1665" s="123">
        <v>46146</v>
      </c>
      <c r="M1665">
        <v>0</v>
      </c>
      <c r="N1665">
        <v>0</v>
      </c>
      <c r="O1665">
        <v>0</v>
      </c>
      <c r="P1665" s="216">
        <v>242621.99</v>
      </c>
      <c r="Q1665" s="217" t="s">
        <v>8</v>
      </c>
      <c r="R1665" s="217" t="s">
        <v>554</v>
      </c>
      <c r="S1665" s="218">
        <v>0.30008725435470091</v>
      </c>
      <c r="T1665" t="s">
        <v>550</v>
      </c>
      <c r="U1665" t="s">
        <v>74</v>
      </c>
      <c r="V1665" s="219" t="s">
        <v>6761</v>
      </c>
      <c r="W1665" s="219" t="s">
        <v>67</v>
      </c>
    </row>
    <row r="1666" spans="1:23" ht="15" customHeight="1" x14ac:dyDescent="0.25">
      <c r="A1666" t="s">
        <v>4062</v>
      </c>
      <c r="B1666" t="s">
        <v>575</v>
      </c>
      <c r="C1666">
        <v>2813433</v>
      </c>
      <c r="D1666" t="s">
        <v>4063</v>
      </c>
      <c r="E1666" t="s">
        <v>268</v>
      </c>
      <c r="F1666" t="s">
        <v>554</v>
      </c>
      <c r="G1666" s="30">
        <v>46144</v>
      </c>
      <c r="H1666" t="s">
        <v>4064</v>
      </c>
      <c r="I1666">
        <v>28124475</v>
      </c>
      <c r="J1666" s="123">
        <v>0</v>
      </c>
      <c r="K1666" s="123">
        <v>0</v>
      </c>
      <c r="L1666" s="123">
        <v>46143</v>
      </c>
      <c r="M1666">
        <v>0</v>
      </c>
      <c r="N1666">
        <v>0</v>
      </c>
      <c r="O1666">
        <v>0</v>
      </c>
      <c r="P1666" s="216">
        <v>2813433</v>
      </c>
      <c r="Q1666" s="217" t="s">
        <v>10</v>
      </c>
      <c r="R1666" s="217" t="s">
        <v>554</v>
      </c>
      <c r="S1666" s="218">
        <v>0.40003610734067035</v>
      </c>
      <c r="T1666" t="s">
        <v>550</v>
      </c>
      <c r="U1666" t="s">
        <v>74</v>
      </c>
      <c r="V1666" s="219" t="s">
        <v>6762</v>
      </c>
      <c r="W1666" s="219" t="s">
        <v>67</v>
      </c>
    </row>
    <row r="1667" spans="1:23" ht="15" customHeight="1" x14ac:dyDescent="0.25">
      <c r="A1667" t="s">
        <v>4065</v>
      </c>
      <c r="B1667" t="s">
        <v>595</v>
      </c>
      <c r="C1667">
        <v>9272</v>
      </c>
      <c r="D1667" t="s">
        <v>4066</v>
      </c>
      <c r="E1667" t="s">
        <v>326</v>
      </c>
      <c r="F1667" t="s">
        <v>580</v>
      </c>
      <c r="G1667" s="30">
        <v>46146</v>
      </c>
      <c r="H1667" t="s">
        <v>4067</v>
      </c>
      <c r="I1667">
        <v>5443864.6500000004</v>
      </c>
      <c r="J1667" s="123">
        <v>0</v>
      </c>
      <c r="K1667" s="123">
        <v>0</v>
      </c>
      <c r="L1667" s="123">
        <v>46143</v>
      </c>
      <c r="M1667">
        <v>0</v>
      </c>
      <c r="N1667">
        <v>0</v>
      </c>
      <c r="O1667">
        <v>0</v>
      </c>
      <c r="P1667" s="216">
        <v>9272</v>
      </c>
      <c r="Q1667" s="217" t="s">
        <v>44</v>
      </c>
      <c r="R1667" s="217" t="s">
        <v>582</v>
      </c>
      <c r="S1667" s="218">
        <v>0.39964061927954064</v>
      </c>
      <c r="T1667" t="s">
        <v>550</v>
      </c>
      <c r="U1667" t="s">
        <v>74</v>
      </c>
      <c r="V1667" s="219">
        <v>0</v>
      </c>
      <c r="W1667" s="219">
        <v>0</v>
      </c>
    </row>
    <row r="1668" spans="1:23" ht="15" customHeight="1" x14ac:dyDescent="0.25">
      <c r="A1668" t="s">
        <v>4068</v>
      </c>
      <c r="B1668" t="s">
        <v>575</v>
      </c>
      <c r="C1668">
        <v>249175</v>
      </c>
      <c r="D1668" t="s">
        <v>4069</v>
      </c>
      <c r="E1668" t="s">
        <v>268</v>
      </c>
      <c r="F1668" t="s">
        <v>554</v>
      </c>
      <c r="G1668" s="30">
        <v>46146</v>
      </c>
      <c r="H1668" t="s">
        <v>4070</v>
      </c>
      <c r="I1668">
        <v>4983496.25</v>
      </c>
      <c r="J1668" s="123">
        <v>0</v>
      </c>
      <c r="K1668" s="123">
        <v>0</v>
      </c>
      <c r="L1668" s="123">
        <v>46140</v>
      </c>
      <c r="M1668">
        <v>0</v>
      </c>
      <c r="N1668">
        <v>0</v>
      </c>
      <c r="O1668">
        <v>0</v>
      </c>
      <c r="P1668" s="216">
        <v>249175</v>
      </c>
      <c r="Q1668" s="217" t="s">
        <v>10</v>
      </c>
      <c r="R1668" s="217" t="s">
        <v>554</v>
      </c>
      <c r="S1668" s="218">
        <v>0.19999994983441594</v>
      </c>
      <c r="T1668" t="s">
        <v>550</v>
      </c>
      <c r="U1668" t="s">
        <v>74</v>
      </c>
      <c r="V1668" s="219" t="s">
        <v>6763</v>
      </c>
      <c r="W1668" s="219" t="s">
        <v>67</v>
      </c>
    </row>
    <row r="1669" spans="1:23" ht="15" customHeight="1" x14ac:dyDescent="0.25">
      <c r="A1669" t="s">
        <v>4071</v>
      </c>
      <c r="B1669" t="s">
        <v>546</v>
      </c>
      <c r="C1669">
        <v>128170</v>
      </c>
      <c r="D1669" t="s">
        <v>4072</v>
      </c>
      <c r="E1669" t="s">
        <v>3072</v>
      </c>
      <c r="F1669" t="s">
        <v>554</v>
      </c>
      <c r="G1669" s="30">
        <v>46143</v>
      </c>
      <c r="H1669" t="s">
        <v>4073</v>
      </c>
      <c r="I1669">
        <v>1291701.6000000001</v>
      </c>
      <c r="J1669" s="123">
        <v>0</v>
      </c>
      <c r="K1669" s="123">
        <v>0</v>
      </c>
      <c r="L1669" s="123">
        <v>0</v>
      </c>
      <c r="M1669">
        <v>0</v>
      </c>
      <c r="N1669">
        <v>0</v>
      </c>
      <c r="O1669">
        <v>0</v>
      </c>
      <c r="P1669" s="216">
        <v>128170</v>
      </c>
      <c r="Q1669" s="217" t="s">
        <v>11</v>
      </c>
      <c r="R1669" s="217" t="s">
        <v>554</v>
      </c>
      <c r="S1669" s="218">
        <v>0.40000027870213983</v>
      </c>
      <c r="T1669" t="s">
        <v>550</v>
      </c>
      <c r="U1669" t="s">
        <v>74</v>
      </c>
      <c r="V1669" s="219" t="s">
        <v>6764</v>
      </c>
      <c r="W1669" s="219" t="s">
        <v>67</v>
      </c>
    </row>
    <row r="1670" spans="1:23" ht="15" customHeight="1" x14ac:dyDescent="0.25">
      <c r="A1670" t="s">
        <v>4074</v>
      </c>
      <c r="B1670" t="s">
        <v>595</v>
      </c>
      <c r="C1670">
        <v>201404</v>
      </c>
      <c r="D1670" t="s">
        <v>4075</v>
      </c>
      <c r="E1670" t="s">
        <v>253</v>
      </c>
      <c r="F1670" t="s">
        <v>554</v>
      </c>
      <c r="G1670" s="30">
        <v>46147</v>
      </c>
      <c r="H1670" t="s">
        <v>4076</v>
      </c>
      <c r="I1670">
        <v>2013960</v>
      </c>
      <c r="J1670" s="123">
        <v>0</v>
      </c>
      <c r="K1670" s="123">
        <v>0</v>
      </c>
      <c r="L1670" s="123">
        <v>46135</v>
      </c>
      <c r="M1670">
        <v>0</v>
      </c>
      <c r="N1670">
        <v>0</v>
      </c>
      <c r="O1670">
        <v>0</v>
      </c>
      <c r="P1670" s="216">
        <v>201404</v>
      </c>
      <c r="Q1670" s="217" t="s">
        <v>11</v>
      </c>
      <c r="R1670" s="217" t="s">
        <v>554</v>
      </c>
      <c r="S1670" s="218">
        <v>0.29998572464199885</v>
      </c>
      <c r="T1670" t="s">
        <v>550</v>
      </c>
      <c r="U1670" t="s">
        <v>74</v>
      </c>
      <c r="V1670" s="219" t="s">
        <v>6765</v>
      </c>
      <c r="W1670" s="219" t="s">
        <v>67</v>
      </c>
    </row>
    <row r="1671" spans="1:23" ht="15" customHeight="1" x14ac:dyDescent="0.25">
      <c r="A1671" t="s">
        <v>4077</v>
      </c>
      <c r="B1671" t="s">
        <v>595</v>
      </c>
      <c r="C1671">
        <v>505555</v>
      </c>
      <c r="D1671" t="s">
        <v>4078</v>
      </c>
      <c r="E1671" t="s">
        <v>183</v>
      </c>
      <c r="F1671" t="s">
        <v>554</v>
      </c>
      <c r="G1671" s="30">
        <v>46147</v>
      </c>
      <c r="H1671" t="s">
        <v>4079</v>
      </c>
      <c r="I1671">
        <v>5055550</v>
      </c>
      <c r="J1671" s="123">
        <v>0</v>
      </c>
      <c r="K1671" s="123">
        <v>0</v>
      </c>
      <c r="L1671" s="123">
        <v>46142</v>
      </c>
      <c r="M1671">
        <v>0</v>
      </c>
      <c r="N1671">
        <v>0</v>
      </c>
      <c r="O1671">
        <v>0</v>
      </c>
      <c r="P1671" s="216">
        <v>505555</v>
      </c>
      <c r="Q1671" s="217" t="s">
        <v>33</v>
      </c>
      <c r="R1671" s="217" t="s">
        <v>554</v>
      </c>
      <c r="S1671" s="218">
        <v>0.30030136978172506</v>
      </c>
      <c r="T1671" t="s">
        <v>550</v>
      </c>
      <c r="U1671" t="s">
        <v>74</v>
      </c>
      <c r="V1671" s="219" t="s">
        <v>6766</v>
      </c>
      <c r="W1671" s="219" t="s">
        <v>67</v>
      </c>
    </row>
    <row r="1672" spans="1:23" ht="15" customHeight="1" x14ac:dyDescent="0.25">
      <c r="A1672" t="s">
        <v>4080</v>
      </c>
      <c r="B1672" t="s">
        <v>575</v>
      </c>
      <c r="C1672">
        <v>50490</v>
      </c>
      <c r="D1672" t="s">
        <v>4081</v>
      </c>
      <c r="E1672" t="s">
        <v>326</v>
      </c>
      <c r="F1672" t="s">
        <v>580</v>
      </c>
      <c r="G1672" s="30">
        <v>46149</v>
      </c>
      <c r="H1672" t="s">
        <v>4082</v>
      </c>
      <c r="I1672">
        <v>1217377.5</v>
      </c>
      <c r="J1672" s="123">
        <v>0</v>
      </c>
      <c r="K1672" s="123">
        <v>0</v>
      </c>
      <c r="L1672" s="123">
        <v>46136</v>
      </c>
      <c r="M1672">
        <v>0</v>
      </c>
      <c r="N1672">
        <v>0</v>
      </c>
      <c r="O1672">
        <v>0</v>
      </c>
      <c r="P1672" s="216">
        <v>50490</v>
      </c>
      <c r="Q1672" s="217" t="s">
        <v>44</v>
      </c>
      <c r="R1672" s="217" t="s">
        <v>582</v>
      </c>
      <c r="S1672" s="218">
        <v>0.46302482179931864</v>
      </c>
      <c r="T1672" t="s">
        <v>550</v>
      </c>
      <c r="U1672" t="s">
        <v>74</v>
      </c>
      <c r="V1672" s="219">
        <v>0</v>
      </c>
      <c r="W1672" s="219">
        <v>0</v>
      </c>
    </row>
    <row r="1673" spans="1:23" ht="15" customHeight="1" x14ac:dyDescent="0.25">
      <c r="A1673" t="s">
        <v>4083</v>
      </c>
      <c r="B1673" t="s">
        <v>575</v>
      </c>
      <c r="C1673">
        <v>192480</v>
      </c>
      <c r="D1673" t="s">
        <v>4084</v>
      </c>
      <c r="E1673" t="s">
        <v>253</v>
      </c>
      <c r="F1673" t="s">
        <v>554</v>
      </c>
      <c r="G1673" s="30">
        <v>46146</v>
      </c>
      <c r="H1673" t="s">
        <v>4085</v>
      </c>
      <c r="I1673">
        <v>1934800.88</v>
      </c>
      <c r="J1673" s="123">
        <v>0</v>
      </c>
      <c r="K1673" s="123">
        <v>0</v>
      </c>
      <c r="L1673" s="123">
        <v>46146</v>
      </c>
      <c r="M1673">
        <v>0</v>
      </c>
      <c r="N1673">
        <v>0</v>
      </c>
      <c r="O1673">
        <v>0</v>
      </c>
      <c r="P1673" s="216">
        <v>192480</v>
      </c>
      <c r="Q1673" s="217" t="s">
        <v>11</v>
      </c>
      <c r="R1673" s="217" t="s">
        <v>554</v>
      </c>
      <c r="S1673" s="218">
        <v>0.39999986458554848</v>
      </c>
      <c r="T1673" t="s">
        <v>550</v>
      </c>
      <c r="U1673" t="s">
        <v>74</v>
      </c>
      <c r="V1673" s="219" t="s">
        <v>6767</v>
      </c>
      <c r="W1673" s="219" t="s">
        <v>67</v>
      </c>
    </row>
    <row r="1674" spans="1:23" ht="15" customHeight="1" x14ac:dyDescent="0.25">
      <c r="A1674" t="s">
        <v>4086</v>
      </c>
      <c r="B1674" t="s">
        <v>546</v>
      </c>
      <c r="C1674">
        <v>40000</v>
      </c>
      <c r="D1674" t="s">
        <v>4087</v>
      </c>
      <c r="E1674" t="s">
        <v>2688</v>
      </c>
      <c r="F1674" t="s">
        <v>554</v>
      </c>
      <c r="G1674" s="30">
        <v>46146</v>
      </c>
      <c r="H1674" t="s">
        <v>4088</v>
      </c>
      <c r="I1674">
        <v>1222000</v>
      </c>
      <c r="J1674" s="123">
        <v>0</v>
      </c>
      <c r="K1674" s="123">
        <v>0</v>
      </c>
      <c r="L1674" s="123">
        <v>0</v>
      </c>
      <c r="M1674">
        <v>0</v>
      </c>
      <c r="N1674">
        <v>0</v>
      </c>
      <c r="O1674">
        <v>0</v>
      </c>
      <c r="P1674" s="216">
        <v>40000</v>
      </c>
      <c r="Q1674" s="217" t="s">
        <v>44</v>
      </c>
      <c r="R1674" s="217" t="s">
        <v>554</v>
      </c>
      <c r="S1674" s="218">
        <v>0.43273322422258592</v>
      </c>
      <c r="T1674" t="s">
        <v>550</v>
      </c>
      <c r="U1674" t="s">
        <v>74</v>
      </c>
      <c r="V1674" s="219" t="s">
        <v>6768</v>
      </c>
      <c r="W1674" s="219" t="s">
        <v>67</v>
      </c>
    </row>
    <row r="1675" spans="1:23" ht="15" customHeight="1" x14ac:dyDescent="0.25">
      <c r="A1675" t="s">
        <v>4089</v>
      </c>
      <c r="B1675" t="s">
        <v>575</v>
      </c>
      <c r="C1675">
        <v>198000</v>
      </c>
      <c r="D1675" t="s">
        <v>4090</v>
      </c>
      <c r="E1675" t="s">
        <v>4091</v>
      </c>
      <c r="F1675" t="s">
        <v>585</v>
      </c>
      <c r="G1675" s="30">
        <v>46143</v>
      </c>
      <c r="H1675" t="s">
        <v>4092</v>
      </c>
      <c r="I1675">
        <v>3685025</v>
      </c>
      <c r="J1675" s="123">
        <v>0</v>
      </c>
      <c r="K1675" s="123">
        <v>0</v>
      </c>
      <c r="L1675" s="123">
        <v>46141</v>
      </c>
      <c r="M1675">
        <v>0</v>
      </c>
      <c r="N1675">
        <v>0</v>
      </c>
      <c r="O1675">
        <v>0</v>
      </c>
      <c r="P1675" s="216">
        <v>198000</v>
      </c>
      <c r="Q1675" s="217" t="s">
        <v>45</v>
      </c>
      <c r="R1675" s="217" t="s">
        <v>61</v>
      </c>
      <c r="S1675" s="218">
        <v>0.42607580681270818</v>
      </c>
      <c r="T1675" t="s">
        <v>550</v>
      </c>
      <c r="U1675" t="s">
        <v>51</v>
      </c>
      <c r="V1675" s="219">
        <v>0</v>
      </c>
      <c r="W1675" s="219">
        <v>0</v>
      </c>
    </row>
    <row r="1676" spans="1:23" ht="15" customHeight="1" x14ac:dyDescent="0.25">
      <c r="A1676" t="s">
        <v>4093</v>
      </c>
      <c r="B1676" t="s">
        <v>575</v>
      </c>
      <c r="C1676">
        <v>198000</v>
      </c>
      <c r="D1676" t="s">
        <v>4090</v>
      </c>
      <c r="E1676" t="s">
        <v>298</v>
      </c>
      <c r="F1676" t="s">
        <v>585</v>
      </c>
      <c r="G1676" s="30">
        <v>46143</v>
      </c>
      <c r="H1676" t="s">
        <v>4092</v>
      </c>
      <c r="I1676">
        <v>3685025</v>
      </c>
      <c r="J1676" s="123">
        <v>0</v>
      </c>
      <c r="K1676" s="123">
        <v>0</v>
      </c>
      <c r="L1676" s="123">
        <v>46141</v>
      </c>
      <c r="M1676">
        <v>0</v>
      </c>
      <c r="N1676">
        <v>0</v>
      </c>
      <c r="O1676">
        <v>0</v>
      </c>
      <c r="P1676" s="216">
        <v>198000</v>
      </c>
      <c r="Q1676" s="217" t="s">
        <v>45</v>
      </c>
      <c r="R1676" s="217" t="s">
        <v>61</v>
      </c>
      <c r="S1676" s="218">
        <v>0.42607580681270818</v>
      </c>
      <c r="T1676" t="s">
        <v>550</v>
      </c>
      <c r="U1676" t="s">
        <v>51</v>
      </c>
      <c r="V1676" s="219">
        <v>0</v>
      </c>
      <c r="W1676" s="219">
        <v>0</v>
      </c>
    </row>
    <row r="1677" spans="1:23" ht="15" customHeight="1" x14ac:dyDescent="0.25">
      <c r="A1677" t="s">
        <v>4094</v>
      </c>
      <c r="B1677" t="s">
        <v>575</v>
      </c>
      <c r="C1677">
        <v>198000</v>
      </c>
      <c r="D1677" t="s">
        <v>4090</v>
      </c>
      <c r="E1677" t="s">
        <v>4091</v>
      </c>
      <c r="F1677" t="s">
        <v>585</v>
      </c>
      <c r="G1677" s="30">
        <v>46148</v>
      </c>
      <c r="H1677" t="s">
        <v>4092</v>
      </c>
      <c r="I1677">
        <v>3685025</v>
      </c>
      <c r="J1677" s="123">
        <v>0</v>
      </c>
      <c r="K1677" s="123">
        <v>0</v>
      </c>
      <c r="L1677" s="123">
        <v>46141</v>
      </c>
      <c r="M1677">
        <v>0</v>
      </c>
      <c r="N1677">
        <v>0</v>
      </c>
      <c r="O1677">
        <v>0</v>
      </c>
      <c r="P1677" s="216">
        <v>198000</v>
      </c>
      <c r="Q1677" s="217" t="s">
        <v>45</v>
      </c>
      <c r="R1677" s="217" t="s">
        <v>61</v>
      </c>
      <c r="S1677" s="218">
        <v>0.42607580681270818</v>
      </c>
      <c r="T1677" t="s">
        <v>550</v>
      </c>
      <c r="U1677" t="s">
        <v>51</v>
      </c>
      <c r="V1677" s="219">
        <v>0</v>
      </c>
      <c r="W1677" s="219">
        <v>0</v>
      </c>
    </row>
    <row r="1678" spans="1:23" ht="15" customHeight="1" x14ac:dyDescent="0.25">
      <c r="A1678" t="s">
        <v>4095</v>
      </c>
      <c r="B1678" t="s">
        <v>595</v>
      </c>
      <c r="C1678">
        <v>367711</v>
      </c>
      <c r="D1678" t="s">
        <v>4096</v>
      </c>
      <c r="E1678" t="s">
        <v>141</v>
      </c>
      <c r="F1678" t="s">
        <v>554</v>
      </c>
      <c r="G1678" s="30">
        <v>46147</v>
      </c>
      <c r="H1678" t="s">
        <v>4097</v>
      </c>
      <c r="I1678">
        <v>3677106.05</v>
      </c>
      <c r="J1678" s="123">
        <v>0</v>
      </c>
      <c r="K1678" s="123">
        <v>0</v>
      </c>
      <c r="L1678" s="123">
        <v>46147</v>
      </c>
      <c r="M1678">
        <v>0</v>
      </c>
      <c r="N1678">
        <v>0</v>
      </c>
      <c r="O1678">
        <v>0</v>
      </c>
      <c r="P1678" s="216">
        <v>367711</v>
      </c>
      <c r="Q1678" s="217" t="s">
        <v>34</v>
      </c>
      <c r="R1678" s="217" t="s">
        <v>554</v>
      </c>
      <c r="S1678" s="218">
        <v>0.29994180885808286</v>
      </c>
      <c r="T1678" t="s">
        <v>550</v>
      </c>
      <c r="U1678" t="s">
        <v>51</v>
      </c>
      <c r="V1678" s="219" t="s">
        <v>6769</v>
      </c>
      <c r="W1678" s="219" t="s">
        <v>67</v>
      </c>
    </row>
    <row r="1679" spans="1:23" ht="15" customHeight="1" x14ac:dyDescent="0.25">
      <c r="A1679" t="s">
        <v>4098</v>
      </c>
      <c r="B1679" t="s">
        <v>575</v>
      </c>
      <c r="C1679">
        <v>125088</v>
      </c>
      <c r="D1679" t="s">
        <v>4099</v>
      </c>
      <c r="E1679" t="s">
        <v>298</v>
      </c>
      <c r="F1679" t="s">
        <v>554</v>
      </c>
      <c r="G1679" s="30">
        <v>46148</v>
      </c>
      <c r="H1679" t="s">
        <v>4100</v>
      </c>
      <c r="I1679">
        <v>1320041.25</v>
      </c>
      <c r="J1679" s="123">
        <v>0</v>
      </c>
      <c r="K1679" s="123">
        <v>0</v>
      </c>
      <c r="L1679" s="123">
        <v>46148</v>
      </c>
      <c r="M1679">
        <v>0</v>
      </c>
      <c r="N1679">
        <v>0</v>
      </c>
      <c r="O1679">
        <v>0</v>
      </c>
      <c r="P1679" s="216">
        <v>125088</v>
      </c>
      <c r="Q1679" s="217" t="s">
        <v>45</v>
      </c>
      <c r="R1679" s="217" t="s">
        <v>554</v>
      </c>
      <c r="S1679" s="218">
        <v>0.59481095761212011</v>
      </c>
      <c r="T1679" t="s">
        <v>550</v>
      </c>
      <c r="U1679" t="s">
        <v>51</v>
      </c>
      <c r="V1679" s="219" t="s">
        <v>6770</v>
      </c>
      <c r="W1679" s="219" t="s">
        <v>67</v>
      </c>
    </row>
    <row r="1680" spans="1:23" ht="15" customHeight="1" x14ac:dyDescent="0.25">
      <c r="A1680" t="s">
        <v>4101</v>
      </c>
      <c r="B1680" t="s">
        <v>546</v>
      </c>
      <c r="C1680">
        <v>39000</v>
      </c>
      <c r="D1680" t="s">
        <v>4102</v>
      </c>
      <c r="E1680" t="s">
        <v>553</v>
      </c>
      <c r="F1680" t="s">
        <v>548</v>
      </c>
      <c r="G1680" s="30">
        <v>46147</v>
      </c>
      <c r="H1680" t="s">
        <v>4103</v>
      </c>
      <c r="I1680">
        <v>1074783.6000000001</v>
      </c>
      <c r="J1680" s="123">
        <v>46147</v>
      </c>
      <c r="K1680" s="123">
        <v>0</v>
      </c>
      <c r="L1680" s="123">
        <v>46147</v>
      </c>
      <c r="M1680">
        <v>0</v>
      </c>
      <c r="N1680">
        <v>0</v>
      </c>
      <c r="O1680" t="s">
        <v>556</v>
      </c>
      <c r="P1680" s="216">
        <v>39000</v>
      </c>
      <c r="Q1680" s="217" t="s">
        <v>15</v>
      </c>
      <c r="R1680" s="217" t="s">
        <v>62</v>
      </c>
      <c r="S1680" s="218">
        <v>0.21860772717410276</v>
      </c>
      <c r="T1680" t="s">
        <v>550</v>
      </c>
      <c r="U1680" t="s">
        <v>51</v>
      </c>
      <c r="V1680" s="219">
        <v>0</v>
      </c>
      <c r="W1680" s="219">
        <v>0</v>
      </c>
    </row>
    <row r="1681" spans="1:23" ht="15" customHeight="1" x14ac:dyDescent="0.25">
      <c r="A1681" t="s">
        <v>4104</v>
      </c>
      <c r="B1681" t="s">
        <v>546</v>
      </c>
      <c r="C1681">
        <v>10000</v>
      </c>
      <c r="D1681" t="s">
        <v>4102</v>
      </c>
      <c r="E1681" t="s">
        <v>553</v>
      </c>
      <c r="F1681" t="s">
        <v>554</v>
      </c>
      <c r="G1681" s="30">
        <v>46147</v>
      </c>
      <c r="H1681" t="s">
        <v>4103</v>
      </c>
      <c r="I1681">
        <v>1074783.6000000001</v>
      </c>
      <c r="J1681" s="123">
        <v>46147</v>
      </c>
      <c r="K1681" s="123">
        <v>0</v>
      </c>
      <c r="L1681" s="123">
        <v>46147</v>
      </c>
      <c r="M1681">
        <v>0</v>
      </c>
      <c r="N1681">
        <v>0</v>
      </c>
      <c r="O1681" t="s">
        <v>556</v>
      </c>
      <c r="P1681" s="216">
        <v>10000</v>
      </c>
      <c r="Q1681" s="217" t="s">
        <v>15</v>
      </c>
      <c r="R1681" s="217" t="s">
        <v>554</v>
      </c>
      <c r="S1681" s="218">
        <v>0.21860772717410276</v>
      </c>
      <c r="T1681" t="s">
        <v>550</v>
      </c>
      <c r="U1681" t="s">
        <v>51</v>
      </c>
      <c r="V1681" s="219" t="s">
        <v>6771</v>
      </c>
      <c r="W1681" s="219" t="s">
        <v>67</v>
      </c>
    </row>
    <row r="1682" spans="1:23" ht="15" customHeight="1" x14ac:dyDescent="0.25">
      <c r="A1682" t="s">
        <v>4105</v>
      </c>
      <c r="B1682" t="s">
        <v>546</v>
      </c>
      <c r="C1682">
        <v>39000</v>
      </c>
      <c r="D1682" t="s">
        <v>4102</v>
      </c>
      <c r="E1682" t="s">
        <v>553</v>
      </c>
      <c r="F1682" t="s">
        <v>548</v>
      </c>
      <c r="G1682" s="30">
        <v>46147</v>
      </c>
      <c r="H1682" t="s">
        <v>4103</v>
      </c>
      <c r="I1682">
        <v>1074783.6000000001</v>
      </c>
      <c r="J1682" s="123">
        <v>46147</v>
      </c>
      <c r="K1682" s="123">
        <v>0</v>
      </c>
      <c r="L1682" s="123">
        <v>46147</v>
      </c>
      <c r="M1682">
        <v>0</v>
      </c>
      <c r="N1682">
        <v>0</v>
      </c>
      <c r="O1682" t="s">
        <v>556</v>
      </c>
      <c r="P1682" s="216">
        <v>39000</v>
      </c>
      <c r="Q1682" s="217" t="s">
        <v>15</v>
      </c>
      <c r="R1682" s="217" t="s">
        <v>62</v>
      </c>
      <c r="S1682" s="218">
        <v>0.21860772717410276</v>
      </c>
      <c r="T1682" t="s">
        <v>550</v>
      </c>
      <c r="U1682" t="s">
        <v>51</v>
      </c>
      <c r="V1682" s="219">
        <v>0</v>
      </c>
      <c r="W1682" s="219">
        <v>0</v>
      </c>
    </row>
    <row r="1683" spans="1:23" ht="15" customHeight="1" x14ac:dyDescent="0.25">
      <c r="A1683" t="s">
        <v>4106</v>
      </c>
      <c r="B1683" t="s">
        <v>546</v>
      </c>
      <c r="C1683">
        <v>1000</v>
      </c>
      <c r="D1683" t="s">
        <v>4107</v>
      </c>
      <c r="E1683" t="s">
        <v>553</v>
      </c>
      <c r="F1683" t="s">
        <v>548</v>
      </c>
      <c r="G1683" s="30">
        <v>46144</v>
      </c>
      <c r="H1683" t="s">
        <v>4108</v>
      </c>
      <c r="I1683">
        <v>1331596</v>
      </c>
      <c r="J1683" s="123">
        <v>46144</v>
      </c>
      <c r="K1683" s="123">
        <v>0</v>
      </c>
      <c r="L1683" s="123">
        <v>46144</v>
      </c>
      <c r="M1683">
        <v>0</v>
      </c>
      <c r="N1683">
        <v>0</v>
      </c>
      <c r="O1683" t="s">
        <v>556</v>
      </c>
      <c r="P1683" s="216">
        <v>1000</v>
      </c>
      <c r="Q1683" s="217" t="s">
        <v>15</v>
      </c>
      <c r="R1683" s="217" t="s">
        <v>62</v>
      </c>
      <c r="S1683" s="218">
        <v>0.40119450644189381</v>
      </c>
      <c r="T1683" t="s">
        <v>550</v>
      </c>
      <c r="U1683" t="s">
        <v>51</v>
      </c>
      <c r="V1683" s="219">
        <v>0</v>
      </c>
      <c r="W1683" s="219">
        <v>0</v>
      </c>
    </row>
    <row r="1684" spans="1:23" ht="15" customHeight="1" x14ac:dyDescent="0.25">
      <c r="A1684" t="s">
        <v>4109</v>
      </c>
      <c r="B1684" t="s">
        <v>546</v>
      </c>
      <c r="C1684">
        <v>24619</v>
      </c>
      <c r="D1684" t="s">
        <v>4107</v>
      </c>
      <c r="E1684" t="s">
        <v>553</v>
      </c>
      <c r="F1684" t="s">
        <v>554</v>
      </c>
      <c r="G1684" s="30">
        <v>46145</v>
      </c>
      <c r="H1684" t="s">
        <v>4108</v>
      </c>
      <c r="I1684">
        <v>1331596</v>
      </c>
      <c r="J1684" s="123">
        <v>46145</v>
      </c>
      <c r="K1684" s="123">
        <v>0</v>
      </c>
      <c r="L1684" s="123">
        <v>46145</v>
      </c>
      <c r="M1684">
        <v>0</v>
      </c>
      <c r="N1684">
        <v>0</v>
      </c>
      <c r="O1684" t="s">
        <v>556</v>
      </c>
      <c r="P1684" s="216">
        <v>24619</v>
      </c>
      <c r="Q1684" s="217" t="s">
        <v>15</v>
      </c>
      <c r="R1684" s="217" t="s">
        <v>554</v>
      </c>
      <c r="S1684" s="218">
        <v>0.40119450644189381</v>
      </c>
      <c r="T1684" t="s">
        <v>550</v>
      </c>
      <c r="U1684" t="s">
        <v>51</v>
      </c>
      <c r="V1684" s="219" t="s">
        <v>6772</v>
      </c>
      <c r="W1684" s="219" t="s">
        <v>67</v>
      </c>
    </row>
    <row r="1685" spans="1:23" ht="15" customHeight="1" x14ac:dyDescent="0.25">
      <c r="A1685" t="s">
        <v>4110</v>
      </c>
      <c r="B1685" t="s">
        <v>546</v>
      </c>
      <c r="C1685">
        <v>124619</v>
      </c>
      <c r="D1685" t="s">
        <v>4107</v>
      </c>
      <c r="E1685" t="s">
        <v>553</v>
      </c>
      <c r="F1685" t="s">
        <v>548</v>
      </c>
      <c r="G1685" s="30">
        <v>46145</v>
      </c>
      <c r="H1685" t="s">
        <v>4108</v>
      </c>
      <c r="I1685">
        <v>1331596</v>
      </c>
      <c r="J1685" s="123">
        <v>46145</v>
      </c>
      <c r="K1685" s="123">
        <v>0</v>
      </c>
      <c r="L1685" s="123">
        <v>46145</v>
      </c>
      <c r="M1685">
        <v>0</v>
      </c>
      <c r="N1685">
        <v>0</v>
      </c>
      <c r="O1685" t="s">
        <v>556</v>
      </c>
      <c r="P1685" s="216">
        <v>124619</v>
      </c>
      <c r="Q1685" s="217" t="s">
        <v>15</v>
      </c>
      <c r="R1685" s="217" t="s">
        <v>62</v>
      </c>
      <c r="S1685" s="218">
        <v>0.40119450644189381</v>
      </c>
      <c r="T1685" t="s">
        <v>550</v>
      </c>
      <c r="U1685" t="s">
        <v>51</v>
      </c>
      <c r="V1685" s="219">
        <v>0</v>
      </c>
      <c r="W1685" s="219">
        <v>0</v>
      </c>
    </row>
    <row r="1686" spans="1:23" ht="15" customHeight="1" x14ac:dyDescent="0.25">
      <c r="A1686" t="s">
        <v>4111</v>
      </c>
      <c r="B1686" t="s">
        <v>546</v>
      </c>
      <c r="C1686">
        <v>30000</v>
      </c>
      <c r="D1686" t="s">
        <v>4107</v>
      </c>
      <c r="E1686" t="s">
        <v>553</v>
      </c>
      <c r="F1686" t="s">
        <v>554</v>
      </c>
      <c r="G1686" s="30">
        <v>46148</v>
      </c>
      <c r="H1686" t="s">
        <v>4108</v>
      </c>
      <c r="I1686">
        <v>1331596</v>
      </c>
      <c r="J1686" s="123">
        <v>46148</v>
      </c>
      <c r="K1686" s="123">
        <v>0</v>
      </c>
      <c r="L1686" s="123">
        <v>46148</v>
      </c>
      <c r="M1686">
        <v>0</v>
      </c>
      <c r="N1686">
        <v>0</v>
      </c>
      <c r="O1686" t="s">
        <v>556</v>
      </c>
      <c r="P1686" s="216">
        <v>30000</v>
      </c>
      <c r="Q1686" s="217" t="s">
        <v>15</v>
      </c>
      <c r="R1686" s="217" t="s">
        <v>554</v>
      </c>
      <c r="S1686" s="218">
        <v>0.40119450644189381</v>
      </c>
      <c r="T1686" t="s">
        <v>550</v>
      </c>
      <c r="U1686" t="s">
        <v>51</v>
      </c>
      <c r="V1686" s="219" t="s">
        <v>6773</v>
      </c>
      <c r="W1686" s="219" t="s">
        <v>67</v>
      </c>
    </row>
    <row r="1687" spans="1:23" ht="15" customHeight="1" x14ac:dyDescent="0.25">
      <c r="A1687" t="s">
        <v>4112</v>
      </c>
      <c r="B1687" t="s">
        <v>546</v>
      </c>
      <c r="C1687">
        <v>21590</v>
      </c>
      <c r="D1687" t="s">
        <v>4107</v>
      </c>
      <c r="E1687" t="s">
        <v>553</v>
      </c>
      <c r="F1687" t="s">
        <v>554</v>
      </c>
      <c r="G1687" s="30">
        <v>46148</v>
      </c>
      <c r="H1687" t="s">
        <v>4108</v>
      </c>
      <c r="I1687">
        <v>1331596</v>
      </c>
      <c r="J1687" s="123">
        <v>46148</v>
      </c>
      <c r="K1687" s="123">
        <v>0</v>
      </c>
      <c r="L1687" s="123">
        <v>46148</v>
      </c>
      <c r="M1687">
        <v>0</v>
      </c>
      <c r="N1687">
        <v>0</v>
      </c>
      <c r="O1687" t="s">
        <v>556</v>
      </c>
      <c r="P1687" s="216">
        <v>21590</v>
      </c>
      <c r="Q1687" s="217" t="s">
        <v>15</v>
      </c>
      <c r="R1687" s="217" t="s">
        <v>554</v>
      </c>
      <c r="S1687" s="218">
        <v>0.40119450644189381</v>
      </c>
      <c r="T1687" t="s">
        <v>550</v>
      </c>
      <c r="U1687" t="s">
        <v>51</v>
      </c>
      <c r="V1687" s="219" t="s">
        <v>6774</v>
      </c>
      <c r="W1687" s="219" t="s">
        <v>67</v>
      </c>
    </row>
    <row r="1688" spans="1:23" ht="15" customHeight="1" x14ac:dyDescent="0.25">
      <c r="A1688" t="s">
        <v>4113</v>
      </c>
      <c r="B1688" t="s">
        <v>546</v>
      </c>
      <c r="C1688">
        <v>100000</v>
      </c>
      <c r="D1688" t="s">
        <v>4107</v>
      </c>
      <c r="E1688" t="s">
        <v>553</v>
      </c>
      <c r="F1688" t="s">
        <v>548</v>
      </c>
      <c r="G1688" s="30">
        <v>46148</v>
      </c>
      <c r="H1688" t="s">
        <v>4108</v>
      </c>
      <c r="I1688">
        <v>1331596</v>
      </c>
      <c r="J1688" s="123">
        <v>46148</v>
      </c>
      <c r="K1688" s="123">
        <v>0</v>
      </c>
      <c r="L1688" s="123">
        <v>46148</v>
      </c>
      <c r="M1688">
        <v>0</v>
      </c>
      <c r="N1688">
        <v>0</v>
      </c>
      <c r="O1688" t="s">
        <v>556</v>
      </c>
      <c r="P1688" s="216">
        <v>100000</v>
      </c>
      <c r="Q1688" s="217" t="s">
        <v>15</v>
      </c>
      <c r="R1688" s="217" t="s">
        <v>62</v>
      </c>
      <c r="S1688" s="218">
        <v>0.40119450644189381</v>
      </c>
      <c r="T1688" t="s">
        <v>550</v>
      </c>
      <c r="U1688" t="s">
        <v>51</v>
      </c>
      <c r="V1688" s="219">
        <v>0</v>
      </c>
      <c r="W1688" s="219">
        <v>0</v>
      </c>
    </row>
    <row r="1689" spans="1:23" ht="15" customHeight="1" x14ac:dyDescent="0.25">
      <c r="A1689" t="s">
        <v>4114</v>
      </c>
      <c r="B1689" t="s">
        <v>546</v>
      </c>
      <c r="C1689">
        <v>50000</v>
      </c>
      <c r="D1689" t="s">
        <v>4107</v>
      </c>
      <c r="E1689" t="s">
        <v>553</v>
      </c>
      <c r="F1689" t="s">
        <v>554</v>
      </c>
      <c r="G1689" s="30">
        <v>46148</v>
      </c>
      <c r="H1689" t="s">
        <v>4108</v>
      </c>
      <c r="I1689">
        <v>1331596</v>
      </c>
      <c r="J1689" s="123">
        <v>46148</v>
      </c>
      <c r="K1689" s="123">
        <v>0</v>
      </c>
      <c r="L1689" s="123">
        <v>46148</v>
      </c>
      <c r="M1689">
        <v>0</v>
      </c>
      <c r="N1689">
        <v>0</v>
      </c>
      <c r="O1689" t="s">
        <v>556</v>
      </c>
      <c r="P1689" s="216">
        <v>50000</v>
      </c>
      <c r="Q1689" s="217" t="s">
        <v>15</v>
      </c>
      <c r="R1689" s="217" t="s">
        <v>554</v>
      </c>
      <c r="S1689" s="218">
        <v>0.40119450644189381</v>
      </c>
      <c r="T1689" t="s">
        <v>550</v>
      </c>
      <c r="U1689" t="s">
        <v>51</v>
      </c>
      <c r="V1689" s="219" t="s">
        <v>6775</v>
      </c>
      <c r="W1689" s="219" t="s">
        <v>67</v>
      </c>
    </row>
    <row r="1690" spans="1:23" ht="15" customHeight="1" x14ac:dyDescent="0.25">
      <c r="A1690" t="s">
        <v>4115</v>
      </c>
      <c r="B1690" t="s">
        <v>575</v>
      </c>
      <c r="C1690">
        <v>106626.96</v>
      </c>
      <c r="D1690" t="s">
        <v>4116</v>
      </c>
      <c r="E1690" t="s">
        <v>178</v>
      </c>
      <c r="F1690" t="s">
        <v>554</v>
      </c>
      <c r="G1690" s="30">
        <v>46147</v>
      </c>
      <c r="H1690" t="s">
        <v>4117</v>
      </c>
      <c r="I1690">
        <v>1066269.6000000001</v>
      </c>
      <c r="J1690" s="123">
        <v>0</v>
      </c>
      <c r="K1690" s="123">
        <v>0</v>
      </c>
      <c r="L1690" s="123">
        <v>46140</v>
      </c>
      <c r="M1690">
        <v>0</v>
      </c>
      <c r="N1690">
        <v>0</v>
      </c>
      <c r="O1690">
        <v>0</v>
      </c>
      <c r="P1690" s="216">
        <v>106626.96</v>
      </c>
      <c r="Q1690" s="217" t="s">
        <v>32</v>
      </c>
      <c r="R1690" s="217" t="s">
        <v>554</v>
      </c>
      <c r="S1690" s="218">
        <v>0.30000003751396453</v>
      </c>
      <c r="T1690" t="s">
        <v>550</v>
      </c>
      <c r="U1690" t="s">
        <v>51</v>
      </c>
      <c r="V1690" s="219" t="s">
        <v>6776</v>
      </c>
      <c r="W1690" s="219" t="s">
        <v>67</v>
      </c>
    </row>
    <row r="1691" spans="1:23" ht="15" customHeight="1" x14ac:dyDescent="0.25">
      <c r="A1691" t="s">
        <v>4118</v>
      </c>
      <c r="B1691" t="s">
        <v>546</v>
      </c>
      <c r="C1691">
        <v>105470</v>
      </c>
      <c r="D1691" t="s">
        <v>4119</v>
      </c>
      <c r="E1691" t="s">
        <v>343</v>
      </c>
      <c r="F1691" t="s">
        <v>554</v>
      </c>
      <c r="G1691" s="30">
        <v>46143</v>
      </c>
      <c r="H1691" t="s">
        <v>4120</v>
      </c>
      <c r="I1691">
        <v>1054706.3999999999</v>
      </c>
      <c r="J1691" s="123">
        <v>0</v>
      </c>
      <c r="K1691" s="123">
        <v>0</v>
      </c>
      <c r="L1691" s="123">
        <v>0</v>
      </c>
      <c r="M1691">
        <v>0</v>
      </c>
      <c r="N1691">
        <v>0</v>
      </c>
      <c r="O1691">
        <v>0</v>
      </c>
      <c r="P1691" s="216">
        <v>105470</v>
      </c>
      <c r="Q1691" s="217" t="s">
        <v>344</v>
      </c>
      <c r="R1691" s="217" t="s">
        <v>554</v>
      </c>
      <c r="S1691" s="218">
        <v>0.40000007585049269</v>
      </c>
      <c r="T1691" t="s">
        <v>550</v>
      </c>
      <c r="U1691" t="s">
        <v>51</v>
      </c>
      <c r="V1691" s="219" t="s">
        <v>6777</v>
      </c>
      <c r="W1691" s="219" t="s">
        <v>67</v>
      </c>
    </row>
    <row r="1692" spans="1:23" ht="15" customHeight="1" x14ac:dyDescent="0.25">
      <c r="A1692" t="s">
        <v>4121</v>
      </c>
      <c r="B1692" t="s">
        <v>595</v>
      </c>
      <c r="C1692">
        <v>24769.77</v>
      </c>
      <c r="D1692" t="s">
        <v>4122</v>
      </c>
      <c r="E1692" t="s">
        <v>321</v>
      </c>
      <c r="F1692" t="s">
        <v>580</v>
      </c>
      <c r="G1692" s="30">
        <v>46149</v>
      </c>
      <c r="H1692" t="s">
        <v>4123</v>
      </c>
      <c r="I1692">
        <v>1066269.6000000001</v>
      </c>
      <c r="J1692" s="123">
        <v>0</v>
      </c>
      <c r="K1692" s="123">
        <v>0</v>
      </c>
      <c r="L1692" s="123">
        <v>46148</v>
      </c>
      <c r="M1692">
        <v>0</v>
      </c>
      <c r="N1692">
        <v>0</v>
      </c>
      <c r="O1692">
        <v>0</v>
      </c>
      <c r="P1692" s="216">
        <v>24769.77</v>
      </c>
      <c r="Q1692" s="217" t="s">
        <v>43</v>
      </c>
      <c r="R1692" s="217" t="s">
        <v>582</v>
      </c>
      <c r="S1692" s="218">
        <v>0.29991570612160373</v>
      </c>
      <c r="T1692" t="s">
        <v>550</v>
      </c>
      <c r="U1692" t="s">
        <v>51</v>
      </c>
      <c r="V1692" s="219">
        <v>0</v>
      </c>
      <c r="W1692" s="219">
        <v>0</v>
      </c>
    </row>
    <row r="1693" spans="1:23" ht="15" customHeight="1" x14ac:dyDescent="0.25">
      <c r="A1693" t="s">
        <v>4124</v>
      </c>
      <c r="B1693" t="s">
        <v>575</v>
      </c>
      <c r="C1693">
        <v>55000</v>
      </c>
      <c r="D1693" t="s">
        <v>4125</v>
      </c>
      <c r="E1693" t="s">
        <v>198</v>
      </c>
      <c r="F1693" t="s">
        <v>580</v>
      </c>
      <c r="G1693" s="30">
        <v>46149</v>
      </c>
      <c r="H1693" t="s">
        <v>4126</v>
      </c>
      <c r="I1693">
        <v>1266388.2</v>
      </c>
      <c r="J1693" s="123">
        <v>0</v>
      </c>
      <c r="K1693" s="123">
        <v>0</v>
      </c>
      <c r="L1693" s="123">
        <v>46148</v>
      </c>
      <c r="M1693">
        <v>0</v>
      </c>
      <c r="N1693">
        <v>0</v>
      </c>
      <c r="O1693">
        <v>0</v>
      </c>
      <c r="P1693" s="216">
        <v>55000</v>
      </c>
      <c r="Q1693" s="217" t="s">
        <v>29</v>
      </c>
      <c r="R1693" s="217" t="s">
        <v>582</v>
      </c>
      <c r="S1693" s="218">
        <v>0.23079643351067233</v>
      </c>
      <c r="T1693" t="s">
        <v>550</v>
      </c>
      <c r="U1693" t="s">
        <v>51</v>
      </c>
      <c r="V1693" s="219">
        <v>0</v>
      </c>
      <c r="W1693" s="219">
        <v>0</v>
      </c>
    </row>
    <row r="1694" spans="1:23" ht="15" customHeight="1" x14ac:dyDescent="0.25">
      <c r="A1694" t="s">
        <v>4127</v>
      </c>
      <c r="B1694" t="s">
        <v>546</v>
      </c>
      <c r="C1694">
        <v>30000</v>
      </c>
      <c r="D1694" t="s">
        <v>4128</v>
      </c>
      <c r="E1694" t="s">
        <v>198</v>
      </c>
      <c r="F1694" t="s">
        <v>554</v>
      </c>
      <c r="G1694" s="30">
        <v>46149</v>
      </c>
      <c r="H1694" t="s">
        <v>4129</v>
      </c>
      <c r="I1694">
        <v>1276048.5</v>
      </c>
      <c r="J1694" s="123">
        <v>0</v>
      </c>
      <c r="K1694" s="123">
        <v>0</v>
      </c>
      <c r="L1694" s="123">
        <v>0</v>
      </c>
      <c r="M1694">
        <v>0</v>
      </c>
      <c r="N1694">
        <v>0</v>
      </c>
      <c r="O1694">
        <v>0</v>
      </c>
      <c r="P1694" s="216">
        <v>30000</v>
      </c>
      <c r="Q1694" s="217" t="s">
        <v>29</v>
      </c>
      <c r="R1694" s="217" t="s">
        <v>554</v>
      </c>
      <c r="S1694" s="218">
        <v>0.28307152902103644</v>
      </c>
      <c r="T1694" t="s">
        <v>550</v>
      </c>
      <c r="U1694" t="s">
        <v>51</v>
      </c>
      <c r="V1694" s="219" t="s">
        <v>6778</v>
      </c>
      <c r="W1694" s="219" t="s">
        <v>67</v>
      </c>
    </row>
    <row r="1695" spans="1:23" ht="15" customHeight="1" x14ac:dyDescent="0.25">
      <c r="A1695" t="s">
        <v>4130</v>
      </c>
      <c r="B1695" t="s">
        <v>575</v>
      </c>
      <c r="C1695">
        <v>147809</v>
      </c>
      <c r="D1695" t="s">
        <v>4131</v>
      </c>
      <c r="E1695" t="s">
        <v>198</v>
      </c>
      <c r="F1695" t="s">
        <v>554</v>
      </c>
      <c r="G1695" s="30">
        <v>46146</v>
      </c>
      <c r="H1695" t="s">
        <v>4132</v>
      </c>
      <c r="I1695">
        <v>1478094.6</v>
      </c>
      <c r="J1695" s="123">
        <v>0</v>
      </c>
      <c r="K1695" s="123">
        <v>0</v>
      </c>
      <c r="L1695" s="123">
        <v>46144</v>
      </c>
      <c r="M1695">
        <v>0</v>
      </c>
      <c r="N1695">
        <v>0</v>
      </c>
      <c r="O1695">
        <v>0</v>
      </c>
      <c r="P1695" s="216">
        <v>147809</v>
      </c>
      <c r="Q1695" s="217" t="s">
        <v>29</v>
      </c>
      <c r="R1695" s="217" t="s">
        <v>554</v>
      </c>
      <c r="S1695" s="218">
        <v>0.39999943170078556</v>
      </c>
      <c r="T1695" t="s">
        <v>550</v>
      </c>
      <c r="U1695" t="s">
        <v>51</v>
      </c>
      <c r="V1695" s="219" t="s">
        <v>6779</v>
      </c>
      <c r="W1695" s="219" t="s">
        <v>67</v>
      </c>
    </row>
    <row r="1696" spans="1:23" ht="15" customHeight="1" x14ac:dyDescent="0.25">
      <c r="A1696" t="s">
        <v>4133</v>
      </c>
      <c r="B1696" t="s">
        <v>64</v>
      </c>
      <c r="C1696">
        <v>129707</v>
      </c>
      <c r="D1696" t="s">
        <v>4134</v>
      </c>
      <c r="E1696" t="s">
        <v>198</v>
      </c>
      <c r="F1696" t="s">
        <v>554</v>
      </c>
      <c r="G1696" s="30">
        <v>46149</v>
      </c>
      <c r="H1696" t="s">
        <v>4135</v>
      </c>
      <c r="I1696">
        <v>1297068.5</v>
      </c>
      <c r="J1696" s="123">
        <v>0</v>
      </c>
      <c r="K1696" s="123">
        <v>46148</v>
      </c>
      <c r="L1696" s="123">
        <v>0</v>
      </c>
      <c r="M1696">
        <v>0</v>
      </c>
      <c r="N1696">
        <v>0</v>
      </c>
      <c r="O1696" t="s">
        <v>556</v>
      </c>
      <c r="P1696" s="216">
        <v>129707</v>
      </c>
      <c r="Q1696" s="217" t="s">
        <v>29</v>
      </c>
      <c r="R1696" s="217" t="s">
        <v>554</v>
      </c>
      <c r="S1696" s="218">
        <v>0.30003338297090709</v>
      </c>
      <c r="T1696" t="s">
        <v>550</v>
      </c>
      <c r="U1696" t="s">
        <v>51</v>
      </c>
      <c r="V1696" s="219" t="s">
        <v>6780</v>
      </c>
      <c r="W1696" s="219" t="s">
        <v>71</v>
      </c>
    </row>
    <row r="1697" spans="1:23" ht="15" customHeight="1" x14ac:dyDescent="0.25">
      <c r="A1697" t="s">
        <v>4136</v>
      </c>
      <c r="B1697" t="s">
        <v>546</v>
      </c>
      <c r="C1697">
        <v>25000</v>
      </c>
      <c r="D1697" t="s">
        <v>4137</v>
      </c>
      <c r="E1697" t="s">
        <v>553</v>
      </c>
      <c r="F1697" t="s">
        <v>554</v>
      </c>
      <c r="G1697" s="30">
        <v>46145</v>
      </c>
      <c r="H1697" t="s">
        <v>4138</v>
      </c>
      <c r="I1697">
        <v>1195649.8500000001</v>
      </c>
      <c r="J1697" s="123">
        <v>46145</v>
      </c>
      <c r="K1697" s="123">
        <v>0</v>
      </c>
      <c r="L1697" s="123">
        <v>46145</v>
      </c>
      <c r="M1697">
        <v>0</v>
      </c>
      <c r="N1697">
        <v>0</v>
      </c>
      <c r="O1697" t="s">
        <v>556</v>
      </c>
      <c r="P1697" s="216">
        <v>25000</v>
      </c>
      <c r="Q1697" s="217" t="s">
        <v>44</v>
      </c>
      <c r="R1697" s="217" t="s">
        <v>554</v>
      </c>
      <c r="S1697" s="218">
        <v>0.3418183007341154</v>
      </c>
      <c r="T1697" t="s">
        <v>550</v>
      </c>
      <c r="U1697" t="s">
        <v>51</v>
      </c>
      <c r="V1697" s="219" t="s">
        <v>6781</v>
      </c>
      <c r="W1697" s="219" t="s">
        <v>67</v>
      </c>
    </row>
    <row r="1698" spans="1:23" ht="15" customHeight="1" x14ac:dyDescent="0.25">
      <c r="A1698" t="s">
        <v>4139</v>
      </c>
      <c r="B1698" t="s">
        <v>546</v>
      </c>
      <c r="C1698">
        <v>17232</v>
      </c>
      <c r="D1698" t="s">
        <v>4140</v>
      </c>
      <c r="E1698" t="s">
        <v>228</v>
      </c>
      <c r="F1698" t="s">
        <v>554</v>
      </c>
      <c r="G1698" s="30">
        <v>46147</v>
      </c>
      <c r="H1698" t="s">
        <v>4141</v>
      </c>
      <c r="I1698">
        <v>1172320</v>
      </c>
      <c r="J1698" s="123">
        <v>0</v>
      </c>
      <c r="K1698" s="123">
        <v>0</v>
      </c>
      <c r="L1698" s="123">
        <v>0</v>
      </c>
      <c r="M1698">
        <v>0</v>
      </c>
      <c r="N1698">
        <v>0</v>
      </c>
      <c r="O1698">
        <v>0</v>
      </c>
      <c r="P1698" s="216">
        <v>17232</v>
      </c>
      <c r="Q1698" s="217" t="s">
        <v>20</v>
      </c>
      <c r="R1698" s="217" t="s">
        <v>554</v>
      </c>
      <c r="S1698" s="218">
        <v>0.31469905827760336</v>
      </c>
      <c r="T1698" t="s">
        <v>550</v>
      </c>
      <c r="U1698" t="s">
        <v>51</v>
      </c>
      <c r="V1698" s="219" t="s">
        <v>6782</v>
      </c>
      <c r="W1698" s="219" t="s">
        <v>67</v>
      </c>
    </row>
    <row r="1699" spans="1:23" ht="15" customHeight="1" x14ac:dyDescent="0.25">
      <c r="A1699" t="s">
        <v>4142</v>
      </c>
      <c r="B1699" t="s">
        <v>575</v>
      </c>
      <c r="C1699">
        <v>15680</v>
      </c>
      <c r="D1699" t="s">
        <v>4143</v>
      </c>
      <c r="E1699" t="s">
        <v>173</v>
      </c>
      <c r="F1699" t="s">
        <v>554</v>
      </c>
      <c r="G1699" s="30">
        <v>46146</v>
      </c>
      <c r="H1699" t="s">
        <v>4144</v>
      </c>
      <c r="I1699">
        <v>1096824.95</v>
      </c>
      <c r="J1699" s="123">
        <v>0</v>
      </c>
      <c r="K1699" s="123">
        <v>0</v>
      </c>
      <c r="L1699" s="123">
        <v>46144</v>
      </c>
      <c r="M1699">
        <v>0</v>
      </c>
      <c r="N1699">
        <v>0</v>
      </c>
      <c r="O1699">
        <v>0</v>
      </c>
      <c r="P1699" s="216">
        <v>15680</v>
      </c>
      <c r="Q1699" s="217" t="s">
        <v>27</v>
      </c>
      <c r="R1699" s="217" t="s">
        <v>554</v>
      </c>
      <c r="S1699" s="218">
        <v>0.29999772525232948</v>
      </c>
      <c r="T1699" t="s">
        <v>550</v>
      </c>
      <c r="U1699" t="s">
        <v>51</v>
      </c>
      <c r="V1699" s="219" t="s">
        <v>6783</v>
      </c>
      <c r="W1699" s="219" t="s">
        <v>67</v>
      </c>
    </row>
    <row r="1700" spans="1:23" ht="15" customHeight="1" x14ac:dyDescent="0.25">
      <c r="A1700" t="s">
        <v>4145</v>
      </c>
      <c r="B1700" t="s">
        <v>546</v>
      </c>
      <c r="C1700">
        <v>800</v>
      </c>
      <c r="D1700" t="s">
        <v>4146</v>
      </c>
      <c r="E1700" t="s">
        <v>553</v>
      </c>
      <c r="F1700" t="s">
        <v>554</v>
      </c>
      <c r="G1700" s="30">
        <v>46146</v>
      </c>
      <c r="H1700" t="s">
        <v>4147</v>
      </c>
      <c r="I1700">
        <v>1357747.3</v>
      </c>
      <c r="J1700" s="123">
        <v>46146</v>
      </c>
      <c r="K1700" s="123">
        <v>0</v>
      </c>
      <c r="L1700" s="123">
        <v>46146</v>
      </c>
      <c r="M1700">
        <v>0</v>
      </c>
      <c r="N1700">
        <v>0</v>
      </c>
      <c r="O1700" t="s">
        <v>556</v>
      </c>
      <c r="P1700" s="216">
        <v>800</v>
      </c>
      <c r="Q1700" s="217" t="s">
        <v>42</v>
      </c>
      <c r="R1700" s="217" t="s">
        <v>554</v>
      </c>
      <c r="S1700" s="218">
        <v>0.30390352461021281</v>
      </c>
      <c r="T1700" t="s">
        <v>550</v>
      </c>
      <c r="U1700" t="s">
        <v>51</v>
      </c>
      <c r="V1700" s="219" t="s">
        <v>6784</v>
      </c>
      <c r="W1700" s="219" t="s">
        <v>67</v>
      </c>
    </row>
    <row r="1701" spans="1:23" ht="15" customHeight="1" x14ac:dyDescent="0.25">
      <c r="A1701" t="s">
        <v>4148</v>
      </c>
      <c r="B1701" t="s">
        <v>595</v>
      </c>
      <c r="C1701">
        <v>6472.75</v>
      </c>
      <c r="D1701" t="s">
        <v>4149</v>
      </c>
      <c r="E1701" t="s">
        <v>4150</v>
      </c>
      <c r="F1701" t="s">
        <v>554</v>
      </c>
      <c r="G1701" s="30">
        <v>46146</v>
      </c>
      <c r="H1701" t="s">
        <v>4151</v>
      </c>
      <c r="I1701">
        <v>1096824.95</v>
      </c>
      <c r="J1701" s="123">
        <v>0</v>
      </c>
      <c r="K1701" s="123">
        <v>0</v>
      </c>
      <c r="L1701" s="123">
        <v>46146</v>
      </c>
      <c r="M1701">
        <v>0</v>
      </c>
      <c r="N1701">
        <v>0</v>
      </c>
      <c r="O1701">
        <v>0</v>
      </c>
      <c r="P1701" s="216">
        <v>6472.75</v>
      </c>
      <c r="Q1701" s="217" t="s">
        <v>27</v>
      </c>
      <c r="R1701" s="217" t="s">
        <v>554</v>
      </c>
      <c r="S1701" s="218">
        <v>0.20210882329035276</v>
      </c>
      <c r="T1701" t="s">
        <v>550</v>
      </c>
      <c r="U1701" t="s">
        <v>51</v>
      </c>
      <c r="V1701" s="219" t="s">
        <v>6785</v>
      </c>
      <c r="W1701" s="219" t="s">
        <v>67</v>
      </c>
    </row>
    <row r="1702" spans="1:23" ht="15" customHeight="1" x14ac:dyDescent="0.25">
      <c r="A1702" t="s">
        <v>4152</v>
      </c>
      <c r="B1702" t="s">
        <v>595</v>
      </c>
      <c r="C1702">
        <v>10356.4</v>
      </c>
      <c r="D1702" t="s">
        <v>4149</v>
      </c>
      <c r="E1702" t="s">
        <v>4150</v>
      </c>
      <c r="F1702" t="s">
        <v>554</v>
      </c>
      <c r="G1702" s="30">
        <v>46146</v>
      </c>
      <c r="H1702" t="s">
        <v>4151</v>
      </c>
      <c r="I1702">
        <v>1096824.95</v>
      </c>
      <c r="J1702" s="123">
        <v>0</v>
      </c>
      <c r="K1702" s="123">
        <v>0</v>
      </c>
      <c r="L1702" s="123">
        <v>46146</v>
      </c>
      <c r="M1702">
        <v>0</v>
      </c>
      <c r="N1702">
        <v>0</v>
      </c>
      <c r="O1702">
        <v>0</v>
      </c>
      <c r="P1702" s="216">
        <v>10356.4</v>
      </c>
      <c r="Q1702" s="217" t="s">
        <v>27</v>
      </c>
      <c r="R1702" s="217" t="s">
        <v>554</v>
      </c>
      <c r="S1702" s="218">
        <v>0.20210882329035276</v>
      </c>
      <c r="T1702" t="s">
        <v>550</v>
      </c>
      <c r="U1702" t="s">
        <v>51</v>
      </c>
      <c r="V1702" s="219" t="s">
        <v>6786</v>
      </c>
      <c r="W1702" s="219" t="s">
        <v>67</v>
      </c>
    </row>
    <row r="1703" spans="1:23" ht="15" customHeight="1" x14ac:dyDescent="0.25">
      <c r="A1703" t="s">
        <v>4153</v>
      </c>
      <c r="B1703" t="s">
        <v>575</v>
      </c>
      <c r="C1703">
        <v>80000</v>
      </c>
      <c r="D1703" t="s">
        <v>4154</v>
      </c>
      <c r="E1703" t="s">
        <v>311</v>
      </c>
      <c r="F1703" t="s">
        <v>554</v>
      </c>
      <c r="G1703" s="30">
        <v>46146</v>
      </c>
      <c r="H1703" t="s">
        <v>4155</v>
      </c>
      <c r="I1703">
        <v>1070669.55</v>
      </c>
      <c r="J1703" s="123">
        <v>0</v>
      </c>
      <c r="K1703" s="123">
        <v>0</v>
      </c>
      <c r="L1703" s="123">
        <v>46146</v>
      </c>
      <c r="M1703">
        <v>0</v>
      </c>
      <c r="N1703">
        <v>0</v>
      </c>
      <c r="O1703">
        <v>0</v>
      </c>
      <c r="P1703" s="216">
        <v>80000</v>
      </c>
      <c r="Q1703" s="217" t="s">
        <v>42</v>
      </c>
      <c r="R1703" s="217" t="s">
        <v>554</v>
      </c>
      <c r="S1703" s="218">
        <v>0.40999951852558053</v>
      </c>
      <c r="T1703" t="s">
        <v>550</v>
      </c>
      <c r="U1703" t="s">
        <v>51</v>
      </c>
      <c r="V1703" s="219" t="s">
        <v>6787</v>
      </c>
      <c r="W1703" s="219" t="s">
        <v>67</v>
      </c>
    </row>
    <row r="1704" spans="1:23" ht="15" customHeight="1" x14ac:dyDescent="0.25">
      <c r="A1704" t="s">
        <v>4156</v>
      </c>
      <c r="B1704" t="s">
        <v>575</v>
      </c>
      <c r="C1704">
        <v>27066</v>
      </c>
      <c r="D1704" t="s">
        <v>4154</v>
      </c>
      <c r="E1704" t="s">
        <v>311</v>
      </c>
      <c r="F1704" t="s">
        <v>554</v>
      </c>
      <c r="G1704" s="30">
        <v>46148</v>
      </c>
      <c r="H1704" t="s">
        <v>4155</v>
      </c>
      <c r="I1704">
        <v>1070669.55</v>
      </c>
      <c r="J1704" s="123">
        <v>0</v>
      </c>
      <c r="K1704" s="123">
        <v>0</v>
      </c>
      <c r="L1704" s="123">
        <v>46147</v>
      </c>
      <c r="M1704">
        <v>0</v>
      </c>
      <c r="N1704">
        <v>0</v>
      </c>
      <c r="O1704">
        <v>0</v>
      </c>
      <c r="P1704" s="216">
        <v>27066</v>
      </c>
      <c r="Q1704" s="217" t="s">
        <v>42</v>
      </c>
      <c r="R1704" s="217" t="s">
        <v>554</v>
      </c>
      <c r="S1704" s="218">
        <v>0.40999951852558053</v>
      </c>
      <c r="T1704" t="s">
        <v>550</v>
      </c>
      <c r="U1704" t="s">
        <v>51</v>
      </c>
      <c r="V1704" s="219" t="s">
        <v>6788</v>
      </c>
      <c r="W1704" s="219" t="s">
        <v>67</v>
      </c>
    </row>
    <row r="1705" spans="1:23" ht="15" customHeight="1" x14ac:dyDescent="0.25">
      <c r="A1705" t="s">
        <v>4157</v>
      </c>
      <c r="B1705" t="s">
        <v>595</v>
      </c>
      <c r="C1705">
        <v>110128</v>
      </c>
      <c r="D1705" t="s">
        <v>4158</v>
      </c>
      <c r="E1705" t="s">
        <v>173</v>
      </c>
      <c r="F1705" t="s">
        <v>554</v>
      </c>
      <c r="G1705" s="30">
        <v>46146</v>
      </c>
      <c r="H1705" t="s">
        <v>4159</v>
      </c>
      <c r="I1705">
        <v>1101275</v>
      </c>
      <c r="J1705" s="123">
        <v>0</v>
      </c>
      <c r="K1705" s="123">
        <v>0</v>
      </c>
      <c r="L1705" s="123">
        <v>46135</v>
      </c>
      <c r="M1705">
        <v>0</v>
      </c>
      <c r="N1705">
        <v>0</v>
      </c>
      <c r="O1705">
        <v>0</v>
      </c>
      <c r="P1705" s="216">
        <v>110128</v>
      </c>
      <c r="Q1705" s="217" t="s">
        <v>27</v>
      </c>
      <c r="R1705" s="217" t="s">
        <v>554</v>
      </c>
      <c r="S1705" s="218">
        <v>0.30000113504801251</v>
      </c>
      <c r="T1705" t="s">
        <v>550</v>
      </c>
      <c r="U1705" t="s">
        <v>51</v>
      </c>
      <c r="V1705" s="219" t="s">
        <v>6789</v>
      </c>
      <c r="W1705" s="219" t="s">
        <v>67</v>
      </c>
    </row>
    <row r="1706" spans="1:23" ht="15" customHeight="1" x14ac:dyDescent="0.25">
      <c r="A1706" t="s">
        <v>4160</v>
      </c>
      <c r="B1706" t="s">
        <v>575</v>
      </c>
      <c r="C1706">
        <v>110128</v>
      </c>
      <c r="D1706" t="s">
        <v>4161</v>
      </c>
      <c r="E1706" t="s">
        <v>173</v>
      </c>
      <c r="F1706" t="s">
        <v>554</v>
      </c>
      <c r="G1706" s="30">
        <v>46143</v>
      </c>
      <c r="H1706" t="s">
        <v>4162</v>
      </c>
      <c r="I1706">
        <v>1101275</v>
      </c>
      <c r="J1706" s="123">
        <v>0</v>
      </c>
      <c r="K1706" s="123">
        <v>0</v>
      </c>
      <c r="L1706" s="123">
        <v>46143</v>
      </c>
      <c r="M1706">
        <v>0</v>
      </c>
      <c r="N1706">
        <v>0</v>
      </c>
      <c r="O1706">
        <v>0</v>
      </c>
      <c r="P1706" s="216">
        <v>110128</v>
      </c>
      <c r="Q1706" s="217" t="s">
        <v>27</v>
      </c>
      <c r="R1706" s="217" t="s">
        <v>554</v>
      </c>
      <c r="S1706" s="218">
        <v>0.41009148486981001</v>
      </c>
      <c r="T1706" t="s">
        <v>550</v>
      </c>
      <c r="U1706" t="s">
        <v>51</v>
      </c>
      <c r="V1706" s="219" t="s">
        <v>6790</v>
      </c>
      <c r="W1706" s="219" t="s">
        <v>67</v>
      </c>
    </row>
    <row r="1707" spans="1:23" ht="15" customHeight="1" x14ac:dyDescent="0.25">
      <c r="A1707" t="s">
        <v>4163</v>
      </c>
      <c r="B1707" t="s">
        <v>595</v>
      </c>
      <c r="C1707">
        <v>138852</v>
      </c>
      <c r="D1707" t="s">
        <v>4164</v>
      </c>
      <c r="E1707" t="s">
        <v>173</v>
      </c>
      <c r="F1707" t="s">
        <v>554</v>
      </c>
      <c r="G1707" s="30">
        <v>46148</v>
      </c>
      <c r="H1707" t="s">
        <v>4165</v>
      </c>
      <c r="I1707">
        <v>1388079</v>
      </c>
      <c r="J1707" s="123">
        <v>0</v>
      </c>
      <c r="K1707" s="123">
        <v>0</v>
      </c>
      <c r="L1707" s="123">
        <v>46147</v>
      </c>
      <c r="M1707">
        <v>0</v>
      </c>
      <c r="N1707">
        <v>0</v>
      </c>
      <c r="O1707">
        <v>0</v>
      </c>
      <c r="P1707" s="216">
        <v>138852</v>
      </c>
      <c r="Q1707" s="217" t="s">
        <v>27</v>
      </c>
      <c r="R1707" s="217" t="s">
        <v>554</v>
      </c>
      <c r="S1707" s="218">
        <v>0.4000191559702293</v>
      </c>
      <c r="T1707" t="s">
        <v>550</v>
      </c>
      <c r="U1707" t="s">
        <v>51</v>
      </c>
      <c r="V1707" s="219" t="s">
        <v>6791</v>
      </c>
      <c r="W1707" s="219" t="s">
        <v>67</v>
      </c>
    </row>
    <row r="1708" spans="1:23" ht="15" customHeight="1" x14ac:dyDescent="0.25">
      <c r="A1708" t="s">
        <v>4166</v>
      </c>
      <c r="B1708" t="s">
        <v>575</v>
      </c>
      <c r="C1708">
        <v>107906</v>
      </c>
      <c r="D1708" t="s">
        <v>4167</v>
      </c>
      <c r="E1708" t="s">
        <v>173</v>
      </c>
      <c r="F1708" t="s">
        <v>554</v>
      </c>
      <c r="G1708" s="30">
        <v>46146</v>
      </c>
      <c r="H1708" t="s">
        <v>4168</v>
      </c>
      <c r="I1708">
        <v>1079060.3999999999</v>
      </c>
      <c r="J1708" s="123">
        <v>0</v>
      </c>
      <c r="K1708" s="123">
        <v>0</v>
      </c>
      <c r="L1708" s="123">
        <v>46144</v>
      </c>
      <c r="M1708">
        <v>0</v>
      </c>
      <c r="N1708">
        <v>0</v>
      </c>
      <c r="O1708">
        <v>0</v>
      </c>
      <c r="P1708" s="216">
        <v>107906</v>
      </c>
      <c r="Q1708" s="217" t="s">
        <v>27</v>
      </c>
      <c r="R1708" s="217" t="s">
        <v>554</v>
      </c>
      <c r="S1708" s="218">
        <v>0.40783926460465053</v>
      </c>
      <c r="T1708" t="s">
        <v>550</v>
      </c>
      <c r="U1708" t="s">
        <v>51</v>
      </c>
      <c r="V1708" s="219" t="s">
        <v>6792</v>
      </c>
      <c r="W1708" s="219" t="s">
        <v>67</v>
      </c>
    </row>
    <row r="1709" spans="1:23" ht="15" customHeight="1" x14ac:dyDescent="0.25">
      <c r="A1709" t="s">
        <v>4169</v>
      </c>
      <c r="B1709" t="s">
        <v>1118</v>
      </c>
      <c r="C1709">
        <v>108568</v>
      </c>
      <c r="D1709" t="s">
        <v>4170</v>
      </c>
      <c r="E1709" t="s">
        <v>326</v>
      </c>
      <c r="F1709" t="s">
        <v>554</v>
      </c>
      <c r="G1709" s="30">
        <v>46143</v>
      </c>
      <c r="H1709" t="s">
        <v>4171</v>
      </c>
      <c r="I1709">
        <v>1085673.6000000001</v>
      </c>
      <c r="J1709" s="123">
        <v>46141</v>
      </c>
      <c r="K1709" s="123">
        <v>0</v>
      </c>
      <c r="L1709" s="123">
        <v>46141</v>
      </c>
      <c r="M1709">
        <v>0</v>
      </c>
      <c r="N1709">
        <v>0</v>
      </c>
      <c r="O1709">
        <v>0</v>
      </c>
      <c r="P1709" s="216">
        <v>108568</v>
      </c>
      <c r="Q1709" s="217" t="s">
        <v>44</v>
      </c>
      <c r="R1709" s="217" t="s">
        <v>554</v>
      </c>
      <c r="S1709" s="218">
        <v>0.30000117899154954</v>
      </c>
      <c r="T1709" t="s">
        <v>550</v>
      </c>
      <c r="U1709" t="s">
        <v>51</v>
      </c>
      <c r="V1709" s="219" t="s">
        <v>6793</v>
      </c>
      <c r="W1709" s="219" t="s">
        <v>71</v>
      </c>
    </row>
    <row r="1710" spans="1:23" ht="15" customHeight="1" x14ac:dyDescent="0.25">
      <c r="A1710" t="s">
        <v>4172</v>
      </c>
      <c r="B1710" t="s">
        <v>546</v>
      </c>
      <c r="C1710">
        <v>15966</v>
      </c>
      <c r="D1710" t="s">
        <v>4173</v>
      </c>
      <c r="E1710" t="s">
        <v>553</v>
      </c>
      <c r="F1710" t="s">
        <v>554</v>
      </c>
      <c r="G1710" s="30">
        <v>46144</v>
      </c>
      <c r="H1710" t="s">
        <v>4174</v>
      </c>
      <c r="I1710">
        <v>1227882.6000000001</v>
      </c>
      <c r="J1710" s="123">
        <v>46144</v>
      </c>
      <c r="K1710" s="123">
        <v>0</v>
      </c>
      <c r="L1710" s="123">
        <v>46144</v>
      </c>
      <c r="M1710">
        <v>0</v>
      </c>
      <c r="N1710">
        <v>0</v>
      </c>
      <c r="O1710" t="s">
        <v>556</v>
      </c>
      <c r="P1710" s="216">
        <v>15966</v>
      </c>
      <c r="Q1710" s="217" t="s">
        <v>27</v>
      </c>
      <c r="R1710" s="217" t="s">
        <v>554</v>
      </c>
      <c r="S1710" s="218">
        <v>0.40000241065391756</v>
      </c>
      <c r="T1710" t="s">
        <v>550</v>
      </c>
      <c r="U1710" t="s">
        <v>51</v>
      </c>
      <c r="V1710" s="219" t="s">
        <v>6794</v>
      </c>
      <c r="W1710" s="219" t="s">
        <v>67</v>
      </c>
    </row>
    <row r="1711" spans="1:23" ht="15" customHeight="1" x14ac:dyDescent="0.25">
      <c r="A1711" t="s">
        <v>4175</v>
      </c>
      <c r="B1711" t="s">
        <v>546</v>
      </c>
      <c r="C1711">
        <v>137940</v>
      </c>
      <c r="D1711" t="s">
        <v>4176</v>
      </c>
      <c r="E1711" t="s">
        <v>173</v>
      </c>
      <c r="F1711" t="s">
        <v>548</v>
      </c>
      <c r="G1711" s="30">
        <v>46146</v>
      </c>
      <c r="H1711" t="s">
        <v>4177</v>
      </c>
      <c r="I1711">
        <v>1379516.1</v>
      </c>
      <c r="J1711" s="123">
        <v>0</v>
      </c>
      <c r="K1711" s="123">
        <v>0</v>
      </c>
      <c r="L1711" s="123">
        <v>0</v>
      </c>
      <c r="M1711">
        <v>0</v>
      </c>
      <c r="N1711">
        <v>0</v>
      </c>
      <c r="O1711">
        <v>0</v>
      </c>
      <c r="P1711" s="216">
        <v>137940</v>
      </c>
      <c r="Q1711" s="217" t="s">
        <v>27</v>
      </c>
      <c r="R1711" s="217" t="s">
        <v>62</v>
      </c>
      <c r="S1711" s="218">
        <v>0.39999968104757888</v>
      </c>
      <c r="T1711" t="s">
        <v>550</v>
      </c>
      <c r="U1711" t="s">
        <v>51</v>
      </c>
      <c r="V1711" s="219">
        <v>0</v>
      </c>
      <c r="W1711" s="219">
        <v>0</v>
      </c>
    </row>
    <row r="1712" spans="1:23" ht="15" customHeight="1" x14ac:dyDescent="0.25">
      <c r="A1712" t="s">
        <v>4178</v>
      </c>
      <c r="B1712" t="s">
        <v>595</v>
      </c>
      <c r="C1712">
        <v>137940</v>
      </c>
      <c r="D1712" t="s">
        <v>4176</v>
      </c>
      <c r="E1712" t="s">
        <v>173</v>
      </c>
      <c r="F1712" t="s">
        <v>554</v>
      </c>
      <c r="G1712" s="30">
        <v>46147</v>
      </c>
      <c r="H1712" t="s">
        <v>4177</v>
      </c>
      <c r="I1712">
        <v>1379516.1</v>
      </c>
      <c r="J1712" s="123">
        <v>0</v>
      </c>
      <c r="K1712" s="123">
        <v>0</v>
      </c>
      <c r="L1712" s="123">
        <v>46147</v>
      </c>
      <c r="M1712">
        <v>0</v>
      </c>
      <c r="N1712">
        <v>0</v>
      </c>
      <c r="O1712">
        <v>0</v>
      </c>
      <c r="P1712" s="216">
        <v>137940</v>
      </c>
      <c r="Q1712" s="217" t="s">
        <v>27</v>
      </c>
      <c r="R1712" s="217" t="s">
        <v>554</v>
      </c>
      <c r="S1712" s="218">
        <v>0.39999968104757888</v>
      </c>
      <c r="T1712" t="s">
        <v>550</v>
      </c>
      <c r="U1712" t="s">
        <v>51</v>
      </c>
      <c r="V1712" s="219" t="s">
        <v>6795</v>
      </c>
      <c r="W1712" s="219" t="s">
        <v>67</v>
      </c>
    </row>
    <row r="1713" spans="1:23" ht="15" customHeight="1" x14ac:dyDescent="0.25">
      <c r="A1713" t="s">
        <v>4179</v>
      </c>
      <c r="B1713" t="s">
        <v>575</v>
      </c>
      <c r="C1713">
        <v>60000</v>
      </c>
      <c r="D1713" t="s">
        <v>4180</v>
      </c>
      <c r="E1713" t="s">
        <v>173</v>
      </c>
      <c r="F1713" t="s">
        <v>585</v>
      </c>
      <c r="G1713" s="30">
        <v>46146</v>
      </c>
      <c r="H1713" t="s">
        <v>4181</v>
      </c>
      <c r="I1713">
        <v>2253492.15</v>
      </c>
      <c r="J1713" s="123">
        <v>0</v>
      </c>
      <c r="K1713" s="123">
        <v>0</v>
      </c>
      <c r="L1713" s="123">
        <v>46121</v>
      </c>
      <c r="M1713">
        <v>0</v>
      </c>
      <c r="N1713">
        <v>0</v>
      </c>
      <c r="O1713">
        <v>0</v>
      </c>
      <c r="P1713" s="216">
        <v>60000</v>
      </c>
      <c r="Q1713" s="217" t="s">
        <v>27</v>
      </c>
      <c r="R1713" s="217" t="s">
        <v>61</v>
      </c>
      <c r="S1713" s="218">
        <v>0.20003619715293883</v>
      </c>
      <c r="T1713" t="s">
        <v>550</v>
      </c>
      <c r="U1713" t="s">
        <v>51</v>
      </c>
      <c r="V1713" s="219">
        <v>0</v>
      </c>
      <c r="W1713" s="219">
        <v>0</v>
      </c>
    </row>
    <row r="1714" spans="1:23" ht="15" customHeight="1" x14ac:dyDescent="0.25">
      <c r="A1714" t="s">
        <v>4182</v>
      </c>
      <c r="B1714" t="s">
        <v>575</v>
      </c>
      <c r="C1714">
        <v>50000</v>
      </c>
      <c r="D1714" t="s">
        <v>4180</v>
      </c>
      <c r="E1714" t="s">
        <v>173</v>
      </c>
      <c r="F1714" t="s">
        <v>585</v>
      </c>
      <c r="G1714" s="30">
        <v>46146</v>
      </c>
      <c r="H1714" t="s">
        <v>4181</v>
      </c>
      <c r="I1714">
        <v>2253492.15</v>
      </c>
      <c r="J1714" s="123">
        <v>0</v>
      </c>
      <c r="K1714" s="123">
        <v>0</v>
      </c>
      <c r="L1714" s="123">
        <v>46123</v>
      </c>
      <c r="M1714">
        <v>0</v>
      </c>
      <c r="N1714">
        <v>0</v>
      </c>
      <c r="O1714">
        <v>0</v>
      </c>
      <c r="P1714" s="216">
        <v>50000</v>
      </c>
      <c r="Q1714" s="217" t="s">
        <v>27</v>
      </c>
      <c r="R1714" s="217" t="s">
        <v>61</v>
      </c>
      <c r="S1714" s="218">
        <v>0.20003619715293883</v>
      </c>
      <c r="T1714" t="s">
        <v>550</v>
      </c>
      <c r="U1714" t="s">
        <v>51</v>
      </c>
      <c r="V1714" s="219">
        <v>0</v>
      </c>
      <c r="W1714" s="219">
        <v>0</v>
      </c>
    </row>
    <row r="1715" spans="1:23" ht="15" customHeight="1" x14ac:dyDescent="0.25">
      <c r="A1715" t="s">
        <v>4183</v>
      </c>
      <c r="B1715" t="s">
        <v>575</v>
      </c>
      <c r="C1715">
        <v>102944</v>
      </c>
      <c r="D1715" t="s">
        <v>4184</v>
      </c>
      <c r="E1715" t="s">
        <v>173</v>
      </c>
      <c r="F1715" t="s">
        <v>554</v>
      </c>
      <c r="G1715" s="30">
        <v>46143</v>
      </c>
      <c r="H1715" t="s">
        <v>4185</v>
      </c>
      <c r="I1715">
        <v>1379945.55</v>
      </c>
      <c r="J1715" s="123">
        <v>0</v>
      </c>
      <c r="K1715" s="123">
        <v>0</v>
      </c>
      <c r="L1715" s="123">
        <v>46143</v>
      </c>
      <c r="M1715">
        <v>0</v>
      </c>
      <c r="N1715">
        <v>0</v>
      </c>
      <c r="O1715">
        <v>0</v>
      </c>
      <c r="P1715" s="216">
        <v>102944</v>
      </c>
      <c r="Q1715" s="217" t="s">
        <v>27</v>
      </c>
      <c r="R1715" s="217" t="s">
        <v>554</v>
      </c>
      <c r="S1715" s="218">
        <v>0.29996400944950324</v>
      </c>
      <c r="T1715" t="s">
        <v>550</v>
      </c>
      <c r="U1715" t="s">
        <v>51</v>
      </c>
      <c r="V1715" s="219" t="s">
        <v>6796</v>
      </c>
      <c r="W1715" s="219" t="s">
        <v>67</v>
      </c>
    </row>
    <row r="1716" spans="1:23" ht="15" customHeight="1" x14ac:dyDescent="0.25">
      <c r="A1716" t="s">
        <v>4186</v>
      </c>
      <c r="B1716" t="s">
        <v>546</v>
      </c>
      <c r="C1716">
        <v>35000</v>
      </c>
      <c r="D1716" t="s">
        <v>4184</v>
      </c>
      <c r="E1716" t="s">
        <v>173</v>
      </c>
      <c r="F1716" t="s">
        <v>554</v>
      </c>
      <c r="G1716" s="30">
        <v>46143</v>
      </c>
      <c r="H1716" t="s">
        <v>4185</v>
      </c>
      <c r="I1716">
        <v>1379945.55</v>
      </c>
      <c r="J1716" s="123">
        <v>0</v>
      </c>
      <c r="K1716" s="123">
        <v>0</v>
      </c>
      <c r="L1716" s="123">
        <v>0</v>
      </c>
      <c r="M1716">
        <v>0</v>
      </c>
      <c r="N1716">
        <v>0</v>
      </c>
      <c r="O1716">
        <v>0</v>
      </c>
      <c r="P1716" s="216">
        <v>35000</v>
      </c>
      <c r="Q1716" s="217" t="s">
        <v>27</v>
      </c>
      <c r="R1716" s="217" t="s">
        <v>554</v>
      </c>
      <c r="S1716" s="218">
        <v>0.29996400944950324</v>
      </c>
      <c r="T1716" t="s">
        <v>550</v>
      </c>
      <c r="U1716" t="s">
        <v>51</v>
      </c>
      <c r="V1716" s="219" t="s">
        <v>6797</v>
      </c>
      <c r="W1716" s="219" t="s">
        <v>67</v>
      </c>
    </row>
    <row r="1717" spans="1:23" ht="15" customHeight="1" x14ac:dyDescent="0.25">
      <c r="A1717" t="s">
        <v>4187</v>
      </c>
      <c r="B1717" t="s">
        <v>546</v>
      </c>
      <c r="C1717">
        <v>137994</v>
      </c>
      <c r="D1717" t="s">
        <v>4184</v>
      </c>
      <c r="E1717" t="s">
        <v>173</v>
      </c>
      <c r="F1717" t="s">
        <v>548</v>
      </c>
      <c r="G1717" s="30">
        <v>46143</v>
      </c>
      <c r="H1717" t="s">
        <v>4185</v>
      </c>
      <c r="I1717">
        <v>1379945.55</v>
      </c>
      <c r="J1717" s="123">
        <v>0</v>
      </c>
      <c r="K1717" s="123">
        <v>0</v>
      </c>
      <c r="L1717" s="123">
        <v>0</v>
      </c>
      <c r="M1717">
        <v>0</v>
      </c>
      <c r="N1717">
        <v>0</v>
      </c>
      <c r="O1717">
        <v>0</v>
      </c>
      <c r="P1717" s="216">
        <v>137994</v>
      </c>
      <c r="Q1717" s="217" t="s">
        <v>27</v>
      </c>
      <c r="R1717" s="217" t="s">
        <v>62</v>
      </c>
      <c r="S1717" s="218">
        <v>0.29996400944950324</v>
      </c>
      <c r="T1717" t="s">
        <v>550</v>
      </c>
      <c r="U1717" t="s">
        <v>51</v>
      </c>
      <c r="V1717" s="219">
        <v>0</v>
      </c>
      <c r="W1717" s="219">
        <v>0</v>
      </c>
    </row>
    <row r="1718" spans="1:23" ht="15" customHeight="1" x14ac:dyDescent="0.25">
      <c r="A1718" t="s">
        <v>4188</v>
      </c>
      <c r="B1718" t="s">
        <v>575</v>
      </c>
      <c r="C1718">
        <v>110200</v>
      </c>
      <c r="D1718" t="s">
        <v>4189</v>
      </c>
      <c r="E1718" t="s">
        <v>4190</v>
      </c>
      <c r="F1718" t="s">
        <v>580</v>
      </c>
      <c r="G1718" s="30">
        <v>46149</v>
      </c>
      <c r="H1718" t="s">
        <v>4191</v>
      </c>
      <c r="I1718">
        <v>1102123.2</v>
      </c>
      <c r="J1718" s="123">
        <v>0</v>
      </c>
      <c r="K1718" s="123">
        <v>0</v>
      </c>
      <c r="L1718" s="123">
        <v>46148</v>
      </c>
      <c r="M1718">
        <v>0</v>
      </c>
      <c r="N1718">
        <v>0</v>
      </c>
      <c r="O1718">
        <v>0</v>
      </c>
      <c r="P1718" s="216">
        <v>110200</v>
      </c>
      <c r="Q1718" s="217" t="s">
        <v>42</v>
      </c>
      <c r="R1718" s="217" t="s">
        <v>582</v>
      </c>
      <c r="S1718" s="218">
        <v>0.29889565885193237</v>
      </c>
      <c r="T1718" t="s">
        <v>550</v>
      </c>
      <c r="U1718" t="s">
        <v>51</v>
      </c>
      <c r="V1718" s="219">
        <v>0</v>
      </c>
      <c r="W1718" s="219">
        <v>0</v>
      </c>
    </row>
    <row r="1719" spans="1:23" ht="15" customHeight="1" x14ac:dyDescent="0.25">
      <c r="A1719" t="s">
        <v>4192</v>
      </c>
      <c r="B1719" t="s">
        <v>575</v>
      </c>
      <c r="C1719">
        <v>139006.74</v>
      </c>
      <c r="D1719" t="s">
        <v>4193</v>
      </c>
      <c r="E1719" t="s">
        <v>173</v>
      </c>
      <c r="F1719" t="s">
        <v>554</v>
      </c>
      <c r="G1719" s="30">
        <v>46143</v>
      </c>
      <c r="H1719" t="s">
        <v>4194</v>
      </c>
      <c r="I1719">
        <v>1390067.4</v>
      </c>
      <c r="J1719" s="123">
        <v>0</v>
      </c>
      <c r="K1719" s="123">
        <v>0</v>
      </c>
      <c r="L1719" s="123">
        <v>46143</v>
      </c>
      <c r="M1719">
        <v>0</v>
      </c>
      <c r="N1719">
        <v>0</v>
      </c>
      <c r="O1719">
        <v>0</v>
      </c>
      <c r="P1719" s="216">
        <v>139006.74</v>
      </c>
      <c r="Q1719" s="217" t="s">
        <v>27</v>
      </c>
      <c r="R1719" s="217" t="s">
        <v>554</v>
      </c>
      <c r="S1719" s="218">
        <v>0.30000109347215825</v>
      </c>
      <c r="T1719" t="s">
        <v>550</v>
      </c>
      <c r="U1719" t="s">
        <v>51</v>
      </c>
      <c r="V1719" s="219" t="s">
        <v>6798</v>
      </c>
      <c r="W1719" s="219" t="s">
        <v>67</v>
      </c>
    </row>
    <row r="1720" spans="1:23" ht="15" customHeight="1" x14ac:dyDescent="0.25">
      <c r="A1720" t="s">
        <v>4195</v>
      </c>
      <c r="B1720" t="s">
        <v>546</v>
      </c>
      <c r="C1720">
        <v>30000</v>
      </c>
      <c r="D1720" t="s">
        <v>4196</v>
      </c>
      <c r="E1720" t="s">
        <v>173</v>
      </c>
      <c r="F1720" t="s">
        <v>548</v>
      </c>
      <c r="G1720" s="30">
        <v>46143</v>
      </c>
      <c r="H1720" t="s">
        <v>4197</v>
      </c>
      <c r="I1720">
        <v>1390067.4</v>
      </c>
      <c r="J1720" s="123">
        <v>0</v>
      </c>
      <c r="K1720" s="123">
        <v>0</v>
      </c>
      <c r="L1720" s="123">
        <v>0</v>
      </c>
      <c r="M1720">
        <v>0</v>
      </c>
      <c r="N1720">
        <v>0</v>
      </c>
      <c r="O1720">
        <v>0</v>
      </c>
      <c r="P1720" s="216">
        <v>30000</v>
      </c>
      <c r="Q1720" s="217" t="s">
        <v>27</v>
      </c>
      <c r="R1720" s="217" t="s">
        <v>62</v>
      </c>
      <c r="S1720" s="218">
        <v>0.29999984173429289</v>
      </c>
      <c r="T1720" t="s">
        <v>550</v>
      </c>
      <c r="U1720" t="s">
        <v>51</v>
      </c>
      <c r="V1720" s="219">
        <v>0</v>
      </c>
      <c r="W1720" s="219">
        <v>0</v>
      </c>
    </row>
    <row r="1721" spans="1:23" ht="15" customHeight="1" x14ac:dyDescent="0.25">
      <c r="A1721" t="s">
        <v>4198</v>
      </c>
      <c r="B1721" t="s">
        <v>546</v>
      </c>
      <c r="C1721">
        <v>35000</v>
      </c>
      <c r="D1721" t="s">
        <v>4196</v>
      </c>
      <c r="E1721" t="s">
        <v>173</v>
      </c>
      <c r="F1721" t="s">
        <v>548</v>
      </c>
      <c r="G1721" s="30">
        <v>46143</v>
      </c>
      <c r="H1721" t="s">
        <v>4197</v>
      </c>
      <c r="I1721">
        <v>1390067.4</v>
      </c>
      <c r="J1721" s="123">
        <v>0</v>
      </c>
      <c r="K1721" s="123">
        <v>0</v>
      </c>
      <c r="L1721" s="123">
        <v>0</v>
      </c>
      <c r="M1721">
        <v>0</v>
      </c>
      <c r="N1721">
        <v>0</v>
      </c>
      <c r="O1721">
        <v>0</v>
      </c>
      <c r="P1721" s="216">
        <v>35000</v>
      </c>
      <c r="Q1721" s="217" t="s">
        <v>27</v>
      </c>
      <c r="R1721" s="217" t="s">
        <v>62</v>
      </c>
      <c r="S1721" s="218">
        <v>0.29999984173429289</v>
      </c>
      <c r="T1721" t="s">
        <v>550</v>
      </c>
      <c r="U1721" t="s">
        <v>51</v>
      </c>
      <c r="V1721" s="219">
        <v>0</v>
      </c>
      <c r="W1721" s="219">
        <v>0</v>
      </c>
    </row>
    <row r="1722" spans="1:23" ht="15" customHeight="1" x14ac:dyDescent="0.25">
      <c r="A1722" t="s">
        <v>4199</v>
      </c>
      <c r="B1722" t="s">
        <v>575</v>
      </c>
      <c r="C1722">
        <v>139005</v>
      </c>
      <c r="D1722" t="s">
        <v>4196</v>
      </c>
      <c r="E1722" t="s">
        <v>173</v>
      </c>
      <c r="F1722" t="s">
        <v>554</v>
      </c>
      <c r="G1722" s="30">
        <v>46147</v>
      </c>
      <c r="H1722" t="s">
        <v>4197</v>
      </c>
      <c r="I1722">
        <v>1390067.4</v>
      </c>
      <c r="J1722" s="123">
        <v>0</v>
      </c>
      <c r="K1722" s="123">
        <v>0</v>
      </c>
      <c r="L1722" s="123">
        <v>46146</v>
      </c>
      <c r="M1722">
        <v>0</v>
      </c>
      <c r="N1722">
        <v>0</v>
      </c>
      <c r="O1722">
        <v>0</v>
      </c>
      <c r="P1722" s="216">
        <v>139005</v>
      </c>
      <c r="Q1722" s="217" t="s">
        <v>27</v>
      </c>
      <c r="R1722" s="217" t="s">
        <v>554</v>
      </c>
      <c r="S1722" s="218">
        <v>0.29999984173429289</v>
      </c>
      <c r="T1722" t="s">
        <v>550</v>
      </c>
      <c r="U1722" t="s">
        <v>51</v>
      </c>
      <c r="V1722" s="219" t="s">
        <v>6799</v>
      </c>
      <c r="W1722" s="219" t="s">
        <v>67</v>
      </c>
    </row>
    <row r="1723" spans="1:23" ht="15" customHeight="1" x14ac:dyDescent="0.25">
      <c r="A1723" t="s">
        <v>4200</v>
      </c>
      <c r="B1723" t="s">
        <v>575</v>
      </c>
      <c r="C1723">
        <v>139005</v>
      </c>
      <c r="D1723" t="s">
        <v>4201</v>
      </c>
      <c r="E1723" t="s">
        <v>173</v>
      </c>
      <c r="F1723" t="s">
        <v>580</v>
      </c>
      <c r="G1723" s="30">
        <v>46149</v>
      </c>
      <c r="H1723" t="s">
        <v>4202</v>
      </c>
      <c r="I1723">
        <v>1390067.4</v>
      </c>
      <c r="J1723" s="123">
        <v>0</v>
      </c>
      <c r="K1723" s="123">
        <v>0</v>
      </c>
      <c r="L1723" s="123">
        <v>46149</v>
      </c>
      <c r="M1723">
        <v>0</v>
      </c>
      <c r="N1723">
        <v>0</v>
      </c>
      <c r="O1723">
        <v>0</v>
      </c>
      <c r="P1723" s="216">
        <v>139005</v>
      </c>
      <c r="Q1723" s="217" t="s">
        <v>27</v>
      </c>
      <c r="R1723" s="217" t="s">
        <v>582</v>
      </c>
      <c r="S1723" s="218">
        <v>0.20000109347215828</v>
      </c>
      <c r="T1723" t="s">
        <v>550</v>
      </c>
      <c r="U1723" t="s">
        <v>51</v>
      </c>
      <c r="V1723" s="219">
        <v>0</v>
      </c>
      <c r="W1723" s="219">
        <v>0</v>
      </c>
    </row>
    <row r="1724" spans="1:23" ht="15" customHeight="1" x14ac:dyDescent="0.25">
      <c r="A1724" t="s">
        <v>4203</v>
      </c>
      <c r="B1724" t="s">
        <v>546</v>
      </c>
      <c r="C1724">
        <v>53000</v>
      </c>
      <c r="D1724" t="s">
        <v>4204</v>
      </c>
      <c r="E1724" t="s">
        <v>553</v>
      </c>
      <c r="F1724" t="s">
        <v>554</v>
      </c>
      <c r="G1724" s="30">
        <v>46145</v>
      </c>
      <c r="H1724" t="s">
        <v>4205</v>
      </c>
      <c r="I1724">
        <v>1236692.7</v>
      </c>
      <c r="J1724" s="123">
        <v>46144</v>
      </c>
      <c r="K1724" s="123">
        <v>0</v>
      </c>
      <c r="L1724" s="123">
        <v>46144</v>
      </c>
      <c r="M1724">
        <v>0</v>
      </c>
      <c r="N1724">
        <v>0</v>
      </c>
      <c r="O1724" t="s">
        <v>556</v>
      </c>
      <c r="P1724" s="216">
        <v>53000</v>
      </c>
      <c r="Q1724" s="217" t="s">
        <v>27</v>
      </c>
      <c r="R1724" s="217" t="s">
        <v>554</v>
      </c>
      <c r="S1724" s="218">
        <v>0.34285624068129456</v>
      </c>
      <c r="T1724" t="s">
        <v>550</v>
      </c>
      <c r="U1724" t="s">
        <v>51</v>
      </c>
      <c r="V1724" s="219" t="s">
        <v>6800</v>
      </c>
      <c r="W1724" s="219" t="s">
        <v>67</v>
      </c>
    </row>
    <row r="1725" spans="1:23" ht="15" customHeight="1" x14ac:dyDescent="0.25">
      <c r="A1725" t="s">
        <v>4206</v>
      </c>
      <c r="B1725" t="s">
        <v>546</v>
      </c>
      <c r="C1725">
        <v>55000</v>
      </c>
      <c r="D1725" t="s">
        <v>4204</v>
      </c>
      <c r="E1725" t="s">
        <v>553</v>
      </c>
      <c r="F1725" t="s">
        <v>548</v>
      </c>
      <c r="G1725" s="30">
        <v>46146</v>
      </c>
      <c r="H1725" t="s">
        <v>4205</v>
      </c>
      <c r="I1725">
        <v>1236692.7</v>
      </c>
      <c r="J1725" s="123">
        <v>46146</v>
      </c>
      <c r="K1725" s="123">
        <v>0</v>
      </c>
      <c r="L1725" s="123">
        <v>46146</v>
      </c>
      <c r="M1725">
        <v>0</v>
      </c>
      <c r="N1725">
        <v>0</v>
      </c>
      <c r="O1725" t="s">
        <v>556</v>
      </c>
      <c r="P1725" s="216">
        <v>55000</v>
      </c>
      <c r="Q1725" s="217" t="s">
        <v>27</v>
      </c>
      <c r="R1725" s="217" t="s">
        <v>62</v>
      </c>
      <c r="S1725" s="218">
        <v>0.34285624068129456</v>
      </c>
      <c r="T1725" t="s">
        <v>550</v>
      </c>
      <c r="U1725" t="s">
        <v>51</v>
      </c>
      <c r="V1725" s="219">
        <v>0</v>
      </c>
      <c r="W1725" s="219">
        <v>0</v>
      </c>
    </row>
    <row r="1726" spans="1:23" ht="15" customHeight="1" x14ac:dyDescent="0.25">
      <c r="A1726" t="s">
        <v>4207</v>
      </c>
      <c r="B1726" t="s">
        <v>546</v>
      </c>
      <c r="C1726">
        <v>70670.19</v>
      </c>
      <c r="D1726" t="s">
        <v>4204</v>
      </c>
      <c r="E1726" t="s">
        <v>553</v>
      </c>
      <c r="F1726" t="s">
        <v>548</v>
      </c>
      <c r="G1726" s="30">
        <v>46146</v>
      </c>
      <c r="H1726" t="s">
        <v>4205</v>
      </c>
      <c r="I1726">
        <v>1236692.7</v>
      </c>
      <c r="J1726" s="123">
        <v>46146</v>
      </c>
      <c r="K1726" s="123">
        <v>0</v>
      </c>
      <c r="L1726" s="123">
        <v>46146</v>
      </c>
      <c r="M1726">
        <v>0</v>
      </c>
      <c r="N1726">
        <v>0</v>
      </c>
      <c r="O1726" t="s">
        <v>556</v>
      </c>
      <c r="P1726" s="216">
        <v>70670.19</v>
      </c>
      <c r="Q1726" s="217" t="s">
        <v>27</v>
      </c>
      <c r="R1726" s="217" t="s">
        <v>62</v>
      </c>
      <c r="S1726" s="218">
        <v>0.34285624068129456</v>
      </c>
      <c r="T1726" t="s">
        <v>550</v>
      </c>
      <c r="U1726" t="s">
        <v>51</v>
      </c>
      <c r="V1726" s="219">
        <v>0</v>
      </c>
      <c r="W1726" s="219">
        <v>0</v>
      </c>
    </row>
    <row r="1727" spans="1:23" ht="15" customHeight="1" x14ac:dyDescent="0.25">
      <c r="A1727" t="s">
        <v>4208</v>
      </c>
      <c r="B1727" t="s">
        <v>575</v>
      </c>
      <c r="C1727">
        <v>17500</v>
      </c>
      <c r="D1727" t="s">
        <v>4209</v>
      </c>
      <c r="E1727" t="s">
        <v>188</v>
      </c>
      <c r="F1727" t="s">
        <v>580</v>
      </c>
      <c r="G1727" s="30">
        <v>46149</v>
      </c>
      <c r="H1727" t="s">
        <v>4210</v>
      </c>
      <c r="I1727">
        <v>1043023.9</v>
      </c>
      <c r="J1727" s="123">
        <v>0</v>
      </c>
      <c r="K1727" s="123">
        <v>0</v>
      </c>
      <c r="L1727" s="123">
        <v>46091</v>
      </c>
      <c r="M1727">
        <v>0</v>
      </c>
      <c r="N1727">
        <v>0</v>
      </c>
      <c r="O1727">
        <v>0</v>
      </c>
      <c r="P1727" s="216">
        <v>17500</v>
      </c>
      <c r="Q1727" s="217" t="s">
        <v>17</v>
      </c>
      <c r="R1727" s="217" t="s">
        <v>582</v>
      </c>
      <c r="S1727" s="218">
        <v>0.24860887655594469</v>
      </c>
      <c r="T1727" t="s">
        <v>550</v>
      </c>
      <c r="U1727" t="s">
        <v>51</v>
      </c>
      <c r="V1727" s="219">
        <v>0</v>
      </c>
      <c r="W1727" s="219">
        <v>0</v>
      </c>
    </row>
    <row r="1728" spans="1:23" ht="15" customHeight="1" x14ac:dyDescent="0.25">
      <c r="A1728" t="s">
        <v>4211</v>
      </c>
      <c r="B1728" t="s">
        <v>575</v>
      </c>
      <c r="C1728">
        <v>36000</v>
      </c>
      <c r="D1728" t="s">
        <v>4209</v>
      </c>
      <c r="E1728" t="s">
        <v>188</v>
      </c>
      <c r="F1728" t="s">
        <v>580</v>
      </c>
      <c r="G1728" s="30">
        <v>46149</v>
      </c>
      <c r="H1728" t="s">
        <v>4210</v>
      </c>
      <c r="I1728">
        <v>1043023.9</v>
      </c>
      <c r="J1728" s="123">
        <v>0</v>
      </c>
      <c r="K1728" s="123">
        <v>0</v>
      </c>
      <c r="L1728" s="123">
        <v>46034</v>
      </c>
      <c r="M1728">
        <v>0</v>
      </c>
      <c r="N1728">
        <v>0</v>
      </c>
      <c r="O1728">
        <v>0</v>
      </c>
      <c r="P1728" s="216">
        <v>36000</v>
      </c>
      <c r="Q1728" s="217" t="s">
        <v>17</v>
      </c>
      <c r="R1728" s="217" t="s">
        <v>582</v>
      </c>
      <c r="S1728" s="218">
        <v>0.24860887655594469</v>
      </c>
      <c r="T1728" t="s">
        <v>550</v>
      </c>
      <c r="U1728" t="s">
        <v>51</v>
      </c>
      <c r="V1728" s="219">
        <v>0</v>
      </c>
      <c r="W1728" s="219">
        <v>0</v>
      </c>
    </row>
    <row r="1729" spans="1:23" ht="15" customHeight="1" x14ac:dyDescent="0.25">
      <c r="A1729" t="s">
        <v>4212</v>
      </c>
      <c r="B1729" t="s">
        <v>595</v>
      </c>
      <c r="C1729">
        <v>88620.52</v>
      </c>
      <c r="D1729" t="s">
        <v>4213</v>
      </c>
      <c r="E1729" t="s">
        <v>173</v>
      </c>
      <c r="F1729" t="s">
        <v>554</v>
      </c>
      <c r="G1729" s="30">
        <v>46143</v>
      </c>
      <c r="H1729" t="s">
        <v>4214</v>
      </c>
      <c r="I1729">
        <v>1390953.2</v>
      </c>
      <c r="J1729" s="123">
        <v>0</v>
      </c>
      <c r="K1729" s="123">
        <v>0</v>
      </c>
      <c r="L1729" s="123">
        <v>46134</v>
      </c>
      <c r="M1729">
        <v>0</v>
      </c>
      <c r="N1729">
        <v>0</v>
      </c>
      <c r="O1729">
        <v>0</v>
      </c>
      <c r="P1729" s="216">
        <v>88620.52</v>
      </c>
      <c r="Q1729" s="217" t="s">
        <v>27</v>
      </c>
      <c r="R1729" s="217" t="s">
        <v>554</v>
      </c>
      <c r="S1729" s="218">
        <v>0.40135797523597488</v>
      </c>
      <c r="T1729" t="s">
        <v>550</v>
      </c>
      <c r="U1729" t="s">
        <v>51</v>
      </c>
      <c r="V1729" s="219" t="s">
        <v>6801</v>
      </c>
      <c r="W1729" s="219" t="s">
        <v>67</v>
      </c>
    </row>
    <row r="1730" spans="1:23" ht="15" customHeight="1" x14ac:dyDescent="0.25">
      <c r="A1730" t="s">
        <v>4215</v>
      </c>
      <c r="B1730" t="s">
        <v>595</v>
      </c>
      <c r="C1730">
        <v>52357.34</v>
      </c>
      <c r="D1730" t="s">
        <v>4213</v>
      </c>
      <c r="E1730" t="s">
        <v>173</v>
      </c>
      <c r="F1730" t="s">
        <v>554</v>
      </c>
      <c r="G1730" s="30">
        <v>46143</v>
      </c>
      <c r="H1730" t="s">
        <v>4214</v>
      </c>
      <c r="I1730">
        <v>1390953.2</v>
      </c>
      <c r="J1730" s="123">
        <v>0</v>
      </c>
      <c r="K1730" s="123">
        <v>0</v>
      </c>
      <c r="L1730" s="123">
        <v>46138</v>
      </c>
      <c r="M1730">
        <v>0</v>
      </c>
      <c r="N1730">
        <v>0</v>
      </c>
      <c r="O1730">
        <v>0</v>
      </c>
      <c r="P1730" s="216">
        <v>52357.34</v>
      </c>
      <c r="Q1730" s="217" t="s">
        <v>27</v>
      </c>
      <c r="R1730" s="217" t="s">
        <v>554</v>
      </c>
      <c r="S1730" s="218">
        <v>0.40135797523597488</v>
      </c>
      <c r="T1730" t="s">
        <v>550</v>
      </c>
      <c r="U1730" t="s">
        <v>51</v>
      </c>
      <c r="V1730" s="219" t="s">
        <v>6802</v>
      </c>
      <c r="W1730" s="219" t="s">
        <v>67</v>
      </c>
    </row>
    <row r="1731" spans="1:23" ht="15" customHeight="1" x14ac:dyDescent="0.25">
      <c r="A1731" t="s">
        <v>4216</v>
      </c>
      <c r="B1731" t="s">
        <v>546</v>
      </c>
      <c r="C1731">
        <v>80000</v>
      </c>
      <c r="D1731" t="s">
        <v>4217</v>
      </c>
      <c r="E1731" t="s">
        <v>316</v>
      </c>
      <c r="F1731" t="s">
        <v>548</v>
      </c>
      <c r="G1731" s="30">
        <v>46149</v>
      </c>
      <c r="H1731" t="s">
        <v>4218</v>
      </c>
      <c r="I1731">
        <v>1406075.4</v>
      </c>
      <c r="J1731" s="123">
        <v>0</v>
      </c>
      <c r="K1731" s="123">
        <v>0</v>
      </c>
      <c r="L1731" s="123">
        <v>0</v>
      </c>
      <c r="M1731">
        <v>0</v>
      </c>
      <c r="N1731">
        <v>0</v>
      </c>
      <c r="O1731">
        <v>0</v>
      </c>
      <c r="P1731" s="216">
        <v>80000</v>
      </c>
      <c r="Q1731" s="217" t="s">
        <v>46</v>
      </c>
      <c r="R1731" s="217" t="s">
        <v>62</v>
      </c>
      <c r="S1731" s="218">
        <v>0.40000132994290355</v>
      </c>
      <c r="T1731" t="s">
        <v>550</v>
      </c>
      <c r="U1731" t="s">
        <v>51</v>
      </c>
      <c r="V1731" s="219">
        <v>0</v>
      </c>
      <c r="W1731" s="219">
        <v>0</v>
      </c>
    </row>
    <row r="1732" spans="1:23" ht="15" customHeight="1" x14ac:dyDescent="0.25">
      <c r="A1732" t="s">
        <v>4219</v>
      </c>
      <c r="B1732" t="s">
        <v>546</v>
      </c>
      <c r="C1732">
        <v>80000</v>
      </c>
      <c r="D1732" t="s">
        <v>4217</v>
      </c>
      <c r="E1732" t="s">
        <v>278</v>
      </c>
      <c r="F1732" t="s">
        <v>548</v>
      </c>
      <c r="G1732" s="30">
        <v>46149</v>
      </c>
      <c r="H1732" t="s">
        <v>4218</v>
      </c>
      <c r="I1732">
        <v>1406075.4</v>
      </c>
      <c r="J1732" s="123">
        <v>0</v>
      </c>
      <c r="K1732" s="123">
        <v>0</v>
      </c>
      <c r="L1732" s="123">
        <v>0</v>
      </c>
      <c r="M1732">
        <v>0</v>
      </c>
      <c r="N1732">
        <v>0</v>
      </c>
      <c r="O1732">
        <v>0</v>
      </c>
      <c r="P1732" s="216">
        <v>80000</v>
      </c>
      <c r="Q1732" s="217" t="s">
        <v>39</v>
      </c>
      <c r="R1732" s="217" t="s">
        <v>62</v>
      </c>
      <c r="S1732" s="218">
        <v>0.40000132994290355</v>
      </c>
      <c r="T1732" t="s">
        <v>550</v>
      </c>
      <c r="U1732" t="s">
        <v>51</v>
      </c>
      <c r="V1732" s="219">
        <v>0</v>
      </c>
      <c r="W1732" s="219">
        <v>0</v>
      </c>
    </row>
    <row r="1733" spans="1:23" ht="15" customHeight="1" x14ac:dyDescent="0.25">
      <c r="A1733" t="s">
        <v>4220</v>
      </c>
      <c r="B1733" t="s">
        <v>546</v>
      </c>
      <c r="C1733">
        <v>80000</v>
      </c>
      <c r="D1733" t="s">
        <v>4217</v>
      </c>
      <c r="E1733" t="s">
        <v>183</v>
      </c>
      <c r="F1733" t="s">
        <v>548</v>
      </c>
      <c r="G1733" s="30">
        <v>46149</v>
      </c>
      <c r="H1733" t="s">
        <v>4218</v>
      </c>
      <c r="I1733">
        <v>1406075.4</v>
      </c>
      <c r="J1733" s="123">
        <v>0</v>
      </c>
      <c r="K1733" s="123">
        <v>0</v>
      </c>
      <c r="L1733" s="123">
        <v>0</v>
      </c>
      <c r="M1733">
        <v>0</v>
      </c>
      <c r="N1733">
        <v>0</v>
      </c>
      <c r="O1733">
        <v>0</v>
      </c>
      <c r="P1733" s="216">
        <v>80000</v>
      </c>
      <c r="Q1733" s="217" t="s">
        <v>33</v>
      </c>
      <c r="R1733" s="217" t="s">
        <v>62</v>
      </c>
      <c r="S1733" s="218">
        <v>0.40000132994290355</v>
      </c>
      <c r="T1733" t="s">
        <v>550</v>
      </c>
      <c r="U1733" t="s">
        <v>51</v>
      </c>
      <c r="V1733" s="219">
        <v>0</v>
      </c>
      <c r="W1733" s="219">
        <v>0</v>
      </c>
    </row>
    <row r="1734" spans="1:23" ht="15" customHeight="1" x14ac:dyDescent="0.25">
      <c r="A1734" t="s">
        <v>4221</v>
      </c>
      <c r="B1734" t="s">
        <v>546</v>
      </c>
      <c r="C1734">
        <v>115969.96</v>
      </c>
      <c r="D1734" t="s">
        <v>4222</v>
      </c>
      <c r="E1734" t="s">
        <v>553</v>
      </c>
      <c r="F1734" t="s">
        <v>554</v>
      </c>
      <c r="G1734" s="30">
        <v>46148</v>
      </c>
      <c r="H1734" t="s">
        <v>4223</v>
      </c>
      <c r="I1734">
        <v>1288610.3999999999</v>
      </c>
      <c r="J1734" s="123">
        <v>46148</v>
      </c>
      <c r="K1734" s="123">
        <v>0</v>
      </c>
      <c r="L1734" s="123">
        <v>46148</v>
      </c>
      <c r="M1734">
        <v>0</v>
      </c>
      <c r="N1734">
        <v>0</v>
      </c>
      <c r="O1734" t="s">
        <v>556</v>
      </c>
      <c r="P1734" s="216">
        <v>115969.96</v>
      </c>
      <c r="Q1734" s="217" t="s">
        <v>20</v>
      </c>
      <c r="R1734" s="217" t="s">
        <v>554</v>
      </c>
      <c r="S1734" s="218">
        <v>0.39999987583524083</v>
      </c>
      <c r="T1734" t="s">
        <v>550</v>
      </c>
      <c r="U1734" t="s">
        <v>51</v>
      </c>
      <c r="V1734" s="219" t="s">
        <v>6803</v>
      </c>
      <c r="W1734" s="219" t="s">
        <v>67</v>
      </c>
    </row>
    <row r="1735" spans="1:23" ht="15" customHeight="1" x14ac:dyDescent="0.25">
      <c r="A1735" t="s">
        <v>4224</v>
      </c>
      <c r="B1735" t="s">
        <v>546</v>
      </c>
      <c r="C1735">
        <v>127803</v>
      </c>
      <c r="D1735" t="s">
        <v>4225</v>
      </c>
      <c r="E1735" t="s">
        <v>173</v>
      </c>
      <c r="F1735" t="s">
        <v>548</v>
      </c>
      <c r="G1735" s="30">
        <v>46147</v>
      </c>
      <c r="H1735" t="s">
        <v>4226</v>
      </c>
      <c r="I1735">
        <v>1284343.2</v>
      </c>
      <c r="J1735" s="123">
        <v>0</v>
      </c>
      <c r="K1735" s="123">
        <v>0</v>
      </c>
      <c r="L1735" s="123">
        <v>0</v>
      </c>
      <c r="M1735">
        <v>0</v>
      </c>
      <c r="N1735">
        <v>0</v>
      </c>
      <c r="O1735">
        <v>0</v>
      </c>
      <c r="P1735" s="216">
        <v>127803</v>
      </c>
      <c r="Q1735" s="217" t="s">
        <v>27</v>
      </c>
      <c r="R1735" s="217" t="s">
        <v>62</v>
      </c>
      <c r="S1735" s="218">
        <v>0.30049173772244059</v>
      </c>
      <c r="T1735" t="s">
        <v>550</v>
      </c>
      <c r="U1735" t="s">
        <v>51</v>
      </c>
      <c r="V1735" s="219">
        <v>0</v>
      </c>
      <c r="W1735" s="219">
        <v>0</v>
      </c>
    </row>
    <row r="1736" spans="1:23" ht="15" customHeight="1" x14ac:dyDescent="0.25">
      <c r="A1736" t="s">
        <v>4227</v>
      </c>
      <c r="B1736" t="s">
        <v>575</v>
      </c>
      <c r="C1736">
        <v>10000</v>
      </c>
      <c r="D1736" t="s">
        <v>4228</v>
      </c>
      <c r="E1736" t="s">
        <v>173</v>
      </c>
      <c r="F1736" t="s">
        <v>585</v>
      </c>
      <c r="G1736" s="30">
        <v>46146</v>
      </c>
      <c r="H1736" t="s">
        <v>4229</v>
      </c>
      <c r="I1736">
        <v>1437554.7</v>
      </c>
      <c r="J1736" s="123">
        <v>0</v>
      </c>
      <c r="K1736" s="123">
        <v>0</v>
      </c>
      <c r="L1736" s="123">
        <v>46046</v>
      </c>
      <c r="M1736">
        <v>0</v>
      </c>
      <c r="N1736">
        <v>0</v>
      </c>
      <c r="O1736">
        <v>0</v>
      </c>
      <c r="P1736" s="216">
        <v>10000</v>
      </c>
      <c r="Q1736" s="217" t="s">
        <v>27</v>
      </c>
      <c r="R1736" s="217" t="s">
        <v>61</v>
      </c>
      <c r="S1736" s="218">
        <v>0.30437645955315651</v>
      </c>
      <c r="T1736" t="s">
        <v>550</v>
      </c>
      <c r="U1736" t="s">
        <v>51</v>
      </c>
      <c r="V1736" s="219">
        <v>0</v>
      </c>
      <c r="W1736" s="219">
        <v>0</v>
      </c>
    </row>
    <row r="1737" spans="1:23" ht="15" customHeight="1" x14ac:dyDescent="0.25">
      <c r="A1737" t="s">
        <v>4230</v>
      </c>
      <c r="B1737" t="s">
        <v>575</v>
      </c>
      <c r="C1737">
        <v>10000</v>
      </c>
      <c r="D1737" t="s">
        <v>4228</v>
      </c>
      <c r="E1737" t="s">
        <v>173</v>
      </c>
      <c r="F1737" t="s">
        <v>585</v>
      </c>
      <c r="G1737" s="30">
        <v>46146</v>
      </c>
      <c r="H1737" t="s">
        <v>4229</v>
      </c>
      <c r="I1737">
        <v>1437554.7</v>
      </c>
      <c r="J1737" s="123">
        <v>0</v>
      </c>
      <c r="K1737" s="123">
        <v>0</v>
      </c>
      <c r="L1737" s="123">
        <v>46051</v>
      </c>
      <c r="M1737">
        <v>0</v>
      </c>
      <c r="N1737">
        <v>0</v>
      </c>
      <c r="O1737">
        <v>0</v>
      </c>
      <c r="P1737" s="216">
        <v>10000</v>
      </c>
      <c r="Q1737" s="217" t="s">
        <v>27</v>
      </c>
      <c r="R1737" s="217" t="s">
        <v>61</v>
      </c>
      <c r="S1737" s="218">
        <v>0.30437645955315651</v>
      </c>
      <c r="T1737" t="s">
        <v>550</v>
      </c>
      <c r="U1737" t="s">
        <v>51</v>
      </c>
      <c r="V1737" s="219">
        <v>0</v>
      </c>
      <c r="W1737" s="219">
        <v>0</v>
      </c>
    </row>
    <row r="1738" spans="1:23" ht="15" customHeight="1" x14ac:dyDescent="0.25">
      <c r="A1738" t="s">
        <v>4231</v>
      </c>
      <c r="B1738" t="s">
        <v>575</v>
      </c>
      <c r="C1738">
        <v>10000</v>
      </c>
      <c r="D1738" t="s">
        <v>4228</v>
      </c>
      <c r="E1738" t="s">
        <v>173</v>
      </c>
      <c r="F1738" t="s">
        <v>585</v>
      </c>
      <c r="G1738" s="30">
        <v>46146</v>
      </c>
      <c r="H1738" t="s">
        <v>4229</v>
      </c>
      <c r="I1738">
        <v>1437554.7</v>
      </c>
      <c r="J1738" s="123">
        <v>0</v>
      </c>
      <c r="K1738" s="123">
        <v>0</v>
      </c>
      <c r="L1738" s="123">
        <v>46044</v>
      </c>
      <c r="M1738">
        <v>0</v>
      </c>
      <c r="N1738">
        <v>0</v>
      </c>
      <c r="O1738">
        <v>0</v>
      </c>
      <c r="P1738" s="216">
        <v>10000</v>
      </c>
      <c r="Q1738" s="217" t="s">
        <v>27</v>
      </c>
      <c r="R1738" s="217" t="s">
        <v>61</v>
      </c>
      <c r="S1738" s="218">
        <v>0.30437645955315651</v>
      </c>
      <c r="T1738" t="s">
        <v>550</v>
      </c>
      <c r="U1738" t="s">
        <v>51</v>
      </c>
      <c r="V1738" s="219">
        <v>0</v>
      </c>
      <c r="W1738" s="219">
        <v>0</v>
      </c>
    </row>
    <row r="1739" spans="1:23" ht="15" customHeight="1" x14ac:dyDescent="0.25">
      <c r="A1739" t="s">
        <v>4232</v>
      </c>
      <c r="B1739" t="s">
        <v>575</v>
      </c>
      <c r="C1739">
        <v>10000</v>
      </c>
      <c r="D1739" t="s">
        <v>4228</v>
      </c>
      <c r="E1739" t="s">
        <v>173</v>
      </c>
      <c r="F1739" t="s">
        <v>585</v>
      </c>
      <c r="G1739" s="30">
        <v>46146</v>
      </c>
      <c r="H1739" t="s">
        <v>4229</v>
      </c>
      <c r="I1739">
        <v>1437554.7</v>
      </c>
      <c r="J1739" s="123">
        <v>0</v>
      </c>
      <c r="K1739" s="123">
        <v>0</v>
      </c>
      <c r="L1739" s="123">
        <v>46056</v>
      </c>
      <c r="M1739">
        <v>0</v>
      </c>
      <c r="N1739">
        <v>0</v>
      </c>
      <c r="O1739">
        <v>0</v>
      </c>
      <c r="P1739" s="216">
        <v>10000</v>
      </c>
      <c r="Q1739" s="217" t="s">
        <v>27</v>
      </c>
      <c r="R1739" s="217" t="s">
        <v>61</v>
      </c>
      <c r="S1739" s="218">
        <v>0.30437645955315651</v>
      </c>
      <c r="T1739" t="s">
        <v>550</v>
      </c>
      <c r="U1739" t="s">
        <v>51</v>
      </c>
      <c r="V1739" s="219">
        <v>0</v>
      </c>
      <c r="W1739" s="219">
        <v>0</v>
      </c>
    </row>
    <row r="1740" spans="1:23" ht="15" customHeight="1" x14ac:dyDescent="0.25">
      <c r="A1740" t="s">
        <v>4233</v>
      </c>
      <c r="B1740" t="s">
        <v>575</v>
      </c>
      <c r="C1740">
        <v>10000</v>
      </c>
      <c r="D1740" t="s">
        <v>4228</v>
      </c>
      <c r="E1740" t="s">
        <v>173</v>
      </c>
      <c r="F1740" t="s">
        <v>585</v>
      </c>
      <c r="G1740" s="30">
        <v>46146</v>
      </c>
      <c r="H1740" t="s">
        <v>4229</v>
      </c>
      <c r="I1740">
        <v>1437554.7</v>
      </c>
      <c r="J1740" s="123">
        <v>0</v>
      </c>
      <c r="K1740" s="123">
        <v>0</v>
      </c>
      <c r="L1740" s="123">
        <v>46050</v>
      </c>
      <c r="M1740">
        <v>0</v>
      </c>
      <c r="N1740">
        <v>0</v>
      </c>
      <c r="O1740">
        <v>0</v>
      </c>
      <c r="P1740" s="216">
        <v>10000</v>
      </c>
      <c r="Q1740" s="217" t="s">
        <v>27</v>
      </c>
      <c r="R1740" s="217" t="s">
        <v>61</v>
      </c>
      <c r="S1740" s="218">
        <v>0.30437645955315651</v>
      </c>
      <c r="T1740" t="s">
        <v>550</v>
      </c>
      <c r="U1740" t="s">
        <v>51</v>
      </c>
      <c r="V1740" s="219">
        <v>0</v>
      </c>
      <c r="W1740" s="219">
        <v>0</v>
      </c>
    </row>
    <row r="1741" spans="1:23" ht="15" customHeight="1" x14ac:dyDescent="0.25">
      <c r="A1741" t="s">
        <v>4234</v>
      </c>
      <c r="B1741" t="s">
        <v>575</v>
      </c>
      <c r="C1741">
        <v>10000</v>
      </c>
      <c r="D1741" t="s">
        <v>4228</v>
      </c>
      <c r="E1741" t="s">
        <v>173</v>
      </c>
      <c r="F1741" t="s">
        <v>585</v>
      </c>
      <c r="G1741" s="30">
        <v>46146</v>
      </c>
      <c r="H1741" t="s">
        <v>4229</v>
      </c>
      <c r="I1741">
        <v>1437554.7</v>
      </c>
      <c r="J1741" s="123">
        <v>0</v>
      </c>
      <c r="K1741" s="123">
        <v>0</v>
      </c>
      <c r="L1741" s="123">
        <v>46052</v>
      </c>
      <c r="M1741">
        <v>0</v>
      </c>
      <c r="N1741">
        <v>0</v>
      </c>
      <c r="O1741">
        <v>0</v>
      </c>
      <c r="P1741" s="216">
        <v>10000</v>
      </c>
      <c r="Q1741" s="217" t="s">
        <v>27</v>
      </c>
      <c r="R1741" s="217" t="s">
        <v>61</v>
      </c>
      <c r="S1741" s="218">
        <v>0.30437645955315651</v>
      </c>
      <c r="T1741" t="s">
        <v>550</v>
      </c>
      <c r="U1741" t="s">
        <v>51</v>
      </c>
      <c r="V1741" s="219">
        <v>0</v>
      </c>
      <c r="W1741" s="219">
        <v>0</v>
      </c>
    </row>
    <row r="1742" spans="1:23" ht="15" customHeight="1" x14ac:dyDescent="0.25">
      <c r="A1742" t="s">
        <v>4235</v>
      </c>
      <c r="B1742" t="s">
        <v>575</v>
      </c>
      <c r="C1742">
        <v>10000</v>
      </c>
      <c r="D1742" t="s">
        <v>4228</v>
      </c>
      <c r="E1742" t="s">
        <v>173</v>
      </c>
      <c r="F1742" t="s">
        <v>585</v>
      </c>
      <c r="G1742" s="30">
        <v>46146</v>
      </c>
      <c r="H1742" t="s">
        <v>4229</v>
      </c>
      <c r="I1742">
        <v>1437554.7</v>
      </c>
      <c r="J1742" s="123">
        <v>0</v>
      </c>
      <c r="K1742" s="123">
        <v>0</v>
      </c>
      <c r="L1742" s="123">
        <v>46054</v>
      </c>
      <c r="M1742">
        <v>0</v>
      </c>
      <c r="N1742">
        <v>0</v>
      </c>
      <c r="O1742">
        <v>0</v>
      </c>
      <c r="P1742" s="216">
        <v>10000</v>
      </c>
      <c r="Q1742" s="217" t="s">
        <v>27</v>
      </c>
      <c r="R1742" s="217" t="s">
        <v>61</v>
      </c>
      <c r="S1742" s="218">
        <v>0.30437645955315651</v>
      </c>
      <c r="T1742" t="s">
        <v>550</v>
      </c>
      <c r="U1742" t="s">
        <v>51</v>
      </c>
      <c r="V1742" s="219">
        <v>0</v>
      </c>
      <c r="W1742" s="219">
        <v>0</v>
      </c>
    </row>
    <row r="1743" spans="1:23" ht="15" customHeight="1" x14ac:dyDescent="0.25">
      <c r="A1743" t="s">
        <v>4236</v>
      </c>
      <c r="B1743" t="s">
        <v>575</v>
      </c>
      <c r="C1743">
        <v>10000</v>
      </c>
      <c r="D1743" t="s">
        <v>4228</v>
      </c>
      <c r="E1743" t="s">
        <v>173</v>
      </c>
      <c r="F1743" t="s">
        <v>585</v>
      </c>
      <c r="G1743" s="30">
        <v>46146</v>
      </c>
      <c r="H1743" t="s">
        <v>4229</v>
      </c>
      <c r="I1743">
        <v>1437554.7</v>
      </c>
      <c r="J1743" s="123">
        <v>0</v>
      </c>
      <c r="K1743" s="123">
        <v>0</v>
      </c>
      <c r="L1743" s="123">
        <v>46073</v>
      </c>
      <c r="M1743">
        <v>0</v>
      </c>
      <c r="N1743">
        <v>0</v>
      </c>
      <c r="O1743">
        <v>0</v>
      </c>
      <c r="P1743" s="216">
        <v>10000</v>
      </c>
      <c r="Q1743" s="217" t="s">
        <v>27</v>
      </c>
      <c r="R1743" s="217" t="s">
        <v>61</v>
      </c>
      <c r="S1743" s="218">
        <v>0.30437645955315651</v>
      </c>
      <c r="T1743" t="s">
        <v>550</v>
      </c>
      <c r="U1743" t="s">
        <v>51</v>
      </c>
      <c r="V1743" s="219">
        <v>0</v>
      </c>
      <c r="W1743" s="219">
        <v>0</v>
      </c>
    </row>
    <row r="1744" spans="1:23" ht="15" customHeight="1" x14ac:dyDescent="0.25">
      <c r="A1744" t="s">
        <v>4237</v>
      </c>
      <c r="B1744" t="s">
        <v>575</v>
      </c>
      <c r="C1744">
        <v>10000</v>
      </c>
      <c r="D1744" t="s">
        <v>4228</v>
      </c>
      <c r="E1744" t="s">
        <v>173</v>
      </c>
      <c r="F1744" t="s">
        <v>585</v>
      </c>
      <c r="G1744" s="30">
        <v>46146</v>
      </c>
      <c r="H1744" t="s">
        <v>4229</v>
      </c>
      <c r="I1744">
        <v>1437554.7</v>
      </c>
      <c r="J1744" s="123">
        <v>0</v>
      </c>
      <c r="K1744" s="123">
        <v>0</v>
      </c>
      <c r="L1744" s="123">
        <v>46048</v>
      </c>
      <c r="M1744">
        <v>0</v>
      </c>
      <c r="N1744">
        <v>0</v>
      </c>
      <c r="O1744">
        <v>0</v>
      </c>
      <c r="P1744" s="216">
        <v>10000</v>
      </c>
      <c r="Q1744" s="217" t="s">
        <v>27</v>
      </c>
      <c r="R1744" s="217" t="s">
        <v>61</v>
      </c>
      <c r="S1744" s="218">
        <v>0.30437645955315651</v>
      </c>
      <c r="T1744" t="s">
        <v>550</v>
      </c>
      <c r="U1744" t="s">
        <v>51</v>
      </c>
      <c r="V1744" s="219">
        <v>0</v>
      </c>
      <c r="W1744" s="219">
        <v>0</v>
      </c>
    </row>
    <row r="1745" spans="1:23" ht="15" customHeight="1" x14ac:dyDescent="0.25">
      <c r="A1745" t="s">
        <v>4238</v>
      </c>
      <c r="B1745" t="s">
        <v>575</v>
      </c>
      <c r="C1745">
        <v>10000</v>
      </c>
      <c r="D1745" t="s">
        <v>4228</v>
      </c>
      <c r="E1745" t="s">
        <v>173</v>
      </c>
      <c r="F1745" t="s">
        <v>585</v>
      </c>
      <c r="G1745" s="30">
        <v>46146</v>
      </c>
      <c r="H1745" t="s">
        <v>4229</v>
      </c>
      <c r="I1745">
        <v>1437554.7</v>
      </c>
      <c r="J1745" s="123">
        <v>0</v>
      </c>
      <c r="K1745" s="123">
        <v>0</v>
      </c>
      <c r="L1745" s="123">
        <v>46064</v>
      </c>
      <c r="M1745">
        <v>0</v>
      </c>
      <c r="N1745">
        <v>0</v>
      </c>
      <c r="O1745">
        <v>0</v>
      </c>
      <c r="P1745" s="216">
        <v>10000</v>
      </c>
      <c r="Q1745" s="217" t="s">
        <v>27</v>
      </c>
      <c r="R1745" s="217" t="s">
        <v>61</v>
      </c>
      <c r="S1745" s="218">
        <v>0.30437645955315651</v>
      </c>
      <c r="T1745" t="s">
        <v>550</v>
      </c>
      <c r="U1745" t="s">
        <v>51</v>
      </c>
      <c r="V1745" s="219">
        <v>0</v>
      </c>
      <c r="W1745" s="219">
        <v>0</v>
      </c>
    </row>
    <row r="1746" spans="1:23" ht="15" customHeight="1" x14ac:dyDescent="0.25">
      <c r="A1746" t="s">
        <v>4239</v>
      </c>
      <c r="B1746" t="s">
        <v>575</v>
      </c>
      <c r="C1746">
        <v>10000</v>
      </c>
      <c r="D1746" t="s">
        <v>4228</v>
      </c>
      <c r="E1746" t="s">
        <v>173</v>
      </c>
      <c r="F1746" t="s">
        <v>585</v>
      </c>
      <c r="G1746" s="30">
        <v>46146</v>
      </c>
      <c r="H1746" t="s">
        <v>4229</v>
      </c>
      <c r="I1746">
        <v>1437554.7</v>
      </c>
      <c r="J1746" s="123">
        <v>0</v>
      </c>
      <c r="K1746" s="123">
        <v>0</v>
      </c>
      <c r="L1746" s="123">
        <v>46050</v>
      </c>
      <c r="M1746">
        <v>0</v>
      </c>
      <c r="N1746">
        <v>0</v>
      </c>
      <c r="O1746">
        <v>0</v>
      </c>
      <c r="P1746" s="216">
        <v>10000</v>
      </c>
      <c r="Q1746" s="217" t="s">
        <v>27</v>
      </c>
      <c r="R1746" s="217" t="s">
        <v>61</v>
      </c>
      <c r="S1746" s="218">
        <v>0.30437645955315651</v>
      </c>
      <c r="T1746" t="s">
        <v>550</v>
      </c>
      <c r="U1746" t="s">
        <v>51</v>
      </c>
      <c r="V1746" s="219">
        <v>0</v>
      </c>
      <c r="W1746" s="219">
        <v>0</v>
      </c>
    </row>
    <row r="1747" spans="1:23" ht="15" customHeight="1" x14ac:dyDescent="0.25">
      <c r="A1747" t="s">
        <v>4240</v>
      </c>
      <c r="B1747" t="s">
        <v>575</v>
      </c>
      <c r="C1747">
        <v>10000</v>
      </c>
      <c r="D1747" t="s">
        <v>4228</v>
      </c>
      <c r="E1747" t="s">
        <v>173</v>
      </c>
      <c r="F1747" t="s">
        <v>585</v>
      </c>
      <c r="G1747" s="30">
        <v>46146</v>
      </c>
      <c r="H1747" t="s">
        <v>4229</v>
      </c>
      <c r="I1747">
        <v>1437554.7</v>
      </c>
      <c r="J1747" s="123">
        <v>0</v>
      </c>
      <c r="K1747" s="123">
        <v>0</v>
      </c>
      <c r="L1747" s="123">
        <v>46049</v>
      </c>
      <c r="M1747">
        <v>0</v>
      </c>
      <c r="N1747">
        <v>0</v>
      </c>
      <c r="O1747">
        <v>0</v>
      </c>
      <c r="P1747" s="216">
        <v>10000</v>
      </c>
      <c r="Q1747" s="217" t="s">
        <v>27</v>
      </c>
      <c r="R1747" s="217" t="s">
        <v>61</v>
      </c>
      <c r="S1747" s="218">
        <v>0.30437645955315651</v>
      </c>
      <c r="T1747" t="s">
        <v>550</v>
      </c>
      <c r="U1747" t="s">
        <v>51</v>
      </c>
      <c r="V1747" s="219">
        <v>0</v>
      </c>
      <c r="W1747" s="219">
        <v>0</v>
      </c>
    </row>
    <row r="1748" spans="1:23" ht="15" customHeight="1" x14ac:dyDescent="0.25">
      <c r="A1748" t="s">
        <v>4241</v>
      </c>
      <c r="B1748" t="s">
        <v>595</v>
      </c>
      <c r="C1748">
        <v>134949.18</v>
      </c>
      <c r="D1748" t="s">
        <v>4242</v>
      </c>
      <c r="E1748" t="s">
        <v>238</v>
      </c>
      <c r="F1748" t="s">
        <v>585</v>
      </c>
      <c r="G1748" s="30">
        <v>46145</v>
      </c>
      <c r="H1748" t="s">
        <v>4243</v>
      </c>
      <c r="I1748">
        <v>1347860</v>
      </c>
      <c r="J1748" s="123">
        <v>0</v>
      </c>
      <c r="K1748" s="123">
        <v>0</v>
      </c>
      <c r="L1748" s="123">
        <v>46141</v>
      </c>
      <c r="M1748">
        <v>0</v>
      </c>
      <c r="N1748">
        <v>0</v>
      </c>
      <c r="O1748">
        <v>0</v>
      </c>
      <c r="P1748" s="216">
        <v>134949.18</v>
      </c>
      <c r="Q1748" s="217" t="s">
        <v>19</v>
      </c>
      <c r="R1748" s="217" t="s">
        <v>61</v>
      </c>
      <c r="S1748" s="218">
        <v>0.20014963720267684</v>
      </c>
      <c r="T1748" t="s">
        <v>550</v>
      </c>
      <c r="U1748" t="s">
        <v>51</v>
      </c>
      <c r="V1748" s="219">
        <v>0</v>
      </c>
      <c r="W1748" s="219">
        <v>0</v>
      </c>
    </row>
    <row r="1749" spans="1:23" ht="15" customHeight="1" x14ac:dyDescent="0.25">
      <c r="A1749" t="s">
        <v>4244</v>
      </c>
      <c r="B1749" t="s">
        <v>595</v>
      </c>
      <c r="C1749">
        <v>134949.18</v>
      </c>
      <c r="D1749" t="s">
        <v>4242</v>
      </c>
      <c r="E1749" t="s">
        <v>188</v>
      </c>
      <c r="F1749" t="s">
        <v>580</v>
      </c>
      <c r="G1749" s="30">
        <v>46146</v>
      </c>
      <c r="H1749" t="s">
        <v>4243</v>
      </c>
      <c r="I1749">
        <v>1347860</v>
      </c>
      <c r="J1749" s="123">
        <v>46147</v>
      </c>
      <c r="K1749" s="123">
        <v>0</v>
      </c>
      <c r="L1749" s="123">
        <v>46147</v>
      </c>
      <c r="M1749">
        <v>0</v>
      </c>
      <c r="N1749">
        <v>0</v>
      </c>
      <c r="O1749">
        <v>0</v>
      </c>
      <c r="P1749" s="216">
        <v>134949.18</v>
      </c>
      <c r="Q1749" s="217" t="s">
        <v>17</v>
      </c>
      <c r="R1749" s="217" t="s">
        <v>582</v>
      </c>
      <c r="S1749" s="218">
        <v>0.20014963720267684</v>
      </c>
      <c r="T1749" t="s">
        <v>550</v>
      </c>
      <c r="U1749" t="s">
        <v>51</v>
      </c>
      <c r="V1749" s="219">
        <v>0</v>
      </c>
      <c r="W1749" s="219">
        <v>0</v>
      </c>
    </row>
    <row r="1750" spans="1:23" ht="15" customHeight="1" x14ac:dyDescent="0.25">
      <c r="A1750" t="s">
        <v>4245</v>
      </c>
      <c r="B1750" t="s">
        <v>546</v>
      </c>
      <c r="C1750">
        <v>18000</v>
      </c>
      <c r="D1750" t="s">
        <v>4246</v>
      </c>
      <c r="E1750" t="s">
        <v>4247</v>
      </c>
      <c r="F1750" t="s">
        <v>548</v>
      </c>
      <c r="G1750" s="30">
        <v>46147</v>
      </c>
      <c r="H1750" t="s">
        <v>4248</v>
      </c>
      <c r="I1750">
        <v>1089520</v>
      </c>
      <c r="J1750" s="123">
        <v>0</v>
      </c>
      <c r="K1750" s="123">
        <v>0</v>
      </c>
      <c r="L1750" s="123">
        <v>0</v>
      </c>
      <c r="M1750">
        <v>0</v>
      </c>
      <c r="N1750">
        <v>0</v>
      </c>
      <c r="O1750">
        <v>0</v>
      </c>
      <c r="P1750" s="216">
        <v>18000</v>
      </c>
      <c r="Q1750" s="217" t="s">
        <v>17</v>
      </c>
      <c r="R1750" s="217" t="s">
        <v>62</v>
      </c>
      <c r="S1750" s="218">
        <v>0.20144008370658639</v>
      </c>
      <c r="T1750" t="s">
        <v>550</v>
      </c>
      <c r="U1750" t="s">
        <v>51</v>
      </c>
      <c r="V1750" s="219">
        <v>0</v>
      </c>
      <c r="W1750" s="219">
        <v>0</v>
      </c>
    </row>
    <row r="1751" spans="1:23" ht="15" customHeight="1" x14ac:dyDescent="0.25">
      <c r="A1751" t="s">
        <v>4249</v>
      </c>
      <c r="B1751" t="s">
        <v>546</v>
      </c>
      <c r="C1751">
        <v>30000</v>
      </c>
      <c r="D1751" t="s">
        <v>4246</v>
      </c>
      <c r="E1751" t="s">
        <v>4247</v>
      </c>
      <c r="F1751" t="s">
        <v>554</v>
      </c>
      <c r="G1751" s="30">
        <v>46148</v>
      </c>
      <c r="H1751" t="s">
        <v>4248</v>
      </c>
      <c r="I1751">
        <v>1089520</v>
      </c>
      <c r="J1751" s="123">
        <v>0</v>
      </c>
      <c r="K1751" s="123">
        <v>0</v>
      </c>
      <c r="L1751" s="123">
        <v>0</v>
      </c>
      <c r="M1751">
        <v>0</v>
      </c>
      <c r="N1751">
        <v>0</v>
      </c>
      <c r="O1751">
        <v>0</v>
      </c>
      <c r="P1751" s="216">
        <v>30000</v>
      </c>
      <c r="Q1751" s="217" t="s">
        <v>17</v>
      </c>
      <c r="R1751" s="217" t="s">
        <v>554</v>
      </c>
      <c r="S1751" s="218">
        <v>0.20144008370658639</v>
      </c>
      <c r="T1751" t="s">
        <v>550</v>
      </c>
      <c r="U1751" t="s">
        <v>51</v>
      </c>
      <c r="V1751" s="219" t="s">
        <v>6804</v>
      </c>
      <c r="W1751" s="219" t="s">
        <v>67</v>
      </c>
    </row>
    <row r="1752" spans="1:23" ht="15" customHeight="1" x14ac:dyDescent="0.25">
      <c r="A1752" t="s">
        <v>4250</v>
      </c>
      <c r="B1752" t="s">
        <v>546</v>
      </c>
      <c r="C1752">
        <v>3000</v>
      </c>
      <c r="D1752" t="s">
        <v>4246</v>
      </c>
      <c r="E1752" t="s">
        <v>4247</v>
      </c>
      <c r="F1752" t="s">
        <v>554</v>
      </c>
      <c r="G1752" s="30">
        <v>46148</v>
      </c>
      <c r="H1752" t="s">
        <v>4248</v>
      </c>
      <c r="I1752">
        <v>1089520</v>
      </c>
      <c r="J1752" s="123">
        <v>0</v>
      </c>
      <c r="K1752" s="123">
        <v>0</v>
      </c>
      <c r="L1752" s="123">
        <v>0</v>
      </c>
      <c r="M1752">
        <v>0</v>
      </c>
      <c r="N1752">
        <v>0</v>
      </c>
      <c r="O1752">
        <v>0</v>
      </c>
      <c r="P1752" s="216">
        <v>3000</v>
      </c>
      <c r="Q1752" s="217" t="s">
        <v>17</v>
      </c>
      <c r="R1752" s="217" t="s">
        <v>554</v>
      </c>
      <c r="S1752" s="218">
        <v>0.20144008370658639</v>
      </c>
      <c r="T1752" t="s">
        <v>550</v>
      </c>
      <c r="U1752" t="s">
        <v>51</v>
      </c>
      <c r="V1752" s="219" t="s">
        <v>6805</v>
      </c>
      <c r="W1752" s="219" t="s">
        <v>67</v>
      </c>
    </row>
    <row r="1753" spans="1:23" ht="15" customHeight="1" x14ac:dyDescent="0.25">
      <c r="A1753" t="s">
        <v>4251</v>
      </c>
      <c r="B1753" t="s">
        <v>546</v>
      </c>
      <c r="C1753">
        <v>46270.7</v>
      </c>
      <c r="D1753" t="s">
        <v>4252</v>
      </c>
      <c r="E1753" t="s">
        <v>553</v>
      </c>
      <c r="F1753" t="s">
        <v>554</v>
      </c>
      <c r="G1753" s="30">
        <v>46147</v>
      </c>
      <c r="H1753" t="s">
        <v>4253</v>
      </c>
      <c r="I1753">
        <v>1062711</v>
      </c>
      <c r="J1753" s="123">
        <v>46147</v>
      </c>
      <c r="K1753" s="123">
        <v>0</v>
      </c>
      <c r="L1753" s="123">
        <v>46147</v>
      </c>
      <c r="M1753">
        <v>0</v>
      </c>
      <c r="N1753">
        <v>0</v>
      </c>
      <c r="O1753" t="s">
        <v>556</v>
      </c>
      <c r="P1753" s="216">
        <v>46270.7</v>
      </c>
      <c r="Q1753" s="217" t="s">
        <v>17</v>
      </c>
      <c r="R1753" s="217" t="s">
        <v>554</v>
      </c>
      <c r="S1753" s="218">
        <v>0.39999962360415953</v>
      </c>
      <c r="T1753" t="s">
        <v>550</v>
      </c>
      <c r="U1753" t="s">
        <v>51</v>
      </c>
      <c r="V1753" s="219" t="s">
        <v>6806</v>
      </c>
      <c r="W1753" s="219" t="s">
        <v>67</v>
      </c>
    </row>
    <row r="1754" spans="1:23" ht="15" customHeight="1" x14ac:dyDescent="0.25">
      <c r="A1754" t="s">
        <v>4254</v>
      </c>
      <c r="B1754" t="s">
        <v>546</v>
      </c>
      <c r="C1754">
        <v>60000</v>
      </c>
      <c r="D1754" t="s">
        <v>4252</v>
      </c>
      <c r="E1754" t="s">
        <v>553</v>
      </c>
      <c r="F1754" t="s">
        <v>554</v>
      </c>
      <c r="G1754" s="30">
        <v>46147</v>
      </c>
      <c r="H1754" t="s">
        <v>4253</v>
      </c>
      <c r="I1754">
        <v>1062711</v>
      </c>
      <c r="J1754" s="123">
        <v>46147</v>
      </c>
      <c r="K1754" s="123">
        <v>0</v>
      </c>
      <c r="L1754" s="123">
        <v>46147</v>
      </c>
      <c r="M1754">
        <v>0</v>
      </c>
      <c r="N1754">
        <v>0</v>
      </c>
      <c r="O1754" t="s">
        <v>556</v>
      </c>
      <c r="P1754" s="216">
        <v>60000</v>
      </c>
      <c r="Q1754" s="217" t="s">
        <v>17</v>
      </c>
      <c r="R1754" s="217" t="s">
        <v>554</v>
      </c>
      <c r="S1754" s="218">
        <v>0.39999962360415953</v>
      </c>
      <c r="T1754" t="s">
        <v>550</v>
      </c>
      <c r="U1754" t="s">
        <v>51</v>
      </c>
      <c r="V1754" s="219" t="s">
        <v>6807</v>
      </c>
      <c r="W1754" s="219" t="s">
        <v>67</v>
      </c>
    </row>
    <row r="1755" spans="1:23" ht="15" customHeight="1" x14ac:dyDescent="0.25">
      <c r="A1755" t="s">
        <v>4255</v>
      </c>
      <c r="B1755" t="s">
        <v>595</v>
      </c>
      <c r="C1755">
        <v>136080</v>
      </c>
      <c r="D1755" t="s">
        <v>4256</v>
      </c>
      <c r="E1755" t="s">
        <v>1700</v>
      </c>
      <c r="F1755" t="s">
        <v>580</v>
      </c>
      <c r="G1755" s="30">
        <v>46148</v>
      </c>
      <c r="H1755" t="s">
        <v>4257</v>
      </c>
      <c r="I1755">
        <v>1360789.95</v>
      </c>
      <c r="J1755" s="123">
        <v>0</v>
      </c>
      <c r="K1755" s="123">
        <v>0</v>
      </c>
      <c r="L1755" s="123">
        <v>46149</v>
      </c>
      <c r="M1755">
        <v>0</v>
      </c>
      <c r="N1755">
        <v>0</v>
      </c>
      <c r="O1755">
        <v>0</v>
      </c>
      <c r="P1755" s="216">
        <v>136080</v>
      </c>
      <c r="Q1755" s="217" t="s">
        <v>47</v>
      </c>
      <c r="R1755" s="217" t="s">
        <v>582</v>
      </c>
      <c r="S1755" s="218">
        <v>0.30000074589028236</v>
      </c>
      <c r="T1755" t="s">
        <v>550</v>
      </c>
      <c r="U1755" t="s">
        <v>51</v>
      </c>
      <c r="V1755" s="219">
        <v>0</v>
      </c>
      <c r="W1755" s="219">
        <v>0</v>
      </c>
    </row>
    <row r="1756" spans="1:23" ht="15" customHeight="1" x14ac:dyDescent="0.25">
      <c r="A1756" t="s">
        <v>4258</v>
      </c>
      <c r="B1756" t="s">
        <v>595</v>
      </c>
      <c r="C1756">
        <v>57107.9</v>
      </c>
      <c r="D1756" t="s">
        <v>4259</v>
      </c>
      <c r="E1756" t="s">
        <v>223</v>
      </c>
      <c r="F1756" t="s">
        <v>554</v>
      </c>
      <c r="G1756" s="30">
        <v>46143</v>
      </c>
      <c r="H1756" t="s">
        <v>4260</v>
      </c>
      <c r="I1756">
        <v>1106086.1000000001</v>
      </c>
      <c r="J1756" s="123">
        <v>0</v>
      </c>
      <c r="K1756" s="123">
        <v>0</v>
      </c>
      <c r="L1756" s="123">
        <v>46142</v>
      </c>
      <c r="M1756">
        <v>0</v>
      </c>
      <c r="N1756">
        <v>0</v>
      </c>
      <c r="O1756">
        <v>0</v>
      </c>
      <c r="P1756" s="216">
        <v>57107.9</v>
      </c>
      <c r="Q1756" s="217" t="s">
        <v>31</v>
      </c>
      <c r="R1756" s="217" t="s">
        <v>554</v>
      </c>
      <c r="S1756" s="218">
        <v>0.25157819992494257</v>
      </c>
      <c r="T1756" t="s">
        <v>550</v>
      </c>
      <c r="U1756" t="s">
        <v>51</v>
      </c>
      <c r="V1756" s="219" t="s">
        <v>6808</v>
      </c>
      <c r="W1756" s="219" t="s">
        <v>67</v>
      </c>
    </row>
    <row r="1757" spans="1:23" ht="15" customHeight="1" x14ac:dyDescent="0.25">
      <c r="A1757" t="s">
        <v>4261</v>
      </c>
      <c r="B1757" t="s">
        <v>595</v>
      </c>
      <c r="C1757">
        <v>53503</v>
      </c>
      <c r="D1757" t="s">
        <v>4259</v>
      </c>
      <c r="E1757" t="s">
        <v>188</v>
      </c>
      <c r="F1757" t="s">
        <v>580</v>
      </c>
      <c r="G1757" s="30">
        <v>46149</v>
      </c>
      <c r="H1757" t="s">
        <v>4260</v>
      </c>
      <c r="I1757">
        <v>1106086.1000000001</v>
      </c>
      <c r="J1757" s="123">
        <v>0</v>
      </c>
      <c r="K1757" s="123">
        <v>0</v>
      </c>
      <c r="L1757" s="123">
        <v>46147</v>
      </c>
      <c r="M1757">
        <v>0</v>
      </c>
      <c r="N1757">
        <v>0</v>
      </c>
      <c r="O1757">
        <v>0</v>
      </c>
      <c r="P1757" s="216">
        <v>53503</v>
      </c>
      <c r="Q1757" s="217" t="s">
        <v>17</v>
      </c>
      <c r="R1757" s="217" t="s">
        <v>582</v>
      </c>
      <c r="S1757" s="218">
        <v>0.25157819992494257</v>
      </c>
      <c r="T1757" t="s">
        <v>550</v>
      </c>
      <c r="U1757" t="s">
        <v>51</v>
      </c>
      <c r="V1757" s="219">
        <v>0</v>
      </c>
      <c r="W1757" s="219">
        <v>0</v>
      </c>
    </row>
    <row r="1758" spans="1:23" ht="15" customHeight="1" x14ac:dyDescent="0.25">
      <c r="A1758" t="s">
        <v>4262</v>
      </c>
      <c r="B1758" t="s">
        <v>546</v>
      </c>
      <c r="C1758">
        <v>108546.4</v>
      </c>
      <c r="D1758" t="s">
        <v>4263</v>
      </c>
      <c r="E1758" t="s">
        <v>553</v>
      </c>
      <c r="F1758" t="s">
        <v>548</v>
      </c>
      <c r="G1758" s="30">
        <v>46143</v>
      </c>
      <c r="H1758" t="s">
        <v>4264</v>
      </c>
      <c r="I1758">
        <v>1085455.8</v>
      </c>
      <c r="J1758" s="123">
        <v>46143</v>
      </c>
      <c r="K1758" s="123">
        <v>0</v>
      </c>
      <c r="L1758" s="123">
        <v>46143</v>
      </c>
      <c r="M1758">
        <v>0</v>
      </c>
      <c r="N1758">
        <v>0</v>
      </c>
      <c r="O1758" t="s">
        <v>556</v>
      </c>
      <c r="P1758" s="216">
        <v>108546.4</v>
      </c>
      <c r="Q1758" s="217" t="s">
        <v>17</v>
      </c>
      <c r="R1758" s="217" t="s">
        <v>62</v>
      </c>
      <c r="S1758" s="218">
        <v>0.2999998710219246</v>
      </c>
      <c r="T1758" t="s">
        <v>550</v>
      </c>
      <c r="U1758" t="s">
        <v>51</v>
      </c>
      <c r="V1758" s="219">
        <v>0</v>
      </c>
      <c r="W1758" s="219">
        <v>0</v>
      </c>
    </row>
    <row r="1759" spans="1:23" ht="15" customHeight="1" x14ac:dyDescent="0.25">
      <c r="A1759" t="s">
        <v>4265</v>
      </c>
      <c r="B1759" t="s">
        <v>546</v>
      </c>
      <c r="C1759">
        <v>108546.4</v>
      </c>
      <c r="D1759" t="s">
        <v>4263</v>
      </c>
      <c r="E1759" t="s">
        <v>553</v>
      </c>
      <c r="F1759" t="s">
        <v>548</v>
      </c>
      <c r="G1759" s="30">
        <v>46143</v>
      </c>
      <c r="H1759" t="s">
        <v>4264</v>
      </c>
      <c r="I1759">
        <v>1085455.8</v>
      </c>
      <c r="J1759" s="123">
        <v>46143</v>
      </c>
      <c r="K1759" s="123">
        <v>0</v>
      </c>
      <c r="L1759" s="123">
        <v>46143</v>
      </c>
      <c r="M1759">
        <v>0</v>
      </c>
      <c r="N1759">
        <v>0</v>
      </c>
      <c r="O1759" t="s">
        <v>556</v>
      </c>
      <c r="P1759" s="216">
        <v>108546.4</v>
      </c>
      <c r="Q1759" s="217" t="s">
        <v>17</v>
      </c>
      <c r="R1759" s="217" t="s">
        <v>62</v>
      </c>
      <c r="S1759" s="218">
        <v>0.2999998710219246</v>
      </c>
      <c r="T1759" t="s">
        <v>550</v>
      </c>
      <c r="U1759" t="s">
        <v>51</v>
      </c>
      <c r="V1759" s="219">
        <v>0</v>
      </c>
      <c r="W1759" s="219">
        <v>0</v>
      </c>
    </row>
    <row r="1760" spans="1:23" ht="15" customHeight="1" x14ac:dyDescent="0.25">
      <c r="A1760" t="s">
        <v>4266</v>
      </c>
      <c r="B1760" t="s">
        <v>546</v>
      </c>
      <c r="C1760">
        <v>108546.4</v>
      </c>
      <c r="D1760" t="s">
        <v>4263</v>
      </c>
      <c r="E1760" t="s">
        <v>553</v>
      </c>
      <c r="F1760" t="s">
        <v>548</v>
      </c>
      <c r="G1760" s="30">
        <v>46143</v>
      </c>
      <c r="H1760" t="s">
        <v>4264</v>
      </c>
      <c r="I1760">
        <v>1085455.8</v>
      </c>
      <c r="J1760" s="123">
        <v>46143</v>
      </c>
      <c r="K1760" s="123">
        <v>0</v>
      </c>
      <c r="L1760" s="123">
        <v>46143</v>
      </c>
      <c r="M1760">
        <v>0</v>
      </c>
      <c r="N1760">
        <v>0</v>
      </c>
      <c r="O1760" t="s">
        <v>556</v>
      </c>
      <c r="P1760" s="216">
        <v>108546.4</v>
      </c>
      <c r="Q1760" s="217" t="s">
        <v>17</v>
      </c>
      <c r="R1760" s="217" t="s">
        <v>62</v>
      </c>
      <c r="S1760" s="218">
        <v>0.2999998710219246</v>
      </c>
      <c r="T1760" t="s">
        <v>550</v>
      </c>
      <c r="U1760" t="s">
        <v>51</v>
      </c>
      <c r="V1760" s="219">
        <v>0</v>
      </c>
      <c r="W1760" s="219">
        <v>0</v>
      </c>
    </row>
    <row r="1761" spans="1:23" ht="15" customHeight="1" x14ac:dyDescent="0.25">
      <c r="A1761" t="s">
        <v>4267</v>
      </c>
      <c r="B1761" t="s">
        <v>546</v>
      </c>
      <c r="C1761">
        <v>108546.4</v>
      </c>
      <c r="D1761" t="s">
        <v>4263</v>
      </c>
      <c r="E1761" t="s">
        <v>553</v>
      </c>
      <c r="F1761" t="s">
        <v>548</v>
      </c>
      <c r="G1761" s="30">
        <v>46143</v>
      </c>
      <c r="H1761" t="s">
        <v>4264</v>
      </c>
      <c r="I1761">
        <v>1085455.8</v>
      </c>
      <c r="J1761" s="123">
        <v>46143</v>
      </c>
      <c r="K1761" s="123">
        <v>0</v>
      </c>
      <c r="L1761" s="123">
        <v>46143</v>
      </c>
      <c r="M1761">
        <v>0</v>
      </c>
      <c r="N1761">
        <v>0</v>
      </c>
      <c r="O1761" t="s">
        <v>556</v>
      </c>
      <c r="P1761" s="216">
        <v>108546.4</v>
      </c>
      <c r="Q1761" s="217" t="s">
        <v>17</v>
      </c>
      <c r="R1761" s="217" t="s">
        <v>62</v>
      </c>
      <c r="S1761" s="218">
        <v>0.2999998710219246</v>
      </c>
      <c r="T1761" t="s">
        <v>550</v>
      </c>
      <c r="U1761" t="s">
        <v>51</v>
      </c>
      <c r="V1761" s="219">
        <v>0</v>
      </c>
      <c r="W1761" s="219">
        <v>0</v>
      </c>
    </row>
    <row r="1762" spans="1:23" ht="15" customHeight="1" x14ac:dyDescent="0.25">
      <c r="A1762" t="s">
        <v>4268</v>
      </c>
      <c r="B1762" t="s">
        <v>546</v>
      </c>
      <c r="C1762">
        <v>108546.4</v>
      </c>
      <c r="D1762" t="s">
        <v>4263</v>
      </c>
      <c r="E1762" t="s">
        <v>553</v>
      </c>
      <c r="F1762" t="s">
        <v>548</v>
      </c>
      <c r="G1762" s="30">
        <v>46143</v>
      </c>
      <c r="H1762" t="s">
        <v>4264</v>
      </c>
      <c r="I1762">
        <v>1085455.8</v>
      </c>
      <c r="J1762" s="123">
        <v>46143</v>
      </c>
      <c r="K1762" s="123">
        <v>0</v>
      </c>
      <c r="L1762" s="123">
        <v>46143</v>
      </c>
      <c r="M1762">
        <v>0</v>
      </c>
      <c r="N1762">
        <v>0</v>
      </c>
      <c r="O1762" t="s">
        <v>556</v>
      </c>
      <c r="P1762" s="216">
        <v>108546.4</v>
      </c>
      <c r="Q1762" s="217" t="s">
        <v>17</v>
      </c>
      <c r="R1762" s="217" t="s">
        <v>62</v>
      </c>
      <c r="S1762" s="218">
        <v>0.2999998710219246</v>
      </c>
      <c r="T1762" t="s">
        <v>550</v>
      </c>
      <c r="U1762" t="s">
        <v>51</v>
      </c>
      <c r="V1762" s="219">
        <v>0</v>
      </c>
      <c r="W1762" s="219">
        <v>0</v>
      </c>
    </row>
    <row r="1763" spans="1:23" ht="15" customHeight="1" x14ac:dyDescent="0.25">
      <c r="A1763" t="s">
        <v>4269</v>
      </c>
      <c r="B1763" t="s">
        <v>546</v>
      </c>
      <c r="C1763">
        <v>108546.4</v>
      </c>
      <c r="D1763" t="s">
        <v>4263</v>
      </c>
      <c r="E1763" t="s">
        <v>553</v>
      </c>
      <c r="F1763" t="s">
        <v>548</v>
      </c>
      <c r="G1763" s="30">
        <v>46143</v>
      </c>
      <c r="H1763" t="s">
        <v>4264</v>
      </c>
      <c r="I1763">
        <v>1085455.8</v>
      </c>
      <c r="J1763" s="123">
        <v>46143</v>
      </c>
      <c r="K1763" s="123">
        <v>0</v>
      </c>
      <c r="L1763" s="123">
        <v>46143</v>
      </c>
      <c r="M1763">
        <v>0</v>
      </c>
      <c r="N1763">
        <v>0</v>
      </c>
      <c r="O1763" t="s">
        <v>556</v>
      </c>
      <c r="P1763" s="216">
        <v>108546.4</v>
      </c>
      <c r="Q1763" s="217" t="s">
        <v>17</v>
      </c>
      <c r="R1763" s="217" t="s">
        <v>62</v>
      </c>
      <c r="S1763" s="218">
        <v>0.2999998710219246</v>
      </c>
      <c r="T1763" t="s">
        <v>550</v>
      </c>
      <c r="U1763" t="s">
        <v>51</v>
      </c>
      <c r="V1763" s="219">
        <v>0</v>
      </c>
      <c r="W1763" s="219">
        <v>0</v>
      </c>
    </row>
    <row r="1764" spans="1:23" ht="15" customHeight="1" x14ac:dyDescent="0.25">
      <c r="A1764" t="s">
        <v>4270</v>
      </c>
      <c r="B1764" t="s">
        <v>546</v>
      </c>
      <c r="C1764">
        <v>108546.4</v>
      </c>
      <c r="D1764" t="s">
        <v>4263</v>
      </c>
      <c r="E1764" t="s">
        <v>553</v>
      </c>
      <c r="F1764" t="s">
        <v>548</v>
      </c>
      <c r="G1764" s="30">
        <v>46143</v>
      </c>
      <c r="H1764" t="s">
        <v>4264</v>
      </c>
      <c r="I1764">
        <v>1085455.8</v>
      </c>
      <c r="J1764" s="123">
        <v>46143</v>
      </c>
      <c r="K1764" s="123">
        <v>0</v>
      </c>
      <c r="L1764" s="123">
        <v>46143</v>
      </c>
      <c r="M1764">
        <v>0</v>
      </c>
      <c r="N1764">
        <v>0</v>
      </c>
      <c r="O1764" t="s">
        <v>556</v>
      </c>
      <c r="P1764" s="216">
        <v>108546.4</v>
      </c>
      <c r="Q1764" s="217" t="s">
        <v>17</v>
      </c>
      <c r="R1764" s="217" t="s">
        <v>62</v>
      </c>
      <c r="S1764" s="218">
        <v>0.2999998710219246</v>
      </c>
      <c r="T1764" t="s">
        <v>550</v>
      </c>
      <c r="U1764" t="s">
        <v>51</v>
      </c>
      <c r="V1764" s="219">
        <v>0</v>
      </c>
      <c r="W1764" s="219">
        <v>0</v>
      </c>
    </row>
    <row r="1765" spans="1:23" ht="15" customHeight="1" x14ac:dyDescent="0.25">
      <c r="A1765" t="s">
        <v>4271</v>
      </c>
      <c r="B1765" t="s">
        <v>546</v>
      </c>
      <c r="C1765">
        <v>108546.4</v>
      </c>
      <c r="D1765" t="s">
        <v>4263</v>
      </c>
      <c r="E1765" t="s">
        <v>553</v>
      </c>
      <c r="F1765" t="s">
        <v>548</v>
      </c>
      <c r="G1765" s="30">
        <v>46144</v>
      </c>
      <c r="H1765" t="s">
        <v>4264</v>
      </c>
      <c r="I1765">
        <v>1085455.8</v>
      </c>
      <c r="J1765" s="123">
        <v>46144</v>
      </c>
      <c r="K1765" s="123">
        <v>0</v>
      </c>
      <c r="L1765" s="123">
        <v>46144</v>
      </c>
      <c r="M1765">
        <v>0</v>
      </c>
      <c r="N1765">
        <v>0</v>
      </c>
      <c r="O1765" t="s">
        <v>556</v>
      </c>
      <c r="P1765" s="216">
        <v>108546.4</v>
      </c>
      <c r="Q1765" s="217" t="s">
        <v>17</v>
      </c>
      <c r="R1765" s="217" t="s">
        <v>62</v>
      </c>
      <c r="S1765" s="218">
        <v>0.2999998710219246</v>
      </c>
      <c r="T1765" t="s">
        <v>550</v>
      </c>
      <c r="U1765" t="s">
        <v>51</v>
      </c>
      <c r="V1765" s="219">
        <v>0</v>
      </c>
      <c r="W1765" s="219">
        <v>0</v>
      </c>
    </row>
    <row r="1766" spans="1:23" ht="15" customHeight="1" x14ac:dyDescent="0.25">
      <c r="A1766" t="s">
        <v>4272</v>
      </c>
      <c r="B1766" t="s">
        <v>546</v>
      </c>
      <c r="C1766">
        <v>108546.4</v>
      </c>
      <c r="D1766" t="s">
        <v>4263</v>
      </c>
      <c r="E1766" t="s">
        <v>553</v>
      </c>
      <c r="F1766" t="s">
        <v>548</v>
      </c>
      <c r="G1766" s="30">
        <v>46144</v>
      </c>
      <c r="H1766" t="s">
        <v>4264</v>
      </c>
      <c r="I1766">
        <v>1085455.8</v>
      </c>
      <c r="J1766" s="123">
        <v>46144</v>
      </c>
      <c r="K1766" s="123">
        <v>0</v>
      </c>
      <c r="L1766" s="123">
        <v>46144</v>
      </c>
      <c r="M1766">
        <v>0</v>
      </c>
      <c r="N1766">
        <v>0</v>
      </c>
      <c r="O1766" t="s">
        <v>556</v>
      </c>
      <c r="P1766" s="216">
        <v>108546.4</v>
      </c>
      <c r="Q1766" s="217" t="s">
        <v>17</v>
      </c>
      <c r="R1766" s="217" t="s">
        <v>62</v>
      </c>
      <c r="S1766" s="218">
        <v>0.2999998710219246</v>
      </c>
      <c r="T1766" t="s">
        <v>550</v>
      </c>
      <c r="U1766" t="s">
        <v>51</v>
      </c>
      <c r="V1766" s="219">
        <v>0</v>
      </c>
      <c r="W1766" s="219">
        <v>0</v>
      </c>
    </row>
    <row r="1767" spans="1:23" ht="15" customHeight="1" x14ac:dyDescent="0.25">
      <c r="A1767" t="s">
        <v>4273</v>
      </c>
      <c r="B1767" t="s">
        <v>546</v>
      </c>
      <c r="C1767">
        <v>108546.4</v>
      </c>
      <c r="D1767" t="s">
        <v>4263</v>
      </c>
      <c r="E1767" t="s">
        <v>553</v>
      </c>
      <c r="F1767" t="s">
        <v>548</v>
      </c>
      <c r="G1767" s="30">
        <v>46144</v>
      </c>
      <c r="H1767" t="s">
        <v>4264</v>
      </c>
      <c r="I1767">
        <v>1085455.8</v>
      </c>
      <c r="J1767" s="123">
        <v>46144</v>
      </c>
      <c r="K1767" s="123">
        <v>0</v>
      </c>
      <c r="L1767" s="123">
        <v>46144</v>
      </c>
      <c r="M1767">
        <v>0</v>
      </c>
      <c r="N1767">
        <v>0</v>
      </c>
      <c r="O1767" t="s">
        <v>556</v>
      </c>
      <c r="P1767" s="216">
        <v>108546.4</v>
      </c>
      <c r="Q1767" s="217" t="s">
        <v>17</v>
      </c>
      <c r="R1767" s="217" t="s">
        <v>62</v>
      </c>
      <c r="S1767" s="218">
        <v>0.2999998710219246</v>
      </c>
      <c r="T1767" t="s">
        <v>550</v>
      </c>
      <c r="U1767" t="s">
        <v>51</v>
      </c>
      <c r="V1767" s="219">
        <v>0</v>
      </c>
      <c r="W1767" s="219">
        <v>0</v>
      </c>
    </row>
    <row r="1768" spans="1:23" ht="15" customHeight="1" x14ac:dyDescent="0.25">
      <c r="A1768" t="s">
        <v>4274</v>
      </c>
      <c r="B1768" t="s">
        <v>546</v>
      </c>
      <c r="C1768">
        <v>108546.4</v>
      </c>
      <c r="D1768" t="s">
        <v>4263</v>
      </c>
      <c r="E1768" t="s">
        <v>553</v>
      </c>
      <c r="F1768" t="s">
        <v>548</v>
      </c>
      <c r="G1768" s="30">
        <v>46144</v>
      </c>
      <c r="H1768" t="s">
        <v>4264</v>
      </c>
      <c r="I1768">
        <v>1085455.8</v>
      </c>
      <c r="J1768" s="123">
        <v>46144</v>
      </c>
      <c r="K1768" s="123">
        <v>0</v>
      </c>
      <c r="L1768" s="123">
        <v>46144</v>
      </c>
      <c r="M1768">
        <v>0</v>
      </c>
      <c r="N1768">
        <v>0</v>
      </c>
      <c r="O1768" t="s">
        <v>556</v>
      </c>
      <c r="P1768" s="216">
        <v>108546.4</v>
      </c>
      <c r="Q1768" s="217" t="s">
        <v>17</v>
      </c>
      <c r="R1768" s="217" t="s">
        <v>62</v>
      </c>
      <c r="S1768" s="218">
        <v>0.2999998710219246</v>
      </c>
      <c r="T1768" t="s">
        <v>550</v>
      </c>
      <c r="U1768" t="s">
        <v>51</v>
      </c>
      <c r="V1768" s="219">
        <v>0</v>
      </c>
      <c r="W1768" s="219">
        <v>0</v>
      </c>
    </row>
    <row r="1769" spans="1:23" ht="15" customHeight="1" x14ac:dyDescent="0.25">
      <c r="A1769" t="s">
        <v>4275</v>
      </c>
      <c r="B1769" t="s">
        <v>575</v>
      </c>
      <c r="C1769">
        <v>108546</v>
      </c>
      <c r="D1769" t="s">
        <v>4263</v>
      </c>
      <c r="E1769" t="s">
        <v>188</v>
      </c>
      <c r="F1769" t="s">
        <v>580</v>
      </c>
      <c r="G1769" s="30">
        <v>46149</v>
      </c>
      <c r="H1769" t="s">
        <v>4264</v>
      </c>
      <c r="I1769">
        <v>1085455.8</v>
      </c>
      <c r="J1769" s="123">
        <v>0</v>
      </c>
      <c r="K1769" s="123">
        <v>0</v>
      </c>
      <c r="L1769" s="123">
        <v>46146</v>
      </c>
      <c r="M1769">
        <v>0</v>
      </c>
      <c r="N1769">
        <v>0</v>
      </c>
      <c r="O1769">
        <v>0</v>
      </c>
      <c r="P1769" s="216">
        <v>108546</v>
      </c>
      <c r="Q1769" s="217" t="s">
        <v>17</v>
      </c>
      <c r="R1769" s="217" t="s">
        <v>582</v>
      </c>
      <c r="S1769" s="218">
        <v>0.2999998710219246</v>
      </c>
      <c r="T1769" t="s">
        <v>550</v>
      </c>
      <c r="U1769" t="s">
        <v>51</v>
      </c>
      <c r="V1769" s="219">
        <v>0</v>
      </c>
      <c r="W1769" s="219">
        <v>0</v>
      </c>
    </row>
    <row r="1770" spans="1:23" ht="15" customHeight="1" x14ac:dyDescent="0.25">
      <c r="A1770" t="s">
        <v>4276</v>
      </c>
      <c r="B1770" t="s">
        <v>575</v>
      </c>
      <c r="C1770">
        <v>3000</v>
      </c>
      <c r="D1770" t="s">
        <v>4277</v>
      </c>
      <c r="E1770" t="s">
        <v>4278</v>
      </c>
      <c r="F1770" t="s">
        <v>554</v>
      </c>
      <c r="G1770" s="30">
        <v>46148</v>
      </c>
      <c r="H1770" t="s">
        <v>4279</v>
      </c>
      <c r="I1770">
        <v>1101072</v>
      </c>
      <c r="J1770" s="123">
        <v>0</v>
      </c>
      <c r="K1770" s="123">
        <v>0</v>
      </c>
      <c r="L1770" s="123">
        <v>45978</v>
      </c>
      <c r="M1770">
        <v>0</v>
      </c>
      <c r="N1770">
        <v>0</v>
      </c>
      <c r="O1770">
        <v>0</v>
      </c>
      <c r="P1770" s="216">
        <v>3000</v>
      </c>
      <c r="Q1770" s="217" t="s">
        <v>17</v>
      </c>
      <c r="R1770" s="217" t="s">
        <v>554</v>
      </c>
      <c r="S1770" s="218">
        <v>0.28169135170088788</v>
      </c>
      <c r="T1770" t="s">
        <v>550</v>
      </c>
      <c r="U1770" t="s">
        <v>51</v>
      </c>
      <c r="V1770" s="219" t="s">
        <v>6809</v>
      </c>
      <c r="W1770" s="219" t="s">
        <v>67</v>
      </c>
    </row>
    <row r="1771" spans="1:23" ht="15" customHeight="1" x14ac:dyDescent="0.25">
      <c r="A1771" t="s">
        <v>4280</v>
      </c>
      <c r="B1771" t="s">
        <v>575</v>
      </c>
      <c r="C1771">
        <v>10000</v>
      </c>
      <c r="D1771" t="s">
        <v>4277</v>
      </c>
      <c r="E1771" t="s">
        <v>4278</v>
      </c>
      <c r="F1771" t="s">
        <v>585</v>
      </c>
      <c r="G1771" s="30">
        <v>46148</v>
      </c>
      <c r="H1771" t="s">
        <v>4279</v>
      </c>
      <c r="I1771">
        <v>1101072</v>
      </c>
      <c r="J1771" s="123">
        <v>0</v>
      </c>
      <c r="K1771" s="123">
        <v>0</v>
      </c>
      <c r="L1771" s="123">
        <v>45978</v>
      </c>
      <c r="M1771">
        <v>0</v>
      </c>
      <c r="N1771">
        <v>0</v>
      </c>
      <c r="O1771">
        <v>0</v>
      </c>
      <c r="P1771" s="216">
        <v>10000</v>
      </c>
      <c r="Q1771" s="217" t="s">
        <v>17</v>
      </c>
      <c r="R1771" s="217" t="s">
        <v>61</v>
      </c>
      <c r="S1771" s="218">
        <v>0.28169135170088788</v>
      </c>
      <c r="T1771" t="s">
        <v>550</v>
      </c>
      <c r="U1771" t="s">
        <v>51</v>
      </c>
      <c r="V1771" s="219">
        <v>0</v>
      </c>
      <c r="W1771" s="219">
        <v>0</v>
      </c>
    </row>
    <row r="1772" spans="1:23" ht="15" customHeight="1" x14ac:dyDescent="0.25">
      <c r="A1772" t="s">
        <v>4281</v>
      </c>
      <c r="B1772" t="s">
        <v>575</v>
      </c>
      <c r="C1772">
        <v>10000</v>
      </c>
      <c r="D1772" t="s">
        <v>4277</v>
      </c>
      <c r="E1772" t="s">
        <v>4278</v>
      </c>
      <c r="F1772" t="s">
        <v>580</v>
      </c>
      <c r="G1772" s="30">
        <v>46148</v>
      </c>
      <c r="H1772" t="s">
        <v>4279</v>
      </c>
      <c r="I1772">
        <v>1101072</v>
      </c>
      <c r="J1772" s="123">
        <v>0</v>
      </c>
      <c r="K1772" s="123">
        <v>0</v>
      </c>
      <c r="L1772" s="123">
        <v>45978</v>
      </c>
      <c r="M1772">
        <v>0</v>
      </c>
      <c r="N1772">
        <v>0</v>
      </c>
      <c r="O1772">
        <v>0</v>
      </c>
      <c r="P1772" s="216">
        <v>10000</v>
      </c>
      <c r="Q1772" s="217" t="s">
        <v>17</v>
      </c>
      <c r="R1772" s="217" t="s">
        <v>582</v>
      </c>
      <c r="S1772" s="218">
        <v>0.28169135170088788</v>
      </c>
      <c r="T1772" t="s">
        <v>550</v>
      </c>
      <c r="U1772" t="s">
        <v>51</v>
      </c>
      <c r="V1772" s="219">
        <v>0</v>
      </c>
      <c r="W1772" s="219">
        <v>0</v>
      </c>
    </row>
    <row r="1773" spans="1:23" ht="15" customHeight="1" x14ac:dyDescent="0.25">
      <c r="A1773" t="s">
        <v>4282</v>
      </c>
      <c r="B1773" t="s">
        <v>546</v>
      </c>
      <c r="C1773">
        <v>30000</v>
      </c>
      <c r="D1773" t="s">
        <v>4283</v>
      </c>
      <c r="E1773" t="s">
        <v>553</v>
      </c>
      <c r="F1773" t="s">
        <v>548</v>
      </c>
      <c r="G1773" s="30">
        <v>46143</v>
      </c>
      <c r="H1773" t="s">
        <v>4284</v>
      </c>
      <c r="I1773">
        <v>1102371.2</v>
      </c>
      <c r="J1773" s="123">
        <v>46143</v>
      </c>
      <c r="K1773" s="123">
        <v>0</v>
      </c>
      <c r="L1773" s="123">
        <v>46143</v>
      </c>
      <c r="M1773">
        <v>0</v>
      </c>
      <c r="N1773">
        <v>0</v>
      </c>
      <c r="O1773" t="s">
        <v>556</v>
      </c>
      <c r="P1773" s="216">
        <v>30000</v>
      </c>
      <c r="Q1773" s="217" t="s">
        <v>17</v>
      </c>
      <c r="R1773" s="217" t="s">
        <v>62</v>
      </c>
      <c r="S1773" s="218">
        <v>0.29999967343123624</v>
      </c>
      <c r="T1773" t="s">
        <v>550</v>
      </c>
      <c r="U1773" t="s">
        <v>51</v>
      </c>
      <c r="V1773" s="219">
        <v>0</v>
      </c>
      <c r="W1773" s="219">
        <v>0</v>
      </c>
    </row>
    <row r="1774" spans="1:23" ht="15" customHeight="1" x14ac:dyDescent="0.25">
      <c r="A1774" t="s">
        <v>4285</v>
      </c>
      <c r="B1774" t="s">
        <v>546</v>
      </c>
      <c r="C1774">
        <v>50000</v>
      </c>
      <c r="D1774" t="s">
        <v>4283</v>
      </c>
      <c r="E1774" t="s">
        <v>553</v>
      </c>
      <c r="F1774" t="s">
        <v>548</v>
      </c>
      <c r="G1774" s="30">
        <v>46143</v>
      </c>
      <c r="H1774" t="s">
        <v>4284</v>
      </c>
      <c r="I1774">
        <v>1102371.2</v>
      </c>
      <c r="J1774" s="123">
        <v>46143</v>
      </c>
      <c r="K1774" s="123">
        <v>0</v>
      </c>
      <c r="L1774" s="123">
        <v>46143</v>
      </c>
      <c r="M1774">
        <v>0</v>
      </c>
      <c r="N1774">
        <v>0</v>
      </c>
      <c r="O1774" t="s">
        <v>556</v>
      </c>
      <c r="P1774" s="216">
        <v>50000</v>
      </c>
      <c r="Q1774" s="217" t="s">
        <v>17</v>
      </c>
      <c r="R1774" s="217" t="s">
        <v>62</v>
      </c>
      <c r="S1774" s="218">
        <v>0.29999967343123624</v>
      </c>
      <c r="T1774" t="s">
        <v>550</v>
      </c>
      <c r="U1774" t="s">
        <v>51</v>
      </c>
      <c r="V1774" s="219">
        <v>0</v>
      </c>
      <c r="W1774" s="219">
        <v>0</v>
      </c>
    </row>
    <row r="1775" spans="1:23" ht="15" customHeight="1" x14ac:dyDescent="0.25">
      <c r="A1775" t="s">
        <v>4286</v>
      </c>
      <c r="B1775" t="s">
        <v>546</v>
      </c>
      <c r="C1775">
        <v>50000</v>
      </c>
      <c r="D1775" t="s">
        <v>4283</v>
      </c>
      <c r="E1775" t="s">
        <v>553</v>
      </c>
      <c r="F1775" t="s">
        <v>554</v>
      </c>
      <c r="G1775" s="30">
        <v>46143</v>
      </c>
      <c r="H1775" t="s">
        <v>4284</v>
      </c>
      <c r="I1775">
        <v>1102371.2</v>
      </c>
      <c r="J1775" s="123">
        <v>46143</v>
      </c>
      <c r="K1775" s="123">
        <v>0</v>
      </c>
      <c r="L1775" s="123">
        <v>46143</v>
      </c>
      <c r="M1775">
        <v>0</v>
      </c>
      <c r="N1775">
        <v>0</v>
      </c>
      <c r="O1775" t="s">
        <v>556</v>
      </c>
      <c r="P1775" s="216">
        <v>50000</v>
      </c>
      <c r="Q1775" s="217" t="s">
        <v>17</v>
      </c>
      <c r="R1775" s="217" t="s">
        <v>554</v>
      </c>
      <c r="S1775" s="218">
        <v>0.29999967343123624</v>
      </c>
      <c r="T1775" t="s">
        <v>550</v>
      </c>
      <c r="U1775" t="s">
        <v>51</v>
      </c>
      <c r="V1775" s="219" t="s">
        <v>6810</v>
      </c>
      <c r="W1775" s="219" t="s">
        <v>67</v>
      </c>
    </row>
    <row r="1776" spans="1:23" ht="15" customHeight="1" x14ac:dyDescent="0.25">
      <c r="A1776" t="s">
        <v>4287</v>
      </c>
      <c r="B1776" t="s">
        <v>546</v>
      </c>
      <c r="C1776">
        <v>110235</v>
      </c>
      <c r="D1776" t="s">
        <v>4283</v>
      </c>
      <c r="E1776" t="s">
        <v>553</v>
      </c>
      <c r="F1776" t="s">
        <v>548</v>
      </c>
      <c r="G1776" s="30">
        <v>46143</v>
      </c>
      <c r="H1776" t="s">
        <v>4284</v>
      </c>
      <c r="I1776">
        <v>1102371.2</v>
      </c>
      <c r="J1776" s="123">
        <v>46143</v>
      </c>
      <c r="K1776" s="123">
        <v>0</v>
      </c>
      <c r="L1776" s="123">
        <v>46143</v>
      </c>
      <c r="M1776">
        <v>0</v>
      </c>
      <c r="N1776">
        <v>0</v>
      </c>
      <c r="O1776" t="s">
        <v>556</v>
      </c>
      <c r="P1776" s="216">
        <v>110235</v>
      </c>
      <c r="Q1776" s="217" t="s">
        <v>17</v>
      </c>
      <c r="R1776" s="217" t="s">
        <v>62</v>
      </c>
      <c r="S1776" s="218">
        <v>0.29999967343123624</v>
      </c>
      <c r="T1776" t="s">
        <v>550</v>
      </c>
      <c r="U1776" t="s">
        <v>51</v>
      </c>
      <c r="V1776" s="219">
        <v>0</v>
      </c>
      <c r="W1776" s="219">
        <v>0</v>
      </c>
    </row>
    <row r="1777" spans="1:23" ht="15" customHeight="1" x14ac:dyDescent="0.25">
      <c r="A1777" t="s">
        <v>4288</v>
      </c>
      <c r="B1777" t="s">
        <v>546</v>
      </c>
      <c r="C1777">
        <v>50000</v>
      </c>
      <c r="D1777" t="s">
        <v>4283</v>
      </c>
      <c r="E1777" t="s">
        <v>553</v>
      </c>
      <c r="F1777" t="s">
        <v>554</v>
      </c>
      <c r="G1777" s="30">
        <v>46144</v>
      </c>
      <c r="H1777" t="s">
        <v>4284</v>
      </c>
      <c r="I1777">
        <v>1102371.2</v>
      </c>
      <c r="J1777" s="123">
        <v>46144</v>
      </c>
      <c r="K1777" s="123">
        <v>0</v>
      </c>
      <c r="L1777" s="123">
        <v>46144</v>
      </c>
      <c r="M1777">
        <v>0</v>
      </c>
      <c r="N1777">
        <v>0</v>
      </c>
      <c r="O1777" t="s">
        <v>556</v>
      </c>
      <c r="P1777" s="216">
        <v>50000</v>
      </c>
      <c r="Q1777" s="217" t="s">
        <v>17</v>
      </c>
      <c r="R1777" s="217" t="s">
        <v>554</v>
      </c>
      <c r="S1777" s="218">
        <v>0.29999967343123624</v>
      </c>
      <c r="T1777" t="s">
        <v>550</v>
      </c>
      <c r="U1777" t="s">
        <v>51</v>
      </c>
      <c r="V1777" s="219" t="s">
        <v>6811</v>
      </c>
      <c r="W1777" s="219" t="s">
        <v>67</v>
      </c>
    </row>
    <row r="1778" spans="1:23" ht="15" customHeight="1" x14ac:dyDescent="0.25">
      <c r="A1778" t="s">
        <v>4289</v>
      </c>
      <c r="B1778" t="s">
        <v>546</v>
      </c>
      <c r="C1778">
        <v>10235</v>
      </c>
      <c r="D1778" t="s">
        <v>4283</v>
      </c>
      <c r="E1778" t="s">
        <v>553</v>
      </c>
      <c r="F1778" t="s">
        <v>554</v>
      </c>
      <c r="G1778" s="30">
        <v>46145</v>
      </c>
      <c r="H1778" t="s">
        <v>4284</v>
      </c>
      <c r="I1778">
        <v>1102371.2</v>
      </c>
      <c r="J1778" s="123">
        <v>46145</v>
      </c>
      <c r="K1778" s="123">
        <v>0</v>
      </c>
      <c r="L1778" s="123">
        <v>46145</v>
      </c>
      <c r="M1778">
        <v>0</v>
      </c>
      <c r="N1778">
        <v>0</v>
      </c>
      <c r="O1778" t="s">
        <v>556</v>
      </c>
      <c r="P1778" s="216">
        <v>10235</v>
      </c>
      <c r="Q1778" s="217" t="s">
        <v>17</v>
      </c>
      <c r="R1778" s="217" t="s">
        <v>554</v>
      </c>
      <c r="S1778" s="218">
        <v>0.29999967343123624</v>
      </c>
      <c r="T1778" t="s">
        <v>550</v>
      </c>
      <c r="U1778" t="s">
        <v>51</v>
      </c>
      <c r="V1778" s="219" t="s">
        <v>6812</v>
      </c>
      <c r="W1778" s="219" t="s">
        <v>67</v>
      </c>
    </row>
    <row r="1779" spans="1:23" ht="15" customHeight="1" x14ac:dyDescent="0.25">
      <c r="A1779" t="s">
        <v>4290</v>
      </c>
      <c r="B1779" t="s">
        <v>595</v>
      </c>
      <c r="C1779">
        <v>10000</v>
      </c>
      <c r="D1779" t="s">
        <v>4291</v>
      </c>
      <c r="E1779" t="s">
        <v>208</v>
      </c>
      <c r="F1779" t="s">
        <v>554</v>
      </c>
      <c r="G1779" s="30">
        <v>46145</v>
      </c>
      <c r="H1779" t="s">
        <v>4292</v>
      </c>
      <c r="I1779">
        <v>1114259.1499999999</v>
      </c>
      <c r="J1779" s="123">
        <v>0</v>
      </c>
      <c r="K1779" s="123">
        <v>0</v>
      </c>
      <c r="L1779" s="123">
        <v>46132</v>
      </c>
      <c r="M1779">
        <v>0</v>
      </c>
      <c r="N1779">
        <v>0</v>
      </c>
      <c r="O1779">
        <v>0</v>
      </c>
      <c r="P1779" s="216">
        <v>10000</v>
      </c>
      <c r="Q1779" s="217" t="s">
        <v>23</v>
      </c>
      <c r="R1779" s="217" t="s">
        <v>554</v>
      </c>
      <c r="S1779" s="218">
        <v>0.29526569290456356</v>
      </c>
      <c r="T1779" t="s">
        <v>550</v>
      </c>
      <c r="U1779" t="s">
        <v>51</v>
      </c>
      <c r="V1779" s="219" t="s">
        <v>6813</v>
      </c>
      <c r="W1779" s="219" t="s">
        <v>67</v>
      </c>
    </row>
    <row r="1780" spans="1:23" ht="15" customHeight="1" x14ac:dyDescent="0.25">
      <c r="A1780" t="s">
        <v>4293</v>
      </c>
      <c r="B1780" t="s">
        <v>546</v>
      </c>
      <c r="C1780">
        <v>55538</v>
      </c>
      <c r="D1780" t="s">
        <v>4294</v>
      </c>
      <c r="E1780" t="s">
        <v>4295</v>
      </c>
      <c r="F1780" t="s">
        <v>554</v>
      </c>
      <c r="G1780" s="30">
        <v>46146</v>
      </c>
      <c r="H1780" t="s">
        <v>4296</v>
      </c>
      <c r="I1780">
        <v>1110741.75</v>
      </c>
      <c r="J1780" s="123">
        <v>0</v>
      </c>
      <c r="K1780" s="123">
        <v>0</v>
      </c>
      <c r="L1780" s="123">
        <v>0</v>
      </c>
      <c r="M1780">
        <v>0</v>
      </c>
      <c r="N1780">
        <v>0</v>
      </c>
      <c r="O1780">
        <v>0</v>
      </c>
      <c r="P1780" s="216">
        <v>55538</v>
      </c>
      <c r="Q1780" s="217" t="s">
        <v>17</v>
      </c>
      <c r="R1780" s="217" t="s">
        <v>554</v>
      </c>
      <c r="S1780" s="218">
        <v>0.25000156877149887</v>
      </c>
      <c r="T1780" t="s">
        <v>550</v>
      </c>
      <c r="U1780" t="s">
        <v>51</v>
      </c>
      <c r="V1780" s="219" t="s">
        <v>6814</v>
      </c>
      <c r="W1780" s="219" t="s">
        <v>67</v>
      </c>
    </row>
    <row r="1781" spans="1:23" ht="15" customHeight="1" x14ac:dyDescent="0.25">
      <c r="A1781" t="s">
        <v>4297</v>
      </c>
      <c r="B1781" t="s">
        <v>595</v>
      </c>
      <c r="C1781">
        <v>39800</v>
      </c>
      <c r="D1781" t="s">
        <v>4298</v>
      </c>
      <c r="E1781" t="s">
        <v>188</v>
      </c>
      <c r="F1781" t="s">
        <v>585</v>
      </c>
      <c r="G1781" s="30">
        <v>46146</v>
      </c>
      <c r="H1781" t="s">
        <v>4299</v>
      </c>
      <c r="I1781">
        <v>1117550</v>
      </c>
      <c r="J1781" s="123">
        <v>0</v>
      </c>
      <c r="K1781" s="123">
        <v>0</v>
      </c>
      <c r="L1781" s="123">
        <v>46142</v>
      </c>
      <c r="M1781">
        <v>0</v>
      </c>
      <c r="N1781">
        <v>0</v>
      </c>
      <c r="O1781">
        <v>0</v>
      </c>
      <c r="P1781" s="216">
        <v>39800</v>
      </c>
      <c r="Q1781" s="217" t="s">
        <v>17</v>
      </c>
      <c r="R1781" s="217" t="s">
        <v>61</v>
      </c>
      <c r="S1781" s="218">
        <v>0.20000009842960045</v>
      </c>
      <c r="T1781" t="s">
        <v>550</v>
      </c>
      <c r="U1781" t="s">
        <v>51</v>
      </c>
      <c r="V1781" s="219">
        <v>0</v>
      </c>
      <c r="W1781" s="219">
        <v>0</v>
      </c>
    </row>
    <row r="1782" spans="1:23" ht="15" customHeight="1" x14ac:dyDescent="0.25">
      <c r="A1782" t="s">
        <v>4300</v>
      </c>
      <c r="B1782" t="s">
        <v>575</v>
      </c>
      <c r="C1782">
        <v>10000</v>
      </c>
      <c r="D1782" t="s">
        <v>4301</v>
      </c>
      <c r="E1782" t="s">
        <v>198</v>
      </c>
      <c r="F1782" t="s">
        <v>585</v>
      </c>
      <c r="G1782" s="30">
        <v>46146</v>
      </c>
      <c r="H1782" t="s">
        <v>4302</v>
      </c>
      <c r="I1782">
        <v>1189629.3999999999</v>
      </c>
      <c r="J1782" s="123">
        <v>0</v>
      </c>
      <c r="K1782" s="123">
        <v>0</v>
      </c>
      <c r="L1782" s="123">
        <v>46145</v>
      </c>
      <c r="M1782">
        <v>0</v>
      </c>
      <c r="N1782">
        <v>0</v>
      </c>
      <c r="O1782">
        <v>0</v>
      </c>
      <c r="P1782" s="216">
        <v>10000</v>
      </c>
      <c r="Q1782" s="217" t="s">
        <v>29</v>
      </c>
      <c r="R1782" s="217" t="s">
        <v>61</v>
      </c>
      <c r="S1782" s="218">
        <v>0.24288152259855045</v>
      </c>
      <c r="T1782" t="s">
        <v>550</v>
      </c>
      <c r="U1782" t="s">
        <v>51</v>
      </c>
      <c r="V1782" s="219">
        <v>0</v>
      </c>
      <c r="W1782" s="219">
        <v>0</v>
      </c>
    </row>
    <row r="1783" spans="1:23" ht="15" customHeight="1" x14ac:dyDescent="0.25">
      <c r="A1783" t="s">
        <v>4303</v>
      </c>
      <c r="B1783" t="s">
        <v>595</v>
      </c>
      <c r="C1783">
        <v>56338</v>
      </c>
      <c r="D1783" t="s">
        <v>4304</v>
      </c>
      <c r="E1783" t="s">
        <v>188</v>
      </c>
      <c r="F1783" t="s">
        <v>580</v>
      </c>
      <c r="G1783" s="30">
        <v>46149</v>
      </c>
      <c r="H1783" t="s">
        <v>4305</v>
      </c>
      <c r="I1783">
        <v>1075486.25</v>
      </c>
      <c r="J1783" s="123">
        <v>0</v>
      </c>
      <c r="K1783" s="123">
        <v>0</v>
      </c>
      <c r="L1783" s="123">
        <v>46145</v>
      </c>
      <c r="M1783">
        <v>0</v>
      </c>
      <c r="N1783">
        <v>0</v>
      </c>
      <c r="O1783">
        <v>0</v>
      </c>
      <c r="P1783" s="216">
        <v>56338</v>
      </c>
      <c r="Q1783" s="217" t="s">
        <v>17</v>
      </c>
      <c r="R1783" s="217" t="s">
        <v>582</v>
      </c>
      <c r="S1783" s="218">
        <v>0.30112699255801734</v>
      </c>
      <c r="T1783" t="s">
        <v>550</v>
      </c>
      <c r="U1783" t="s">
        <v>51</v>
      </c>
      <c r="V1783" s="219">
        <v>0</v>
      </c>
      <c r="W1783" s="219">
        <v>0</v>
      </c>
    </row>
    <row r="1784" spans="1:23" ht="15" customHeight="1" x14ac:dyDescent="0.25">
      <c r="A1784" t="s">
        <v>4306</v>
      </c>
      <c r="B1784" t="s">
        <v>575</v>
      </c>
      <c r="C1784">
        <v>111379</v>
      </c>
      <c r="D1784" t="s">
        <v>4307</v>
      </c>
      <c r="E1784" t="s">
        <v>213</v>
      </c>
      <c r="F1784" t="s">
        <v>554</v>
      </c>
      <c r="G1784" s="30">
        <v>46147</v>
      </c>
      <c r="H1784" t="s">
        <v>4308</v>
      </c>
      <c r="I1784">
        <v>1113780.2</v>
      </c>
      <c r="J1784" s="123">
        <v>0</v>
      </c>
      <c r="K1784" s="123">
        <v>0</v>
      </c>
      <c r="L1784" s="123">
        <v>46136</v>
      </c>
      <c r="M1784">
        <v>0</v>
      </c>
      <c r="N1784">
        <v>0</v>
      </c>
      <c r="O1784">
        <v>0</v>
      </c>
      <c r="P1784" s="216">
        <v>111379</v>
      </c>
      <c r="Q1784" s="217" t="s">
        <v>18</v>
      </c>
      <c r="R1784" s="217" t="s">
        <v>554</v>
      </c>
      <c r="S1784" s="218">
        <v>0.30000263965906382</v>
      </c>
      <c r="T1784" t="s">
        <v>550</v>
      </c>
      <c r="U1784" t="s">
        <v>51</v>
      </c>
      <c r="V1784" s="219" t="s">
        <v>6815</v>
      </c>
      <c r="W1784" s="219" t="s">
        <v>67</v>
      </c>
    </row>
    <row r="1785" spans="1:23" ht="15" customHeight="1" x14ac:dyDescent="0.25">
      <c r="A1785" t="s">
        <v>4309</v>
      </c>
      <c r="B1785" t="s">
        <v>595</v>
      </c>
      <c r="C1785">
        <v>112197</v>
      </c>
      <c r="D1785" t="s">
        <v>4310</v>
      </c>
      <c r="E1785" t="s">
        <v>4311</v>
      </c>
      <c r="F1785" t="s">
        <v>554</v>
      </c>
      <c r="G1785" s="30">
        <v>46148</v>
      </c>
      <c r="H1785" t="s">
        <v>4312</v>
      </c>
      <c r="I1785">
        <v>1121979</v>
      </c>
      <c r="J1785" s="123">
        <v>0</v>
      </c>
      <c r="K1785" s="123">
        <v>0</v>
      </c>
      <c r="L1785" s="123">
        <v>46147</v>
      </c>
      <c r="M1785">
        <v>0</v>
      </c>
      <c r="N1785">
        <v>0</v>
      </c>
      <c r="O1785">
        <v>0</v>
      </c>
      <c r="P1785" s="216">
        <v>112197</v>
      </c>
      <c r="Q1785" s="217" t="s">
        <v>17</v>
      </c>
      <c r="R1785" s="217" t="s">
        <v>554</v>
      </c>
      <c r="S1785" s="218">
        <v>0.29999937610240479</v>
      </c>
      <c r="T1785" t="s">
        <v>550</v>
      </c>
      <c r="U1785" t="s">
        <v>51</v>
      </c>
      <c r="V1785" s="219" t="s">
        <v>6816</v>
      </c>
      <c r="W1785" s="219" t="s">
        <v>67</v>
      </c>
    </row>
    <row r="1786" spans="1:23" ht="15" customHeight="1" x14ac:dyDescent="0.25">
      <c r="A1786" t="s">
        <v>4313</v>
      </c>
      <c r="B1786" t="s">
        <v>595</v>
      </c>
      <c r="C1786">
        <v>500495.69</v>
      </c>
      <c r="D1786" t="s">
        <v>4314</v>
      </c>
      <c r="E1786" t="s">
        <v>1700</v>
      </c>
      <c r="F1786" t="s">
        <v>554</v>
      </c>
      <c r="G1786" s="30">
        <v>46147</v>
      </c>
      <c r="H1786" t="s">
        <v>4315</v>
      </c>
      <c r="I1786">
        <v>1364708.25</v>
      </c>
      <c r="J1786" s="123">
        <v>0</v>
      </c>
      <c r="K1786" s="123">
        <v>0</v>
      </c>
      <c r="L1786" s="123">
        <v>46147</v>
      </c>
      <c r="M1786">
        <v>0</v>
      </c>
      <c r="N1786">
        <v>0</v>
      </c>
      <c r="O1786">
        <v>0</v>
      </c>
      <c r="P1786" s="216">
        <v>500495.69</v>
      </c>
      <c r="Q1786" s="217" t="s">
        <v>47</v>
      </c>
      <c r="R1786" s="217" t="s">
        <v>554</v>
      </c>
      <c r="S1786" s="218">
        <v>0.40010924679322485</v>
      </c>
      <c r="T1786" t="s">
        <v>550</v>
      </c>
      <c r="U1786" t="s">
        <v>51</v>
      </c>
      <c r="V1786" s="219" t="s">
        <v>6817</v>
      </c>
      <c r="W1786" s="219" t="s">
        <v>67</v>
      </c>
    </row>
    <row r="1787" spans="1:23" ht="15" customHeight="1" x14ac:dyDescent="0.25">
      <c r="A1787" t="s">
        <v>4316</v>
      </c>
      <c r="B1787" t="s">
        <v>575</v>
      </c>
      <c r="C1787">
        <v>148328</v>
      </c>
      <c r="D1787" t="s">
        <v>4317</v>
      </c>
      <c r="E1787" t="s">
        <v>263</v>
      </c>
      <c r="F1787" t="s">
        <v>554</v>
      </c>
      <c r="G1787" s="30">
        <v>46143</v>
      </c>
      <c r="H1787" t="s">
        <v>4318</v>
      </c>
      <c r="I1787">
        <v>1493322.98</v>
      </c>
      <c r="J1787" s="123">
        <v>0</v>
      </c>
      <c r="K1787" s="123">
        <v>0</v>
      </c>
      <c r="L1787" s="123">
        <v>46142</v>
      </c>
      <c r="M1787">
        <v>0</v>
      </c>
      <c r="N1787">
        <v>0</v>
      </c>
      <c r="O1787">
        <v>0</v>
      </c>
      <c r="P1787" s="216">
        <v>148328</v>
      </c>
      <c r="Q1787" s="217" t="s">
        <v>8</v>
      </c>
      <c r="R1787" s="217" t="s">
        <v>554</v>
      </c>
      <c r="S1787" s="218">
        <v>0.39999973749818007</v>
      </c>
      <c r="T1787" t="s">
        <v>550</v>
      </c>
      <c r="U1787" t="s">
        <v>74</v>
      </c>
      <c r="V1787" s="219" t="s">
        <v>6818</v>
      </c>
      <c r="W1787" s="219" t="s">
        <v>67</v>
      </c>
    </row>
    <row r="1788" spans="1:23" ht="15" customHeight="1" x14ac:dyDescent="0.25">
      <c r="A1788" t="s">
        <v>4319</v>
      </c>
      <c r="B1788" t="s">
        <v>546</v>
      </c>
      <c r="C1788">
        <v>59609</v>
      </c>
      <c r="D1788" t="s">
        <v>4320</v>
      </c>
      <c r="E1788" t="s">
        <v>4321</v>
      </c>
      <c r="F1788" t="s">
        <v>554</v>
      </c>
      <c r="G1788" s="30">
        <v>46143</v>
      </c>
      <c r="H1788" t="s">
        <v>4322</v>
      </c>
      <c r="I1788">
        <v>1490190.68</v>
      </c>
      <c r="J1788" s="123">
        <v>0</v>
      </c>
      <c r="K1788" s="123">
        <v>0</v>
      </c>
      <c r="L1788" s="123">
        <v>0</v>
      </c>
      <c r="M1788">
        <v>0</v>
      </c>
      <c r="N1788">
        <v>0</v>
      </c>
      <c r="O1788">
        <v>0</v>
      </c>
      <c r="P1788" s="216">
        <v>59609</v>
      </c>
      <c r="Q1788" s="217" t="s">
        <v>8</v>
      </c>
      <c r="R1788" s="217" t="s">
        <v>554</v>
      </c>
      <c r="S1788" s="218">
        <v>0.20021464635653205</v>
      </c>
      <c r="T1788" t="s">
        <v>550</v>
      </c>
      <c r="U1788" t="s">
        <v>74</v>
      </c>
      <c r="V1788" s="219" t="s">
        <v>6819</v>
      </c>
      <c r="W1788" s="219" t="s">
        <v>67</v>
      </c>
    </row>
    <row r="1789" spans="1:23" ht="15" customHeight="1" x14ac:dyDescent="0.25">
      <c r="A1789" t="s">
        <v>4323</v>
      </c>
      <c r="B1789" t="s">
        <v>595</v>
      </c>
      <c r="C1789">
        <v>1000</v>
      </c>
      <c r="D1789" t="s">
        <v>4320</v>
      </c>
      <c r="E1789" t="s">
        <v>4324</v>
      </c>
      <c r="F1789" t="s">
        <v>554</v>
      </c>
      <c r="G1789" s="30">
        <v>46146</v>
      </c>
      <c r="H1789" t="s">
        <v>4322</v>
      </c>
      <c r="I1789">
        <v>1490190.68</v>
      </c>
      <c r="J1789" s="123">
        <v>0</v>
      </c>
      <c r="K1789" s="123">
        <v>0</v>
      </c>
      <c r="L1789" s="123">
        <v>46143</v>
      </c>
      <c r="M1789">
        <v>1000</v>
      </c>
      <c r="N1789">
        <v>0</v>
      </c>
      <c r="O1789">
        <v>0</v>
      </c>
      <c r="P1789" s="216">
        <v>0</v>
      </c>
      <c r="Q1789" s="217" t="s">
        <v>8</v>
      </c>
      <c r="R1789" s="217" t="s">
        <v>554</v>
      </c>
      <c r="S1789" s="218">
        <v>0.20021464635653205</v>
      </c>
      <c r="T1789" t="s">
        <v>550</v>
      </c>
      <c r="U1789" t="s">
        <v>74</v>
      </c>
      <c r="V1789" s="219" t="s">
        <v>6820</v>
      </c>
      <c r="W1789" s="219" t="s">
        <v>67</v>
      </c>
    </row>
    <row r="1790" spans="1:23" ht="15" customHeight="1" x14ac:dyDescent="0.25">
      <c r="A1790" t="s">
        <v>4325</v>
      </c>
      <c r="B1790" t="s">
        <v>575</v>
      </c>
      <c r="C1790">
        <v>5867</v>
      </c>
      <c r="D1790" t="s">
        <v>4326</v>
      </c>
      <c r="E1790" t="s">
        <v>263</v>
      </c>
      <c r="F1790" t="s">
        <v>585</v>
      </c>
      <c r="G1790" s="30">
        <v>46144</v>
      </c>
      <c r="H1790" t="s">
        <v>4327</v>
      </c>
      <c r="I1790">
        <v>1517337.26</v>
      </c>
      <c r="J1790" s="123">
        <v>0</v>
      </c>
      <c r="K1790" s="123">
        <v>0</v>
      </c>
      <c r="L1790" s="123">
        <v>46143</v>
      </c>
      <c r="M1790">
        <v>0</v>
      </c>
      <c r="N1790">
        <v>0</v>
      </c>
      <c r="O1790">
        <v>0</v>
      </c>
      <c r="P1790" s="216">
        <v>5867</v>
      </c>
      <c r="Q1790" s="217" t="s">
        <v>8</v>
      </c>
      <c r="R1790" s="217" t="s">
        <v>61</v>
      </c>
      <c r="S1790" s="218">
        <v>0.19612712865167498</v>
      </c>
      <c r="T1790" t="s">
        <v>550</v>
      </c>
      <c r="U1790" t="s">
        <v>74</v>
      </c>
      <c r="V1790" s="219">
        <v>0</v>
      </c>
      <c r="W1790" s="219">
        <v>0</v>
      </c>
    </row>
    <row r="1791" spans="1:23" ht="15" customHeight="1" x14ac:dyDescent="0.25">
      <c r="A1791" t="s">
        <v>4328</v>
      </c>
      <c r="B1791" t="s">
        <v>575</v>
      </c>
      <c r="C1791">
        <v>169807.68</v>
      </c>
      <c r="D1791" t="s">
        <v>4329</v>
      </c>
      <c r="E1791" t="s">
        <v>307</v>
      </c>
      <c r="F1791" t="s">
        <v>585</v>
      </c>
      <c r="G1791" s="30">
        <v>46147</v>
      </c>
      <c r="H1791" t="s">
        <v>4330</v>
      </c>
      <c r="I1791">
        <v>1698076.77</v>
      </c>
      <c r="J1791" s="123">
        <v>0</v>
      </c>
      <c r="K1791" s="123">
        <v>0</v>
      </c>
      <c r="L1791" s="123">
        <v>46146</v>
      </c>
      <c r="M1791">
        <v>0</v>
      </c>
      <c r="N1791">
        <v>0</v>
      </c>
      <c r="O1791">
        <v>0</v>
      </c>
      <c r="P1791" s="216">
        <v>169807.68</v>
      </c>
      <c r="Q1791" s="217" t="s">
        <v>49</v>
      </c>
      <c r="R1791" s="217" t="s">
        <v>61</v>
      </c>
      <c r="S1791" s="218">
        <v>0.4208137185693907</v>
      </c>
      <c r="T1791" t="s">
        <v>550</v>
      </c>
      <c r="U1791" t="s">
        <v>74</v>
      </c>
      <c r="V1791" s="219">
        <v>0</v>
      </c>
      <c r="W1791" s="219">
        <v>0</v>
      </c>
    </row>
    <row r="1792" spans="1:23" ht="15" customHeight="1" x14ac:dyDescent="0.25">
      <c r="A1792" t="s">
        <v>4331</v>
      </c>
      <c r="B1792" t="s">
        <v>595</v>
      </c>
      <c r="C1792">
        <v>167907.85</v>
      </c>
      <c r="D1792" t="s">
        <v>4332</v>
      </c>
      <c r="E1792" t="s">
        <v>307</v>
      </c>
      <c r="F1792" t="s">
        <v>554</v>
      </c>
      <c r="G1792" s="30">
        <v>46143</v>
      </c>
      <c r="H1792" t="s">
        <v>4333</v>
      </c>
      <c r="I1792">
        <v>1679078.47</v>
      </c>
      <c r="J1792" s="123">
        <v>0</v>
      </c>
      <c r="K1792" s="123">
        <v>0</v>
      </c>
      <c r="L1792" s="123">
        <v>46098</v>
      </c>
      <c r="M1792">
        <v>0</v>
      </c>
      <c r="N1792">
        <v>0</v>
      </c>
      <c r="O1792">
        <v>0</v>
      </c>
      <c r="P1792" s="216">
        <v>167907.85</v>
      </c>
      <c r="Q1792" s="217" t="s">
        <v>49</v>
      </c>
      <c r="R1792" s="217" t="s">
        <v>554</v>
      </c>
      <c r="S1792" s="218">
        <v>0.40000026323963284</v>
      </c>
      <c r="T1792" t="s">
        <v>550</v>
      </c>
      <c r="U1792" t="s">
        <v>74</v>
      </c>
      <c r="V1792" s="219">
        <v>0</v>
      </c>
      <c r="W1792" s="219" t="s">
        <v>72</v>
      </c>
    </row>
    <row r="1793" spans="1:23" ht="15" customHeight="1" x14ac:dyDescent="0.25">
      <c r="A1793" t="s">
        <v>4334</v>
      </c>
      <c r="B1793" t="s">
        <v>546</v>
      </c>
      <c r="C1793">
        <v>32000</v>
      </c>
      <c r="D1793" t="s">
        <v>4335</v>
      </c>
      <c r="E1793" t="s">
        <v>553</v>
      </c>
      <c r="F1793" t="s">
        <v>554</v>
      </c>
      <c r="G1793" s="30">
        <v>46149</v>
      </c>
      <c r="H1793" t="s">
        <v>4336</v>
      </c>
      <c r="I1793">
        <v>1730307.14</v>
      </c>
      <c r="J1793" s="123">
        <v>46149</v>
      </c>
      <c r="K1793" s="123">
        <v>0</v>
      </c>
      <c r="L1793" s="123">
        <v>46149</v>
      </c>
      <c r="M1793">
        <v>0</v>
      </c>
      <c r="N1793">
        <v>0</v>
      </c>
      <c r="O1793" t="s">
        <v>556</v>
      </c>
      <c r="P1793" s="216">
        <v>32000</v>
      </c>
      <c r="Q1793" s="217" t="s">
        <v>8</v>
      </c>
      <c r="R1793" s="217" t="s">
        <v>554</v>
      </c>
      <c r="S1793" s="218">
        <v>0.32253934408431095</v>
      </c>
      <c r="T1793" t="s">
        <v>550</v>
      </c>
      <c r="U1793" t="s">
        <v>74</v>
      </c>
      <c r="V1793" s="219" t="s">
        <v>6821</v>
      </c>
      <c r="W1793" s="219" t="s">
        <v>67</v>
      </c>
    </row>
    <row r="1794" spans="1:23" ht="15" customHeight="1" x14ac:dyDescent="0.25">
      <c r="A1794" t="s">
        <v>4337</v>
      </c>
      <c r="B1794" t="s">
        <v>546</v>
      </c>
      <c r="C1794">
        <v>173031.87</v>
      </c>
      <c r="D1794" t="s">
        <v>4335</v>
      </c>
      <c r="E1794" t="s">
        <v>553</v>
      </c>
      <c r="F1794" t="s">
        <v>548</v>
      </c>
      <c r="G1794" s="30">
        <v>46149</v>
      </c>
      <c r="H1794" t="s">
        <v>4336</v>
      </c>
      <c r="I1794">
        <v>1730307.14</v>
      </c>
      <c r="J1794" s="123">
        <v>46149</v>
      </c>
      <c r="K1794" s="123">
        <v>0</v>
      </c>
      <c r="L1794" s="123">
        <v>46149</v>
      </c>
      <c r="M1794">
        <v>0</v>
      </c>
      <c r="N1794">
        <v>0</v>
      </c>
      <c r="O1794" t="s">
        <v>556</v>
      </c>
      <c r="P1794" s="216">
        <v>173031.87</v>
      </c>
      <c r="Q1794" s="217" t="s">
        <v>8</v>
      </c>
      <c r="R1794" s="217" t="s">
        <v>62</v>
      </c>
      <c r="S1794" s="218">
        <v>0.32253934408431095</v>
      </c>
      <c r="T1794" t="s">
        <v>550</v>
      </c>
      <c r="U1794" t="s">
        <v>74</v>
      </c>
      <c r="V1794" s="219">
        <v>0</v>
      </c>
      <c r="W1794" s="219">
        <v>0</v>
      </c>
    </row>
    <row r="1795" spans="1:23" ht="15" customHeight="1" x14ac:dyDescent="0.25">
      <c r="A1795" t="s">
        <v>4338</v>
      </c>
      <c r="B1795" t="s">
        <v>546</v>
      </c>
      <c r="C1795">
        <v>20000</v>
      </c>
      <c r="D1795" t="s">
        <v>4335</v>
      </c>
      <c r="E1795" t="s">
        <v>553</v>
      </c>
      <c r="F1795" t="s">
        <v>548</v>
      </c>
      <c r="G1795" s="30">
        <v>46149</v>
      </c>
      <c r="H1795" t="s">
        <v>4336</v>
      </c>
      <c r="I1795">
        <v>1730307.14</v>
      </c>
      <c r="J1795" s="123">
        <v>46149</v>
      </c>
      <c r="K1795" s="123">
        <v>0</v>
      </c>
      <c r="L1795" s="123">
        <v>46149</v>
      </c>
      <c r="M1795">
        <v>0</v>
      </c>
      <c r="N1795">
        <v>0</v>
      </c>
      <c r="O1795" t="s">
        <v>556</v>
      </c>
      <c r="P1795" s="216">
        <v>20000</v>
      </c>
      <c r="Q1795" s="217" t="s">
        <v>8</v>
      </c>
      <c r="R1795" s="217" t="s">
        <v>62</v>
      </c>
      <c r="S1795" s="218">
        <v>0.32253934408431095</v>
      </c>
      <c r="T1795" t="s">
        <v>550</v>
      </c>
      <c r="U1795" t="s">
        <v>74</v>
      </c>
      <c r="V1795" s="219">
        <v>0</v>
      </c>
      <c r="W1795" s="219">
        <v>0</v>
      </c>
    </row>
    <row r="1796" spans="1:23" ht="15" customHeight="1" x14ac:dyDescent="0.25">
      <c r="A1796" t="s">
        <v>4339</v>
      </c>
      <c r="B1796" t="s">
        <v>546</v>
      </c>
      <c r="C1796">
        <v>7000</v>
      </c>
      <c r="D1796" t="s">
        <v>4335</v>
      </c>
      <c r="E1796" t="s">
        <v>553</v>
      </c>
      <c r="F1796" t="s">
        <v>554</v>
      </c>
      <c r="G1796" s="30">
        <v>46149</v>
      </c>
      <c r="H1796" t="s">
        <v>4336</v>
      </c>
      <c r="I1796">
        <v>1730307.14</v>
      </c>
      <c r="J1796" s="123">
        <v>46149</v>
      </c>
      <c r="K1796" s="123">
        <v>0</v>
      </c>
      <c r="L1796" s="123">
        <v>46149</v>
      </c>
      <c r="M1796">
        <v>0</v>
      </c>
      <c r="N1796">
        <v>0</v>
      </c>
      <c r="O1796" t="s">
        <v>556</v>
      </c>
      <c r="P1796" s="216">
        <v>7000</v>
      </c>
      <c r="Q1796" s="217" t="s">
        <v>8</v>
      </c>
      <c r="R1796" s="217" t="s">
        <v>554</v>
      </c>
      <c r="S1796" s="218">
        <v>0.32253934408431095</v>
      </c>
      <c r="T1796" t="s">
        <v>550</v>
      </c>
      <c r="U1796" t="s">
        <v>74</v>
      </c>
      <c r="V1796" s="219" t="s">
        <v>6822</v>
      </c>
      <c r="W1796" s="219" t="s">
        <v>67</v>
      </c>
    </row>
    <row r="1797" spans="1:23" ht="15" customHeight="1" x14ac:dyDescent="0.25">
      <c r="A1797" t="s">
        <v>4340</v>
      </c>
      <c r="B1797" t="s">
        <v>546</v>
      </c>
      <c r="C1797">
        <v>60000</v>
      </c>
      <c r="D1797" t="s">
        <v>4341</v>
      </c>
      <c r="E1797" t="s">
        <v>553</v>
      </c>
      <c r="F1797" t="s">
        <v>554</v>
      </c>
      <c r="G1797" s="30">
        <v>46149</v>
      </c>
      <c r="H1797" t="s">
        <v>4342</v>
      </c>
      <c r="I1797">
        <v>1699408.8</v>
      </c>
      <c r="J1797" s="123">
        <v>46149</v>
      </c>
      <c r="K1797" s="123">
        <v>0</v>
      </c>
      <c r="L1797" s="123">
        <v>46149</v>
      </c>
      <c r="M1797">
        <v>0</v>
      </c>
      <c r="N1797">
        <v>0</v>
      </c>
      <c r="O1797" t="s">
        <v>556</v>
      </c>
      <c r="P1797" s="216">
        <v>60000</v>
      </c>
      <c r="Q1797" s="217" t="s">
        <v>8</v>
      </c>
      <c r="R1797" s="217" t="s">
        <v>554</v>
      </c>
      <c r="S1797" s="218">
        <v>0.4000002824511677</v>
      </c>
      <c r="T1797" t="s">
        <v>550</v>
      </c>
      <c r="U1797" t="s">
        <v>74</v>
      </c>
      <c r="V1797" s="219" t="s">
        <v>6823</v>
      </c>
      <c r="W1797" s="219" t="s">
        <v>67</v>
      </c>
    </row>
    <row r="1798" spans="1:23" ht="15" customHeight="1" x14ac:dyDescent="0.25">
      <c r="A1798" t="s">
        <v>4343</v>
      </c>
      <c r="B1798" t="s">
        <v>546</v>
      </c>
      <c r="C1798">
        <v>60000</v>
      </c>
      <c r="D1798" t="s">
        <v>4341</v>
      </c>
      <c r="E1798" t="s">
        <v>553</v>
      </c>
      <c r="F1798" t="s">
        <v>548</v>
      </c>
      <c r="G1798" s="30">
        <v>46149</v>
      </c>
      <c r="H1798" t="s">
        <v>4342</v>
      </c>
      <c r="I1798">
        <v>1699408.8</v>
      </c>
      <c r="J1798" s="123">
        <v>46148</v>
      </c>
      <c r="K1798" s="123">
        <v>0</v>
      </c>
      <c r="L1798" s="123">
        <v>46148</v>
      </c>
      <c r="M1798">
        <v>0</v>
      </c>
      <c r="N1798">
        <v>0</v>
      </c>
      <c r="O1798" t="s">
        <v>556</v>
      </c>
      <c r="P1798" s="216">
        <v>60000</v>
      </c>
      <c r="Q1798" s="217" t="s">
        <v>8</v>
      </c>
      <c r="R1798" s="217" t="s">
        <v>62</v>
      </c>
      <c r="S1798" s="218">
        <v>0.4000002824511677</v>
      </c>
      <c r="T1798" t="s">
        <v>550</v>
      </c>
      <c r="U1798" t="s">
        <v>74</v>
      </c>
      <c r="V1798" s="219">
        <v>0</v>
      </c>
      <c r="W1798" s="219">
        <v>0</v>
      </c>
    </row>
    <row r="1799" spans="1:23" ht="15" customHeight="1" x14ac:dyDescent="0.25">
      <c r="A1799" t="s">
        <v>4344</v>
      </c>
      <c r="B1799" t="s">
        <v>595</v>
      </c>
      <c r="C1799">
        <v>49470</v>
      </c>
      <c r="D1799" t="s">
        <v>4345</v>
      </c>
      <c r="E1799" t="s">
        <v>263</v>
      </c>
      <c r="F1799" t="s">
        <v>554</v>
      </c>
      <c r="G1799" s="30">
        <v>46146</v>
      </c>
      <c r="H1799" t="s">
        <v>4346</v>
      </c>
      <c r="I1799">
        <v>1812320.87</v>
      </c>
      <c r="J1799" s="123">
        <v>0</v>
      </c>
      <c r="K1799" s="123">
        <v>0</v>
      </c>
      <c r="L1799" s="123">
        <v>46145</v>
      </c>
      <c r="M1799">
        <v>0</v>
      </c>
      <c r="N1799">
        <v>0</v>
      </c>
      <c r="O1799">
        <v>0</v>
      </c>
      <c r="P1799" s="216">
        <v>49470</v>
      </c>
      <c r="Q1799" s="217" t="s">
        <v>8</v>
      </c>
      <c r="R1799" s="217" t="s">
        <v>554</v>
      </c>
      <c r="S1799" s="218">
        <v>0.22730522327428695</v>
      </c>
      <c r="T1799" t="s">
        <v>550</v>
      </c>
      <c r="U1799" t="s">
        <v>74</v>
      </c>
      <c r="V1799" s="219" t="s">
        <v>6824</v>
      </c>
      <c r="W1799" s="219" t="s">
        <v>67</v>
      </c>
    </row>
    <row r="1800" spans="1:23" ht="15" customHeight="1" x14ac:dyDescent="0.25">
      <c r="A1800" t="s">
        <v>4347</v>
      </c>
      <c r="B1800" t="s">
        <v>595</v>
      </c>
      <c r="C1800">
        <v>129269</v>
      </c>
      <c r="D1800" t="s">
        <v>4345</v>
      </c>
      <c r="E1800" t="s">
        <v>263</v>
      </c>
      <c r="F1800" t="s">
        <v>580</v>
      </c>
      <c r="G1800" s="30">
        <v>46147</v>
      </c>
      <c r="H1800" t="s">
        <v>4346</v>
      </c>
      <c r="I1800">
        <v>1812320.87</v>
      </c>
      <c r="J1800" s="123">
        <v>0</v>
      </c>
      <c r="K1800" s="123">
        <v>0</v>
      </c>
      <c r="L1800" s="123">
        <v>46147</v>
      </c>
      <c r="M1800">
        <v>0</v>
      </c>
      <c r="N1800">
        <v>0</v>
      </c>
      <c r="O1800">
        <v>0</v>
      </c>
      <c r="P1800" s="216">
        <v>129269</v>
      </c>
      <c r="Q1800" s="217" t="s">
        <v>8</v>
      </c>
      <c r="R1800" s="217" t="s">
        <v>582</v>
      </c>
      <c r="S1800" s="218">
        <v>0.22730522327428695</v>
      </c>
      <c r="T1800" t="s">
        <v>550</v>
      </c>
      <c r="U1800" t="s">
        <v>74</v>
      </c>
      <c r="V1800" s="219">
        <v>0</v>
      </c>
      <c r="W1800" s="219">
        <v>0</v>
      </c>
    </row>
    <row r="1801" spans="1:23" ht="15" customHeight="1" x14ac:dyDescent="0.25">
      <c r="A1801" t="s">
        <v>4348</v>
      </c>
      <c r="B1801" t="s">
        <v>595</v>
      </c>
      <c r="C1801">
        <v>16279.96</v>
      </c>
      <c r="D1801" t="s">
        <v>4349</v>
      </c>
      <c r="E1801" t="s">
        <v>263</v>
      </c>
      <c r="F1801" t="s">
        <v>554</v>
      </c>
      <c r="G1801" s="30">
        <v>46148</v>
      </c>
      <c r="H1801" t="s">
        <v>4350</v>
      </c>
      <c r="I1801">
        <v>1784379.24</v>
      </c>
      <c r="J1801" s="123">
        <v>0</v>
      </c>
      <c r="K1801" s="123">
        <v>0</v>
      </c>
      <c r="L1801" s="123">
        <v>46145</v>
      </c>
      <c r="M1801">
        <v>0</v>
      </c>
      <c r="N1801">
        <v>0</v>
      </c>
      <c r="O1801">
        <v>0</v>
      </c>
      <c r="P1801" s="216">
        <v>16279.96</v>
      </c>
      <c r="Q1801" s="217" t="s">
        <v>8</v>
      </c>
      <c r="R1801" s="217" t="s">
        <v>554</v>
      </c>
      <c r="S1801" s="218">
        <v>0.39321894374875149</v>
      </c>
      <c r="T1801" t="s">
        <v>550</v>
      </c>
      <c r="U1801" t="s">
        <v>74</v>
      </c>
      <c r="V1801" s="219" t="s">
        <v>6825</v>
      </c>
      <c r="W1801" s="219" t="s">
        <v>67</v>
      </c>
    </row>
    <row r="1802" spans="1:23" ht="15" customHeight="1" x14ac:dyDescent="0.25">
      <c r="A1802" t="s">
        <v>4351</v>
      </c>
      <c r="B1802" t="s">
        <v>575</v>
      </c>
      <c r="C1802">
        <v>20000</v>
      </c>
      <c r="D1802" t="s">
        <v>4352</v>
      </c>
      <c r="E1802" t="s">
        <v>263</v>
      </c>
      <c r="F1802" t="s">
        <v>554</v>
      </c>
      <c r="G1802" s="30">
        <v>46145</v>
      </c>
      <c r="H1802" t="s">
        <v>4353</v>
      </c>
      <c r="I1802">
        <v>1285749.05</v>
      </c>
      <c r="J1802" s="123">
        <v>0</v>
      </c>
      <c r="K1802" s="123">
        <v>0</v>
      </c>
      <c r="L1802" s="123">
        <v>46081</v>
      </c>
      <c r="M1802">
        <v>0</v>
      </c>
      <c r="N1802">
        <v>0</v>
      </c>
      <c r="O1802">
        <v>0</v>
      </c>
      <c r="P1802" s="216">
        <v>20000</v>
      </c>
      <c r="Q1802" s="217" t="s">
        <v>8</v>
      </c>
      <c r="R1802" s="217" t="s">
        <v>554</v>
      </c>
      <c r="S1802" s="218">
        <v>0.39355191434907144</v>
      </c>
      <c r="T1802" t="s">
        <v>550</v>
      </c>
      <c r="U1802" t="s">
        <v>74</v>
      </c>
      <c r="V1802" s="219" t="s">
        <v>6826</v>
      </c>
      <c r="W1802" s="219" t="s">
        <v>67</v>
      </c>
    </row>
    <row r="1803" spans="1:23" ht="15" customHeight="1" x14ac:dyDescent="0.25">
      <c r="A1803" t="s">
        <v>4354</v>
      </c>
      <c r="B1803" t="s">
        <v>546</v>
      </c>
      <c r="C1803">
        <v>10000</v>
      </c>
      <c r="D1803" t="s">
        <v>4355</v>
      </c>
      <c r="E1803" t="s">
        <v>553</v>
      </c>
      <c r="F1803" t="s">
        <v>554</v>
      </c>
      <c r="G1803" s="30">
        <v>46146</v>
      </c>
      <c r="H1803" t="s">
        <v>4356</v>
      </c>
      <c r="I1803">
        <v>1746029.99</v>
      </c>
      <c r="J1803" s="123">
        <v>46146</v>
      </c>
      <c r="K1803" s="123">
        <v>0</v>
      </c>
      <c r="L1803" s="123">
        <v>46146</v>
      </c>
      <c r="M1803">
        <v>0</v>
      </c>
      <c r="N1803">
        <v>0</v>
      </c>
      <c r="O1803" t="s">
        <v>556</v>
      </c>
      <c r="P1803" s="216">
        <v>10000</v>
      </c>
      <c r="Q1803" s="217" t="s">
        <v>8</v>
      </c>
      <c r="R1803" s="217" t="s">
        <v>554</v>
      </c>
      <c r="S1803" s="218">
        <v>0.34308173595574953</v>
      </c>
      <c r="T1803" t="s">
        <v>550</v>
      </c>
      <c r="U1803" t="s">
        <v>74</v>
      </c>
      <c r="V1803" s="219" t="s">
        <v>6827</v>
      </c>
      <c r="W1803" s="219" t="s">
        <v>67</v>
      </c>
    </row>
    <row r="1804" spans="1:23" ht="15" customHeight="1" x14ac:dyDescent="0.25">
      <c r="A1804" t="s">
        <v>4357</v>
      </c>
      <c r="B1804" t="s">
        <v>546</v>
      </c>
      <c r="C1804">
        <v>10000</v>
      </c>
      <c r="D1804" t="s">
        <v>4355</v>
      </c>
      <c r="E1804" t="s">
        <v>553</v>
      </c>
      <c r="F1804" t="s">
        <v>554</v>
      </c>
      <c r="G1804" s="30">
        <v>46146</v>
      </c>
      <c r="H1804" t="s">
        <v>4356</v>
      </c>
      <c r="I1804">
        <v>1746029.99</v>
      </c>
      <c r="J1804" s="123">
        <v>46146</v>
      </c>
      <c r="K1804" s="123">
        <v>0</v>
      </c>
      <c r="L1804" s="123">
        <v>46146</v>
      </c>
      <c r="M1804">
        <v>0</v>
      </c>
      <c r="N1804">
        <v>0</v>
      </c>
      <c r="O1804" t="s">
        <v>556</v>
      </c>
      <c r="P1804" s="216">
        <v>10000</v>
      </c>
      <c r="Q1804" s="217" t="s">
        <v>8</v>
      </c>
      <c r="R1804" s="217" t="s">
        <v>554</v>
      </c>
      <c r="S1804" s="218">
        <v>0.34308173595574953</v>
      </c>
      <c r="T1804" t="s">
        <v>550</v>
      </c>
      <c r="U1804" t="s">
        <v>74</v>
      </c>
      <c r="V1804" s="219" t="s">
        <v>6828</v>
      </c>
      <c r="W1804" s="219" t="s">
        <v>67</v>
      </c>
    </row>
    <row r="1805" spans="1:23" ht="15" customHeight="1" x14ac:dyDescent="0.25">
      <c r="A1805" t="s">
        <v>4358</v>
      </c>
      <c r="B1805" t="s">
        <v>595</v>
      </c>
      <c r="C1805">
        <v>138572</v>
      </c>
      <c r="D1805" t="s">
        <v>4359</v>
      </c>
      <c r="E1805" t="s">
        <v>321</v>
      </c>
      <c r="F1805" t="s">
        <v>580</v>
      </c>
      <c r="G1805" s="30">
        <v>46146</v>
      </c>
      <c r="H1805" t="s">
        <v>4360</v>
      </c>
      <c r="I1805">
        <v>2655887.15</v>
      </c>
      <c r="J1805" s="123">
        <v>0</v>
      </c>
      <c r="K1805" s="123">
        <v>0</v>
      </c>
      <c r="L1805" s="123">
        <v>46143</v>
      </c>
      <c r="M1805">
        <v>0</v>
      </c>
      <c r="N1805">
        <v>0</v>
      </c>
      <c r="O1805">
        <v>0</v>
      </c>
      <c r="P1805" s="216">
        <v>138572</v>
      </c>
      <c r="Q1805" s="217" t="s">
        <v>43</v>
      </c>
      <c r="R1805" s="217" t="s">
        <v>582</v>
      </c>
      <c r="S1805" s="218">
        <v>0.80844838606941571</v>
      </c>
      <c r="T1805" t="s">
        <v>550</v>
      </c>
      <c r="U1805" t="s">
        <v>74</v>
      </c>
      <c r="V1805" s="219">
        <v>0</v>
      </c>
      <c r="W1805" s="219">
        <v>0</v>
      </c>
    </row>
    <row r="1806" spans="1:23" ht="15" customHeight="1" x14ac:dyDescent="0.25">
      <c r="A1806" t="s">
        <v>4361</v>
      </c>
      <c r="B1806" t="s">
        <v>603</v>
      </c>
      <c r="C1806">
        <v>173000</v>
      </c>
      <c r="D1806" t="s">
        <v>4362</v>
      </c>
      <c r="E1806" t="s">
        <v>605</v>
      </c>
      <c r="F1806" t="s">
        <v>554</v>
      </c>
      <c r="G1806" s="30">
        <v>46148</v>
      </c>
      <c r="H1806" t="s">
        <v>4363</v>
      </c>
      <c r="I1806">
        <v>1766895.83</v>
      </c>
      <c r="J1806" s="123">
        <v>46148</v>
      </c>
      <c r="K1806" s="123">
        <v>0</v>
      </c>
      <c r="L1806" s="123">
        <v>0</v>
      </c>
      <c r="M1806">
        <v>0</v>
      </c>
      <c r="N1806">
        <v>0</v>
      </c>
      <c r="O1806">
        <v>0</v>
      </c>
      <c r="P1806" s="216">
        <v>173000</v>
      </c>
      <c r="Q1806" s="217" t="s">
        <v>8</v>
      </c>
      <c r="R1806" s="217" t="s">
        <v>554</v>
      </c>
      <c r="S1806" s="218">
        <v>0.29563089749326082</v>
      </c>
      <c r="T1806" t="s">
        <v>550</v>
      </c>
      <c r="U1806" t="s">
        <v>74</v>
      </c>
      <c r="V1806" s="219" t="s">
        <v>6829</v>
      </c>
      <c r="W1806" s="219" t="s">
        <v>67</v>
      </c>
    </row>
    <row r="1807" spans="1:23" ht="15" customHeight="1" x14ac:dyDescent="0.25">
      <c r="A1807" t="s">
        <v>4364</v>
      </c>
      <c r="B1807" t="s">
        <v>575</v>
      </c>
      <c r="C1807">
        <v>2337</v>
      </c>
      <c r="D1807" t="s">
        <v>4365</v>
      </c>
      <c r="E1807" t="s">
        <v>141</v>
      </c>
      <c r="F1807" t="s">
        <v>554</v>
      </c>
      <c r="G1807" s="30">
        <v>46146</v>
      </c>
      <c r="H1807" t="s">
        <v>4366</v>
      </c>
      <c r="I1807">
        <v>2318366.7000000002</v>
      </c>
      <c r="J1807" s="123">
        <v>0</v>
      </c>
      <c r="K1807" s="123">
        <v>0</v>
      </c>
      <c r="L1807" s="123">
        <v>46146</v>
      </c>
      <c r="M1807">
        <v>0</v>
      </c>
      <c r="N1807">
        <v>0</v>
      </c>
      <c r="O1807">
        <v>0</v>
      </c>
      <c r="P1807" s="216">
        <v>2337</v>
      </c>
      <c r="Q1807" s="217" t="s">
        <v>34</v>
      </c>
      <c r="R1807" s="217" t="s">
        <v>554</v>
      </c>
      <c r="S1807" s="218">
        <v>0.29460870016809676</v>
      </c>
      <c r="T1807" t="s">
        <v>550</v>
      </c>
      <c r="U1807" t="s">
        <v>51</v>
      </c>
      <c r="V1807" s="219" t="s">
        <v>6830</v>
      </c>
      <c r="W1807" s="219" t="s">
        <v>67</v>
      </c>
    </row>
    <row r="1808" spans="1:23" ht="15" customHeight="1" x14ac:dyDescent="0.25">
      <c r="A1808" t="s">
        <v>4367</v>
      </c>
      <c r="B1808" t="s">
        <v>575</v>
      </c>
      <c r="C1808">
        <v>30000</v>
      </c>
      <c r="D1808" t="s">
        <v>4365</v>
      </c>
      <c r="E1808" t="s">
        <v>141</v>
      </c>
      <c r="F1808" t="s">
        <v>554</v>
      </c>
      <c r="G1808" s="30">
        <v>46146</v>
      </c>
      <c r="H1808" t="s">
        <v>4366</v>
      </c>
      <c r="I1808">
        <v>2318366.7000000002</v>
      </c>
      <c r="J1808" s="123">
        <v>0</v>
      </c>
      <c r="K1808" s="123">
        <v>0</v>
      </c>
      <c r="L1808" s="123">
        <v>46145</v>
      </c>
      <c r="M1808">
        <v>0</v>
      </c>
      <c r="N1808">
        <v>0</v>
      </c>
      <c r="O1808">
        <v>0</v>
      </c>
      <c r="P1808" s="216">
        <v>30000</v>
      </c>
      <c r="Q1808" s="217" t="s">
        <v>34</v>
      </c>
      <c r="R1808" s="217" t="s">
        <v>554</v>
      </c>
      <c r="S1808" s="218">
        <v>0.29460870016809676</v>
      </c>
      <c r="T1808" t="s">
        <v>550</v>
      </c>
      <c r="U1808" t="s">
        <v>51</v>
      </c>
      <c r="V1808" s="219" t="s">
        <v>6831</v>
      </c>
      <c r="W1808" s="219" t="s">
        <v>67</v>
      </c>
    </row>
    <row r="1809" spans="1:23" ht="15" customHeight="1" x14ac:dyDescent="0.25">
      <c r="A1809" t="s">
        <v>4368</v>
      </c>
      <c r="B1809" t="s">
        <v>575</v>
      </c>
      <c r="C1809">
        <v>22000</v>
      </c>
      <c r="D1809" t="s">
        <v>4365</v>
      </c>
      <c r="E1809" t="s">
        <v>141</v>
      </c>
      <c r="F1809" t="s">
        <v>554</v>
      </c>
      <c r="G1809" s="30">
        <v>46147</v>
      </c>
      <c r="H1809" t="s">
        <v>4366</v>
      </c>
      <c r="I1809">
        <v>2318366.7000000002</v>
      </c>
      <c r="J1809" s="123">
        <v>0</v>
      </c>
      <c r="K1809" s="123">
        <v>0</v>
      </c>
      <c r="L1809" s="123">
        <v>46131</v>
      </c>
      <c r="M1809">
        <v>0</v>
      </c>
      <c r="N1809">
        <v>0</v>
      </c>
      <c r="O1809">
        <v>0</v>
      </c>
      <c r="P1809" s="216">
        <v>22000</v>
      </c>
      <c r="Q1809" s="217" t="s">
        <v>34</v>
      </c>
      <c r="R1809" s="217" t="s">
        <v>554</v>
      </c>
      <c r="S1809" s="218">
        <v>0.29460870016809676</v>
      </c>
      <c r="T1809" t="s">
        <v>550</v>
      </c>
      <c r="U1809" t="s">
        <v>51</v>
      </c>
      <c r="V1809" s="219" t="s">
        <v>6832</v>
      </c>
      <c r="W1809" s="219" t="s">
        <v>67</v>
      </c>
    </row>
    <row r="1810" spans="1:23" ht="15" customHeight="1" x14ac:dyDescent="0.25">
      <c r="A1810" t="s">
        <v>4369</v>
      </c>
      <c r="B1810" t="s">
        <v>575</v>
      </c>
      <c r="C1810">
        <v>12500</v>
      </c>
      <c r="D1810" t="s">
        <v>4365</v>
      </c>
      <c r="E1810" t="s">
        <v>141</v>
      </c>
      <c r="F1810" t="s">
        <v>580</v>
      </c>
      <c r="G1810" s="30">
        <v>46149</v>
      </c>
      <c r="H1810" t="s">
        <v>4366</v>
      </c>
      <c r="I1810">
        <v>2318366.7000000002</v>
      </c>
      <c r="J1810" s="123">
        <v>0</v>
      </c>
      <c r="K1810" s="123">
        <v>0</v>
      </c>
      <c r="L1810" s="123">
        <v>46134</v>
      </c>
      <c r="M1810">
        <v>0</v>
      </c>
      <c r="N1810">
        <v>0</v>
      </c>
      <c r="O1810">
        <v>0</v>
      </c>
      <c r="P1810" s="216">
        <v>12500</v>
      </c>
      <c r="Q1810" s="217" t="s">
        <v>34</v>
      </c>
      <c r="R1810" s="217" t="s">
        <v>582</v>
      </c>
      <c r="S1810" s="218">
        <v>0.29460870016809676</v>
      </c>
      <c r="T1810" t="s">
        <v>550</v>
      </c>
      <c r="U1810" t="s">
        <v>51</v>
      </c>
      <c r="V1810" s="219">
        <v>0</v>
      </c>
      <c r="W1810" s="219">
        <v>0</v>
      </c>
    </row>
    <row r="1811" spans="1:23" ht="15" customHeight="1" x14ac:dyDescent="0.25">
      <c r="A1811" t="s">
        <v>4370</v>
      </c>
      <c r="B1811" t="s">
        <v>595</v>
      </c>
      <c r="C1811">
        <v>228023</v>
      </c>
      <c r="D1811" t="s">
        <v>4371</v>
      </c>
      <c r="E1811" t="s">
        <v>141</v>
      </c>
      <c r="F1811" t="s">
        <v>554</v>
      </c>
      <c r="G1811" s="30">
        <v>46148</v>
      </c>
      <c r="H1811" t="s">
        <v>4372</v>
      </c>
      <c r="I1811">
        <v>2280228.7999999998</v>
      </c>
      <c r="J1811" s="123">
        <v>0</v>
      </c>
      <c r="K1811" s="123">
        <v>0</v>
      </c>
      <c r="L1811" s="123">
        <v>46148</v>
      </c>
      <c r="M1811">
        <v>0</v>
      </c>
      <c r="N1811">
        <v>0</v>
      </c>
      <c r="O1811">
        <v>0</v>
      </c>
      <c r="P1811" s="216">
        <v>228023</v>
      </c>
      <c r="Q1811" s="217" t="s">
        <v>34</v>
      </c>
      <c r="R1811" s="217" t="s">
        <v>554</v>
      </c>
      <c r="S1811" s="218">
        <v>0.30000015787889356</v>
      </c>
      <c r="T1811" t="s">
        <v>550</v>
      </c>
      <c r="U1811" t="s">
        <v>51</v>
      </c>
      <c r="V1811" s="219" t="s">
        <v>6833</v>
      </c>
      <c r="W1811" s="219" t="s">
        <v>67</v>
      </c>
    </row>
    <row r="1812" spans="1:23" ht="15" customHeight="1" x14ac:dyDescent="0.25">
      <c r="A1812" t="s">
        <v>4373</v>
      </c>
      <c r="B1812" t="s">
        <v>546</v>
      </c>
      <c r="C1812">
        <v>40000</v>
      </c>
      <c r="D1812" t="s">
        <v>4374</v>
      </c>
      <c r="E1812" t="s">
        <v>1700</v>
      </c>
      <c r="F1812" t="s">
        <v>554</v>
      </c>
      <c r="G1812" s="30">
        <v>46149</v>
      </c>
      <c r="H1812" t="s">
        <v>4375</v>
      </c>
      <c r="I1812">
        <v>3141989.25</v>
      </c>
      <c r="J1812" s="123">
        <v>0</v>
      </c>
      <c r="K1812" s="123">
        <v>0</v>
      </c>
      <c r="L1812" s="123">
        <v>0</v>
      </c>
      <c r="M1812">
        <v>0</v>
      </c>
      <c r="N1812">
        <v>0</v>
      </c>
      <c r="O1812">
        <v>0</v>
      </c>
      <c r="P1812" s="216">
        <v>40000</v>
      </c>
      <c r="Q1812" s="217" t="s">
        <v>47</v>
      </c>
      <c r="R1812" s="217" t="s">
        <v>554</v>
      </c>
      <c r="S1812" s="218">
        <v>0.34933187629461177</v>
      </c>
      <c r="T1812" t="s">
        <v>550</v>
      </c>
      <c r="U1812" t="s">
        <v>51</v>
      </c>
      <c r="V1812" s="219" t="s">
        <v>6834</v>
      </c>
      <c r="W1812" s="219" t="s">
        <v>67</v>
      </c>
    </row>
    <row r="1813" spans="1:23" ht="15" customHeight="1" x14ac:dyDescent="0.25">
      <c r="A1813" t="s">
        <v>4376</v>
      </c>
      <c r="B1813" t="s">
        <v>546</v>
      </c>
      <c r="C1813">
        <v>45000</v>
      </c>
      <c r="D1813" t="s">
        <v>4374</v>
      </c>
      <c r="E1813" t="s">
        <v>1700</v>
      </c>
      <c r="F1813" t="s">
        <v>554</v>
      </c>
      <c r="G1813" s="30">
        <v>46149</v>
      </c>
      <c r="H1813" t="s">
        <v>4375</v>
      </c>
      <c r="I1813">
        <v>3141989.25</v>
      </c>
      <c r="J1813" s="123">
        <v>0</v>
      </c>
      <c r="K1813" s="123">
        <v>0</v>
      </c>
      <c r="L1813" s="123">
        <v>0</v>
      </c>
      <c r="M1813">
        <v>0</v>
      </c>
      <c r="N1813">
        <v>0</v>
      </c>
      <c r="O1813">
        <v>0</v>
      </c>
      <c r="P1813" s="216">
        <v>45000</v>
      </c>
      <c r="Q1813" s="217" t="s">
        <v>47</v>
      </c>
      <c r="R1813" s="217" t="s">
        <v>554</v>
      </c>
      <c r="S1813" s="218">
        <v>0.34933187629461177</v>
      </c>
      <c r="T1813" t="s">
        <v>550</v>
      </c>
      <c r="U1813" t="s">
        <v>51</v>
      </c>
      <c r="V1813" s="219" t="s">
        <v>6835</v>
      </c>
      <c r="W1813" s="219" t="s">
        <v>67</v>
      </c>
    </row>
    <row r="1814" spans="1:23" ht="15" customHeight="1" x14ac:dyDescent="0.25">
      <c r="A1814" t="s">
        <v>4377</v>
      </c>
      <c r="B1814" t="s">
        <v>546</v>
      </c>
      <c r="C1814">
        <v>35000</v>
      </c>
      <c r="D1814" t="s">
        <v>4374</v>
      </c>
      <c r="E1814" t="s">
        <v>1700</v>
      </c>
      <c r="F1814" t="s">
        <v>554</v>
      </c>
      <c r="G1814" s="30">
        <v>46149</v>
      </c>
      <c r="H1814" t="s">
        <v>4375</v>
      </c>
      <c r="I1814">
        <v>3141989.25</v>
      </c>
      <c r="J1814" s="123">
        <v>0</v>
      </c>
      <c r="K1814" s="123">
        <v>0</v>
      </c>
      <c r="L1814" s="123">
        <v>0</v>
      </c>
      <c r="M1814">
        <v>0</v>
      </c>
      <c r="N1814">
        <v>0</v>
      </c>
      <c r="O1814">
        <v>0</v>
      </c>
      <c r="P1814" s="216">
        <v>35000</v>
      </c>
      <c r="Q1814" s="217" t="s">
        <v>47</v>
      </c>
      <c r="R1814" s="217" t="s">
        <v>554</v>
      </c>
      <c r="S1814" s="218">
        <v>0.34933187629461177</v>
      </c>
      <c r="T1814" t="s">
        <v>550</v>
      </c>
      <c r="U1814" t="s">
        <v>51</v>
      </c>
      <c r="V1814" s="219" t="s">
        <v>6836</v>
      </c>
      <c r="W1814" s="219" t="s">
        <v>67</v>
      </c>
    </row>
    <row r="1815" spans="1:23" ht="15" customHeight="1" x14ac:dyDescent="0.25">
      <c r="A1815" t="s">
        <v>4378</v>
      </c>
      <c r="B1815" t="s">
        <v>546</v>
      </c>
      <c r="C1815">
        <v>30000</v>
      </c>
      <c r="D1815" t="s">
        <v>4374</v>
      </c>
      <c r="E1815" t="s">
        <v>1700</v>
      </c>
      <c r="F1815" t="s">
        <v>554</v>
      </c>
      <c r="G1815" s="30">
        <v>46149</v>
      </c>
      <c r="H1815" t="s">
        <v>4375</v>
      </c>
      <c r="I1815">
        <v>3141989.25</v>
      </c>
      <c r="J1815" s="123">
        <v>0</v>
      </c>
      <c r="K1815" s="123">
        <v>0</v>
      </c>
      <c r="L1815" s="123">
        <v>0</v>
      </c>
      <c r="M1815">
        <v>0</v>
      </c>
      <c r="N1815">
        <v>0</v>
      </c>
      <c r="O1815">
        <v>0</v>
      </c>
      <c r="P1815" s="216">
        <v>30000</v>
      </c>
      <c r="Q1815" s="217" t="s">
        <v>47</v>
      </c>
      <c r="R1815" s="217" t="s">
        <v>554</v>
      </c>
      <c r="S1815" s="218">
        <v>0.34933187629461177</v>
      </c>
      <c r="T1815" t="s">
        <v>550</v>
      </c>
      <c r="U1815" t="s">
        <v>51</v>
      </c>
      <c r="V1815" s="219" t="s">
        <v>6837</v>
      </c>
      <c r="W1815" s="219" t="s">
        <v>67</v>
      </c>
    </row>
    <row r="1816" spans="1:23" ht="15" customHeight="1" x14ac:dyDescent="0.25">
      <c r="A1816" t="s">
        <v>4379</v>
      </c>
      <c r="B1816" t="s">
        <v>595</v>
      </c>
      <c r="C1816">
        <v>333036.99</v>
      </c>
      <c r="D1816" t="s">
        <v>4380</v>
      </c>
      <c r="E1816" t="s">
        <v>613</v>
      </c>
      <c r="F1816" t="s">
        <v>554</v>
      </c>
      <c r="G1816" s="30">
        <v>46146</v>
      </c>
      <c r="H1816" t="s">
        <v>4381</v>
      </c>
      <c r="I1816">
        <v>3330371.1</v>
      </c>
      <c r="J1816" s="123">
        <v>0</v>
      </c>
      <c r="K1816" s="123">
        <v>0</v>
      </c>
      <c r="L1816" s="123">
        <v>46145</v>
      </c>
      <c r="M1816">
        <v>0</v>
      </c>
      <c r="N1816">
        <v>0</v>
      </c>
      <c r="O1816">
        <v>0</v>
      </c>
      <c r="P1816" s="216">
        <v>333036.99</v>
      </c>
      <c r="Q1816" s="217" t="s">
        <v>28</v>
      </c>
      <c r="R1816" s="217" t="s">
        <v>554</v>
      </c>
      <c r="S1816" s="218">
        <v>0.3012185699065188</v>
      </c>
      <c r="T1816" t="s">
        <v>550</v>
      </c>
      <c r="U1816" t="s">
        <v>51</v>
      </c>
      <c r="V1816" s="219" t="s">
        <v>6838</v>
      </c>
      <c r="W1816" s="219" t="s">
        <v>67</v>
      </c>
    </row>
    <row r="1817" spans="1:23" ht="15" customHeight="1" x14ac:dyDescent="0.25">
      <c r="A1817" t="s">
        <v>4382</v>
      </c>
      <c r="B1817" t="s">
        <v>546</v>
      </c>
      <c r="C1817">
        <v>40000</v>
      </c>
      <c r="D1817" t="s">
        <v>4383</v>
      </c>
      <c r="E1817" t="s">
        <v>553</v>
      </c>
      <c r="F1817" t="s">
        <v>554</v>
      </c>
      <c r="G1817" s="30">
        <v>46144</v>
      </c>
      <c r="H1817" t="s">
        <v>4384</v>
      </c>
      <c r="I1817">
        <v>3330371.1</v>
      </c>
      <c r="J1817" s="123">
        <v>46144</v>
      </c>
      <c r="K1817" s="123">
        <v>0</v>
      </c>
      <c r="L1817" s="123">
        <v>46144</v>
      </c>
      <c r="M1817">
        <v>0</v>
      </c>
      <c r="N1817">
        <v>0</v>
      </c>
      <c r="O1817" t="s">
        <v>556</v>
      </c>
      <c r="P1817" s="216">
        <v>40000</v>
      </c>
      <c r="Q1817" s="217" t="s">
        <v>28</v>
      </c>
      <c r="R1817" s="217" t="s">
        <v>554</v>
      </c>
      <c r="S1817" s="218">
        <v>0.26998672910655513</v>
      </c>
      <c r="T1817" t="s">
        <v>550</v>
      </c>
      <c r="U1817" t="s">
        <v>51</v>
      </c>
      <c r="V1817" s="219" t="s">
        <v>6839</v>
      </c>
      <c r="W1817" s="219" t="s">
        <v>67</v>
      </c>
    </row>
    <row r="1818" spans="1:23" ht="15" customHeight="1" x14ac:dyDescent="0.25">
      <c r="A1818" t="s">
        <v>4385</v>
      </c>
      <c r="B1818" t="s">
        <v>546</v>
      </c>
      <c r="C1818">
        <v>40000</v>
      </c>
      <c r="D1818" t="s">
        <v>4383</v>
      </c>
      <c r="E1818" t="s">
        <v>553</v>
      </c>
      <c r="F1818" t="s">
        <v>554</v>
      </c>
      <c r="G1818" s="30">
        <v>46146</v>
      </c>
      <c r="H1818" t="s">
        <v>4384</v>
      </c>
      <c r="I1818">
        <v>3330371.1</v>
      </c>
      <c r="J1818" s="123">
        <v>46146</v>
      </c>
      <c r="K1818" s="123">
        <v>0</v>
      </c>
      <c r="L1818" s="123">
        <v>46146</v>
      </c>
      <c r="M1818">
        <v>0</v>
      </c>
      <c r="N1818">
        <v>0</v>
      </c>
      <c r="O1818" t="s">
        <v>556</v>
      </c>
      <c r="P1818" s="216">
        <v>40000</v>
      </c>
      <c r="Q1818" s="217" t="s">
        <v>28</v>
      </c>
      <c r="R1818" s="217" t="s">
        <v>554</v>
      </c>
      <c r="S1818" s="218">
        <v>0.26998672910655513</v>
      </c>
      <c r="T1818" t="s">
        <v>550</v>
      </c>
      <c r="U1818" t="s">
        <v>51</v>
      </c>
      <c r="V1818" s="219" t="s">
        <v>6840</v>
      </c>
      <c r="W1818" s="219" t="s">
        <v>67</v>
      </c>
    </row>
    <row r="1819" spans="1:23" ht="15" customHeight="1" x14ac:dyDescent="0.25">
      <c r="A1819" t="s">
        <v>4386</v>
      </c>
      <c r="B1819" t="s">
        <v>546</v>
      </c>
      <c r="C1819">
        <v>40000</v>
      </c>
      <c r="D1819" t="s">
        <v>4383</v>
      </c>
      <c r="E1819" t="s">
        <v>553</v>
      </c>
      <c r="F1819" t="s">
        <v>554</v>
      </c>
      <c r="G1819" s="30">
        <v>46147</v>
      </c>
      <c r="H1819" t="s">
        <v>4384</v>
      </c>
      <c r="I1819">
        <v>3330371.1</v>
      </c>
      <c r="J1819" s="123">
        <v>46147</v>
      </c>
      <c r="K1819" s="123">
        <v>0</v>
      </c>
      <c r="L1819" s="123">
        <v>46147</v>
      </c>
      <c r="M1819">
        <v>0</v>
      </c>
      <c r="N1819">
        <v>0</v>
      </c>
      <c r="O1819" t="s">
        <v>556</v>
      </c>
      <c r="P1819" s="216">
        <v>40000</v>
      </c>
      <c r="Q1819" s="217" t="s">
        <v>28</v>
      </c>
      <c r="R1819" s="217" t="s">
        <v>554</v>
      </c>
      <c r="S1819" s="218">
        <v>0.26998672910655513</v>
      </c>
      <c r="T1819" t="s">
        <v>550</v>
      </c>
      <c r="U1819" t="s">
        <v>51</v>
      </c>
      <c r="V1819" s="219" t="s">
        <v>6841</v>
      </c>
      <c r="W1819" s="219" t="s">
        <v>67</v>
      </c>
    </row>
    <row r="1820" spans="1:23" ht="15" customHeight="1" x14ac:dyDescent="0.25">
      <c r="A1820" t="s">
        <v>4387</v>
      </c>
      <c r="B1820" t="s">
        <v>546</v>
      </c>
      <c r="C1820">
        <v>50000</v>
      </c>
      <c r="D1820" t="s">
        <v>4388</v>
      </c>
      <c r="E1820" t="s">
        <v>553</v>
      </c>
      <c r="F1820" t="s">
        <v>554</v>
      </c>
      <c r="G1820" s="30">
        <v>46147</v>
      </c>
      <c r="H1820" t="s">
        <v>4389</v>
      </c>
      <c r="I1820">
        <v>6423617.2000000002</v>
      </c>
      <c r="J1820" s="123">
        <v>46147</v>
      </c>
      <c r="K1820" s="123">
        <v>0</v>
      </c>
      <c r="L1820" s="123">
        <v>46147</v>
      </c>
      <c r="M1820">
        <v>0</v>
      </c>
      <c r="N1820">
        <v>0</v>
      </c>
      <c r="O1820" t="s">
        <v>556</v>
      </c>
      <c r="P1820" s="216">
        <v>50000</v>
      </c>
      <c r="Q1820" s="217" t="s">
        <v>28</v>
      </c>
      <c r="R1820" s="217" t="s">
        <v>554</v>
      </c>
      <c r="S1820" s="218">
        <v>0.15204704290286786</v>
      </c>
      <c r="T1820" t="s">
        <v>550</v>
      </c>
      <c r="U1820" t="s">
        <v>51</v>
      </c>
      <c r="V1820" s="219" t="s">
        <v>6842</v>
      </c>
      <c r="W1820" s="219" t="s">
        <v>67</v>
      </c>
    </row>
    <row r="1821" spans="1:23" ht="15" customHeight="1" x14ac:dyDescent="0.25">
      <c r="A1821" t="s">
        <v>4390</v>
      </c>
      <c r="B1821" t="s">
        <v>546</v>
      </c>
      <c r="C1821">
        <v>1000391</v>
      </c>
      <c r="D1821" t="s">
        <v>4388</v>
      </c>
      <c r="E1821" t="s">
        <v>553</v>
      </c>
      <c r="F1821" t="s">
        <v>548</v>
      </c>
      <c r="G1821" s="30">
        <v>46147</v>
      </c>
      <c r="H1821" t="s">
        <v>4389</v>
      </c>
      <c r="I1821">
        <v>6423617.2000000002</v>
      </c>
      <c r="J1821" s="123">
        <v>46147</v>
      </c>
      <c r="K1821" s="123">
        <v>0</v>
      </c>
      <c r="L1821" s="123">
        <v>46147</v>
      </c>
      <c r="M1821">
        <v>0</v>
      </c>
      <c r="N1821">
        <v>0</v>
      </c>
      <c r="O1821" t="s">
        <v>556</v>
      </c>
      <c r="P1821" s="216">
        <v>1000391</v>
      </c>
      <c r="Q1821" s="217" t="s">
        <v>28</v>
      </c>
      <c r="R1821" s="217" t="s">
        <v>62</v>
      </c>
      <c r="S1821" s="218">
        <v>0.15204704290286786</v>
      </c>
      <c r="T1821" t="s">
        <v>550</v>
      </c>
      <c r="U1821" t="s">
        <v>51</v>
      </c>
      <c r="V1821" s="219">
        <v>0</v>
      </c>
      <c r="W1821" s="219">
        <v>0</v>
      </c>
    </row>
    <row r="1822" spans="1:23" ht="15" customHeight="1" x14ac:dyDescent="0.25">
      <c r="A1822" t="s">
        <v>4391</v>
      </c>
      <c r="B1822" t="s">
        <v>603</v>
      </c>
      <c r="C1822">
        <v>509982</v>
      </c>
      <c r="D1822" t="s">
        <v>4392</v>
      </c>
      <c r="E1822" t="s">
        <v>605</v>
      </c>
      <c r="F1822" t="s">
        <v>554</v>
      </c>
      <c r="G1822" s="30">
        <v>46147</v>
      </c>
      <c r="H1822" t="s">
        <v>4393</v>
      </c>
      <c r="I1822">
        <v>5099912.7</v>
      </c>
      <c r="J1822" s="123">
        <v>46147</v>
      </c>
      <c r="K1822" s="123">
        <v>0</v>
      </c>
      <c r="L1822" s="123">
        <v>0</v>
      </c>
      <c r="M1822">
        <v>0</v>
      </c>
      <c r="N1822">
        <v>0</v>
      </c>
      <c r="O1822">
        <v>0</v>
      </c>
      <c r="P1822" s="216">
        <v>509982</v>
      </c>
      <c r="Q1822" s="217" t="s">
        <v>47</v>
      </c>
      <c r="R1822" s="217" t="s">
        <v>554</v>
      </c>
      <c r="S1822" s="218">
        <v>0.3000000372555397</v>
      </c>
      <c r="T1822" t="s">
        <v>550</v>
      </c>
      <c r="U1822" t="s">
        <v>51</v>
      </c>
      <c r="V1822" s="219" t="s">
        <v>6843</v>
      </c>
      <c r="W1822" s="219" t="s">
        <v>67</v>
      </c>
    </row>
    <row r="1823" spans="1:23" ht="15" customHeight="1" x14ac:dyDescent="0.25">
      <c r="A1823" t="s">
        <v>4394</v>
      </c>
      <c r="B1823" t="s">
        <v>603</v>
      </c>
      <c r="C1823">
        <v>509982</v>
      </c>
      <c r="D1823" t="s">
        <v>4392</v>
      </c>
      <c r="E1823" t="s">
        <v>605</v>
      </c>
      <c r="F1823" t="s">
        <v>683</v>
      </c>
      <c r="G1823" s="30">
        <v>46147</v>
      </c>
      <c r="H1823" t="s">
        <v>4393</v>
      </c>
      <c r="I1823">
        <v>5099912.7</v>
      </c>
      <c r="J1823" s="123">
        <v>0</v>
      </c>
      <c r="K1823" s="123">
        <v>0</v>
      </c>
      <c r="L1823" s="123">
        <v>0</v>
      </c>
      <c r="M1823">
        <v>0</v>
      </c>
      <c r="N1823">
        <v>0</v>
      </c>
      <c r="O1823">
        <v>0</v>
      </c>
      <c r="P1823" s="216">
        <v>509982</v>
      </c>
      <c r="Q1823" s="217" t="s">
        <v>47</v>
      </c>
      <c r="R1823" s="217" t="s">
        <v>62</v>
      </c>
      <c r="S1823" s="218">
        <v>0.3000000372555397</v>
      </c>
      <c r="T1823" t="s">
        <v>550</v>
      </c>
      <c r="U1823" t="s">
        <v>51</v>
      </c>
      <c r="V1823" s="219">
        <v>0</v>
      </c>
      <c r="W1823" s="219">
        <v>0</v>
      </c>
    </row>
    <row r="1824" spans="1:23" ht="15" customHeight="1" x14ac:dyDescent="0.25">
      <c r="A1824" t="s">
        <v>4395</v>
      </c>
      <c r="B1824" t="s">
        <v>546</v>
      </c>
      <c r="C1824">
        <v>90000</v>
      </c>
      <c r="D1824" t="s">
        <v>4396</v>
      </c>
      <c r="E1824" t="s">
        <v>553</v>
      </c>
      <c r="F1824" t="s">
        <v>548</v>
      </c>
      <c r="G1824" s="30">
        <v>46143</v>
      </c>
      <c r="H1824" t="s">
        <v>4397</v>
      </c>
      <c r="I1824">
        <v>5099912.7</v>
      </c>
      <c r="J1824" s="123">
        <v>46143</v>
      </c>
      <c r="K1824" s="123">
        <v>0</v>
      </c>
      <c r="L1824" s="123">
        <v>46143</v>
      </c>
      <c r="M1824">
        <v>0</v>
      </c>
      <c r="N1824">
        <v>0</v>
      </c>
      <c r="O1824" t="s">
        <v>556</v>
      </c>
      <c r="P1824" s="216">
        <v>90000</v>
      </c>
      <c r="Q1824" s="217" t="s">
        <v>28</v>
      </c>
      <c r="R1824" s="217" t="s">
        <v>62</v>
      </c>
      <c r="S1824" s="218">
        <v>0.30077610348114392</v>
      </c>
      <c r="T1824" t="s">
        <v>550</v>
      </c>
      <c r="U1824" t="s">
        <v>51</v>
      </c>
      <c r="V1824" s="219">
        <v>0</v>
      </c>
      <c r="W1824" s="219">
        <v>0</v>
      </c>
    </row>
    <row r="1825" spans="1:23" ht="15" customHeight="1" x14ac:dyDescent="0.25">
      <c r="A1825" t="s">
        <v>4398</v>
      </c>
      <c r="B1825" t="s">
        <v>546</v>
      </c>
      <c r="C1825">
        <v>91844.23</v>
      </c>
      <c r="D1825" t="s">
        <v>4396</v>
      </c>
      <c r="E1825" t="s">
        <v>553</v>
      </c>
      <c r="F1825" t="s">
        <v>548</v>
      </c>
      <c r="G1825" s="30">
        <v>46143</v>
      </c>
      <c r="H1825" t="s">
        <v>4397</v>
      </c>
      <c r="I1825">
        <v>5099912.7</v>
      </c>
      <c r="J1825" s="123">
        <v>46143</v>
      </c>
      <c r="K1825" s="123">
        <v>0</v>
      </c>
      <c r="L1825" s="123">
        <v>46143</v>
      </c>
      <c r="M1825">
        <v>0</v>
      </c>
      <c r="N1825">
        <v>0</v>
      </c>
      <c r="O1825" t="s">
        <v>556</v>
      </c>
      <c r="P1825" s="216">
        <v>91844.23</v>
      </c>
      <c r="Q1825" s="217" t="s">
        <v>28</v>
      </c>
      <c r="R1825" s="217" t="s">
        <v>62</v>
      </c>
      <c r="S1825" s="218">
        <v>0.30077610348114392</v>
      </c>
      <c r="T1825" t="s">
        <v>550</v>
      </c>
      <c r="U1825" t="s">
        <v>51</v>
      </c>
      <c r="V1825" s="219">
        <v>0</v>
      </c>
      <c r="W1825" s="219">
        <v>0</v>
      </c>
    </row>
    <row r="1826" spans="1:23" ht="15" customHeight="1" x14ac:dyDescent="0.25">
      <c r="A1826" t="s">
        <v>4399</v>
      </c>
      <c r="B1826" t="s">
        <v>546</v>
      </c>
      <c r="C1826">
        <v>110213.08</v>
      </c>
      <c r="D1826" t="s">
        <v>4396</v>
      </c>
      <c r="E1826" t="s">
        <v>553</v>
      </c>
      <c r="F1826" t="s">
        <v>554</v>
      </c>
      <c r="G1826" s="30">
        <v>46143</v>
      </c>
      <c r="H1826" t="s">
        <v>4397</v>
      </c>
      <c r="I1826">
        <v>5099912.7</v>
      </c>
      <c r="J1826" s="123">
        <v>46143</v>
      </c>
      <c r="K1826" s="123">
        <v>0</v>
      </c>
      <c r="L1826" s="123">
        <v>46143</v>
      </c>
      <c r="M1826">
        <v>0</v>
      </c>
      <c r="N1826">
        <v>0</v>
      </c>
      <c r="O1826" t="s">
        <v>556</v>
      </c>
      <c r="P1826" s="216">
        <v>110213.08</v>
      </c>
      <c r="Q1826" s="217" t="s">
        <v>28</v>
      </c>
      <c r="R1826" s="217" t="s">
        <v>554</v>
      </c>
      <c r="S1826" s="218">
        <v>0.30077610348114392</v>
      </c>
      <c r="T1826" t="s">
        <v>550</v>
      </c>
      <c r="U1826" t="s">
        <v>51</v>
      </c>
      <c r="V1826" s="219" t="s">
        <v>6844</v>
      </c>
      <c r="W1826" s="219" t="s">
        <v>67</v>
      </c>
    </row>
    <row r="1827" spans="1:23" ht="15" customHeight="1" x14ac:dyDescent="0.25">
      <c r="A1827" t="s">
        <v>4400</v>
      </c>
      <c r="B1827" t="s">
        <v>546</v>
      </c>
      <c r="C1827">
        <v>509990.5</v>
      </c>
      <c r="D1827" t="s">
        <v>4396</v>
      </c>
      <c r="E1827" t="s">
        <v>553</v>
      </c>
      <c r="F1827" t="s">
        <v>548</v>
      </c>
      <c r="G1827" s="30">
        <v>46143</v>
      </c>
      <c r="H1827" t="s">
        <v>4397</v>
      </c>
      <c r="I1827">
        <v>5099912.7</v>
      </c>
      <c r="J1827" s="123">
        <v>46143</v>
      </c>
      <c r="K1827" s="123">
        <v>0</v>
      </c>
      <c r="L1827" s="123">
        <v>46143</v>
      </c>
      <c r="M1827">
        <v>0</v>
      </c>
      <c r="N1827">
        <v>0</v>
      </c>
      <c r="O1827" t="s">
        <v>556</v>
      </c>
      <c r="P1827" s="216">
        <v>509990.5</v>
      </c>
      <c r="Q1827" s="217" t="s">
        <v>28</v>
      </c>
      <c r="R1827" s="217" t="s">
        <v>62</v>
      </c>
      <c r="S1827" s="218">
        <v>0.30077610348114392</v>
      </c>
      <c r="T1827" t="s">
        <v>550</v>
      </c>
      <c r="U1827" t="s">
        <v>51</v>
      </c>
      <c r="V1827" s="219">
        <v>0</v>
      </c>
      <c r="W1827" s="219">
        <v>0</v>
      </c>
    </row>
    <row r="1828" spans="1:23" ht="15" customHeight="1" x14ac:dyDescent="0.25">
      <c r="A1828" t="s">
        <v>4401</v>
      </c>
      <c r="B1828" t="s">
        <v>595</v>
      </c>
      <c r="C1828">
        <v>399777.42</v>
      </c>
      <c r="D1828" t="s">
        <v>4396</v>
      </c>
      <c r="E1828" t="s">
        <v>553</v>
      </c>
      <c r="F1828" t="s">
        <v>585</v>
      </c>
      <c r="G1828" s="30">
        <v>46143</v>
      </c>
      <c r="H1828" t="s">
        <v>4397</v>
      </c>
      <c r="I1828">
        <v>5099912.7</v>
      </c>
      <c r="J1828" s="123">
        <v>46143</v>
      </c>
      <c r="K1828" s="123">
        <v>0</v>
      </c>
      <c r="L1828" s="123">
        <v>46143</v>
      </c>
      <c r="M1828">
        <v>0</v>
      </c>
      <c r="N1828">
        <v>0</v>
      </c>
      <c r="O1828" t="s">
        <v>556</v>
      </c>
      <c r="P1828" s="216">
        <v>399777.42</v>
      </c>
      <c r="Q1828" s="217" t="s">
        <v>28</v>
      </c>
      <c r="R1828" s="217" t="s">
        <v>61</v>
      </c>
      <c r="S1828" s="218">
        <v>0.30077610348114392</v>
      </c>
      <c r="T1828" t="s">
        <v>550</v>
      </c>
      <c r="U1828" t="s">
        <v>51</v>
      </c>
      <c r="V1828" s="219">
        <v>0</v>
      </c>
      <c r="W1828" s="219">
        <v>0</v>
      </c>
    </row>
    <row r="1829" spans="1:23" ht="15" customHeight="1" x14ac:dyDescent="0.25">
      <c r="A1829" t="s">
        <v>4402</v>
      </c>
      <c r="B1829" t="s">
        <v>595</v>
      </c>
      <c r="C1829">
        <v>403736.29</v>
      </c>
      <c r="D1829" t="s">
        <v>4396</v>
      </c>
      <c r="E1829" t="s">
        <v>613</v>
      </c>
      <c r="F1829" t="s">
        <v>554</v>
      </c>
      <c r="G1829" s="30">
        <v>46144</v>
      </c>
      <c r="H1829" t="s">
        <v>4397</v>
      </c>
      <c r="I1829">
        <v>5099912.7</v>
      </c>
      <c r="J1829" s="123">
        <v>0</v>
      </c>
      <c r="K1829" s="123">
        <v>0</v>
      </c>
      <c r="L1829" s="123">
        <v>46144</v>
      </c>
      <c r="M1829">
        <v>0</v>
      </c>
      <c r="N1829">
        <v>0</v>
      </c>
      <c r="O1829">
        <v>0</v>
      </c>
      <c r="P1829" s="216">
        <v>403736.29</v>
      </c>
      <c r="Q1829" s="217" t="s">
        <v>28</v>
      </c>
      <c r="R1829" s="217" t="s">
        <v>554</v>
      </c>
      <c r="S1829" s="218">
        <v>0.30077610348114392</v>
      </c>
      <c r="T1829" t="s">
        <v>550</v>
      </c>
      <c r="U1829" t="s">
        <v>51</v>
      </c>
      <c r="V1829" s="219" t="s">
        <v>6845</v>
      </c>
      <c r="W1829" s="219" t="s">
        <v>67</v>
      </c>
    </row>
    <row r="1830" spans="1:23" ht="15" customHeight="1" x14ac:dyDescent="0.25">
      <c r="A1830" t="s">
        <v>4403</v>
      </c>
      <c r="B1830" t="s">
        <v>546</v>
      </c>
      <c r="C1830">
        <v>45000</v>
      </c>
      <c r="D1830" t="s">
        <v>4404</v>
      </c>
      <c r="E1830" t="s">
        <v>307</v>
      </c>
      <c r="F1830" t="s">
        <v>548</v>
      </c>
      <c r="G1830" s="30">
        <v>46148</v>
      </c>
      <c r="H1830" t="s">
        <v>4405</v>
      </c>
      <c r="I1830">
        <v>1682243.06</v>
      </c>
      <c r="J1830" s="123">
        <v>0</v>
      </c>
      <c r="K1830" s="123">
        <v>0</v>
      </c>
      <c r="L1830" s="123">
        <v>0</v>
      </c>
      <c r="M1830">
        <v>0</v>
      </c>
      <c r="N1830">
        <v>0</v>
      </c>
      <c r="O1830">
        <v>0</v>
      </c>
      <c r="P1830" s="216">
        <v>45000</v>
      </c>
      <c r="Q1830" s="217" t="s">
        <v>49</v>
      </c>
      <c r="R1830" s="217" t="s">
        <v>62</v>
      </c>
      <c r="S1830" s="218">
        <v>0.23864518721807063</v>
      </c>
      <c r="T1830" t="s">
        <v>550</v>
      </c>
      <c r="U1830" t="s">
        <v>74</v>
      </c>
      <c r="V1830" s="219">
        <v>0</v>
      </c>
      <c r="W1830" s="219">
        <v>0</v>
      </c>
    </row>
    <row r="1831" spans="1:23" ht="15" customHeight="1" x14ac:dyDescent="0.25">
      <c r="A1831" t="s">
        <v>4406</v>
      </c>
      <c r="B1831" t="s">
        <v>546</v>
      </c>
      <c r="C1831">
        <v>23000</v>
      </c>
      <c r="D1831" t="s">
        <v>4404</v>
      </c>
      <c r="E1831" t="s">
        <v>307</v>
      </c>
      <c r="F1831" t="s">
        <v>548</v>
      </c>
      <c r="G1831" s="30">
        <v>46148</v>
      </c>
      <c r="H1831" t="s">
        <v>4405</v>
      </c>
      <c r="I1831">
        <v>1682243.06</v>
      </c>
      <c r="J1831" s="123">
        <v>0</v>
      </c>
      <c r="K1831" s="123">
        <v>0</v>
      </c>
      <c r="L1831" s="123">
        <v>0</v>
      </c>
      <c r="M1831">
        <v>0</v>
      </c>
      <c r="N1831">
        <v>0</v>
      </c>
      <c r="O1831">
        <v>0</v>
      </c>
      <c r="P1831" s="216">
        <v>23000</v>
      </c>
      <c r="Q1831" s="217" t="s">
        <v>49</v>
      </c>
      <c r="R1831" s="217" t="s">
        <v>62</v>
      </c>
      <c r="S1831" s="218">
        <v>0.23864518721807063</v>
      </c>
      <c r="T1831" t="s">
        <v>550</v>
      </c>
      <c r="U1831" t="s">
        <v>74</v>
      </c>
      <c r="V1831" s="219">
        <v>0</v>
      </c>
      <c r="W1831" s="219">
        <v>0</v>
      </c>
    </row>
    <row r="1832" spans="1:23" ht="15" customHeight="1" x14ac:dyDescent="0.25">
      <c r="A1832" t="s">
        <v>4407</v>
      </c>
      <c r="B1832" t="s">
        <v>546</v>
      </c>
      <c r="C1832">
        <v>95000</v>
      </c>
      <c r="D1832" t="s">
        <v>4404</v>
      </c>
      <c r="E1832" t="s">
        <v>307</v>
      </c>
      <c r="F1832" t="s">
        <v>548</v>
      </c>
      <c r="G1832" s="30">
        <v>46148</v>
      </c>
      <c r="H1832" t="s">
        <v>4405</v>
      </c>
      <c r="I1832">
        <v>1682243.06</v>
      </c>
      <c r="J1832" s="123">
        <v>0</v>
      </c>
      <c r="K1832" s="123">
        <v>0</v>
      </c>
      <c r="L1832" s="123">
        <v>0</v>
      </c>
      <c r="M1832">
        <v>0</v>
      </c>
      <c r="N1832">
        <v>0</v>
      </c>
      <c r="O1832">
        <v>0</v>
      </c>
      <c r="P1832" s="216">
        <v>95000</v>
      </c>
      <c r="Q1832" s="217" t="s">
        <v>49</v>
      </c>
      <c r="R1832" s="217" t="s">
        <v>62</v>
      </c>
      <c r="S1832" s="218">
        <v>0.23864518721807063</v>
      </c>
      <c r="T1832" t="s">
        <v>550</v>
      </c>
      <c r="U1832" t="s">
        <v>74</v>
      </c>
      <c r="V1832" s="219">
        <v>0</v>
      </c>
      <c r="W1832" s="219">
        <v>0</v>
      </c>
    </row>
    <row r="1833" spans="1:23" ht="15" customHeight="1" x14ac:dyDescent="0.25">
      <c r="A1833" t="s">
        <v>4408</v>
      </c>
      <c r="B1833" t="s">
        <v>546</v>
      </c>
      <c r="C1833">
        <v>20000</v>
      </c>
      <c r="D1833" t="s">
        <v>4404</v>
      </c>
      <c r="E1833" t="s">
        <v>307</v>
      </c>
      <c r="F1833" t="s">
        <v>554</v>
      </c>
      <c r="G1833" s="30">
        <v>46149</v>
      </c>
      <c r="H1833" t="s">
        <v>4405</v>
      </c>
      <c r="I1833">
        <v>1682243.06</v>
      </c>
      <c r="J1833" s="123">
        <v>0</v>
      </c>
      <c r="K1833" s="123">
        <v>0</v>
      </c>
      <c r="L1833" s="123">
        <v>0</v>
      </c>
      <c r="M1833">
        <v>0</v>
      </c>
      <c r="N1833">
        <v>0</v>
      </c>
      <c r="O1833">
        <v>0</v>
      </c>
      <c r="P1833" s="216">
        <v>20000</v>
      </c>
      <c r="Q1833" s="217" t="s">
        <v>49</v>
      </c>
      <c r="R1833" s="217" t="s">
        <v>554</v>
      </c>
      <c r="S1833" s="218">
        <v>0.23864518721807063</v>
      </c>
      <c r="T1833" t="s">
        <v>550</v>
      </c>
      <c r="U1833" t="s">
        <v>74</v>
      </c>
      <c r="V1833" s="219" t="s">
        <v>6846</v>
      </c>
      <c r="W1833" s="219" t="s">
        <v>67</v>
      </c>
    </row>
    <row r="1834" spans="1:23" ht="15" customHeight="1" x14ac:dyDescent="0.25">
      <c r="A1834" t="s">
        <v>4409</v>
      </c>
      <c r="B1834" t="s">
        <v>546</v>
      </c>
      <c r="C1834">
        <v>46000</v>
      </c>
      <c r="D1834" t="s">
        <v>4404</v>
      </c>
      <c r="E1834" t="s">
        <v>307</v>
      </c>
      <c r="F1834" t="s">
        <v>548</v>
      </c>
      <c r="G1834" s="30">
        <v>46149</v>
      </c>
      <c r="H1834" t="s">
        <v>4405</v>
      </c>
      <c r="I1834">
        <v>1682243.06</v>
      </c>
      <c r="J1834" s="123">
        <v>0</v>
      </c>
      <c r="K1834" s="123">
        <v>0</v>
      </c>
      <c r="L1834" s="123">
        <v>0</v>
      </c>
      <c r="M1834">
        <v>0</v>
      </c>
      <c r="N1834">
        <v>0</v>
      </c>
      <c r="O1834">
        <v>0</v>
      </c>
      <c r="P1834" s="216">
        <v>46000</v>
      </c>
      <c r="Q1834" s="217" t="s">
        <v>49</v>
      </c>
      <c r="R1834" s="217" t="s">
        <v>62</v>
      </c>
      <c r="S1834" s="218">
        <v>0.23864518721807063</v>
      </c>
      <c r="T1834" t="s">
        <v>550</v>
      </c>
      <c r="U1834" t="s">
        <v>74</v>
      </c>
      <c r="V1834" s="219">
        <v>0</v>
      </c>
      <c r="W1834" s="219">
        <v>0</v>
      </c>
    </row>
    <row r="1835" spans="1:23" ht="15" customHeight="1" x14ac:dyDescent="0.25">
      <c r="A1835" t="s">
        <v>4410</v>
      </c>
      <c r="B1835" t="s">
        <v>546</v>
      </c>
      <c r="C1835">
        <v>45000</v>
      </c>
      <c r="D1835" t="s">
        <v>4404</v>
      </c>
      <c r="E1835" t="s">
        <v>307</v>
      </c>
      <c r="F1835" t="s">
        <v>554</v>
      </c>
      <c r="G1835" s="30">
        <v>46149</v>
      </c>
      <c r="H1835" t="s">
        <v>4405</v>
      </c>
      <c r="I1835">
        <v>1682243.06</v>
      </c>
      <c r="J1835" s="123">
        <v>0</v>
      </c>
      <c r="K1835" s="123">
        <v>0</v>
      </c>
      <c r="L1835" s="123">
        <v>0</v>
      </c>
      <c r="M1835">
        <v>0</v>
      </c>
      <c r="N1835">
        <v>0</v>
      </c>
      <c r="O1835">
        <v>0</v>
      </c>
      <c r="P1835" s="216">
        <v>45000</v>
      </c>
      <c r="Q1835" s="217" t="s">
        <v>49</v>
      </c>
      <c r="R1835" s="217" t="s">
        <v>554</v>
      </c>
      <c r="S1835" s="218">
        <v>0.23864518721807063</v>
      </c>
      <c r="T1835" t="s">
        <v>550</v>
      </c>
      <c r="U1835" t="s">
        <v>74</v>
      </c>
      <c r="V1835" s="219" t="s">
        <v>6847</v>
      </c>
      <c r="W1835" s="219" t="s">
        <v>67</v>
      </c>
    </row>
    <row r="1836" spans="1:23" ht="15" customHeight="1" x14ac:dyDescent="0.25">
      <c r="A1836" t="s">
        <v>4411</v>
      </c>
      <c r="B1836" t="s">
        <v>575</v>
      </c>
      <c r="C1836">
        <v>50000</v>
      </c>
      <c r="D1836" t="s">
        <v>4412</v>
      </c>
      <c r="E1836" t="s">
        <v>263</v>
      </c>
      <c r="F1836" t="s">
        <v>554</v>
      </c>
      <c r="G1836" s="30">
        <v>46145</v>
      </c>
      <c r="H1836" t="s">
        <v>4413</v>
      </c>
      <c r="I1836">
        <v>1679869.61</v>
      </c>
      <c r="J1836" s="123">
        <v>0</v>
      </c>
      <c r="K1836" s="123">
        <v>0</v>
      </c>
      <c r="L1836" s="123">
        <v>46143</v>
      </c>
      <c r="M1836">
        <v>0</v>
      </c>
      <c r="N1836">
        <v>0</v>
      </c>
      <c r="O1836">
        <v>0</v>
      </c>
      <c r="P1836" s="216">
        <v>50000</v>
      </c>
      <c r="Q1836" s="217" t="s">
        <v>8</v>
      </c>
      <c r="R1836" s="217" t="s">
        <v>554</v>
      </c>
      <c r="S1836" s="218">
        <v>0.22976426128692212</v>
      </c>
      <c r="T1836" t="s">
        <v>550</v>
      </c>
      <c r="U1836" t="s">
        <v>74</v>
      </c>
      <c r="V1836" s="219" t="s">
        <v>6848</v>
      </c>
      <c r="W1836" s="219" t="s">
        <v>67</v>
      </c>
    </row>
    <row r="1837" spans="1:23" ht="15" customHeight="1" x14ac:dyDescent="0.25">
      <c r="A1837" t="s">
        <v>4414</v>
      </c>
      <c r="B1837" t="s">
        <v>575</v>
      </c>
      <c r="C1837">
        <v>50000</v>
      </c>
      <c r="D1837" t="s">
        <v>4412</v>
      </c>
      <c r="E1837" t="s">
        <v>263</v>
      </c>
      <c r="F1837" t="s">
        <v>585</v>
      </c>
      <c r="G1837" s="30">
        <v>46145</v>
      </c>
      <c r="H1837" t="s">
        <v>4413</v>
      </c>
      <c r="I1837">
        <v>1679869.61</v>
      </c>
      <c r="J1837" s="123">
        <v>0</v>
      </c>
      <c r="K1837" s="123">
        <v>0</v>
      </c>
      <c r="L1837" s="123">
        <v>46143</v>
      </c>
      <c r="M1837">
        <v>0</v>
      </c>
      <c r="N1837">
        <v>0</v>
      </c>
      <c r="O1837">
        <v>0</v>
      </c>
      <c r="P1837" s="216">
        <v>50000</v>
      </c>
      <c r="Q1837" s="217" t="s">
        <v>8</v>
      </c>
      <c r="R1837" s="217" t="s">
        <v>61</v>
      </c>
      <c r="S1837" s="218">
        <v>0.22976426128692212</v>
      </c>
      <c r="T1837" t="s">
        <v>550</v>
      </c>
      <c r="U1837" t="s">
        <v>74</v>
      </c>
      <c r="V1837" s="219">
        <v>0</v>
      </c>
      <c r="W1837" s="219">
        <v>0</v>
      </c>
    </row>
    <row r="1838" spans="1:23" ht="15" customHeight="1" x14ac:dyDescent="0.25">
      <c r="A1838" t="s">
        <v>4415</v>
      </c>
      <c r="B1838" t="s">
        <v>575</v>
      </c>
      <c r="C1838">
        <v>1000</v>
      </c>
      <c r="D1838" t="s">
        <v>4412</v>
      </c>
      <c r="E1838" t="s">
        <v>3803</v>
      </c>
      <c r="F1838" t="s">
        <v>554</v>
      </c>
      <c r="G1838" s="30">
        <v>46147</v>
      </c>
      <c r="H1838" t="s">
        <v>4413</v>
      </c>
      <c r="I1838">
        <v>1679869.61</v>
      </c>
      <c r="J1838" s="123">
        <v>0</v>
      </c>
      <c r="K1838" s="123">
        <v>0</v>
      </c>
      <c r="L1838" s="123">
        <v>46136</v>
      </c>
      <c r="M1838">
        <v>1000</v>
      </c>
      <c r="N1838">
        <v>0</v>
      </c>
      <c r="O1838">
        <v>0</v>
      </c>
      <c r="P1838" s="216">
        <v>0</v>
      </c>
      <c r="Q1838" s="217" t="s">
        <v>8</v>
      </c>
      <c r="R1838" s="217" t="s">
        <v>554</v>
      </c>
      <c r="S1838" s="218">
        <v>0.22976426128692212</v>
      </c>
      <c r="T1838" t="s">
        <v>550</v>
      </c>
      <c r="U1838" t="s">
        <v>74</v>
      </c>
      <c r="V1838" s="219" t="s">
        <v>6849</v>
      </c>
      <c r="W1838" s="219" t="s">
        <v>67</v>
      </c>
    </row>
    <row r="1839" spans="1:23" ht="15" customHeight="1" x14ac:dyDescent="0.25">
      <c r="A1839" t="s">
        <v>4416</v>
      </c>
      <c r="B1839" t="s">
        <v>575</v>
      </c>
      <c r="C1839">
        <v>1000</v>
      </c>
      <c r="D1839" t="s">
        <v>4412</v>
      </c>
      <c r="E1839" t="s">
        <v>3803</v>
      </c>
      <c r="F1839" t="s">
        <v>554</v>
      </c>
      <c r="G1839" s="30">
        <v>46148</v>
      </c>
      <c r="H1839" t="s">
        <v>4413</v>
      </c>
      <c r="I1839">
        <v>1679869.61</v>
      </c>
      <c r="J1839" s="123">
        <v>0</v>
      </c>
      <c r="K1839" s="123">
        <v>0</v>
      </c>
      <c r="L1839" s="123">
        <v>46035</v>
      </c>
      <c r="M1839">
        <v>1000</v>
      </c>
      <c r="N1839">
        <v>0</v>
      </c>
      <c r="O1839">
        <v>0</v>
      </c>
      <c r="P1839" s="216">
        <v>0</v>
      </c>
      <c r="Q1839" s="217" t="s">
        <v>8</v>
      </c>
      <c r="R1839" s="217" t="s">
        <v>554</v>
      </c>
      <c r="S1839" s="218">
        <v>0.22976426128692212</v>
      </c>
      <c r="T1839" t="s">
        <v>550</v>
      </c>
      <c r="U1839" t="s">
        <v>74</v>
      </c>
      <c r="V1839" s="219" t="s">
        <v>6850</v>
      </c>
      <c r="W1839" s="219" t="s">
        <v>67</v>
      </c>
    </row>
    <row r="1840" spans="1:23" ht="15" customHeight="1" x14ac:dyDescent="0.25">
      <c r="A1840" t="s">
        <v>4417</v>
      </c>
      <c r="B1840" t="s">
        <v>575</v>
      </c>
      <c r="C1840">
        <v>1000</v>
      </c>
      <c r="D1840" t="s">
        <v>4412</v>
      </c>
      <c r="E1840" t="s">
        <v>3803</v>
      </c>
      <c r="F1840" t="s">
        <v>554</v>
      </c>
      <c r="G1840" s="30">
        <v>46148</v>
      </c>
      <c r="H1840" t="s">
        <v>4413</v>
      </c>
      <c r="I1840">
        <v>1679869.61</v>
      </c>
      <c r="J1840" s="123">
        <v>0</v>
      </c>
      <c r="K1840" s="123">
        <v>0</v>
      </c>
      <c r="L1840" s="123">
        <v>45979</v>
      </c>
      <c r="M1840">
        <v>1000</v>
      </c>
      <c r="N1840">
        <v>0</v>
      </c>
      <c r="O1840">
        <v>0</v>
      </c>
      <c r="P1840" s="216">
        <v>0</v>
      </c>
      <c r="Q1840" s="217" t="s">
        <v>8</v>
      </c>
      <c r="R1840" s="217" t="s">
        <v>554</v>
      </c>
      <c r="S1840" s="218">
        <v>0.22976426128692212</v>
      </c>
      <c r="T1840" t="s">
        <v>550</v>
      </c>
      <c r="U1840" t="s">
        <v>74</v>
      </c>
      <c r="V1840" s="219" t="s">
        <v>6851</v>
      </c>
      <c r="W1840" s="219" t="s">
        <v>67</v>
      </c>
    </row>
    <row r="1841" spans="1:23" ht="15" customHeight="1" x14ac:dyDescent="0.25">
      <c r="A1841" t="s">
        <v>4418</v>
      </c>
      <c r="B1841" t="s">
        <v>575</v>
      </c>
      <c r="C1841">
        <v>108608</v>
      </c>
      <c r="D1841" t="s">
        <v>4419</v>
      </c>
      <c r="E1841" t="s">
        <v>188</v>
      </c>
      <c r="F1841" t="s">
        <v>585</v>
      </c>
      <c r="G1841" s="30">
        <v>46146</v>
      </c>
      <c r="H1841" t="s">
        <v>4420</v>
      </c>
      <c r="I1841">
        <v>1086080</v>
      </c>
      <c r="J1841" s="123">
        <v>0</v>
      </c>
      <c r="K1841" s="123">
        <v>0</v>
      </c>
      <c r="L1841" s="123">
        <v>46141</v>
      </c>
      <c r="M1841">
        <v>0</v>
      </c>
      <c r="N1841">
        <v>0</v>
      </c>
      <c r="O1841">
        <v>0</v>
      </c>
      <c r="P1841" s="216">
        <v>108608</v>
      </c>
      <c r="Q1841" s="217" t="s">
        <v>17</v>
      </c>
      <c r="R1841" s="217" t="s">
        <v>61</v>
      </c>
      <c r="S1841" s="218">
        <v>0.20000092074248674</v>
      </c>
      <c r="T1841" t="s">
        <v>550</v>
      </c>
      <c r="U1841" t="s">
        <v>51</v>
      </c>
      <c r="V1841" s="219">
        <v>0</v>
      </c>
      <c r="W1841" s="219">
        <v>0</v>
      </c>
    </row>
    <row r="1842" spans="1:23" ht="15" customHeight="1" x14ac:dyDescent="0.25">
      <c r="A1842" t="s">
        <v>4421</v>
      </c>
      <c r="B1842" t="s">
        <v>595</v>
      </c>
      <c r="C1842">
        <v>108156</v>
      </c>
      <c r="D1842" t="s">
        <v>4422</v>
      </c>
      <c r="E1842" t="s">
        <v>188</v>
      </c>
      <c r="F1842" t="s">
        <v>585</v>
      </c>
      <c r="G1842" s="30">
        <v>46146</v>
      </c>
      <c r="H1842" t="s">
        <v>4423</v>
      </c>
      <c r="I1842">
        <v>1081560</v>
      </c>
      <c r="J1842" s="123">
        <v>0</v>
      </c>
      <c r="K1842" s="123">
        <v>0</v>
      </c>
      <c r="L1842" s="123">
        <v>46140</v>
      </c>
      <c r="M1842">
        <v>0</v>
      </c>
      <c r="N1842">
        <v>0</v>
      </c>
      <c r="O1842">
        <v>0</v>
      </c>
      <c r="P1842" s="216">
        <v>108156</v>
      </c>
      <c r="Q1842" s="217" t="s">
        <v>17</v>
      </c>
      <c r="R1842" s="217" t="s">
        <v>61</v>
      </c>
      <c r="S1842" s="218">
        <v>0.20039942305558636</v>
      </c>
      <c r="T1842" t="s">
        <v>550</v>
      </c>
      <c r="U1842" t="s">
        <v>51</v>
      </c>
      <c r="V1842" s="219">
        <v>0</v>
      </c>
      <c r="W1842" s="219">
        <v>0</v>
      </c>
    </row>
    <row r="1843" spans="1:23" ht="15" customHeight="1" x14ac:dyDescent="0.25">
      <c r="A1843" t="s">
        <v>4424</v>
      </c>
      <c r="B1843" t="s">
        <v>595</v>
      </c>
      <c r="C1843">
        <v>43156</v>
      </c>
      <c r="D1843" t="s">
        <v>4425</v>
      </c>
      <c r="E1843" t="s">
        <v>188</v>
      </c>
      <c r="F1843" t="s">
        <v>554</v>
      </c>
      <c r="G1843" s="30">
        <v>46146</v>
      </c>
      <c r="H1843" t="s">
        <v>4426</v>
      </c>
      <c r="I1843">
        <v>1081560</v>
      </c>
      <c r="J1843" s="123">
        <v>0</v>
      </c>
      <c r="K1843" s="123">
        <v>0</v>
      </c>
      <c r="L1843" s="123">
        <v>46146</v>
      </c>
      <c r="M1843">
        <v>0</v>
      </c>
      <c r="N1843">
        <v>0</v>
      </c>
      <c r="O1843">
        <v>0</v>
      </c>
      <c r="P1843" s="216">
        <v>43156</v>
      </c>
      <c r="Q1843" s="217" t="s">
        <v>17</v>
      </c>
      <c r="R1843" s="217" t="s">
        <v>554</v>
      </c>
      <c r="S1843" s="218">
        <v>0.3</v>
      </c>
      <c r="T1843" t="s">
        <v>550</v>
      </c>
      <c r="U1843" t="s">
        <v>51</v>
      </c>
      <c r="V1843" s="219" t="s">
        <v>6852</v>
      </c>
      <c r="W1843" s="219" t="s">
        <v>67</v>
      </c>
    </row>
    <row r="1844" spans="1:23" ht="15" customHeight="1" x14ac:dyDescent="0.25">
      <c r="A1844" t="s">
        <v>4427</v>
      </c>
      <c r="B1844" t="s">
        <v>595</v>
      </c>
      <c r="C1844">
        <v>108930</v>
      </c>
      <c r="D1844" t="s">
        <v>4428</v>
      </c>
      <c r="E1844" t="s">
        <v>188</v>
      </c>
      <c r="F1844" t="s">
        <v>580</v>
      </c>
      <c r="G1844" s="30">
        <v>46149</v>
      </c>
      <c r="H1844" t="s">
        <v>4429</v>
      </c>
      <c r="I1844">
        <v>1089300</v>
      </c>
      <c r="J1844" s="123">
        <v>0</v>
      </c>
      <c r="K1844" s="123">
        <v>0</v>
      </c>
      <c r="L1844" s="123">
        <v>46146</v>
      </c>
      <c r="M1844">
        <v>0</v>
      </c>
      <c r="N1844">
        <v>0</v>
      </c>
      <c r="O1844">
        <v>0</v>
      </c>
      <c r="P1844" s="216">
        <v>108930</v>
      </c>
      <c r="Q1844" s="217" t="s">
        <v>17</v>
      </c>
      <c r="R1844" s="217" t="s">
        <v>582</v>
      </c>
      <c r="S1844" s="218">
        <v>0.19999173781327459</v>
      </c>
      <c r="T1844" t="s">
        <v>550</v>
      </c>
      <c r="U1844" t="s">
        <v>51</v>
      </c>
      <c r="V1844" s="219">
        <v>0</v>
      </c>
      <c r="W1844" s="219">
        <v>0</v>
      </c>
    </row>
    <row r="1845" spans="1:23" ht="15" customHeight="1" x14ac:dyDescent="0.25">
      <c r="A1845" t="s">
        <v>4430</v>
      </c>
      <c r="B1845" t="s">
        <v>595</v>
      </c>
      <c r="C1845">
        <v>109105</v>
      </c>
      <c r="D1845" t="s">
        <v>4431</v>
      </c>
      <c r="E1845" t="s">
        <v>173</v>
      </c>
      <c r="F1845" t="s">
        <v>554</v>
      </c>
      <c r="G1845" s="30">
        <v>46143</v>
      </c>
      <c r="H1845" t="s">
        <v>4432</v>
      </c>
      <c r="I1845">
        <v>1092540</v>
      </c>
      <c r="J1845" s="123">
        <v>0</v>
      </c>
      <c r="K1845" s="123">
        <v>0</v>
      </c>
      <c r="L1845" s="123">
        <v>46060</v>
      </c>
      <c r="M1845">
        <v>0</v>
      </c>
      <c r="N1845">
        <v>0</v>
      </c>
      <c r="O1845">
        <v>0</v>
      </c>
      <c r="P1845" s="216">
        <v>109105</v>
      </c>
      <c r="Q1845" s="217" t="s">
        <v>27</v>
      </c>
      <c r="R1845" s="217" t="s">
        <v>554</v>
      </c>
      <c r="S1845" s="218">
        <v>0.26754919728339466</v>
      </c>
      <c r="T1845" t="s">
        <v>550</v>
      </c>
      <c r="U1845" t="s">
        <v>51</v>
      </c>
      <c r="V1845" s="219" t="s">
        <v>6853</v>
      </c>
      <c r="W1845" s="219" t="s">
        <v>67</v>
      </c>
    </row>
    <row r="1846" spans="1:23" ht="15" customHeight="1" x14ac:dyDescent="0.25">
      <c r="A1846" t="s">
        <v>4433</v>
      </c>
      <c r="B1846" t="s">
        <v>668</v>
      </c>
      <c r="C1846">
        <v>21800</v>
      </c>
      <c r="D1846" t="s">
        <v>4431</v>
      </c>
      <c r="E1846" t="s">
        <v>173</v>
      </c>
      <c r="F1846" t="s">
        <v>554</v>
      </c>
      <c r="G1846" s="30">
        <v>46146</v>
      </c>
      <c r="H1846" t="s">
        <v>4432</v>
      </c>
      <c r="I1846">
        <v>1092540</v>
      </c>
      <c r="J1846" s="123">
        <v>46145</v>
      </c>
      <c r="K1846" s="123">
        <v>0</v>
      </c>
      <c r="L1846" s="123">
        <v>46145</v>
      </c>
      <c r="M1846">
        <v>0</v>
      </c>
      <c r="N1846">
        <v>0</v>
      </c>
      <c r="O1846">
        <v>0</v>
      </c>
      <c r="P1846" s="216">
        <v>21800</v>
      </c>
      <c r="Q1846" s="217" t="s">
        <v>27</v>
      </c>
      <c r="R1846" s="217" t="s">
        <v>554</v>
      </c>
      <c r="S1846" s="218">
        <v>0.26754919728339466</v>
      </c>
      <c r="T1846" t="s">
        <v>550</v>
      </c>
      <c r="U1846" t="s">
        <v>51</v>
      </c>
      <c r="V1846" s="219" t="s">
        <v>6854</v>
      </c>
      <c r="W1846" s="219" t="s">
        <v>67</v>
      </c>
    </row>
    <row r="1847" spans="1:23" ht="15" customHeight="1" x14ac:dyDescent="0.25">
      <c r="A1847" t="s">
        <v>4434</v>
      </c>
      <c r="B1847" t="s">
        <v>595</v>
      </c>
      <c r="C1847">
        <v>52000</v>
      </c>
      <c r="D1847" t="s">
        <v>4431</v>
      </c>
      <c r="E1847" t="s">
        <v>173</v>
      </c>
      <c r="F1847" t="s">
        <v>554</v>
      </c>
      <c r="G1847" s="30">
        <v>46146</v>
      </c>
      <c r="H1847" t="s">
        <v>4432</v>
      </c>
      <c r="I1847">
        <v>1092540</v>
      </c>
      <c r="J1847" s="123">
        <v>0</v>
      </c>
      <c r="K1847" s="123">
        <v>0</v>
      </c>
      <c r="L1847" s="123">
        <v>46144</v>
      </c>
      <c r="M1847">
        <v>0</v>
      </c>
      <c r="N1847">
        <v>0</v>
      </c>
      <c r="O1847">
        <v>0</v>
      </c>
      <c r="P1847" s="216">
        <v>52000</v>
      </c>
      <c r="Q1847" s="217" t="s">
        <v>27</v>
      </c>
      <c r="R1847" s="217" t="s">
        <v>554</v>
      </c>
      <c r="S1847" s="218">
        <v>0.26754919728339466</v>
      </c>
      <c r="T1847" t="s">
        <v>550</v>
      </c>
      <c r="U1847" t="s">
        <v>51</v>
      </c>
      <c r="V1847" s="219" t="s">
        <v>6855</v>
      </c>
      <c r="W1847" s="219" t="s">
        <v>67</v>
      </c>
    </row>
    <row r="1848" spans="1:23" ht="15" customHeight="1" x14ac:dyDescent="0.25">
      <c r="A1848" t="s">
        <v>4435</v>
      </c>
      <c r="B1848" t="s">
        <v>668</v>
      </c>
      <c r="C1848">
        <v>12000</v>
      </c>
      <c r="D1848" t="s">
        <v>4436</v>
      </c>
      <c r="E1848" t="s">
        <v>4437</v>
      </c>
      <c r="F1848" t="s">
        <v>585</v>
      </c>
      <c r="G1848" s="30">
        <v>46146</v>
      </c>
      <c r="H1848" t="s">
        <v>4438</v>
      </c>
      <c r="I1848">
        <v>1087360</v>
      </c>
      <c r="J1848" s="123">
        <v>46145</v>
      </c>
      <c r="K1848" s="123">
        <v>0</v>
      </c>
      <c r="L1848" s="123">
        <v>46145</v>
      </c>
      <c r="M1848">
        <v>0</v>
      </c>
      <c r="N1848">
        <v>0</v>
      </c>
      <c r="O1848">
        <v>0</v>
      </c>
      <c r="P1848" s="216">
        <v>12000</v>
      </c>
      <c r="Q1848" s="217" t="s">
        <v>27</v>
      </c>
      <c r="R1848" s="217" t="s">
        <v>61</v>
      </c>
      <c r="S1848" s="218">
        <v>0.20133511440553267</v>
      </c>
      <c r="T1848" t="s">
        <v>550</v>
      </c>
      <c r="U1848" t="s">
        <v>51</v>
      </c>
      <c r="V1848" s="219">
        <v>0</v>
      </c>
      <c r="W1848" s="219">
        <v>0</v>
      </c>
    </row>
    <row r="1849" spans="1:23" ht="15" customHeight="1" x14ac:dyDescent="0.25">
      <c r="A1849" t="s">
        <v>4439</v>
      </c>
      <c r="B1849" t="s">
        <v>546</v>
      </c>
      <c r="C1849">
        <v>50000</v>
      </c>
      <c r="D1849" t="s">
        <v>4440</v>
      </c>
      <c r="E1849" t="s">
        <v>173</v>
      </c>
      <c r="F1849" t="s">
        <v>554</v>
      </c>
      <c r="G1849" s="30">
        <v>46147</v>
      </c>
      <c r="H1849" t="s">
        <v>4441</v>
      </c>
      <c r="I1849">
        <v>1090820</v>
      </c>
      <c r="J1849" s="123">
        <v>0</v>
      </c>
      <c r="K1849" s="123">
        <v>0</v>
      </c>
      <c r="L1849" s="123">
        <v>0</v>
      </c>
      <c r="M1849">
        <v>0</v>
      </c>
      <c r="N1849">
        <v>0</v>
      </c>
      <c r="O1849">
        <v>0</v>
      </c>
      <c r="P1849" s="216">
        <v>50000</v>
      </c>
      <c r="Q1849" s="217" t="s">
        <v>27</v>
      </c>
      <c r="R1849" s="217" t="s">
        <v>554</v>
      </c>
      <c r="S1849" s="218">
        <v>0.24583707669459673</v>
      </c>
      <c r="T1849" t="s">
        <v>550</v>
      </c>
      <c r="U1849" t="s">
        <v>51</v>
      </c>
      <c r="V1849" s="219" t="s">
        <v>6856</v>
      </c>
      <c r="W1849" s="219" t="s">
        <v>67</v>
      </c>
    </row>
    <row r="1850" spans="1:23" ht="15" customHeight="1" x14ac:dyDescent="0.25">
      <c r="A1850" t="s">
        <v>4442</v>
      </c>
      <c r="B1850" t="s">
        <v>575</v>
      </c>
      <c r="C1850">
        <v>32310</v>
      </c>
      <c r="D1850" t="s">
        <v>4443</v>
      </c>
      <c r="E1850" t="s">
        <v>258</v>
      </c>
      <c r="F1850" t="s">
        <v>554</v>
      </c>
      <c r="G1850" s="30">
        <v>46143</v>
      </c>
      <c r="H1850" t="s">
        <v>4444</v>
      </c>
      <c r="I1850">
        <v>1433106.98</v>
      </c>
      <c r="J1850" s="123">
        <v>0</v>
      </c>
      <c r="K1850" s="123">
        <v>0</v>
      </c>
      <c r="L1850" s="123">
        <v>46142</v>
      </c>
      <c r="M1850">
        <v>0</v>
      </c>
      <c r="N1850">
        <v>0</v>
      </c>
      <c r="O1850">
        <v>0</v>
      </c>
      <c r="P1850" s="216">
        <v>32310</v>
      </c>
      <c r="Q1850" s="217" t="s">
        <v>9</v>
      </c>
      <c r="R1850" s="217" t="s">
        <v>554</v>
      </c>
      <c r="S1850" s="218">
        <v>0.39999993580381554</v>
      </c>
      <c r="T1850" t="s">
        <v>550</v>
      </c>
      <c r="U1850" t="s">
        <v>74</v>
      </c>
      <c r="V1850" s="219" t="s">
        <v>6857</v>
      </c>
      <c r="W1850" s="219" t="s">
        <v>67</v>
      </c>
    </row>
    <row r="1851" spans="1:23" ht="15" customHeight="1" x14ac:dyDescent="0.25">
      <c r="A1851" t="s">
        <v>4445</v>
      </c>
      <c r="B1851" t="s">
        <v>575</v>
      </c>
      <c r="C1851">
        <v>143310</v>
      </c>
      <c r="D1851" t="s">
        <v>4443</v>
      </c>
      <c r="E1851" t="s">
        <v>258</v>
      </c>
      <c r="F1851" t="s">
        <v>554</v>
      </c>
      <c r="G1851" s="30">
        <v>46143</v>
      </c>
      <c r="H1851" t="s">
        <v>4444</v>
      </c>
      <c r="I1851">
        <v>1433106.98</v>
      </c>
      <c r="J1851" s="123">
        <v>0</v>
      </c>
      <c r="K1851" s="123">
        <v>0</v>
      </c>
      <c r="L1851" s="123">
        <v>46142</v>
      </c>
      <c r="M1851">
        <v>0</v>
      </c>
      <c r="N1851">
        <v>0</v>
      </c>
      <c r="O1851">
        <v>0</v>
      </c>
      <c r="P1851" s="216">
        <v>143310</v>
      </c>
      <c r="Q1851" s="217" t="s">
        <v>9</v>
      </c>
      <c r="R1851" s="217" t="s">
        <v>554</v>
      </c>
      <c r="S1851" s="218">
        <v>0.39999993580381554</v>
      </c>
      <c r="T1851" t="s">
        <v>550</v>
      </c>
      <c r="U1851" t="s">
        <v>74</v>
      </c>
      <c r="V1851" s="219" t="s">
        <v>6858</v>
      </c>
      <c r="W1851" s="219" t="s">
        <v>67</v>
      </c>
    </row>
    <row r="1852" spans="1:23" ht="15" customHeight="1" x14ac:dyDescent="0.25">
      <c r="A1852" t="s">
        <v>4446</v>
      </c>
      <c r="B1852" t="s">
        <v>546</v>
      </c>
      <c r="C1852">
        <v>60000</v>
      </c>
      <c r="D1852" t="s">
        <v>4447</v>
      </c>
      <c r="E1852" t="s">
        <v>4448</v>
      </c>
      <c r="F1852" t="s">
        <v>554</v>
      </c>
      <c r="G1852" s="30">
        <v>46146</v>
      </c>
      <c r="H1852" t="s">
        <v>4449</v>
      </c>
      <c r="I1852">
        <v>1715498.16</v>
      </c>
      <c r="J1852" s="123">
        <v>0</v>
      </c>
      <c r="K1852" s="123">
        <v>0</v>
      </c>
      <c r="L1852" s="123">
        <v>0</v>
      </c>
      <c r="M1852">
        <v>0</v>
      </c>
      <c r="N1852">
        <v>0</v>
      </c>
      <c r="O1852">
        <v>0</v>
      </c>
      <c r="P1852" s="216">
        <v>60000</v>
      </c>
      <c r="Q1852" s="217" t="s">
        <v>8</v>
      </c>
      <c r="R1852" s="217" t="s">
        <v>554</v>
      </c>
      <c r="S1852" s="218">
        <v>0.13497526572689533</v>
      </c>
      <c r="T1852" t="s">
        <v>550</v>
      </c>
      <c r="U1852" t="s">
        <v>74</v>
      </c>
      <c r="V1852" s="219" t="s">
        <v>6859</v>
      </c>
      <c r="W1852" s="219" t="s">
        <v>67</v>
      </c>
    </row>
    <row r="1853" spans="1:23" ht="15" customHeight="1" x14ac:dyDescent="0.25">
      <c r="A1853" t="s">
        <v>4450</v>
      </c>
      <c r="B1853" t="s">
        <v>64</v>
      </c>
      <c r="C1853">
        <v>140000</v>
      </c>
      <c r="D1853" t="s">
        <v>4451</v>
      </c>
      <c r="E1853" t="s">
        <v>258</v>
      </c>
      <c r="F1853" t="s">
        <v>580</v>
      </c>
      <c r="G1853" s="30">
        <v>46149</v>
      </c>
      <c r="H1853" t="s">
        <v>4452</v>
      </c>
      <c r="I1853">
        <v>1392161.06</v>
      </c>
      <c r="J1853" s="123">
        <v>0</v>
      </c>
      <c r="K1853" s="123">
        <v>46156</v>
      </c>
      <c r="L1853" s="123">
        <v>0</v>
      </c>
      <c r="M1853">
        <v>0</v>
      </c>
      <c r="N1853">
        <v>0</v>
      </c>
      <c r="O1853" t="s">
        <v>556</v>
      </c>
      <c r="P1853" s="216">
        <v>140000</v>
      </c>
      <c r="Q1853" s="217" t="s">
        <v>9</v>
      </c>
      <c r="R1853" s="217" t="s">
        <v>582</v>
      </c>
      <c r="S1853" s="218">
        <v>0.2001126220266497</v>
      </c>
      <c r="T1853" t="s">
        <v>550</v>
      </c>
      <c r="U1853" t="s">
        <v>74</v>
      </c>
      <c r="V1853" s="219">
        <v>0</v>
      </c>
      <c r="W1853" s="219">
        <v>0</v>
      </c>
    </row>
    <row r="1854" spans="1:23" ht="15" customHeight="1" x14ac:dyDescent="0.25">
      <c r="A1854" t="s">
        <v>4453</v>
      </c>
      <c r="B1854" t="s">
        <v>595</v>
      </c>
      <c r="C1854">
        <v>36037</v>
      </c>
      <c r="D1854" t="s">
        <v>4454</v>
      </c>
      <c r="E1854" t="s">
        <v>263</v>
      </c>
      <c r="F1854" t="s">
        <v>554</v>
      </c>
      <c r="G1854" s="30">
        <v>46144</v>
      </c>
      <c r="H1854" t="s">
        <v>4455</v>
      </c>
      <c r="I1854">
        <v>1766895.83</v>
      </c>
      <c r="J1854" s="123">
        <v>0</v>
      </c>
      <c r="K1854" s="123">
        <v>0</v>
      </c>
      <c r="L1854" s="123">
        <v>46144</v>
      </c>
      <c r="M1854">
        <v>0</v>
      </c>
      <c r="N1854">
        <v>0</v>
      </c>
      <c r="O1854">
        <v>0</v>
      </c>
      <c r="P1854" s="216">
        <v>36037</v>
      </c>
      <c r="Q1854" s="217" t="s">
        <v>8</v>
      </c>
      <c r="R1854" s="217" t="s">
        <v>554</v>
      </c>
      <c r="S1854" s="218">
        <v>0.30076247901949033</v>
      </c>
      <c r="T1854" t="s">
        <v>550</v>
      </c>
      <c r="U1854" t="s">
        <v>74</v>
      </c>
      <c r="V1854" s="219" t="s">
        <v>6860</v>
      </c>
      <c r="W1854" s="219" t="s">
        <v>67</v>
      </c>
    </row>
    <row r="1855" spans="1:23" ht="15" customHeight="1" x14ac:dyDescent="0.25">
      <c r="A1855" t="s">
        <v>4456</v>
      </c>
      <c r="B1855" t="s">
        <v>575</v>
      </c>
      <c r="C1855">
        <v>1000</v>
      </c>
      <c r="D1855" t="s">
        <v>4454</v>
      </c>
      <c r="E1855" t="s">
        <v>3803</v>
      </c>
      <c r="F1855" t="s">
        <v>554</v>
      </c>
      <c r="G1855" s="30">
        <v>46146</v>
      </c>
      <c r="H1855" t="s">
        <v>4455</v>
      </c>
      <c r="I1855">
        <v>1766895.83</v>
      </c>
      <c r="J1855" s="123">
        <v>0</v>
      </c>
      <c r="K1855" s="123">
        <v>0</v>
      </c>
      <c r="L1855" s="123">
        <v>46142</v>
      </c>
      <c r="M1855">
        <v>1000</v>
      </c>
      <c r="N1855">
        <v>0</v>
      </c>
      <c r="O1855">
        <v>0</v>
      </c>
      <c r="P1855" s="216">
        <v>0</v>
      </c>
      <c r="Q1855" s="217" t="s">
        <v>8</v>
      </c>
      <c r="R1855" s="217" t="s">
        <v>554</v>
      </c>
      <c r="S1855" s="218">
        <v>0.30076247901949033</v>
      </c>
      <c r="T1855" t="s">
        <v>550</v>
      </c>
      <c r="U1855" t="s">
        <v>74</v>
      </c>
      <c r="V1855" s="219" t="s">
        <v>6861</v>
      </c>
      <c r="W1855" s="219" t="s">
        <v>67</v>
      </c>
    </row>
    <row r="1856" spans="1:23" ht="15" customHeight="1" x14ac:dyDescent="0.25">
      <c r="A1856" t="s">
        <v>4457</v>
      </c>
      <c r="B1856" t="s">
        <v>603</v>
      </c>
      <c r="C1856">
        <v>108700</v>
      </c>
      <c r="D1856" t="s">
        <v>4458</v>
      </c>
      <c r="E1856" t="s">
        <v>605</v>
      </c>
      <c r="F1856" t="s">
        <v>554</v>
      </c>
      <c r="G1856" s="30">
        <v>46149</v>
      </c>
      <c r="H1856" t="s">
        <v>4459</v>
      </c>
      <c r="I1856">
        <v>1433106.98</v>
      </c>
      <c r="J1856" s="123">
        <v>46149</v>
      </c>
      <c r="K1856" s="123">
        <v>0</v>
      </c>
      <c r="L1856" s="123">
        <v>0</v>
      </c>
      <c r="M1856">
        <v>0</v>
      </c>
      <c r="N1856">
        <v>0</v>
      </c>
      <c r="O1856">
        <v>0</v>
      </c>
      <c r="P1856" s="216">
        <v>108700</v>
      </c>
      <c r="Q1856" s="217" t="s">
        <v>8</v>
      </c>
      <c r="R1856" s="217" t="s">
        <v>554</v>
      </c>
      <c r="S1856" s="218">
        <v>0.27584870181847837</v>
      </c>
      <c r="T1856" t="s">
        <v>550</v>
      </c>
      <c r="U1856" t="s">
        <v>74</v>
      </c>
      <c r="V1856" s="219" t="s">
        <v>6862</v>
      </c>
      <c r="W1856" s="219" t="s">
        <v>67</v>
      </c>
    </row>
    <row r="1857" spans="1:23" ht="15" customHeight="1" x14ac:dyDescent="0.25">
      <c r="A1857" t="s">
        <v>4460</v>
      </c>
      <c r="B1857" t="s">
        <v>575</v>
      </c>
      <c r="C1857">
        <v>1000</v>
      </c>
      <c r="D1857" t="s">
        <v>4461</v>
      </c>
      <c r="E1857" t="s">
        <v>258</v>
      </c>
      <c r="F1857" t="s">
        <v>554</v>
      </c>
      <c r="G1857" s="30">
        <v>46146</v>
      </c>
      <c r="H1857" t="s">
        <v>4462</v>
      </c>
      <c r="I1857">
        <v>1424775.71</v>
      </c>
      <c r="J1857" s="123">
        <v>0</v>
      </c>
      <c r="K1857" s="123">
        <v>0</v>
      </c>
      <c r="L1857" s="123">
        <v>46139</v>
      </c>
      <c r="M1857">
        <v>1000</v>
      </c>
      <c r="N1857">
        <v>0</v>
      </c>
      <c r="O1857">
        <v>0</v>
      </c>
      <c r="P1857" s="216">
        <v>0</v>
      </c>
      <c r="Q1857" s="217" t="s">
        <v>9</v>
      </c>
      <c r="R1857" s="217" t="s">
        <v>554</v>
      </c>
      <c r="S1857" s="218">
        <v>0.40000050253523767</v>
      </c>
      <c r="T1857" t="s">
        <v>550</v>
      </c>
      <c r="U1857" t="s">
        <v>74</v>
      </c>
      <c r="V1857" s="219" t="s">
        <v>6863</v>
      </c>
      <c r="W1857" s="219" t="s">
        <v>67</v>
      </c>
    </row>
    <row r="1858" spans="1:23" ht="15" customHeight="1" x14ac:dyDescent="0.25">
      <c r="A1858" t="s">
        <v>4463</v>
      </c>
      <c r="B1858" t="s">
        <v>575</v>
      </c>
      <c r="C1858">
        <v>5387</v>
      </c>
      <c r="D1858" t="s">
        <v>4461</v>
      </c>
      <c r="E1858" t="s">
        <v>258</v>
      </c>
      <c r="F1858" t="s">
        <v>554</v>
      </c>
      <c r="G1858" s="30">
        <v>46146</v>
      </c>
      <c r="H1858" t="s">
        <v>4462</v>
      </c>
      <c r="I1858">
        <v>1424775.71</v>
      </c>
      <c r="J1858" s="123">
        <v>0</v>
      </c>
      <c r="K1858" s="123">
        <v>0</v>
      </c>
      <c r="L1858" s="123">
        <v>46139</v>
      </c>
      <c r="M1858">
        <v>5387</v>
      </c>
      <c r="N1858">
        <v>0</v>
      </c>
      <c r="O1858">
        <v>0</v>
      </c>
      <c r="P1858" s="216">
        <v>0</v>
      </c>
      <c r="Q1858" s="217" t="s">
        <v>9</v>
      </c>
      <c r="R1858" s="217" t="s">
        <v>554</v>
      </c>
      <c r="S1858" s="218">
        <v>0.40000050253523767</v>
      </c>
      <c r="T1858" t="s">
        <v>550</v>
      </c>
      <c r="U1858" t="s">
        <v>74</v>
      </c>
      <c r="V1858" s="219" t="s">
        <v>6864</v>
      </c>
      <c r="W1858" s="219" t="s">
        <v>67</v>
      </c>
    </row>
    <row r="1859" spans="1:23" ht="15" customHeight="1" x14ac:dyDescent="0.25">
      <c r="A1859" t="s">
        <v>4464</v>
      </c>
      <c r="B1859" t="s">
        <v>575</v>
      </c>
      <c r="C1859">
        <v>179703.48</v>
      </c>
      <c r="D1859" t="s">
        <v>4465</v>
      </c>
      <c r="E1859" t="s">
        <v>263</v>
      </c>
      <c r="F1859" t="s">
        <v>585</v>
      </c>
      <c r="G1859" s="30">
        <v>46148</v>
      </c>
      <c r="H1859" t="s">
        <v>4466</v>
      </c>
      <c r="I1859">
        <v>1797034.78</v>
      </c>
      <c r="J1859" s="123">
        <v>0</v>
      </c>
      <c r="K1859" s="123">
        <v>0</v>
      </c>
      <c r="L1859" s="123">
        <v>46147</v>
      </c>
      <c r="M1859">
        <v>0</v>
      </c>
      <c r="N1859">
        <v>0</v>
      </c>
      <c r="O1859">
        <v>0</v>
      </c>
      <c r="P1859" s="216">
        <v>179703.48</v>
      </c>
      <c r="Q1859" s="217" t="s">
        <v>8</v>
      </c>
      <c r="R1859" s="217" t="s">
        <v>61</v>
      </c>
      <c r="S1859" s="218">
        <v>0.29997999426577593</v>
      </c>
      <c r="T1859" t="s">
        <v>550</v>
      </c>
      <c r="U1859" t="s">
        <v>74</v>
      </c>
      <c r="V1859" s="219">
        <v>0</v>
      </c>
      <c r="W1859" s="219">
        <v>0</v>
      </c>
    </row>
    <row r="1860" spans="1:23" ht="15" customHeight="1" x14ac:dyDescent="0.25">
      <c r="A1860" t="s">
        <v>4467</v>
      </c>
      <c r="B1860" t="s">
        <v>575</v>
      </c>
      <c r="C1860">
        <v>179703.48</v>
      </c>
      <c r="D1860" t="s">
        <v>4465</v>
      </c>
      <c r="E1860" t="s">
        <v>263</v>
      </c>
      <c r="F1860" t="s">
        <v>585</v>
      </c>
      <c r="G1860" s="30">
        <v>46148</v>
      </c>
      <c r="H1860" t="s">
        <v>4466</v>
      </c>
      <c r="I1860">
        <v>1797034.78</v>
      </c>
      <c r="J1860" s="123">
        <v>0</v>
      </c>
      <c r="K1860" s="123">
        <v>0</v>
      </c>
      <c r="L1860" s="123">
        <v>46148</v>
      </c>
      <c r="M1860">
        <v>0</v>
      </c>
      <c r="N1860">
        <v>0</v>
      </c>
      <c r="O1860">
        <v>0</v>
      </c>
      <c r="P1860" s="216">
        <v>179703.48</v>
      </c>
      <c r="Q1860" s="217" t="s">
        <v>8</v>
      </c>
      <c r="R1860" s="217" t="s">
        <v>61</v>
      </c>
      <c r="S1860" s="218">
        <v>0.29997999426577593</v>
      </c>
      <c r="T1860" t="s">
        <v>550</v>
      </c>
      <c r="U1860" t="s">
        <v>74</v>
      </c>
      <c r="V1860" s="219">
        <v>0</v>
      </c>
      <c r="W1860" s="219">
        <v>0</v>
      </c>
    </row>
    <row r="1861" spans="1:23" ht="15" customHeight="1" x14ac:dyDescent="0.25">
      <c r="A1861" t="s">
        <v>4468</v>
      </c>
      <c r="B1861" t="s">
        <v>575</v>
      </c>
      <c r="C1861">
        <v>173248</v>
      </c>
      <c r="D1861" t="s">
        <v>4469</v>
      </c>
      <c r="E1861" t="s">
        <v>263</v>
      </c>
      <c r="F1861" t="s">
        <v>554</v>
      </c>
      <c r="G1861" s="30">
        <v>46146</v>
      </c>
      <c r="H1861" t="s">
        <v>4470</v>
      </c>
      <c r="I1861">
        <v>1732381.35</v>
      </c>
      <c r="J1861" s="123">
        <v>0</v>
      </c>
      <c r="K1861" s="123">
        <v>0</v>
      </c>
      <c r="L1861" s="123">
        <v>46143</v>
      </c>
      <c r="M1861">
        <v>0</v>
      </c>
      <c r="N1861">
        <v>0</v>
      </c>
      <c r="O1861">
        <v>0</v>
      </c>
      <c r="P1861" s="216">
        <v>173248</v>
      </c>
      <c r="Q1861" s="217" t="s">
        <v>8</v>
      </c>
      <c r="R1861" s="217" t="s">
        <v>554</v>
      </c>
      <c r="S1861" s="218">
        <v>0.39999984414517042</v>
      </c>
      <c r="T1861" t="s">
        <v>550</v>
      </c>
      <c r="U1861" t="s">
        <v>74</v>
      </c>
      <c r="V1861" s="219" t="s">
        <v>6865</v>
      </c>
      <c r="W1861" s="219" t="s">
        <v>67</v>
      </c>
    </row>
    <row r="1862" spans="1:23" ht="15" customHeight="1" x14ac:dyDescent="0.25">
      <c r="A1862" t="s">
        <v>4471</v>
      </c>
      <c r="B1862" t="s">
        <v>595</v>
      </c>
      <c r="C1862">
        <v>130670</v>
      </c>
      <c r="D1862" t="s">
        <v>4472</v>
      </c>
      <c r="E1862" t="s">
        <v>298</v>
      </c>
      <c r="F1862" t="s">
        <v>554</v>
      </c>
      <c r="G1862" s="30">
        <v>46146</v>
      </c>
      <c r="H1862" t="s">
        <v>4473</v>
      </c>
      <c r="I1862">
        <v>1308719.23</v>
      </c>
      <c r="J1862" s="123">
        <v>0</v>
      </c>
      <c r="K1862" s="123">
        <v>0</v>
      </c>
      <c r="L1862" s="123">
        <v>46143</v>
      </c>
      <c r="M1862">
        <v>0</v>
      </c>
      <c r="N1862">
        <v>0</v>
      </c>
      <c r="O1862">
        <v>0</v>
      </c>
      <c r="P1862" s="216">
        <v>130670</v>
      </c>
      <c r="Q1862" s="217" t="s">
        <v>45</v>
      </c>
      <c r="R1862" s="217" t="s">
        <v>554</v>
      </c>
      <c r="S1862" s="218">
        <v>0.50009962793929452</v>
      </c>
      <c r="T1862" t="s">
        <v>550</v>
      </c>
      <c r="U1862" t="s">
        <v>74</v>
      </c>
      <c r="V1862" s="219" t="s">
        <v>6866</v>
      </c>
      <c r="W1862" s="219" t="s">
        <v>67</v>
      </c>
    </row>
    <row r="1863" spans="1:23" ht="15" customHeight="1" x14ac:dyDescent="0.25">
      <c r="A1863" t="s">
        <v>4474</v>
      </c>
      <c r="B1863" t="s">
        <v>595</v>
      </c>
      <c r="C1863">
        <v>130700</v>
      </c>
      <c r="D1863" t="s">
        <v>4472</v>
      </c>
      <c r="E1863" t="s">
        <v>326</v>
      </c>
      <c r="F1863" t="s">
        <v>585</v>
      </c>
      <c r="G1863" s="30">
        <v>46147</v>
      </c>
      <c r="H1863" t="s">
        <v>4473</v>
      </c>
      <c r="I1863">
        <v>1308719.23</v>
      </c>
      <c r="J1863" s="123">
        <v>0</v>
      </c>
      <c r="K1863" s="123">
        <v>0</v>
      </c>
      <c r="L1863" s="123">
        <v>46146</v>
      </c>
      <c r="M1863">
        <v>0</v>
      </c>
      <c r="N1863">
        <v>0</v>
      </c>
      <c r="O1863">
        <v>0</v>
      </c>
      <c r="P1863" s="216">
        <v>130700</v>
      </c>
      <c r="Q1863" s="217" t="s">
        <v>44</v>
      </c>
      <c r="R1863" s="217" t="s">
        <v>61</v>
      </c>
      <c r="S1863" s="218">
        <v>0.50009962793929452</v>
      </c>
      <c r="T1863" t="s">
        <v>550</v>
      </c>
      <c r="U1863" t="s">
        <v>74</v>
      </c>
      <c r="V1863" s="219">
        <v>0</v>
      </c>
      <c r="W1863" s="219">
        <v>0</v>
      </c>
    </row>
    <row r="1864" spans="1:23" ht="15" customHeight="1" x14ac:dyDescent="0.25">
      <c r="A1864" t="s">
        <v>4475</v>
      </c>
      <c r="B1864" t="s">
        <v>595</v>
      </c>
      <c r="C1864">
        <v>75000</v>
      </c>
      <c r="D1864" t="s">
        <v>4472</v>
      </c>
      <c r="E1864" t="s">
        <v>298</v>
      </c>
      <c r="F1864" t="s">
        <v>580</v>
      </c>
      <c r="G1864" s="30">
        <v>46148</v>
      </c>
      <c r="H1864" t="s">
        <v>4473</v>
      </c>
      <c r="I1864">
        <v>1308719.23</v>
      </c>
      <c r="J1864" s="123">
        <v>0</v>
      </c>
      <c r="K1864" s="123">
        <v>0</v>
      </c>
      <c r="L1864" s="123">
        <v>46147</v>
      </c>
      <c r="M1864">
        <v>0</v>
      </c>
      <c r="N1864">
        <v>0</v>
      </c>
      <c r="O1864">
        <v>0</v>
      </c>
      <c r="P1864" s="216">
        <v>75000</v>
      </c>
      <c r="Q1864" s="217" t="s">
        <v>45</v>
      </c>
      <c r="R1864" s="217" t="s">
        <v>582</v>
      </c>
      <c r="S1864" s="218">
        <v>0.50009962793929452</v>
      </c>
      <c r="T1864" t="s">
        <v>550</v>
      </c>
      <c r="U1864" t="s">
        <v>74</v>
      </c>
      <c r="V1864" s="219">
        <v>0</v>
      </c>
      <c r="W1864" s="219">
        <v>0</v>
      </c>
    </row>
    <row r="1865" spans="1:23" ht="15" customHeight="1" x14ac:dyDescent="0.25">
      <c r="A1865" t="s">
        <v>4476</v>
      </c>
      <c r="B1865" t="s">
        <v>595</v>
      </c>
      <c r="C1865">
        <v>56100</v>
      </c>
      <c r="D1865" t="s">
        <v>4472</v>
      </c>
      <c r="E1865" t="s">
        <v>326</v>
      </c>
      <c r="F1865" t="s">
        <v>580</v>
      </c>
      <c r="G1865" s="30">
        <v>46148</v>
      </c>
      <c r="H1865" t="s">
        <v>4473</v>
      </c>
      <c r="I1865">
        <v>1308719.23</v>
      </c>
      <c r="J1865" s="123">
        <v>0</v>
      </c>
      <c r="K1865" s="123">
        <v>0</v>
      </c>
      <c r="L1865" s="123">
        <v>46147</v>
      </c>
      <c r="M1865">
        <v>0</v>
      </c>
      <c r="N1865">
        <v>0</v>
      </c>
      <c r="O1865">
        <v>0</v>
      </c>
      <c r="P1865" s="216">
        <v>56100</v>
      </c>
      <c r="Q1865" s="217" t="s">
        <v>44</v>
      </c>
      <c r="R1865" s="217" t="s">
        <v>582</v>
      </c>
      <c r="S1865" s="218">
        <v>0.50009962793929452</v>
      </c>
      <c r="T1865" t="s">
        <v>550</v>
      </c>
      <c r="U1865" t="s">
        <v>74</v>
      </c>
      <c r="V1865" s="219">
        <v>0</v>
      </c>
      <c r="W1865" s="219">
        <v>0</v>
      </c>
    </row>
    <row r="1866" spans="1:23" ht="15" customHeight="1" x14ac:dyDescent="0.25">
      <c r="A1866" t="s">
        <v>4477</v>
      </c>
      <c r="B1866" t="s">
        <v>595</v>
      </c>
      <c r="C1866">
        <v>35593.42</v>
      </c>
      <c r="D1866" t="s">
        <v>4478</v>
      </c>
      <c r="E1866" t="s">
        <v>263</v>
      </c>
      <c r="F1866" t="s">
        <v>585</v>
      </c>
      <c r="G1866" s="30">
        <v>46143</v>
      </c>
      <c r="H1866" t="s">
        <v>4479</v>
      </c>
      <c r="I1866">
        <v>1733740.29</v>
      </c>
      <c r="J1866" s="123">
        <v>0</v>
      </c>
      <c r="K1866" s="123">
        <v>0</v>
      </c>
      <c r="L1866" s="123">
        <v>46142</v>
      </c>
      <c r="M1866">
        <v>0</v>
      </c>
      <c r="N1866">
        <v>0</v>
      </c>
      <c r="O1866">
        <v>0</v>
      </c>
      <c r="P1866" s="216">
        <v>35593.42</v>
      </c>
      <c r="Q1866" s="217" t="s">
        <v>8</v>
      </c>
      <c r="R1866" s="217" t="s">
        <v>61</v>
      </c>
      <c r="S1866" s="218">
        <v>0.29998264618975889</v>
      </c>
      <c r="T1866" t="s">
        <v>550</v>
      </c>
      <c r="U1866" t="s">
        <v>74</v>
      </c>
      <c r="V1866" s="219">
        <v>0</v>
      </c>
      <c r="W1866" s="219">
        <v>0</v>
      </c>
    </row>
    <row r="1867" spans="1:23" ht="15" customHeight="1" x14ac:dyDescent="0.25">
      <c r="A1867" t="s">
        <v>4480</v>
      </c>
      <c r="B1867" t="s">
        <v>546</v>
      </c>
      <c r="C1867">
        <v>84857.34</v>
      </c>
      <c r="D1867" t="s">
        <v>4481</v>
      </c>
      <c r="E1867" t="s">
        <v>553</v>
      </c>
      <c r="F1867" t="s">
        <v>554</v>
      </c>
      <c r="G1867" s="30">
        <v>46146</v>
      </c>
      <c r="H1867" t="s">
        <v>4482</v>
      </c>
      <c r="I1867">
        <v>2788387.66</v>
      </c>
      <c r="J1867" s="123">
        <v>46146</v>
      </c>
      <c r="K1867" s="123">
        <v>0</v>
      </c>
      <c r="L1867" s="123">
        <v>46146</v>
      </c>
      <c r="M1867">
        <v>0</v>
      </c>
      <c r="N1867">
        <v>0</v>
      </c>
      <c r="O1867" t="s">
        <v>556</v>
      </c>
      <c r="P1867" s="216">
        <v>84857.34</v>
      </c>
      <c r="Q1867" s="217" t="s">
        <v>8</v>
      </c>
      <c r="R1867" s="217" t="s">
        <v>554</v>
      </c>
      <c r="S1867" s="218">
        <v>0.40000033567785909</v>
      </c>
      <c r="T1867" t="s">
        <v>550</v>
      </c>
      <c r="U1867" t="s">
        <v>74</v>
      </c>
      <c r="V1867" s="219" t="s">
        <v>6867</v>
      </c>
      <c r="W1867" s="219" t="s">
        <v>67</v>
      </c>
    </row>
    <row r="1868" spans="1:23" ht="15" customHeight="1" x14ac:dyDescent="0.25">
      <c r="A1868" t="s">
        <v>4483</v>
      </c>
      <c r="B1868" t="s">
        <v>595</v>
      </c>
      <c r="C1868">
        <v>427680</v>
      </c>
      <c r="D1868" t="s">
        <v>4484</v>
      </c>
      <c r="E1868" t="s">
        <v>326</v>
      </c>
      <c r="F1868" t="s">
        <v>585</v>
      </c>
      <c r="G1868" s="30">
        <v>46143</v>
      </c>
      <c r="H1868" t="s">
        <v>4485</v>
      </c>
      <c r="I1868">
        <v>1424775.71</v>
      </c>
      <c r="J1868" s="123">
        <v>0</v>
      </c>
      <c r="K1868" s="123">
        <v>0</v>
      </c>
      <c r="L1868" s="123">
        <v>46142</v>
      </c>
      <c r="M1868">
        <v>0</v>
      </c>
      <c r="N1868">
        <v>0</v>
      </c>
      <c r="O1868">
        <v>0</v>
      </c>
      <c r="P1868" s="216">
        <v>427680</v>
      </c>
      <c r="Q1868" s="217" t="s">
        <v>44</v>
      </c>
      <c r="R1868" s="217" t="s">
        <v>61</v>
      </c>
      <c r="S1868" s="218">
        <v>0.3009649638117427</v>
      </c>
      <c r="T1868" t="s">
        <v>550</v>
      </c>
      <c r="U1868" t="s">
        <v>74</v>
      </c>
      <c r="V1868" s="219">
        <v>0</v>
      </c>
      <c r="W1868" s="219">
        <v>0</v>
      </c>
    </row>
    <row r="1869" spans="1:23" ht="15" customHeight="1" x14ac:dyDescent="0.25">
      <c r="A1869" t="s">
        <v>4486</v>
      </c>
      <c r="B1869" t="s">
        <v>595</v>
      </c>
      <c r="C1869">
        <v>1530</v>
      </c>
      <c r="D1869" t="s">
        <v>4487</v>
      </c>
      <c r="E1869" t="s">
        <v>263</v>
      </c>
      <c r="F1869" t="s">
        <v>554</v>
      </c>
      <c r="G1869" s="30">
        <v>46148</v>
      </c>
      <c r="H1869" t="s">
        <v>4488</v>
      </c>
      <c r="I1869">
        <v>1763666.65</v>
      </c>
      <c r="J1869" s="123">
        <v>0</v>
      </c>
      <c r="K1869" s="123">
        <v>0</v>
      </c>
      <c r="L1869" s="123">
        <v>46142</v>
      </c>
      <c r="M1869">
        <v>1530</v>
      </c>
      <c r="N1869">
        <v>0</v>
      </c>
      <c r="O1869">
        <v>0</v>
      </c>
      <c r="P1869" s="216">
        <v>0</v>
      </c>
      <c r="Q1869" s="217" t="s">
        <v>8</v>
      </c>
      <c r="R1869" s="217" t="s">
        <v>554</v>
      </c>
      <c r="S1869" s="218">
        <v>0.32892185153016307</v>
      </c>
      <c r="T1869" t="s">
        <v>550</v>
      </c>
      <c r="U1869" t="s">
        <v>74</v>
      </c>
      <c r="V1869" s="219" t="s">
        <v>6868</v>
      </c>
      <c r="W1869" s="219" t="s">
        <v>67</v>
      </c>
    </row>
    <row r="1870" spans="1:23" ht="15" customHeight="1" x14ac:dyDescent="0.25">
      <c r="A1870" t="s">
        <v>4489</v>
      </c>
      <c r="B1870" t="s">
        <v>595</v>
      </c>
      <c r="C1870">
        <v>1530</v>
      </c>
      <c r="D1870" t="s">
        <v>4487</v>
      </c>
      <c r="E1870" t="s">
        <v>263</v>
      </c>
      <c r="F1870" t="s">
        <v>554</v>
      </c>
      <c r="G1870" s="30">
        <v>46148</v>
      </c>
      <c r="H1870" t="s">
        <v>4488</v>
      </c>
      <c r="I1870">
        <v>1763666.65</v>
      </c>
      <c r="J1870" s="123">
        <v>0</v>
      </c>
      <c r="K1870" s="123">
        <v>0</v>
      </c>
      <c r="L1870" s="123">
        <v>46147</v>
      </c>
      <c r="M1870">
        <v>1530</v>
      </c>
      <c r="N1870">
        <v>0</v>
      </c>
      <c r="O1870">
        <v>0</v>
      </c>
      <c r="P1870" s="216">
        <v>0</v>
      </c>
      <c r="Q1870" s="217" t="s">
        <v>8</v>
      </c>
      <c r="R1870" s="217" t="s">
        <v>554</v>
      </c>
      <c r="S1870" s="218">
        <v>0.32892185153016307</v>
      </c>
      <c r="T1870" t="s">
        <v>550</v>
      </c>
      <c r="U1870" t="s">
        <v>74</v>
      </c>
      <c r="V1870" s="219" t="s">
        <v>6869</v>
      </c>
      <c r="W1870" s="219" t="s">
        <v>67</v>
      </c>
    </row>
    <row r="1871" spans="1:23" ht="15" customHeight="1" x14ac:dyDescent="0.25">
      <c r="A1871" t="s">
        <v>4490</v>
      </c>
      <c r="B1871" t="s">
        <v>595</v>
      </c>
      <c r="C1871">
        <v>5100</v>
      </c>
      <c r="D1871" t="s">
        <v>4487</v>
      </c>
      <c r="E1871" t="s">
        <v>263</v>
      </c>
      <c r="F1871" t="s">
        <v>554</v>
      </c>
      <c r="G1871" s="30">
        <v>46148</v>
      </c>
      <c r="H1871" t="s">
        <v>4488</v>
      </c>
      <c r="I1871">
        <v>1763666.65</v>
      </c>
      <c r="J1871" s="123">
        <v>0</v>
      </c>
      <c r="K1871" s="123">
        <v>0</v>
      </c>
      <c r="L1871" s="123">
        <v>46147</v>
      </c>
      <c r="M1871">
        <v>0</v>
      </c>
      <c r="N1871">
        <v>0</v>
      </c>
      <c r="O1871">
        <v>0</v>
      </c>
      <c r="P1871" s="216">
        <v>5100</v>
      </c>
      <c r="Q1871" s="217" t="s">
        <v>8</v>
      </c>
      <c r="R1871" s="217" t="s">
        <v>554</v>
      </c>
      <c r="S1871" s="218">
        <v>0.32892185153016307</v>
      </c>
      <c r="T1871" t="s">
        <v>550</v>
      </c>
      <c r="U1871" t="s">
        <v>74</v>
      </c>
      <c r="V1871" s="219" t="s">
        <v>6870</v>
      </c>
      <c r="W1871" s="219" t="s">
        <v>67</v>
      </c>
    </row>
    <row r="1872" spans="1:23" ht="15" customHeight="1" x14ac:dyDescent="0.25">
      <c r="A1872" t="s">
        <v>4491</v>
      </c>
      <c r="B1872" t="s">
        <v>546</v>
      </c>
      <c r="C1872">
        <v>118853</v>
      </c>
      <c r="D1872" t="s">
        <v>4492</v>
      </c>
      <c r="E1872" t="s">
        <v>4493</v>
      </c>
      <c r="F1872" t="s">
        <v>554</v>
      </c>
      <c r="G1872" s="30">
        <v>46147</v>
      </c>
      <c r="H1872" t="s">
        <v>4494</v>
      </c>
      <c r="I1872">
        <v>1877788.32</v>
      </c>
      <c r="J1872" s="123">
        <v>0</v>
      </c>
      <c r="K1872" s="123">
        <v>0</v>
      </c>
      <c r="L1872" s="123">
        <v>0</v>
      </c>
      <c r="M1872">
        <v>0</v>
      </c>
      <c r="N1872">
        <v>0</v>
      </c>
      <c r="O1872">
        <v>0</v>
      </c>
      <c r="P1872" s="216">
        <v>118853</v>
      </c>
      <c r="Q1872" s="217" t="s">
        <v>8</v>
      </c>
      <c r="R1872" s="217" t="s">
        <v>554</v>
      </c>
      <c r="S1872" s="218">
        <v>0.36329431956419878</v>
      </c>
      <c r="T1872" t="s">
        <v>550</v>
      </c>
      <c r="U1872" t="s">
        <v>74</v>
      </c>
      <c r="V1872" s="219" t="s">
        <v>6871</v>
      </c>
      <c r="W1872" s="219" t="s">
        <v>67</v>
      </c>
    </row>
    <row r="1873" spans="1:23" ht="15" customHeight="1" x14ac:dyDescent="0.25">
      <c r="A1873" t="s">
        <v>4495</v>
      </c>
      <c r="B1873" t="s">
        <v>546</v>
      </c>
      <c r="C1873">
        <v>27419</v>
      </c>
      <c r="D1873" t="s">
        <v>4496</v>
      </c>
      <c r="E1873" t="s">
        <v>553</v>
      </c>
      <c r="F1873" t="s">
        <v>554</v>
      </c>
      <c r="G1873" s="30">
        <v>46146</v>
      </c>
      <c r="H1873" t="s">
        <v>4497</v>
      </c>
      <c r="I1873">
        <v>2137359</v>
      </c>
      <c r="J1873" s="123">
        <v>46146</v>
      </c>
      <c r="K1873" s="123">
        <v>0</v>
      </c>
      <c r="L1873" s="123">
        <v>46146</v>
      </c>
      <c r="M1873">
        <v>0</v>
      </c>
      <c r="N1873">
        <v>0</v>
      </c>
      <c r="O1873" t="s">
        <v>556</v>
      </c>
      <c r="P1873" s="216">
        <v>27419</v>
      </c>
      <c r="Q1873" s="217" t="s">
        <v>31</v>
      </c>
      <c r="R1873" s="217" t="s">
        <v>554</v>
      </c>
      <c r="S1873" s="218">
        <v>0.27151882767471441</v>
      </c>
      <c r="T1873" t="s">
        <v>550</v>
      </c>
      <c r="U1873" t="s">
        <v>51</v>
      </c>
      <c r="V1873" s="219" t="s">
        <v>6872</v>
      </c>
      <c r="W1873" s="219" t="s">
        <v>67</v>
      </c>
    </row>
    <row r="1874" spans="1:23" ht="15" customHeight="1" x14ac:dyDescent="0.25">
      <c r="A1874" t="s">
        <v>4498</v>
      </c>
      <c r="B1874" t="s">
        <v>546</v>
      </c>
      <c r="C1874">
        <v>27419</v>
      </c>
      <c r="D1874" t="s">
        <v>4496</v>
      </c>
      <c r="E1874" t="s">
        <v>553</v>
      </c>
      <c r="F1874" t="s">
        <v>548</v>
      </c>
      <c r="G1874" s="30">
        <v>46146</v>
      </c>
      <c r="H1874" t="s">
        <v>4497</v>
      </c>
      <c r="I1874">
        <v>2137359</v>
      </c>
      <c r="J1874" s="123">
        <v>46146</v>
      </c>
      <c r="K1874" s="123">
        <v>0</v>
      </c>
      <c r="L1874" s="123">
        <v>46146</v>
      </c>
      <c r="M1874">
        <v>0</v>
      </c>
      <c r="N1874">
        <v>0</v>
      </c>
      <c r="O1874" t="s">
        <v>556</v>
      </c>
      <c r="P1874" s="216">
        <v>27419</v>
      </c>
      <c r="Q1874" s="217" t="s">
        <v>31</v>
      </c>
      <c r="R1874" s="217" t="s">
        <v>62</v>
      </c>
      <c r="S1874" s="218">
        <v>0.27151882767471441</v>
      </c>
      <c r="T1874" t="s">
        <v>550</v>
      </c>
      <c r="U1874" t="s">
        <v>51</v>
      </c>
      <c r="V1874" s="219">
        <v>0</v>
      </c>
      <c r="W1874" s="219">
        <v>0</v>
      </c>
    </row>
    <row r="1875" spans="1:23" ht="15" customHeight="1" x14ac:dyDescent="0.25">
      <c r="A1875" t="s">
        <v>4499</v>
      </c>
      <c r="B1875" t="s">
        <v>546</v>
      </c>
      <c r="C1875">
        <v>62275</v>
      </c>
      <c r="D1875" t="s">
        <v>4496</v>
      </c>
      <c r="E1875" t="s">
        <v>553</v>
      </c>
      <c r="F1875" t="s">
        <v>548</v>
      </c>
      <c r="G1875" s="30">
        <v>46146</v>
      </c>
      <c r="H1875" t="s">
        <v>4497</v>
      </c>
      <c r="I1875">
        <v>2137359</v>
      </c>
      <c r="J1875" s="123">
        <v>46146</v>
      </c>
      <c r="K1875" s="123">
        <v>0</v>
      </c>
      <c r="L1875" s="123">
        <v>46146</v>
      </c>
      <c r="M1875">
        <v>0</v>
      </c>
      <c r="N1875">
        <v>0</v>
      </c>
      <c r="O1875" t="s">
        <v>556</v>
      </c>
      <c r="P1875" s="216">
        <v>62275</v>
      </c>
      <c r="Q1875" s="217" t="s">
        <v>31</v>
      </c>
      <c r="R1875" s="217" t="s">
        <v>62</v>
      </c>
      <c r="S1875" s="218">
        <v>0.27151882767471441</v>
      </c>
      <c r="T1875" t="s">
        <v>550</v>
      </c>
      <c r="U1875" t="s">
        <v>51</v>
      </c>
      <c r="V1875" s="219">
        <v>0</v>
      </c>
      <c r="W1875" s="219">
        <v>0</v>
      </c>
    </row>
    <row r="1876" spans="1:23" ht="15" customHeight="1" x14ac:dyDescent="0.25">
      <c r="A1876" t="s">
        <v>4500</v>
      </c>
      <c r="B1876" t="s">
        <v>546</v>
      </c>
      <c r="C1876">
        <v>34845</v>
      </c>
      <c r="D1876" t="s">
        <v>4496</v>
      </c>
      <c r="E1876" t="s">
        <v>553</v>
      </c>
      <c r="F1876" t="s">
        <v>548</v>
      </c>
      <c r="G1876" s="30">
        <v>46146</v>
      </c>
      <c r="H1876" t="s">
        <v>4497</v>
      </c>
      <c r="I1876">
        <v>2137359</v>
      </c>
      <c r="J1876" s="123">
        <v>46146</v>
      </c>
      <c r="K1876" s="123">
        <v>0</v>
      </c>
      <c r="L1876" s="123">
        <v>46113</v>
      </c>
      <c r="M1876">
        <v>0</v>
      </c>
      <c r="N1876">
        <v>0</v>
      </c>
      <c r="O1876" t="s">
        <v>556</v>
      </c>
      <c r="P1876" s="216">
        <v>34845</v>
      </c>
      <c r="Q1876" s="217" t="s">
        <v>31</v>
      </c>
      <c r="R1876" s="217" t="s">
        <v>62</v>
      </c>
      <c r="S1876" s="218">
        <v>0.27151882767471441</v>
      </c>
      <c r="T1876" t="s">
        <v>550</v>
      </c>
      <c r="U1876" t="s">
        <v>51</v>
      </c>
      <c r="V1876" s="219">
        <v>0</v>
      </c>
      <c r="W1876" s="219">
        <v>0</v>
      </c>
    </row>
    <row r="1877" spans="1:23" ht="15" customHeight="1" x14ac:dyDescent="0.25">
      <c r="A1877" t="s">
        <v>4501</v>
      </c>
      <c r="B1877" t="s">
        <v>575</v>
      </c>
      <c r="C1877">
        <v>132018</v>
      </c>
      <c r="D1877" t="s">
        <v>4502</v>
      </c>
      <c r="E1877" t="s">
        <v>223</v>
      </c>
      <c r="F1877" t="s">
        <v>554</v>
      </c>
      <c r="G1877" s="30">
        <v>46147</v>
      </c>
      <c r="H1877" t="s">
        <v>4503</v>
      </c>
      <c r="I1877">
        <v>1320175</v>
      </c>
      <c r="J1877" s="123">
        <v>0</v>
      </c>
      <c r="K1877" s="123">
        <v>0</v>
      </c>
      <c r="L1877" s="123">
        <v>46131</v>
      </c>
      <c r="M1877">
        <v>0</v>
      </c>
      <c r="N1877">
        <v>0</v>
      </c>
      <c r="O1877">
        <v>0</v>
      </c>
      <c r="P1877" s="216">
        <v>132018</v>
      </c>
      <c r="Q1877" s="217" t="s">
        <v>31</v>
      </c>
      <c r="R1877" s="217" t="s">
        <v>554</v>
      </c>
      <c r="S1877" s="218">
        <v>0.30000037873766733</v>
      </c>
      <c r="T1877" t="s">
        <v>550</v>
      </c>
      <c r="U1877" t="s">
        <v>51</v>
      </c>
      <c r="V1877" s="219" t="s">
        <v>6873</v>
      </c>
      <c r="W1877" s="219" t="s">
        <v>67</v>
      </c>
    </row>
    <row r="1878" spans="1:23" ht="15" customHeight="1" x14ac:dyDescent="0.25">
      <c r="A1878" t="s">
        <v>4504</v>
      </c>
      <c r="B1878" t="s">
        <v>575</v>
      </c>
      <c r="C1878">
        <v>2459</v>
      </c>
      <c r="D1878" t="s">
        <v>4502</v>
      </c>
      <c r="E1878" t="s">
        <v>223</v>
      </c>
      <c r="F1878" t="s">
        <v>554</v>
      </c>
      <c r="G1878" s="30">
        <v>46147</v>
      </c>
      <c r="H1878" t="s">
        <v>4503</v>
      </c>
      <c r="I1878">
        <v>1320175</v>
      </c>
      <c r="J1878" s="123">
        <v>0</v>
      </c>
      <c r="K1878" s="123">
        <v>0</v>
      </c>
      <c r="L1878" s="123">
        <v>46131</v>
      </c>
      <c r="M1878">
        <v>2459</v>
      </c>
      <c r="N1878">
        <v>0</v>
      </c>
      <c r="O1878">
        <v>0</v>
      </c>
      <c r="P1878" s="216">
        <v>0</v>
      </c>
      <c r="Q1878" s="217" t="s">
        <v>31</v>
      </c>
      <c r="R1878" s="217" t="s">
        <v>554</v>
      </c>
      <c r="S1878" s="218">
        <v>0.30000037873766733</v>
      </c>
      <c r="T1878" t="s">
        <v>550</v>
      </c>
      <c r="U1878" t="s">
        <v>51</v>
      </c>
      <c r="V1878" s="219" t="s">
        <v>6874</v>
      </c>
      <c r="W1878" s="219" t="s">
        <v>67</v>
      </c>
    </row>
    <row r="1879" spans="1:23" ht="15" customHeight="1" x14ac:dyDescent="0.25">
      <c r="A1879" t="s">
        <v>4505</v>
      </c>
      <c r="B1879" t="s">
        <v>603</v>
      </c>
      <c r="C1879">
        <v>375920</v>
      </c>
      <c r="D1879" t="s">
        <v>4506</v>
      </c>
      <c r="E1879" t="s">
        <v>605</v>
      </c>
      <c r="F1879" t="s">
        <v>554</v>
      </c>
      <c r="G1879" s="30">
        <v>46146</v>
      </c>
      <c r="H1879" t="s">
        <v>4507</v>
      </c>
      <c r="I1879">
        <v>1273973.25</v>
      </c>
      <c r="J1879" s="123">
        <v>46146</v>
      </c>
      <c r="K1879" s="123">
        <v>0</v>
      </c>
      <c r="L1879" s="123">
        <v>0</v>
      </c>
      <c r="M1879">
        <v>0</v>
      </c>
      <c r="N1879">
        <v>0</v>
      </c>
      <c r="O1879">
        <v>0</v>
      </c>
      <c r="P1879" s="216">
        <v>375920</v>
      </c>
      <c r="Q1879" s="217" t="s">
        <v>47</v>
      </c>
      <c r="R1879" s="217" t="s">
        <v>554</v>
      </c>
      <c r="S1879" s="218">
        <v>0.97252697417312339</v>
      </c>
      <c r="T1879" t="s">
        <v>550</v>
      </c>
      <c r="U1879" t="s">
        <v>51</v>
      </c>
      <c r="V1879" s="219" t="s">
        <v>6875</v>
      </c>
      <c r="W1879" s="219" t="s">
        <v>67</v>
      </c>
    </row>
    <row r="1880" spans="1:23" ht="15" customHeight="1" x14ac:dyDescent="0.25">
      <c r="A1880" t="s">
        <v>4508</v>
      </c>
      <c r="B1880" t="s">
        <v>575</v>
      </c>
      <c r="C1880">
        <v>132300</v>
      </c>
      <c r="D1880" t="s">
        <v>4509</v>
      </c>
      <c r="E1880" t="s">
        <v>223</v>
      </c>
      <c r="F1880" t="s">
        <v>554</v>
      </c>
      <c r="G1880" s="30">
        <v>46143</v>
      </c>
      <c r="H1880" t="s">
        <v>4510</v>
      </c>
      <c r="I1880">
        <v>1322051.1499999999</v>
      </c>
      <c r="J1880" s="123">
        <v>0</v>
      </c>
      <c r="K1880" s="123">
        <v>0</v>
      </c>
      <c r="L1880" s="123">
        <v>46142</v>
      </c>
      <c r="M1880">
        <v>0</v>
      </c>
      <c r="N1880">
        <v>0</v>
      </c>
      <c r="O1880">
        <v>0</v>
      </c>
      <c r="P1880" s="216">
        <v>132300</v>
      </c>
      <c r="Q1880" s="217" t="s">
        <v>31</v>
      </c>
      <c r="R1880" s="217" t="s">
        <v>554</v>
      </c>
      <c r="S1880" s="218">
        <v>0.30015235794772394</v>
      </c>
      <c r="T1880" t="s">
        <v>550</v>
      </c>
      <c r="U1880" t="s">
        <v>51</v>
      </c>
      <c r="V1880" s="219" t="s">
        <v>6876</v>
      </c>
      <c r="W1880" s="219" t="s">
        <v>67</v>
      </c>
    </row>
    <row r="1881" spans="1:23" ht="15" customHeight="1" x14ac:dyDescent="0.25">
      <c r="A1881" t="s">
        <v>4511</v>
      </c>
      <c r="B1881" t="s">
        <v>595</v>
      </c>
      <c r="C1881">
        <v>155524</v>
      </c>
      <c r="D1881" t="s">
        <v>4512</v>
      </c>
      <c r="E1881" t="s">
        <v>223</v>
      </c>
      <c r="F1881" t="s">
        <v>585</v>
      </c>
      <c r="G1881" s="30">
        <v>46146</v>
      </c>
      <c r="H1881" t="s">
        <v>4513</v>
      </c>
      <c r="I1881">
        <v>1555236.45</v>
      </c>
      <c r="J1881" s="123">
        <v>0</v>
      </c>
      <c r="K1881" s="123">
        <v>0</v>
      </c>
      <c r="L1881" s="123">
        <v>46072</v>
      </c>
      <c r="M1881">
        <v>0</v>
      </c>
      <c r="N1881">
        <v>0</v>
      </c>
      <c r="O1881">
        <v>0</v>
      </c>
      <c r="P1881" s="216">
        <v>155524</v>
      </c>
      <c r="Q1881" s="217" t="s">
        <v>31</v>
      </c>
      <c r="R1881" s="217" t="s">
        <v>61</v>
      </c>
      <c r="S1881" s="218">
        <v>0.20553612281913791</v>
      </c>
      <c r="T1881" t="s">
        <v>550</v>
      </c>
      <c r="U1881" t="s">
        <v>51</v>
      </c>
      <c r="V1881" s="219">
        <v>0</v>
      </c>
      <c r="W1881" s="219">
        <v>0</v>
      </c>
    </row>
    <row r="1882" spans="1:23" ht="15" customHeight="1" x14ac:dyDescent="0.25">
      <c r="A1882" t="s">
        <v>4514</v>
      </c>
      <c r="B1882" t="s">
        <v>546</v>
      </c>
      <c r="C1882">
        <v>20000</v>
      </c>
      <c r="D1882" t="s">
        <v>4515</v>
      </c>
      <c r="E1882" t="s">
        <v>553</v>
      </c>
      <c r="F1882" t="s">
        <v>554</v>
      </c>
      <c r="G1882" s="30">
        <v>46143</v>
      </c>
      <c r="H1882" t="s">
        <v>4516</v>
      </c>
      <c r="I1882">
        <v>2989549.2</v>
      </c>
      <c r="J1882" s="123">
        <v>46142</v>
      </c>
      <c r="K1882" s="123">
        <v>0</v>
      </c>
      <c r="L1882" s="123">
        <v>46142</v>
      </c>
      <c r="M1882">
        <v>0</v>
      </c>
      <c r="N1882">
        <v>0</v>
      </c>
      <c r="O1882" t="s">
        <v>556</v>
      </c>
      <c r="P1882" s="216">
        <v>20000</v>
      </c>
      <c r="Q1882" s="217" t="s">
        <v>31</v>
      </c>
      <c r="R1882" s="217" t="s">
        <v>554</v>
      </c>
      <c r="S1882" s="218">
        <v>0.20668907539638418</v>
      </c>
      <c r="T1882" t="s">
        <v>550</v>
      </c>
      <c r="U1882" t="s">
        <v>51</v>
      </c>
      <c r="V1882" s="219" t="s">
        <v>6877</v>
      </c>
      <c r="W1882" s="219" t="s">
        <v>67</v>
      </c>
    </row>
    <row r="1883" spans="1:23" ht="15" customHeight="1" x14ac:dyDescent="0.25">
      <c r="A1883" t="s">
        <v>4517</v>
      </c>
      <c r="B1883" t="s">
        <v>546</v>
      </c>
      <c r="C1883">
        <v>20000</v>
      </c>
      <c r="D1883" t="s">
        <v>4515</v>
      </c>
      <c r="E1883" t="s">
        <v>553</v>
      </c>
      <c r="F1883" t="s">
        <v>548</v>
      </c>
      <c r="G1883" s="30">
        <v>46143</v>
      </c>
      <c r="H1883" t="s">
        <v>4516</v>
      </c>
      <c r="I1883">
        <v>2989549.2</v>
      </c>
      <c r="J1883" s="123">
        <v>46142</v>
      </c>
      <c r="K1883" s="123">
        <v>0</v>
      </c>
      <c r="L1883" s="123">
        <v>46142</v>
      </c>
      <c r="M1883">
        <v>0</v>
      </c>
      <c r="N1883">
        <v>0</v>
      </c>
      <c r="O1883" t="s">
        <v>556</v>
      </c>
      <c r="P1883" s="216">
        <v>20000</v>
      </c>
      <c r="Q1883" s="217" t="s">
        <v>31</v>
      </c>
      <c r="R1883" s="217" t="s">
        <v>62</v>
      </c>
      <c r="S1883" s="218">
        <v>0.20668907539638418</v>
      </c>
      <c r="T1883" t="s">
        <v>550</v>
      </c>
      <c r="U1883" t="s">
        <v>51</v>
      </c>
      <c r="V1883" s="219">
        <v>0</v>
      </c>
      <c r="W1883" s="219">
        <v>0</v>
      </c>
    </row>
    <row r="1884" spans="1:23" ht="15" customHeight="1" x14ac:dyDescent="0.25">
      <c r="A1884" t="s">
        <v>4518</v>
      </c>
      <c r="B1884" t="s">
        <v>546</v>
      </c>
      <c r="C1884">
        <v>299459.84000000003</v>
      </c>
      <c r="D1884" t="s">
        <v>4515</v>
      </c>
      <c r="E1884" t="s">
        <v>553</v>
      </c>
      <c r="F1884" t="s">
        <v>548</v>
      </c>
      <c r="G1884" s="30">
        <v>46143</v>
      </c>
      <c r="H1884" t="s">
        <v>4516</v>
      </c>
      <c r="I1884">
        <v>2989549.2</v>
      </c>
      <c r="J1884" s="123">
        <v>46142</v>
      </c>
      <c r="K1884" s="123">
        <v>0</v>
      </c>
      <c r="L1884" s="123">
        <v>46142</v>
      </c>
      <c r="M1884">
        <v>0</v>
      </c>
      <c r="N1884">
        <v>0</v>
      </c>
      <c r="O1884" t="s">
        <v>556</v>
      </c>
      <c r="P1884" s="216">
        <v>299459.84000000003</v>
      </c>
      <c r="Q1884" s="217" t="s">
        <v>31</v>
      </c>
      <c r="R1884" s="217" t="s">
        <v>62</v>
      </c>
      <c r="S1884" s="218">
        <v>0.20668907539638418</v>
      </c>
      <c r="T1884" t="s">
        <v>550</v>
      </c>
      <c r="U1884" t="s">
        <v>51</v>
      </c>
      <c r="V1884" s="219">
        <v>0</v>
      </c>
      <c r="W1884" s="219">
        <v>0</v>
      </c>
    </row>
    <row r="1885" spans="1:23" ht="15" customHeight="1" x14ac:dyDescent="0.25">
      <c r="A1885" t="s">
        <v>4519</v>
      </c>
      <c r="B1885" t="s">
        <v>668</v>
      </c>
      <c r="C1885">
        <v>35000</v>
      </c>
      <c r="D1885" t="s">
        <v>4520</v>
      </c>
      <c r="E1885" t="s">
        <v>208</v>
      </c>
      <c r="F1885" t="s">
        <v>554</v>
      </c>
      <c r="G1885" s="30">
        <v>46145</v>
      </c>
      <c r="H1885" t="s">
        <v>4521</v>
      </c>
      <c r="I1885">
        <v>2989549.2</v>
      </c>
      <c r="J1885" s="123">
        <v>46141</v>
      </c>
      <c r="K1885" s="123">
        <v>0</v>
      </c>
      <c r="L1885" s="123">
        <v>46141</v>
      </c>
      <c r="M1885">
        <v>0</v>
      </c>
      <c r="N1885">
        <v>0</v>
      </c>
      <c r="O1885">
        <v>0</v>
      </c>
      <c r="P1885" s="216">
        <v>35000</v>
      </c>
      <c r="Q1885" s="217" t="s">
        <v>23</v>
      </c>
      <c r="R1885" s="217" t="s">
        <v>554</v>
      </c>
      <c r="S1885" s="218">
        <v>0.29784134678231755</v>
      </c>
      <c r="T1885" t="s">
        <v>550</v>
      </c>
      <c r="U1885" t="s">
        <v>51</v>
      </c>
      <c r="V1885" s="219" t="s">
        <v>6878</v>
      </c>
      <c r="W1885" s="219" t="s">
        <v>67</v>
      </c>
    </row>
    <row r="1886" spans="1:23" ht="15" customHeight="1" x14ac:dyDescent="0.25">
      <c r="A1886" t="s">
        <v>4522</v>
      </c>
      <c r="B1886" t="s">
        <v>668</v>
      </c>
      <c r="C1886">
        <v>35500</v>
      </c>
      <c r="D1886" t="s">
        <v>4520</v>
      </c>
      <c r="E1886" t="s">
        <v>208</v>
      </c>
      <c r="F1886" t="s">
        <v>554</v>
      </c>
      <c r="G1886" s="30">
        <v>46148</v>
      </c>
      <c r="H1886" t="s">
        <v>4521</v>
      </c>
      <c r="I1886">
        <v>2989549.2</v>
      </c>
      <c r="J1886" s="123">
        <v>46145</v>
      </c>
      <c r="K1886" s="123">
        <v>0</v>
      </c>
      <c r="L1886" s="123">
        <v>46145</v>
      </c>
      <c r="M1886">
        <v>0</v>
      </c>
      <c r="N1886">
        <v>0</v>
      </c>
      <c r="O1886">
        <v>0</v>
      </c>
      <c r="P1886" s="216">
        <v>35500</v>
      </c>
      <c r="Q1886" s="217" t="s">
        <v>23</v>
      </c>
      <c r="R1886" s="217" t="s">
        <v>554</v>
      </c>
      <c r="S1886" s="218">
        <v>0.29784134678231755</v>
      </c>
      <c r="T1886" t="s">
        <v>550</v>
      </c>
      <c r="U1886" t="s">
        <v>51</v>
      </c>
      <c r="V1886" s="219" t="s">
        <v>6879</v>
      </c>
      <c r="W1886" s="219" t="s">
        <v>67</v>
      </c>
    </row>
    <row r="1887" spans="1:23" ht="15" customHeight="1" x14ac:dyDescent="0.25">
      <c r="A1887" t="s">
        <v>4523</v>
      </c>
      <c r="B1887" t="s">
        <v>668</v>
      </c>
      <c r="C1887">
        <v>7500</v>
      </c>
      <c r="D1887" t="s">
        <v>4520</v>
      </c>
      <c r="E1887" t="s">
        <v>223</v>
      </c>
      <c r="F1887" t="s">
        <v>580</v>
      </c>
      <c r="G1887" s="30">
        <v>46149</v>
      </c>
      <c r="H1887" t="s">
        <v>4521</v>
      </c>
      <c r="I1887">
        <v>2989549.2</v>
      </c>
      <c r="J1887" s="123">
        <v>46148</v>
      </c>
      <c r="K1887" s="123">
        <v>0</v>
      </c>
      <c r="L1887" s="123">
        <v>46148</v>
      </c>
      <c r="M1887">
        <v>0</v>
      </c>
      <c r="N1887">
        <v>0</v>
      </c>
      <c r="O1887">
        <v>0</v>
      </c>
      <c r="P1887" s="216">
        <v>7500</v>
      </c>
      <c r="Q1887" s="217" t="s">
        <v>31</v>
      </c>
      <c r="R1887" s="217" t="s">
        <v>582</v>
      </c>
      <c r="S1887" s="218">
        <v>0.29784134678231755</v>
      </c>
      <c r="T1887" t="s">
        <v>550</v>
      </c>
      <c r="U1887" t="s">
        <v>51</v>
      </c>
      <c r="V1887" s="219">
        <v>0</v>
      </c>
      <c r="W1887" s="219">
        <v>0</v>
      </c>
    </row>
    <row r="1888" spans="1:23" ht="15" customHeight="1" x14ac:dyDescent="0.25">
      <c r="A1888" t="s">
        <v>4524</v>
      </c>
      <c r="B1888" t="s">
        <v>575</v>
      </c>
      <c r="C1888">
        <v>261351</v>
      </c>
      <c r="D1888" t="s">
        <v>4525</v>
      </c>
      <c r="E1888" t="s">
        <v>208</v>
      </c>
      <c r="F1888" t="s">
        <v>585</v>
      </c>
      <c r="G1888" s="30">
        <v>46145</v>
      </c>
      <c r="H1888" t="s">
        <v>4526</v>
      </c>
      <c r="I1888">
        <v>2612947.4</v>
      </c>
      <c r="J1888" s="123">
        <v>0</v>
      </c>
      <c r="K1888" s="123">
        <v>0</v>
      </c>
      <c r="L1888" s="123">
        <v>46142</v>
      </c>
      <c r="M1888">
        <v>0</v>
      </c>
      <c r="N1888">
        <v>0</v>
      </c>
      <c r="O1888">
        <v>0</v>
      </c>
      <c r="P1888" s="216">
        <v>261351</v>
      </c>
      <c r="Q1888" s="217" t="s">
        <v>23</v>
      </c>
      <c r="R1888" s="217" t="s">
        <v>61</v>
      </c>
      <c r="S1888" s="218">
        <v>0.20008650767328881</v>
      </c>
      <c r="T1888" t="s">
        <v>550</v>
      </c>
      <c r="U1888" t="s">
        <v>51</v>
      </c>
      <c r="V1888" s="219">
        <v>0</v>
      </c>
      <c r="W1888" s="219">
        <v>0</v>
      </c>
    </row>
    <row r="1889" spans="1:23" ht="15" customHeight="1" x14ac:dyDescent="0.25">
      <c r="A1889" t="s">
        <v>4527</v>
      </c>
      <c r="B1889" t="s">
        <v>546</v>
      </c>
      <c r="C1889">
        <v>72558</v>
      </c>
      <c r="D1889" t="s">
        <v>4528</v>
      </c>
      <c r="E1889" t="s">
        <v>553</v>
      </c>
      <c r="F1889" t="s">
        <v>554</v>
      </c>
      <c r="G1889" s="30">
        <v>46146</v>
      </c>
      <c r="H1889" t="s">
        <v>4529</v>
      </c>
      <c r="I1889">
        <v>2669061.6</v>
      </c>
      <c r="J1889" s="123">
        <v>46146</v>
      </c>
      <c r="K1889" s="123">
        <v>0</v>
      </c>
      <c r="L1889" s="123">
        <v>46146</v>
      </c>
      <c r="M1889">
        <v>0</v>
      </c>
      <c r="N1889">
        <v>0</v>
      </c>
      <c r="O1889" t="s">
        <v>556</v>
      </c>
      <c r="P1889" s="216">
        <v>72558</v>
      </c>
      <c r="Q1889" s="217" t="s">
        <v>31</v>
      </c>
      <c r="R1889" s="217" t="s">
        <v>554</v>
      </c>
      <c r="S1889" s="218">
        <v>0.30004253180218843</v>
      </c>
      <c r="T1889" t="s">
        <v>550</v>
      </c>
      <c r="U1889" t="s">
        <v>51</v>
      </c>
      <c r="V1889" s="219" t="s">
        <v>6880</v>
      </c>
      <c r="W1889" s="219" t="s">
        <v>67</v>
      </c>
    </row>
    <row r="1890" spans="1:23" ht="15" customHeight="1" x14ac:dyDescent="0.25">
      <c r="A1890" t="s">
        <v>4530</v>
      </c>
      <c r="B1890" t="s">
        <v>546</v>
      </c>
      <c r="C1890">
        <v>9125</v>
      </c>
      <c r="D1890" t="s">
        <v>4528</v>
      </c>
      <c r="E1890" t="s">
        <v>4531</v>
      </c>
      <c r="F1890" t="s">
        <v>554</v>
      </c>
      <c r="G1890" s="30">
        <v>46146</v>
      </c>
      <c r="H1890" t="s">
        <v>4529</v>
      </c>
      <c r="I1890">
        <v>2669061.6</v>
      </c>
      <c r="J1890" s="123">
        <v>0</v>
      </c>
      <c r="K1890" s="123">
        <v>0</v>
      </c>
      <c r="L1890" s="123">
        <v>0</v>
      </c>
      <c r="M1890">
        <v>0</v>
      </c>
      <c r="N1890">
        <v>0</v>
      </c>
      <c r="O1890">
        <v>0</v>
      </c>
      <c r="P1890" s="216">
        <v>9125</v>
      </c>
      <c r="Q1890" s="217" t="s">
        <v>31</v>
      </c>
      <c r="R1890" s="217" t="s">
        <v>554</v>
      </c>
      <c r="S1890" s="218">
        <v>0.30004253180218843</v>
      </c>
      <c r="T1890" t="s">
        <v>550</v>
      </c>
      <c r="U1890" t="s">
        <v>51</v>
      </c>
      <c r="V1890" s="219" t="s">
        <v>6881</v>
      </c>
      <c r="W1890" s="219" t="s">
        <v>67</v>
      </c>
    </row>
    <row r="1891" spans="1:23" ht="15" customHeight="1" x14ac:dyDescent="0.25">
      <c r="A1891" t="s">
        <v>4532</v>
      </c>
      <c r="B1891" t="s">
        <v>546</v>
      </c>
      <c r="C1891">
        <v>9125</v>
      </c>
      <c r="D1891" t="s">
        <v>4528</v>
      </c>
      <c r="E1891" t="s">
        <v>4531</v>
      </c>
      <c r="F1891" t="s">
        <v>548</v>
      </c>
      <c r="G1891" s="30">
        <v>46146</v>
      </c>
      <c r="H1891" t="s">
        <v>4529</v>
      </c>
      <c r="I1891">
        <v>2669061.6</v>
      </c>
      <c r="J1891" s="123">
        <v>0</v>
      </c>
      <c r="K1891" s="123">
        <v>0</v>
      </c>
      <c r="L1891" s="123">
        <v>0</v>
      </c>
      <c r="M1891">
        <v>0</v>
      </c>
      <c r="N1891">
        <v>0</v>
      </c>
      <c r="O1891">
        <v>0</v>
      </c>
      <c r="P1891" s="216">
        <v>9125</v>
      </c>
      <c r="Q1891" s="217" t="s">
        <v>31</v>
      </c>
      <c r="R1891" s="217" t="s">
        <v>62</v>
      </c>
      <c r="S1891" s="218">
        <v>0.30004253180218843</v>
      </c>
      <c r="T1891" t="s">
        <v>550</v>
      </c>
      <c r="U1891" t="s">
        <v>51</v>
      </c>
      <c r="V1891" s="219">
        <v>0</v>
      </c>
      <c r="W1891" s="219">
        <v>0</v>
      </c>
    </row>
    <row r="1892" spans="1:23" ht="15" customHeight="1" x14ac:dyDescent="0.25">
      <c r="A1892" t="s">
        <v>4533</v>
      </c>
      <c r="B1892" t="s">
        <v>575</v>
      </c>
      <c r="C1892">
        <v>94605</v>
      </c>
      <c r="D1892" t="s">
        <v>4534</v>
      </c>
      <c r="E1892" t="s">
        <v>208</v>
      </c>
      <c r="F1892" t="s">
        <v>585</v>
      </c>
      <c r="G1892" s="30">
        <v>46148</v>
      </c>
      <c r="H1892" t="s">
        <v>4535</v>
      </c>
      <c r="I1892">
        <v>3171776.4</v>
      </c>
      <c r="J1892" s="123">
        <v>0</v>
      </c>
      <c r="K1892" s="123">
        <v>0</v>
      </c>
      <c r="L1892" s="123">
        <v>46045</v>
      </c>
      <c r="M1892">
        <v>0</v>
      </c>
      <c r="N1892">
        <v>0</v>
      </c>
      <c r="O1892">
        <v>0</v>
      </c>
      <c r="P1892" s="216">
        <v>94605</v>
      </c>
      <c r="Q1892" s="217" t="s">
        <v>23</v>
      </c>
      <c r="R1892" s="217" t="s">
        <v>61</v>
      </c>
      <c r="S1892" s="218">
        <v>0.21961217694916954</v>
      </c>
      <c r="T1892" t="s">
        <v>550</v>
      </c>
      <c r="U1892" t="s">
        <v>51</v>
      </c>
      <c r="V1892" s="219">
        <v>0</v>
      </c>
      <c r="W1892" s="219">
        <v>0</v>
      </c>
    </row>
    <row r="1893" spans="1:23" ht="15" customHeight="1" x14ac:dyDescent="0.25">
      <c r="A1893" t="s">
        <v>4536</v>
      </c>
      <c r="B1893" t="s">
        <v>595</v>
      </c>
      <c r="C1893">
        <v>322123.32</v>
      </c>
      <c r="D1893" t="s">
        <v>4537</v>
      </c>
      <c r="E1893" t="s">
        <v>208</v>
      </c>
      <c r="F1893" t="s">
        <v>580</v>
      </c>
      <c r="G1893" s="30">
        <v>46149</v>
      </c>
      <c r="H1893" t="s">
        <v>4538</v>
      </c>
      <c r="I1893">
        <v>3190324.8</v>
      </c>
      <c r="J1893" s="123">
        <v>0</v>
      </c>
      <c r="K1893" s="123">
        <v>0</v>
      </c>
      <c r="L1893" s="123">
        <v>46147</v>
      </c>
      <c r="M1893">
        <v>0</v>
      </c>
      <c r="N1893">
        <v>0</v>
      </c>
      <c r="O1893">
        <v>0</v>
      </c>
      <c r="P1893" s="216">
        <v>322123.32</v>
      </c>
      <c r="Q1893" s="217" t="s">
        <v>23</v>
      </c>
      <c r="R1893" s="217" t="s">
        <v>582</v>
      </c>
      <c r="S1893" s="218">
        <v>0.19761164443193996</v>
      </c>
      <c r="T1893" t="s">
        <v>550</v>
      </c>
      <c r="U1893" t="s">
        <v>51</v>
      </c>
      <c r="V1893" s="219">
        <v>0</v>
      </c>
      <c r="W1893" s="219">
        <v>0</v>
      </c>
    </row>
    <row r="1894" spans="1:23" ht="15" customHeight="1" x14ac:dyDescent="0.25">
      <c r="A1894" t="s">
        <v>4539</v>
      </c>
      <c r="B1894" t="s">
        <v>575</v>
      </c>
      <c r="C1894">
        <v>200001</v>
      </c>
      <c r="D1894" t="s">
        <v>4540</v>
      </c>
      <c r="E1894" t="s">
        <v>223</v>
      </c>
      <c r="F1894" t="s">
        <v>585</v>
      </c>
      <c r="G1894" s="30">
        <v>46146</v>
      </c>
      <c r="H1894" t="s">
        <v>4541</v>
      </c>
      <c r="I1894">
        <v>3208873.2</v>
      </c>
      <c r="J1894" s="123">
        <v>0</v>
      </c>
      <c r="K1894" s="123">
        <v>0</v>
      </c>
      <c r="L1894" s="123">
        <v>46141</v>
      </c>
      <c r="M1894">
        <v>0</v>
      </c>
      <c r="N1894">
        <v>0</v>
      </c>
      <c r="O1894">
        <v>0</v>
      </c>
      <c r="P1894" s="216">
        <v>200001</v>
      </c>
      <c r="Q1894" s="217" t="s">
        <v>31</v>
      </c>
      <c r="R1894" s="217" t="s">
        <v>61</v>
      </c>
      <c r="S1894" s="218">
        <v>0.20002432941258008</v>
      </c>
      <c r="T1894" t="s">
        <v>550</v>
      </c>
      <c r="U1894" t="s">
        <v>51</v>
      </c>
      <c r="V1894" s="219">
        <v>0</v>
      </c>
      <c r="W1894" s="219">
        <v>0</v>
      </c>
    </row>
    <row r="1895" spans="1:23" ht="15" customHeight="1" x14ac:dyDescent="0.25">
      <c r="A1895" t="s">
        <v>4542</v>
      </c>
      <c r="B1895" t="s">
        <v>575</v>
      </c>
      <c r="C1895">
        <v>36200</v>
      </c>
      <c r="D1895" t="s">
        <v>4543</v>
      </c>
      <c r="E1895" t="s">
        <v>253</v>
      </c>
      <c r="F1895" t="s">
        <v>554</v>
      </c>
      <c r="G1895" s="30">
        <v>46146</v>
      </c>
      <c r="H1895" t="s">
        <v>4544</v>
      </c>
      <c r="I1895">
        <v>1368102.92</v>
      </c>
      <c r="J1895" s="123">
        <v>0</v>
      </c>
      <c r="K1895" s="123">
        <v>0</v>
      </c>
      <c r="L1895" s="123">
        <v>46093</v>
      </c>
      <c r="M1895">
        <v>0</v>
      </c>
      <c r="N1895">
        <v>0</v>
      </c>
      <c r="O1895">
        <v>0</v>
      </c>
      <c r="P1895" s="216">
        <v>36200</v>
      </c>
      <c r="Q1895" s="217" t="s">
        <v>11</v>
      </c>
      <c r="R1895" s="217" t="s">
        <v>554</v>
      </c>
      <c r="S1895" s="218">
        <v>0.41583640505642661</v>
      </c>
      <c r="T1895" t="s">
        <v>550</v>
      </c>
      <c r="U1895" t="s">
        <v>74</v>
      </c>
      <c r="V1895" s="219" t="s">
        <v>6882</v>
      </c>
      <c r="W1895" s="219" t="s">
        <v>67</v>
      </c>
    </row>
    <row r="1896" spans="1:23" ht="15" customHeight="1" x14ac:dyDescent="0.25">
      <c r="A1896" t="s">
        <v>4545</v>
      </c>
      <c r="B1896" t="s">
        <v>575</v>
      </c>
      <c r="C1896">
        <v>36225</v>
      </c>
      <c r="D1896" t="s">
        <v>4543</v>
      </c>
      <c r="E1896" t="s">
        <v>253</v>
      </c>
      <c r="F1896" t="s">
        <v>554</v>
      </c>
      <c r="G1896" s="30">
        <v>46146</v>
      </c>
      <c r="H1896" t="s">
        <v>4544</v>
      </c>
      <c r="I1896">
        <v>1368102.92</v>
      </c>
      <c r="J1896" s="123">
        <v>0</v>
      </c>
      <c r="K1896" s="123">
        <v>0</v>
      </c>
      <c r="L1896" s="123">
        <v>46134</v>
      </c>
      <c r="M1896">
        <v>0</v>
      </c>
      <c r="N1896">
        <v>0</v>
      </c>
      <c r="O1896">
        <v>0</v>
      </c>
      <c r="P1896" s="216">
        <v>36225</v>
      </c>
      <c r="Q1896" s="217" t="s">
        <v>11</v>
      </c>
      <c r="R1896" s="217" t="s">
        <v>554</v>
      </c>
      <c r="S1896" s="218">
        <v>0.41583640505642661</v>
      </c>
      <c r="T1896" t="s">
        <v>550</v>
      </c>
      <c r="U1896" t="s">
        <v>74</v>
      </c>
      <c r="V1896" s="219" t="s">
        <v>6883</v>
      </c>
      <c r="W1896" s="219" t="s">
        <v>67</v>
      </c>
    </row>
    <row r="1897" spans="1:23" ht="15" customHeight="1" x14ac:dyDescent="0.25">
      <c r="A1897" t="s">
        <v>4546</v>
      </c>
      <c r="B1897" t="s">
        <v>595</v>
      </c>
      <c r="C1897">
        <v>178368.96</v>
      </c>
      <c r="D1897" t="s">
        <v>4547</v>
      </c>
      <c r="E1897" t="s">
        <v>253</v>
      </c>
      <c r="F1897" t="s">
        <v>580</v>
      </c>
      <c r="G1897" s="30">
        <v>46148</v>
      </c>
      <c r="H1897" t="s">
        <v>4548</v>
      </c>
      <c r="I1897">
        <v>2228175.12</v>
      </c>
      <c r="J1897" s="123">
        <v>0</v>
      </c>
      <c r="K1897" s="123">
        <v>0</v>
      </c>
      <c r="L1897" s="123">
        <v>46147</v>
      </c>
      <c r="M1897">
        <v>0</v>
      </c>
      <c r="N1897">
        <v>0</v>
      </c>
      <c r="O1897">
        <v>0</v>
      </c>
      <c r="P1897" s="216">
        <v>178368.96</v>
      </c>
      <c r="Q1897" s="217" t="s">
        <v>11</v>
      </c>
      <c r="R1897" s="217" t="s">
        <v>582</v>
      </c>
      <c r="S1897" s="218">
        <v>0.31994823638458003</v>
      </c>
      <c r="T1897" t="s">
        <v>550</v>
      </c>
      <c r="U1897" t="s">
        <v>74</v>
      </c>
      <c r="V1897" s="219">
        <v>0</v>
      </c>
      <c r="W1897" s="219">
        <v>0</v>
      </c>
    </row>
    <row r="1898" spans="1:23" ht="15" customHeight="1" x14ac:dyDescent="0.25">
      <c r="A1898" t="s">
        <v>4549</v>
      </c>
      <c r="B1898" t="s">
        <v>546</v>
      </c>
      <c r="C1898">
        <v>20997.78</v>
      </c>
      <c r="D1898" t="s">
        <v>4550</v>
      </c>
      <c r="E1898" t="s">
        <v>553</v>
      </c>
      <c r="F1898" t="s">
        <v>554</v>
      </c>
      <c r="G1898" s="30">
        <v>46143</v>
      </c>
      <c r="H1898" t="s">
        <v>4551</v>
      </c>
      <c r="I1898">
        <v>1293986.1299999999</v>
      </c>
      <c r="J1898" s="123">
        <v>46143</v>
      </c>
      <c r="K1898" s="123">
        <v>0</v>
      </c>
      <c r="L1898" s="123">
        <v>46143</v>
      </c>
      <c r="M1898">
        <v>0</v>
      </c>
      <c r="N1898">
        <v>0</v>
      </c>
      <c r="O1898" t="s">
        <v>556</v>
      </c>
      <c r="P1898" s="216">
        <v>20997.78</v>
      </c>
      <c r="Q1898" s="217" t="s">
        <v>11</v>
      </c>
      <c r="R1898" s="217" t="s">
        <v>554</v>
      </c>
      <c r="S1898" s="218">
        <v>0.36213062036453209</v>
      </c>
      <c r="T1898" t="s">
        <v>550</v>
      </c>
      <c r="U1898" t="s">
        <v>74</v>
      </c>
      <c r="V1898" s="219" t="s">
        <v>6884</v>
      </c>
      <c r="W1898" s="219" t="s">
        <v>67</v>
      </c>
    </row>
    <row r="1899" spans="1:23" ht="15" customHeight="1" x14ac:dyDescent="0.25">
      <c r="A1899" t="s">
        <v>4552</v>
      </c>
      <c r="B1899" t="s">
        <v>546</v>
      </c>
      <c r="C1899">
        <v>20000</v>
      </c>
      <c r="D1899" t="s">
        <v>4550</v>
      </c>
      <c r="E1899" t="s">
        <v>553</v>
      </c>
      <c r="F1899" t="s">
        <v>548</v>
      </c>
      <c r="G1899" s="30">
        <v>46143</v>
      </c>
      <c r="H1899" t="s">
        <v>4551</v>
      </c>
      <c r="I1899">
        <v>1293986.1299999999</v>
      </c>
      <c r="J1899" s="123">
        <v>46143</v>
      </c>
      <c r="K1899" s="123">
        <v>0</v>
      </c>
      <c r="L1899" s="123">
        <v>46143</v>
      </c>
      <c r="M1899">
        <v>0</v>
      </c>
      <c r="N1899">
        <v>0</v>
      </c>
      <c r="O1899" t="s">
        <v>556</v>
      </c>
      <c r="P1899" s="216">
        <v>20000</v>
      </c>
      <c r="Q1899" s="217" t="s">
        <v>11</v>
      </c>
      <c r="R1899" s="217" t="s">
        <v>62</v>
      </c>
      <c r="S1899" s="218">
        <v>0.36213062036453209</v>
      </c>
      <c r="T1899" t="s">
        <v>550</v>
      </c>
      <c r="U1899" t="s">
        <v>74</v>
      </c>
      <c r="V1899" s="219">
        <v>0</v>
      </c>
      <c r="W1899" s="219">
        <v>0</v>
      </c>
    </row>
    <row r="1900" spans="1:23" ht="15" customHeight="1" x14ac:dyDescent="0.25">
      <c r="A1900" t="s">
        <v>4553</v>
      </c>
      <c r="B1900" t="s">
        <v>1118</v>
      </c>
      <c r="C1900">
        <v>156877</v>
      </c>
      <c r="D1900" t="s">
        <v>4554</v>
      </c>
      <c r="E1900" t="s">
        <v>188</v>
      </c>
      <c r="F1900" t="s">
        <v>580</v>
      </c>
      <c r="G1900" s="30">
        <v>46149</v>
      </c>
      <c r="H1900" t="s">
        <v>4555</v>
      </c>
      <c r="I1900">
        <v>1568764.54</v>
      </c>
      <c r="J1900" s="123">
        <v>46141</v>
      </c>
      <c r="K1900" s="123">
        <v>0</v>
      </c>
      <c r="L1900" s="123">
        <v>0</v>
      </c>
      <c r="M1900">
        <v>0</v>
      </c>
      <c r="N1900">
        <v>0</v>
      </c>
      <c r="O1900">
        <v>0</v>
      </c>
      <c r="P1900" s="216">
        <v>156877</v>
      </c>
      <c r="Q1900" s="217" t="s">
        <v>17</v>
      </c>
      <c r="R1900" s="217" t="s">
        <v>582</v>
      </c>
      <c r="S1900" s="218">
        <v>0.29999913180087562</v>
      </c>
      <c r="T1900" t="s">
        <v>550</v>
      </c>
      <c r="U1900" t="s">
        <v>74</v>
      </c>
      <c r="V1900" s="219">
        <v>0</v>
      </c>
      <c r="W1900" s="219">
        <v>0</v>
      </c>
    </row>
    <row r="1901" spans="1:23" ht="15" customHeight="1" x14ac:dyDescent="0.25">
      <c r="A1901" t="s">
        <v>4556</v>
      </c>
      <c r="B1901" t="s">
        <v>546</v>
      </c>
      <c r="C1901">
        <v>197707.73</v>
      </c>
      <c r="D1901" t="s">
        <v>4557</v>
      </c>
      <c r="E1901" t="s">
        <v>4558</v>
      </c>
      <c r="F1901" t="s">
        <v>554</v>
      </c>
      <c r="G1901" s="30">
        <v>46148</v>
      </c>
      <c r="H1901" t="s">
        <v>4559</v>
      </c>
      <c r="I1901">
        <v>1977077.32</v>
      </c>
      <c r="J1901" s="123">
        <v>0</v>
      </c>
      <c r="K1901" s="123">
        <v>0</v>
      </c>
      <c r="L1901" s="123">
        <v>0</v>
      </c>
      <c r="M1901">
        <v>0</v>
      </c>
      <c r="N1901">
        <v>0</v>
      </c>
      <c r="O1901">
        <v>0</v>
      </c>
      <c r="P1901" s="216">
        <v>197707.73</v>
      </c>
      <c r="Q1901" s="217" t="s">
        <v>11</v>
      </c>
      <c r="R1901" s="217" t="s">
        <v>554</v>
      </c>
      <c r="S1901" s="218">
        <v>0.30000027009565816</v>
      </c>
      <c r="T1901" t="s">
        <v>550</v>
      </c>
      <c r="U1901" t="s">
        <v>74</v>
      </c>
      <c r="V1901" s="219" t="s">
        <v>6885</v>
      </c>
      <c r="W1901" s="219" t="s">
        <v>67</v>
      </c>
    </row>
    <row r="1902" spans="1:23" ht="15" customHeight="1" x14ac:dyDescent="0.25">
      <c r="A1902" t="s">
        <v>4560</v>
      </c>
      <c r="B1902" t="s">
        <v>595</v>
      </c>
      <c r="C1902">
        <v>214204</v>
      </c>
      <c r="D1902" t="s">
        <v>4561</v>
      </c>
      <c r="E1902" t="s">
        <v>268</v>
      </c>
      <c r="F1902" t="s">
        <v>580</v>
      </c>
      <c r="G1902" s="30">
        <v>46143</v>
      </c>
      <c r="H1902" t="s">
        <v>4562</v>
      </c>
      <c r="I1902">
        <v>2142039.62</v>
      </c>
      <c r="J1902" s="123">
        <v>0</v>
      </c>
      <c r="K1902" s="123">
        <v>0</v>
      </c>
      <c r="L1902" s="123">
        <v>46108</v>
      </c>
      <c r="M1902">
        <v>0</v>
      </c>
      <c r="N1902">
        <v>0</v>
      </c>
      <c r="O1902">
        <v>0</v>
      </c>
      <c r="P1902" s="216">
        <v>214204</v>
      </c>
      <c r="Q1902" s="217" t="s">
        <v>10</v>
      </c>
      <c r="R1902" s="217" t="s">
        <v>582</v>
      </c>
      <c r="S1902" s="218">
        <v>0.34000044312905847</v>
      </c>
      <c r="T1902" t="s">
        <v>550</v>
      </c>
      <c r="U1902" t="s">
        <v>74</v>
      </c>
      <c r="V1902" s="219">
        <v>0</v>
      </c>
      <c r="W1902" s="219">
        <v>0</v>
      </c>
    </row>
    <row r="1903" spans="1:23" ht="15" customHeight="1" x14ac:dyDescent="0.25">
      <c r="A1903" t="s">
        <v>4563</v>
      </c>
      <c r="B1903" t="s">
        <v>546</v>
      </c>
      <c r="C1903">
        <v>10000</v>
      </c>
      <c r="D1903" t="s">
        <v>4564</v>
      </c>
      <c r="E1903" t="s">
        <v>553</v>
      </c>
      <c r="F1903" t="s">
        <v>554</v>
      </c>
      <c r="G1903" s="30">
        <v>46146</v>
      </c>
      <c r="H1903" t="s">
        <v>4565</v>
      </c>
      <c r="I1903">
        <v>1293986.1299999999</v>
      </c>
      <c r="J1903" s="123">
        <v>46146</v>
      </c>
      <c r="K1903" s="123">
        <v>0</v>
      </c>
      <c r="L1903" s="123">
        <v>46146</v>
      </c>
      <c r="M1903">
        <v>0</v>
      </c>
      <c r="N1903">
        <v>0</v>
      </c>
      <c r="O1903" t="s">
        <v>556</v>
      </c>
      <c r="P1903" s="216">
        <v>10000</v>
      </c>
      <c r="Q1903" s="217" t="s">
        <v>49</v>
      </c>
      <c r="R1903" s="217" t="s">
        <v>554</v>
      </c>
      <c r="S1903" s="218">
        <v>0.41224553156531907</v>
      </c>
      <c r="T1903" t="s">
        <v>550</v>
      </c>
      <c r="U1903" t="s">
        <v>74</v>
      </c>
      <c r="V1903" s="219" t="s">
        <v>6886</v>
      </c>
      <c r="W1903" s="219" t="s">
        <v>67</v>
      </c>
    </row>
    <row r="1904" spans="1:23" ht="15" customHeight="1" x14ac:dyDescent="0.25">
      <c r="A1904" t="s">
        <v>4566</v>
      </c>
      <c r="B1904" t="s">
        <v>546</v>
      </c>
      <c r="C1904">
        <v>10000</v>
      </c>
      <c r="D1904" t="s">
        <v>4564</v>
      </c>
      <c r="E1904" t="s">
        <v>553</v>
      </c>
      <c r="F1904" t="s">
        <v>548</v>
      </c>
      <c r="G1904" s="30">
        <v>46146</v>
      </c>
      <c r="H1904" t="s">
        <v>4565</v>
      </c>
      <c r="I1904">
        <v>1293986.1299999999</v>
      </c>
      <c r="J1904" s="123">
        <v>46146</v>
      </c>
      <c r="K1904" s="123">
        <v>0</v>
      </c>
      <c r="L1904" s="123">
        <v>46146</v>
      </c>
      <c r="M1904">
        <v>0</v>
      </c>
      <c r="N1904">
        <v>0</v>
      </c>
      <c r="O1904" t="s">
        <v>556</v>
      </c>
      <c r="P1904" s="216">
        <v>10000</v>
      </c>
      <c r="Q1904" s="217" t="s">
        <v>49</v>
      </c>
      <c r="R1904" s="217" t="s">
        <v>62</v>
      </c>
      <c r="S1904" s="218">
        <v>0.41224553156531907</v>
      </c>
      <c r="T1904" t="s">
        <v>550</v>
      </c>
      <c r="U1904" t="s">
        <v>74</v>
      </c>
      <c r="V1904" s="219">
        <v>0</v>
      </c>
      <c r="W1904" s="219">
        <v>0</v>
      </c>
    </row>
    <row r="1905" spans="1:23" ht="15" customHeight="1" x14ac:dyDescent="0.25">
      <c r="A1905" t="s">
        <v>4567</v>
      </c>
      <c r="B1905" t="s">
        <v>595</v>
      </c>
      <c r="C1905">
        <v>498131</v>
      </c>
      <c r="D1905" t="s">
        <v>4568</v>
      </c>
      <c r="E1905" t="s">
        <v>253</v>
      </c>
      <c r="F1905" t="s">
        <v>554</v>
      </c>
      <c r="G1905" s="30">
        <v>46147</v>
      </c>
      <c r="H1905" t="s">
        <v>4569</v>
      </c>
      <c r="I1905">
        <v>5359442.28</v>
      </c>
      <c r="J1905" s="123">
        <v>0</v>
      </c>
      <c r="K1905" s="123">
        <v>0</v>
      </c>
      <c r="L1905" s="123">
        <v>46146</v>
      </c>
      <c r="M1905">
        <v>0</v>
      </c>
      <c r="N1905">
        <v>0</v>
      </c>
      <c r="O1905">
        <v>0</v>
      </c>
      <c r="P1905" s="216">
        <v>498131</v>
      </c>
      <c r="Q1905" s="217" t="s">
        <v>11</v>
      </c>
      <c r="R1905" s="217" t="s">
        <v>554</v>
      </c>
      <c r="S1905" s="218">
        <v>0.40000001641961891</v>
      </c>
      <c r="T1905" t="s">
        <v>550</v>
      </c>
      <c r="U1905" t="s">
        <v>74</v>
      </c>
      <c r="V1905" s="219" t="s">
        <v>6887</v>
      </c>
      <c r="W1905" s="219" t="s">
        <v>67</v>
      </c>
    </row>
    <row r="1906" spans="1:23" ht="15" customHeight="1" x14ac:dyDescent="0.25">
      <c r="A1906" t="s">
        <v>4570</v>
      </c>
      <c r="B1906" t="s">
        <v>595</v>
      </c>
      <c r="C1906">
        <v>216934.53</v>
      </c>
      <c r="D1906" t="s">
        <v>4571</v>
      </c>
      <c r="E1906" t="s">
        <v>253</v>
      </c>
      <c r="F1906" t="s">
        <v>554</v>
      </c>
      <c r="G1906" s="30">
        <v>46147</v>
      </c>
      <c r="H1906" t="s">
        <v>4572</v>
      </c>
      <c r="I1906">
        <v>2139843.7799999998</v>
      </c>
      <c r="J1906" s="123">
        <v>0</v>
      </c>
      <c r="K1906" s="123">
        <v>0</v>
      </c>
      <c r="L1906" s="123">
        <v>46146</v>
      </c>
      <c r="M1906">
        <v>0</v>
      </c>
      <c r="N1906">
        <v>0</v>
      </c>
      <c r="O1906">
        <v>0</v>
      </c>
      <c r="P1906" s="216">
        <v>216934.53</v>
      </c>
      <c r="Q1906" s="217" t="s">
        <v>11</v>
      </c>
      <c r="R1906" s="217" t="s">
        <v>554</v>
      </c>
      <c r="S1906" s="218">
        <v>0.4047336904192137</v>
      </c>
      <c r="T1906" t="s">
        <v>550</v>
      </c>
      <c r="U1906" t="s">
        <v>74</v>
      </c>
      <c r="V1906" s="219" t="s">
        <v>6888</v>
      </c>
      <c r="W1906" s="219" t="s">
        <v>67</v>
      </c>
    </row>
    <row r="1907" spans="1:23" ht="15" customHeight="1" x14ac:dyDescent="0.25">
      <c r="A1907" t="s">
        <v>4573</v>
      </c>
      <c r="B1907" t="s">
        <v>595</v>
      </c>
      <c r="C1907">
        <v>19426</v>
      </c>
      <c r="D1907" t="s">
        <v>4574</v>
      </c>
      <c r="E1907" t="s">
        <v>4150</v>
      </c>
      <c r="F1907" t="s">
        <v>554</v>
      </c>
      <c r="G1907" s="30">
        <v>46146</v>
      </c>
      <c r="H1907" t="s">
        <v>4575</v>
      </c>
      <c r="I1907">
        <v>2247700.58</v>
      </c>
      <c r="J1907" s="123">
        <v>0</v>
      </c>
      <c r="K1907" s="123">
        <v>0</v>
      </c>
      <c r="L1907" s="123">
        <v>46146</v>
      </c>
      <c r="M1907">
        <v>0</v>
      </c>
      <c r="N1907">
        <v>0</v>
      </c>
      <c r="O1907">
        <v>0</v>
      </c>
      <c r="P1907" s="216">
        <v>19426</v>
      </c>
      <c r="Q1907" s="217" t="s">
        <v>11</v>
      </c>
      <c r="R1907" s="217" t="s">
        <v>554</v>
      </c>
      <c r="S1907" s="218">
        <v>0.29041853519475447</v>
      </c>
      <c r="T1907" t="s">
        <v>550</v>
      </c>
      <c r="U1907" t="s">
        <v>74</v>
      </c>
      <c r="V1907" s="219" t="s">
        <v>6889</v>
      </c>
      <c r="W1907" s="219" t="s">
        <v>67</v>
      </c>
    </row>
    <row r="1908" spans="1:23" ht="15" customHeight="1" x14ac:dyDescent="0.25">
      <c r="A1908" t="s">
        <v>4576</v>
      </c>
      <c r="B1908" t="s">
        <v>546</v>
      </c>
      <c r="C1908">
        <v>25000</v>
      </c>
      <c r="D1908" t="s">
        <v>4577</v>
      </c>
      <c r="E1908" t="s">
        <v>553</v>
      </c>
      <c r="F1908" t="s">
        <v>554</v>
      </c>
      <c r="G1908" s="30">
        <v>46143</v>
      </c>
      <c r="H1908" t="s">
        <v>4578</v>
      </c>
      <c r="I1908">
        <v>1368391.12</v>
      </c>
      <c r="J1908" s="123">
        <v>46143</v>
      </c>
      <c r="K1908" s="123">
        <v>0</v>
      </c>
      <c r="L1908" s="123">
        <v>46143</v>
      </c>
      <c r="M1908">
        <v>0</v>
      </c>
      <c r="N1908">
        <v>0</v>
      </c>
      <c r="O1908" t="s">
        <v>556</v>
      </c>
      <c r="P1908" s="216">
        <v>25000</v>
      </c>
      <c r="Q1908" s="217" t="s">
        <v>11</v>
      </c>
      <c r="R1908" s="217" t="s">
        <v>554</v>
      </c>
      <c r="S1908" s="218">
        <v>0.37319609323392855</v>
      </c>
      <c r="T1908" t="s">
        <v>550</v>
      </c>
      <c r="U1908" t="s">
        <v>74</v>
      </c>
      <c r="V1908" s="219" t="s">
        <v>6890</v>
      </c>
      <c r="W1908" s="219" t="s">
        <v>67</v>
      </c>
    </row>
    <row r="1909" spans="1:23" ht="15" customHeight="1" x14ac:dyDescent="0.25">
      <c r="A1909" t="s">
        <v>4579</v>
      </c>
      <c r="B1909" t="s">
        <v>546</v>
      </c>
      <c r="C1909">
        <v>224913</v>
      </c>
      <c r="D1909" t="s">
        <v>4580</v>
      </c>
      <c r="E1909" t="s">
        <v>553</v>
      </c>
      <c r="F1909" t="s">
        <v>554</v>
      </c>
      <c r="G1909" s="30">
        <v>46147</v>
      </c>
      <c r="H1909" t="s">
        <v>4581</v>
      </c>
      <c r="I1909">
        <v>2249141.6</v>
      </c>
      <c r="J1909" s="123">
        <v>46147</v>
      </c>
      <c r="K1909" s="123">
        <v>0</v>
      </c>
      <c r="L1909" s="123">
        <v>46147</v>
      </c>
      <c r="M1909">
        <v>0</v>
      </c>
      <c r="N1909">
        <v>0</v>
      </c>
      <c r="O1909" t="s">
        <v>556</v>
      </c>
      <c r="P1909" s="216">
        <v>224913</v>
      </c>
      <c r="Q1909" s="217" t="s">
        <v>11</v>
      </c>
      <c r="R1909" s="217" t="s">
        <v>554</v>
      </c>
      <c r="S1909" s="218">
        <v>0.29999978658524656</v>
      </c>
      <c r="T1909" t="s">
        <v>550</v>
      </c>
      <c r="U1909" t="s">
        <v>74</v>
      </c>
      <c r="V1909" s="219" t="s">
        <v>6891</v>
      </c>
      <c r="W1909" s="219" t="s">
        <v>67</v>
      </c>
    </row>
    <row r="1910" spans="1:23" ht="15" customHeight="1" x14ac:dyDescent="0.25">
      <c r="A1910" t="s">
        <v>4582</v>
      </c>
      <c r="B1910" t="s">
        <v>546</v>
      </c>
      <c r="C1910">
        <v>43000</v>
      </c>
      <c r="D1910" t="s">
        <v>4583</v>
      </c>
      <c r="E1910" t="s">
        <v>1813</v>
      </c>
      <c r="F1910" t="s">
        <v>554</v>
      </c>
      <c r="G1910" s="30">
        <v>46148</v>
      </c>
      <c r="H1910" t="s">
        <v>4584</v>
      </c>
      <c r="I1910">
        <v>5492352.3499999996</v>
      </c>
      <c r="J1910" s="123">
        <v>0</v>
      </c>
      <c r="K1910" s="123">
        <v>0</v>
      </c>
      <c r="L1910" s="123">
        <v>0</v>
      </c>
      <c r="M1910">
        <v>0</v>
      </c>
      <c r="N1910">
        <v>0</v>
      </c>
      <c r="O1910">
        <v>0</v>
      </c>
      <c r="P1910" s="216">
        <v>43000</v>
      </c>
      <c r="Q1910" s="217" t="s">
        <v>11</v>
      </c>
      <c r="R1910" s="217" t="s">
        <v>554</v>
      </c>
      <c r="S1910" s="218">
        <v>0.3305733362135807</v>
      </c>
      <c r="T1910" t="s">
        <v>550</v>
      </c>
      <c r="U1910" t="s">
        <v>74</v>
      </c>
      <c r="V1910" s="219" t="s">
        <v>6892</v>
      </c>
      <c r="W1910" s="219" t="s">
        <v>67</v>
      </c>
    </row>
    <row r="1911" spans="1:23" ht="15" customHeight="1" x14ac:dyDescent="0.25">
      <c r="A1911" t="s">
        <v>4585</v>
      </c>
      <c r="B1911" t="s">
        <v>603</v>
      </c>
      <c r="C1911">
        <v>119300</v>
      </c>
      <c r="D1911" t="s">
        <v>4586</v>
      </c>
      <c r="E1911" t="s">
        <v>605</v>
      </c>
      <c r="F1911" t="s">
        <v>554</v>
      </c>
      <c r="G1911" s="30">
        <v>46146</v>
      </c>
      <c r="H1911" t="s">
        <v>4587</v>
      </c>
      <c r="I1911">
        <v>1349616.71</v>
      </c>
      <c r="J1911" s="123">
        <v>46146</v>
      </c>
      <c r="K1911" s="123">
        <v>0</v>
      </c>
      <c r="L1911" s="123">
        <v>0</v>
      </c>
      <c r="M1911">
        <v>0</v>
      </c>
      <c r="N1911">
        <v>0</v>
      </c>
      <c r="O1911">
        <v>0</v>
      </c>
      <c r="P1911" s="216">
        <v>119300</v>
      </c>
      <c r="Q1911" s="217" t="s">
        <v>8</v>
      </c>
      <c r="R1911" s="217" t="s">
        <v>554</v>
      </c>
      <c r="S1911" s="218">
        <v>0.19137692804648218</v>
      </c>
      <c r="T1911" t="s">
        <v>550</v>
      </c>
      <c r="U1911" t="s">
        <v>74</v>
      </c>
      <c r="V1911" s="219" t="s">
        <v>6893</v>
      </c>
      <c r="W1911" s="219" t="s">
        <v>67</v>
      </c>
    </row>
    <row r="1912" spans="1:23" ht="15" customHeight="1" x14ac:dyDescent="0.25">
      <c r="A1912" t="s">
        <v>4588</v>
      </c>
      <c r="B1912" t="s">
        <v>546</v>
      </c>
      <c r="C1912">
        <v>55000</v>
      </c>
      <c r="D1912" t="s">
        <v>4589</v>
      </c>
      <c r="E1912" t="s">
        <v>553</v>
      </c>
      <c r="F1912" t="s">
        <v>554</v>
      </c>
      <c r="G1912" s="30">
        <v>46143</v>
      </c>
      <c r="H1912" t="s">
        <v>4590</v>
      </c>
      <c r="I1912">
        <v>1417097.55</v>
      </c>
      <c r="J1912" s="123">
        <v>46143</v>
      </c>
      <c r="K1912" s="123">
        <v>0</v>
      </c>
      <c r="L1912" s="123">
        <v>46143</v>
      </c>
      <c r="M1912">
        <v>0</v>
      </c>
      <c r="N1912">
        <v>0</v>
      </c>
      <c r="O1912" t="s">
        <v>556</v>
      </c>
      <c r="P1912" s="216">
        <v>55000</v>
      </c>
      <c r="Q1912" s="217" t="s">
        <v>8</v>
      </c>
      <c r="R1912" s="217" t="s">
        <v>554</v>
      </c>
      <c r="S1912" s="218">
        <v>0.29999840377960152</v>
      </c>
      <c r="T1912" t="s">
        <v>550</v>
      </c>
      <c r="U1912" t="s">
        <v>74</v>
      </c>
      <c r="V1912" s="219" t="s">
        <v>6894</v>
      </c>
      <c r="W1912" s="219" t="s">
        <v>67</v>
      </c>
    </row>
    <row r="1913" spans="1:23" ht="15" customHeight="1" x14ac:dyDescent="0.25">
      <c r="A1913" t="s">
        <v>4591</v>
      </c>
      <c r="B1913" t="s">
        <v>546</v>
      </c>
      <c r="C1913">
        <v>40000</v>
      </c>
      <c r="D1913" t="s">
        <v>4589</v>
      </c>
      <c r="E1913" t="s">
        <v>553</v>
      </c>
      <c r="F1913" t="s">
        <v>554</v>
      </c>
      <c r="G1913" s="30">
        <v>46146</v>
      </c>
      <c r="H1913" t="s">
        <v>4590</v>
      </c>
      <c r="I1913">
        <v>1417097.55</v>
      </c>
      <c r="J1913" s="123">
        <v>46146</v>
      </c>
      <c r="K1913" s="123">
        <v>0</v>
      </c>
      <c r="L1913" s="123">
        <v>46146</v>
      </c>
      <c r="M1913">
        <v>0</v>
      </c>
      <c r="N1913">
        <v>0</v>
      </c>
      <c r="O1913" t="s">
        <v>556</v>
      </c>
      <c r="P1913" s="216">
        <v>40000</v>
      </c>
      <c r="Q1913" s="217" t="s">
        <v>8</v>
      </c>
      <c r="R1913" s="217" t="s">
        <v>554</v>
      </c>
      <c r="S1913" s="218">
        <v>0.29999840377960152</v>
      </c>
      <c r="T1913" t="s">
        <v>550</v>
      </c>
      <c r="U1913" t="s">
        <v>74</v>
      </c>
      <c r="V1913" s="219" t="s">
        <v>6895</v>
      </c>
      <c r="W1913" s="219" t="s">
        <v>67</v>
      </c>
    </row>
    <row r="1914" spans="1:23" ht="15" customHeight="1" x14ac:dyDescent="0.25">
      <c r="A1914" t="s">
        <v>4592</v>
      </c>
      <c r="B1914" t="s">
        <v>546</v>
      </c>
      <c r="C1914">
        <v>46707</v>
      </c>
      <c r="D1914" t="s">
        <v>4589</v>
      </c>
      <c r="E1914" t="s">
        <v>553</v>
      </c>
      <c r="F1914" t="s">
        <v>554</v>
      </c>
      <c r="G1914" s="30">
        <v>46148</v>
      </c>
      <c r="H1914" t="s">
        <v>4590</v>
      </c>
      <c r="I1914">
        <v>1417097.55</v>
      </c>
      <c r="J1914" s="123">
        <v>46148</v>
      </c>
      <c r="K1914" s="123">
        <v>0</v>
      </c>
      <c r="L1914" s="123">
        <v>46148</v>
      </c>
      <c r="M1914">
        <v>0</v>
      </c>
      <c r="N1914">
        <v>0</v>
      </c>
      <c r="O1914" t="s">
        <v>556</v>
      </c>
      <c r="P1914" s="216">
        <v>46707</v>
      </c>
      <c r="Q1914" s="217" t="s">
        <v>8</v>
      </c>
      <c r="R1914" s="217" t="s">
        <v>554</v>
      </c>
      <c r="S1914" s="218">
        <v>0.29999840377960152</v>
      </c>
      <c r="T1914" t="s">
        <v>550</v>
      </c>
      <c r="U1914" t="s">
        <v>74</v>
      </c>
      <c r="V1914" s="219" t="s">
        <v>6896</v>
      </c>
      <c r="W1914" s="219" t="s">
        <v>67</v>
      </c>
    </row>
    <row r="1915" spans="1:23" ht="15" customHeight="1" x14ac:dyDescent="0.25">
      <c r="A1915" t="s">
        <v>4593</v>
      </c>
      <c r="B1915" t="s">
        <v>546</v>
      </c>
      <c r="C1915">
        <v>33681</v>
      </c>
      <c r="D1915" t="s">
        <v>4594</v>
      </c>
      <c r="E1915" t="s">
        <v>553</v>
      </c>
      <c r="F1915" t="s">
        <v>554</v>
      </c>
      <c r="G1915" s="30">
        <v>46146</v>
      </c>
      <c r="H1915" t="s">
        <v>4595</v>
      </c>
      <c r="I1915">
        <v>1416817.82</v>
      </c>
      <c r="J1915" s="123">
        <v>46146</v>
      </c>
      <c r="K1915" s="123">
        <v>0</v>
      </c>
      <c r="L1915" s="123">
        <v>46146</v>
      </c>
      <c r="M1915">
        <v>0</v>
      </c>
      <c r="N1915">
        <v>0</v>
      </c>
      <c r="O1915" t="s">
        <v>556</v>
      </c>
      <c r="P1915" s="216">
        <v>33681</v>
      </c>
      <c r="Q1915" s="217" t="s">
        <v>8</v>
      </c>
      <c r="R1915" s="217" t="s">
        <v>554</v>
      </c>
      <c r="S1915" s="218">
        <v>0.30000046159780797</v>
      </c>
      <c r="T1915" t="s">
        <v>550</v>
      </c>
      <c r="U1915" t="s">
        <v>74</v>
      </c>
      <c r="V1915" s="219" t="s">
        <v>6897</v>
      </c>
      <c r="W1915" s="219" t="s">
        <v>67</v>
      </c>
    </row>
    <row r="1916" spans="1:23" ht="15" customHeight="1" x14ac:dyDescent="0.25">
      <c r="A1916" t="s">
        <v>4596</v>
      </c>
      <c r="B1916" t="s">
        <v>546</v>
      </c>
      <c r="C1916">
        <v>141681</v>
      </c>
      <c r="D1916" t="s">
        <v>4594</v>
      </c>
      <c r="E1916" t="s">
        <v>553</v>
      </c>
      <c r="F1916" t="s">
        <v>548</v>
      </c>
      <c r="G1916" s="30">
        <v>46146</v>
      </c>
      <c r="H1916" t="s">
        <v>4595</v>
      </c>
      <c r="I1916">
        <v>1416817.82</v>
      </c>
      <c r="J1916" s="123">
        <v>46146</v>
      </c>
      <c r="K1916" s="123">
        <v>0</v>
      </c>
      <c r="L1916" s="123">
        <v>46146</v>
      </c>
      <c r="M1916">
        <v>0</v>
      </c>
      <c r="N1916">
        <v>0</v>
      </c>
      <c r="O1916" t="s">
        <v>556</v>
      </c>
      <c r="P1916" s="216">
        <v>141681</v>
      </c>
      <c r="Q1916" s="217" t="s">
        <v>8</v>
      </c>
      <c r="R1916" s="217" t="s">
        <v>62</v>
      </c>
      <c r="S1916" s="218">
        <v>0.30000046159780797</v>
      </c>
      <c r="T1916" t="s">
        <v>550</v>
      </c>
      <c r="U1916" t="s">
        <v>74</v>
      </c>
      <c r="V1916" s="219">
        <v>0</v>
      </c>
      <c r="W1916" s="219">
        <v>0</v>
      </c>
    </row>
    <row r="1917" spans="1:23" ht="15" customHeight="1" x14ac:dyDescent="0.25">
      <c r="A1917" t="s">
        <v>4597</v>
      </c>
      <c r="B1917" t="s">
        <v>546</v>
      </c>
      <c r="C1917">
        <v>33680</v>
      </c>
      <c r="D1917" t="s">
        <v>4594</v>
      </c>
      <c r="E1917" t="s">
        <v>553</v>
      </c>
      <c r="F1917" t="s">
        <v>548</v>
      </c>
      <c r="G1917" s="30">
        <v>46146</v>
      </c>
      <c r="H1917" t="s">
        <v>4595</v>
      </c>
      <c r="I1917">
        <v>1416817.82</v>
      </c>
      <c r="J1917" s="123">
        <v>46146</v>
      </c>
      <c r="K1917" s="123">
        <v>0</v>
      </c>
      <c r="L1917" s="123">
        <v>46146</v>
      </c>
      <c r="M1917">
        <v>0</v>
      </c>
      <c r="N1917">
        <v>0</v>
      </c>
      <c r="O1917" t="s">
        <v>556</v>
      </c>
      <c r="P1917" s="216">
        <v>33680</v>
      </c>
      <c r="Q1917" s="217" t="s">
        <v>8</v>
      </c>
      <c r="R1917" s="217" t="s">
        <v>62</v>
      </c>
      <c r="S1917" s="218">
        <v>0.30000046159780797</v>
      </c>
      <c r="T1917" t="s">
        <v>550</v>
      </c>
      <c r="U1917" t="s">
        <v>74</v>
      </c>
      <c r="V1917" s="219">
        <v>0</v>
      </c>
      <c r="W1917" s="219">
        <v>0</v>
      </c>
    </row>
    <row r="1918" spans="1:23" ht="15" customHeight="1" x14ac:dyDescent="0.25">
      <c r="A1918" t="s">
        <v>4598</v>
      </c>
      <c r="B1918" t="s">
        <v>546</v>
      </c>
      <c r="C1918">
        <v>8000</v>
      </c>
      <c r="D1918" t="s">
        <v>4594</v>
      </c>
      <c r="E1918" t="s">
        <v>553</v>
      </c>
      <c r="F1918" t="s">
        <v>554</v>
      </c>
      <c r="G1918" s="30">
        <v>46146</v>
      </c>
      <c r="H1918" t="s">
        <v>4595</v>
      </c>
      <c r="I1918">
        <v>1416817.82</v>
      </c>
      <c r="J1918" s="123">
        <v>46146</v>
      </c>
      <c r="K1918" s="123">
        <v>0</v>
      </c>
      <c r="L1918" s="123">
        <v>46146</v>
      </c>
      <c r="M1918">
        <v>0</v>
      </c>
      <c r="N1918">
        <v>0</v>
      </c>
      <c r="O1918" t="s">
        <v>556</v>
      </c>
      <c r="P1918" s="216">
        <v>8000</v>
      </c>
      <c r="Q1918" s="217" t="s">
        <v>8</v>
      </c>
      <c r="R1918" s="217" t="s">
        <v>554</v>
      </c>
      <c r="S1918" s="218">
        <v>0.30000046159780797</v>
      </c>
      <c r="T1918" t="s">
        <v>550</v>
      </c>
      <c r="U1918" t="s">
        <v>74</v>
      </c>
      <c r="V1918" s="219" t="s">
        <v>6898</v>
      </c>
      <c r="W1918" s="219" t="s">
        <v>67</v>
      </c>
    </row>
    <row r="1919" spans="1:23" ht="15" customHeight="1" x14ac:dyDescent="0.25">
      <c r="A1919" t="s">
        <v>4599</v>
      </c>
      <c r="B1919" t="s">
        <v>546</v>
      </c>
      <c r="C1919">
        <v>8000</v>
      </c>
      <c r="D1919" t="s">
        <v>4594</v>
      </c>
      <c r="E1919" t="s">
        <v>553</v>
      </c>
      <c r="F1919" t="s">
        <v>548</v>
      </c>
      <c r="G1919" s="30">
        <v>46146</v>
      </c>
      <c r="H1919" t="s">
        <v>4595</v>
      </c>
      <c r="I1919">
        <v>1416817.82</v>
      </c>
      <c r="J1919" s="123">
        <v>46146</v>
      </c>
      <c r="K1919" s="123">
        <v>0</v>
      </c>
      <c r="L1919" s="123">
        <v>46146</v>
      </c>
      <c r="M1919">
        <v>0</v>
      </c>
      <c r="N1919">
        <v>0</v>
      </c>
      <c r="O1919" t="s">
        <v>556</v>
      </c>
      <c r="P1919" s="216">
        <v>8000</v>
      </c>
      <c r="Q1919" s="217" t="s">
        <v>8</v>
      </c>
      <c r="R1919" s="217" t="s">
        <v>62</v>
      </c>
      <c r="S1919" s="218">
        <v>0.30000046159780797</v>
      </c>
      <c r="T1919" t="s">
        <v>550</v>
      </c>
      <c r="U1919" t="s">
        <v>74</v>
      </c>
      <c r="V1919" s="219">
        <v>0</v>
      </c>
      <c r="W1919" s="219">
        <v>0</v>
      </c>
    </row>
    <row r="1920" spans="1:23" ht="15" customHeight="1" x14ac:dyDescent="0.25">
      <c r="A1920" t="s">
        <v>4600</v>
      </c>
      <c r="B1920" t="s">
        <v>546</v>
      </c>
      <c r="C1920">
        <v>19700</v>
      </c>
      <c r="D1920" t="s">
        <v>4594</v>
      </c>
      <c r="E1920" t="s">
        <v>553</v>
      </c>
      <c r="F1920" t="s">
        <v>554</v>
      </c>
      <c r="G1920" s="30">
        <v>46148</v>
      </c>
      <c r="H1920" t="s">
        <v>4595</v>
      </c>
      <c r="I1920">
        <v>1416817.82</v>
      </c>
      <c r="J1920" s="123">
        <v>46148</v>
      </c>
      <c r="K1920" s="123">
        <v>0</v>
      </c>
      <c r="L1920" s="123">
        <v>46148</v>
      </c>
      <c r="M1920">
        <v>0</v>
      </c>
      <c r="N1920">
        <v>0</v>
      </c>
      <c r="O1920" t="s">
        <v>556</v>
      </c>
      <c r="P1920" s="216">
        <v>19700</v>
      </c>
      <c r="Q1920" s="217" t="s">
        <v>8</v>
      </c>
      <c r="R1920" s="217" t="s">
        <v>554</v>
      </c>
      <c r="S1920" s="218">
        <v>0.30000046159780797</v>
      </c>
      <c r="T1920" t="s">
        <v>550</v>
      </c>
      <c r="U1920" t="s">
        <v>74</v>
      </c>
      <c r="V1920" s="219" t="s">
        <v>6899</v>
      </c>
      <c r="W1920" s="219" t="s">
        <v>67</v>
      </c>
    </row>
    <row r="1921" spans="1:23" ht="15" customHeight="1" x14ac:dyDescent="0.25">
      <c r="A1921" t="s">
        <v>4601</v>
      </c>
      <c r="B1921" t="s">
        <v>546</v>
      </c>
      <c r="C1921">
        <v>100000</v>
      </c>
      <c r="D1921" t="s">
        <v>4594</v>
      </c>
      <c r="E1921" t="s">
        <v>553</v>
      </c>
      <c r="F1921" t="s">
        <v>548</v>
      </c>
      <c r="G1921" s="30">
        <v>46148</v>
      </c>
      <c r="H1921" t="s">
        <v>4595</v>
      </c>
      <c r="I1921">
        <v>1416817.82</v>
      </c>
      <c r="J1921" s="123">
        <v>46148</v>
      </c>
      <c r="K1921" s="123">
        <v>0</v>
      </c>
      <c r="L1921" s="123">
        <v>46148</v>
      </c>
      <c r="M1921">
        <v>0</v>
      </c>
      <c r="N1921">
        <v>0</v>
      </c>
      <c r="O1921" t="s">
        <v>556</v>
      </c>
      <c r="P1921" s="216">
        <v>100000</v>
      </c>
      <c r="Q1921" s="217" t="s">
        <v>8</v>
      </c>
      <c r="R1921" s="217" t="s">
        <v>62</v>
      </c>
      <c r="S1921" s="218">
        <v>0.30000046159780797</v>
      </c>
      <c r="T1921" t="s">
        <v>550</v>
      </c>
      <c r="U1921" t="s">
        <v>74</v>
      </c>
      <c r="V1921" s="219">
        <v>0</v>
      </c>
      <c r="W1921" s="219">
        <v>0</v>
      </c>
    </row>
    <row r="1922" spans="1:23" ht="15" customHeight="1" x14ac:dyDescent="0.25">
      <c r="A1922" t="s">
        <v>4602</v>
      </c>
      <c r="B1922" t="s">
        <v>546</v>
      </c>
      <c r="C1922">
        <v>19700</v>
      </c>
      <c r="D1922" t="s">
        <v>4594</v>
      </c>
      <c r="E1922" t="s">
        <v>553</v>
      </c>
      <c r="F1922" t="s">
        <v>548</v>
      </c>
      <c r="G1922" s="30">
        <v>46147</v>
      </c>
      <c r="H1922" t="s">
        <v>4595</v>
      </c>
      <c r="I1922">
        <v>1416817.82</v>
      </c>
      <c r="J1922" s="123">
        <v>46147</v>
      </c>
      <c r="K1922" s="123">
        <v>0</v>
      </c>
      <c r="L1922" s="123">
        <v>46147</v>
      </c>
      <c r="M1922">
        <v>0</v>
      </c>
      <c r="N1922">
        <v>0</v>
      </c>
      <c r="O1922" t="s">
        <v>556</v>
      </c>
      <c r="P1922" s="216">
        <v>19700</v>
      </c>
      <c r="Q1922" s="217" t="s">
        <v>8</v>
      </c>
      <c r="R1922" s="217" t="s">
        <v>62</v>
      </c>
      <c r="S1922" s="218">
        <v>0.30000046159780797</v>
      </c>
      <c r="T1922" t="s">
        <v>550</v>
      </c>
      <c r="U1922" t="s">
        <v>74</v>
      </c>
      <c r="V1922" s="219">
        <v>0</v>
      </c>
      <c r="W1922" s="219">
        <v>0</v>
      </c>
    </row>
    <row r="1923" spans="1:23" ht="15" customHeight="1" x14ac:dyDescent="0.25">
      <c r="A1923" t="s">
        <v>4603</v>
      </c>
      <c r="B1923" t="s">
        <v>546</v>
      </c>
      <c r="C1923">
        <v>51400</v>
      </c>
      <c r="D1923" t="s">
        <v>4594</v>
      </c>
      <c r="E1923" t="s">
        <v>553</v>
      </c>
      <c r="F1923" t="s">
        <v>554</v>
      </c>
      <c r="G1923" s="30">
        <v>46148</v>
      </c>
      <c r="H1923" t="s">
        <v>4595</v>
      </c>
      <c r="I1923">
        <v>1416817.82</v>
      </c>
      <c r="J1923" s="123">
        <v>46148</v>
      </c>
      <c r="K1923" s="123">
        <v>0</v>
      </c>
      <c r="L1923" s="123">
        <v>46148</v>
      </c>
      <c r="M1923">
        <v>0</v>
      </c>
      <c r="N1923">
        <v>0</v>
      </c>
      <c r="O1923" t="s">
        <v>556</v>
      </c>
      <c r="P1923" s="216">
        <v>51400</v>
      </c>
      <c r="Q1923" s="217" t="s">
        <v>8</v>
      </c>
      <c r="R1923" s="217" t="s">
        <v>554</v>
      </c>
      <c r="S1923" s="218">
        <v>0.30000046159780797</v>
      </c>
      <c r="T1923" t="s">
        <v>550</v>
      </c>
      <c r="U1923" t="s">
        <v>74</v>
      </c>
      <c r="V1923" s="219" t="s">
        <v>6900</v>
      </c>
      <c r="W1923" s="219" t="s">
        <v>67</v>
      </c>
    </row>
    <row r="1924" spans="1:23" ht="15" customHeight="1" x14ac:dyDescent="0.25">
      <c r="A1924" t="s">
        <v>4604</v>
      </c>
      <c r="B1924" t="s">
        <v>546</v>
      </c>
      <c r="C1924">
        <v>51400</v>
      </c>
      <c r="D1924" t="s">
        <v>4594</v>
      </c>
      <c r="E1924" t="s">
        <v>553</v>
      </c>
      <c r="F1924" t="s">
        <v>548</v>
      </c>
      <c r="G1924" s="30">
        <v>46148</v>
      </c>
      <c r="H1924" t="s">
        <v>4595</v>
      </c>
      <c r="I1924">
        <v>1416817.82</v>
      </c>
      <c r="J1924" s="123">
        <v>46148</v>
      </c>
      <c r="K1924" s="123">
        <v>0</v>
      </c>
      <c r="L1924" s="123">
        <v>46148</v>
      </c>
      <c r="M1924">
        <v>0</v>
      </c>
      <c r="N1924">
        <v>0</v>
      </c>
      <c r="O1924" t="s">
        <v>556</v>
      </c>
      <c r="P1924" s="216">
        <v>51400</v>
      </c>
      <c r="Q1924" s="217" t="s">
        <v>8</v>
      </c>
      <c r="R1924" s="217" t="s">
        <v>62</v>
      </c>
      <c r="S1924" s="218">
        <v>0.30000046159780797</v>
      </c>
      <c r="T1924" t="s">
        <v>550</v>
      </c>
      <c r="U1924" t="s">
        <v>74</v>
      </c>
      <c r="V1924" s="219">
        <v>0</v>
      </c>
      <c r="W1924" s="219">
        <v>0</v>
      </c>
    </row>
    <row r="1925" spans="1:23" ht="15" customHeight="1" x14ac:dyDescent="0.25">
      <c r="A1925" t="s">
        <v>4605</v>
      </c>
      <c r="B1925" t="s">
        <v>546</v>
      </c>
      <c r="C1925">
        <v>28900</v>
      </c>
      <c r="D1925" t="s">
        <v>4594</v>
      </c>
      <c r="E1925" t="s">
        <v>553</v>
      </c>
      <c r="F1925" t="s">
        <v>554</v>
      </c>
      <c r="G1925" s="30">
        <v>46148</v>
      </c>
      <c r="H1925" t="s">
        <v>4595</v>
      </c>
      <c r="I1925">
        <v>1416817.82</v>
      </c>
      <c r="J1925" s="123">
        <v>46148</v>
      </c>
      <c r="K1925" s="123">
        <v>0</v>
      </c>
      <c r="L1925" s="123">
        <v>46148</v>
      </c>
      <c r="M1925">
        <v>0</v>
      </c>
      <c r="N1925">
        <v>0</v>
      </c>
      <c r="O1925" t="s">
        <v>556</v>
      </c>
      <c r="P1925" s="216">
        <v>28900</v>
      </c>
      <c r="Q1925" s="217" t="s">
        <v>8</v>
      </c>
      <c r="R1925" s="217" t="s">
        <v>554</v>
      </c>
      <c r="S1925" s="218">
        <v>0.30000046159780797</v>
      </c>
      <c r="T1925" t="s">
        <v>550</v>
      </c>
      <c r="U1925" t="s">
        <v>74</v>
      </c>
      <c r="V1925" s="219" t="s">
        <v>6901</v>
      </c>
      <c r="W1925" s="219" t="s">
        <v>67</v>
      </c>
    </row>
    <row r="1926" spans="1:23" ht="15" customHeight="1" x14ac:dyDescent="0.25">
      <c r="A1926" t="s">
        <v>4606</v>
      </c>
      <c r="B1926" t="s">
        <v>64</v>
      </c>
      <c r="C1926">
        <v>233852</v>
      </c>
      <c r="D1926" t="s">
        <v>4607</v>
      </c>
      <c r="E1926" t="s">
        <v>233</v>
      </c>
      <c r="F1926" t="s">
        <v>554</v>
      </c>
      <c r="G1926" s="30">
        <v>46143</v>
      </c>
      <c r="H1926" t="s">
        <v>4608</v>
      </c>
      <c r="I1926">
        <v>2343276</v>
      </c>
      <c r="J1926" s="123">
        <v>0</v>
      </c>
      <c r="K1926" s="123">
        <v>46143</v>
      </c>
      <c r="L1926" s="123">
        <v>0</v>
      </c>
      <c r="M1926">
        <v>0</v>
      </c>
      <c r="N1926">
        <v>0</v>
      </c>
      <c r="O1926" t="s">
        <v>556</v>
      </c>
      <c r="P1926" s="216">
        <v>233852</v>
      </c>
      <c r="Q1926" s="217" t="s">
        <v>24</v>
      </c>
      <c r="R1926" s="217" t="s">
        <v>554</v>
      </c>
      <c r="S1926" s="218">
        <v>0.29939110885785541</v>
      </c>
      <c r="T1926" t="s">
        <v>550</v>
      </c>
      <c r="U1926" t="s">
        <v>51</v>
      </c>
      <c r="V1926" s="219" t="s">
        <v>6902</v>
      </c>
      <c r="W1926" s="219" t="s">
        <v>67</v>
      </c>
    </row>
    <row r="1927" spans="1:23" ht="15" customHeight="1" x14ac:dyDescent="0.25">
      <c r="A1927" t="s">
        <v>4609</v>
      </c>
      <c r="B1927" t="s">
        <v>595</v>
      </c>
      <c r="C1927">
        <v>317647.2</v>
      </c>
      <c r="D1927" t="s">
        <v>4610</v>
      </c>
      <c r="E1927" t="s">
        <v>157</v>
      </c>
      <c r="F1927" t="s">
        <v>554</v>
      </c>
      <c r="G1927" s="30">
        <v>46146</v>
      </c>
      <c r="H1927" t="s">
        <v>4611</v>
      </c>
      <c r="I1927">
        <v>3337913.4</v>
      </c>
      <c r="J1927" s="123">
        <v>0</v>
      </c>
      <c r="K1927" s="123">
        <v>0</v>
      </c>
      <c r="L1927" s="123">
        <v>46141</v>
      </c>
      <c r="M1927">
        <v>0</v>
      </c>
      <c r="N1927">
        <v>0</v>
      </c>
      <c r="O1927">
        <v>0</v>
      </c>
      <c r="P1927" s="216">
        <v>317647.2</v>
      </c>
      <c r="Q1927" s="217" t="s">
        <v>14</v>
      </c>
      <c r="R1927" s="217" t="s">
        <v>554</v>
      </c>
      <c r="S1927" s="218">
        <v>0.29285355935237861</v>
      </c>
      <c r="T1927" t="s">
        <v>550</v>
      </c>
      <c r="U1927" t="s">
        <v>51</v>
      </c>
      <c r="V1927" s="219" t="s">
        <v>6903</v>
      </c>
      <c r="W1927" s="219" t="s">
        <v>67</v>
      </c>
    </row>
    <row r="1928" spans="1:23" ht="15" customHeight="1" x14ac:dyDescent="0.25">
      <c r="A1928" t="s">
        <v>4612</v>
      </c>
      <c r="B1928" t="s">
        <v>595</v>
      </c>
      <c r="C1928">
        <v>187000</v>
      </c>
      <c r="D1928" t="s">
        <v>4613</v>
      </c>
      <c r="E1928" t="s">
        <v>157</v>
      </c>
      <c r="F1928" t="s">
        <v>585</v>
      </c>
      <c r="G1928" s="30">
        <v>46146</v>
      </c>
      <c r="H1928" t="s">
        <v>4614</v>
      </c>
      <c r="I1928">
        <v>1865006</v>
      </c>
      <c r="J1928" s="123">
        <v>0</v>
      </c>
      <c r="K1928" s="123">
        <v>0</v>
      </c>
      <c r="L1928" s="123">
        <v>46132</v>
      </c>
      <c r="M1928">
        <v>0</v>
      </c>
      <c r="N1928">
        <v>0</v>
      </c>
      <c r="O1928">
        <v>0</v>
      </c>
      <c r="P1928" s="216">
        <v>187000</v>
      </c>
      <c r="Q1928" s="217" t="s">
        <v>14</v>
      </c>
      <c r="R1928" s="217" t="s">
        <v>61</v>
      </c>
      <c r="S1928" s="218">
        <v>0.20126675731874322</v>
      </c>
      <c r="T1928" t="s">
        <v>550</v>
      </c>
      <c r="U1928" t="s">
        <v>51</v>
      </c>
      <c r="V1928" s="219">
        <v>0</v>
      </c>
      <c r="W1928" s="219">
        <v>0</v>
      </c>
    </row>
    <row r="1929" spans="1:23" ht="15" customHeight="1" x14ac:dyDescent="0.25">
      <c r="A1929" t="s">
        <v>4615</v>
      </c>
      <c r="B1929" t="s">
        <v>595</v>
      </c>
      <c r="C1929">
        <v>184793.75</v>
      </c>
      <c r="D1929" t="s">
        <v>4616</v>
      </c>
      <c r="E1929" t="s">
        <v>157</v>
      </c>
      <c r="F1929" t="s">
        <v>580</v>
      </c>
      <c r="G1929" s="30">
        <v>46149</v>
      </c>
      <c r="H1929" t="s">
        <v>4617</v>
      </c>
      <c r="I1929">
        <v>1864720</v>
      </c>
      <c r="J1929" s="123">
        <v>0</v>
      </c>
      <c r="K1929" s="123">
        <v>0</v>
      </c>
      <c r="L1929" s="123">
        <v>46132</v>
      </c>
      <c r="M1929">
        <v>0</v>
      </c>
      <c r="N1929">
        <v>0</v>
      </c>
      <c r="O1929">
        <v>0</v>
      </c>
      <c r="P1929" s="216">
        <v>184793.75</v>
      </c>
      <c r="Q1929" s="217" t="s">
        <v>14</v>
      </c>
      <c r="R1929" s="217" t="s">
        <v>582</v>
      </c>
      <c r="S1929" s="218">
        <v>0.20088259899609592</v>
      </c>
      <c r="T1929" t="s">
        <v>550</v>
      </c>
      <c r="U1929" t="s">
        <v>51</v>
      </c>
      <c r="V1929" s="219">
        <v>0</v>
      </c>
      <c r="W1929" s="219">
        <v>0</v>
      </c>
    </row>
    <row r="1930" spans="1:23" ht="15" customHeight="1" x14ac:dyDescent="0.25">
      <c r="A1930" t="s">
        <v>4618</v>
      </c>
      <c r="B1930" t="s">
        <v>64</v>
      </c>
      <c r="C1930">
        <v>233852</v>
      </c>
      <c r="D1930" t="s">
        <v>4619</v>
      </c>
      <c r="E1930" t="s">
        <v>233</v>
      </c>
      <c r="F1930" t="s">
        <v>554</v>
      </c>
      <c r="G1930" s="30">
        <v>46143</v>
      </c>
      <c r="H1930" t="s">
        <v>4620</v>
      </c>
      <c r="I1930">
        <v>2343276</v>
      </c>
      <c r="J1930" s="123">
        <v>0</v>
      </c>
      <c r="K1930" s="123">
        <v>46143</v>
      </c>
      <c r="L1930" s="123">
        <v>0</v>
      </c>
      <c r="M1930">
        <v>0</v>
      </c>
      <c r="N1930">
        <v>0</v>
      </c>
      <c r="O1930" t="s">
        <v>556</v>
      </c>
      <c r="P1930" s="216">
        <v>233852</v>
      </c>
      <c r="Q1930" s="217" t="s">
        <v>24</v>
      </c>
      <c r="R1930" s="217" t="s">
        <v>554</v>
      </c>
      <c r="S1930" s="218">
        <v>0.29939110885785541</v>
      </c>
      <c r="T1930" t="s">
        <v>550</v>
      </c>
      <c r="U1930" t="s">
        <v>51</v>
      </c>
      <c r="V1930" s="219" t="s">
        <v>6904</v>
      </c>
      <c r="W1930" s="219" t="s">
        <v>67</v>
      </c>
    </row>
    <row r="1931" spans="1:23" ht="15" customHeight="1" x14ac:dyDescent="0.25">
      <c r="A1931" t="s">
        <v>4621</v>
      </c>
      <c r="B1931" t="s">
        <v>595</v>
      </c>
      <c r="C1931">
        <v>189102</v>
      </c>
      <c r="D1931" t="s">
        <v>4622</v>
      </c>
      <c r="E1931" t="s">
        <v>233</v>
      </c>
      <c r="F1931" t="s">
        <v>585</v>
      </c>
      <c r="G1931" s="30">
        <v>46147</v>
      </c>
      <c r="H1931" t="s">
        <v>4623</v>
      </c>
      <c r="I1931">
        <v>1891022.6</v>
      </c>
      <c r="J1931" s="123">
        <v>0</v>
      </c>
      <c r="K1931" s="123">
        <v>0</v>
      </c>
      <c r="L1931" s="123">
        <v>46146</v>
      </c>
      <c r="M1931">
        <v>0</v>
      </c>
      <c r="N1931">
        <v>0</v>
      </c>
      <c r="O1931">
        <v>0</v>
      </c>
      <c r="P1931" s="216">
        <v>189102</v>
      </c>
      <c r="Q1931" s="217" t="s">
        <v>24</v>
      </c>
      <c r="R1931" s="217" t="s">
        <v>61</v>
      </c>
      <c r="S1931" s="218">
        <v>0.19956451075730136</v>
      </c>
      <c r="T1931" t="s">
        <v>550</v>
      </c>
      <c r="U1931" t="s">
        <v>51</v>
      </c>
      <c r="V1931" s="219">
        <v>0</v>
      </c>
      <c r="W1931" s="219">
        <v>0</v>
      </c>
    </row>
    <row r="1932" spans="1:23" ht="15" customHeight="1" x14ac:dyDescent="0.25">
      <c r="A1932" t="s">
        <v>4624</v>
      </c>
      <c r="B1932" t="s">
        <v>575</v>
      </c>
      <c r="C1932">
        <v>187000</v>
      </c>
      <c r="D1932" t="s">
        <v>4625</v>
      </c>
      <c r="E1932" t="s">
        <v>233</v>
      </c>
      <c r="F1932" t="s">
        <v>585</v>
      </c>
      <c r="G1932" s="30">
        <v>46148</v>
      </c>
      <c r="H1932" t="s">
        <v>4626</v>
      </c>
      <c r="I1932">
        <v>1865006</v>
      </c>
      <c r="J1932" s="123">
        <v>0</v>
      </c>
      <c r="K1932" s="123">
        <v>0</v>
      </c>
      <c r="L1932" s="123">
        <v>46146</v>
      </c>
      <c r="M1932">
        <v>0</v>
      </c>
      <c r="N1932">
        <v>0</v>
      </c>
      <c r="O1932">
        <v>0</v>
      </c>
      <c r="P1932" s="216">
        <v>187000</v>
      </c>
      <c r="Q1932" s="217" t="s">
        <v>24</v>
      </c>
      <c r="R1932" s="217" t="s">
        <v>61</v>
      </c>
      <c r="S1932" s="218">
        <v>0.20065560646989875</v>
      </c>
      <c r="T1932" t="s">
        <v>550</v>
      </c>
      <c r="U1932" t="s">
        <v>51</v>
      </c>
      <c r="V1932" s="219">
        <v>0</v>
      </c>
      <c r="W1932" s="219">
        <v>0</v>
      </c>
    </row>
    <row r="1933" spans="1:23" ht="15" customHeight="1" x14ac:dyDescent="0.25">
      <c r="A1933" t="s">
        <v>4627</v>
      </c>
      <c r="B1933" t="s">
        <v>595</v>
      </c>
      <c r="C1933">
        <v>228033</v>
      </c>
      <c r="D1933" t="s">
        <v>4628</v>
      </c>
      <c r="E1933" t="s">
        <v>157</v>
      </c>
      <c r="F1933" t="s">
        <v>580</v>
      </c>
      <c r="G1933" s="30">
        <v>46149</v>
      </c>
      <c r="H1933" t="s">
        <v>4629</v>
      </c>
      <c r="I1933">
        <v>2280330</v>
      </c>
      <c r="J1933" s="123">
        <v>0</v>
      </c>
      <c r="K1933" s="123">
        <v>0</v>
      </c>
      <c r="L1933" s="123">
        <v>46163</v>
      </c>
      <c r="M1933">
        <v>0</v>
      </c>
      <c r="N1933">
        <v>0</v>
      </c>
      <c r="O1933">
        <v>0</v>
      </c>
      <c r="P1933" s="216">
        <v>228033</v>
      </c>
      <c r="Q1933" s="217" t="s">
        <v>14</v>
      </c>
      <c r="R1933" s="217" t="s">
        <v>582</v>
      </c>
      <c r="S1933" s="218">
        <v>0.20041836050045389</v>
      </c>
      <c r="T1933" t="s">
        <v>550</v>
      </c>
      <c r="U1933" t="s">
        <v>51</v>
      </c>
      <c r="V1933" s="219">
        <v>0</v>
      </c>
      <c r="W1933" s="219">
        <v>0</v>
      </c>
    </row>
    <row r="1934" spans="1:23" ht="15" customHeight="1" x14ac:dyDescent="0.25">
      <c r="A1934" t="s">
        <v>4630</v>
      </c>
      <c r="B1934" t="s">
        <v>64</v>
      </c>
      <c r="C1934">
        <v>233852</v>
      </c>
      <c r="D1934" t="s">
        <v>4631</v>
      </c>
      <c r="E1934" t="s">
        <v>233</v>
      </c>
      <c r="F1934" t="s">
        <v>554</v>
      </c>
      <c r="G1934" s="30">
        <v>46143</v>
      </c>
      <c r="H1934" t="s">
        <v>4632</v>
      </c>
      <c r="I1934">
        <v>2343276</v>
      </c>
      <c r="J1934" s="123">
        <v>0</v>
      </c>
      <c r="K1934" s="123">
        <v>46143</v>
      </c>
      <c r="L1934" s="123">
        <v>0</v>
      </c>
      <c r="M1934">
        <v>0</v>
      </c>
      <c r="N1934">
        <v>0</v>
      </c>
      <c r="O1934" t="s">
        <v>556</v>
      </c>
      <c r="P1934" s="216">
        <v>233852</v>
      </c>
      <c r="Q1934" s="217" t="s">
        <v>24</v>
      </c>
      <c r="R1934" s="217" t="s">
        <v>554</v>
      </c>
      <c r="S1934" s="218">
        <v>0.29939110885785541</v>
      </c>
      <c r="T1934" t="s">
        <v>550</v>
      </c>
      <c r="U1934" t="s">
        <v>51</v>
      </c>
      <c r="V1934" s="219" t="s">
        <v>6905</v>
      </c>
      <c r="W1934" s="219" t="s">
        <v>67</v>
      </c>
    </row>
    <row r="1935" spans="1:23" ht="15" customHeight="1" x14ac:dyDescent="0.25">
      <c r="A1935" t="s">
        <v>4633</v>
      </c>
      <c r="B1935" t="s">
        <v>575</v>
      </c>
      <c r="C1935">
        <v>64023</v>
      </c>
      <c r="D1935" t="s">
        <v>4634</v>
      </c>
      <c r="E1935" t="s">
        <v>188</v>
      </c>
      <c r="F1935" t="s">
        <v>585</v>
      </c>
      <c r="G1935" s="30">
        <v>46144</v>
      </c>
      <c r="H1935" t="s">
        <v>4635</v>
      </c>
      <c r="I1935">
        <v>1640231.25</v>
      </c>
      <c r="J1935" s="123">
        <v>0</v>
      </c>
      <c r="K1935" s="123">
        <v>0</v>
      </c>
      <c r="L1935" s="123">
        <v>46125</v>
      </c>
      <c r="M1935">
        <v>0</v>
      </c>
      <c r="N1935">
        <v>0</v>
      </c>
      <c r="O1935">
        <v>0</v>
      </c>
      <c r="P1935" s="216">
        <v>64023</v>
      </c>
      <c r="Q1935" s="217" t="s">
        <v>17</v>
      </c>
      <c r="R1935" s="217" t="s">
        <v>61</v>
      </c>
      <c r="S1935" s="218">
        <v>0.2004740794933641</v>
      </c>
      <c r="T1935" t="s">
        <v>550</v>
      </c>
      <c r="U1935" t="s">
        <v>51</v>
      </c>
      <c r="V1935" s="219">
        <v>0</v>
      </c>
      <c r="W1935" s="219">
        <v>0</v>
      </c>
    </row>
    <row r="1936" spans="1:23" ht="15" customHeight="1" x14ac:dyDescent="0.25">
      <c r="A1936" t="s">
        <v>4636</v>
      </c>
      <c r="B1936" t="s">
        <v>546</v>
      </c>
      <c r="C1936">
        <v>46751.06</v>
      </c>
      <c r="D1936" t="s">
        <v>4637</v>
      </c>
      <c r="E1936" t="s">
        <v>553</v>
      </c>
      <c r="F1936" t="s">
        <v>554</v>
      </c>
      <c r="G1936" s="30">
        <v>46143</v>
      </c>
      <c r="H1936" t="s">
        <v>4638</v>
      </c>
      <c r="I1936">
        <v>2344394</v>
      </c>
      <c r="J1936" s="123">
        <v>46142</v>
      </c>
      <c r="K1936" s="123">
        <v>0</v>
      </c>
      <c r="L1936" s="123">
        <v>46142</v>
      </c>
      <c r="M1936">
        <v>0</v>
      </c>
      <c r="N1936">
        <v>0</v>
      </c>
      <c r="O1936" t="s">
        <v>556</v>
      </c>
      <c r="P1936" s="216">
        <v>46751.06</v>
      </c>
      <c r="Q1936" s="217" t="s">
        <v>14</v>
      </c>
      <c r="R1936" s="217" t="s">
        <v>554</v>
      </c>
      <c r="S1936" s="218">
        <v>0.29980882053101998</v>
      </c>
      <c r="T1936" t="s">
        <v>550</v>
      </c>
      <c r="U1936" t="s">
        <v>51</v>
      </c>
      <c r="V1936" s="219" t="s">
        <v>6906</v>
      </c>
      <c r="W1936" s="219" t="s">
        <v>67</v>
      </c>
    </row>
    <row r="1937" spans="1:23" ht="15" customHeight="1" x14ac:dyDescent="0.25">
      <c r="A1937" t="s">
        <v>4639</v>
      </c>
      <c r="B1937" t="s">
        <v>595</v>
      </c>
      <c r="C1937">
        <v>344628</v>
      </c>
      <c r="D1937" t="s">
        <v>4640</v>
      </c>
      <c r="E1937" t="s">
        <v>233</v>
      </c>
      <c r="F1937" t="s">
        <v>554</v>
      </c>
      <c r="G1937" s="30">
        <v>46147</v>
      </c>
      <c r="H1937" t="s">
        <v>4641</v>
      </c>
      <c r="I1937">
        <v>4279643.55</v>
      </c>
      <c r="J1937" s="123">
        <v>0</v>
      </c>
      <c r="K1937" s="123">
        <v>0</v>
      </c>
      <c r="L1937" s="123">
        <v>46146</v>
      </c>
      <c r="M1937">
        <v>0</v>
      </c>
      <c r="N1937">
        <v>0</v>
      </c>
      <c r="O1937">
        <v>0</v>
      </c>
      <c r="P1937" s="216">
        <v>344628</v>
      </c>
      <c r="Q1937" s="217" t="s">
        <v>24</v>
      </c>
      <c r="R1937" s="217" t="s">
        <v>554</v>
      </c>
      <c r="S1937" s="218">
        <v>0.29998129166621834</v>
      </c>
      <c r="T1937" t="s">
        <v>550</v>
      </c>
      <c r="U1937" t="s">
        <v>51</v>
      </c>
      <c r="V1937" s="219" t="s">
        <v>6907</v>
      </c>
      <c r="W1937" s="219" t="s">
        <v>67</v>
      </c>
    </row>
    <row r="1938" spans="1:23" ht="15" customHeight="1" x14ac:dyDescent="0.25">
      <c r="A1938" t="s">
        <v>4642</v>
      </c>
      <c r="B1938" t="s">
        <v>546</v>
      </c>
      <c r="C1938">
        <v>2709</v>
      </c>
      <c r="D1938" t="s">
        <v>4643</v>
      </c>
      <c r="E1938" t="s">
        <v>553</v>
      </c>
      <c r="F1938" t="s">
        <v>554</v>
      </c>
      <c r="G1938" s="30">
        <v>46144</v>
      </c>
      <c r="H1938" t="s">
        <v>4644</v>
      </c>
      <c r="I1938">
        <v>2357919.35</v>
      </c>
      <c r="J1938" s="123">
        <v>46144</v>
      </c>
      <c r="K1938" s="123">
        <v>0</v>
      </c>
      <c r="L1938" s="123">
        <v>46144</v>
      </c>
      <c r="M1938">
        <v>0</v>
      </c>
      <c r="N1938">
        <v>0</v>
      </c>
      <c r="O1938" t="s">
        <v>556</v>
      </c>
      <c r="P1938" s="216">
        <v>2709</v>
      </c>
      <c r="Q1938" s="217" t="s">
        <v>14</v>
      </c>
      <c r="R1938" s="217" t="s">
        <v>554</v>
      </c>
      <c r="S1938" s="218">
        <v>0.26910674446944083</v>
      </c>
      <c r="T1938" t="s">
        <v>550</v>
      </c>
      <c r="U1938" t="s">
        <v>51</v>
      </c>
      <c r="V1938" s="219" t="s">
        <v>6908</v>
      </c>
      <c r="W1938" s="219" t="s">
        <v>67</v>
      </c>
    </row>
    <row r="1939" spans="1:23" ht="15" customHeight="1" x14ac:dyDescent="0.25">
      <c r="A1939" t="s">
        <v>4645</v>
      </c>
      <c r="B1939" t="s">
        <v>546</v>
      </c>
      <c r="C1939">
        <v>2709</v>
      </c>
      <c r="D1939" t="s">
        <v>4643</v>
      </c>
      <c r="E1939" t="s">
        <v>553</v>
      </c>
      <c r="F1939" t="s">
        <v>548</v>
      </c>
      <c r="G1939" s="30">
        <v>46144</v>
      </c>
      <c r="H1939" t="s">
        <v>4644</v>
      </c>
      <c r="I1939">
        <v>2357919.35</v>
      </c>
      <c r="J1939" s="123">
        <v>46144</v>
      </c>
      <c r="K1939" s="123">
        <v>0</v>
      </c>
      <c r="L1939" s="123">
        <v>46144</v>
      </c>
      <c r="M1939">
        <v>0</v>
      </c>
      <c r="N1939">
        <v>0</v>
      </c>
      <c r="O1939" t="s">
        <v>556</v>
      </c>
      <c r="P1939" s="216">
        <v>2709</v>
      </c>
      <c r="Q1939" s="217" t="s">
        <v>14</v>
      </c>
      <c r="R1939" s="217" t="s">
        <v>62</v>
      </c>
      <c r="S1939" s="218">
        <v>0.26910674446944083</v>
      </c>
      <c r="T1939" t="s">
        <v>550</v>
      </c>
      <c r="U1939" t="s">
        <v>51</v>
      </c>
      <c r="V1939" s="219">
        <v>0</v>
      </c>
      <c r="W1939" s="219">
        <v>0</v>
      </c>
    </row>
    <row r="1940" spans="1:23" ht="15" customHeight="1" x14ac:dyDescent="0.25">
      <c r="A1940" t="s">
        <v>4646</v>
      </c>
      <c r="B1940" t="s">
        <v>546</v>
      </c>
      <c r="C1940">
        <v>1500</v>
      </c>
      <c r="D1940" t="s">
        <v>4643</v>
      </c>
      <c r="E1940" t="s">
        <v>553</v>
      </c>
      <c r="F1940" t="s">
        <v>554</v>
      </c>
      <c r="G1940" s="30">
        <v>46144</v>
      </c>
      <c r="H1940" t="s">
        <v>4644</v>
      </c>
      <c r="I1940">
        <v>2357919.35</v>
      </c>
      <c r="J1940" s="123">
        <v>46144</v>
      </c>
      <c r="K1940" s="123">
        <v>0</v>
      </c>
      <c r="L1940" s="123">
        <v>46144</v>
      </c>
      <c r="M1940">
        <v>0</v>
      </c>
      <c r="N1940">
        <v>0</v>
      </c>
      <c r="O1940" t="s">
        <v>556</v>
      </c>
      <c r="P1940" s="216">
        <v>1500</v>
      </c>
      <c r="Q1940" s="217" t="s">
        <v>14</v>
      </c>
      <c r="R1940" s="217" t="s">
        <v>554</v>
      </c>
      <c r="S1940" s="218">
        <v>0.26910674446944083</v>
      </c>
      <c r="T1940" t="s">
        <v>550</v>
      </c>
      <c r="U1940" t="s">
        <v>51</v>
      </c>
      <c r="V1940" s="219" t="s">
        <v>6909</v>
      </c>
      <c r="W1940" s="219" t="s">
        <v>67</v>
      </c>
    </row>
    <row r="1941" spans="1:23" ht="15" customHeight="1" x14ac:dyDescent="0.25">
      <c r="A1941" t="s">
        <v>4647</v>
      </c>
      <c r="B1941" t="s">
        <v>546</v>
      </c>
      <c r="C1941">
        <v>7662</v>
      </c>
      <c r="D1941" t="s">
        <v>4643</v>
      </c>
      <c r="E1941" t="s">
        <v>553</v>
      </c>
      <c r="F1941" t="s">
        <v>554</v>
      </c>
      <c r="G1941" s="30">
        <v>46144</v>
      </c>
      <c r="H1941" t="s">
        <v>4644</v>
      </c>
      <c r="I1941">
        <v>2357919.35</v>
      </c>
      <c r="J1941" s="123">
        <v>46144</v>
      </c>
      <c r="K1941" s="123">
        <v>0</v>
      </c>
      <c r="L1941" s="123">
        <v>46144</v>
      </c>
      <c r="M1941">
        <v>0</v>
      </c>
      <c r="N1941">
        <v>0</v>
      </c>
      <c r="O1941" t="s">
        <v>556</v>
      </c>
      <c r="P1941" s="216">
        <v>7662</v>
      </c>
      <c r="Q1941" s="217" t="s">
        <v>14</v>
      </c>
      <c r="R1941" s="217" t="s">
        <v>554</v>
      </c>
      <c r="S1941" s="218">
        <v>0.26910674446944083</v>
      </c>
      <c r="T1941" t="s">
        <v>550</v>
      </c>
      <c r="U1941" t="s">
        <v>51</v>
      </c>
      <c r="V1941" s="219" t="s">
        <v>6910</v>
      </c>
      <c r="W1941" s="219" t="s">
        <v>67</v>
      </c>
    </row>
    <row r="1942" spans="1:23" ht="15" customHeight="1" x14ac:dyDescent="0.25">
      <c r="A1942" t="s">
        <v>4648</v>
      </c>
      <c r="B1942" t="s">
        <v>546</v>
      </c>
      <c r="C1942">
        <v>7700</v>
      </c>
      <c r="D1942" t="s">
        <v>4643</v>
      </c>
      <c r="E1942" t="s">
        <v>553</v>
      </c>
      <c r="F1942" t="s">
        <v>554</v>
      </c>
      <c r="G1942" s="30">
        <v>46145</v>
      </c>
      <c r="H1942" t="s">
        <v>4644</v>
      </c>
      <c r="I1942">
        <v>2357919.35</v>
      </c>
      <c r="J1942" s="123">
        <v>46145</v>
      </c>
      <c r="K1942" s="123">
        <v>0</v>
      </c>
      <c r="L1942" s="123">
        <v>46145</v>
      </c>
      <c r="M1942">
        <v>0</v>
      </c>
      <c r="N1942">
        <v>0</v>
      </c>
      <c r="O1942" t="s">
        <v>556</v>
      </c>
      <c r="P1942" s="216">
        <v>7700</v>
      </c>
      <c r="Q1942" s="217" t="s">
        <v>14</v>
      </c>
      <c r="R1942" s="217" t="s">
        <v>554</v>
      </c>
      <c r="S1942" s="218">
        <v>0.26910674446944083</v>
      </c>
      <c r="T1942" t="s">
        <v>550</v>
      </c>
      <c r="U1942" t="s">
        <v>51</v>
      </c>
      <c r="V1942" s="219" t="s">
        <v>6911</v>
      </c>
      <c r="W1942" s="219" t="s">
        <v>67</v>
      </c>
    </row>
    <row r="1943" spans="1:23" ht="15" customHeight="1" x14ac:dyDescent="0.25">
      <c r="A1943" t="s">
        <v>4649</v>
      </c>
      <c r="B1943" t="s">
        <v>546</v>
      </c>
      <c r="C1943">
        <v>1240</v>
      </c>
      <c r="D1943" t="s">
        <v>4643</v>
      </c>
      <c r="E1943" t="s">
        <v>553</v>
      </c>
      <c r="F1943" t="s">
        <v>554</v>
      </c>
      <c r="G1943" s="30">
        <v>46145</v>
      </c>
      <c r="H1943" t="s">
        <v>4644</v>
      </c>
      <c r="I1943">
        <v>2357919.35</v>
      </c>
      <c r="J1943" s="123">
        <v>46145</v>
      </c>
      <c r="K1943" s="123">
        <v>0</v>
      </c>
      <c r="L1943" s="123">
        <v>46145</v>
      </c>
      <c r="M1943">
        <v>0</v>
      </c>
      <c r="N1943">
        <v>0</v>
      </c>
      <c r="O1943" t="s">
        <v>556</v>
      </c>
      <c r="P1943" s="216">
        <v>1240</v>
      </c>
      <c r="Q1943" s="217" t="s">
        <v>14</v>
      </c>
      <c r="R1943" s="217" t="s">
        <v>554</v>
      </c>
      <c r="S1943" s="218">
        <v>0.26910674446944083</v>
      </c>
      <c r="T1943" t="s">
        <v>550</v>
      </c>
      <c r="U1943" t="s">
        <v>51</v>
      </c>
      <c r="V1943" s="219" t="s">
        <v>6912</v>
      </c>
      <c r="W1943" s="219" t="s">
        <v>67</v>
      </c>
    </row>
    <row r="1944" spans="1:23" ht="15" customHeight="1" x14ac:dyDescent="0.25">
      <c r="A1944" t="s">
        <v>4650</v>
      </c>
      <c r="B1944" t="s">
        <v>546</v>
      </c>
      <c r="C1944">
        <v>11300</v>
      </c>
      <c r="D1944" t="s">
        <v>4643</v>
      </c>
      <c r="E1944" t="s">
        <v>553</v>
      </c>
      <c r="F1944" t="s">
        <v>554</v>
      </c>
      <c r="G1944" s="30">
        <v>46145</v>
      </c>
      <c r="H1944" t="s">
        <v>4644</v>
      </c>
      <c r="I1944">
        <v>2357919.35</v>
      </c>
      <c r="J1944" s="123">
        <v>46145</v>
      </c>
      <c r="K1944" s="123">
        <v>0</v>
      </c>
      <c r="L1944" s="123">
        <v>46145</v>
      </c>
      <c r="M1944">
        <v>0</v>
      </c>
      <c r="N1944">
        <v>0</v>
      </c>
      <c r="O1944" t="s">
        <v>556</v>
      </c>
      <c r="P1944" s="216">
        <v>11300</v>
      </c>
      <c r="Q1944" s="217" t="s">
        <v>14</v>
      </c>
      <c r="R1944" s="217" t="s">
        <v>554</v>
      </c>
      <c r="S1944" s="218">
        <v>0.26910674446944083</v>
      </c>
      <c r="T1944" t="s">
        <v>550</v>
      </c>
      <c r="U1944" t="s">
        <v>51</v>
      </c>
      <c r="V1944" s="219" t="s">
        <v>6913</v>
      </c>
      <c r="W1944" s="219" t="s">
        <v>67</v>
      </c>
    </row>
    <row r="1945" spans="1:23" ht="15" customHeight="1" x14ac:dyDescent="0.25">
      <c r="A1945" t="s">
        <v>4651</v>
      </c>
      <c r="B1945" t="s">
        <v>546</v>
      </c>
      <c r="C1945">
        <v>118850</v>
      </c>
      <c r="D1945" t="s">
        <v>4643</v>
      </c>
      <c r="E1945" t="s">
        <v>553</v>
      </c>
      <c r="F1945" t="s">
        <v>548</v>
      </c>
      <c r="G1945" s="30">
        <v>46145</v>
      </c>
      <c r="H1945" t="s">
        <v>4644</v>
      </c>
      <c r="I1945">
        <v>2357919.35</v>
      </c>
      <c r="J1945" s="123">
        <v>46145</v>
      </c>
      <c r="K1945" s="123">
        <v>0</v>
      </c>
      <c r="L1945" s="123">
        <v>46145</v>
      </c>
      <c r="M1945">
        <v>0</v>
      </c>
      <c r="N1945">
        <v>0</v>
      </c>
      <c r="O1945" t="s">
        <v>556</v>
      </c>
      <c r="P1945" s="216">
        <v>118850</v>
      </c>
      <c r="Q1945" s="217" t="s">
        <v>14</v>
      </c>
      <c r="R1945" s="217" t="s">
        <v>62</v>
      </c>
      <c r="S1945" s="218">
        <v>0.26910674446944083</v>
      </c>
      <c r="T1945" t="s">
        <v>550</v>
      </c>
      <c r="U1945" t="s">
        <v>51</v>
      </c>
      <c r="V1945" s="219">
        <v>0</v>
      </c>
      <c r="W1945" s="219">
        <v>0</v>
      </c>
    </row>
    <row r="1946" spans="1:23" ht="15" customHeight="1" x14ac:dyDescent="0.25">
      <c r="A1946" t="s">
        <v>4652</v>
      </c>
      <c r="B1946" t="s">
        <v>546</v>
      </c>
      <c r="C1946">
        <v>4800</v>
      </c>
      <c r="D1946" t="s">
        <v>4643</v>
      </c>
      <c r="E1946" t="s">
        <v>553</v>
      </c>
      <c r="F1946" t="s">
        <v>554</v>
      </c>
      <c r="G1946" s="30">
        <v>46149</v>
      </c>
      <c r="H1946" t="s">
        <v>4644</v>
      </c>
      <c r="I1946">
        <v>2357919.35</v>
      </c>
      <c r="J1946" s="123">
        <v>46149</v>
      </c>
      <c r="K1946" s="123">
        <v>0</v>
      </c>
      <c r="L1946" s="123">
        <v>46149</v>
      </c>
      <c r="M1946">
        <v>0</v>
      </c>
      <c r="N1946">
        <v>0</v>
      </c>
      <c r="O1946" t="s">
        <v>556</v>
      </c>
      <c r="P1946" s="216">
        <v>4800</v>
      </c>
      <c r="Q1946" s="217" t="s">
        <v>14</v>
      </c>
      <c r="R1946" s="217" t="s">
        <v>554</v>
      </c>
      <c r="S1946" s="218">
        <v>0.26910674446944083</v>
      </c>
      <c r="T1946" t="s">
        <v>550</v>
      </c>
      <c r="U1946" t="s">
        <v>51</v>
      </c>
      <c r="V1946" s="219" t="s">
        <v>6914</v>
      </c>
      <c r="W1946" s="219" t="s">
        <v>67</v>
      </c>
    </row>
    <row r="1947" spans="1:23" ht="15" customHeight="1" x14ac:dyDescent="0.25">
      <c r="A1947" t="s">
        <v>4653</v>
      </c>
      <c r="B1947" t="s">
        <v>546</v>
      </c>
      <c r="C1947">
        <v>5585</v>
      </c>
      <c r="D1947" t="s">
        <v>4643</v>
      </c>
      <c r="E1947" t="s">
        <v>553</v>
      </c>
      <c r="F1947" t="s">
        <v>554</v>
      </c>
      <c r="G1947" s="30">
        <v>46149</v>
      </c>
      <c r="H1947" t="s">
        <v>4644</v>
      </c>
      <c r="I1947">
        <v>2357919.35</v>
      </c>
      <c r="J1947" s="123">
        <v>46149</v>
      </c>
      <c r="K1947" s="123">
        <v>0</v>
      </c>
      <c r="L1947" s="123">
        <v>46149</v>
      </c>
      <c r="M1947">
        <v>0</v>
      </c>
      <c r="N1947">
        <v>0</v>
      </c>
      <c r="O1947" t="s">
        <v>556</v>
      </c>
      <c r="P1947" s="216">
        <v>5585</v>
      </c>
      <c r="Q1947" s="217" t="s">
        <v>14</v>
      </c>
      <c r="R1947" s="217" t="s">
        <v>554</v>
      </c>
      <c r="S1947" s="218">
        <v>0.26910674446944083</v>
      </c>
      <c r="T1947" t="s">
        <v>550</v>
      </c>
      <c r="U1947" t="s">
        <v>51</v>
      </c>
      <c r="V1947" s="219" t="s">
        <v>6915</v>
      </c>
      <c r="W1947" s="219" t="s">
        <v>67</v>
      </c>
    </row>
    <row r="1948" spans="1:23" ht="15" customHeight="1" x14ac:dyDescent="0.25">
      <c r="A1948" t="s">
        <v>4654</v>
      </c>
      <c r="B1948" t="s">
        <v>546</v>
      </c>
      <c r="C1948">
        <v>3960</v>
      </c>
      <c r="D1948" t="s">
        <v>4643</v>
      </c>
      <c r="E1948" t="s">
        <v>553</v>
      </c>
      <c r="F1948" t="s">
        <v>554</v>
      </c>
      <c r="G1948" s="30">
        <v>46149</v>
      </c>
      <c r="H1948" t="s">
        <v>4644</v>
      </c>
      <c r="I1948">
        <v>2357919.35</v>
      </c>
      <c r="J1948" s="123">
        <v>46149</v>
      </c>
      <c r="K1948" s="123">
        <v>0</v>
      </c>
      <c r="L1948" s="123">
        <v>46149</v>
      </c>
      <c r="M1948">
        <v>0</v>
      </c>
      <c r="N1948">
        <v>0</v>
      </c>
      <c r="O1948" t="s">
        <v>556</v>
      </c>
      <c r="P1948" s="216">
        <v>3960</v>
      </c>
      <c r="Q1948" s="217" t="s">
        <v>14</v>
      </c>
      <c r="R1948" s="217" t="s">
        <v>554</v>
      </c>
      <c r="S1948" s="218">
        <v>0.26910674446944083</v>
      </c>
      <c r="T1948" t="s">
        <v>550</v>
      </c>
      <c r="U1948" t="s">
        <v>51</v>
      </c>
      <c r="V1948" s="219" t="s">
        <v>6916</v>
      </c>
      <c r="W1948" s="219" t="s">
        <v>67</v>
      </c>
    </row>
    <row r="1949" spans="1:23" ht="15" customHeight="1" x14ac:dyDescent="0.25">
      <c r="A1949" t="s">
        <v>4655</v>
      </c>
      <c r="B1949" t="s">
        <v>546</v>
      </c>
      <c r="C1949">
        <v>3960</v>
      </c>
      <c r="D1949" t="s">
        <v>4643</v>
      </c>
      <c r="E1949" t="s">
        <v>553</v>
      </c>
      <c r="F1949" t="s">
        <v>548</v>
      </c>
      <c r="G1949" s="30">
        <v>46149</v>
      </c>
      <c r="H1949" t="s">
        <v>4644</v>
      </c>
      <c r="I1949">
        <v>2357919.35</v>
      </c>
      <c r="J1949" s="123">
        <v>46149</v>
      </c>
      <c r="K1949" s="123">
        <v>0</v>
      </c>
      <c r="L1949" s="123">
        <v>46149</v>
      </c>
      <c r="M1949">
        <v>0</v>
      </c>
      <c r="N1949">
        <v>0</v>
      </c>
      <c r="O1949" t="s">
        <v>556</v>
      </c>
      <c r="P1949" s="216">
        <v>3960</v>
      </c>
      <c r="Q1949" s="217" t="s">
        <v>14</v>
      </c>
      <c r="R1949" s="217" t="s">
        <v>62</v>
      </c>
      <c r="S1949" s="218">
        <v>0.26910674446944083</v>
      </c>
      <c r="T1949" t="s">
        <v>550</v>
      </c>
      <c r="U1949" t="s">
        <v>51</v>
      </c>
      <c r="V1949" s="219">
        <v>0</v>
      </c>
      <c r="W1949" s="219">
        <v>0</v>
      </c>
    </row>
    <row r="1950" spans="1:23" ht="15" customHeight="1" x14ac:dyDescent="0.25">
      <c r="A1950" t="s">
        <v>4656</v>
      </c>
      <c r="B1950" t="s">
        <v>595</v>
      </c>
      <c r="C1950">
        <v>91935</v>
      </c>
      <c r="D1950" t="s">
        <v>4657</v>
      </c>
      <c r="E1950" t="s">
        <v>238</v>
      </c>
      <c r="F1950" t="s">
        <v>554</v>
      </c>
      <c r="G1950" s="30">
        <v>46143</v>
      </c>
      <c r="H1950" t="s">
        <v>4658</v>
      </c>
      <c r="I1950">
        <v>2661516</v>
      </c>
      <c r="J1950" s="123">
        <v>0</v>
      </c>
      <c r="K1950" s="123">
        <v>0</v>
      </c>
      <c r="L1950" s="123">
        <v>46141</v>
      </c>
      <c r="M1950">
        <v>0</v>
      </c>
      <c r="N1950">
        <v>0</v>
      </c>
      <c r="O1950">
        <v>0</v>
      </c>
      <c r="P1950" s="216">
        <v>91935</v>
      </c>
      <c r="Q1950" s="217" t="s">
        <v>19</v>
      </c>
      <c r="R1950" s="217" t="s">
        <v>554</v>
      </c>
      <c r="S1950" s="218">
        <v>0.23418427317363485</v>
      </c>
      <c r="T1950" t="s">
        <v>550</v>
      </c>
      <c r="U1950" t="s">
        <v>51</v>
      </c>
      <c r="V1950" s="219" t="s">
        <v>6917</v>
      </c>
      <c r="W1950" s="219" t="s">
        <v>67</v>
      </c>
    </row>
    <row r="1951" spans="1:23" ht="15" customHeight="1" x14ac:dyDescent="0.25">
      <c r="A1951" t="s">
        <v>4659</v>
      </c>
      <c r="B1951" t="s">
        <v>603</v>
      </c>
      <c r="C1951">
        <v>235200</v>
      </c>
      <c r="D1951" t="s">
        <v>4660</v>
      </c>
      <c r="E1951" t="s">
        <v>605</v>
      </c>
      <c r="F1951" t="s">
        <v>554</v>
      </c>
      <c r="G1951" s="30">
        <v>46143</v>
      </c>
      <c r="H1951" t="s">
        <v>4661</v>
      </c>
      <c r="I1951">
        <v>2356794.9</v>
      </c>
      <c r="J1951" s="123">
        <v>46143</v>
      </c>
      <c r="K1951" s="123">
        <v>0</v>
      </c>
      <c r="L1951" s="123">
        <v>0</v>
      </c>
      <c r="M1951">
        <v>0</v>
      </c>
      <c r="N1951">
        <v>0</v>
      </c>
      <c r="O1951">
        <v>0</v>
      </c>
      <c r="P1951" s="216">
        <v>235200</v>
      </c>
      <c r="Q1951" s="217" t="s">
        <v>24</v>
      </c>
      <c r="R1951" s="217" t="s">
        <v>554</v>
      </c>
      <c r="S1951" s="218">
        <v>0.29932982288785503</v>
      </c>
      <c r="T1951" t="s">
        <v>550</v>
      </c>
      <c r="U1951" t="s">
        <v>51</v>
      </c>
      <c r="V1951" s="219" t="s">
        <v>6918</v>
      </c>
      <c r="W1951" s="219" t="s">
        <v>67</v>
      </c>
    </row>
    <row r="1952" spans="1:23" ht="15" customHeight="1" x14ac:dyDescent="0.25">
      <c r="A1952" t="s">
        <v>4662</v>
      </c>
      <c r="B1952" t="s">
        <v>575</v>
      </c>
      <c r="C1952">
        <v>187577</v>
      </c>
      <c r="D1952" t="s">
        <v>4663</v>
      </c>
      <c r="E1952" t="s">
        <v>157</v>
      </c>
      <c r="F1952" t="s">
        <v>580</v>
      </c>
      <c r="G1952" s="30">
        <v>46149</v>
      </c>
      <c r="H1952" t="s">
        <v>4664</v>
      </c>
      <c r="I1952">
        <v>1875765.65</v>
      </c>
      <c r="J1952" s="123">
        <v>0</v>
      </c>
      <c r="K1952" s="123">
        <v>0</v>
      </c>
      <c r="L1952" s="123">
        <v>46140</v>
      </c>
      <c r="M1952">
        <v>0</v>
      </c>
      <c r="N1952">
        <v>0</v>
      </c>
      <c r="O1952">
        <v>0</v>
      </c>
      <c r="P1952" s="216">
        <v>187577</v>
      </c>
      <c r="Q1952" s="217" t="s">
        <v>14</v>
      </c>
      <c r="R1952" s="217" t="s">
        <v>582</v>
      </c>
      <c r="S1952" s="218">
        <v>0.20077501152662647</v>
      </c>
      <c r="T1952" t="s">
        <v>550</v>
      </c>
      <c r="U1952" t="s">
        <v>51</v>
      </c>
      <c r="V1952" s="219">
        <v>0</v>
      </c>
      <c r="W1952" s="219">
        <v>0</v>
      </c>
    </row>
    <row r="1953" spans="1:23" ht="15" customHeight="1" x14ac:dyDescent="0.25">
      <c r="A1953" t="s">
        <v>4665</v>
      </c>
      <c r="B1953" t="s">
        <v>595</v>
      </c>
      <c r="C1953">
        <v>332980</v>
      </c>
      <c r="D1953" t="s">
        <v>4666</v>
      </c>
      <c r="E1953" t="s">
        <v>157</v>
      </c>
      <c r="F1953" t="s">
        <v>585</v>
      </c>
      <c r="G1953" s="30">
        <v>46147</v>
      </c>
      <c r="H1953" t="s">
        <v>4667</v>
      </c>
      <c r="I1953">
        <v>3327976.95</v>
      </c>
      <c r="J1953" s="123">
        <v>0</v>
      </c>
      <c r="K1953" s="123">
        <v>0</v>
      </c>
      <c r="L1953" s="123">
        <v>46139</v>
      </c>
      <c r="M1953">
        <v>0</v>
      </c>
      <c r="N1953">
        <v>0</v>
      </c>
      <c r="O1953">
        <v>0</v>
      </c>
      <c r="P1953" s="216">
        <v>332980</v>
      </c>
      <c r="Q1953" s="217" t="s">
        <v>14</v>
      </c>
      <c r="R1953" s="217" t="s">
        <v>61</v>
      </c>
      <c r="S1953" s="218">
        <v>0.19979320169269801</v>
      </c>
      <c r="T1953" t="s">
        <v>550</v>
      </c>
      <c r="U1953" t="s">
        <v>51</v>
      </c>
      <c r="V1953" s="219">
        <v>0</v>
      </c>
      <c r="W1953" s="219">
        <v>0</v>
      </c>
    </row>
    <row r="1954" spans="1:23" ht="15" customHeight="1" x14ac:dyDescent="0.25">
      <c r="A1954" t="s">
        <v>4668</v>
      </c>
      <c r="B1954" t="s">
        <v>64</v>
      </c>
      <c r="C1954">
        <v>209383</v>
      </c>
      <c r="D1954" t="s">
        <v>4669</v>
      </c>
      <c r="E1954" t="s">
        <v>157</v>
      </c>
      <c r="F1954" t="s">
        <v>683</v>
      </c>
      <c r="G1954" s="30">
        <v>46143</v>
      </c>
      <c r="H1954" t="s">
        <v>4670</v>
      </c>
      <c r="I1954">
        <v>2094032.3</v>
      </c>
      <c r="J1954" s="123">
        <v>0</v>
      </c>
      <c r="K1954" s="123">
        <v>46168</v>
      </c>
      <c r="L1954" s="123">
        <v>0</v>
      </c>
      <c r="M1954">
        <v>0</v>
      </c>
      <c r="N1954">
        <v>0</v>
      </c>
      <c r="O1954" t="s">
        <v>556</v>
      </c>
      <c r="P1954" s="216">
        <v>209383</v>
      </c>
      <c r="Q1954" s="217" t="s">
        <v>14</v>
      </c>
      <c r="R1954" s="217" t="s">
        <v>62</v>
      </c>
      <c r="S1954" s="218">
        <v>0.10000944111511556</v>
      </c>
      <c r="T1954" t="s">
        <v>550</v>
      </c>
      <c r="U1954" t="s">
        <v>51</v>
      </c>
      <c r="V1954" s="219">
        <v>0</v>
      </c>
      <c r="W1954" s="219">
        <v>0</v>
      </c>
    </row>
    <row r="1955" spans="1:23" ht="15" customHeight="1" x14ac:dyDescent="0.25">
      <c r="A1955" t="s">
        <v>4671</v>
      </c>
      <c r="B1955" t="s">
        <v>595</v>
      </c>
      <c r="C1955">
        <v>238079.12</v>
      </c>
      <c r="D1955" t="s">
        <v>4672</v>
      </c>
      <c r="E1955" t="s">
        <v>233</v>
      </c>
      <c r="F1955" t="s">
        <v>554</v>
      </c>
      <c r="G1955" s="30">
        <v>46147</v>
      </c>
      <c r="H1955" t="s">
        <v>4673</v>
      </c>
      <c r="I1955">
        <v>2379650.2999999998</v>
      </c>
      <c r="J1955" s="123">
        <v>0</v>
      </c>
      <c r="K1955" s="123">
        <v>0</v>
      </c>
      <c r="L1955" s="123">
        <v>46141</v>
      </c>
      <c r="M1955">
        <v>0</v>
      </c>
      <c r="N1955">
        <v>0</v>
      </c>
      <c r="O1955">
        <v>0</v>
      </c>
      <c r="P1955" s="216">
        <v>238079.12</v>
      </c>
      <c r="Q1955" s="217" t="s">
        <v>24</v>
      </c>
      <c r="R1955" s="217" t="s">
        <v>554</v>
      </c>
      <c r="S1955" s="218">
        <v>0.30081316149688048</v>
      </c>
      <c r="T1955" t="s">
        <v>550</v>
      </c>
      <c r="U1955" t="s">
        <v>51</v>
      </c>
      <c r="V1955" s="219" t="s">
        <v>6919</v>
      </c>
      <c r="W1955" s="219" t="s">
        <v>67</v>
      </c>
    </row>
    <row r="1956" spans="1:23" ht="15" customHeight="1" x14ac:dyDescent="0.25">
      <c r="A1956" t="s">
        <v>4674</v>
      </c>
      <c r="B1956" t="s">
        <v>603</v>
      </c>
      <c r="C1956">
        <v>268625</v>
      </c>
      <c r="D1956" t="s">
        <v>4675</v>
      </c>
      <c r="E1956" t="s">
        <v>605</v>
      </c>
      <c r="F1956" t="s">
        <v>554</v>
      </c>
      <c r="G1956" s="30">
        <v>46146</v>
      </c>
      <c r="H1956" t="s">
        <v>4676</v>
      </c>
      <c r="I1956">
        <v>2676638.25</v>
      </c>
      <c r="J1956" s="123">
        <v>46146</v>
      </c>
      <c r="K1956" s="123">
        <v>0</v>
      </c>
      <c r="L1956" s="123">
        <v>0</v>
      </c>
      <c r="M1956">
        <v>0</v>
      </c>
      <c r="N1956">
        <v>0</v>
      </c>
      <c r="O1956">
        <v>0</v>
      </c>
      <c r="P1956" s="216">
        <v>268625</v>
      </c>
      <c r="Q1956" s="217" t="s">
        <v>17</v>
      </c>
      <c r="R1956" s="217" t="s">
        <v>554</v>
      </c>
      <c r="S1956" s="218">
        <v>0.29999962452901507</v>
      </c>
      <c r="T1956" t="s">
        <v>550</v>
      </c>
      <c r="U1956" t="s">
        <v>51</v>
      </c>
      <c r="V1956" s="219" t="s">
        <v>6920</v>
      </c>
      <c r="W1956" s="219" t="s">
        <v>67</v>
      </c>
    </row>
    <row r="1957" spans="1:23" ht="15" customHeight="1" x14ac:dyDescent="0.25">
      <c r="A1957" t="s">
        <v>4677</v>
      </c>
      <c r="B1957" t="s">
        <v>546</v>
      </c>
      <c r="C1957">
        <v>50000</v>
      </c>
      <c r="D1957" t="s">
        <v>4678</v>
      </c>
      <c r="E1957" t="s">
        <v>233</v>
      </c>
      <c r="F1957" t="s">
        <v>548</v>
      </c>
      <c r="G1957" s="30">
        <v>46147</v>
      </c>
      <c r="H1957" t="s">
        <v>4679</v>
      </c>
      <c r="I1957">
        <v>2379650.2999999998</v>
      </c>
      <c r="J1957" s="123">
        <v>0</v>
      </c>
      <c r="K1957" s="123">
        <v>0</v>
      </c>
      <c r="L1957" s="123">
        <v>0</v>
      </c>
      <c r="M1957">
        <v>0</v>
      </c>
      <c r="N1957">
        <v>0</v>
      </c>
      <c r="O1957">
        <v>0</v>
      </c>
      <c r="P1957" s="216">
        <v>50000</v>
      </c>
      <c r="Q1957" s="217" t="s">
        <v>24</v>
      </c>
      <c r="R1957" s="217" t="s">
        <v>62</v>
      </c>
      <c r="S1957" s="218">
        <v>0.20016174645493082</v>
      </c>
      <c r="T1957" t="s">
        <v>550</v>
      </c>
      <c r="U1957" t="s">
        <v>51</v>
      </c>
      <c r="V1957" s="219">
        <v>0</v>
      </c>
      <c r="W1957" s="219">
        <v>0</v>
      </c>
    </row>
    <row r="1958" spans="1:23" ht="15" customHeight="1" x14ac:dyDescent="0.25">
      <c r="A1958" t="s">
        <v>4680</v>
      </c>
      <c r="B1958" t="s">
        <v>546</v>
      </c>
      <c r="C1958">
        <v>75000</v>
      </c>
      <c r="D1958" t="s">
        <v>4681</v>
      </c>
      <c r="E1958" t="s">
        <v>553</v>
      </c>
      <c r="F1958" t="s">
        <v>554</v>
      </c>
      <c r="G1958" s="30">
        <v>46143</v>
      </c>
      <c r="H1958" t="s">
        <v>4682</v>
      </c>
      <c r="I1958">
        <v>2319797.25</v>
      </c>
      <c r="J1958" s="123">
        <v>46143</v>
      </c>
      <c r="K1958" s="123">
        <v>0</v>
      </c>
      <c r="L1958" s="123">
        <v>46143</v>
      </c>
      <c r="M1958">
        <v>0</v>
      </c>
      <c r="N1958">
        <v>0</v>
      </c>
      <c r="O1958" t="s">
        <v>556</v>
      </c>
      <c r="P1958" s="216">
        <v>75000</v>
      </c>
      <c r="Q1958" s="217" t="s">
        <v>48</v>
      </c>
      <c r="R1958" s="217" t="s">
        <v>554</v>
      </c>
      <c r="S1958" s="218">
        <v>0.23233053233423739</v>
      </c>
      <c r="T1958" t="s">
        <v>550</v>
      </c>
      <c r="U1958" t="s">
        <v>51</v>
      </c>
      <c r="V1958" s="219" t="s">
        <v>6921</v>
      </c>
      <c r="W1958" s="219" t="s">
        <v>67</v>
      </c>
    </row>
    <row r="1959" spans="1:23" ht="15" customHeight="1" x14ac:dyDescent="0.25">
      <c r="A1959" t="s">
        <v>4683</v>
      </c>
      <c r="B1959" t="s">
        <v>546</v>
      </c>
      <c r="C1959">
        <v>5000</v>
      </c>
      <c r="D1959" t="s">
        <v>4684</v>
      </c>
      <c r="E1959" t="s">
        <v>553</v>
      </c>
      <c r="F1959" t="s">
        <v>548</v>
      </c>
      <c r="G1959" s="30">
        <v>46147</v>
      </c>
      <c r="H1959" t="s">
        <v>4685</v>
      </c>
      <c r="I1959">
        <v>2392085.1</v>
      </c>
      <c r="J1959" s="123">
        <v>46147</v>
      </c>
      <c r="K1959" s="123">
        <v>0</v>
      </c>
      <c r="L1959" s="123">
        <v>46147</v>
      </c>
      <c r="M1959">
        <v>0</v>
      </c>
      <c r="N1959">
        <v>0</v>
      </c>
      <c r="O1959" t="s">
        <v>556</v>
      </c>
      <c r="P1959" s="216">
        <v>5000</v>
      </c>
      <c r="Q1959" s="217" t="s">
        <v>24</v>
      </c>
      <c r="R1959" s="217" t="s">
        <v>62</v>
      </c>
      <c r="S1959" s="218">
        <v>0.20423081519967662</v>
      </c>
      <c r="T1959" t="s">
        <v>550</v>
      </c>
      <c r="U1959" t="s">
        <v>51</v>
      </c>
      <c r="V1959" s="219">
        <v>0</v>
      </c>
      <c r="W1959" s="219">
        <v>0</v>
      </c>
    </row>
    <row r="1960" spans="1:23" ht="15" customHeight="1" x14ac:dyDescent="0.25">
      <c r="A1960" t="s">
        <v>4686</v>
      </c>
      <c r="B1960" t="s">
        <v>546</v>
      </c>
      <c r="C1960">
        <v>5000</v>
      </c>
      <c r="D1960" t="s">
        <v>4684</v>
      </c>
      <c r="E1960" t="s">
        <v>553</v>
      </c>
      <c r="F1960" t="s">
        <v>554</v>
      </c>
      <c r="G1960" s="30">
        <v>46147</v>
      </c>
      <c r="H1960" t="s">
        <v>4685</v>
      </c>
      <c r="I1960">
        <v>2392085.1</v>
      </c>
      <c r="J1960" s="123">
        <v>46147</v>
      </c>
      <c r="K1960" s="123">
        <v>0</v>
      </c>
      <c r="L1960" s="123">
        <v>46147</v>
      </c>
      <c r="M1960">
        <v>0</v>
      </c>
      <c r="N1960">
        <v>0</v>
      </c>
      <c r="O1960" t="s">
        <v>556</v>
      </c>
      <c r="P1960" s="216">
        <v>5000</v>
      </c>
      <c r="Q1960" s="217" t="s">
        <v>24</v>
      </c>
      <c r="R1960" s="217" t="s">
        <v>554</v>
      </c>
      <c r="S1960" s="218">
        <v>0.20423081519967662</v>
      </c>
      <c r="T1960" t="s">
        <v>550</v>
      </c>
      <c r="U1960" t="s">
        <v>51</v>
      </c>
      <c r="V1960" s="219" t="s">
        <v>6922</v>
      </c>
      <c r="W1960" s="219" t="s">
        <v>67</v>
      </c>
    </row>
    <row r="1961" spans="1:23" ht="15" customHeight="1" x14ac:dyDescent="0.25">
      <c r="A1961" t="s">
        <v>4687</v>
      </c>
      <c r="B1961" t="s">
        <v>575</v>
      </c>
      <c r="C1961">
        <v>40000</v>
      </c>
      <c r="D1961" t="s">
        <v>4688</v>
      </c>
      <c r="E1961" t="s">
        <v>233</v>
      </c>
      <c r="F1961" t="s">
        <v>580</v>
      </c>
      <c r="G1961" s="30">
        <v>46146</v>
      </c>
      <c r="H1961" t="s">
        <v>4689</v>
      </c>
      <c r="I1961">
        <v>2413098.7999999998</v>
      </c>
      <c r="J1961" s="123">
        <v>0</v>
      </c>
      <c r="K1961" s="123">
        <v>0</v>
      </c>
      <c r="L1961" s="123">
        <v>46144</v>
      </c>
      <c r="M1961">
        <v>0</v>
      </c>
      <c r="N1961">
        <v>0</v>
      </c>
      <c r="O1961">
        <v>0</v>
      </c>
      <c r="P1961" s="216">
        <v>40000</v>
      </c>
      <c r="Q1961" s="217" t="s">
        <v>24</v>
      </c>
      <c r="R1961" s="217" t="s">
        <v>582</v>
      </c>
      <c r="S1961" s="218">
        <v>0.1999998756785259</v>
      </c>
      <c r="T1961" t="s">
        <v>550</v>
      </c>
      <c r="U1961" t="s">
        <v>51</v>
      </c>
      <c r="V1961" s="219">
        <v>0</v>
      </c>
      <c r="W1961" s="219">
        <v>0</v>
      </c>
    </row>
    <row r="1962" spans="1:23" ht="15" customHeight="1" x14ac:dyDescent="0.25">
      <c r="A1962" t="s">
        <v>4690</v>
      </c>
      <c r="B1962" t="s">
        <v>575</v>
      </c>
      <c r="C1962">
        <v>100000</v>
      </c>
      <c r="D1962" t="s">
        <v>4688</v>
      </c>
      <c r="E1962" t="s">
        <v>233</v>
      </c>
      <c r="F1962" t="s">
        <v>580</v>
      </c>
      <c r="G1962" s="30">
        <v>46149</v>
      </c>
      <c r="H1962" t="s">
        <v>4689</v>
      </c>
      <c r="I1962">
        <v>2413098.7999999998</v>
      </c>
      <c r="J1962" s="123">
        <v>0</v>
      </c>
      <c r="K1962" s="123">
        <v>0</v>
      </c>
      <c r="L1962" s="123">
        <v>46140</v>
      </c>
      <c r="M1962">
        <v>0</v>
      </c>
      <c r="N1962">
        <v>0</v>
      </c>
      <c r="O1962">
        <v>0</v>
      </c>
      <c r="P1962" s="216">
        <v>100000</v>
      </c>
      <c r="Q1962" s="217" t="s">
        <v>24</v>
      </c>
      <c r="R1962" s="217" t="s">
        <v>582</v>
      </c>
      <c r="S1962" s="218">
        <v>0.1999998756785259</v>
      </c>
      <c r="T1962" t="s">
        <v>550</v>
      </c>
      <c r="U1962" t="s">
        <v>51</v>
      </c>
      <c r="V1962" s="219">
        <v>0</v>
      </c>
      <c r="W1962" s="219">
        <v>0</v>
      </c>
    </row>
    <row r="1963" spans="1:23" ht="15" customHeight="1" x14ac:dyDescent="0.25">
      <c r="A1963" t="s">
        <v>4691</v>
      </c>
      <c r="B1963" t="s">
        <v>575</v>
      </c>
      <c r="C1963">
        <v>82508</v>
      </c>
      <c r="D1963" t="s">
        <v>4692</v>
      </c>
      <c r="E1963" t="s">
        <v>157</v>
      </c>
      <c r="F1963" t="s">
        <v>580</v>
      </c>
      <c r="G1963" s="30">
        <v>46148</v>
      </c>
      <c r="H1963" t="s">
        <v>4693</v>
      </c>
      <c r="I1963">
        <v>3325077.15</v>
      </c>
      <c r="J1963" s="123">
        <v>0</v>
      </c>
      <c r="K1963" s="123">
        <v>0</v>
      </c>
      <c r="L1963" s="123">
        <v>46147</v>
      </c>
      <c r="M1963">
        <v>0</v>
      </c>
      <c r="N1963">
        <v>0</v>
      </c>
      <c r="O1963">
        <v>0</v>
      </c>
      <c r="P1963" s="216">
        <v>82508</v>
      </c>
      <c r="Q1963" s="217" t="s">
        <v>14</v>
      </c>
      <c r="R1963" s="217" t="s">
        <v>582</v>
      </c>
      <c r="S1963" s="218">
        <v>0.19999120621907976</v>
      </c>
      <c r="T1963" t="s">
        <v>550</v>
      </c>
      <c r="U1963" t="s">
        <v>51</v>
      </c>
      <c r="V1963" s="219">
        <v>0</v>
      </c>
      <c r="W1963" s="219">
        <v>0</v>
      </c>
    </row>
    <row r="1964" spans="1:23" ht="15" customHeight="1" x14ac:dyDescent="0.25">
      <c r="A1964" t="s">
        <v>4694</v>
      </c>
      <c r="B1964" t="s">
        <v>575</v>
      </c>
      <c r="C1964">
        <v>250000</v>
      </c>
      <c r="D1964" t="s">
        <v>4692</v>
      </c>
      <c r="E1964" t="s">
        <v>157</v>
      </c>
      <c r="F1964" t="s">
        <v>580</v>
      </c>
      <c r="G1964" s="30">
        <v>46148</v>
      </c>
      <c r="H1964" t="s">
        <v>4693</v>
      </c>
      <c r="I1964">
        <v>3325077.15</v>
      </c>
      <c r="J1964" s="123">
        <v>0</v>
      </c>
      <c r="K1964" s="123">
        <v>0</v>
      </c>
      <c r="L1964" s="123">
        <v>46146</v>
      </c>
      <c r="M1964">
        <v>0</v>
      </c>
      <c r="N1964">
        <v>0</v>
      </c>
      <c r="O1964">
        <v>0</v>
      </c>
      <c r="P1964" s="216">
        <v>250000</v>
      </c>
      <c r="Q1964" s="217" t="s">
        <v>14</v>
      </c>
      <c r="R1964" s="217" t="s">
        <v>582</v>
      </c>
      <c r="S1964" s="218">
        <v>0.19999120621907976</v>
      </c>
      <c r="T1964" t="s">
        <v>550</v>
      </c>
      <c r="U1964" t="s">
        <v>51</v>
      </c>
      <c r="V1964" s="219">
        <v>0</v>
      </c>
      <c r="W1964" s="219">
        <v>0</v>
      </c>
    </row>
    <row r="1965" spans="1:23" ht="15" customHeight="1" x14ac:dyDescent="0.25">
      <c r="A1965" t="s">
        <v>4695</v>
      </c>
      <c r="B1965" t="s">
        <v>595</v>
      </c>
      <c r="C1965">
        <v>195477</v>
      </c>
      <c r="D1965" t="s">
        <v>4696</v>
      </c>
      <c r="E1965" t="s">
        <v>233</v>
      </c>
      <c r="F1965" t="s">
        <v>554</v>
      </c>
      <c r="G1965" s="30">
        <v>46147</v>
      </c>
      <c r="H1965" t="s">
        <v>4697</v>
      </c>
      <c r="I1965">
        <v>2440314.2000000002</v>
      </c>
      <c r="J1965" s="123">
        <v>0</v>
      </c>
      <c r="K1965" s="123">
        <v>0</v>
      </c>
      <c r="L1965" s="123">
        <v>46146</v>
      </c>
      <c r="M1965">
        <v>0</v>
      </c>
      <c r="N1965">
        <v>0</v>
      </c>
      <c r="O1965">
        <v>0</v>
      </c>
      <c r="P1965" s="216">
        <v>195477</v>
      </c>
      <c r="Q1965" s="217" t="s">
        <v>24</v>
      </c>
      <c r="R1965" s="217" t="s">
        <v>554</v>
      </c>
      <c r="S1965" s="218">
        <v>0.29991383896385143</v>
      </c>
      <c r="T1965" t="s">
        <v>550</v>
      </c>
      <c r="U1965" t="s">
        <v>51</v>
      </c>
      <c r="V1965" s="219" t="s">
        <v>6923</v>
      </c>
      <c r="W1965" s="219" t="s">
        <v>67</v>
      </c>
    </row>
    <row r="1966" spans="1:23" ht="15" customHeight="1" x14ac:dyDescent="0.25">
      <c r="A1966" t="s">
        <v>4698</v>
      </c>
      <c r="B1966" t="s">
        <v>546</v>
      </c>
      <c r="C1966">
        <v>336633.11</v>
      </c>
      <c r="D1966" t="s">
        <v>4699</v>
      </c>
      <c r="E1966" t="s">
        <v>553</v>
      </c>
      <c r="F1966" t="s">
        <v>554</v>
      </c>
      <c r="G1966" s="30">
        <v>46146</v>
      </c>
      <c r="H1966" t="s">
        <v>4700</v>
      </c>
      <c r="I1966">
        <v>3365161.05</v>
      </c>
      <c r="J1966" s="123">
        <v>46146</v>
      </c>
      <c r="K1966" s="123">
        <v>0</v>
      </c>
      <c r="L1966" s="123">
        <v>46146</v>
      </c>
      <c r="M1966">
        <v>0</v>
      </c>
      <c r="N1966">
        <v>0</v>
      </c>
      <c r="O1966" t="s">
        <v>556</v>
      </c>
      <c r="P1966" s="216">
        <v>336633.11</v>
      </c>
      <c r="Q1966" s="217" t="s">
        <v>14</v>
      </c>
      <c r="R1966" s="217" t="s">
        <v>554</v>
      </c>
      <c r="S1966" s="218">
        <v>0.30003467441773701</v>
      </c>
      <c r="T1966" t="s">
        <v>550</v>
      </c>
      <c r="U1966" t="s">
        <v>51</v>
      </c>
      <c r="V1966" s="219" t="s">
        <v>6924</v>
      </c>
      <c r="W1966" s="219" t="s">
        <v>67</v>
      </c>
    </row>
    <row r="1967" spans="1:23" ht="15" customHeight="1" x14ac:dyDescent="0.25">
      <c r="A1967" t="s">
        <v>4701</v>
      </c>
      <c r="B1967" t="s">
        <v>546</v>
      </c>
      <c r="C1967">
        <v>336633.11</v>
      </c>
      <c r="D1967" t="s">
        <v>4699</v>
      </c>
      <c r="E1967" t="s">
        <v>553</v>
      </c>
      <c r="F1967" t="s">
        <v>548</v>
      </c>
      <c r="G1967" s="30">
        <v>46146</v>
      </c>
      <c r="H1967" t="s">
        <v>4700</v>
      </c>
      <c r="I1967">
        <v>3365161.05</v>
      </c>
      <c r="J1967" s="123">
        <v>46146</v>
      </c>
      <c r="K1967" s="123">
        <v>0</v>
      </c>
      <c r="L1967" s="123">
        <v>46146</v>
      </c>
      <c r="M1967">
        <v>0</v>
      </c>
      <c r="N1967">
        <v>0</v>
      </c>
      <c r="O1967" t="s">
        <v>556</v>
      </c>
      <c r="P1967" s="216">
        <v>336633.11</v>
      </c>
      <c r="Q1967" s="217" t="s">
        <v>14</v>
      </c>
      <c r="R1967" s="217" t="s">
        <v>62</v>
      </c>
      <c r="S1967" s="218">
        <v>0.30003467441773701</v>
      </c>
      <c r="T1967" t="s">
        <v>550</v>
      </c>
      <c r="U1967" t="s">
        <v>51</v>
      </c>
      <c r="V1967" s="219">
        <v>0</v>
      </c>
      <c r="W1967" s="219">
        <v>0</v>
      </c>
    </row>
    <row r="1968" spans="1:23" ht="15" customHeight="1" x14ac:dyDescent="0.25">
      <c r="A1968" t="s">
        <v>4702</v>
      </c>
      <c r="B1968" t="s">
        <v>668</v>
      </c>
      <c r="C1968">
        <v>48000</v>
      </c>
      <c r="D1968" t="s">
        <v>4703</v>
      </c>
      <c r="E1968" t="s">
        <v>188</v>
      </c>
      <c r="F1968" t="s">
        <v>554</v>
      </c>
      <c r="G1968" s="30">
        <v>46143</v>
      </c>
      <c r="H1968" t="s">
        <v>4704</v>
      </c>
      <c r="I1968">
        <v>3383753.1</v>
      </c>
      <c r="J1968" s="123">
        <v>46142</v>
      </c>
      <c r="K1968" s="123">
        <v>0</v>
      </c>
      <c r="L1968" s="123">
        <v>46142</v>
      </c>
      <c r="M1968">
        <v>0</v>
      </c>
      <c r="N1968">
        <v>0</v>
      </c>
      <c r="O1968">
        <v>0</v>
      </c>
      <c r="P1968" s="216">
        <v>48000</v>
      </c>
      <c r="Q1968" s="217" t="s">
        <v>17</v>
      </c>
      <c r="R1968" s="217" t="s">
        <v>554</v>
      </c>
      <c r="S1968" s="218">
        <v>0.28784203551967191</v>
      </c>
      <c r="T1968" t="s">
        <v>550</v>
      </c>
      <c r="U1968" t="s">
        <v>51</v>
      </c>
      <c r="V1968" s="219" t="s">
        <v>6925</v>
      </c>
      <c r="W1968" s="219" t="s">
        <v>67</v>
      </c>
    </row>
    <row r="1969" spans="1:23" ht="15" customHeight="1" x14ac:dyDescent="0.25">
      <c r="A1969" t="s">
        <v>4705</v>
      </c>
      <c r="B1969" t="s">
        <v>546</v>
      </c>
      <c r="C1969">
        <v>9000</v>
      </c>
      <c r="D1969" t="s">
        <v>4703</v>
      </c>
      <c r="E1969" t="s">
        <v>233</v>
      </c>
      <c r="F1969" t="s">
        <v>554</v>
      </c>
      <c r="G1969" s="30">
        <v>46148</v>
      </c>
      <c r="H1969" t="s">
        <v>4704</v>
      </c>
      <c r="I1969">
        <v>3383753.1</v>
      </c>
      <c r="J1969" s="123">
        <v>0</v>
      </c>
      <c r="K1969" s="123">
        <v>0</v>
      </c>
      <c r="L1969" s="123">
        <v>0</v>
      </c>
      <c r="M1969">
        <v>0</v>
      </c>
      <c r="N1969">
        <v>0</v>
      </c>
      <c r="O1969">
        <v>0</v>
      </c>
      <c r="P1969" s="216">
        <v>9000</v>
      </c>
      <c r="Q1969" s="217" t="s">
        <v>24</v>
      </c>
      <c r="R1969" s="217" t="s">
        <v>554</v>
      </c>
      <c r="S1969" s="218">
        <v>0.28784203551967191</v>
      </c>
      <c r="T1969" t="s">
        <v>550</v>
      </c>
      <c r="U1969" t="s">
        <v>51</v>
      </c>
      <c r="V1969" s="219" t="s">
        <v>6926</v>
      </c>
      <c r="W1969" s="219" t="s">
        <v>67</v>
      </c>
    </row>
    <row r="1970" spans="1:23" ht="15" customHeight="1" x14ac:dyDescent="0.25">
      <c r="A1970" t="s">
        <v>4706</v>
      </c>
      <c r="B1970" t="s">
        <v>546</v>
      </c>
      <c r="C1970">
        <v>10000</v>
      </c>
      <c r="D1970" t="s">
        <v>4703</v>
      </c>
      <c r="E1970" t="s">
        <v>233</v>
      </c>
      <c r="F1970" t="s">
        <v>554</v>
      </c>
      <c r="G1970" s="30">
        <v>46148</v>
      </c>
      <c r="H1970" t="s">
        <v>4704</v>
      </c>
      <c r="I1970">
        <v>3383753.1</v>
      </c>
      <c r="J1970" s="123">
        <v>0</v>
      </c>
      <c r="K1970" s="123">
        <v>0</v>
      </c>
      <c r="L1970" s="123">
        <v>0</v>
      </c>
      <c r="M1970">
        <v>0</v>
      </c>
      <c r="N1970">
        <v>0</v>
      </c>
      <c r="O1970">
        <v>0</v>
      </c>
      <c r="P1970" s="216">
        <v>10000</v>
      </c>
      <c r="Q1970" s="217" t="s">
        <v>24</v>
      </c>
      <c r="R1970" s="217" t="s">
        <v>554</v>
      </c>
      <c r="S1970" s="218">
        <v>0.28784203551967191</v>
      </c>
      <c r="T1970" t="s">
        <v>550</v>
      </c>
      <c r="U1970" t="s">
        <v>51</v>
      </c>
      <c r="V1970" s="219" t="s">
        <v>6927</v>
      </c>
      <c r="W1970" s="219" t="s">
        <v>67</v>
      </c>
    </row>
    <row r="1971" spans="1:23" ht="15" customHeight="1" x14ac:dyDescent="0.25">
      <c r="A1971" t="s">
        <v>4707</v>
      </c>
      <c r="B1971" t="s">
        <v>546</v>
      </c>
      <c r="C1971">
        <v>20000</v>
      </c>
      <c r="D1971" t="s">
        <v>4703</v>
      </c>
      <c r="E1971" t="s">
        <v>233</v>
      </c>
      <c r="F1971" t="s">
        <v>554</v>
      </c>
      <c r="G1971" s="30">
        <v>46148</v>
      </c>
      <c r="H1971" t="s">
        <v>4704</v>
      </c>
      <c r="I1971">
        <v>3383753.1</v>
      </c>
      <c r="J1971" s="123">
        <v>0</v>
      </c>
      <c r="K1971" s="123">
        <v>0</v>
      </c>
      <c r="L1971" s="123">
        <v>0</v>
      </c>
      <c r="M1971">
        <v>0</v>
      </c>
      <c r="N1971">
        <v>0</v>
      </c>
      <c r="O1971">
        <v>0</v>
      </c>
      <c r="P1971" s="216">
        <v>20000</v>
      </c>
      <c r="Q1971" s="217" t="s">
        <v>24</v>
      </c>
      <c r="R1971" s="217" t="s">
        <v>554</v>
      </c>
      <c r="S1971" s="218">
        <v>0.28784203551967191</v>
      </c>
      <c r="T1971" t="s">
        <v>550</v>
      </c>
      <c r="U1971" t="s">
        <v>51</v>
      </c>
      <c r="V1971" s="219" t="s">
        <v>6928</v>
      </c>
      <c r="W1971" s="219" t="s">
        <v>67</v>
      </c>
    </row>
    <row r="1972" spans="1:23" ht="15" customHeight="1" x14ac:dyDescent="0.25">
      <c r="A1972" t="s">
        <v>4708</v>
      </c>
      <c r="B1972" t="s">
        <v>546</v>
      </c>
      <c r="C1972">
        <v>20000</v>
      </c>
      <c r="D1972" t="s">
        <v>4703</v>
      </c>
      <c r="E1972" t="s">
        <v>233</v>
      </c>
      <c r="F1972" t="s">
        <v>554</v>
      </c>
      <c r="G1972" s="30">
        <v>46148</v>
      </c>
      <c r="H1972" t="s">
        <v>4704</v>
      </c>
      <c r="I1972">
        <v>3383753.1</v>
      </c>
      <c r="J1972" s="123">
        <v>0</v>
      </c>
      <c r="K1972" s="123">
        <v>0</v>
      </c>
      <c r="L1972" s="123">
        <v>0</v>
      </c>
      <c r="M1972">
        <v>0</v>
      </c>
      <c r="N1972">
        <v>0</v>
      </c>
      <c r="O1972">
        <v>0</v>
      </c>
      <c r="P1972" s="216">
        <v>20000</v>
      </c>
      <c r="Q1972" s="217" t="s">
        <v>24</v>
      </c>
      <c r="R1972" s="217" t="s">
        <v>554</v>
      </c>
      <c r="S1972" s="218">
        <v>0.28784203551967191</v>
      </c>
      <c r="T1972" t="s">
        <v>550</v>
      </c>
      <c r="U1972" t="s">
        <v>51</v>
      </c>
      <c r="V1972" s="219" t="s">
        <v>6929</v>
      </c>
      <c r="W1972" s="219" t="s">
        <v>67</v>
      </c>
    </row>
    <row r="1973" spans="1:23" ht="15" customHeight="1" x14ac:dyDescent="0.25">
      <c r="A1973" t="s">
        <v>4709</v>
      </c>
      <c r="B1973" t="s">
        <v>546</v>
      </c>
      <c r="C1973">
        <v>20000</v>
      </c>
      <c r="D1973" t="s">
        <v>4703</v>
      </c>
      <c r="E1973" t="s">
        <v>233</v>
      </c>
      <c r="F1973" t="s">
        <v>554</v>
      </c>
      <c r="G1973" s="30">
        <v>46148</v>
      </c>
      <c r="H1973" t="s">
        <v>4704</v>
      </c>
      <c r="I1973">
        <v>3383753.1</v>
      </c>
      <c r="J1973" s="123">
        <v>0</v>
      </c>
      <c r="K1973" s="123">
        <v>0</v>
      </c>
      <c r="L1973" s="123">
        <v>0</v>
      </c>
      <c r="M1973">
        <v>0</v>
      </c>
      <c r="N1973">
        <v>0</v>
      </c>
      <c r="O1973">
        <v>0</v>
      </c>
      <c r="P1973" s="216">
        <v>20000</v>
      </c>
      <c r="Q1973" s="217" t="s">
        <v>24</v>
      </c>
      <c r="R1973" s="217" t="s">
        <v>554</v>
      </c>
      <c r="S1973" s="218">
        <v>0.28784203551967191</v>
      </c>
      <c r="T1973" t="s">
        <v>550</v>
      </c>
      <c r="U1973" t="s">
        <v>51</v>
      </c>
      <c r="V1973" s="219" t="s">
        <v>6930</v>
      </c>
      <c r="W1973" s="219" t="s">
        <v>67</v>
      </c>
    </row>
    <row r="1974" spans="1:23" ht="15" customHeight="1" x14ac:dyDescent="0.25">
      <c r="A1974" t="s">
        <v>4710</v>
      </c>
      <c r="B1974" t="s">
        <v>546</v>
      </c>
      <c r="C1974">
        <v>20000</v>
      </c>
      <c r="D1974" t="s">
        <v>4703</v>
      </c>
      <c r="E1974" t="s">
        <v>233</v>
      </c>
      <c r="F1974" t="s">
        <v>554</v>
      </c>
      <c r="G1974" s="30">
        <v>46148</v>
      </c>
      <c r="H1974" t="s">
        <v>4704</v>
      </c>
      <c r="I1974">
        <v>3383753.1</v>
      </c>
      <c r="J1974" s="123">
        <v>0</v>
      </c>
      <c r="K1974" s="123">
        <v>0</v>
      </c>
      <c r="L1974" s="123">
        <v>0</v>
      </c>
      <c r="M1974">
        <v>0</v>
      </c>
      <c r="N1974">
        <v>0</v>
      </c>
      <c r="O1974">
        <v>0</v>
      </c>
      <c r="P1974" s="216">
        <v>20000</v>
      </c>
      <c r="Q1974" s="217" t="s">
        <v>24</v>
      </c>
      <c r="R1974" s="217" t="s">
        <v>554</v>
      </c>
      <c r="S1974" s="218">
        <v>0.28784203551967191</v>
      </c>
      <c r="T1974" t="s">
        <v>550</v>
      </c>
      <c r="U1974" t="s">
        <v>51</v>
      </c>
      <c r="V1974" s="219" t="s">
        <v>6931</v>
      </c>
      <c r="W1974" s="219" t="s">
        <v>67</v>
      </c>
    </row>
    <row r="1975" spans="1:23" ht="15" customHeight="1" x14ac:dyDescent="0.25">
      <c r="A1975" t="s">
        <v>4711</v>
      </c>
      <c r="B1975" t="s">
        <v>595</v>
      </c>
      <c r="C1975">
        <v>41375</v>
      </c>
      <c r="D1975" t="s">
        <v>4703</v>
      </c>
      <c r="E1975" t="s">
        <v>233</v>
      </c>
      <c r="F1975" t="s">
        <v>585</v>
      </c>
      <c r="G1975" s="30">
        <v>46148</v>
      </c>
      <c r="H1975" t="s">
        <v>4704</v>
      </c>
      <c r="I1975">
        <v>3383753.1</v>
      </c>
      <c r="J1975" s="123">
        <v>0</v>
      </c>
      <c r="K1975" s="123">
        <v>0</v>
      </c>
      <c r="L1975" s="123">
        <v>46146</v>
      </c>
      <c r="M1975">
        <v>0</v>
      </c>
      <c r="N1975">
        <v>0</v>
      </c>
      <c r="O1975">
        <v>0</v>
      </c>
      <c r="P1975" s="216">
        <v>41375</v>
      </c>
      <c r="Q1975" s="217" t="s">
        <v>24</v>
      </c>
      <c r="R1975" s="217" t="s">
        <v>61</v>
      </c>
      <c r="S1975" s="218">
        <v>0.28784203551967191</v>
      </c>
      <c r="T1975" t="s">
        <v>550</v>
      </c>
      <c r="U1975" t="s">
        <v>51</v>
      </c>
      <c r="V1975" s="219">
        <v>0</v>
      </c>
      <c r="W1975" s="219">
        <v>0</v>
      </c>
    </row>
    <row r="1976" spans="1:23" ht="15" customHeight="1" x14ac:dyDescent="0.25">
      <c r="A1976" t="s">
        <v>4712</v>
      </c>
      <c r="B1976" t="s">
        <v>546</v>
      </c>
      <c r="C1976">
        <v>195000</v>
      </c>
      <c r="D1976" t="s">
        <v>4713</v>
      </c>
      <c r="E1976" t="s">
        <v>553</v>
      </c>
      <c r="F1976" t="s">
        <v>554</v>
      </c>
      <c r="G1976" s="30">
        <v>46145</v>
      </c>
      <c r="H1976" t="s">
        <v>4714</v>
      </c>
      <c r="I1976">
        <v>2453921.9</v>
      </c>
      <c r="J1976" s="123">
        <v>46145</v>
      </c>
      <c r="K1976" s="123">
        <v>0</v>
      </c>
      <c r="L1976" s="123">
        <v>46145</v>
      </c>
      <c r="M1976">
        <v>0</v>
      </c>
      <c r="N1976">
        <v>0</v>
      </c>
      <c r="O1976" t="s">
        <v>556</v>
      </c>
      <c r="P1976" s="216">
        <v>195000</v>
      </c>
      <c r="Q1976" s="217" t="s">
        <v>48</v>
      </c>
      <c r="R1976" s="217" t="s">
        <v>554</v>
      </c>
      <c r="S1976" s="218">
        <v>0.37946436681623813</v>
      </c>
      <c r="T1976" t="s">
        <v>550</v>
      </c>
      <c r="U1976" t="s">
        <v>51</v>
      </c>
      <c r="V1976" s="219" t="s">
        <v>6932</v>
      </c>
      <c r="W1976" s="219" t="s">
        <v>67</v>
      </c>
    </row>
    <row r="1977" spans="1:23" ht="15" customHeight="1" x14ac:dyDescent="0.25">
      <c r="A1977" t="s">
        <v>4715</v>
      </c>
      <c r="B1977" t="s">
        <v>546</v>
      </c>
      <c r="C1977">
        <v>10000</v>
      </c>
      <c r="D1977" t="s">
        <v>4716</v>
      </c>
      <c r="E1977" t="s">
        <v>553</v>
      </c>
      <c r="F1977" t="s">
        <v>554</v>
      </c>
      <c r="G1977" s="30">
        <v>46148</v>
      </c>
      <c r="H1977" t="s">
        <v>4717</v>
      </c>
      <c r="I1977">
        <v>1266375</v>
      </c>
      <c r="J1977" s="123">
        <v>46148</v>
      </c>
      <c r="K1977" s="123">
        <v>0</v>
      </c>
      <c r="L1977" s="123">
        <v>46148</v>
      </c>
      <c r="M1977">
        <v>0</v>
      </c>
      <c r="N1977">
        <v>0</v>
      </c>
      <c r="O1977" t="s">
        <v>556</v>
      </c>
      <c r="P1977" s="216">
        <v>10000</v>
      </c>
      <c r="Q1977" s="217" t="s">
        <v>31</v>
      </c>
      <c r="R1977" s="217" t="s">
        <v>554</v>
      </c>
      <c r="S1977" s="218">
        <v>0.26843470535978681</v>
      </c>
      <c r="T1977" t="s">
        <v>550</v>
      </c>
      <c r="U1977" t="s">
        <v>51</v>
      </c>
      <c r="V1977" s="219" t="s">
        <v>6933</v>
      </c>
      <c r="W1977" s="219" t="s">
        <v>67</v>
      </c>
    </row>
    <row r="1978" spans="1:23" ht="15" customHeight="1" x14ac:dyDescent="0.25">
      <c r="A1978" t="s">
        <v>4718</v>
      </c>
      <c r="B1978" t="s">
        <v>546</v>
      </c>
      <c r="C1978">
        <v>100000</v>
      </c>
      <c r="D1978" t="s">
        <v>4719</v>
      </c>
      <c r="E1978" t="s">
        <v>553</v>
      </c>
      <c r="F1978" t="s">
        <v>548</v>
      </c>
      <c r="G1978" s="30">
        <v>46143</v>
      </c>
      <c r="H1978" t="s">
        <v>4720</v>
      </c>
      <c r="I1978">
        <v>1343938.15</v>
      </c>
      <c r="J1978" s="123">
        <v>46143</v>
      </c>
      <c r="K1978" s="123">
        <v>0</v>
      </c>
      <c r="L1978" s="123">
        <v>46143</v>
      </c>
      <c r="M1978">
        <v>0</v>
      </c>
      <c r="N1978">
        <v>0</v>
      </c>
      <c r="O1978" t="s">
        <v>556</v>
      </c>
      <c r="P1978" s="216">
        <v>100000</v>
      </c>
      <c r="Q1978" s="217" t="s">
        <v>31</v>
      </c>
      <c r="R1978" s="217" t="s">
        <v>62</v>
      </c>
      <c r="S1978" s="218">
        <v>0.30000041296543301</v>
      </c>
      <c r="T1978" t="s">
        <v>550</v>
      </c>
      <c r="U1978" t="s">
        <v>51</v>
      </c>
      <c r="V1978" s="219">
        <v>0</v>
      </c>
      <c r="W1978" s="219">
        <v>0</v>
      </c>
    </row>
    <row r="1979" spans="1:23" ht="15" customHeight="1" x14ac:dyDescent="0.25">
      <c r="A1979" t="s">
        <v>4721</v>
      </c>
      <c r="B1979" t="s">
        <v>546</v>
      </c>
      <c r="C1979">
        <v>100000</v>
      </c>
      <c r="D1979" t="s">
        <v>4719</v>
      </c>
      <c r="E1979" t="s">
        <v>553</v>
      </c>
      <c r="F1979" t="s">
        <v>548</v>
      </c>
      <c r="G1979" s="30">
        <v>46143</v>
      </c>
      <c r="H1979" t="s">
        <v>4720</v>
      </c>
      <c r="I1979">
        <v>1343938.15</v>
      </c>
      <c r="J1979" s="123">
        <v>46143</v>
      </c>
      <c r="K1979" s="123">
        <v>0</v>
      </c>
      <c r="L1979" s="123">
        <v>46143</v>
      </c>
      <c r="M1979">
        <v>0</v>
      </c>
      <c r="N1979">
        <v>0</v>
      </c>
      <c r="O1979" t="s">
        <v>556</v>
      </c>
      <c r="P1979" s="216">
        <v>100000</v>
      </c>
      <c r="Q1979" s="217" t="s">
        <v>31</v>
      </c>
      <c r="R1979" s="217" t="s">
        <v>62</v>
      </c>
      <c r="S1979" s="218">
        <v>0.30000041296543301</v>
      </c>
      <c r="T1979" t="s">
        <v>550</v>
      </c>
      <c r="U1979" t="s">
        <v>51</v>
      </c>
      <c r="V1979" s="219">
        <v>0</v>
      </c>
      <c r="W1979" s="219">
        <v>0</v>
      </c>
    </row>
    <row r="1980" spans="1:23" ht="15" customHeight="1" x14ac:dyDescent="0.25">
      <c r="A1980" t="s">
        <v>4722</v>
      </c>
      <c r="B1980" t="s">
        <v>546</v>
      </c>
      <c r="C1980">
        <v>134394</v>
      </c>
      <c r="D1980" t="s">
        <v>4719</v>
      </c>
      <c r="E1980" t="s">
        <v>553</v>
      </c>
      <c r="F1980" t="s">
        <v>548</v>
      </c>
      <c r="G1980" s="30">
        <v>46143</v>
      </c>
      <c r="H1980" t="s">
        <v>4720</v>
      </c>
      <c r="I1980">
        <v>1343938.15</v>
      </c>
      <c r="J1980" s="123">
        <v>46143</v>
      </c>
      <c r="K1980" s="123">
        <v>0</v>
      </c>
      <c r="L1980" s="123">
        <v>46143</v>
      </c>
      <c r="M1980">
        <v>0</v>
      </c>
      <c r="N1980">
        <v>0</v>
      </c>
      <c r="O1980" t="s">
        <v>556</v>
      </c>
      <c r="P1980" s="216">
        <v>134394</v>
      </c>
      <c r="Q1980" s="217" t="s">
        <v>31</v>
      </c>
      <c r="R1980" s="217" t="s">
        <v>62</v>
      </c>
      <c r="S1980" s="218">
        <v>0.30000041296543301</v>
      </c>
      <c r="T1980" t="s">
        <v>550</v>
      </c>
      <c r="U1980" t="s">
        <v>51</v>
      </c>
      <c r="V1980" s="219">
        <v>0</v>
      </c>
      <c r="W1980" s="219">
        <v>0</v>
      </c>
    </row>
    <row r="1981" spans="1:23" ht="15" customHeight="1" x14ac:dyDescent="0.25">
      <c r="A1981" t="s">
        <v>4723</v>
      </c>
      <c r="B1981" t="s">
        <v>546</v>
      </c>
      <c r="C1981">
        <v>100000</v>
      </c>
      <c r="D1981" t="s">
        <v>4719</v>
      </c>
      <c r="E1981" t="s">
        <v>553</v>
      </c>
      <c r="F1981" t="s">
        <v>554</v>
      </c>
      <c r="G1981" s="30">
        <v>46143</v>
      </c>
      <c r="H1981" t="s">
        <v>4720</v>
      </c>
      <c r="I1981">
        <v>1343938.15</v>
      </c>
      <c r="J1981" s="123">
        <v>46143</v>
      </c>
      <c r="K1981" s="123">
        <v>0</v>
      </c>
      <c r="L1981" s="123">
        <v>46143</v>
      </c>
      <c r="M1981">
        <v>0</v>
      </c>
      <c r="N1981">
        <v>0</v>
      </c>
      <c r="O1981" t="s">
        <v>556</v>
      </c>
      <c r="P1981" s="216">
        <v>100000</v>
      </c>
      <c r="Q1981" s="217" t="s">
        <v>31</v>
      </c>
      <c r="R1981" s="217" t="s">
        <v>554</v>
      </c>
      <c r="S1981" s="218">
        <v>0.30000041296543301</v>
      </c>
      <c r="T1981" t="s">
        <v>550</v>
      </c>
      <c r="U1981" t="s">
        <v>51</v>
      </c>
      <c r="V1981" s="219" t="s">
        <v>6934</v>
      </c>
      <c r="W1981" s="219" t="s">
        <v>67</v>
      </c>
    </row>
    <row r="1982" spans="1:23" ht="15" customHeight="1" x14ac:dyDescent="0.25">
      <c r="A1982" t="s">
        <v>4724</v>
      </c>
      <c r="B1982" t="s">
        <v>546</v>
      </c>
      <c r="C1982">
        <v>100000</v>
      </c>
      <c r="D1982" t="s">
        <v>4719</v>
      </c>
      <c r="E1982" t="s">
        <v>553</v>
      </c>
      <c r="F1982" t="s">
        <v>548</v>
      </c>
      <c r="G1982" s="30">
        <v>46143</v>
      </c>
      <c r="H1982" t="s">
        <v>4720</v>
      </c>
      <c r="I1982">
        <v>1343938.15</v>
      </c>
      <c r="J1982" s="123">
        <v>46143</v>
      </c>
      <c r="K1982" s="123">
        <v>0</v>
      </c>
      <c r="L1982" s="123">
        <v>46143</v>
      </c>
      <c r="M1982">
        <v>0</v>
      </c>
      <c r="N1982">
        <v>0</v>
      </c>
      <c r="O1982" t="s">
        <v>556</v>
      </c>
      <c r="P1982" s="216">
        <v>100000</v>
      </c>
      <c r="Q1982" s="217" t="s">
        <v>31</v>
      </c>
      <c r="R1982" s="217" t="s">
        <v>62</v>
      </c>
      <c r="S1982" s="218">
        <v>0.30000041296543301</v>
      </c>
      <c r="T1982" t="s">
        <v>550</v>
      </c>
      <c r="U1982" t="s">
        <v>51</v>
      </c>
      <c r="V1982" s="219">
        <v>0</v>
      </c>
      <c r="W1982" s="219">
        <v>0</v>
      </c>
    </row>
    <row r="1983" spans="1:23" ht="15" customHeight="1" x14ac:dyDescent="0.25">
      <c r="A1983" t="s">
        <v>4725</v>
      </c>
      <c r="B1983" t="s">
        <v>546</v>
      </c>
      <c r="C1983">
        <v>34394</v>
      </c>
      <c r="D1983" t="s">
        <v>4719</v>
      </c>
      <c r="E1983" t="s">
        <v>553</v>
      </c>
      <c r="F1983" t="s">
        <v>554</v>
      </c>
      <c r="G1983" s="30">
        <v>46144</v>
      </c>
      <c r="H1983" t="s">
        <v>4720</v>
      </c>
      <c r="I1983">
        <v>1343938.15</v>
      </c>
      <c r="J1983" s="123">
        <v>46144</v>
      </c>
      <c r="K1983" s="123">
        <v>0</v>
      </c>
      <c r="L1983" s="123">
        <v>46144</v>
      </c>
      <c r="M1983">
        <v>0</v>
      </c>
      <c r="N1983">
        <v>0</v>
      </c>
      <c r="O1983" t="s">
        <v>556</v>
      </c>
      <c r="P1983" s="216">
        <v>34394</v>
      </c>
      <c r="Q1983" s="217" t="s">
        <v>31</v>
      </c>
      <c r="R1983" s="217" t="s">
        <v>554</v>
      </c>
      <c r="S1983" s="218">
        <v>0.30000041296543301</v>
      </c>
      <c r="T1983" t="s">
        <v>550</v>
      </c>
      <c r="U1983" t="s">
        <v>51</v>
      </c>
      <c r="V1983" s="219" t="s">
        <v>6935</v>
      </c>
      <c r="W1983" s="219" t="s">
        <v>67</v>
      </c>
    </row>
    <row r="1984" spans="1:23" ht="15" customHeight="1" x14ac:dyDescent="0.25">
      <c r="A1984" t="s">
        <v>4726</v>
      </c>
      <c r="B1984" t="s">
        <v>575</v>
      </c>
      <c r="C1984">
        <v>331310</v>
      </c>
      <c r="D1984" t="s">
        <v>4727</v>
      </c>
      <c r="E1984" t="s">
        <v>157</v>
      </c>
      <c r="F1984" t="s">
        <v>554</v>
      </c>
      <c r="G1984" s="30">
        <v>46148</v>
      </c>
      <c r="H1984" t="s">
        <v>4728</v>
      </c>
      <c r="I1984">
        <v>3313096.2</v>
      </c>
      <c r="J1984" s="123">
        <v>0</v>
      </c>
      <c r="K1984" s="123">
        <v>0</v>
      </c>
      <c r="L1984" s="123">
        <v>46145</v>
      </c>
      <c r="M1984">
        <v>0</v>
      </c>
      <c r="N1984">
        <v>0</v>
      </c>
      <c r="O1984">
        <v>0</v>
      </c>
      <c r="P1984" s="216">
        <v>331310</v>
      </c>
      <c r="Q1984" s="217" t="s">
        <v>14</v>
      </c>
      <c r="R1984" s="217" t="s">
        <v>554</v>
      </c>
      <c r="S1984" s="218">
        <v>0.30000034408901255</v>
      </c>
      <c r="T1984" t="s">
        <v>550</v>
      </c>
      <c r="U1984" t="s">
        <v>51</v>
      </c>
      <c r="V1984" s="219" t="s">
        <v>6936</v>
      </c>
      <c r="W1984" s="219" t="s">
        <v>67</v>
      </c>
    </row>
    <row r="1985" spans="1:23" ht="15" customHeight="1" x14ac:dyDescent="0.25">
      <c r="A1985" t="s">
        <v>4729</v>
      </c>
      <c r="B1985" t="s">
        <v>546</v>
      </c>
      <c r="C1985">
        <v>50000</v>
      </c>
      <c r="D1985" t="s">
        <v>4730</v>
      </c>
      <c r="E1985" t="s">
        <v>553</v>
      </c>
      <c r="F1985" t="s">
        <v>554</v>
      </c>
      <c r="G1985" s="30">
        <v>46145</v>
      </c>
      <c r="H1985" t="s">
        <v>4731</v>
      </c>
      <c r="I1985">
        <v>2691760.5</v>
      </c>
      <c r="J1985" s="123">
        <v>46144</v>
      </c>
      <c r="K1985" s="123">
        <v>0</v>
      </c>
      <c r="L1985" s="123">
        <v>46144</v>
      </c>
      <c r="M1985">
        <v>0</v>
      </c>
      <c r="N1985">
        <v>0</v>
      </c>
      <c r="O1985" t="s">
        <v>556</v>
      </c>
      <c r="P1985" s="216">
        <v>50000</v>
      </c>
      <c r="Q1985" s="217" t="s">
        <v>24</v>
      </c>
      <c r="R1985" s="217" t="s">
        <v>554</v>
      </c>
      <c r="S1985" s="218">
        <v>0.26334813219823977</v>
      </c>
      <c r="T1985" t="s">
        <v>550</v>
      </c>
      <c r="U1985" t="s">
        <v>51</v>
      </c>
      <c r="V1985" s="219" t="s">
        <v>6937</v>
      </c>
      <c r="W1985" s="219" t="s">
        <v>67</v>
      </c>
    </row>
    <row r="1986" spans="1:23" ht="15" customHeight="1" x14ac:dyDescent="0.25">
      <c r="A1986" t="s">
        <v>4732</v>
      </c>
      <c r="B1986" t="s">
        <v>546</v>
      </c>
      <c r="C1986">
        <v>147851.9</v>
      </c>
      <c r="D1986" t="s">
        <v>4730</v>
      </c>
      <c r="E1986" t="s">
        <v>553</v>
      </c>
      <c r="F1986" t="s">
        <v>548</v>
      </c>
      <c r="G1986" s="30">
        <v>46145</v>
      </c>
      <c r="H1986" t="s">
        <v>4731</v>
      </c>
      <c r="I1986">
        <v>2691760.5</v>
      </c>
      <c r="J1986" s="123">
        <v>46144</v>
      </c>
      <c r="K1986" s="123">
        <v>0</v>
      </c>
      <c r="L1986" s="123">
        <v>46144</v>
      </c>
      <c r="M1986">
        <v>0</v>
      </c>
      <c r="N1986">
        <v>0</v>
      </c>
      <c r="O1986" t="s">
        <v>556</v>
      </c>
      <c r="P1986" s="216">
        <v>147851.9</v>
      </c>
      <c r="Q1986" s="217" t="s">
        <v>24</v>
      </c>
      <c r="R1986" s="217" t="s">
        <v>62</v>
      </c>
      <c r="S1986" s="218">
        <v>0.26334813219823977</v>
      </c>
      <c r="T1986" t="s">
        <v>550</v>
      </c>
      <c r="U1986" t="s">
        <v>51</v>
      </c>
      <c r="V1986" s="219">
        <v>0</v>
      </c>
      <c r="W1986" s="219">
        <v>0</v>
      </c>
    </row>
    <row r="1987" spans="1:23" ht="15" customHeight="1" x14ac:dyDescent="0.25">
      <c r="A1987" t="s">
        <v>4733</v>
      </c>
      <c r="B1987" t="s">
        <v>575</v>
      </c>
      <c r="C1987">
        <v>331310</v>
      </c>
      <c r="D1987" t="s">
        <v>4734</v>
      </c>
      <c r="E1987" t="s">
        <v>157</v>
      </c>
      <c r="F1987" t="s">
        <v>554</v>
      </c>
      <c r="G1987" s="30">
        <v>46146</v>
      </c>
      <c r="H1987" t="s">
        <v>4735</v>
      </c>
      <c r="I1987">
        <v>3313096.2</v>
      </c>
      <c r="J1987" s="123">
        <v>0</v>
      </c>
      <c r="K1987" s="123">
        <v>0</v>
      </c>
      <c r="L1987" s="123">
        <v>46143</v>
      </c>
      <c r="M1987">
        <v>0</v>
      </c>
      <c r="N1987">
        <v>0</v>
      </c>
      <c r="O1987">
        <v>0</v>
      </c>
      <c r="P1987" s="216">
        <v>331310</v>
      </c>
      <c r="Q1987" s="217" t="s">
        <v>14</v>
      </c>
      <c r="R1987" s="217" t="s">
        <v>554</v>
      </c>
      <c r="S1987" s="218">
        <v>0.30055775621607361</v>
      </c>
      <c r="T1987" t="s">
        <v>550</v>
      </c>
      <c r="U1987" t="s">
        <v>51</v>
      </c>
      <c r="V1987" s="219" t="s">
        <v>6938</v>
      </c>
      <c r="W1987" s="219" t="s">
        <v>67</v>
      </c>
    </row>
    <row r="1988" spans="1:23" ht="15" customHeight="1" x14ac:dyDescent="0.25">
      <c r="A1988" t="s">
        <v>4736</v>
      </c>
      <c r="B1988" t="s">
        <v>546</v>
      </c>
      <c r="C1988">
        <v>457833</v>
      </c>
      <c r="D1988" t="s">
        <v>4737</v>
      </c>
      <c r="E1988" t="s">
        <v>288</v>
      </c>
      <c r="F1988" t="s">
        <v>554</v>
      </c>
      <c r="G1988" s="30">
        <v>46143</v>
      </c>
      <c r="H1988" t="s">
        <v>4738</v>
      </c>
      <c r="I1988">
        <v>2393222.4500000002</v>
      </c>
      <c r="J1988" s="123">
        <v>0</v>
      </c>
      <c r="K1988" s="123">
        <v>0</v>
      </c>
      <c r="L1988" s="123">
        <v>0</v>
      </c>
      <c r="M1988">
        <v>0</v>
      </c>
      <c r="N1988">
        <v>0</v>
      </c>
      <c r="O1988">
        <v>0</v>
      </c>
      <c r="P1988" s="216">
        <v>457833</v>
      </c>
      <c r="Q1988" s="217" t="s">
        <v>48</v>
      </c>
      <c r="R1988" s="217" t="s">
        <v>554</v>
      </c>
      <c r="S1988" s="218">
        <v>0.59990453457429327</v>
      </c>
      <c r="T1988" t="s">
        <v>550</v>
      </c>
      <c r="U1988" t="s">
        <v>51</v>
      </c>
      <c r="V1988" s="219" t="s">
        <v>6939</v>
      </c>
      <c r="W1988" s="219" t="s">
        <v>67</v>
      </c>
    </row>
    <row r="1989" spans="1:23" ht="15" customHeight="1" x14ac:dyDescent="0.25">
      <c r="A1989" t="s">
        <v>4739</v>
      </c>
      <c r="B1989" t="s">
        <v>575</v>
      </c>
      <c r="C1989">
        <v>231980</v>
      </c>
      <c r="D1989" t="s">
        <v>4740</v>
      </c>
      <c r="E1989" t="s">
        <v>157</v>
      </c>
      <c r="F1989" t="s">
        <v>554</v>
      </c>
      <c r="G1989" s="30">
        <v>46146</v>
      </c>
      <c r="H1989" t="s">
        <v>4741</v>
      </c>
      <c r="I1989">
        <v>2319797.25</v>
      </c>
      <c r="J1989" s="123">
        <v>0</v>
      </c>
      <c r="K1989" s="123">
        <v>0</v>
      </c>
      <c r="L1989" s="123">
        <v>46143</v>
      </c>
      <c r="M1989">
        <v>0</v>
      </c>
      <c r="N1989">
        <v>0</v>
      </c>
      <c r="O1989">
        <v>0</v>
      </c>
      <c r="P1989" s="216">
        <v>231980</v>
      </c>
      <c r="Q1989" s="217" t="s">
        <v>14</v>
      </c>
      <c r="R1989" s="217" t="s">
        <v>554</v>
      </c>
      <c r="S1989" s="218">
        <v>0.30050180894041495</v>
      </c>
      <c r="T1989" t="s">
        <v>550</v>
      </c>
      <c r="U1989" t="s">
        <v>51</v>
      </c>
      <c r="V1989" s="219" t="s">
        <v>6940</v>
      </c>
      <c r="W1989" s="219" t="s">
        <v>67</v>
      </c>
    </row>
    <row r="1990" spans="1:23" ht="15" customHeight="1" x14ac:dyDescent="0.25">
      <c r="A1990" t="s">
        <v>4742</v>
      </c>
      <c r="B1990" t="s">
        <v>595</v>
      </c>
      <c r="C1990">
        <v>319963.40000000002</v>
      </c>
      <c r="D1990" t="s">
        <v>4743</v>
      </c>
      <c r="E1990" t="s">
        <v>233</v>
      </c>
      <c r="F1990" t="s">
        <v>554</v>
      </c>
      <c r="G1990" s="30">
        <v>46146</v>
      </c>
      <c r="H1990" t="s">
        <v>4744</v>
      </c>
      <c r="I1990">
        <v>3199633.95</v>
      </c>
      <c r="J1990" s="123">
        <v>0</v>
      </c>
      <c r="K1990" s="123">
        <v>0</v>
      </c>
      <c r="L1990" s="123">
        <v>46144</v>
      </c>
      <c r="M1990">
        <v>0</v>
      </c>
      <c r="N1990">
        <v>0</v>
      </c>
      <c r="O1990">
        <v>0</v>
      </c>
      <c r="P1990" s="216">
        <v>319963.40000000002</v>
      </c>
      <c r="Q1990" s="217" t="s">
        <v>24</v>
      </c>
      <c r="R1990" s="217" t="s">
        <v>554</v>
      </c>
      <c r="S1990" s="218">
        <v>0.29999975465943535</v>
      </c>
      <c r="T1990" t="s">
        <v>550</v>
      </c>
      <c r="U1990" t="s">
        <v>51</v>
      </c>
      <c r="V1990" s="219" t="s">
        <v>6941</v>
      </c>
      <c r="W1990" s="219" t="s">
        <v>67</v>
      </c>
    </row>
    <row r="1991" spans="1:23" ht="15" customHeight="1" x14ac:dyDescent="0.25">
      <c r="A1991" t="s">
        <v>4745</v>
      </c>
      <c r="B1991" t="s">
        <v>575</v>
      </c>
      <c r="C1991">
        <v>217000</v>
      </c>
      <c r="D1991" t="s">
        <v>4746</v>
      </c>
      <c r="E1991" t="s">
        <v>157</v>
      </c>
      <c r="F1991" t="s">
        <v>580</v>
      </c>
      <c r="G1991" s="30">
        <v>46149</v>
      </c>
      <c r="H1991" t="s">
        <v>4747</v>
      </c>
      <c r="I1991">
        <v>2174186.5</v>
      </c>
      <c r="J1991" s="123">
        <v>0</v>
      </c>
      <c r="K1991" s="123">
        <v>0</v>
      </c>
      <c r="L1991" s="123">
        <v>46147</v>
      </c>
      <c r="M1991">
        <v>0</v>
      </c>
      <c r="N1991">
        <v>0</v>
      </c>
      <c r="O1991">
        <v>0</v>
      </c>
      <c r="P1991" s="216">
        <v>217000</v>
      </c>
      <c r="Q1991" s="217" t="s">
        <v>14</v>
      </c>
      <c r="R1991" s="217" t="s">
        <v>582</v>
      </c>
      <c r="S1991" s="218">
        <v>0.19956086563871131</v>
      </c>
      <c r="T1991" t="s">
        <v>550</v>
      </c>
      <c r="U1991" t="s">
        <v>51</v>
      </c>
      <c r="V1991" s="219">
        <v>0</v>
      </c>
      <c r="W1991" s="219">
        <v>0</v>
      </c>
    </row>
    <row r="1992" spans="1:23" ht="15" customHeight="1" x14ac:dyDescent="0.25">
      <c r="A1992" t="s">
        <v>4748</v>
      </c>
      <c r="B1992" t="s">
        <v>1118</v>
      </c>
      <c r="C1992">
        <v>321751</v>
      </c>
      <c r="D1992" t="s">
        <v>4749</v>
      </c>
      <c r="E1992" t="s">
        <v>233</v>
      </c>
      <c r="F1992" t="s">
        <v>585</v>
      </c>
      <c r="G1992" s="30">
        <v>46144</v>
      </c>
      <c r="H1992" t="s">
        <v>4750</v>
      </c>
      <c r="I1992">
        <v>3217509</v>
      </c>
      <c r="J1992" s="123">
        <v>46141</v>
      </c>
      <c r="K1992" s="123">
        <v>0</v>
      </c>
      <c r="L1992" s="123">
        <v>0</v>
      </c>
      <c r="M1992">
        <v>0</v>
      </c>
      <c r="N1992">
        <v>0</v>
      </c>
      <c r="O1992">
        <v>0</v>
      </c>
      <c r="P1992" s="216">
        <v>321751</v>
      </c>
      <c r="Q1992" s="217" t="s">
        <v>24</v>
      </c>
      <c r="R1992" s="217" t="s">
        <v>61</v>
      </c>
      <c r="S1992" s="218">
        <v>0.20000282827491703</v>
      </c>
      <c r="T1992" t="s">
        <v>550</v>
      </c>
      <c r="U1992" t="s">
        <v>51</v>
      </c>
      <c r="V1992" s="219">
        <v>0</v>
      </c>
      <c r="W1992" s="219">
        <v>0</v>
      </c>
    </row>
    <row r="1993" spans="1:23" ht="15" customHeight="1" x14ac:dyDescent="0.25">
      <c r="A1993" t="s">
        <v>4751</v>
      </c>
      <c r="B1993" t="s">
        <v>1118</v>
      </c>
      <c r="C1993">
        <v>321751</v>
      </c>
      <c r="D1993" t="s">
        <v>4749</v>
      </c>
      <c r="E1993" t="s">
        <v>233</v>
      </c>
      <c r="F1993" t="s">
        <v>585</v>
      </c>
      <c r="G1993" s="30">
        <v>46144</v>
      </c>
      <c r="H1993" t="s">
        <v>4750</v>
      </c>
      <c r="I1993">
        <v>3217509</v>
      </c>
      <c r="J1993" s="123">
        <v>46171</v>
      </c>
      <c r="K1993" s="123">
        <v>0</v>
      </c>
      <c r="L1993" s="123">
        <v>0</v>
      </c>
      <c r="M1993">
        <v>0</v>
      </c>
      <c r="N1993">
        <v>0</v>
      </c>
      <c r="O1993">
        <v>0</v>
      </c>
      <c r="P1993" s="216">
        <v>321751</v>
      </c>
      <c r="Q1993" s="217" t="s">
        <v>24</v>
      </c>
      <c r="R1993" s="217" t="s">
        <v>61</v>
      </c>
      <c r="S1993" s="218">
        <v>0.20000282827491703</v>
      </c>
      <c r="T1993" t="s">
        <v>550</v>
      </c>
      <c r="U1993" t="s">
        <v>51</v>
      </c>
      <c r="V1993" s="219">
        <v>0</v>
      </c>
      <c r="W1993" s="219">
        <v>0</v>
      </c>
    </row>
    <row r="1994" spans="1:23" ht="15" customHeight="1" x14ac:dyDescent="0.25">
      <c r="A1994" t="s">
        <v>4752</v>
      </c>
      <c r="B1994" t="s">
        <v>546</v>
      </c>
      <c r="C1994">
        <v>150006</v>
      </c>
      <c r="D1994" t="s">
        <v>4753</v>
      </c>
      <c r="E1994" t="s">
        <v>4754</v>
      </c>
      <c r="F1994" t="s">
        <v>554</v>
      </c>
      <c r="G1994" s="30">
        <v>46143</v>
      </c>
      <c r="H1994" t="s">
        <v>4755</v>
      </c>
      <c r="I1994">
        <v>1500058.5</v>
      </c>
      <c r="J1994" s="123">
        <v>0</v>
      </c>
      <c r="K1994" s="123">
        <v>0</v>
      </c>
      <c r="L1994" s="123">
        <v>0</v>
      </c>
      <c r="M1994">
        <v>0</v>
      </c>
      <c r="N1994">
        <v>0</v>
      </c>
      <c r="O1994">
        <v>0</v>
      </c>
      <c r="P1994" s="216">
        <v>150006</v>
      </c>
      <c r="Q1994" s="217" t="s">
        <v>10</v>
      </c>
      <c r="R1994" s="217" t="s">
        <v>554</v>
      </c>
      <c r="S1994" s="218">
        <v>0.40000096662896811</v>
      </c>
      <c r="T1994" t="s">
        <v>550</v>
      </c>
      <c r="U1994" t="s">
        <v>77</v>
      </c>
      <c r="V1994" s="219" t="s">
        <v>6942</v>
      </c>
      <c r="W1994" s="219" t="s">
        <v>67</v>
      </c>
    </row>
    <row r="1995" spans="1:23" ht="15" customHeight="1" x14ac:dyDescent="0.25">
      <c r="A1995" t="s">
        <v>4756</v>
      </c>
      <c r="B1995" t="s">
        <v>546</v>
      </c>
      <c r="C1995">
        <v>125000</v>
      </c>
      <c r="D1995" t="s">
        <v>4757</v>
      </c>
      <c r="E1995" t="s">
        <v>553</v>
      </c>
      <c r="F1995" t="s">
        <v>554</v>
      </c>
      <c r="G1995" s="30">
        <v>46147</v>
      </c>
      <c r="H1995" t="s">
        <v>4758</v>
      </c>
      <c r="I1995">
        <v>4815741.95</v>
      </c>
      <c r="J1995" s="123">
        <v>46147</v>
      </c>
      <c r="K1995" s="123">
        <v>0</v>
      </c>
      <c r="L1995" s="123">
        <v>46147</v>
      </c>
      <c r="M1995">
        <v>0</v>
      </c>
      <c r="N1995">
        <v>0</v>
      </c>
      <c r="O1995" t="s">
        <v>556</v>
      </c>
      <c r="P1995" s="216">
        <v>125000</v>
      </c>
      <c r="Q1995" s="217" t="s">
        <v>10</v>
      </c>
      <c r="R1995" s="217" t="s">
        <v>554</v>
      </c>
      <c r="S1995" s="218">
        <v>0.28827001413562037</v>
      </c>
      <c r="T1995" t="s">
        <v>550</v>
      </c>
      <c r="U1995" t="s">
        <v>77</v>
      </c>
      <c r="V1995" s="219" t="s">
        <v>6943</v>
      </c>
      <c r="W1995" s="219" t="s">
        <v>67</v>
      </c>
    </row>
    <row r="1996" spans="1:23" ht="15" customHeight="1" x14ac:dyDescent="0.25">
      <c r="A1996" t="s">
        <v>4759</v>
      </c>
      <c r="B1996" t="s">
        <v>546</v>
      </c>
      <c r="C1996">
        <v>50000</v>
      </c>
      <c r="D1996" t="s">
        <v>4757</v>
      </c>
      <c r="E1996" t="s">
        <v>553</v>
      </c>
      <c r="F1996" t="s">
        <v>554</v>
      </c>
      <c r="G1996" s="30">
        <v>46148</v>
      </c>
      <c r="H1996" t="s">
        <v>4758</v>
      </c>
      <c r="I1996">
        <v>4815741.95</v>
      </c>
      <c r="J1996" s="123">
        <v>46148</v>
      </c>
      <c r="K1996" s="123">
        <v>0</v>
      </c>
      <c r="L1996" s="123">
        <v>46148</v>
      </c>
      <c r="M1996">
        <v>0</v>
      </c>
      <c r="N1996">
        <v>0</v>
      </c>
      <c r="O1996" t="s">
        <v>556</v>
      </c>
      <c r="P1996" s="216">
        <v>50000</v>
      </c>
      <c r="Q1996" s="217" t="s">
        <v>10</v>
      </c>
      <c r="R1996" s="217" t="s">
        <v>554</v>
      </c>
      <c r="S1996" s="218">
        <v>0.28827001413562037</v>
      </c>
      <c r="T1996" t="s">
        <v>550</v>
      </c>
      <c r="U1996" t="s">
        <v>77</v>
      </c>
      <c r="V1996" s="219" t="s">
        <v>6944</v>
      </c>
      <c r="W1996" s="219" t="s">
        <v>67</v>
      </c>
    </row>
    <row r="1997" spans="1:23" ht="15" customHeight="1" x14ac:dyDescent="0.25">
      <c r="A1997" t="s">
        <v>4760</v>
      </c>
      <c r="B1997" t="s">
        <v>546</v>
      </c>
      <c r="C1997">
        <v>40000</v>
      </c>
      <c r="D1997" t="s">
        <v>4761</v>
      </c>
      <c r="E1997" t="s">
        <v>268</v>
      </c>
      <c r="F1997" t="s">
        <v>554</v>
      </c>
      <c r="G1997" s="30">
        <v>46146</v>
      </c>
      <c r="H1997" t="s">
        <v>4762</v>
      </c>
      <c r="I1997">
        <v>1172592.3600000001</v>
      </c>
      <c r="J1997" s="123">
        <v>0</v>
      </c>
      <c r="K1997" s="123">
        <v>0</v>
      </c>
      <c r="L1997" s="123">
        <v>0</v>
      </c>
      <c r="M1997">
        <v>0</v>
      </c>
      <c r="N1997">
        <v>0</v>
      </c>
      <c r="O1997">
        <v>0</v>
      </c>
      <c r="P1997" s="216">
        <v>40000</v>
      </c>
      <c r="Q1997" s="217" t="s">
        <v>10</v>
      </c>
      <c r="R1997" s="217" t="s">
        <v>554</v>
      </c>
      <c r="S1997" s="218">
        <v>0.30000024902089584</v>
      </c>
      <c r="T1997" t="s">
        <v>550</v>
      </c>
      <c r="U1997" t="s">
        <v>77</v>
      </c>
      <c r="V1997" s="219" t="s">
        <v>6945</v>
      </c>
      <c r="W1997" s="219" t="s">
        <v>67</v>
      </c>
    </row>
    <row r="1998" spans="1:23" ht="15" customHeight="1" x14ac:dyDescent="0.25">
      <c r="A1998" t="s">
        <v>4763</v>
      </c>
      <c r="B1998" t="s">
        <v>546</v>
      </c>
      <c r="C1998">
        <v>40000</v>
      </c>
      <c r="D1998" t="s">
        <v>4761</v>
      </c>
      <c r="E1998" t="s">
        <v>268</v>
      </c>
      <c r="F1998" t="s">
        <v>548</v>
      </c>
      <c r="G1998" s="30">
        <v>46146</v>
      </c>
      <c r="H1998" t="s">
        <v>4762</v>
      </c>
      <c r="I1998">
        <v>1172592.3600000001</v>
      </c>
      <c r="J1998" s="123">
        <v>0</v>
      </c>
      <c r="K1998" s="123">
        <v>0</v>
      </c>
      <c r="L1998" s="123">
        <v>0</v>
      </c>
      <c r="M1998">
        <v>0</v>
      </c>
      <c r="N1998">
        <v>0</v>
      </c>
      <c r="O1998">
        <v>0</v>
      </c>
      <c r="P1998" s="216">
        <v>40000</v>
      </c>
      <c r="Q1998" s="217" t="s">
        <v>10</v>
      </c>
      <c r="R1998" s="217" t="s">
        <v>62</v>
      </c>
      <c r="S1998" s="218">
        <v>0.30000024902089584</v>
      </c>
      <c r="T1998" t="s">
        <v>550</v>
      </c>
      <c r="U1998" t="s">
        <v>77</v>
      </c>
      <c r="V1998" s="219">
        <v>0</v>
      </c>
      <c r="W1998" s="219">
        <v>0</v>
      </c>
    </row>
    <row r="1999" spans="1:23" ht="15" customHeight="1" x14ac:dyDescent="0.25">
      <c r="A1999" t="s">
        <v>4764</v>
      </c>
      <c r="B1999" t="s">
        <v>546</v>
      </c>
      <c r="C1999">
        <v>40000</v>
      </c>
      <c r="D1999" t="s">
        <v>4761</v>
      </c>
      <c r="E1999" t="s">
        <v>268</v>
      </c>
      <c r="F1999" t="s">
        <v>554</v>
      </c>
      <c r="G1999" s="30">
        <v>46146</v>
      </c>
      <c r="H1999" t="s">
        <v>4762</v>
      </c>
      <c r="I1999">
        <v>1172592.3600000001</v>
      </c>
      <c r="J1999" s="123">
        <v>0</v>
      </c>
      <c r="K1999" s="123">
        <v>0</v>
      </c>
      <c r="L1999" s="123">
        <v>0</v>
      </c>
      <c r="M1999">
        <v>0</v>
      </c>
      <c r="N1999">
        <v>0</v>
      </c>
      <c r="O1999">
        <v>0</v>
      </c>
      <c r="P1999" s="216">
        <v>40000</v>
      </c>
      <c r="Q1999" s="217" t="s">
        <v>10</v>
      </c>
      <c r="R1999" s="217" t="s">
        <v>554</v>
      </c>
      <c r="S1999" s="218">
        <v>0.30000024902089584</v>
      </c>
      <c r="T1999" t="s">
        <v>550</v>
      </c>
      <c r="U1999" t="s">
        <v>77</v>
      </c>
      <c r="V1999" s="219" t="s">
        <v>6946</v>
      </c>
      <c r="W1999" s="219" t="s">
        <v>67</v>
      </c>
    </row>
    <row r="2000" spans="1:23" ht="15" customHeight="1" x14ac:dyDescent="0.25">
      <c r="A2000" t="s">
        <v>4765</v>
      </c>
      <c r="B2000" t="s">
        <v>546</v>
      </c>
      <c r="C2000">
        <v>20000</v>
      </c>
      <c r="D2000" t="s">
        <v>4761</v>
      </c>
      <c r="E2000" t="s">
        <v>268</v>
      </c>
      <c r="F2000" t="s">
        <v>554</v>
      </c>
      <c r="G2000" s="30">
        <v>46147</v>
      </c>
      <c r="H2000" t="s">
        <v>4762</v>
      </c>
      <c r="I2000">
        <v>1172592.3600000001</v>
      </c>
      <c r="J2000" s="123">
        <v>0</v>
      </c>
      <c r="K2000" s="123">
        <v>0</v>
      </c>
      <c r="L2000" s="123">
        <v>0</v>
      </c>
      <c r="M2000">
        <v>0</v>
      </c>
      <c r="N2000">
        <v>0</v>
      </c>
      <c r="O2000">
        <v>0</v>
      </c>
      <c r="P2000" s="216">
        <v>20000</v>
      </c>
      <c r="Q2000" s="217" t="s">
        <v>10</v>
      </c>
      <c r="R2000" s="217" t="s">
        <v>554</v>
      </c>
      <c r="S2000" s="218">
        <v>0.30000024902089584</v>
      </c>
      <c r="T2000" t="s">
        <v>550</v>
      </c>
      <c r="U2000" t="s">
        <v>77</v>
      </c>
      <c r="V2000" s="219" t="s">
        <v>6947</v>
      </c>
      <c r="W2000" s="219" t="s">
        <v>67</v>
      </c>
    </row>
    <row r="2001" spans="1:23" ht="15" customHeight="1" x14ac:dyDescent="0.25">
      <c r="A2001" t="s">
        <v>4766</v>
      </c>
      <c r="B2001" t="s">
        <v>546</v>
      </c>
      <c r="C2001">
        <v>17259</v>
      </c>
      <c r="D2001" t="s">
        <v>4761</v>
      </c>
      <c r="E2001" t="s">
        <v>268</v>
      </c>
      <c r="F2001" t="s">
        <v>554</v>
      </c>
      <c r="G2001" s="30">
        <v>46147</v>
      </c>
      <c r="H2001" t="s">
        <v>4762</v>
      </c>
      <c r="I2001">
        <v>1172592.3600000001</v>
      </c>
      <c r="J2001" s="123">
        <v>0</v>
      </c>
      <c r="K2001" s="123">
        <v>0</v>
      </c>
      <c r="L2001" s="123">
        <v>0</v>
      </c>
      <c r="M2001">
        <v>0</v>
      </c>
      <c r="N2001">
        <v>0</v>
      </c>
      <c r="O2001">
        <v>0</v>
      </c>
      <c r="P2001" s="216">
        <v>17259</v>
      </c>
      <c r="Q2001" s="217" t="s">
        <v>10</v>
      </c>
      <c r="R2001" s="217" t="s">
        <v>554</v>
      </c>
      <c r="S2001" s="218">
        <v>0.30000024902089584</v>
      </c>
      <c r="T2001" t="s">
        <v>550</v>
      </c>
      <c r="U2001" t="s">
        <v>77</v>
      </c>
      <c r="V2001" s="219" t="s">
        <v>6948</v>
      </c>
      <c r="W2001" s="219" t="s">
        <v>67</v>
      </c>
    </row>
    <row r="2002" spans="1:23" ht="15" customHeight="1" x14ac:dyDescent="0.25">
      <c r="A2002" t="s">
        <v>4767</v>
      </c>
      <c r="B2002" t="s">
        <v>595</v>
      </c>
      <c r="C2002">
        <v>82321</v>
      </c>
      <c r="D2002" t="s">
        <v>4768</v>
      </c>
      <c r="E2002" t="s">
        <v>268</v>
      </c>
      <c r="F2002" t="s">
        <v>580</v>
      </c>
      <c r="G2002" s="30">
        <v>46149</v>
      </c>
      <c r="H2002" t="s">
        <v>4769</v>
      </c>
      <c r="I2002">
        <v>1493205.88</v>
      </c>
      <c r="J2002" s="123">
        <v>0</v>
      </c>
      <c r="K2002" s="123">
        <v>0</v>
      </c>
      <c r="L2002" s="123">
        <v>46149</v>
      </c>
      <c r="M2002">
        <v>0</v>
      </c>
      <c r="N2002">
        <v>0</v>
      </c>
      <c r="O2002">
        <v>0</v>
      </c>
      <c r="P2002" s="216">
        <v>82321</v>
      </c>
      <c r="Q2002" s="217" t="s">
        <v>10</v>
      </c>
      <c r="R2002" s="217" t="s">
        <v>582</v>
      </c>
      <c r="S2002" s="218">
        <v>0.14486950721088776</v>
      </c>
      <c r="T2002" t="s">
        <v>550</v>
      </c>
      <c r="U2002" t="s">
        <v>77</v>
      </c>
      <c r="V2002" s="219">
        <v>0</v>
      </c>
      <c r="W2002" s="219">
        <v>0</v>
      </c>
    </row>
    <row r="2003" spans="1:23" ht="15" customHeight="1" x14ac:dyDescent="0.25">
      <c r="A2003" t="s">
        <v>4770</v>
      </c>
      <c r="B2003" t="s">
        <v>546</v>
      </c>
      <c r="C2003">
        <v>35000</v>
      </c>
      <c r="D2003" t="s">
        <v>4771</v>
      </c>
      <c r="E2003" t="s">
        <v>553</v>
      </c>
      <c r="F2003" t="s">
        <v>554</v>
      </c>
      <c r="G2003" s="30">
        <v>46144</v>
      </c>
      <c r="H2003" t="s">
        <v>4772</v>
      </c>
      <c r="I2003">
        <v>1193953.32</v>
      </c>
      <c r="J2003" s="123">
        <v>46144</v>
      </c>
      <c r="K2003" s="123">
        <v>0</v>
      </c>
      <c r="L2003" s="123">
        <v>46144</v>
      </c>
      <c r="M2003">
        <v>0</v>
      </c>
      <c r="N2003">
        <v>0</v>
      </c>
      <c r="O2003" t="s">
        <v>556</v>
      </c>
      <c r="P2003" s="216">
        <v>35000</v>
      </c>
      <c r="Q2003" s="217" t="s">
        <v>42</v>
      </c>
      <c r="R2003" s="217" t="s">
        <v>554</v>
      </c>
      <c r="S2003" s="218">
        <v>0.28325060480588971</v>
      </c>
      <c r="T2003" t="s">
        <v>550</v>
      </c>
      <c r="U2003" t="s">
        <v>77</v>
      </c>
      <c r="V2003" s="219" t="s">
        <v>6949</v>
      </c>
      <c r="W2003" s="219" t="s">
        <v>67</v>
      </c>
    </row>
    <row r="2004" spans="1:23" ht="15" customHeight="1" x14ac:dyDescent="0.25">
      <c r="A2004" t="s">
        <v>4773</v>
      </c>
      <c r="B2004" t="s">
        <v>546</v>
      </c>
      <c r="C2004">
        <v>20000</v>
      </c>
      <c r="D2004" t="s">
        <v>4774</v>
      </c>
      <c r="E2004" t="s">
        <v>553</v>
      </c>
      <c r="F2004" t="s">
        <v>548</v>
      </c>
      <c r="G2004" s="30">
        <v>46146</v>
      </c>
      <c r="H2004" t="s">
        <v>4775</v>
      </c>
      <c r="I2004">
        <v>1193953.32</v>
      </c>
      <c r="J2004" s="123">
        <v>46146</v>
      </c>
      <c r="K2004" s="123">
        <v>0</v>
      </c>
      <c r="L2004" s="123">
        <v>46146</v>
      </c>
      <c r="M2004">
        <v>0</v>
      </c>
      <c r="N2004">
        <v>0</v>
      </c>
      <c r="O2004" t="s">
        <v>556</v>
      </c>
      <c r="P2004" s="216">
        <v>20000</v>
      </c>
      <c r="Q2004" s="217" t="s">
        <v>42</v>
      </c>
      <c r="R2004" s="217" t="s">
        <v>62</v>
      </c>
      <c r="S2004" s="218">
        <v>0.23299598513616931</v>
      </c>
      <c r="T2004" t="s">
        <v>550</v>
      </c>
      <c r="U2004" t="s">
        <v>77</v>
      </c>
      <c r="V2004" s="219">
        <v>0</v>
      </c>
      <c r="W2004" s="219">
        <v>0</v>
      </c>
    </row>
    <row r="2005" spans="1:23" ht="15" customHeight="1" x14ac:dyDescent="0.25">
      <c r="A2005" t="s">
        <v>4776</v>
      </c>
      <c r="B2005" t="s">
        <v>546</v>
      </c>
      <c r="C2005">
        <v>20000</v>
      </c>
      <c r="D2005" t="s">
        <v>4774</v>
      </c>
      <c r="E2005" t="s">
        <v>553</v>
      </c>
      <c r="F2005" t="s">
        <v>554</v>
      </c>
      <c r="G2005" s="30">
        <v>46147</v>
      </c>
      <c r="H2005" t="s">
        <v>4775</v>
      </c>
      <c r="I2005">
        <v>1193953.32</v>
      </c>
      <c r="J2005" s="123">
        <v>46147</v>
      </c>
      <c r="K2005" s="123">
        <v>0</v>
      </c>
      <c r="L2005" s="123">
        <v>46147</v>
      </c>
      <c r="M2005">
        <v>0</v>
      </c>
      <c r="N2005">
        <v>0</v>
      </c>
      <c r="O2005" t="s">
        <v>556</v>
      </c>
      <c r="P2005" s="216">
        <v>20000</v>
      </c>
      <c r="Q2005" s="217" t="s">
        <v>42</v>
      </c>
      <c r="R2005" s="217" t="s">
        <v>554</v>
      </c>
      <c r="S2005" s="218">
        <v>0.23299598513616931</v>
      </c>
      <c r="T2005" t="s">
        <v>550</v>
      </c>
      <c r="U2005" t="s">
        <v>77</v>
      </c>
      <c r="V2005" s="219" t="s">
        <v>6950</v>
      </c>
      <c r="W2005" s="219" t="s">
        <v>67</v>
      </c>
    </row>
    <row r="2006" spans="1:23" ht="15" customHeight="1" x14ac:dyDescent="0.25">
      <c r="A2006" t="s">
        <v>4777</v>
      </c>
      <c r="B2006" t="s">
        <v>546</v>
      </c>
      <c r="C2006">
        <v>50000</v>
      </c>
      <c r="D2006" t="s">
        <v>4778</v>
      </c>
      <c r="E2006" t="s">
        <v>268</v>
      </c>
      <c r="F2006" t="s">
        <v>548</v>
      </c>
      <c r="G2006" s="30">
        <v>46148</v>
      </c>
      <c r="H2006" t="s">
        <v>4779</v>
      </c>
      <c r="I2006">
        <v>4810825.54</v>
      </c>
      <c r="J2006" s="123">
        <v>0</v>
      </c>
      <c r="K2006" s="123">
        <v>0</v>
      </c>
      <c r="L2006" s="123">
        <v>0</v>
      </c>
      <c r="M2006">
        <v>0</v>
      </c>
      <c r="N2006">
        <v>0</v>
      </c>
      <c r="O2006">
        <v>0</v>
      </c>
      <c r="P2006" s="216">
        <v>50000</v>
      </c>
      <c r="Q2006" s="217" t="s">
        <v>10</v>
      </c>
      <c r="R2006" s="217" t="s">
        <v>62</v>
      </c>
      <c r="S2006" s="218">
        <v>0.30102234802719535</v>
      </c>
      <c r="T2006" t="s">
        <v>550</v>
      </c>
      <c r="U2006" t="s">
        <v>77</v>
      </c>
      <c r="V2006" s="219">
        <v>0</v>
      </c>
      <c r="W2006" s="219">
        <v>0</v>
      </c>
    </row>
    <row r="2007" spans="1:23" ht="15" customHeight="1" x14ac:dyDescent="0.25">
      <c r="A2007" t="s">
        <v>4780</v>
      </c>
      <c r="B2007" t="s">
        <v>546</v>
      </c>
      <c r="C2007">
        <v>160000</v>
      </c>
      <c r="D2007" t="s">
        <v>4778</v>
      </c>
      <c r="E2007" t="s">
        <v>268</v>
      </c>
      <c r="F2007" t="s">
        <v>548</v>
      </c>
      <c r="G2007" s="30">
        <v>46148</v>
      </c>
      <c r="H2007" t="s">
        <v>4779</v>
      </c>
      <c r="I2007">
        <v>4810825.54</v>
      </c>
      <c r="J2007" s="123">
        <v>0</v>
      </c>
      <c r="K2007" s="123">
        <v>0</v>
      </c>
      <c r="L2007" s="123">
        <v>0</v>
      </c>
      <c r="M2007">
        <v>0</v>
      </c>
      <c r="N2007">
        <v>0</v>
      </c>
      <c r="O2007">
        <v>0</v>
      </c>
      <c r="P2007" s="216">
        <v>160000</v>
      </c>
      <c r="Q2007" s="217" t="s">
        <v>10</v>
      </c>
      <c r="R2007" s="217" t="s">
        <v>62</v>
      </c>
      <c r="S2007" s="218">
        <v>0.30102234802719535</v>
      </c>
      <c r="T2007" t="s">
        <v>550</v>
      </c>
      <c r="U2007" t="s">
        <v>77</v>
      </c>
      <c r="V2007" s="219">
        <v>0</v>
      </c>
      <c r="W2007" s="219">
        <v>0</v>
      </c>
    </row>
    <row r="2008" spans="1:23" ht="15" customHeight="1" x14ac:dyDescent="0.25">
      <c r="A2008" t="s">
        <v>4781</v>
      </c>
      <c r="B2008" t="s">
        <v>546</v>
      </c>
      <c r="C2008">
        <v>70000</v>
      </c>
      <c r="D2008" t="s">
        <v>4778</v>
      </c>
      <c r="E2008" t="s">
        <v>268</v>
      </c>
      <c r="F2008" t="s">
        <v>548</v>
      </c>
      <c r="G2008" s="30">
        <v>46148</v>
      </c>
      <c r="H2008" t="s">
        <v>4779</v>
      </c>
      <c r="I2008">
        <v>4810825.54</v>
      </c>
      <c r="J2008" s="123">
        <v>0</v>
      </c>
      <c r="K2008" s="123">
        <v>0</v>
      </c>
      <c r="L2008" s="123">
        <v>0</v>
      </c>
      <c r="M2008">
        <v>0</v>
      </c>
      <c r="N2008">
        <v>0</v>
      </c>
      <c r="O2008">
        <v>0</v>
      </c>
      <c r="P2008" s="216">
        <v>70000</v>
      </c>
      <c r="Q2008" s="217" t="s">
        <v>10</v>
      </c>
      <c r="R2008" s="217" t="s">
        <v>62</v>
      </c>
      <c r="S2008" s="218">
        <v>0.30102234802719535</v>
      </c>
      <c r="T2008" t="s">
        <v>550</v>
      </c>
      <c r="U2008" t="s">
        <v>77</v>
      </c>
      <c r="V2008" s="219">
        <v>0</v>
      </c>
      <c r="W2008" s="219">
        <v>0</v>
      </c>
    </row>
    <row r="2009" spans="1:23" ht="15" customHeight="1" x14ac:dyDescent="0.25">
      <c r="A2009" t="s">
        <v>4782</v>
      </c>
      <c r="B2009" t="s">
        <v>546</v>
      </c>
      <c r="C2009">
        <v>165000</v>
      </c>
      <c r="D2009" t="s">
        <v>4778</v>
      </c>
      <c r="E2009" t="s">
        <v>268</v>
      </c>
      <c r="F2009" t="s">
        <v>548</v>
      </c>
      <c r="G2009" s="30">
        <v>46148</v>
      </c>
      <c r="H2009" t="s">
        <v>4779</v>
      </c>
      <c r="I2009">
        <v>4810825.54</v>
      </c>
      <c r="J2009" s="123">
        <v>0</v>
      </c>
      <c r="K2009" s="123">
        <v>0</v>
      </c>
      <c r="L2009" s="123">
        <v>0</v>
      </c>
      <c r="M2009">
        <v>0</v>
      </c>
      <c r="N2009">
        <v>0</v>
      </c>
      <c r="O2009">
        <v>0</v>
      </c>
      <c r="P2009" s="216">
        <v>165000</v>
      </c>
      <c r="Q2009" s="217" t="s">
        <v>10</v>
      </c>
      <c r="R2009" s="217" t="s">
        <v>62</v>
      </c>
      <c r="S2009" s="218">
        <v>0.30102234802719535</v>
      </c>
      <c r="T2009" t="s">
        <v>550</v>
      </c>
      <c r="U2009" t="s">
        <v>77</v>
      </c>
      <c r="V2009" s="219">
        <v>0</v>
      </c>
      <c r="W2009" s="219">
        <v>0</v>
      </c>
    </row>
    <row r="2010" spans="1:23" ht="15" customHeight="1" x14ac:dyDescent="0.25">
      <c r="A2010" t="s">
        <v>4783</v>
      </c>
      <c r="B2010" t="s">
        <v>546</v>
      </c>
      <c r="C2010">
        <v>100000</v>
      </c>
      <c r="D2010" t="s">
        <v>4778</v>
      </c>
      <c r="E2010" t="s">
        <v>268</v>
      </c>
      <c r="F2010" t="s">
        <v>548</v>
      </c>
      <c r="G2010" s="30">
        <v>46149</v>
      </c>
      <c r="H2010" t="s">
        <v>4779</v>
      </c>
      <c r="I2010">
        <v>4810825.54</v>
      </c>
      <c r="J2010" s="123">
        <v>0</v>
      </c>
      <c r="K2010" s="123">
        <v>0</v>
      </c>
      <c r="L2010" s="123">
        <v>0</v>
      </c>
      <c r="M2010">
        <v>0</v>
      </c>
      <c r="N2010">
        <v>0</v>
      </c>
      <c r="O2010">
        <v>0</v>
      </c>
      <c r="P2010" s="216">
        <v>100000</v>
      </c>
      <c r="Q2010" s="217" t="s">
        <v>10</v>
      </c>
      <c r="R2010" s="217" t="s">
        <v>62</v>
      </c>
      <c r="S2010" s="218">
        <v>0.30102234802719535</v>
      </c>
      <c r="T2010" t="s">
        <v>550</v>
      </c>
      <c r="U2010" t="s">
        <v>77</v>
      </c>
      <c r="V2010" s="219">
        <v>0</v>
      </c>
      <c r="W2010" s="219">
        <v>0</v>
      </c>
    </row>
    <row r="2011" spans="1:23" ht="15" customHeight="1" x14ac:dyDescent="0.25">
      <c r="A2011" t="s">
        <v>4784</v>
      </c>
      <c r="B2011" t="s">
        <v>575</v>
      </c>
      <c r="C2011">
        <v>119400</v>
      </c>
      <c r="D2011" t="s">
        <v>4785</v>
      </c>
      <c r="E2011" t="s">
        <v>268</v>
      </c>
      <c r="F2011" t="s">
        <v>554</v>
      </c>
      <c r="G2011" s="30">
        <v>46146</v>
      </c>
      <c r="H2011" t="s">
        <v>4786</v>
      </c>
      <c r="I2011">
        <v>1193953.32</v>
      </c>
      <c r="J2011" s="123">
        <v>0</v>
      </c>
      <c r="K2011" s="123">
        <v>0</v>
      </c>
      <c r="L2011" s="123">
        <v>46144</v>
      </c>
      <c r="M2011">
        <v>0</v>
      </c>
      <c r="N2011">
        <v>0</v>
      </c>
      <c r="O2011">
        <v>0</v>
      </c>
      <c r="P2011" s="216">
        <v>119400</v>
      </c>
      <c r="Q2011" s="217" t="s">
        <v>10</v>
      </c>
      <c r="R2011" s="217" t="s">
        <v>554</v>
      </c>
      <c r="S2011" s="218">
        <v>0.40000921476561579</v>
      </c>
      <c r="T2011" t="s">
        <v>550</v>
      </c>
      <c r="U2011" t="s">
        <v>77</v>
      </c>
      <c r="V2011" s="219" t="s">
        <v>6951</v>
      </c>
      <c r="W2011" s="219" t="s">
        <v>67</v>
      </c>
    </row>
    <row r="2012" spans="1:23" ht="15" customHeight="1" x14ac:dyDescent="0.25">
      <c r="A2012" t="s">
        <v>4787</v>
      </c>
      <c r="B2012" t="s">
        <v>546</v>
      </c>
      <c r="C2012">
        <v>50000</v>
      </c>
      <c r="D2012" t="s">
        <v>4788</v>
      </c>
      <c r="E2012" t="s">
        <v>268</v>
      </c>
      <c r="F2012" t="s">
        <v>554</v>
      </c>
      <c r="G2012" s="30">
        <v>46143</v>
      </c>
      <c r="H2012" t="s">
        <v>4789</v>
      </c>
      <c r="I2012">
        <v>1202481.55</v>
      </c>
      <c r="J2012" s="123">
        <v>0</v>
      </c>
      <c r="K2012" s="123">
        <v>0</v>
      </c>
      <c r="L2012" s="123">
        <v>0</v>
      </c>
      <c r="M2012">
        <v>0</v>
      </c>
      <c r="N2012">
        <v>0</v>
      </c>
      <c r="O2012">
        <v>0</v>
      </c>
      <c r="P2012" s="216">
        <v>50000</v>
      </c>
      <c r="Q2012" s="217" t="s">
        <v>10</v>
      </c>
      <c r="R2012" s="217" t="s">
        <v>554</v>
      </c>
      <c r="S2012" s="218">
        <v>0.24158208498084646</v>
      </c>
      <c r="T2012" t="s">
        <v>550</v>
      </c>
      <c r="U2012" t="s">
        <v>77</v>
      </c>
      <c r="V2012" s="219" t="s">
        <v>6952</v>
      </c>
      <c r="W2012" s="219" t="s">
        <v>67</v>
      </c>
    </row>
    <row r="2013" spans="1:23" ht="15" customHeight="1" x14ac:dyDescent="0.25">
      <c r="A2013" t="s">
        <v>4790</v>
      </c>
      <c r="B2013" t="s">
        <v>595</v>
      </c>
      <c r="C2013">
        <v>54215.9</v>
      </c>
      <c r="D2013" t="s">
        <v>4791</v>
      </c>
      <c r="E2013" t="s">
        <v>4792</v>
      </c>
      <c r="F2013" t="s">
        <v>554</v>
      </c>
      <c r="G2013" s="30">
        <v>46145</v>
      </c>
      <c r="H2013" t="s">
        <v>4793</v>
      </c>
      <c r="I2013">
        <v>1178846.18</v>
      </c>
      <c r="J2013" s="123">
        <v>0</v>
      </c>
      <c r="K2013" s="123">
        <v>0</v>
      </c>
      <c r="L2013" s="123">
        <v>46141</v>
      </c>
      <c r="M2013">
        <v>0</v>
      </c>
      <c r="N2013">
        <v>0</v>
      </c>
      <c r="O2013">
        <v>0</v>
      </c>
      <c r="P2013" s="216">
        <v>54215.9</v>
      </c>
      <c r="Q2013" s="217" t="s">
        <v>10</v>
      </c>
      <c r="R2013" s="217" t="s">
        <v>554</v>
      </c>
      <c r="S2013" s="218">
        <v>0.15414767684109559</v>
      </c>
      <c r="T2013" t="s">
        <v>550</v>
      </c>
      <c r="U2013" t="s">
        <v>77</v>
      </c>
      <c r="V2013" s="219">
        <v>0</v>
      </c>
      <c r="W2013" s="219" t="s">
        <v>72</v>
      </c>
    </row>
    <row r="2014" spans="1:23" ht="15" customHeight="1" x14ac:dyDescent="0.25">
      <c r="A2014" t="s">
        <v>4794</v>
      </c>
      <c r="B2014" t="s">
        <v>546</v>
      </c>
      <c r="C2014">
        <v>10000</v>
      </c>
      <c r="D2014" t="s">
        <v>4795</v>
      </c>
      <c r="E2014" t="s">
        <v>553</v>
      </c>
      <c r="F2014" t="s">
        <v>548</v>
      </c>
      <c r="G2014" s="30">
        <v>46146</v>
      </c>
      <c r="H2014" t="s">
        <v>4796</v>
      </c>
      <c r="I2014">
        <v>1205736.56</v>
      </c>
      <c r="J2014" s="123">
        <v>46146</v>
      </c>
      <c r="K2014" s="123">
        <v>0</v>
      </c>
      <c r="L2014" s="123">
        <v>46146</v>
      </c>
      <c r="M2014">
        <v>0</v>
      </c>
      <c r="N2014">
        <v>0</v>
      </c>
      <c r="O2014" t="s">
        <v>556</v>
      </c>
      <c r="P2014" s="216">
        <v>10000</v>
      </c>
      <c r="Q2014" s="217" t="s">
        <v>10</v>
      </c>
      <c r="R2014" s="217" t="s">
        <v>62</v>
      </c>
      <c r="S2014" s="218">
        <v>0.37511923002484054</v>
      </c>
      <c r="T2014" t="s">
        <v>550</v>
      </c>
      <c r="U2014" t="s">
        <v>77</v>
      </c>
      <c r="V2014" s="219">
        <v>0</v>
      </c>
      <c r="W2014" s="219">
        <v>0</v>
      </c>
    </row>
    <row r="2015" spans="1:23" ht="15" customHeight="1" x14ac:dyDescent="0.25">
      <c r="A2015" t="s">
        <v>4797</v>
      </c>
      <c r="B2015" t="s">
        <v>546</v>
      </c>
      <c r="C2015">
        <v>10000</v>
      </c>
      <c r="D2015" t="s">
        <v>4795</v>
      </c>
      <c r="E2015" t="s">
        <v>553</v>
      </c>
      <c r="F2015" t="s">
        <v>548</v>
      </c>
      <c r="G2015" s="30">
        <v>46146</v>
      </c>
      <c r="H2015" t="s">
        <v>4796</v>
      </c>
      <c r="I2015">
        <v>1205736.56</v>
      </c>
      <c r="J2015" s="123">
        <v>46146</v>
      </c>
      <c r="K2015" s="123">
        <v>0</v>
      </c>
      <c r="L2015" s="123">
        <v>46146</v>
      </c>
      <c r="M2015">
        <v>0</v>
      </c>
      <c r="N2015">
        <v>0</v>
      </c>
      <c r="O2015" t="s">
        <v>556</v>
      </c>
      <c r="P2015" s="216">
        <v>10000</v>
      </c>
      <c r="Q2015" s="217" t="s">
        <v>10</v>
      </c>
      <c r="R2015" s="217" t="s">
        <v>62</v>
      </c>
      <c r="S2015" s="218">
        <v>0.37511923002484054</v>
      </c>
      <c r="T2015" t="s">
        <v>550</v>
      </c>
      <c r="U2015" t="s">
        <v>77</v>
      </c>
      <c r="V2015" s="219">
        <v>0</v>
      </c>
      <c r="W2015" s="219">
        <v>0</v>
      </c>
    </row>
    <row r="2016" spans="1:23" ht="15" customHeight="1" x14ac:dyDescent="0.25">
      <c r="A2016" t="s">
        <v>4798</v>
      </c>
      <c r="B2016" t="s">
        <v>546</v>
      </c>
      <c r="C2016">
        <v>120573.03</v>
      </c>
      <c r="D2016" t="s">
        <v>4795</v>
      </c>
      <c r="E2016" t="s">
        <v>553</v>
      </c>
      <c r="F2016" t="s">
        <v>548</v>
      </c>
      <c r="G2016" s="30">
        <v>46146</v>
      </c>
      <c r="H2016" t="s">
        <v>4796</v>
      </c>
      <c r="I2016">
        <v>1205736.56</v>
      </c>
      <c r="J2016" s="123">
        <v>46146</v>
      </c>
      <c r="K2016" s="123">
        <v>0</v>
      </c>
      <c r="L2016" s="123">
        <v>46146</v>
      </c>
      <c r="M2016">
        <v>0</v>
      </c>
      <c r="N2016">
        <v>0</v>
      </c>
      <c r="O2016" t="s">
        <v>556</v>
      </c>
      <c r="P2016" s="216">
        <v>120573.03</v>
      </c>
      <c r="Q2016" s="217" t="s">
        <v>10</v>
      </c>
      <c r="R2016" s="217" t="s">
        <v>62</v>
      </c>
      <c r="S2016" s="218">
        <v>0.37511923002484054</v>
      </c>
      <c r="T2016" t="s">
        <v>550</v>
      </c>
      <c r="U2016" t="s">
        <v>77</v>
      </c>
      <c r="V2016" s="219">
        <v>0</v>
      </c>
      <c r="W2016" s="219">
        <v>0</v>
      </c>
    </row>
    <row r="2017" spans="1:23" ht="15" customHeight="1" x14ac:dyDescent="0.25">
      <c r="A2017" t="s">
        <v>4799</v>
      </c>
      <c r="B2017" t="s">
        <v>546</v>
      </c>
      <c r="C2017">
        <v>10000</v>
      </c>
      <c r="D2017" t="s">
        <v>4795</v>
      </c>
      <c r="E2017" t="s">
        <v>553</v>
      </c>
      <c r="F2017" t="s">
        <v>548</v>
      </c>
      <c r="G2017" s="30">
        <v>46146</v>
      </c>
      <c r="H2017" t="s">
        <v>4796</v>
      </c>
      <c r="I2017">
        <v>1205736.56</v>
      </c>
      <c r="J2017" s="123">
        <v>46146</v>
      </c>
      <c r="K2017" s="123">
        <v>0</v>
      </c>
      <c r="L2017" s="123">
        <v>46146</v>
      </c>
      <c r="M2017">
        <v>0</v>
      </c>
      <c r="N2017">
        <v>0</v>
      </c>
      <c r="O2017" t="s">
        <v>556</v>
      </c>
      <c r="P2017" s="216">
        <v>10000</v>
      </c>
      <c r="Q2017" s="217" t="s">
        <v>10</v>
      </c>
      <c r="R2017" s="217" t="s">
        <v>62</v>
      </c>
      <c r="S2017" s="218">
        <v>0.37511923002484054</v>
      </c>
      <c r="T2017" t="s">
        <v>550</v>
      </c>
      <c r="U2017" t="s">
        <v>77</v>
      </c>
      <c r="V2017" s="219">
        <v>0</v>
      </c>
      <c r="W2017" s="219">
        <v>0</v>
      </c>
    </row>
    <row r="2018" spans="1:23" ht="15" customHeight="1" x14ac:dyDescent="0.25">
      <c r="A2018" t="s">
        <v>4800</v>
      </c>
      <c r="B2018" t="s">
        <v>546</v>
      </c>
      <c r="C2018">
        <v>50574</v>
      </c>
      <c r="D2018" t="s">
        <v>4795</v>
      </c>
      <c r="E2018" t="s">
        <v>553</v>
      </c>
      <c r="F2018" t="s">
        <v>554</v>
      </c>
      <c r="G2018" s="30">
        <v>46148</v>
      </c>
      <c r="H2018" t="s">
        <v>4796</v>
      </c>
      <c r="I2018">
        <v>1205736.56</v>
      </c>
      <c r="J2018" s="123">
        <v>46148</v>
      </c>
      <c r="K2018" s="123">
        <v>0</v>
      </c>
      <c r="L2018" s="123">
        <v>46148</v>
      </c>
      <c r="M2018">
        <v>0</v>
      </c>
      <c r="N2018">
        <v>0</v>
      </c>
      <c r="O2018" t="s">
        <v>556</v>
      </c>
      <c r="P2018" s="216">
        <v>50574</v>
      </c>
      <c r="Q2018" s="217" t="s">
        <v>10</v>
      </c>
      <c r="R2018" s="217" t="s">
        <v>554</v>
      </c>
      <c r="S2018" s="218">
        <v>0.37511923002484054</v>
      </c>
      <c r="T2018" t="s">
        <v>550</v>
      </c>
      <c r="U2018" t="s">
        <v>77</v>
      </c>
      <c r="V2018" s="219" t="s">
        <v>6953</v>
      </c>
      <c r="W2018" s="219" t="s">
        <v>67</v>
      </c>
    </row>
    <row r="2019" spans="1:23" ht="15" customHeight="1" x14ac:dyDescent="0.25">
      <c r="A2019" t="s">
        <v>4801</v>
      </c>
      <c r="B2019" t="s">
        <v>546</v>
      </c>
      <c r="C2019">
        <v>10000</v>
      </c>
      <c r="D2019" t="s">
        <v>4795</v>
      </c>
      <c r="E2019" t="s">
        <v>553</v>
      </c>
      <c r="F2019" t="s">
        <v>548</v>
      </c>
      <c r="G2019" s="30">
        <v>46148</v>
      </c>
      <c r="H2019" t="s">
        <v>4796</v>
      </c>
      <c r="I2019">
        <v>1205736.56</v>
      </c>
      <c r="J2019" s="123">
        <v>46148</v>
      </c>
      <c r="K2019" s="123">
        <v>0</v>
      </c>
      <c r="L2019" s="123">
        <v>46148</v>
      </c>
      <c r="M2019">
        <v>0</v>
      </c>
      <c r="N2019">
        <v>0</v>
      </c>
      <c r="O2019" t="s">
        <v>556</v>
      </c>
      <c r="P2019" s="216">
        <v>10000</v>
      </c>
      <c r="Q2019" s="217" t="s">
        <v>10</v>
      </c>
      <c r="R2019" s="217" t="s">
        <v>62</v>
      </c>
      <c r="S2019" s="218">
        <v>0.37511923002484054</v>
      </c>
      <c r="T2019" t="s">
        <v>550</v>
      </c>
      <c r="U2019" t="s">
        <v>77</v>
      </c>
      <c r="V2019" s="219">
        <v>0</v>
      </c>
      <c r="W2019" s="219">
        <v>0</v>
      </c>
    </row>
    <row r="2020" spans="1:23" ht="15" customHeight="1" x14ac:dyDescent="0.25">
      <c r="A2020" t="s">
        <v>4802</v>
      </c>
      <c r="B2020" t="s">
        <v>546</v>
      </c>
      <c r="C2020">
        <v>69999.03</v>
      </c>
      <c r="D2020" t="s">
        <v>4795</v>
      </c>
      <c r="E2020" t="s">
        <v>553</v>
      </c>
      <c r="F2020" t="s">
        <v>548</v>
      </c>
      <c r="G2020" s="30">
        <v>46148</v>
      </c>
      <c r="H2020" t="s">
        <v>4796</v>
      </c>
      <c r="I2020">
        <v>1205736.56</v>
      </c>
      <c r="J2020" s="123">
        <v>46148</v>
      </c>
      <c r="K2020" s="123">
        <v>0</v>
      </c>
      <c r="L2020" s="123">
        <v>46148</v>
      </c>
      <c r="M2020">
        <v>0</v>
      </c>
      <c r="N2020">
        <v>0</v>
      </c>
      <c r="O2020" t="s">
        <v>556</v>
      </c>
      <c r="P2020" s="216">
        <v>69999.03</v>
      </c>
      <c r="Q2020" s="217" t="s">
        <v>10</v>
      </c>
      <c r="R2020" s="217" t="s">
        <v>62</v>
      </c>
      <c r="S2020" s="218">
        <v>0.37511923002484054</v>
      </c>
      <c r="T2020" t="s">
        <v>550</v>
      </c>
      <c r="U2020" t="s">
        <v>77</v>
      </c>
      <c r="V2020" s="219">
        <v>0</v>
      </c>
      <c r="W2020" s="219">
        <v>0</v>
      </c>
    </row>
    <row r="2021" spans="1:23" ht="15" customHeight="1" x14ac:dyDescent="0.25">
      <c r="A2021" t="s">
        <v>4803</v>
      </c>
      <c r="B2021" t="s">
        <v>546</v>
      </c>
      <c r="C2021">
        <v>40000</v>
      </c>
      <c r="D2021" t="s">
        <v>4795</v>
      </c>
      <c r="E2021" t="s">
        <v>553</v>
      </c>
      <c r="F2021" t="s">
        <v>554</v>
      </c>
      <c r="G2021" s="30">
        <v>46149</v>
      </c>
      <c r="H2021" t="s">
        <v>4796</v>
      </c>
      <c r="I2021">
        <v>1205736.56</v>
      </c>
      <c r="J2021" s="123">
        <v>46149</v>
      </c>
      <c r="K2021" s="123">
        <v>0</v>
      </c>
      <c r="L2021" s="123">
        <v>46149</v>
      </c>
      <c r="M2021">
        <v>0</v>
      </c>
      <c r="N2021">
        <v>0</v>
      </c>
      <c r="O2021" t="s">
        <v>556</v>
      </c>
      <c r="P2021" s="216">
        <v>40000</v>
      </c>
      <c r="Q2021" s="217" t="s">
        <v>10</v>
      </c>
      <c r="R2021" s="217" t="s">
        <v>554</v>
      </c>
      <c r="S2021" s="218">
        <v>0.37511923002484054</v>
      </c>
      <c r="T2021" t="s">
        <v>550</v>
      </c>
      <c r="U2021" t="s">
        <v>77</v>
      </c>
      <c r="V2021" s="219" t="s">
        <v>6954</v>
      </c>
      <c r="W2021" s="219" t="s">
        <v>67</v>
      </c>
    </row>
    <row r="2022" spans="1:23" ht="15" customHeight="1" x14ac:dyDescent="0.25">
      <c r="A2022" t="s">
        <v>4804</v>
      </c>
      <c r="B2022" t="s">
        <v>546</v>
      </c>
      <c r="C2022">
        <v>10000</v>
      </c>
      <c r="D2022" t="s">
        <v>4805</v>
      </c>
      <c r="E2022" t="s">
        <v>553</v>
      </c>
      <c r="F2022" t="s">
        <v>554</v>
      </c>
      <c r="G2022" s="30">
        <v>46148</v>
      </c>
      <c r="H2022" t="s">
        <v>4806</v>
      </c>
      <c r="I2022">
        <v>1193915.68</v>
      </c>
      <c r="J2022" s="123">
        <v>46148</v>
      </c>
      <c r="K2022" s="123">
        <v>0</v>
      </c>
      <c r="L2022" s="123">
        <v>46148</v>
      </c>
      <c r="M2022">
        <v>0</v>
      </c>
      <c r="N2022">
        <v>0</v>
      </c>
      <c r="O2022" t="s">
        <v>556</v>
      </c>
      <c r="P2022" s="216">
        <v>10000</v>
      </c>
      <c r="Q2022" s="217" t="s">
        <v>10</v>
      </c>
      <c r="R2022" s="217" t="s">
        <v>554</v>
      </c>
      <c r="S2022" s="218">
        <v>0.2664978842266138</v>
      </c>
      <c r="T2022" t="s">
        <v>550</v>
      </c>
      <c r="U2022" t="s">
        <v>77</v>
      </c>
      <c r="V2022" s="219" t="s">
        <v>6955</v>
      </c>
      <c r="W2022" s="219" t="s">
        <v>67</v>
      </c>
    </row>
    <row r="2023" spans="1:23" ht="15" customHeight="1" x14ac:dyDescent="0.25">
      <c r="A2023" t="s">
        <v>4807</v>
      </c>
      <c r="B2023" t="s">
        <v>546</v>
      </c>
      <c r="C2023">
        <v>10000</v>
      </c>
      <c r="D2023" t="s">
        <v>4805</v>
      </c>
      <c r="E2023" t="s">
        <v>553</v>
      </c>
      <c r="F2023" t="s">
        <v>548</v>
      </c>
      <c r="G2023" s="30">
        <v>46148</v>
      </c>
      <c r="H2023" t="s">
        <v>4806</v>
      </c>
      <c r="I2023">
        <v>1193915.68</v>
      </c>
      <c r="J2023" s="123">
        <v>46148</v>
      </c>
      <c r="K2023" s="123">
        <v>0</v>
      </c>
      <c r="L2023" s="123">
        <v>46148</v>
      </c>
      <c r="M2023">
        <v>0</v>
      </c>
      <c r="N2023">
        <v>0</v>
      </c>
      <c r="O2023" t="s">
        <v>556</v>
      </c>
      <c r="P2023" s="216">
        <v>10000</v>
      </c>
      <c r="Q2023" s="217" t="s">
        <v>10</v>
      </c>
      <c r="R2023" s="217" t="s">
        <v>62</v>
      </c>
      <c r="S2023" s="218">
        <v>0.2664978842266138</v>
      </c>
      <c r="T2023" t="s">
        <v>550</v>
      </c>
      <c r="U2023" t="s">
        <v>77</v>
      </c>
      <c r="V2023" s="219">
        <v>0</v>
      </c>
      <c r="W2023" s="219">
        <v>0</v>
      </c>
    </row>
    <row r="2024" spans="1:23" ht="15" customHeight="1" x14ac:dyDescent="0.25">
      <c r="A2024" t="s">
        <v>4808</v>
      </c>
      <c r="B2024" t="s">
        <v>546</v>
      </c>
      <c r="C2024">
        <v>58784</v>
      </c>
      <c r="D2024" t="s">
        <v>4805</v>
      </c>
      <c r="E2024" t="s">
        <v>553</v>
      </c>
      <c r="F2024" t="s">
        <v>548</v>
      </c>
      <c r="G2024" s="30">
        <v>46148</v>
      </c>
      <c r="H2024" t="s">
        <v>4806</v>
      </c>
      <c r="I2024">
        <v>1193915.68</v>
      </c>
      <c r="J2024" s="123">
        <v>46148</v>
      </c>
      <c r="K2024" s="123">
        <v>0</v>
      </c>
      <c r="L2024" s="123">
        <v>46148</v>
      </c>
      <c r="M2024">
        <v>0</v>
      </c>
      <c r="N2024">
        <v>0</v>
      </c>
      <c r="O2024" t="s">
        <v>556</v>
      </c>
      <c r="P2024" s="216">
        <v>58784</v>
      </c>
      <c r="Q2024" s="217" t="s">
        <v>10</v>
      </c>
      <c r="R2024" s="217" t="s">
        <v>62</v>
      </c>
      <c r="S2024" s="218">
        <v>0.2664978842266138</v>
      </c>
      <c r="T2024" t="s">
        <v>550</v>
      </c>
      <c r="U2024" t="s">
        <v>77</v>
      </c>
      <c r="V2024" s="219">
        <v>0</v>
      </c>
      <c r="W2024" s="219">
        <v>0</v>
      </c>
    </row>
    <row r="2025" spans="1:23" ht="15" customHeight="1" x14ac:dyDescent="0.25">
      <c r="A2025" t="s">
        <v>4809</v>
      </c>
      <c r="B2025" t="s">
        <v>546</v>
      </c>
      <c r="C2025">
        <v>8784</v>
      </c>
      <c r="D2025" t="s">
        <v>4805</v>
      </c>
      <c r="E2025" t="s">
        <v>553</v>
      </c>
      <c r="F2025" t="s">
        <v>554</v>
      </c>
      <c r="G2025" s="30">
        <v>46148</v>
      </c>
      <c r="H2025" t="s">
        <v>4806</v>
      </c>
      <c r="I2025">
        <v>1193915.68</v>
      </c>
      <c r="J2025" s="123">
        <v>46148</v>
      </c>
      <c r="K2025" s="123">
        <v>0</v>
      </c>
      <c r="L2025" s="123">
        <v>46148</v>
      </c>
      <c r="M2025">
        <v>0</v>
      </c>
      <c r="N2025">
        <v>0</v>
      </c>
      <c r="O2025" t="s">
        <v>556</v>
      </c>
      <c r="P2025" s="216">
        <v>8784</v>
      </c>
      <c r="Q2025" s="217" t="s">
        <v>10</v>
      </c>
      <c r="R2025" s="217" t="s">
        <v>554</v>
      </c>
      <c r="S2025" s="218">
        <v>0.2664978842266138</v>
      </c>
      <c r="T2025" t="s">
        <v>550</v>
      </c>
      <c r="U2025" t="s">
        <v>77</v>
      </c>
      <c r="V2025" s="219" t="s">
        <v>6956</v>
      </c>
      <c r="W2025" s="219" t="s">
        <v>67</v>
      </c>
    </row>
    <row r="2026" spans="1:23" ht="15" customHeight="1" x14ac:dyDescent="0.25">
      <c r="A2026" t="s">
        <v>4810</v>
      </c>
      <c r="B2026" t="s">
        <v>546</v>
      </c>
      <c r="C2026">
        <v>58784</v>
      </c>
      <c r="D2026" t="s">
        <v>4805</v>
      </c>
      <c r="E2026" t="s">
        <v>553</v>
      </c>
      <c r="F2026" t="s">
        <v>548</v>
      </c>
      <c r="G2026" s="30">
        <v>46148</v>
      </c>
      <c r="H2026" t="s">
        <v>4806</v>
      </c>
      <c r="I2026">
        <v>1193915.68</v>
      </c>
      <c r="J2026" s="123">
        <v>46148</v>
      </c>
      <c r="K2026" s="123">
        <v>0</v>
      </c>
      <c r="L2026" s="123">
        <v>46148</v>
      </c>
      <c r="M2026">
        <v>0</v>
      </c>
      <c r="N2026">
        <v>0</v>
      </c>
      <c r="O2026" t="s">
        <v>556</v>
      </c>
      <c r="P2026" s="216">
        <v>58784</v>
      </c>
      <c r="Q2026" s="217" t="s">
        <v>10</v>
      </c>
      <c r="R2026" s="217" t="s">
        <v>62</v>
      </c>
      <c r="S2026" s="218">
        <v>0.2664978842266138</v>
      </c>
      <c r="T2026" t="s">
        <v>550</v>
      </c>
      <c r="U2026" t="s">
        <v>77</v>
      </c>
      <c r="V2026" s="219">
        <v>0</v>
      </c>
      <c r="W2026" s="219">
        <v>0</v>
      </c>
    </row>
    <row r="2027" spans="1:23" ht="15" customHeight="1" x14ac:dyDescent="0.25">
      <c r="A2027" t="s">
        <v>4811</v>
      </c>
      <c r="B2027" t="s">
        <v>546</v>
      </c>
      <c r="C2027">
        <v>27500</v>
      </c>
      <c r="D2027" t="s">
        <v>4812</v>
      </c>
      <c r="E2027" t="s">
        <v>268</v>
      </c>
      <c r="F2027" t="s">
        <v>554</v>
      </c>
      <c r="G2027" s="30">
        <v>46143</v>
      </c>
      <c r="H2027" t="s">
        <v>4813</v>
      </c>
      <c r="I2027">
        <v>1194603.49</v>
      </c>
      <c r="J2027" s="123">
        <v>0</v>
      </c>
      <c r="K2027" s="123">
        <v>0</v>
      </c>
      <c r="L2027" s="123">
        <v>0</v>
      </c>
      <c r="M2027">
        <v>0</v>
      </c>
      <c r="N2027">
        <v>0</v>
      </c>
      <c r="O2027">
        <v>0</v>
      </c>
      <c r="P2027" s="216">
        <v>27500</v>
      </c>
      <c r="Q2027" s="217" t="s">
        <v>10</v>
      </c>
      <c r="R2027" s="217" t="s">
        <v>554</v>
      </c>
      <c r="S2027" s="218">
        <v>0.26532653106513193</v>
      </c>
      <c r="T2027" t="s">
        <v>550</v>
      </c>
      <c r="U2027" t="s">
        <v>77</v>
      </c>
      <c r="V2027" s="219" t="s">
        <v>6957</v>
      </c>
      <c r="W2027" s="219" t="s">
        <v>67</v>
      </c>
    </row>
    <row r="2028" spans="1:23" ht="15" customHeight="1" x14ac:dyDescent="0.25">
      <c r="A2028" t="s">
        <v>4814</v>
      </c>
      <c r="B2028" t="s">
        <v>546</v>
      </c>
      <c r="C2028">
        <v>50000</v>
      </c>
      <c r="D2028" t="s">
        <v>4812</v>
      </c>
      <c r="E2028" t="s">
        <v>268</v>
      </c>
      <c r="F2028" t="s">
        <v>554</v>
      </c>
      <c r="G2028" s="30">
        <v>46143</v>
      </c>
      <c r="H2028" t="s">
        <v>4813</v>
      </c>
      <c r="I2028">
        <v>1194603.49</v>
      </c>
      <c r="J2028" s="123">
        <v>0</v>
      </c>
      <c r="K2028" s="123">
        <v>0</v>
      </c>
      <c r="L2028" s="123">
        <v>0</v>
      </c>
      <c r="M2028">
        <v>0</v>
      </c>
      <c r="N2028">
        <v>0</v>
      </c>
      <c r="O2028">
        <v>0</v>
      </c>
      <c r="P2028" s="216">
        <v>50000</v>
      </c>
      <c r="Q2028" s="217" t="s">
        <v>10</v>
      </c>
      <c r="R2028" s="217" t="s">
        <v>554</v>
      </c>
      <c r="S2028" s="218">
        <v>0.26532653106513193</v>
      </c>
      <c r="T2028" t="s">
        <v>550</v>
      </c>
      <c r="U2028" t="s">
        <v>77</v>
      </c>
      <c r="V2028" s="219" t="s">
        <v>6958</v>
      </c>
      <c r="W2028" s="219" t="s">
        <v>67</v>
      </c>
    </row>
    <row r="2029" spans="1:23" ht="15" customHeight="1" x14ac:dyDescent="0.25">
      <c r="A2029" t="s">
        <v>4815</v>
      </c>
      <c r="B2029" t="s">
        <v>595</v>
      </c>
      <c r="C2029">
        <v>118636</v>
      </c>
      <c r="D2029" t="s">
        <v>4816</v>
      </c>
      <c r="E2029" t="s">
        <v>268</v>
      </c>
      <c r="F2029" t="s">
        <v>554</v>
      </c>
      <c r="G2029" s="30">
        <v>46147</v>
      </c>
      <c r="H2029" t="s">
        <v>4817</v>
      </c>
      <c r="I2029">
        <v>1186385.24</v>
      </c>
      <c r="J2029" s="123">
        <v>0</v>
      </c>
      <c r="K2029" s="123">
        <v>0</v>
      </c>
      <c r="L2029" s="123">
        <v>46144</v>
      </c>
      <c r="M2029">
        <v>0</v>
      </c>
      <c r="N2029">
        <v>0</v>
      </c>
      <c r="O2029">
        <v>0</v>
      </c>
      <c r="P2029" s="216">
        <v>118636</v>
      </c>
      <c r="Q2029" s="217" t="s">
        <v>10</v>
      </c>
      <c r="R2029" s="217" t="s">
        <v>554</v>
      </c>
      <c r="S2029" s="218">
        <v>0.39999823328887674</v>
      </c>
      <c r="T2029" t="s">
        <v>550</v>
      </c>
      <c r="U2029" t="s">
        <v>77</v>
      </c>
      <c r="V2029" s="219" t="s">
        <v>6959</v>
      </c>
      <c r="W2029" s="219" t="s">
        <v>67</v>
      </c>
    </row>
    <row r="2030" spans="1:23" ht="15" customHeight="1" x14ac:dyDescent="0.25">
      <c r="A2030" t="s">
        <v>4818</v>
      </c>
      <c r="B2030" t="s">
        <v>575</v>
      </c>
      <c r="C2030">
        <v>120571.21</v>
      </c>
      <c r="D2030" t="s">
        <v>4819</v>
      </c>
      <c r="E2030" t="s">
        <v>553</v>
      </c>
      <c r="F2030" t="s">
        <v>683</v>
      </c>
      <c r="G2030" s="30">
        <v>46147</v>
      </c>
      <c r="H2030" t="s">
        <v>4820</v>
      </c>
      <c r="I2030">
        <v>1205736.56</v>
      </c>
      <c r="J2030" s="123">
        <v>46147</v>
      </c>
      <c r="K2030" s="123">
        <v>0</v>
      </c>
      <c r="L2030" s="123">
        <v>46147</v>
      </c>
      <c r="M2030">
        <v>0</v>
      </c>
      <c r="N2030">
        <v>0</v>
      </c>
      <c r="O2030" t="s">
        <v>556</v>
      </c>
      <c r="P2030" s="216">
        <v>120571.21</v>
      </c>
      <c r="Q2030" s="217" t="s">
        <v>10</v>
      </c>
      <c r="R2030" s="217" t="s">
        <v>62</v>
      </c>
      <c r="S2030" s="218">
        <v>0.30000316984665371</v>
      </c>
      <c r="T2030" t="s">
        <v>550</v>
      </c>
      <c r="U2030" t="s">
        <v>77</v>
      </c>
      <c r="V2030" s="219">
        <v>0</v>
      </c>
      <c r="W2030" s="219">
        <v>0</v>
      </c>
    </row>
    <row r="2031" spans="1:23" ht="15" customHeight="1" x14ac:dyDescent="0.25">
      <c r="A2031" t="s">
        <v>4821</v>
      </c>
      <c r="B2031" t="s">
        <v>575</v>
      </c>
      <c r="C2031">
        <v>121423</v>
      </c>
      <c r="D2031" t="s">
        <v>4822</v>
      </c>
      <c r="E2031" t="s">
        <v>268</v>
      </c>
      <c r="F2031" t="s">
        <v>580</v>
      </c>
      <c r="G2031" s="30">
        <v>46149</v>
      </c>
      <c r="H2031" t="s">
        <v>4823</v>
      </c>
      <c r="I2031">
        <v>1214227.6599999999</v>
      </c>
      <c r="J2031" s="123">
        <v>0</v>
      </c>
      <c r="K2031" s="123">
        <v>0</v>
      </c>
      <c r="L2031" s="123">
        <v>46149</v>
      </c>
      <c r="M2031">
        <v>0</v>
      </c>
      <c r="N2031">
        <v>0</v>
      </c>
      <c r="O2031">
        <v>0</v>
      </c>
      <c r="P2031" s="216">
        <v>121423</v>
      </c>
      <c r="Q2031" s="217" t="s">
        <v>10</v>
      </c>
      <c r="R2031" s="217" t="s">
        <v>582</v>
      </c>
      <c r="S2031" s="218">
        <v>0.3000002075393341</v>
      </c>
      <c r="T2031" t="s">
        <v>550</v>
      </c>
      <c r="U2031" t="s">
        <v>77</v>
      </c>
      <c r="V2031" s="219">
        <v>0</v>
      </c>
      <c r="W2031" s="219">
        <v>0</v>
      </c>
    </row>
    <row r="2032" spans="1:23" ht="15" customHeight="1" x14ac:dyDescent="0.25">
      <c r="A2032" t="s">
        <v>4824</v>
      </c>
      <c r="B2032" t="s">
        <v>546</v>
      </c>
      <c r="C2032">
        <v>155149</v>
      </c>
      <c r="D2032" t="s">
        <v>4825</v>
      </c>
      <c r="E2032" t="s">
        <v>3359</v>
      </c>
      <c r="F2032" t="s">
        <v>554</v>
      </c>
      <c r="G2032" s="30">
        <v>46148</v>
      </c>
      <c r="H2032" t="s">
        <v>4826</v>
      </c>
      <c r="I2032">
        <v>1551495.63</v>
      </c>
      <c r="J2032" s="123">
        <v>0</v>
      </c>
      <c r="K2032" s="123">
        <v>0</v>
      </c>
      <c r="L2032" s="123">
        <v>0</v>
      </c>
      <c r="M2032">
        <v>0</v>
      </c>
      <c r="N2032">
        <v>0</v>
      </c>
      <c r="O2032">
        <v>0</v>
      </c>
      <c r="P2032" s="216">
        <v>155149</v>
      </c>
      <c r="Q2032" s="217" t="s">
        <v>42</v>
      </c>
      <c r="R2032" s="217" t="s">
        <v>554</v>
      </c>
      <c r="S2032" s="218">
        <v>0.49804695872717353</v>
      </c>
      <c r="T2032" t="s">
        <v>550</v>
      </c>
      <c r="U2032" t="s">
        <v>77</v>
      </c>
      <c r="V2032" s="219" t="s">
        <v>6960</v>
      </c>
      <c r="W2032" s="219" t="s">
        <v>67</v>
      </c>
    </row>
    <row r="2033" spans="1:23" ht="15" customHeight="1" x14ac:dyDescent="0.25">
      <c r="A2033" t="s">
        <v>4827</v>
      </c>
      <c r="B2033" t="s">
        <v>1118</v>
      </c>
      <c r="C2033">
        <v>155150</v>
      </c>
      <c r="D2033" t="s">
        <v>4828</v>
      </c>
      <c r="E2033" t="s">
        <v>268</v>
      </c>
      <c r="F2033" t="s">
        <v>554</v>
      </c>
      <c r="G2033" s="30">
        <v>46147</v>
      </c>
      <c r="H2033" t="s">
        <v>4829</v>
      </c>
      <c r="I2033">
        <v>1551495.63</v>
      </c>
      <c r="J2033" s="123">
        <v>46142</v>
      </c>
      <c r="K2033" s="123">
        <v>0</v>
      </c>
      <c r="L2033" s="123">
        <v>0</v>
      </c>
      <c r="M2033">
        <v>0</v>
      </c>
      <c r="N2033">
        <v>0</v>
      </c>
      <c r="O2033">
        <v>0</v>
      </c>
      <c r="P2033" s="216">
        <v>155150</v>
      </c>
      <c r="Q2033" s="217" t="s">
        <v>10</v>
      </c>
      <c r="R2033" s="217" t="s">
        <v>554</v>
      </c>
      <c r="S2033" s="218">
        <v>0.30000084499110063</v>
      </c>
      <c r="T2033" t="s">
        <v>550</v>
      </c>
      <c r="U2033" t="s">
        <v>77</v>
      </c>
      <c r="V2033" s="219" t="s">
        <v>6961</v>
      </c>
      <c r="W2033" s="219" t="s">
        <v>71</v>
      </c>
    </row>
    <row r="2034" spans="1:23" ht="15" customHeight="1" x14ac:dyDescent="0.25">
      <c r="A2034" t="s">
        <v>4830</v>
      </c>
      <c r="B2034" t="s">
        <v>595</v>
      </c>
      <c r="C2034">
        <v>115564</v>
      </c>
      <c r="D2034" t="s">
        <v>4831</v>
      </c>
      <c r="E2034" t="s">
        <v>268</v>
      </c>
      <c r="F2034" t="s">
        <v>554</v>
      </c>
      <c r="G2034" s="30">
        <v>46145</v>
      </c>
      <c r="H2034" t="s">
        <v>4832</v>
      </c>
      <c r="I2034">
        <v>1155639.21</v>
      </c>
      <c r="J2034" s="123">
        <v>0</v>
      </c>
      <c r="K2034" s="123">
        <v>0</v>
      </c>
      <c r="L2034" s="123">
        <v>46144</v>
      </c>
      <c r="M2034">
        <v>0</v>
      </c>
      <c r="N2034">
        <v>0</v>
      </c>
      <c r="O2034">
        <v>0</v>
      </c>
      <c r="P2034" s="216">
        <v>115564</v>
      </c>
      <c r="Q2034" s="217" t="s">
        <v>10</v>
      </c>
      <c r="R2034" s="217" t="s">
        <v>554</v>
      </c>
      <c r="S2034" s="218">
        <v>0.40000027344174316</v>
      </c>
      <c r="T2034" t="s">
        <v>550</v>
      </c>
      <c r="U2034" t="s">
        <v>77</v>
      </c>
      <c r="V2034" s="219" t="s">
        <v>6962</v>
      </c>
      <c r="W2034" s="219" t="s">
        <v>67</v>
      </c>
    </row>
    <row r="2035" spans="1:23" ht="15" customHeight="1" x14ac:dyDescent="0.25">
      <c r="A2035" t="s">
        <v>4833</v>
      </c>
      <c r="B2035" t="s">
        <v>595</v>
      </c>
      <c r="C2035">
        <v>159702.71</v>
      </c>
      <c r="D2035" t="s">
        <v>4834</v>
      </c>
      <c r="E2035" t="s">
        <v>268</v>
      </c>
      <c r="F2035" t="s">
        <v>554</v>
      </c>
      <c r="G2035" s="30">
        <v>46147</v>
      </c>
      <c r="H2035" t="s">
        <v>4835</v>
      </c>
      <c r="I2035">
        <v>1562473.19</v>
      </c>
      <c r="J2035" s="123">
        <v>0</v>
      </c>
      <c r="K2035" s="123">
        <v>0</v>
      </c>
      <c r="L2035" s="123">
        <v>46146</v>
      </c>
      <c r="M2035">
        <v>0</v>
      </c>
      <c r="N2035">
        <v>0</v>
      </c>
      <c r="O2035">
        <v>0</v>
      </c>
      <c r="P2035" s="216">
        <v>159702.71</v>
      </c>
      <c r="Q2035" s="217" t="s">
        <v>10</v>
      </c>
      <c r="R2035" s="217" t="s">
        <v>554</v>
      </c>
      <c r="S2035" s="218">
        <v>0.30254403917164174</v>
      </c>
      <c r="T2035" t="s">
        <v>550</v>
      </c>
      <c r="U2035" t="s">
        <v>77</v>
      </c>
      <c r="V2035" s="219" t="s">
        <v>6963</v>
      </c>
      <c r="W2035" s="219" t="s">
        <v>67</v>
      </c>
    </row>
    <row r="2036" spans="1:23" ht="15" customHeight="1" x14ac:dyDescent="0.25">
      <c r="A2036" t="s">
        <v>4836</v>
      </c>
      <c r="B2036" t="s">
        <v>546</v>
      </c>
      <c r="C2036">
        <v>122807</v>
      </c>
      <c r="D2036" t="s">
        <v>4837</v>
      </c>
      <c r="E2036" t="s">
        <v>553</v>
      </c>
      <c r="F2036" t="s">
        <v>554</v>
      </c>
      <c r="G2036" s="30">
        <v>46146</v>
      </c>
      <c r="H2036" t="s">
        <v>4838</v>
      </c>
      <c r="I2036">
        <v>1228066.27</v>
      </c>
      <c r="J2036" s="123">
        <v>46146</v>
      </c>
      <c r="K2036" s="123">
        <v>0</v>
      </c>
      <c r="L2036" s="123">
        <v>46146</v>
      </c>
      <c r="M2036">
        <v>0</v>
      </c>
      <c r="N2036">
        <v>0</v>
      </c>
      <c r="O2036" t="s">
        <v>556</v>
      </c>
      <c r="P2036" s="216">
        <v>122807</v>
      </c>
      <c r="Q2036" s="217" t="s">
        <v>42</v>
      </c>
      <c r="R2036" s="217" t="s">
        <v>554</v>
      </c>
      <c r="S2036" s="218">
        <v>0.40002778514550358</v>
      </c>
      <c r="T2036" t="s">
        <v>550</v>
      </c>
      <c r="U2036" t="s">
        <v>77</v>
      </c>
      <c r="V2036" s="219" t="s">
        <v>6964</v>
      </c>
      <c r="W2036" s="219" t="s">
        <v>67</v>
      </c>
    </row>
    <row r="2037" spans="1:23" ht="15" customHeight="1" x14ac:dyDescent="0.25">
      <c r="A2037" t="s">
        <v>4839</v>
      </c>
      <c r="B2037" t="s">
        <v>546</v>
      </c>
      <c r="C2037">
        <v>118107</v>
      </c>
      <c r="D2037" t="s">
        <v>4840</v>
      </c>
      <c r="E2037" t="s">
        <v>268</v>
      </c>
      <c r="F2037" t="s">
        <v>548</v>
      </c>
      <c r="G2037" s="30">
        <v>46148</v>
      </c>
      <c r="H2037" t="s">
        <v>4841</v>
      </c>
      <c r="I2037">
        <v>1181068.93</v>
      </c>
      <c r="J2037" s="123">
        <v>0</v>
      </c>
      <c r="K2037" s="123">
        <v>0</v>
      </c>
      <c r="L2037" s="123">
        <v>0</v>
      </c>
      <c r="M2037">
        <v>0</v>
      </c>
      <c r="N2037">
        <v>0</v>
      </c>
      <c r="O2037">
        <v>0</v>
      </c>
      <c r="P2037" s="216">
        <v>118107</v>
      </c>
      <c r="Q2037" s="217" t="s">
        <v>10</v>
      </c>
      <c r="R2037" s="217" t="s">
        <v>62</v>
      </c>
      <c r="S2037" s="218">
        <v>0.39352289963296216</v>
      </c>
      <c r="T2037" t="s">
        <v>550</v>
      </c>
      <c r="U2037" t="s">
        <v>77</v>
      </c>
      <c r="V2037" s="219">
        <v>0</v>
      </c>
      <c r="W2037" s="219">
        <v>0</v>
      </c>
    </row>
    <row r="2038" spans="1:23" ht="15" customHeight="1" x14ac:dyDescent="0.25">
      <c r="A2038" t="s">
        <v>4842</v>
      </c>
      <c r="B2038" t="s">
        <v>546</v>
      </c>
      <c r="C2038">
        <v>108000</v>
      </c>
      <c r="D2038" t="s">
        <v>4840</v>
      </c>
      <c r="E2038" t="s">
        <v>268</v>
      </c>
      <c r="F2038" t="s">
        <v>554</v>
      </c>
      <c r="G2038" s="30">
        <v>46149</v>
      </c>
      <c r="H2038" t="s">
        <v>4841</v>
      </c>
      <c r="I2038">
        <v>1181068.93</v>
      </c>
      <c r="J2038" s="123">
        <v>0</v>
      </c>
      <c r="K2038" s="123">
        <v>0</v>
      </c>
      <c r="L2038" s="123">
        <v>0</v>
      </c>
      <c r="M2038">
        <v>0</v>
      </c>
      <c r="N2038">
        <v>0</v>
      </c>
      <c r="O2038">
        <v>0</v>
      </c>
      <c r="P2038" s="216">
        <v>108000</v>
      </c>
      <c r="Q2038" s="217" t="s">
        <v>10</v>
      </c>
      <c r="R2038" s="217" t="s">
        <v>554</v>
      </c>
      <c r="S2038" s="218">
        <v>0.39352289963296216</v>
      </c>
      <c r="T2038" t="s">
        <v>550</v>
      </c>
      <c r="U2038" t="s">
        <v>77</v>
      </c>
      <c r="V2038" s="219" t="s">
        <v>6965</v>
      </c>
      <c r="W2038" s="219" t="s">
        <v>67</v>
      </c>
    </row>
    <row r="2039" spans="1:23" ht="15" customHeight="1" x14ac:dyDescent="0.25">
      <c r="A2039" t="s">
        <v>4843</v>
      </c>
      <c r="B2039" t="s">
        <v>546</v>
      </c>
      <c r="C2039">
        <v>50000</v>
      </c>
      <c r="D2039" t="s">
        <v>4844</v>
      </c>
      <c r="E2039" t="s">
        <v>553</v>
      </c>
      <c r="F2039" t="s">
        <v>554</v>
      </c>
      <c r="G2039" s="30">
        <v>46147</v>
      </c>
      <c r="H2039" t="s">
        <v>4845</v>
      </c>
      <c r="I2039">
        <v>1594215.93</v>
      </c>
      <c r="J2039" s="123">
        <v>46146</v>
      </c>
      <c r="K2039" s="123">
        <v>0</v>
      </c>
      <c r="L2039" s="123">
        <v>46146</v>
      </c>
      <c r="M2039">
        <v>0</v>
      </c>
      <c r="N2039">
        <v>0</v>
      </c>
      <c r="O2039" t="s">
        <v>556</v>
      </c>
      <c r="P2039" s="216">
        <v>50000</v>
      </c>
      <c r="Q2039" s="217" t="s">
        <v>10</v>
      </c>
      <c r="R2039" s="217" t="s">
        <v>554</v>
      </c>
      <c r="S2039" s="218">
        <v>0.40208384443881451</v>
      </c>
      <c r="T2039" t="s">
        <v>550</v>
      </c>
      <c r="U2039" t="s">
        <v>77</v>
      </c>
      <c r="V2039" s="219" t="s">
        <v>6966</v>
      </c>
      <c r="W2039" s="219" t="s">
        <v>67</v>
      </c>
    </row>
    <row r="2040" spans="1:23" ht="15" customHeight="1" x14ac:dyDescent="0.25">
      <c r="A2040" t="s">
        <v>4846</v>
      </c>
      <c r="B2040" t="s">
        <v>546</v>
      </c>
      <c r="C2040">
        <v>156677.53</v>
      </c>
      <c r="D2040" t="s">
        <v>4844</v>
      </c>
      <c r="E2040" t="s">
        <v>553</v>
      </c>
      <c r="F2040" t="s">
        <v>548</v>
      </c>
      <c r="G2040" s="30">
        <v>46147</v>
      </c>
      <c r="H2040" t="s">
        <v>4845</v>
      </c>
      <c r="I2040">
        <v>1594215.93</v>
      </c>
      <c r="J2040" s="123">
        <v>46146</v>
      </c>
      <c r="K2040" s="123">
        <v>0</v>
      </c>
      <c r="L2040" s="123">
        <v>46146</v>
      </c>
      <c r="M2040">
        <v>0</v>
      </c>
      <c r="N2040">
        <v>0</v>
      </c>
      <c r="O2040" t="s">
        <v>556</v>
      </c>
      <c r="P2040" s="216">
        <v>156677.53</v>
      </c>
      <c r="Q2040" s="217" t="s">
        <v>10</v>
      </c>
      <c r="R2040" s="217" t="s">
        <v>62</v>
      </c>
      <c r="S2040" s="218">
        <v>0.40208384443881451</v>
      </c>
      <c r="T2040" t="s">
        <v>550</v>
      </c>
      <c r="U2040" t="s">
        <v>77</v>
      </c>
      <c r="V2040" s="219">
        <v>0</v>
      </c>
      <c r="W2040" s="219">
        <v>0</v>
      </c>
    </row>
    <row r="2041" spans="1:23" ht="15" customHeight="1" x14ac:dyDescent="0.25">
      <c r="A2041" t="s">
        <v>4847</v>
      </c>
      <c r="B2041" t="s">
        <v>546</v>
      </c>
      <c r="C2041">
        <v>50000</v>
      </c>
      <c r="D2041" t="s">
        <v>4844</v>
      </c>
      <c r="E2041" t="s">
        <v>553</v>
      </c>
      <c r="F2041" t="s">
        <v>554</v>
      </c>
      <c r="G2041" s="30">
        <v>46146</v>
      </c>
      <c r="H2041" t="s">
        <v>4845</v>
      </c>
      <c r="I2041">
        <v>1594215.93</v>
      </c>
      <c r="J2041" s="123">
        <v>46146</v>
      </c>
      <c r="K2041" s="123">
        <v>0</v>
      </c>
      <c r="L2041" s="123">
        <v>46146</v>
      </c>
      <c r="M2041">
        <v>0</v>
      </c>
      <c r="N2041">
        <v>0</v>
      </c>
      <c r="O2041" t="s">
        <v>556</v>
      </c>
      <c r="P2041" s="216">
        <v>50000</v>
      </c>
      <c r="Q2041" s="217" t="s">
        <v>10</v>
      </c>
      <c r="R2041" s="217" t="s">
        <v>554</v>
      </c>
      <c r="S2041" s="218">
        <v>0.40208384443881451</v>
      </c>
      <c r="T2041" t="s">
        <v>550</v>
      </c>
      <c r="U2041" t="s">
        <v>77</v>
      </c>
      <c r="V2041" s="219" t="s">
        <v>6967</v>
      </c>
      <c r="W2041" s="219" t="s">
        <v>67</v>
      </c>
    </row>
    <row r="2042" spans="1:23" ht="15" customHeight="1" x14ac:dyDescent="0.25">
      <c r="A2042" t="s">
        <v>4848</v>
      </c>
      <c r="B2042" t="s">
        <v>546</v>
      </c>
      <c r="C2042">
        <v>156677.53</v>
      </c>
      <c r="D2042" t="s">
        <v>4844</v>
      </c>
      <c r="E2042" t="s">
        <v>553</v>
      </c>
      <c r="F2042" t="s">
        <v>548</v>
      </c>
      <c r="G2042" s="30">
        <v>46146</v>
      </c>
      <c r="H2042" t="s">
        <v>4845</v>
      </c>
      <c r="I2042">
        <v>1594215.93</v>
      </c>
      <c r="J2042" s="123">
        <v>46146</v>
      </c>
      <c r="K2042" s="123">
        <v>0</v>
      </c>
      <c r="L2042" s="123">
        <v>46146</v>
      </c>
      <c r="M2042">
        <v>0</v>
      </c>
      <c r="N2042">
        <v>0</v>
      </c>
      <c r="O2042" t="s">
        <v>556</v>
      </c>
      <c r="P2042" s="216">
        <v>156677.53</v>
      </c>
      <c r="Q2042" s="217" t="s">
        <v>10</v>
      </c>
      <c r="R2042" s="217" t="s">
        <v>62</v>
      </c>
      <c r="S2042" s="218">
        <v>0.40208384443881451</v>
      </c>
      <c r="T2042" t="s">
        <v>550</v>
      </c>
      <c r="U2042" t="s">
        <v>77</v>
      </c>
      <c r="V2042" s="219">
        <v>0</v>
      </c>
      <c r="W2042" s="219">
        <v>0</v>
      </c>
    </row>
    <row r="2043" spans="1:23" ht="15" customHeight="1" x14ac:dyDescent="0.25">
      <c r="A2043" t="s">
        <v>4849</v>
      </c>
      <c r="B2043" t="s">
        <v>546</v>
      </c>
      <c r="C2043">
        <v>60000</v>
      </c>
      <c r="D2043" t="s">
        <v>4844</v>
      </c>
      <c r="E2043" t="s">
        <v>553</v>
      </c>
      <c r="F2043" t="s">
        <v>554</v>
      </c>
      <c r="G2043" s="30">
        <v>46148</v>
      </c>
      <c r="H2043" t="s">
        <v>4845</v>
      </c>
      <c r="I2043">
        <v>1594215.93</v>
      </c>
      <c r="J2043" s="123">
        <v>46148</v>
      </c>
      <c r="K2043" s="123">
        <v>0</v>
      </c>
      <c r="L2043" s="123">
        <v>46148</v>
      </c>
      <c r="M2043">
        <v>0</v>
      </c>
      <c r="N2043">
        <v>0</v>
      </c>
      <c r="O2043" t="s">
        <v>556</v>
      </c>
      <c r="P2043" s="216">
        <v>60000</v>
      </c>
      <c r="Q2043" s="217" t="s">
        <v>10</v>
      </c>
      <c r="R2043" s="217" t="s">
        <v>554</v>
      </c>
      <c r="S2043" s="218">
        <v>0.40208384443881451</v>
      </c>
      <c r="T2043" t="s">
        <v>550</v>
      </c>
      <c r="U2043" t="s">
        <v>77</v>
      </c>
      <c r="V2043" s="219" t="s">
        <v>6968</v>
      </c>
      <c r="W2043" s="219" t="s">
        <v>67</v>
      </c>
    </row>
    <row r="2044" spans="1:23" ht="15" customHeight="1" x14ac:dyDescent="0.25">
      <c r="A2044" t="s">
        <v>4850</v>
      </c>
      <c r="B2044" t="s">
        <v>595</v>
      </c>
      <c r="C2044">
        <v>33500</v>
      </c>
      <c r="D2044" t="s">
        <v>4851</v>
      </c>
      <c r="E2044" t="s">
        <v>268</v>
      </c>
      <c r="F2044" t="s">
        <v>585</v>
      </c>
      <c r="G2044" s="30">
        <v>46148</v>
      </c>
      <c r="H2044" t="s">
        <v>4852</v>
      </c>
      <c r="I2044">
        <v>1237815.1299999999</v>
      </c>
      <c r="J2044" s="123">
        <v>0</v>
      </c>
      <c r="K2044" s="123">
        <v>0</v>
      </c>
      <c r="L2044" s="123">
        <v>46147</v>
      </c>
      <c r="M2044">
        <v>0</v>
      </c>
      <c r="N2044">
        <v>0</v>
      </c>
      <c r="O2044">
        <v>0</v>
      </c>
      <c r="P2044" s="216">
        <v>33500</v>
      </c>
      <c r="Q2044" s="217" t="s">
        <v>10</v>
      </c>
      <c r="R2044" s="217" t="s">
        <v>61</v>
      </c>
      <c r="S2044" s="218">
        <v>0.30148315443518614</v>
      </c>
      <c r="T2044" t="s">
        <v>550</v>
      </c>
      <c r="U2044" t="s">
        <v>77</v>
      </c>
      <c r="V2044" s="219">
        <v>0</v>
      </c>
      <c r="W2044" s="219">
        <v>0</v>
      </c>
    </row>
    <row r="2045" spans="1:23" ht="15" customHeight="1" x14ac:dyDescent="0.25">
      <c r="A2045" t="s">
        <v>4853</v>
      </c>
      <c r="B2045" t="s">
        <v>546</v>
      </c>
      <c r="C2045">
        <v>100935.05</v>
      </c>
      <c r="D2045" t="s">
        <v>4854</v>
      </c>
      <c r="E2045" t="s">
        <v>553</v>
      </c>
      <c r="F2045" t="s">
        <v>554</v>
      </c>
      <c r="G2045" s="30">
        <v>46144</v>
      </c>
      <c r="H2045" t="s">
        <v>4855</v>
      </c>
      <c r="I2045">
        <v>1259336.47</v>
      </c>
      <c r="J2045" s="123">
        <v>46144</v>
      </c>
      <c r="K2045" s="123">
        <v>0</v>
      </c>
      <c r="L2045" s="123">
        <v>46144</v>
      </c>
      <c r="M2045">
        <v>0</v>
      </c>
      <c r="N2045">
        <v>0</v>
      </c>
      <c r="O2045" t="s">
        <v>556</v>
      </c>
      <c r="P2045" s="216">
        <v>100935.05</v>
      </c>
      <c r="Q2045" s="217" t="s">
        <v>10</v>
      </c>
      <c r="R2045" s="217" t="s">
        <v>554</v>
      </c>
      <c r="S2045" s="218">
        <v>0.4000011212253704</v>
      </c>
      <c r="T2045" t="s">
        <v>550</v>
      </c>
      <c r="U2045" t="s">
        <v>77</v>
      </c>
      <c r="V2045" s="219" t="s">
        <v>6969</v>
      </c>
      <c r="W2045" s="219" t="s">
        <v>67</v>
      </c>
    </row>
    <row r="2046" spans="1:23" ht="15" customHeight="1" x14ac:dyDescent="0.25">
      <c r="A2046" t="s">
        <v>4856</v>
      </c>
      <c r="B2046" t="s">
        <v>546</v>
      </c>
      <c r="C2046">
        <v>24000</v>
      </c>
      <c r="D2046" t="s">
        <v>4854</v>
      </c>
      <c r="E2046" t="s">
        <v>553</v>
      </c>
      <c r="F2046" t="s">
        <v>554</v>
      </c>
      <c r="G2046" s="30">
        <v>46144</v>
      </c>
      <c r="H2046" t="s">
        <v>4855</v>
      </c>
      <c r="I2046">
        <v>1259336.47</v>
      </c>
      <c r="J2046" s="123">
        <v>46144</v>
      </c>
      <c r="K2046" s="123">
        <v>0</v>
      </c>
      <c r="L2046" s="123">
        <v>46144</v>
      </c>
      <c r="M2046">
        <v>0</v>
      </c>
      <c r="N2046">
        <v>0</v>
      </c>
      <c r="O2046" t="s">
        <v>556</v>
      </c>
      <c r="P2046" s="216">
        <v>24000</v>
      </c>
      <c r="Q2046" s="217" t="s">
        <v>10</v>
      </c>
      <c r="R2046" s="217" t="s">
        <v>554</v>
      </c>
      <c r="S2046" s="218">
        <v>0.4000011212253704</v>
      </c>
      <c r="T2046" t="s">
        <v>550</v>
      </c>
      <c r="U2046" t="s">
        <v>77</v>
      </c>
      <c r="V2046" s="219" t="s">
        <v>6970</v>
      </c>
      <c r="W2046" s="219" t="s">
        <v>67</v>
      </c>
    </row>
    <row r="2047" spans="1:23" ht="15" customHeight="1" x14ac:dyDescent="0.25">
      <c r="A2047" t="s">
        <v>4857</v>
      </c>
      <c r="B2047" t="s">
        <v>546</v>
      </c>
      <c r="C2047">
        <v>100935.05</v>
      </c>
      <c r="D2047" t="s">
        <v>4854</v>
      </c>
      <c r="E2047" t="s">
        <v>553</v>
      </c>
      <c r="F2047" t="s">
        <v>548</v>
      </c>
      <c r="G2047" s="30">
        <v>46144</v>
      </c>
      <c r="H2047" t="s">
        <v>4855</v>
      </c>
      <c r="I2047">
        <v>1259336.47</v>
      </c>
      <c r="J2047" s="123">
        <v>46144</v>
      </c>
      <c r="K2047" s="123">
        <v>0</v>
      </c>
      <c r="L2047" s="123">
        <v>46144</v>
      </c>
      <c r="M2047">
        <v>0</v>
      </c>
      <c r="N2047">
        <v>0</v>
      </c>
      <c r="O2047" t="s">
        <v>556</v>
      </c>
      <c r="P2047" s="216">
        <v>100935.05</v>
      </c>
      <c r="Q2047" s="217" t="s">
        <v>10</v>
      </c>
      <c r="R2047" s="217" t="s">
        <v>62</v>
      </c>
      <c r="S2047" s="218">
        <v>0.4000011212253704</v>
      </c>
      <c r="T2047" t="s">
        <v>550</v>
      </c>
      <c r="U2047" t="s">
        <v>77</v>
      </c>
      <c r="V2047" s="219">
        <v>0</v>
      </c>
      <c r="W2047" s="219">
        <v>0</v>
      </c>
    </row>
    <row r="2048" spans="1:23" ht="15" customHeight="1" x14ac:dyDescent="0.25">
      <c r="A2048" t="s">
        <v>4858</v>
      </c>
      <c r="B2048" t="s">
        <v>595</v>
      </c>
      <c r="C2048">
        <v>150000</v>
      </c>
      <c r="D2048" t="s">
        <v>4859</v>
      </c>
      <c r="E2048" t="s">
        <v>311</v>
      </c>
      <c r="F2048" t="s">
        <v>554</v>
      </c>
      <c r="G2048" s="30">
        <v>46148</v>
      </c>
      <c r="H2048" t="s">
        <v>4860</v>
      </c>
      <c r="I2048">
        <v>1259336.47</v>
      </c>
      <c r="J2048" s="123">
        <v>0</v>
      </c>
      <c r="K2048" s="123">
        <v>0</v>
      </c>
      <c r="L2048" s="123">
        <v>46146</v>
      </c>
      <c r="M2048">
        <v>0</v>
      </c>
      <c r="N2048">
        <v>0</v>
      </c>
      <c r="O2048">
        <v>0</v>
      </c>
      <c r="P2048" s="216">
        <v>150000</v>
      </c>
      <c r="Q2048" s="217" t="s">
        <v>42</v>
      </c>
      <c r="R2048" s="217" t="s">
        <v>554</v>
      </c>
      <c r="S2048" s="218">
        <v>0.32323950723034328</v>
      </c>
      <c r="T2048" t="s">
        <v>550</v>
      </c>
      <c r="U2048" t="s">
        <v>77</v>
      </c>
      <c r="V2048" s="219">
        <v>0</v>
      </c>
      <c r="W2048" s="219" t="s">
        <v>72</v>
      </c>
    </row>
    <row r="2049" spans="1:23" ht="15" customHeight="1" x14ac:dyDescent="0.25">
      <c r="A2049" t="s">
        <v>4861</v>
      </c>
      <c r="B2049" t="s">
        <v>575</v>
      </c>
      <c r="C2049">
        <v>17230</v>
      </c>
      <c r="D2049" t="s">
        <v>4862</v>
      </c>
      <c r="E2049" t="s">
        <v>268</v>
      </c>
      <c r="F2049" t="s">
        <v>683</v>
      </c>
      <c r="G2049" s="30">
        <v>46148</v>
      </c>
      <c r="H2049" t="s">
        <v>4863</v>
      </c>
      <c r="I2049">
        <v>1510650.72</v>
      </c>
      <c r="J2049" s="123">
        <v>0</v>
      </c>
      <c r="K2049" s="123">
        <v>0</v>
      </c>
      <c r="L2049" s="123">
        <v>46147</v>
      </c>
      <c r="M2049">
        <v>0</v>
      </c>
      <c r="N2049">
        <v>0</v>
      </c>
      <c r="O2049">
        <v>0</v>
      </c>
      <c r="P2049" s="216">
        <v>17230</v>
      </c>
      <c r="Q2049" s="217" t="s">
        <v>10</v>
      </c>
      <c r="R2049" s="217" t="s">
        <v>62</v>
      </c>
      <c r="S2049" s="218">
        <v>0.28457604018485494</v>
      </c>
      <c r="T2049" t="s">
        <v>550</v>
      </c>
      <c r="U2049" t="s">
        <v>77</v>
      </c>
      <c r="V2049" s="219">
        <v>0</v>
      </c>
      <c r="W2049" s="219">
        <v>0</v>
      </c>
    </row>
    <row r="2050" spans="1:23" ht="15" customHeight="1" x14ac:dyDescent="0.25">
      <c r="A2050" t="s">
        <v>4864</v>
      </c>
      <c r="B2050" t="s">
        <v>575</v>
      </c>
      <c r="C2050">
        <v>90000</v>
      </c>
      <c r="D2050" t="s">
        <v>4862</v>
      </c>
      <c r="E2050" t="s">
        <v>268</v>
      </c>
      <c r="F2050" t="s">
        <v>683</v>
      </c>
      <c r="G2050" s="30">
        <v>46148</v>
      </c>
      <c r="H2050" t="s">
        <v>4863</v>
      </c>
      <c r="I2050">
        <v>1510650.72</v>
      </c>
      <c r="J2050" s="123">
        <v>0</v>
      </c>
      <c r="K2050" s="123">
        <v>0</v>
      </c>
      <c r="L2050" s="123">
        <v>46147</v>
      </c>
      <c r="M2050">
        <v>0</v>
      </c>
      <c r="N2050">
        <v>0</v>
      </c>
      <c r="O2050">
        <v>0</v>
      </c>
      <c r="P2050" s="216">
        <v>90000</v>
      </c>
      <c r="Q2050" s="217" t="s">
        <v>10</v>
      </c>
      <c r="R2050" s="217" t="s">
        <v>62</v>
      </c>
      <c r="S2050" s="218">
        <v>0.28457604018485494</v>
      </c>
      <c r="T2050" t="s">
        <v>550</v>
      </c>
      <c r="U2050" t="s">
        <v>77</v>
      </c>
      <c r="V2050" s="219">
        <v>0</v>
      </c>
      <c r="W2050" s="219">
        <v>0</v>
      </c>
    </row>
    <row r="2051" spans="1:23" ht="15" customHeight="1" x14ac:dyDescent="0.25">
      <c r="A2051" t="s">
        <v>4865</v>
      </c>
      <c r="B2051" t="s">
        <v>575</v>
      </c>
      <c r="C2051">
        <v>90000</v>
      </c>
      <c r="D2051" t="s">
        <v>4862</v>
      </c>
      <c r="E2051" t="s">
        <v>553</v>
      </c>
      <c r="F2051" t="s">
        <v>554</v>
      </c>
      <c r="G2051" s="30">
        <v>46147</v>
      </c>
      <c r="H2051" t="s">
        <v>4863</v>
      </c>
      <c r="I2051">
        <v>1510650.72</v>
      </c>
      <c r="J2051" s="123">
        <v>46147</v>
      </c>
      <c r="K2051" s="123">
        <v>0</v>
      </c>
      <c r="L2051" s="123">
        <v>46147</v>
      </c>
      <c r="M2051">
        <v>0</v>
      </c>
      <c r="N2051">
        <v>0</v>
      </c>
      <c r="O2051" t="s">
        <v>556</v>
      </c>
      <c r="P2051" s="216">
        <v>90000</v>
      </c>
      <c r="Q2051" s="217" t="s">
        <v>10</v>
      </c>
      <c r="R2051" s="217" t="s">
        <v>554</v>
      </c>
      <c r="S2051" s="218">
        <v>0.28457604018485494</v>
      </c>
      <c r="T2051" t="s">
        <v>550</v>
      </c>
      <c r="U2051" t="s">
        <v>77</v>
      </c>
      <c r="V2051" s="219" t="s">
        <v>6971</v>
      </c>
      <c r="W2051" s="219" t="s">
        <v>67</v>
      </c>
    </row>
    <row r="2052" spans="1:23" ht="15" customHeight="1" x14ac:dyDescent="0.25">
      <c r="A2052" t="s">
        <v>4866</v>
      </c>
      <c r="B2052" t="s">
        <v>575</v>
      </c>
      <c r="C2052">
        <v>17230</v>
      </c>
      <c r="D2052" t="s">
        <v>4862</v>
      </c>
      <c r="E2052" t="s">
        <v>553</v>
      </c>
      <c r="F2052" t="s">
        <v>554</v>
      </c>
      <c r="G2052" s="30">
        <v>46147</v>
      </c>
      <c r="H2052" t="s">
        <v>4863</v>
      </c>
      <c r="I2052">
        <v>1510650.72</v>
      </c>
      <c r="J2052" s="123">
        <v>46147</v>
      </c>
      <c r="K2052" s="123">
        <v>0</v>
      </c>
      <c r="L2052" s="123">
        <v>46147</v>
      </c>
      <c r="M2052">
        <v>0</v>
      </c>
      <c r="N2052">
        <v>0</v>
      </c>
      <c r="O2052" t="s">
        <v>556</v>
      </c>
      <c r="P2052" s="216">
        <v>17230</v>
      </c>
      <c r="Q2052" s="217" t="s">
        <v>10</v>
      </c>
      <c r="R2052" s="217" t="s">
        <v>554</v>
      </c>
      <c r="S2052" s="218">
        <v>0.28457604018485494</v>
      </c>
      <c r="T2052" t="s">
        <v>550</v>
      </c>
      <c r="U2052" t="s">
        <v>77</v>
      </c>
      <c r="V2052" s="219" t="s">
        <v>6972</v>
      </c>
      <c r="W2052" s="219" t="s">
        <v>67</v>
      </c>
    </row>
    <row r="2053" spans="1:23" ht="15" customHeight="1" x14ac:dyDescent="0.25">
      <c r="A2053" t="s">
        <v>4867</v>
      </c>
      <c r="B2053" t="s">
        <v>546</v>
      </c>
      <c r="C2053">
        <v>107230</v>
      </c>
      <c r="D2053" t="s">
        <v>4862</v>
      </c>
      <c r="E2053" t="s">
        <v>553</v>
      </c>
      <c r="F2053" t="s">
        <v>548</v>
      </c>
      <c r="G2053" s="30">
        <v>46147</v>
      </c>
      <c r="H2053" t="s">
        <v>4863</v>
      </c>
      <c r="I2053">
        <v>1510650.72</v>
      </c>
      <c r="J2053" s="123">
        <v>46147</v>
      </c>
      <c r="K2053" s="123">
        <v>0</v>
      </c>
      <c r="L2053" s="123">
        <v>46147</v>
      </c>
      <c r="M2053">
        <v>0</v>
      </c>
      <c r="N2053">
        <v>0</v>
      </c>
      <c r="O2053" t="s">
        <v>556</v>
      </c>
      <c r="P2053" s="216">
        <v>107230</v>
      </c>
      <c r="Q2053" s="217" t="s">
        <v>10</v>
      </c>
      <c r="R2053" s="217" t="s">
        <v>62</v>
      </c>
      <c r="S2053" s="218">
        <v>0.28457604018485494</v>
      </c>
      <c r="T2053" t="s">
        <v>550</v>
      </c>
      <c r="U2053" t="s">
        <v>77</v>
      </c>
      <c r="V2053" s="219">
        <v>0</v>
      </c>
      <c r="W2053" s="219">
        <v>0</v>
      </c>
    </row>
    <row r="2054" spans="1:23" ht="15" customHeight="1" x14ac:dyDescent="0.25">
      <c r="A2054" t="s">
        <v>4868</v>
      </c>
      <c r="B2054" t="s">
        <v>546</v>
      </c>
      <c r="C2054">
        <v>55000</v>
      </c>
      <c r="D2054" t="s">
        <v>4862</v>
      </c>
      <c r="E2054" t="s">
        <v>553</v>
      </c>
      <c r="F2054" t="s">
        <v>548</v>
      </c>
      <c r="G2054" s="30">
        <v>46147</v>
      </c>
      <c r="H2054" t="s">
        <v>4863</v>
      </c>
      <c r="I2054">
        <v>1510650.72</v>
      </c>
      <c r="J2054" s="123">
        <v>46147</v>
      </c>
      <c r="K2054" s="123">
        <v>0</v>
      </c>
      <c r="L2054" s="123">
        <v>46147</v>
      </c>
      <c r="M2054">
        <v>0</v>
      </c>
      <c r="N2054">
        <v>0</v>
      </c>
      <c r="O2054" t="s">
        <v>556</v>
      </c>
      <c r="P2054" s="216">
        <v>55000</v>
      </c>
      <c r="Q2054" s="217" t="s">
        <v>10</v>
      </c>
      <c r="R2054" s="217" t="s">
        <v>62</v>
      </c>
      <c r="S2054" s="218">
        <v>0.28457604018485494</v>
      </c>
      <c r="T2054" t="s">
        <v>550</v>
      </c>
      <c r="U2054" t="s">
        <v>77</v>
      </c>
      <c r="V2054" s="219">
        <v>0</v>
      </c>
      <c r="W2054" s="219">
        <v>0</v>
      </c>
    </row>
    <row r="2055" spans="1:23" ht="15" customHeight="1" x14ac:dyDescent="0.25">
      <c r="A2055" t="s">
        <v>4869</v>
      </c>
      <c r="B2055" t="s">
        <v>546</v>
      </c>
      <c r="C2055">
        <v>107230</v>
      </c>
      <c r="D2055" t="s">
        <v>4862</v>
      </c>
      <c r="E2055" t="s">
        <v>553</v>
      </c>
      <c r="F2055" t="s">
        <v>548</v>
      </c>
      <c r="G2055" s="30">
        <v>46147</v>
      </c>
      <c r="H2055" t="s">
        <v>4863</v>
      </c>
      <c r="I2055">
        <v>1510650.72</v>
      </c>
      <c r="J2055" s="123">
        <v>46147</v>
      </c>
      <c r="K2055" s="123">
        <v>0</v>
      </c>
      <c r="L2055" s="123">
        <v>46147</v>
      </c>
      <c r="M2055">
        <v>0</v>
      </c>
      <c r="N2055">
        <v>0</v>
      </c>
      <c r="O2055" t="s">
        <v>556</v>
      </c>
      <c r="P2055" s="216">
        <v>107230</v>
      </c>
      <c r="Q2055" s="217" t="s">
        <v>10</v>
      </c>
      <c r="R2055" s="217" t="s">
        <v>62</v>
      </c>
      <c r="S2055" s="218">
        <v>0.28457604018485494</v>
      </c>
      <c r="T2055" t="s">
        <v>550</v>
      </c>
      <c r="U2055" t="s">
        <v>77</v>
      </c>
      <c r="V2055" s="219">
        <v>0</v>
      </c>
      <c r="W2055" s="219">
        <v>0</v>
      </c>
    </row>
    <row r="2056" spans="1:23" ht="15" customHeight="1" x14ac:dyDescent="0.25">
      <c r="A2056" t="s">
        <v>4870</v>
      </c>
      <c r="B2056" t="s">
        <v>546</v>
      </c>
      <c r="C2056">
        <v>130530</v>
      </c>
      <c r="D2056" t="s">
        <v>4862</v>
      </c>
      <c r="E2056" t="s">
        <v>553</v>
      </c>
      <c r="F2056" t="s">
        <v>548</v>
      </c>
      <c r="G2056" s="30">
        <v>46147</v>
      </c>
      <c r="H2056" t="s">
        <v>4863</v>
      </c>
      <c r="I2056">
        <v>1510650.72</v>
      </c>
      <c r="J2056" s="123">
        <v>46147</v>
      </c>
      <c r="K2056" s="123">
        <v>0</v>
      </c>
      <c r="L2056" s="123">
        <v>46147</v>
      </c>
      <c r="M2056">
        <v>0</v>
      </c>
      <c r="N2056">
        <v>0</v>
      </c>
      <c r="O2056" t="s">
        <v>556</v>
      </c>
      <c r="P2056" s="216">
        <v>130530</v>
      </c>
      <c r="Q2056" s="217" t="s">
        <v>10</v>
      </c>
      <c r="R2056" s="217" t="s">
        <v>62</v>
      </c>
      <c r="S2056" s="218">
        <v>0.28457604018485494</v>
      </c>
      <c r="T2056" t="s">
        <v>550</v>
      </c>
      <c r="U2056" t="s">
        <v>77</v>
      </c>
      <c r="V2056" s="219">
        <v>0</v>
      </c>
      <c r="W2056" s="219">
        <v>0</v>
      </c>
    </row>
    <row r="2057" spans="1:23" ht="15" customHeight="1" x14ac:dyDescent="0.25">
      <c r="A2057" t="s">
        <v>4871</v>
      </c>
      <c r="B2057" t="s">
        <v>546</v>
      </c>
      <c r="C2057">
        <v>107230</v>
      </c>
      <c r="D2057" t="s">
        <v>4862</v>
      </c>
      <c r="E2057" t="s">
        <v>553</v>
      </c>
      <c r="F2057" t="s">
        <v>548</v>
      </c>
      <c r="G2057" s="30">
        <v>46147</v>
      </c>
      <c r="H2057" t="s">
        <v>4863</v>
      </c>
      <c r="I2057">
        <v>1510650.72</v>
      </c>
      <c r="J2057" s="123">
        <v>46147</v>
      </c>
      <c r="K2057" s="123">
        <v>0</v>
      </c>
      <c r="L2057" s="123">
        <v>46147</v>
      </c>
      <c r="M2057">
        <v>0</v>
      </c>
      <c r="N2057">
        <v>0</v>
      </c>
      <c r="O2057" t="s">
        <v>556</v>
      </c>
      <c r="P2057" s="216">
        <v>107230</v>
      </c>
      <c r="Q2057" s="217" t="s">
        <v>10</v>
      </c>
      <c r="R2057" s="217" t="s">
        <v>62</v>
      </c>
      <c r="S2057" s="218">
        <v>0.28457604018485494</v>
      </c>
      <c r="T2057" t="s">
        <v>550</v>
      </c>
      <c r="U2057" t="s">
        <v>77</v>
      </c>
      <c r="V2057" s="219">
        <v>0</v>
      </c>
      <c r="W2057" s="219">
        <v>0</v>
      </c>
    </row>
    <row r="2058" spans="1:23" ht="15" customHeight="1" x14ac:dyDescent="0.25">
      <c r="A2058" t="s">
        <v>4872</v>
      </c>
      <c r="B2058" t="s">
        <v>1118</v>
      </c>
      <c r="C2058">
        <v>23300</v>
      </c>
      <c r="D2058" t="s">
        <v>4862</v>
      </c>
      <c r="E2058" t="s">
        <v>4873</v>
      </c>
      <c r="F2058" t="s">
        <v>554</v>
      </c>
      <c r="G2058" s="30">
        <v>46148</v>
      </c>
      <c r="H2058" t="s">
        <v>4863</v>
      </c>
      <c r="I2058">
        <v>1510650.72</v>
      </c>
      <c r="J2058" s="123">
        <v>46112</v>
      </c>
      <c r="K2058" s="123">
        <v>0</v>
      </c>
      <c r="L2058" s="123">
        <v>0</v>
      </c>
      <c r="M2058">
        <v>0</v>
      </c>
      <c r="N2058">
        <v>0</v>
      </c>
      <c r="O2058">
        <v>0</v>
      </c>
      <c r="P2058" s="216">
        <v>23300</v>
      </c>
      <c r="Q2058" s="217" t="s">
        <v>10</v>
      </c>
      <c r="R2058" s="217" t="s">
        <v>554</v>
      </c>
      <c r="S2058" s="218">
        <v>0.28457604018485494</v>
      </c>
      <c r="T2058" t="s">
        <v>550</v>
      </c>
      <c r="U2058" t="s">
        <v>77</v>
      </c>
      <c r="V2058" s="219" t="s">
        <v>6973</v>
      </c>
      <c r="W2058" s="219" t="s">
        <v>71</v>
      </c>
    </row>
    <row r="2059" spans="1:23" ht="15" customHeight="1" x14ac:dyDescent="0.25">
      <c r="A2059" t="s">
        <v>4874</v>
      </c>
      <c r="B2059" t="s">
        <v>595</v>
      </c>
      <c r="C2059">
        <v>118702</v>
      </c>
      <c r="D2059" t="s">
        <v>4875</v>
      </c>
      <c r="E2059" t="s">
        <v>268</v>
      </c>
      <c r="F2059" t="s">
        <v>554</v>
      </c>
      <c r="G2059" s="30">
        <v>46146</v>
      </c>
      <c r="H2059" t="s">
        <v>4876</v>
      </c>
      <c r="I2059">
        <v>1197017.8</v>
      </c>
      <c r="J2059" s="123">
        <v>0</v>
      </c>
      <c r="K2059" s="123">
        <v>0</v>
      </c>
      <c r="L2059" s="123">
        <v>46146</v>
      </c>
      <c r="M2059">
        <v>0</v>
      </c>
      <c r="N2059">
        <v>0</v>
      </c>
      <c r="O2059">
        <v>0</v>
      </c>
      <c r="P2059" s="216">
        <v>118702</v>
      </c>
      <c r="Q2059" s="217" t="s">
        <v>10</v>
      </c>
      <c r="R2059" s="217" t="s">
        <v>554</v>
      </c>
      <c r="S2059" s="218">
        <v>0.40000073516032925</v>
      </c>
      <c r="T2059" t="s">
        <v>550</v>
      </c>
      <c r="U2059" t="s">
        <v>77</v>
      </c>
      <c r="V2059" s="219" t="s">
        <v>6974</v>
      </c>
      <c r="W2059" s="219" t="s">
        <v>67</v>
      </c>
    </row>
    <row r="2060" spans="1:23" ht="15" customHeight="1" x14ac:dyDescent="0.25">
      <c r="A2060" t="s">
        <v>4877</v>
      </c>
      <c r="B2060" t="s">
        <v>546</v>
      </c>
      <c r="C2060">
        <v>150413.18</v>
      </c>
      <c r="D2060" t="s">
        <v>4878</v>
      </c>
      <c r="E2060" t="s">
        <v>4879</v>
      </c>
      <c r="F2060" t="s">
        <v>548</v>
      </c>
      <c r="G2060" s="30">
        <v>46146</v>
      </c>
      <c r="H2060" t="s">
        <v>4880</v>
      </c>
      <c r="I2060">
        <v>1504131.78</v>
      </c>
      <c r="J2060" s="123">
        <v>0</v>
      </c>
      <c r="K2060" s="123">
        <v>0</v>
      </c>
      <c r="L2060" s="123">
        <v>0</v>
      </c>
      <c r="M2060">
        <v>0</v>
      </c>
      <c r="N2060">
        <v>0</v>
      </c>
      <c r="O2060">
        <v>0</v>
      </c>
      <c r="P2060" s="216">
        <v>150413.18</v>
      </c>
      <c r="Q2060" s="217" t="s">
        <v>10</v>
      </c>
      <c r="R2060" s="217" t="s">
        <v>62</v>
      </c>
      <c r="S2060" s="218">
        <v>0.30005827016034459</v>
      </c>
      <c r="T2060" t="s">
        <v>550</v>
      </c>
      <c r="U2060" t="s">
        <v>77</v>
      </c>
      <c r="V2060" s="219">
        <v>0</v>
      </c>
      <c r="W2060" s="219">
        <v>0</v>
      </c>
    </row>
    <row r="2061" spans="1:23" ht="15" customHeight="1" x14ac:dyDescent="0.25">
      <c r="A2061" t="s">
        <v>4881</v>
      </c>
      <c r="B2061" t="s">
        <v>546</v>
      </c>
      <c r="C2061">
        <v>150413.18</v>
      </c>
      <c r="D2061" t="s">
        <v>4878</v>
      </c>
      <c r="E2061" t="s">
        <v>4879</v>
      </c>
      <c r="F2061" t="s">
        <v>554</v>
      </c>
      <c r="G2061" s="30">
        <v>46146</v>
      </c>
      <c r="H2061" t="s">
        <v>4880</v>
      </c>
      <c r="I2061">
        <v>1504131.78</v>
      </c>
      <c r="J2061" s="123">
        <v>0</v>
      </c>
      <c r="K2061" s="123">
        <v>0</v>
      </c>
      <c r="L2061" s="123">
        <v>0</v>
      </c>
      <c r="M2061">
        <v>0</v>
      </c>
      <c r="N2061">
        <v>0</v>
      </c>
      <c r="O2061">
        <v>0</v>
      </c>
      <c r="P2061" s="216">
        <v>150413.18</v>
      </c>
      <c r="Q2061" s="217" t="s">
        <v>10</v>
      </c>
      <c r="R2061" s="217" t="s">
        <v>554</v>
      </c>
      <c r="S2061" s="218">
        <v>0.30005827016034459</v>
      </c>
      <c r="T2061" t="s">
        <v>550</v>
      </c>
      <c r="U2061" t="s">
        <v>77</v>
      </c>
      <c r="V2061" s="219" t="s">
        <v>6975</v>
      </c>
      <c r="W2061" s="219" t="s">
        <v>67</v>
      </c>
    </row>
    <row r="2062" spans="1:23" ht="15" customHeight="1" x14ac:dyDescent="0.25">
      <c r="A2062" t="s">
        <v>4882</v>
      </c>
      <c r="B2062" t="s">
        <v>546</v>
      </c>
      <c r="C2062">
        <v>36725</v>
      </c>
      <c r="D2062" t="s">
        <v>4883</v>
      </c>
      <c r="E2062" t="s">
        <v>4884</v>
      </c>
      <c r="F2062" t="s">
        <v>554</v>
      </c>
      <c r="G2062" s="30">
        <v>46144</v>
      </c>
      <c r="H2062" t="s">
        <v>4885</v>
      </c>
      <c r="I2062">
        <v>1131311.72</v>
      </c>
      <c r="J2062" s="123">
        <v>46143</v>
      </c>
      <c r="K2062" s="123">
        <v>0</v>
      </c>
      <c r="L2062" s="123">
        <v>46143</v>
      </c>
      <c r="M2062">
        <v>0</v>
      </c>
      <c r="N2062">
        <v>0</v>
      </c>
      <c r="O2062" t="s">
        <v>556</v>
      </c>
      <c r="P2062" s="216">
        <v>36725</v>
      </c>
      <c r="Q2062" s="217" t="s">
        <v>10</v>
      </c>
      <c r="R2062" s="217" t="s">
        <v>554</v>
      </c>
      <c r="S2062" s="218">
        <v>0.36808301605856253</v>
      </c>
      <c r="T2062" t="s">
        <v>550</v>
      </c>
      <c r="U2062" t="s">
        <v>77</v>
      </c>
      <c r="V2062" s="219" t="s">
        <v>6976</v>
      </c>
      <c r="W2062" s="219" t="s">
        <v>67</v>
      </c>
    </row>
    <row r="2063" spans="1:23" ht="15" customHeight="1" x14ac:dyDescent="0.25">
      <c r="A2063" t="s">
        <v>4886</v>
      </c>
      <c r="B2063" t="s">
        <v>546</v>
      </c>
      <c r="C2063">
        <v>36725</v>
      </c>
      <c r="D2063" t="s">
        <v>4883</v>
      </c>
      <c r="E2063" t="s">
        <v>553</v>
      </c>
      <c r="F2063" t="s">
        <v>548</v>
      </c>
      <c r="G2063" s="30">
        <v>46144</v>
      </c>
      <c r="H2063" t="s">
        <v>4885</v>
      </c>
      <c r="I2063">
        <v>1131311.72</v>
      </c>
      <c r="J2063" s="123">
        <v>46143</v>
      </c>
      <c r="K2063" s="123">
        <v>0</v>
      </c>
      <c r="L2063" s="123">
        <v>46143</v>
      </c>
      <c r="M2063">
        <v>0</v>
      </c>
      <c r="N2063">
        <v>0</v>
      </c>
      <c r="O2063" t="s">
        <v>556</v>
      </c>
      <c r="P2063" s="216">
        <v>36725</v>
      </c>
      <c r="Q2063" s="217" t="s">
        <v>10</v>
      </c>
      <c r="R2063" s="217" t="s">
        <v>62</v>
      </c>
      <c r="S2063" s="218">
        <v>0.36808301605856253</v>
      </c>
      <c r="T2063" t="s">
        <v>550</v>
      </c>
      <c r="U2063" t="s">
        <v>77</v>
      </c>
      <c r="V2063" s="219">
        <v>0</v>
      </c>
      <c r="W2063" s="219">
        <v>0</v>
      </c>
    </row>
    <row r="2064" spans="1:23" ht="15" customHeight="1" x14ac:dyDescent="0.25">
      <c r="A2064" t="s">
        <v>4887</v>
      </c>
      <c r="B2064" t="s">
        <v>595</v>
      </c>
      <c r="C2064">
        <v>118925</v>
      </c>
      <c r="D2064" t="s">
        <v>4888</v>
      </c>
      <c r="E2064" t="s">
        <v>268</v>
      </c>
      <c r="F2064" t="s">
        <v>554</v>
      </c>
      <c r="G2064" s="30">
        <v>46148</v>
      </c>
      <c r="H2064" t="s">
        <v>4889</v>
      </c>
      <c r="I2064">
        <v>1189545.5</v>
      </c>
      <c r="J2064" s="123">
        <v>0</v>
      </c>
      <c r="K2064" s="123">
        <v>0</v>
      </c>
      <c r="L2064" s="123">
        <v>46148</v>
      </c>
      <c r="M2064">
        <v>0</v>
      </c>
      <c r="N2064">
        <v>0</v>
      </c>
      <c r="O2064">
        <v>0</v>
      </c>
      <c r="P2064" s="216">
        <v>118925</v>
      </c>
      <c r="Q2064" s="217" t="s">
        <v>10</v>
      </c>
      <c r="R2064" s="217" t="s">
        <v>554</v>
      </c>
      <c r="S2064" s="218">
        <v>0.29995872373103843</v>
      </c>
      <c r="T2064" t="s">
        <v>550</v>
      </c>
      <c r="U2064" t="s">
        <v>77</v>
      </c>
      <c r="V2064" s="219" t="s">
        <v>6977</v>
      </c>
      <c r="W2064" s="219" t="s">
        <v>67</v>
      </c>
    </row>
    <row r="2065" spans="1:23" ht="15" customHeight="1" x14ac:dyDescent="0.25">
      <c r="A2065" t="s">
        <v>4890</v>
      </c>
      <c r="B2065" t="s">
        <v>575</v>
      </c>
      <c r="C2065">
        <v>120612.67</v>
      </c>
      <c r="D2065" t="s">
        <v>4891</v>
      </c>
      <c r="E2065" t="s">
        <v>553</v>
      </c>
      <c r="F2065" t="s">
        <v>585</v>
      </c>
      <c r="G2065" s="30">
        <v>46144</v>
      </c>
      <c r="H2065" t="s">
        <v>4892</v>
      </c>
      <c r="I2065">
        <v>1206146.6599999999</v>
      </c>
      <c r="J2065" s="123">
        <v>46144</v>
      </c>
      <c r="K2065" s="123">
        <v>0</v>
      </c>
      <c r="L2065" s="123">
        <v>46144</v>
      </c>
      <c r="M2065">
        <v>0</v>
      </c>
      <c r="N2065">
        <v>0</v>
      </c>
      <c r="O2065" t="s">
        <v>556</v>
      </c>
      <c r="P2065" s="216">
        <v>120612.67</v>
      </c>
      <c r="Q2065" s="217" t="s">
        <v>10</v>
      </c>
      <c r="R2065" s="217" t="s">
        <v>61</v>
      </c>
      <c r="S2065" s="218">
        <v>0.30000027525674205</v>
      </c>
      <c r="T2065" t="s">
        <v>550</v>
      </c>
      <c r="U2065" t="s">
        <v>77</v>
      </c>
      <c r="V2065" s="219">
        <v>0</v>
      </c>
      <c r="W2065" s="219">
        <v>0</v>
      </c>
    </row>
    <row r="2066" spans="1:23" ht="15" customHeight="1" x14ac:dyDescent="0.25">
      <c r="A2066" t="s">
        <v>4893</v>
      </c>
      <c r="B2066" t="s">
        <v>546</v>
      </c>
      <c r="C2066">
        <v>120612.67</v>
      </c>
      <c r="D2066" t="s">
        <v>4891</v>
      </c>
      <c r="E2066" t="s">
        <v>553</v>
      </c>
      <c r="F2066" t="s">
        <v>548</v>
      </c>
      <c r="G2066" s="30">
        <v>46144</v>
      </c>
      <c r="H2066" t="s">
        <v>4892</v>
      </c>
      <c r="I2066">
        <v>1206146.6599999999</v>
      </c>
      <c r="J2066" s="123">
        <v>46144</v>
      </c>
      <c r="K2066" s="123">
        <v>0</v>
      </c>
      <c r="L2066" s="123">
        <v>46144</v>
      </c>
      <c r="M2066">
        <v>0</v>
      </c>
      <c r="N2066">
        <v>0</v>
      </c>
      <c r="O2066" t="s">
        <v>556</v>
      </c>
      <c r="P2066" s="216">
        <v>120612.67</v>
      </c>
      <c r="Q2066" s="217" t="s">
        <v>10</v>
      </c>
      <c r="R2066" s="217" t="s">
        <v>62</v>
      </c>
      <c r="S2066" s="218">
        <v>0.30000027525674205</v>
      </c>
      <c r="T2066" t="s">
        <v>550</v>
      </c>
      <c r="U2066" t="s">
        <v>77</v>
      </c>
      <c r="V2066" s="219">
        <v>0</v>
      </c>
      <c r="W2066" s="219">
        <v>0</v>
      </c>
    </row>
    <row r="2067" spans="1:23" ht="15" customHeight="1" x14ac:dyDescent="0.25">
      <c r="A2067" t="s">
        <v>4894</v>
      </c>
      <c r="B2067" t="s">
        <v>546</v>
      </c>
      <c r="C2067">
        <v>120612.67</v>
      </c>
      <c r="D2067" t="s">
        <v>4891</v>
      </c>
      <c r="E2067" t="s">
        <v>553</v>
      </c>
      <c r="F2067" t="s">
        <v>548</v>
      </c>
      <c r="G2067" s="30">
        <v>46144</v>
      </c>
      <c r="H2067" t="s">
        <v>4892</v>
      </c>
      <c r="I2067">
        <v>1206146.6599999999</v>
      </c>
      <c r="J2067" s="123">
        <v>46144</v>
      </c>
      <c r="K2067" s="123">
        <v>0</v>
      </c>
      <c r="L2067" s="123">
        <v>46144</v>
      </c>
      <c r="M2067">
        <v>0</v>
      </c>
      <c r="N2067">
        <v>0</v>
      </c>
      <c r="O2067" t="s">
        <v>556</v>
      </c>
      <c r="P2067" s="216">
        <v>120612.67</v>
      </c>
      <c r="Q2067" s="217" t="s">
        <v>10</v>
      </c>
      <c r="R2067" s="217" t="s">
        <v>62</v>
      </c>
      <c r="S2067" s="218">
        <v>0.30000027525674205</v>
      </c>
      <c r="T2067" t="s">
        <v>550</v>
      </c>
      <c r="U2067" t="s">
        <v>77</v>
      </c>
      <c r="V2067" s="219">
        <v>0</v>
      </c>
      <c r="W2067" s="219">
        <v>0</v>
      </c>
    </row>
    <row r="2068" spans="1:23" ht="15" customHeight="1" x14ac:dyDescent="0.25">
      <c r="A2068" t="s">
        <v>4895</v>
      </c>
      <c r="B2068" t="s">
        <v>546</v>
      </c>
      <c r="C2068">
        <v>120612.67</v>
      </c>
      <c r="D2068" t="s">
        <v>4891</v>
      </c>
      <c r="E2068" t="s">
        <v>553</v>
      </c>
      <c r="F2068" t="s">
        <v>548</v>
      </c>
      <c r="G2068" s="30">
        <v>46144</v>
      </c>
      <c r="H2068" t="s">
        <v>4892</v>
      </c>
      <c r="I2068">
        <v>1206146.6599999999</v>
      </c>
      <c r="J2068" s="123">
        <v>46144</v>
      </c>
      <c r="K2068" s="123">
        <v>0</v>
      </c>
      <c r="L2068" s="123">
        <v>46144</v>
      </c>
      <c r="M2068">
        <v>0</v>
      </c>
      <c r="N2068">
        <v>0</v>
      </c>
      <c r="O2068" t="s">
        <v>556</v>
      </c>
      <c r="P2068" s="216">
        <v>120612.67</v>
      </c>
      <c r="Q2068" s="217" t="s">
        <v>10</v>
      </c>
      <c r="R2068" s="217" t="s">
        <v>62</v>
      </c>
      <c r="S2068" s="218">
        <v>0.30000027525674205</v>
      </c>
      <c r="T2068" t="s">
        <v>550</v>
      </c>
      <c r="U2068" t="s">
        <v>77</v>
      </c>
      <c r="V2068" s="219">
        <v>0</v>
      </c>
      <c r="W2068" s="219">
        <v>0</v>
      </c>
    </row>
    <row r="2069" spans="1:23" ht="15" customHeight="1" x14ac:dyDescent="0.25">
      <c r="A2069" t="s">
        <v>4896</v>
      </c>
      <c r="B2069" t="s">
        <v>595</v>
      </c>
      <c r="C2069">
        <v>121000</v>
      </c>
      <c r="D2069" t="s">
        <v>4897</v>
      </c>
      <c r="E2069" t="s">
        <v>268</v>
      </c>
      <c r="F2069" t="s">
        <v>554</v>
      </c>
      <c r="G2069" s="30">
        <v>46147</v>
      </c>
      <c r="H2069" t="s">
        <v>4898</v>
      </c>
      <c r="I2069">
        <v>1206498.6399999999</v>
      </c>
      <c r="J2069" s="123">
        <v>0</v>
      </c>
      <c r="K2069" s="123">
        <v>0</v>
      </c>
      <c r="L2069" s="123">
        <v>46146</v>
      </c>
      <c r="M2069">
        <v>0</v>
      </c>
      <c r="N2069">
        <v>0</v>
      </c>
      <c r="O2069">
        <v>0</v>
      </c>
      <c r="P2069" s="216">
        <v>121000</v>
      </c>
      <c r="Q2069" s="217" t="s">
        <v>10</v>
      </c>
      <c r="R2069" s="217" t="s">
        <v>554</v>
      </c>
      <c r="S2069" s="218">
        <v>0.40111939123279911</v>
      </c>
      <c r="T2069" t="s">
        <v>550</v>
      </c>
      <c r="U2069" t="s">
        <v>77</v>
      </c>
      <c r="V2069" s="219" t="s">
        <v>6978</v>
      </c>
      <c r="W2069" s="219" t="s">
        <v>67</v>
      </c>
    </row>
    <row r="2070" spans="1:23" ht="15" customHeight="1" x14ac:dyDescent="0.25">
      <c r="A2070" t="s">
        <v>4899</v>
      </c>
      <c r="B2070" t="s">
        <v>595</v>
      </c>
      <c r="C2070">
        <v>121355</v>
      </c>
      <c r="D2070" t="s">
        <v>4900</v>
      </c>
      <c r="E2070" t="s">
        <v>268</v>
      </c>
      <c r="F2070" t="s">
        <v>554</v>
      </c>
      <c r="G2070" s="30">
        <v>46148</v>
      </c>
      <c r="H2070" t="s">
        <v>4901</v>
      </c>
      <c r="I2070">
        <v>1213852.54</v>
      </c>
      <c r="J2070" s="123">
        <v>0</v>
      </c>
      <c r="K2070" s="123">
        <v>0</v>
      </c>
      <c r="L2070" s="123">
        <v>46148</v>
      </c>
      <c r="M2070">
        <v>0</v>
      </c>
      <c r="N2070">
        <v>0</v>
      </c>
      <c r="O2070">
        <v>0</v>
      </c>
      <c r="P2070" s="216">
        <v>121355</v>
      </c>
      <c r="Q2070" s="217" t="s">
        <v>10</v>
      </c>
      <c r="R2070" s="217" t="s">
        <v>554</v>
      </c>
      <c r="S2070" s="218">
        <v>0.41995505483722101</v>
      </c>
      <c r="T2070" t="s">
        <v>550</v>
      </c>
      <c r="U2070" t="s">
        <v>77</v>
      </c>
      <c r="V2070" s="219" t="s">
        <v>6979</v>
      </c>
      <c r="W2070" s="219" t="s">
        <v>67</v>
      </c>
    </row>
    <row r="2071" spans="1:23" ht="15" customHeight="1" x14ac:dyDescent="0.25">
      <c r="A2071" t="s">
        <v>4902</v>
      </c>
      <c r="B2071" t="s">
        <v>595</v>
      </c>
      <c r="C2071">
        <v>26080</v>
      </c>
      <c r="D2071" t="s">
        <v>4903</v>
      </c>
      <c r="E2071" t="s">
        <v>268</v>
      </c>
      <c r="F2071" t="s">
        <v>554</v>
      </c>
      <c r="G2071" s="30">
        <v>46148</v>
      </c>
      <c r="H2071" t="s">
        <v>4904</v>
      </c>
      <c r="I2071">
        <v>1160789.74</v>
      </c>
      <c r="J2071" s="123">
        <v>0</v>
      </c>
      <c r="K2071" s="123">
        <v>0</v>
      </c>
      <c r="L2071" s="123">
        <v>46148</v>
      </c>
      <c r="M2071">
        <v>0</v>
      </c>
      <c r="N2071">
        <v>0</v>
      </c>
      <c r="O2071">
        <v>0</v>
      </c>
      <c r="P2071" s="216">
        <v>26080</v>
      </c>
      <c r="Q2071" s="217" t="s">
        <v>10</v>
      </c>
      <c r="R2071" s="217" t="s">
        <v>554</v>
      </c>
      <c r="S2071" s="218">
        <v>0.20000176776200659</v>
      </c>
      <c r="T2071" t="s">
        <v>550</v>
      </c>
      <c r="U2071" t="s">
        <v>77</v>
      </c>
      <c r="V2071" s="219" t="s">
        <v>6980</v>
      </c>
      <c r="W2071" s="219" t="s">
        <v>67</v>
      </c>
    </row>
    <row r="2072" spans="1:23" ht="15" customHeight="1" x14ac:dyDescent="0.25">
      <c r="A2072" t="s">
        <v>4905</v>
      </c>
      <c r="B2072" t="s">
        <v>546</v>
      </c>
      <c r="C2072">
        <v>121386</v>
      </c>
      <c r="D2072" t="s">
        <v>4906</v>
      </c>
      <c r="E2072" t="s">
        <v>3359</v>
      </c>
      <c r="F2072" t="s">
        <v>554</v>
      </c>
      <c r="G2072" s="30">
        <v>46148</v>
      </c>
      <c r="H2072" t="s">
        <v>4907</v>
      </c>
      <c r="I2072">
        <v>1213852.54</v>
      </c>
      <c r="J2072" s="123">
        <v>0</v>
      </c>
      <c r="K2072" s="123">
        <v>0</v>
      </c>
      <c r="L2072" s="123">
        <v>0</v>
      </c>
      <c r="M2072">
        <v>0</v>
      </c>
      <c r="N2072">
        <v>0</v>
      </c>
      <c r="O2072">
        <v>0</v>
      </c>
      <c r="P2072" s="216">
        <v>121386</v>
      </c>
      <c r="Q2072" s="217" t="s">
        <v>42</v>
      </c>
      <c r="R2072" s="217" t="s">
        <v>554</v>
      </c>
      <c r="S2072" s="218">
        <v>0.50000327881671691</v>
      </c>
      <c r="T2072" t="s">
        <v>550</v>
      </c>
      <c r="U2072" t="s">
        <v>77</v>
      </c>
      <c r="V2072" s="219" t="s">
        <v>6981</v>
      </c>
      <c r="W2072" s="219" t="s">
        <v>67</v>
      </c>
    </row>
    <row r="2073" spans="1:23" ht="15" customHeight="1" x14ac:dyDescent="0.25">
      <c r="A2073" t="s">
        <v>4908</v>
      </c>
      <c r="B2073" t="s">
        <v>546</v>
      </c>
      <c r="C2073">
        <v>121386</v>
      </c>
      <c r="D2073" t="s">
        <v>4906</v>
      </c>
      <c r="E2073" t="s">
        <v>3359</v>
      </c>
      <c r="F2073" t="s">
        <v>548</v>
      </c>
      <c r="G2073" s="30">
        <v>46148</v>
      </c>
      <c r="H2073" t="s">
        <v>4907</v>
      </c>
      <c r="I2073">
        <v>1213852.54</v>
      </c>
      <c r="J2073" s="123">
        <v>0</v>
      </c>
      <c r="K2073" s="123">
        <v>0</v>
      </c>
      <c r="L2073" s="123">
        <v>0</v>
      </c>
      <c r="M2073">
        <v>0</v>
      </c>
      <c r="N2073">
        <v>0</v>
      </c>
      <c r="O2073">
        <v>0</v>
      </c>
      <c r="P2073" s="216">
        <v>121386</v>
      </c>
      <c r="Q2073" s="217" t="s">
        <v>42</v>
      </c>
      <c r="R2073" s="217" t="s">
        <v>62</v>
      </c>
      <c r="S2073" s="218">
        <v>0.50000327881671691</v>
      </c>
      <c r="T2073" t="s">
        <v>550</v>
      </c>
      <c r="U2073" t="s">
        <v>77</v>
      </c>
      <c r="V2073" s="219">
        <v>0</v>
      </c>
      <c r="W2073" s="219">
        <v>0</v>
      </c>
    </row>
    <row r="2074" spans="1:23" ht="15" customHeight="1" x14ac:dyDescent="0.25">
      <c r="A2074" t="s">
        <v>4909</v>
      </c>
      <c r="B2074" t="s">
        <v>603</v>
      </c>
      <c r="C2074">
        <v>152384</v>
      </c>
      <c r="D2074" t="s">
        <v>4910</v>
      </c>
      <c r="E2074" t="s">
        <v>605</v>
      </c>
      <c r="F2074" t="s">
        <v>554</v>
      </c>
      <c r="G2074" s="30">
        <v>46143</v>
      </c>
      <c r="H2074" t="s">
        <v>4911</v>
      </c>
      <c r="I2074">
        <v>1536909.47</v>
      </c>
      <c r="J2074" s="123">
        <v>46143</v>
      </c>
      <c r="K2074" s="123">
        <v>0</v>
      </c>
      <c r="L2074" s="123">
        <v>0</v>
      </c>
      <c r="M2074">
        <v>0</v>
      </c>
      <c r="N2074">
        <v>0</v>
      </c>
      <c r="O2074">
        <v>0</v>
      </c>
      <c r="P2074" s="216">
        <v>152384</v>
      </c>
      <c r="Q2074" s="217" t="s">
        <v>10</v>
      </c>
      <c r="R2074" s="217" t="s">
        <v>554</v>
      </c>
      <c r="S2074" s="218">
        <v>0.30000010345436939</v>
      </c>
      <c r="T2074" t="s">
        <v>550</v>
      </c>
      <c r="U2074" t="s">
        <v>77</v>
      </c>
      <c r="V2074" s="219" t="s">
        <v>6982</v>
      </c>
      <c r="W2074" s="219" t="s">
        <v>67</v>
      </c>
    </row>
    <row r="2075" spans="1:23" ht="15" customHeight="1" x14ac:dyDescent="0.25">
      <c r="A2075" t="s">
        <v>4912</v>
      </c>
      <c r="B2075" t="s">
        <v>546</v>
      </c>
      <c r="C2075">
        <v>57530</v>
      </c>
      <c r="D2075" t="s">
        <v>4913</v>
      </c>
      <c r="E2075" t="s">
        <v>268</v>
      </c>
      <c r="F2075" t="s">
        <v>548</v>
      </c>
      <c r="G2075" s="30">
        <v>46148</v>
      </c>
      <c r="H2075" t="s">
        <v>4914</v>
      </c>
      <c r="I2075">
        <v>1575302.15</v>
      </c>
      <c r="J2075" s="123">
        <v>0</v>
      </c>
      <c r="K2075" s="123">
        <v>0</v>
      </c>
      <c r="L2075" s="123">
        <v>0</v>
      </c>
      <c r="M2075">
        <v>0</v>
      </c>
      <c r="N2075">
        <v>0</v>
      </c>
      <c r="O2075">
        <v>0</v>
      </c>
      <c r="P2075" s="216">
        <v>57530</v>
      </c>
      <c r="Q2075" s="217" t="s">
        <v>10</v>
      </c>
      <c r="R2075" s="217" t="s">
        <v>62</v>
      </c>
      <c r="S2075" s="218">
        <v>0.26348024726558017</v>
      </c>
      <c r="T2075" t="s">
        <v>550</v>
      </c>
      <c r="U2075" t="s">
        <v>77</v>
      </c>
      <c r="V2075" s="219">
        <v>0</v>
      </c>
      <c r="W2075" s="219">
        <v>0</v>
      </c>
    </row>
    <row r="2076" spans="1:23" ht="15" customHeight="1" x14ac:dyDescent="0.25">
      <c r="A2076" t="s">
        <v>4915</v>
      </c>
      <c r="B2076" t="s">
        <v>546</v>
      </c>
      <c r="C2076">
        <v>57530</v>
      </c>
      <c r="D2076" t="s">
        <v>4913</v>
      </c>
      <c r="E2076" t="s">
        <v>268</v>
      </c>
      <c r="F2076" t="s">
        <v>548</v>
      </c>
      <c r="G2076" s="30">
        <v>46148</v>
      </c>
      <c r="H2076" t="s">
        <v>4914</v>
      </c>
      <c r="I2076">
        <v>1575302.15</v>
      </c>
      <c r="J2076" s="123">
        <v>0</v>
      </c>
      <c r="K2076" s="123">
        <v>0</v>
      </c>
      <c r="L2076" s="123">
        <v>0</v>
      </c>
      <c r="M2076">
        <v>0</v>
      </c>
      <c r="N2076">
        <v>0</v>
      </c>
      <c r="O2076">
        <v>0</v>
      </c>
      <c r="P2076" s="216">
        <v>57530</v>
      </c>
      <c r="Q2076" s="217" t="s">
        <v>10</v>
      </c>
      <c r="R2076" s="217" t="s">
        <v>62</v>
      </c>
      <c r="S2076" s="218">
        <v>0.26348024726558017</v>
      </c>
      <c r="T2076" t="s">
        <v>550</v>
      </c>
      <c r="U2076" t="s">
        <v>77</v>
      </c>
      <c r="V2076" s="219">
        <v>0</v>
      </c>
      <c r="W2076" s="219">
        <v>0</v>
      </c>
    </row>
    <row r="2077" spans="1:23" ht="15" customHeight="1" x14ac:dyDescent="0.25">
      <c r="A2077" t="s">
        <v>4916</v>
      </c>
      <c r="B2077" t="s">
        <v>546</v>
      </c>
      <c r="C2077">
        <v>15000</v>
      </c>
      <c r="D2077" t="s">
        <v>4913</v>
      </c>
      <c r="E2077" t="s">
        <v>268</v>
      </c>
      <c r="F2077" t="s">
        <v>548</v>
      </c>
      <c r="G2077" s="30">
        <v>46149</v>
      </c>
      <c r="H2077" t="s">
        <v>4914</v>
      </c>
      <c r="I2077">
        <v>1575302.15</v>
      </c>
      <c r="J2077" s="123">
        <v>0</v>
      </c>
      <c r="K2077" s="123">
        <v>0</v>
      </c>
      <c r="L2077" s="123">
        <v>0</v>
      </c>
      <c r="M2077">
        <v>0</v>
      </c>
      <c r="N2077">
        <v>0</v>
      </c>
      <c r="O2077">
        <v>0</v>
      </c>
      <c r="P2077" s="216">
        <v>15000</v>
      </c>
      <c r="Q2077" s="217" t="s">
        <v>10</v>
      </c>
      <c r="R2077" s="217" t="s">
        <v>62</v>
      </c>
      <c r="S2077" s="218">
        <v>0.26348024726558017</v>
      </c>
      <c r="T2077" t="s">
        <v>550</v>
      </c>
      <c r="U2077" t="s">
        <v>77</v>
      </c>
      <c r="V2077" s="219">
        <v>0</v>
      </c>
      <c r="W2077" s="219">
        <v>0</v>
      </c>
    </row>
    <row r="2078" spans="1:23" ht="15" customHeight="1" x14ac:dyDescent="0.25">
      <c r="A2078" t="s">
        <v>4917</v>
      </c>
      <c r="B2078" t="s">
        <v>546</v>
      </c>
      <c r="C2078">
        <v>57530</v>
      </c>
      <c r="D2078" t="s">
        <v>4913</v>
      </c>
      <c r="E2078" t="s">
        <v>268</v>
      </c>
      <c r="F2078" t="s">
        <v>548</v>
      </c>
      <c r="G2078" s="30">
        <v>46149</v>
      </c>
      <c r="H2078" t="s">
        <v>4914</v>
      </c>
      <c r="I2078">
        <v>1575302.15</v>
      </c>
      <c r="J2078" s="123">
        <v>0</v>
      </c>
      <c r="K2078" s="123">
        <v>0</v>
      </c>
      <c r="L2078" s="123">
        <v>0</v>
      </c>
      <c r="M2078">
        <v>0</v>
      </c>
      <c r="N2078">
        <v>0</v>
      </c>
      <c r="O2078">
        <v>0</v>
      </c>
      <c r="P2078" s="216">
        <v>57530</v>
      </c>
      <c r="Q2078" s="217" t="s">
        <v>10</v>
      </c>
      <c r="R2078" s="217" t="s">
        <v>62</v>
      </c>
      <c r="S2078" s="218">
        <v>0.26348024726558017</v>
      </c>
      <c r="T2078" t="s">
        <v>550</v>
      </c>
      <c r="U2078" t="s">
        <v>77</v>
      </c>
      <c r="V2078" s="219">
        <v>0</v>
      </c>
      <c r="W2078" s="219">
        <v>0</v>
      </c>
    </row>
    <row r="2079" spans="1:23" ht="15" customHeight="1" x14ac:dyDescent="0.25">
      <c r="A2079" t="s">
        <v>4918</v>
      </c>
      <c r="B2079" t="s">
        <v>595</v>
      </c>
      <c r="C2079">
        <v>89457.5</v>
      </c>
      <c r="D2079" t="s">
        <v>4919</v>
      </c>
      <c r="E2079" t="s">
        <v>268</v>
      </c>
      <c r="F2079" t="s">
        <v>554</v>
      </c>
      <c r="G2079" s="30">
        <v>46147</v>
      </c>
      <c r="H2079" t="s">
        <v>4920</v>
      </c>
      <c r="I2079">
        <v>1115356.3500000001</v>
      </c>
      <c r="J2079" s="123">
        <v>0</v>
      </c>
      <c r="K2079" s="123">
        <v>0</v>
      </c>
      <c r="L2079" s="123">
        <v>46146</v>
      </c>
      <c r="M2079">
        <v>0</v>
      </c>
      <c r="N2079">
        <v>0</v>
      </c>
      <c r="O2079">
        <v>0</v>
      </c>
      <c r="P2079" s="216">
        <v>89457.5</v>
      </c>
      <c r="Q2079" s="217" t="s">
        <v>10</v>
      </c>
      <c r="R2079" s="217" t="s">
        <v>554</v>
      </c>
      <c r="S2079" s="218">
        <v>0.28022024530545775</v>
      </c>
      <c r="T2079" t="s">
        <v>550</v>
      </c>
      <c r="U2079" t="s">
        <v>77</v>
      </c>
      <c r="V2079" s="219" t="s">
        <v>6983</v>
      </c>
      <c r="W2079" s="219" t="s">
        <v>67</v>
      </c>
    </row>
    <row r="2080" spans="1:23" ht="15" customHeight="1" x14ac:dyDescent="0.25">
      <c r="A2080" t="s">
        <v>4921</v>
      </c>
      <c r="B2080" t="s">
        <v>595</v>
      </c>
      <c r="C2080">
        <v>22130</v>
      </c>
      <c r="D2080" t="s">
        <v>4919</v>
      </c>
      <c r="E2080" t="s">
        <v>268</v>
      </c>
      <c r="F2080" t="s">
        <v>580</v>
      </c>
      <c r="G2080" s="30">
        <v>46149</v>
      </c>
      <c r="H2080" t="s">
        <v>4920</v>
      </c>
      <c r="I2080">
        <v>1115356.3500000001</v>
      </c>
      <c r="J2080" s="123">
        <v>0</v>
      </c>
      <c r="K2080" s="123">
        <v>0</v>
      </c>
      <c r="L2080" s="123">
        <v>46148</v>
      </c>
      <c r="M2080">
        <v>0</v>
      </c>
      <c r="N2080">
        <v>0</v>
      </c>
      <c r="O2080">
        <v>0</v>
      </c>
      <c r="P2080" s="216">
        <v>22130</v>
      </c>
      <c r="Q2080" s="217" t="s">
        <v>10</v>
      </c>
      <c r="R2080" s="217" t="s">
        <v>582</v>
      </c>
      <c r="S2080" s="218">
        <v>0.28022024530545775</v>
      </c>
      <c r="T2080" t="s">
        <v>550</v>
      </c>
      <c r="U2080" t="s">
        <v>77</v>
      </c>
      <c r="V2080" s="219">
        <v>0</v>
      </c>
      <c r="W2080" s="219">
        <v>0</v>
      </c>
    </row>
    <row r="2081" spans="1:23" ht="15" customHeight="1" x14ac:dyDescent="0.25">
      <c r="A2081" t="s">
        <v>4922</v>
      </c>
      <c r="B2081" t="s">
        <v>575</v>
      </c>
      <c r="C2081">
        <v>116120</v>
      </c>
      <c r="D2081" t="s">
        <v>4923</v>
      </c>
      <c r="E2081" t="s">
        <v>268</v>
      </c>
      <c r="F2081" t="s">
        <v>554</v>
      </c>
      <c r="G2081" s="30">
        <v>46146</v>
      </c>
      <c r="H2081" t="s">
        <v>4924</v>
      </c>
      <c r="I2081">
        <v>1161202.54</v>
      </c>
      <c r="J2081" s="123">
        <v>0</v>
      </c>
      <c r="K2081" s="123">
        <v>0</v>
      </c>
      <c r="L2081" s="123">
        <v>46146</v>
      </c>
      <c r="M2081">
        <v>0</v>
      </c>
      <c r="N2081">
        <v>0</v>
      </c>
      <c r="O2081">
        <v>0</v>
      </c>
      <c r="P2081" s="216">
        <v>116120</v>
      </c>
      <c r="Q2081" s="217" t="s">
        <v>10</v>
      </c>
      <c r="R2081" s="217" t="s">
        <v>554</v>
      </c>
      <c r="S2081" s="218">
        <v>0.40000038236223634</v>
      </c>
      <c r="T2081" t="s">
        <v>550</v>
      </c>
      <c r="U2081" t="s">
        <v>77</v>
      </c>
      <c r="V2081" s="219" t="s">
        <v>6984</v>
      </c>
      <c r="W2081" s="219" t="s">
        <v>67</v>
      </c>
    </row>
    <row r="2082" spans="1:23" ht="15" customHeight="1" x14ac:dyDescent="0.25">
      <c r="A2082" t="s">
        <v>4925</v>
      </c>
      <c r="B2082" t="s">
        <v>595</v>
      </c>
      <c r="C2082">
        <v>147842</v>
      </c>
      <c r="D2082" t="s">
        <v>4926</v>
      </c>
      <c r="E2082" t="s">
        <v>268</v>
      </c>
      <c r="F2082" t="s">
        <v>554</v>
      </c>
      <c r="G2082" s="30">
        <v>46148</v>
      </c>
      <c r="H2082" t="s">
        <v>4927</v>
      </c>
      <c r="I2082">
        <v>1478423.04</v>
      </c>
      <c r="J2082" s="123">
        <v>0</v>
      </c>
      <c r="K2082" s="123">
        <v>0</v>
      </c>
      <c r="L2082" s="123">
        <v>46148</v>
      </c>
      <c r="M2082">
        <v>0</v>
      </c>
      <c r="N2082">
        <v>0</v>
      </c>
      <c r="O2082">
        <v>0</v>
      </c>
      <c r="P2082" s="216">
        <v>147842</v>
      </c>
      <c r="Q2082" s="217" t="s">
        <v>10</v>
      </c>
      <c r="R2082" s="217" t="s">
        <v>554</v>
      </c>
      <c r="S2082" s="218">
        <v>0.39991842253757082</v>
      </c>
      <c r="T2082" t="s">
        <v>550</v>
      </c>
      <c r="U2082" t="s">
        <v>77</v>
      </c>
      <c r="V2082" s="219" t="s">
        <v>6985</v>
      </c>
      <c r="W2082" s="219" t="s">
        <v>67</v>
      </c>
    </row>
    <row r="2083" spans="1:23" ht="15" customHeight="1" x14ac:dyDescent="0.25">
      <c r="A2083" t="s">
        <v>4928</v>
      </c>
      <c r="B2083" t="s">
        <v>546</v>
      </c>
      <c r="C2083">
        <v>117656</v>
      </c>
      <c r="D2083" t="s">
        <v>4929</v>
      </c>
      <c r="E2083" t="s">
        <v>268</v>
      </c>
      <c r="F2083" t="s">
        <v>554</v>
      </c>
      <c r="G2083" s="30">
        <v>46148</v>
      </c>
      <c r="H2083" t="s">
        <v>4930</v>
      </c>
      <c r="I2083">
        <v>1176570.71</v>
      </c>
      <c r="J2083" s="123">
        <v>0</v>
      </c>
      <c r="K2083" s="123">
        <v>0</v>
      </c>
      <c r="L2083" s="123">
        <v>0</v>
      </c>
      <c r="M2083">
        <v>0</v>
      </c>
      <c r="N2083">
        <v>0</v>
      </c>
      <c r="O2083">
        <v>0</v>
      </c>
      <c r="P2083" s="216">
        <v>117656</v>
      </c>
      <c r="Q2083" s="217" t="s">
        <v>10</v>
      </c>
      <c r="R2083" s="217" t="s">
        <v>554</v>
      </c>
      <c r="S2083" s="218">
        <v>0.39999805876520589</v>
      </c>
      <c r="T2083" t="s">
        <v>550</v>
      </c>
      <c r="U2083" t="s">
        <v>77</v>
      </c>
      <c r="V2083" s="219" t="s">
        <v>6986</v>
      </c>
      <c r="W2083" s="219" t="s">
        <v>67</v>
      </c>
    </row>
    <row r="2084" spans="1:23" ht="15" customHeight="1" x14ac:dyDescent="0.25">
      <c r="A2084" t="s">
        <v>4931</v>
      </c>
      <c r="B2084" t="s">
        <v>546</v>
      </c>
      <c r="C2084">
        <v>477095.61</v>
      </c>
      <c r="D2084" t="s">
        <v>4932</v>
      </c>
      <c r="E2084" t="s">
        <v>553</v>
      </c>
      <c r="F2084" t="s">
        <v>548</v>
      </c>
      <c r="G2084" s="30">
        <v>46148</v>
      </c>
      <c r="H2084" t="s">
        <v>4933</v>
      </c>
      <c r="I2084">
        <v>4770931.96</v>
      </c>
      <c r="J2084" s="123">
        <v>46148</v>
      </c>
      <c r="K2084" s="123">
        <v>0</v>
      </c>
      <c r="L2084" s="123">
        <v>46148</v>
      </c>
      <c r="M2084">
        <v>0</v>
      </c>
      <c r="N2084">
        <v>0</v>
      </c>
      <c r="O2084" t="s">
        <v>556</v>
      </c>
      <c r="P2084" s="216">
        <v>477095.61</v>
      </c>
      <c r="Q2084" s="217" t="s">
        <v>10</v>
      </c>
      <c r="R2084" s="217" t="s">
        <v>62</v>
      </c>
      <c r="S2084" s="218">
        <v>0.2999999584986745</v>
      </c>
      <c r="T2084" t="s">
        <v>550</v>
      </c>
      <c r="U2084" t="s">
        <v>77</v>
      </c>
      <c r="V2084" s="219">
        <v>0</v>
      </c>
      <c r="W2084" s="219">
        <v>0</v>
      </c>
    </row>
    <row r="2085" spans="1:23" ht="15" customHeight="1" x14ac:dyDescent="0.25">
      <c r="A2085" t="s">
        <v>4934</v>
      </c>
      <c r="B2085" t="s">
        <v>575</v>
      </c>
      <c r="C2085">
        <v>250000</v>
      </c>
      <c r="D2085" t="s">
        <v>4932</v>
      </c>
      <c r="E2085" t="s">
        <v>268</v>
      </c>
      <c r="F2085" t="s">
        <v>580</v>
      </c>
      <c r="G2085" s="30">
        <v>46149</v>
      </c>
      <c r="H2085" t="s">
        <v>4933</v>
      </c>
      <c r="I2085">
        <v>4770931.96</v>
      </c>
      <c r="J2085" s="123">
        <v>0</v>
      </c>
      <c r="K2085" s="123">
        <v>0</v>
      </c>
      <c r="L2085" s="123">
        <v>46148</v>
      </c>
      <c r="M2085">
        <v>0</v>
      </c>
      <c r="N2085">
        <v>0</v>
      </c>
      <c r="O2085">
        <v>0</v>
      </c>
      <c r="P2085" s="216">
        <v>250000</v>
      </c>
      <c r="Q2085" s="217" t="s">
        <v>10</v>
      </c>
      <c r="R2085" s="217" t="s">
        <v>582</v>
      </c>
      <c r="S2085" s="218">
        <v>0.2999999584986745</v>
      </c>
      <c r="T2085" t="s">
        <v>550</v>
      </c>
      <c r="U2085" t="s">
        <v>77</v>
      </c>
      <c r="V2085" s="219">
        <v>0</v>
      </c>
      <c r="W2085" s="219">
        <v>0</v>
      </c>
    </row>
    <row r="2086" spans="1:23" ht="15" customHeight="1" x14ac:dyDescent="0.25">
      <c r="A2086" t="s">
        <v>4935</v>
      </c>
      <c r="B2086" t="s">
        <v>575</v>
      </c>
      <c r="C2086">
        <v>227095.61</v>
      </c>
      <c r="D2086" t="s">
        <v>4932</v>
      </c>
      <c r="E2086" t="s">
        <v>268</v>
      </c>
      <c r="F2086" t="s">
        <v>580</v>
      </c>
      <c r="G2086" s="30">
        <v>46149</v>
      </c>
      <c r="H2086" t="s">
        <v>4933</v>
      </c>
      <c r="I2086">
        <v>4770931.96</v>
      </c>
      <c r="J2086" s="123">
        <v>0</v>
      </c>
      <c r="K2086" s="123">
        <v>0</v>
      </c>
      <c r="L2086" s="123">
        <v>46148</v>
      </c>
      <c r="M2086">
        <v>0</v>
      </c>
      <c r="N2086">
        <v>0</v>
      </c>
      <c r="O2086">
        <v>0</v>
      </c>
      <c r="P2086" s="216">
        <v>227095.61</v>
      </c>
      <c r="Q2086" s="217" t="s">
        <v>10</v>
      </c>
      <c r="R2086" s="217" t="s">
        <v>582</v>
      </c>
      <c r="S2086" s="218">
        <v>0.2999999584986745</v>
      </c>
      <c r="T2086" t="s">
        <v>550</v>
      </c>
      <c r="U2086" t="s">
        <v>77</v>
      </c>
      <c r="V2086" s="219">
        <v>0</v>
      </c>
      <c r="W2086" s="219">
        <v>0</v>
      </c>
    </row>
    <row r="2087" spans="1:23" ht="15" customHeight="1" x14ac:dyDescent="0.25">
      <c r="A2087" t="s">
        <v>4936</v>
      </c>
      <c r="B2087" t="s">
        <v>603</v>
      </c>
      <c r="C2087">
        <v>1000</v>
      </c>
      <c r="D2087" t="s">
        <v>4937</v>
      </c>
      <c r="E2087" t="s">
        <v>3803</v>
      </c>
      <c r="F2087" t="s">
        <v>554</v>
      </c>
      <c r="G2087" s="30">
        <v>46148</v>
      </c>
      <c r="H2087" t="s">
        <v>4938</v>
      </c>
      <c r="I2087">
        <v>1128809.0900000001</v>
      </c>
      <c r="J2087" s="123">
        <v>46148</v>
      </c>
      <c r="K2087" s="123">
        <v>0</v>
      </c>
      <c r="L2087" s="123">
        <v>0</v>
      </c>
      <c r="M2087">
        <v>1000</v>
      </c>
      <c r="N2087">
        <v>0</v>
      </c>
      <c r="O2087">
        <v>0</v>
      </c>
      <c r="P2087" s="216">
        <v>0</v>
      </c>
      <c r="Q2087" s="217" t="s">
        <v>10</v>
      </c>
      <c r="R2087" s="217" t="s">
        <v>554</v>
      </c>
      <c r="S2087" s="218">
        <v>0.39999943657434578</v>
      </c>
      <c r="T2087" t="s">
        <v>550</v>
      </c>
      <c r="U2087" t="s">
        <v>77</v>
      </c>
      <c r="V2087" s="219" t="s">
        <v>6987</v>
      </c>
      <c r="W2087" s="219" t="s">
        <v>67</v>
      </c>
    </row>
    <row r="2088" spans="1:23" ht="15" customHeight="1" x14ac:dyDescent="0.25">
      <c r="A2088" t="s">
        <v>4939</v>
      </c>
      <c r="B2088" t="s">
        <v>603</v>
      </c>
      <c r="C2088">
        <v>113881</v>
      </c>
      <c r="D2088" t="s">
        <v>4937</v>
      </c>
      <c r="E2088" t="s">
        <v>605</v>
      </c>
      <c r="F2088" t="s">
        <v>683</v>
      </c>
      <c r="G2088" s="30">
        <v>46148</v>
      </c>
      <c r="H2088" t="s">
        <v>4938</v>
      </c>
      <c r="I2088">
        <v>1128809.0900000001</v>
      </c>
      <c r="J2088" s="123">
        <v>0</v>
      </c>
      <c r="K2088" s="123">
        <v>0</v>
      </c>
      <c r="L2088" s="123">
        <v>0</v>
      </c>
      <c r="M2088">
        <v>0</v>
      </c>
      <c r="N2088">
        <v>0</v>
      </c>
      <c r="O2088">
        <v>0</v>
      </c>
      <c r="P2088" s="216">
        <v>113881</v>
      </c>
      <c r="Q2088" s="217" t="s">
        <v>10</v>
      </c>
      <c r="R2088" s="217" t="s">
        <v>62</v>
      </c>
      <c r="S2088" s="218">
        <v>0.39999943657434578</v>
      </c>
      <c r="T2088" t="s">
        <v>550</v>
      </c>
      <c r="U2088" t="s">
        <v>77</v>
      </c>
      <c r="V2088" s="219">
        <v>0</v>
      </c>
      <c r="W2088" s="219">
        <v>0</v>
      </c>
    </row>
    <row r="2089" spans="1:23" ht="15" customHeight="1" x14ac:dyDescent="0.25">
      <c r="A2089" t="s">
        <v>4940</v>
      </c>
      <c r="B2089" t="s">
        <v>603</v>
      </c>
      <c r="C2089">
        <v>112881</v>
      </c>
      <c r="D2089" t="s">
        <v>4937</v>
      </c>
      <c r="E2089" t="s">
        <v>605</v>
      </c>
      <c r="F2089" t="s">
        <v>554</v>
      </c>
      <c r="G2089" s="30">
        <v>46148</v>
      </c>
      <c r="H2089" t="s">
        <v>4938</v>
      </c>
      <c r="I2089">
        <v>1128809.0900000001</v>
      </c>
      <c r="J2089" s="123">
        <v>46148</v>
      </c>
      <c r="K2089" s="123">
        <v>0</v>
      </c>
      <c r="L2089" s="123">
        <v>0</v>
      </c>
      <c r="M2089">
        <v>0</v>
      </c>
      <c r="N2089">
        <v>0</v>
      </c>
      <c r="O2089">
        <v>0</v>
      </c>
      <c r="P2089" s="216">
        <v>112881</v>
      </c>
      <c r="Q2089" s="217" t="s">
        <v>10</v>
      </c>
      <c r="R2089" s="217" t="s">
        <v>554</v>
      </c>
      <c r="S2089" s="218">
        <v>0.39999943657434578</v>
      </c>
      <c r="T2089" t="s">
        <v>550</v>
      </c>
      <c r="U2089" t="s">
        <v>77</v>
      </c>
      <c r="V2089" s="219" t="s">
        <v>6988</v>
      </c>
      <c r="W2089" s="219" t="s">
        <v>67</v>
      </c>
    </row>
    <row r="2090" spans="1:23" ht="15" customHeight="1" x14ac:dyDescent="0.25">
      <c r="A2090" t="s">
        <v>4941</v>
      </c>
      <c r="B2090" t="s">
        <v>603</v>
      </c>
      <c r="C2090">
        <v>50000</v>
      </c>
      <c r="D2090" t="s">
        <v>4942</v>
      </c>
      <c r="E2090" t="s">
        <v>605</v>
      </c>
      <c r="F2090" t="s">
        <v>554</v>
      </c>
      <c r="G2090" s="30">
        <v>46143</v>
      </c>
      <c r="H2090" t="s">
        <v>4943</v>
      </c>
      <c r="I2090">
        <v>1185015</v>
      </c>
      <c r="J2090" s="123">
        <v>46143</v>
      </c>
      <c r="K2090" s="123">
        <v>0</v>
      </c>
      <c r="L2090" s="123">
        <v>0</v>
      </c>
      <c r="M2090">
        <v>0</v>
      </c>
      <c r="N2090">
        <v>0</v>
      </c>
      <c r="O2090">
        <v>0</v>
      </c>
      <c r="P2090" s="216">
        <v>50000</v>
      </c>
      <c r="Q2090" s="217" t="s">
        <v>10</v>
      </c>
      <c r="R2090" s="217" t="s">
        <v>554</v>
      </c>
      <c r="S2090" s="218">
        <v>0.34219398066691137</v>
      </c>
      <c r="T2090" t="s">
        <v>550</v>
      </c>
      <c r="U2090" t="s">
        <v>77</v>
      </c>
      <c r="V2090" s="219" t="s">
        <v>6989</v>
      </c>
      <c r="W2090" s="219" t="s">
        <v>67</v>
      </c>
    </row>
    <row r="2091" spans="1:23" ht="15" customHeight="1" x14ac:dyDescent="0.25">
      <c r="A2091" t="s">
        <v>4944</v>
      </c>
      <c r="B2091" t="s">
        <v>603</v>
      </c>
      <c r="C2091">
        <v>70000</v>
      </c>
      <c r="D2091" t="s">
        <v>4942</v>
      </c>
      <c r="E2091" t="s">
        <v>605</v>
      </c>
      <c r="F2091" t="s">
        <v>585</v>
      </c>
      <c r="G2091" s="30">
        <v>46143</v>
      </c>
      <c r="H2091" t="s">
        <v>4943</v>
      </c>
      <c r="I2091">
        <v>1185015</v>
      </c>
      <c r="J2091" s="123">
        <v>0</v>
      </c>
      <c r="K2091" s="123">
        <v>0</v>
      </c>
      <c r="L2091" s="123">
        <v>0</v>
      </c>
      <c r="M2091">
        <v>0</v>
      </c>
      <c r="N2091">
        <v>0</v>
      </c>
      <c r="O2091">
        <v>0</v>
      </c>
      <c r="P2091" s="216">
        <v>70000</v>
      </c>
      <c r="Q2091" s="217" t="s">
        <v>10</v>
      </c>
      <c r="R2091" s="217" t="s">
        <v>61</v>
      </c>
      <c r="S2091" s="218">
        <v>0.34219398066691137</v>
      </c>
      <c r="T2091" t="s">
        <v>550</v>
      </c>
      <c r="U2091" t="s">
        <v>77</v>
      </c>
      <c r="V2091" s="219">
        <v>0</v>
      </c>
      <c r="W2091" s="219">
        <v>0</v>
      </c>
    </row>
    <row r="2092" spans="1:23" ht="15" customHeight="1" x14ac:dyDescent="0.25">
      <c r="A2092" t="s">
        <v>4945</v>
      </c>
      <c r="B2092" t="s">
        <v>603</v>
      </c>
      <c r="C2092">
        <v>117418</v>
      </c>
      <c r="D2092" t="s">
        <v>4946</v>
      </c>
      <c r="E2092" t="s">
        <v>605</v>
      </c>
      <c r="F2092" t="s">
        <v>554</v>
      </c>
      <c r="G2092" s="30">
        <v>46143</v>
      </c>
      <c r="H2092" t="s">
        <v>4947</v>
      </c>
      <c r="I2092">
        <v>1185468.1599999999</v>
      </c>
      <c r="J2092" s="123">
        <v>46143</v>
      </c>
      <c r="K2092" s="123">
        <v>0</v>
      </c>
      <c r="L2092" s="123">
        <v>0</v>
      </c>
      <c r="M2092">
        <v>0</v>
      </c>
      <c r="N2092">
        <v>0</v>
      </c>
      <c r="O2092">
        <v>0</v>
      </c>
      <c r="P2092" s="216">
        <v>117418</v>
      </c>
      <c r="Q2092" s="217" t="s">
        <v>10</v>
      </c>
      <c r="R2092" s="217" t="s">
        <v>554</v>
      </c>
      <c r="S2092" s="218">
        <v>0.39999218536582209</v>
      </c>
      <c r="T2092" t="s">
        <v>550</v>
      </c>
      <c r="U2092" t="s">
        <v>77</v>
      </c>
      <c r="V2092" s="219" t="s">
        <v>6990</v>
      </c>
      <c r="W2092" s="219" t="s">
        <v>67</v>
      </c>
    </row>
    <row r="2093" spans="1:23" ht="15" customHeight="1" x14ac:dyDescent="0.25">
      <c r="A2093" t="s">
        <v>4948</v>
      </c>
      <c r="B2093" t="s">
        <v>595</v>
      </c>
      <c r="C2093">
        <v>70000</v>
      </c>
      <c r="D2093" t="s">
        <v>4949</v>
      </c>
      <c r="E2093" t="s">
        <v>268</v>
      </c>
      <c r="F2093" t="s">
        <v>580</v>
      </c>
      <c r="G2093" s="30">
        <v>46148</v>
      </c>
      <c r="H2093" t="s">
        <v>4950</v>
      </c>
      <c r="I2093">
        <v>1186249.6200000001</v>
      </c>
      <c r="J2093" s="123">
        <v>0</v>
      </c>
      <c r="K2093" s="123">
        <v>0</v>
      </c>
      <c r="L2093" s="123">
        <v>46148</v>
      </c>
      <c r="M2093">
        <v>0</v>
      </c>
      <c r="N2093">
        <v>0</v>
      </c>
      <c r="O2093">
        <v>0</v>
      </c>
      <c r="P2093" s="216">
        <v>70000</v>
      </c>
      <c r="Q2093" s="217" t="s">
        <v>10</v>
      </c>
      <c r="R2093" s="217" t="s">
        <v>582</v>
      </c>
      <c r="S2093" s="218">
        <v>0.30084308899504641</v>
      </c>
      <c r="T2093" t="s">
        <v>550</v>
      </c>
      <c r="U2093" t="s">
        <v>77</v>
      </c>
      <c r="V2093" s="219">
        <v>0</v>
      </c>
      <c r="W2093" s="219">
        <v>0</v>
      </c>
    </row>
    <row r="2094" spans="1:23" ht="15" customHeight="1" x14ac:dyDescent="0.25">
      <c r="A2094" t="s">
        <v>4951</v>
      </c>
      <c r="B2094" t="s">
        <v>575</v>
      </c>
      <c r="C2094">
        <v>96973.42</v>
      </c>
      <c r="D2094" t="s">
        <v>4952</v>
      </c>
      <c r="E2094" t="s">
        <v>553</v>
      </c>
      <c r="F2094" t="s">
        <v>554</v>
      </c>
      <c r="G2094" s="30">
        <v>46143</v>
      </c>
      <c r="H2094" t="s">
        <v>4953</v>
      </c>
      <c r="I2094">
        <v>2093025.75</v>
      </c>
      <c r="J2094" s="123">
        <v>46143</v>
      </c>
      <c r="K2094" s="123">
        <v>0</v>
      </c>
      <c r="L2094" s="123">
        <v>46143</v>
      </c>
      <c r="M2094">
        <v>0</v>
      </c>
      <c r="N2094">
        <v>0</v>
      </c>
      <c r="O2094" t="s">
        <v>556</v>
      </c>
      <c r="P2094" s="216">
        <v>96973.42</v>
      </c>
      <c r="Q2094" s="217" t="s">
        <v>16</v>
      </c>
      <c r="R2094" s="217" t="s">
        <v>554</v>
      </c>
      <c r="S2094" s="218">
        <v>0.30000013138873233</v>
      </c>
      <c r="T2094" t="s">
        <v>550</v>
      </c>
      <c r="U2094" t="s">
        <v>51</v>
      </c>
      <c r="V2094" s="219" t="s">
        <v>6991</v>
      </c>
      <c r="W2094" s="219" t="s">
        <v>67</v>
      </c>
    </row>
    <row r="2095" spans="1:23" ht="15" customHeight="1" x14ac:dyDescent="0.25">
      <c r="A2095" t="s">
        <v>4954</v>
      </c>
      <c r="B2095" t="s">
        <v>546</v>
      </c>
      <c r="C2095">
        <v>60000</v>
      </c>
      <c r="D2095" t="s">
        <v>4952</v>
      </c>
      <c r="E2095" t="s">
        <v>553</v>
      </c>
      <c r="F2095" t="s">
        <v>554</v>
      </c>
      <c r="G2095" s="30">
        <v>46143</v>
      </c>
      <c r="H2095" t="s">
        <v>4953</v>
      </c>
      <c r="I2095">
        <v>2093025.75</v>
      </c>
      <c r="J2095" s="123">
        <v>46143</v>
      </c>
      <c r="K2095" s="123">
        <v>0</v>
      </c>
      <c r="L2095" s="123">
        <v>46143</v>
      </c>
      <c r="M2095">
        <v>0</v>
      </c>
      <c r="N2095">
        <v>0</v>
      </c>
      <c r="O2095" t="s">
        <v>556</v>
      </c>
      <c r="P2095" s="216">
        <v>60000</v>
      </c>
      <c r="Q2095" s="217" t="s">
        <v>16</v>
      </c>
      <c r="R2095" s="217" t="s">
        <v>554</v>
      </c>
      <c r="S2095" s="218">
        <v>0.30000013138873233</v>
      </c>
      <c r="T2095" t="s">
        <v>550</v>
      </c>
      <c r="U2095" t="s">
        <v>51</v>
      </c>
      <c r="V2095" s="219" t="s">
        <v>6992</v>
      </c>
      <c r="W2095" s="219" t="s">
        <v>67</v>
      </c>
    </row>
    <row r="2096" spans="1:23" ht="15" customHeight="1" x14ac:dyDescent="0.25">
      <c r="A2096" t="s">
        <v>4955</v>
      </c>
      <c r="B2096" t="s">
        <v>595</v>
      </c>
      <c r="C2096">
        <v>168908.4</v>
      </c>
      <c r="D2096" t="s">
        <v>4956</v>
      </c>
      <c r="E2096" t="s">
        <v>168</v>
      </c>
      <c r="F2096" t="s">
        <v>554</v>
      </c>
      <c r="G2096" s="30">
        <v>46147</v>
      </c>
      <c r="H2096" t="s">
        <v>4957</v>
      </c>
      <c r="I2096">
        <v>2579947.2999999998</v>
      </c>
      <c r="J2096" s="123">
        <v>0</v>
      </c>
      <c r="K2096" s="123">
        <v>0</v>
      </c>
      <c r="L2096" s="123">
        <v>46146</v>
      </c>
      <c r="M2096">
        <v>0</v>
      </c>
      <c r="N2096">
        <v>0</v>
      </c>
      <c r="O2096">
        <v>0</v>
      </c>
      <c r="P2096" s="216">
        <v>168908.4</v>
      </c>
      <c r="Q2096" s="217" t="s">
        <v>16</v>
      </c>
      <c r="R2096" s="217" t="s">
        <v>554</v>
      </c>
      <c r="S2096" s="218">
        <v>0.29962979476363721</v>
      </c>
      <c r="T2096" t="s">
        <v>550</v>
      </c>
      <c r="U2096" t="s">
        <v>51</v>
      </c>
      <c r="V2096" s="219" t="s">
        <v>6993</v>
      </c>
      <c r="W2096" s="219" t="s">
        <v>67</v>
      </c>
    </row>
    <row r="2097" spans="1:23" ht="15" customHeight="1" x14ac:dyDescent="0.25">
      <c r="A2097" t="s">
        <v>4958</v>
      </c>
      <c r="B2097" t="s">
        <v>595</v>
      </c>
      <c r="C2097">
        <v>169334</v>
      </c>
      <c r="D2097" t="s">
        <v>4959</v>
      </c>
      <c r="E2097" t="s">
        <v>168</v>
      </c>
      <c r="F2097" t="s">
        <v>554</v>
      </c>
      <c r="G2097" s="30">
        <v>46144</v>
      </c>
      <c r="H2097" t="s">
        <v>4960</v>
      </c>
      <c r="I2097">
        <v>1693843.2</v>
      </c>
      <c r="J2097" s="123">
        <v>0</v>
      </c>
      <c r="K2097" s="123">
        <v>0</v>
      </c>
      <c r="L2097" s="123">
        <v>46144</v>
      </c>
      <c r="M2097">
        <v>0</v>
      </c>
      <c r="N2097">
        <v>0</v>
      </c>
      <c r="O2097">
        <v>0</v>
      </c>
      <c r="P2097" s="216">
        <v>169334</v>
      </c>
      <c r="Q2097" s="217" t="s">
        <v>16</v>
      </c>
      <c r="R2097" s="217" t="s">
        <v>554</v>
      </c>
      <c r="S2097" s="218">
        <v>0.29994098627310961</v>
      </c>
      <c r="T2097" t="s">
        <v>550</v>
      </c>
      <c r="U2097" t="s">
        <v>51</v>
      </c>
      <c r="V2097" s="219" t="s">
        <v>6994</v>
      </c>
      <c r="W2097" s="219" t="s">
        <v>67</v>
      </c>
    </row>
    <row r="2098" spans="1:23" ht="15" customHeight="1" x14ac:dyDescent="0.25">
      <c r="A2098" t="s">
        <v>4961</v>
      </c>
      <c r="B2098" t="s">
        <v>575</v>
      </c>
      <c r="C2098">
        <v>202728</v>
      </c>
      <c r="D2098" t="s">
        <v>4962</v>
      </c>
      <c r="E2098" t="s">
        <v>223</v>
      </c>
      <c r="F2098" t="s">
        <v>554</v>
      </c>
      <c r="G2098" s="30">
        <v>46148</v>
      </c>
      <c r="H2098" t="s">
        <v>4963</v>
      </c>
      <c r="I2098">
        <v>2027276.25</v>
      </c>
      <c r="J2098" s="123">
        <v>0</v>
      </c>
      <c r="K2098" s="123">
        <v>0</v>
      </c>
      <c r="L2098" s="123">
        <v>46146</v>
      </c>
      <c r="M2098">
        <v>0</v>
      </c>
      <c r="N2098">
        <v>0</v>
      </c>
      <c r="O2098">
        <v>0</v>
      </c>
      <c r="P2098" s="216">
        <v>202728</v>
      </c>
      <c r="Q2098" s="217" t="s">
        <v>31</v>
      </c>
      <c r="R2098" s="217" t="s">
        <v>554</v>
      </c>
      <c r="S2098" s="218">
        <v>0.30000154147714203</v>
      </c>
      <c r="T2098" t="s">
        <v>550</v>
      </c>
      <c r="U2098" t="s">
        <v>51</v>
      </c>
      <c r="V2098" s="219" t="s">
        <v>6995</v>
      </c>
      <c r="W2098" s="219" t="s">
        <v>67</v>
      </c>
    </row>
    <row r="2099" spans="1:23" ht="15" customHeight="1" x14ac:dyDescent="0.25">
      <c r="A2099" t="s">
        <v>4964</v>
      </c>
      <c r="B2099" t="s">
        <v>595</v>
      </c>
      <c r="C2099">
        <v>127450</v>
      </c>
      <c r="D2099" t="s">
        <v>4965</v>
      </c>
      <c r="E2099" t="s">
        <v>168</v>
      </c>
      <c r="F2099" t="s">
        <v>554</v>
      </c>
      <c r="G2099" s="30">
        <v>46146</v>
      </c>
      <c r="H2099" t="s">
        <v>4966</v>
      </c>
      <c r="I2099">
        <v>1584206</v>
      </c>
      <c r="J2099" s="123">
        <v>0</v>
      </c>
      <c r="K2099" s="123">
        <v>0</v>
      </c>
      <c r="L2099" s="123">
        <v>46146</v>
      </c>
      <c r="M2099">
        <v>0</v>
      </c>
      <c r="N2099">
        <v>0</v>
      </c>
      <c r="O2099">
        <v>0</v>
      </c>
      <c r="P2099" s="216">
        <v>127450</v>
      </c>
      <c r="Q2099" s="217" t="s">
        <v>16</v>
      </c>
      <c r="R2099" s="217" t="s">
        <v>554</v>
      </c>
      <c r="S2099" s="218">
        <v>0.28038970941910329</v>
      </c>
      <c r="T2099" t="s">
        <v>550</v>
      </c>
      <c r="U2099" t="s">
        <v>51</v>
      </c>
      <c r="V2099" s="219" t="s">
        <v>6996</v>
      </c>
      <c r="W2099" s="219" t="s">
        <v>67</v>
      </c>
    </row>
    <row r="2100" spans="1:23" ht="15" customHeight="1" x14ac:dyDescent="0.25">
      <c r="A2100" t="s">
        <v>4967</v>
      </c>
      <c r="B2100" t="s">
        <v>575</v>
      </c>
      <c r="C2100">
        <v>159293</v>
      </c>
      <c r="D2100" t="s">
        <v>4968</v>
      </c>
      <c r="E2100" t="s">
        <v>223</v>
      </c>
      <c r="F2100" t="s">
        <v>554</v>
      </c>
      <c r="G2100" s="30">
        <v>46148</v>
      </c>
      <c r="H2100" t="s">
        <v>4969</v>
      </c>
      <c r="I2100">
        <v>1592926.4</v>
      </c>
      <c r="J2100" s="123">
        <v>0</v>
      </c>
      <c r="K2100" s="123">
        <v>0</v>
      </c>
      <c r="L2100" s="123">
        <v>46146</v>
      </c>
      <c r="M2100">
        <v>0</v>
      </c>
      <c r="N2100">
        <v>0</v>
      </c>
      <c r="O2100">
        <v>0</v>
      </c>
      <c r="P2100" s="216">
        <v>159293</v>
      </c>
      <c r="Q2100" s="217" t="s">
        <v>31</v>
      </c>
      <c r="R2100" s="217" t="s">
        <v>554</v>
      </c>
      <c r="S2100" s="218">
        <v>0.30000193354821669</v>
      </c>
      <c r="T2100" t="s">
        <v>550</v>
      </c>
      <c r="U2100" t="s">
        <v>51</v>
      </c>
      <c r="V2100" s="219" t="s">
        <v>6997</v>
      </c>
      <c r="W2100" s="219" t="s">
        <v>67</v>
      </c>
    </row>
    <row r="2101" spans="1:23" ht="15" customHeight="1" x14ac:dyDescent="0.25">
      <c r="A2101" t="s">
        <v>4970</v>
      </c>
      <c r="B2101" t="s">
        <v>546</v>
      </c>
      <c r="C2101">
        <v>164122</v>
      </c>
      <c r="D2101" t="s">
        <v>4971</v>
      </c>
      <c r="E2101" t="s">
        <v>168</v>
      </c>
      <c r="F2101" t="s">
        <v>554</v>
      </c>
      <c r="G2101" s="30">
        <v>46147</v>
      </c>
      <c r="H2101" t="s">
        <v>4972</v>
      </c>
      <c r="I2101">
        <v>1641217.5</v>
      </c>
      <c r="J2101" s="123">
        <v>0</v>
      </c>
      <c r="K2101" s="123">
        <v>0</v>
      </c>
      <c r="L2101" s="123">
        <v>0</v>
      </c>
      <c r="M2101">
        <v>0</v>
      </c>
      <c r="N2101">
        <v>0</v>
      </c>
      <c r="O2101">
        <v>0</v>
      </c>
      <c r="P2101" s="216">
        <v>164122</v>
      </c>
      <c r="Q2101" s="217" t="s">
        <v>16</v>
      </c>
      <c r="R2101" s="217" t="s">
        <v>554</v>
      </c>
      <c r="S2101" s="218">
        <v>0.30000045697782285</v>
      </c>
      <c r="T2101" t="s">
        <v>550</v>
      </c>
      <c r="U2101" t="s">
        <v>51</v>
      </c>
      <c r="V2101" s="219" t="s">
        <v>6998</v>
      </c>
      <c r="W2101" s="219" t="s">
        <v>67</v>
      </c>
    </row>
    <row r="2102" spans="1:23" ht="15" customHeight="1" x14ac:dyDescent="0.25">
      <c r="A2102" t="s">
        <v>4973</v>
      </c>
      <c r="B2102" t="s">
        <v>546</v>
      </c>
      <c r="C2102">
        <v>2261</v>
      </c>
      <c r="D2102" t="s">
        <v>4974</v>
      </c>
      <c r="E2102" t="s">
        <v>553</v>
      </c>
      <c r="F2102" t="s">
        <v>554</v>
      </c>
      <c r="G2102" s="30">
        <v>46149</v>
      </c>
      <c r="H2102" t="s">
        <v>4975</v>
      </c>
      <c r="I2102">
        <v>1592625</v>
      </c>
      <c r="J2102" s="123">
        <v>46149</v>
      </c>
      <c r="K2102" s="123">
        <v>0</v>
      </c>
      <c r="L2102" s="123">
        <v>46149</v>
      </c>
      <c r="M2102">
        <v>0</v>
      </c>
      <c r="N2102">
        <v>0</v>
      </c>
      <c r="O2102" t="s">
        <v>556</v>
      </c>
      <c r="P2102" s="216">
        <v>2261</v>
      </c>
      <c r="Q2102" s="217" t="s">
        <v>16</v>
      </c>
      <c r="R2102" s="217" t="s">
        <v>554</v>
      </c>
      <c r="S2102" s="218">
        <v>0.27802464484734324</v>
      </c>
      <c r="T2102" t="s">
        <v>550</v>
      </c>
      <c r="U2102" t="s">
        <v>51</v>
      </c>
      <c r="V2102" s="219" t="s">
        <v>6999</v>
      </c>
      <c r="W2102" s="219" t="s">
        <v>67</v>
      </c>
    </row>
    <row r="2103" spans="1:23" ht="15" customHeight="1" x14ac:dyDescent="0.25">
      <c r="A2103" t="s">
        <v>4976</v>
      </c>
      <c r="B2103" t="s">
        <v>546</v>
      </c>
      <c r="C2103">
        <v>5000</v>
      </c>
      <c r="D2103" t="s">
        <v>4974</v>
      </c>
      <c r="E2103" t="s">
        <v>553</v>
      </c>
      <c r="F2103" t="s">
        <v>554</v>
      </c>
      <c r="G2103" s="30">
        <v>46149</v>
      </c>
      <c r="H2103" t="s">
        <v>4975</v>
      </c>
      <c r="I2103">
        <v>1592625</v>
      </c>
      <c r="J2103" s="123">
        <v>46149</v>
      </c>
      <c r="K2103" s="123">
        <v>0</v>
      </c>
      <c r="L2103" s="123">
        <v>46149</v>
      </c>
      <c r="M2103">
        <v>0</v>
      </c>
      <c r="N2103">
        <v>0</v>
      </c>
      <c r="O2103" t="s">
        <v>556</v>
      </c>
      <c r="P2103" s="216">
        <v>5000</v>
      </c>
      <c r="Q2103" s="217" t="s">
        <v>16</v>
      </c>
      <c r="R2103" s="217" t="s">
        <v>554</v>
      </c>
      <c r="S2103" s="218">
        <v>0.27802464484734324</v>
      </c>
      <c r="T2103" t="s">
        <v>550</v>
      </c>
      <c r="U2103" t="s">
        <v>51</v>
      </c>
      <c r="V2103" s="219" t="s">
        <v>7000</v>
      </c>
      <c r="W2103" s="219" t="s">
        <v>67</v>
      </c>
    </row>
    <row r="2104" spans="1:23" ht="15" customHeight="1" x14ac:dyDescent="0.25">
      <c r="A2104" t="s">
        <v>4977</v>
      </c>
      <c r="B2104" t="s">
        <v>546</v>
      </c>
      <c r="C2104">
        <v>20000</v>
      </c>
      <c r="D2104" t="s">
        <v>4974</v>
      </c>
      <c r="E2104" t="s">
        <v>553</v>
      </c>
      <c r="F2104" t="s">
        <v>554</v>
      </c>
      <c r="G2104" s="30">
        <v>46149</v>
      </c>
      <c r="H2104" t="s">
        <v>4975</v>
      </c>
      <c r="I2104">
        <v>1592625</v>
      </c>
      <c r="J2104" s="123">
        <v>46149</v>
      </c>
      <c r="K2104" s="123">
        <v>0</v>
      </c>
      <c r="L2104" s="123">
        <v>46149</v>
      </c>
      <c r="M2104">
        <v>0</v>
      </c>
      <c r="N2104">
        <v>0</v>
      </c>
      <c r="O2104" t="s">
        <v>556</v>
      </c>
      <c r="P2104" s="216">
        <v>20000</v>
      </c>
      <c r="Q2104" s="217" t="s">
        <v>16</v>
      </c>
      <c r="R2104" s="217" t="s">
        <v>554</v>
      </c>
      <c r="S2104" s="218">
        <v>0.27802464484734324</v>
      </c>
      <c r="T2104" t="s">
        <v>550</v>
      </c>
      <c r="U2104" t="s">
        <v>51</v>
      </c>
      <c r="V2104" s="219" t="s">
        <v>7001</v>
      </c>
      <c r="W2104" s="219" t="s">
        <v>67</v>
      </c>
    </row>
    <row r="2105" spans="1:23" ht="15" customHeight="1" x14ac:dyDescent="0.25">
      <c r="A2105" t="s">
        <v>4978</v>
      </c>
      <c r="B2105" t="s">
        <v>546</v>
      </c>
      <c r="C2105">
        <v>50000</v>
      </c>
      <c r="D2105" t="s">
        <v>4974</v>
      </c>
      <c r="E2105" t="s">
        <v>553</v>
      </c>
      <c r="F2105" t="s">
        <v>554</v>
      </c>
      <c r="G2105" s="30">
        <v>46149</v>
      </c>
      <c r="H2105" t="s">
        <v>4975</v>
      </c>
      <c r="I2105">
        <v>1592625</v>
      </c>
      <c r="J2105" s="123">
        <v>46149</v>
      </c>
      <c r="K2105" s="123">
        <v>0</v>
      </c>
      <c r="L2105" s="123">
        <v>46149</v>
      </c>
      <c r="M2105">
        <v>0</v>
      </c>
      <c r="N2105">
        <v>0</v>
      </c>
      <c r="O2105" t="s">
        <v>556</v>
      </c>
      <c r="P2105" s="216">
        <v>50000</v>
      </c>
      <c r="Q2105" s="217" t="s">
        <v>16</v>
      </c>
      <c r="R2105" s="217" t="s">
        <v>554</v>
      </c>
      <c r="S2105" s="218">
        <v>0.27802464484734324</v>
      </c>
      <c r="T2105" t="s">
        <v>550</v>
      </c>
      <c r="U2105" t="s">
        <v>51</v>
      </c>
      <c r="V2105" s="219" t="s">
        <v>7002</v>
      </c>
      <c r="W2105" s="219" t="s">
        <v>67</v>
      </c>
    </row>
    <row r="2106" spans="1:23" ht="15" customHeight="1" x14ac:dyDescent="0.25">
      <c r="A2106" t="s">
        <v>4979</v>
      </c>
      <c r="B2106" t="s">
        <v>546</v>
      </c>
      <c r="C2106">
        <v>190438.51</v>
      </c>
      <c r="D2106" t="s">
        <v>4980</v>
      </c>
      <c r="E2106" t="s">
        <v>553</v>
      </c>
      <c r="F2106" t="s">
        <v>548</v>
      </c>
      <c r="G2106" s="30">
        <v>46146</v>
      </c>
      <c r="H2106" t="s">
        <v>4981</v>
      </c>
      <c r="I2106">
        <v>1904382.2</v>
      </c>
      <c r="J2106" s="123">
        <v>46146</v>
      </c>
      <c r="K2106" s="123">
        <v>0</v>
      </c>
      <c r="L2106" s="123">
        <v>46146</v>
      </c>
      <c r="M2106">
        <v>0</v>
      </c>
      <c r="N2106">
        <v>0</v>
      </c>
      <c r="O2106" t="s">
        <v>556</v>
      </c>
      <c r="P2106" s="216">
        <v>190438.51</v>
      </c>
      <c r="Q2106" s="217" t="s">
        <v>30</v>
      </c>
      <c r="R2106" s="217" t="s">
        <v>62</v>
      </c>
      <c r="S2106" s="218">
        <v>0.30000043583688191</v>
      </c>
      <c r="T2106" t="s">
        <v>550</v>
      </c>
      <c r="U2106" t="s">
        <v>51</v>
      </c>
      <c r="V2106" s="219">
        <v>0</v>
      </c>
      <c r="W2106" s="219">
        <v>0</v>
      </c>
    </row>
    <row r="2107" spans="1:23" ht="15" customHeight="1" x14ac:dyDescent="0.25">
      <c r="A2107" t="s">
        <v>4982</v>
      </c>
      <c r="B2107" t="s">
        <v>546</v>
      </c>
      <c r="C2107">
        <v>190438.51</v>
      </c>
      <c r="D2107" t="s">
        <v>4980</v>
      </c>
      <c r="E2107" t="s">
        <v>553</v>
      </c>
      <c r="F2107" t="s">
        <v>548</v>
      </c>
      <c r="G2107" s="30">
        <v>46146</v>
      </c>
      <c r="H2107" t="s">
        <v>4981</v>
      </c>
      <c r="I2107">
        <v>1904382.2</v>
      </c>
      <c r="J2107" s="123">
        <v>46146</v>
      </c>
      <c r="K2107" s="123">
        <v>0</v>
      </c>
      <c r="L2107" s="123">
        <v>46146</v>
      </c>
      <c r="M2107">
        <v>0</v>
      </c>
      <c r="N2107">
        <v>0</v>
      </c>
      <c r="O2107" t="s">
        <v>556</v>
      </c>
      <c r="P2107" s="216">
        <v>190438.51</v>
      </c>
      <c r="Q2107" s="217" t="s">
        <v>30</v>
      </c>
      <c r="R2107" s="217" t="s">
        <v>62</v>
      </c>
      <c r="S2107" s="218">
        <v>0.30000043583688191</v>
      </c>
      <c r="T2107" t="s">
        <v>550</v>
      </c>
      <c r="U2107" t="s">
        <v>51</v>
      </c>
      <c r="V2107" s="219">
        <v>0</v>
      </c>
      <c r="W2107" s="219">
        <v>0</v>
      </c>
    </row>
    <row r="2108" spans="1:23" ht="15" customHeight="1" x14ac:dyDescent="0.25">
      <c r="A2108" t="s">
        <v>4983</v>
      </c>
      <c r="B2108" t="s">
        <v>546</v>
      </c>
      <c r="C2108">
        <v>190438.51</v>
      </c>
      <c r="D2108" t="s">
        <v>4980</v>
      </c>
      <c r="E2108" t="s">
        <v>553</v>
      </c>
      <c r="F2108" t="s">
        <v>548</v>
      </c>
      <c r="G2108" s="30">
        <v>46146</v>
      </c>
      <c r="H2108" t="s">
        <v>4981</v>
      </c>
      <c r="I2108">
        <v>1904382.2</v>
      </c>
      <c r="J2108" s="123">
        <v>46146</v>
      </c>
      <c r="K2108" s="123">
        <v>0</v>
      </c>
      <c r="L2108" s="123">
        <v>46146</v>
      </c>
      <c r="M2108">
        <v>0</v>
      </c>
      <c r="N2108">
        <v>0</v>
      </c>
      <c r="O2108" t="s">
        <v>556</v>
      </c>
      <c r="P2108" s="216">
        <v>190438.51</v>
      </c>
      <c r="Q2108" s="217" t="s">
        <v>30</v>
      </c>
      <c r="R2108" s="217" t="s">
        <v>62</v>
      </c>
      <c r="S2108" s="218">
        <v>0.30000043583688191</v>
      </c>
      <c r="T2108" t="s">
        <v>550</v>
      </c>
      <c r="U2108" t="s">
        <v>51</v>
      </c>
      <c r="V2108" s="219">
        <v>0</v>
      </c>
      <c r="W2108" s="219">
        <v>0</v>
      </c>
    </row>
    <row r="2109" spans="1:23" ht="15" customHeight="1" x14ac:dyDescent="0.25">
      <c r="A2109" t="s">
        <v>4984</v>
      </c>
      <c r="B2109" t="s">
        <v>546</v>
      </c>
      <c r="C2109">
        <v>190438.51</v>
      </c>
      <c r="D2109" t="s">
        <v>4980</v>
      </c>
      <c r="E2109" t="s">
        <v>553</v>
      </c>
      <c r="F2109" t="s">
        <v>548</v>
      </c>
      <c r="G2109" s="30">
        <v>46146</v>
      </c>
      <c r="H2109" t="s">
        <v>4981</v>
      </c>
      <c r="I2109">
        <v>1904382.2</v>
      </c>
      <c r="J2109" s="123">
        <v>46146</v>
      </c>
      <c r="K2109" s="123">
        <v>0</v>
      </c>
      <c r="L2109" s="123">
        <v>46146</v>
      </c>
      <c r="M2109">
        <v>0</v>
      </c>
      <c r="N2109">
        <v>0</v>
      </c>
      <c r="O2109" t="s">
        <v>556</v>
      </c>
      <c r="P2109" s="216">
        <v>190438.51</v>
      </c>
      <c r="Q2109" s="217" t="s">
        <v>30</v>
      </c>
      <c r="R2109" s="217" t="s">
        <v>62</v>
      </c>
      <c r="S2109" s="218">
        <v>0.30000043583688191</v>
      </c>
      <c r="T2109" t="s">
        <v>550</v>
      </c>
      <c r="U2109" t="s">
        <v>51</v>
      </c>
      <c r="V2109" s="219">
        <v>0</v>
      </c>
      <c r="W2109" s="219">
        <v>0</v>
      </c>
    </row>
    <row r="2110" spans="1:23" ht="15" customHeight="1" x14ac:dyDescent="0.25">
      <c r="A2110" t="s">
        <v>4985</v>
      </c>
      <c r="B2110" t="s">
        <v>575</v>
      </c>
      <c r="C2110">
        <v>190499</v>
      </c>
      <c r="D2110" t="s">
        <v>4980</v>
      </c>
      <c r="E2110" t="s">
        <v>248</v>
      </c>
      <c r="F2110" t="s">
        <v>554</v>
      </c>
      <c r="G2110" s="30">
        <v>46147</v>
      </c>
      <c r="H2110" t="s">
        <v>4981</v>
      </c>
      <c r="I2110">
        <v>1904382.2</v>
      </c>
      <c r="J2110" s="123">
        <v>0</v>
      </c>
      <c r="K2110" s="123">
        <v>0</v>
      </c>
      <c r="L2110" s="123">
        <v>46146</v>
      </c>
      <c r="M2110">
        <v>0</v>
      </c>
      <c r="N2110">
        <v>0</v>
      </c>
      <c r="O2110">
        <v>0</v>
      </c>
      <c r="P2110" s="216">
        <v>190499</v>
      </c>
      <c r="Q2110" s="217" t="s">
        <v>30</v>
      </c>
      <c r="R2110" s="217" t="s">
        <v>554</v>
      </c>
      <c r="S2110" s="218">
        <v>0.30000043583688191</v>
      </c>
      <c r="T2110" t="s">
        <v>550</v>
      </c>
      <c r="U2110" t="s">
        <v>51</v>
      </c>
      <c r="V2110" s="219" t="s">
        <v>7003</v>
      </c>
      <c r="W2110" s="219" t="s">
        <v>67</v>
      </c>
    </row>
    <row r="2111" spans="1:23" ht="15" customHeight="1" x14ac:dyDescent="0.25">
      <c r="A2111" t="s">
        <v>4986</v>
      </c>
      <c r="B2111" t="s">
        <v>546</v>
      </c>
      <c r="C2111">
        <v>20000</v>
      </c>
      <c r="D2111" t="s">
        <v>4987</v>
      </c>
      <c r="E2111" t="s">
        <v>553</v>
      </c>
      <c r="F2111" t="s">
        <v>554</v>
      </c>
      <c r="G2111" s="30">
        <v>46149</v>
      </c>
      <c r="H2111" t="s">
        <v>4988</v>
      </c>
      <c r="I2111">
        <v>3353301</v>
      </c>
      <c r="J2111" s="123">
        <v>46149</v>
      </c>
      <c r="K2111" s="123">
        <v>0</v>
      </c>
      <c r="L2111" s="123">
        <v>46149</v>
      </c>
      <c r="M2111">
        <v>0</v>
      </c>
      <c r="N2111">
        <v>0</v>
      </c>
      <c r="O2111" t="s">
        <v>556</v>
      </c>
      <c r="P2111" s="216">
        <v>20000</v>
      </c>
      <c r="Q2111" s="217" t="s">
        <v>49</v>
      </c>
      <c r="R2111" s="217" t="s">
        <v>554</v>
      </c>
      <c r="S2111" s="218">
        <v>0.262779112283687</v>
      </c>
      <c r="T2111" t="s">
        <v>550</v>
      </c>
      <c r="U2111" t="s">
        <v>51</v>
      </c>
      <c r="V2111" s="219" t="s">
        <v>7004</v>
      </c>
      <c r="W2111" s="219" t="s">
        <v>67</v>
      </c>
    </row>
    <row r="2112" spans="1:23" ht="15" customHeight="1" x14ac:dyDescent="0.25">
      <c r="A2112" t="s">
        <v>4989</v>
      </c>
      <c r="B2112" t="s">
        <v>546</v>
      </c>
      <c r="C2112">
        <v>21000</v>
      </c>
      <c r="D2112" t="s">
        <v>4987</v>
      </c>
      <c r="E2112" t="s">
        <v>553</v>
      </c>
      <c r="F2112" t="s">
        <v>548</v>
      </c>
      <c r="G2112" s="30">
        <v>46149</v>
      </c>
      <c r="H2112" t="s">
        <v>4988</v>
      </c>
      <c r="I2112">
        <v>3353301</v>
      </c>
      <c r="J2112" s="123">
        <v>46149</v>
      </c>
      <c r="K2112" s="123">
        <v>0</v>
      </c>
      <c r="L2112" s="123">
        <v>46149</v>
      </c>
      <c r="M2112">
        <v>0</v>
      </c>
      <c r="N2112">
        <v>0</v>
      </c>
      <c r="O2112" t="s">
        <v>556</v>
      </c>
      <c r="P2112" s="216">
        <v>21000</v>
      </c>
      <c r="Q2112" s="217" t="s">
        <v>49</v>
      </c>
      <c r="R2112" s="217" t="s">
        <v>62</v>
      </c>
      <c r="S2112" s="218">
        <v>0.262779112283687</v>
      </c>
      <c r="T2112" t="s">
        <v>550</v>
      </c>
      <c r="U2112" t="s">
        <v>51</v>
      </c>
      <c r="V2112" s="219">
        <v>0</v>
      </c>
      <c r="W2112" s="219">
        <v>0</v>
      </c>
    </row>
    <row r="2113" spans="1:23" ht="15" customHeight="1" x14ac:dyDescent="0.25">
      <c r="A2113" t="s">
        <v>4990</v>
      </c>
      <c r="B2113" t="s">
        <v>546</v>
      </c>
      <c r="C2113">
        <v>21000</v>
      </c>
      <c r="D2113" t="s">
        <v>4987</v>
      </c>
      <c r="E2113" t="s">
        <v>553</v>
      </c>
      <c r="F2113" t="s">
        <v>548</v>
      </c>
      <c r="G2113" s="30">
        <v>46149</v>
      </c>
      <c r="H2113" t="s">
        <v>4988</v>
      </c>
      <c r="I2113">
        <v>3353301</v>
      </c>
      <c r="J2113" s="123">
        <v>46149</v>
      </c>
      <c r="K2113" s="123">
        <v>0</v>
      </c>
      <c r="L2113" s="123">
        <v>46149</v>
      </c>
      <c r="M2113">
        <v>0</v>
      </c>
      <c r="N2113">
        <v>0</v>
      </c>
      <c r="O2113" t="s">
        <v>556</v>
      </c>
      <c r="P2113" s="216">
        <v>21000</v>
      </c>
      <c r="Q2113" s="217" t="s">
        <v>49</v>
      </c>
      <c r="R2113" s="217" t="s">
        <v>62</v>
      </c>
      <c r="S2113" s="218">
        <v>0.262779112283687</v>
      </c>
      <c r="T2113" t="s">
        <v>550</v>
      </c>
      <c r="U2113" t="s">
        <v>51</v>
      </c>
      <c r="V2113" s="219">
        <v>0</v>
      </c>
      <c r="W2113" s="219">
        <v>0</v>
      </c>
    </row>
    <row r="2114" spans="1:23" ht="15" customHeight="1" x14ac:dyDescent="0.25">
      <c r="A2114" t="s">
        <v>4991</v>
      </c>
      <c r="B2114" t="s">
        <v>546</v>
      </c>
      <c r="C2114">
        <v>12500</v>
      </c>
      <c r="D2114" t="s">
        <v>4987</v>
      </c>
      <c r="E2114" t="s">
        <v>553</v>
      </c>
      <c r="F2114" t="s">
        <v>554</v>
      </c>
      <c r="G2114" s="30">
        <v>46149</v>
      </c>
      <c r="H2114" t="s">
        <v>4988</v>
      </c>
      <c r="I2114">
        <v>3353301</v>
      </c>
      <c r="J2114" s="123">
        <v>46149</v>
      </c>
      <c r="K2114" s="123">
        <v>0</v>
      </c>
      <c r="L2114" s="123">
        <v>46149</v>
      </c>
      <c r="M2114">
        <v>0</v>
      </c>
      <c r="N2114">
        <v>0</v>
      </c>
      <c r="O2114" t="s">
        <v>556</v>
      </c>
      <c r="P2114" s="216">
        <v>12500</v>
      </c>
      <c r="Q2114" s="217" t="s">
        <v>49</v>
      </c>
      <c r="R2114" s="217" t="s">
        <v>554</v>
      </c>
      <c r="S2114" s="218">
        <v>0.262779112283687</v>
      </c>
      <c r="T2114" t="s">
        <v>550</v>
      </c>
      <c r="U2114" t="s">
        <v>51</v>
      </c>
      <c r="V2114" s="219" t="s">
        <v>7005</v>
      </c>
      <c r="W2114" s="219" t="s">
        <v>67</v>
      </c>
    </row>
    <row r="2115" spans="1:23" ht="15" customHeight="1" x14ac:dyDescent="0.25">
      <c r="A2115" t="s">
        <v>4992</v>
      </c>
      <c r="B2115" t="s">
        <v>546</v>
      </c>
      <c r="C2115">
        <v>15000</v>
      </c>
      <c r="D2115" t="s">
        <v>4987</v>
      </c>
      <c r="E2115" t="s">
        <v>553</v>
      </c>
      <c r="F2115" t="s">
        <v>548</v>
      </c>
      <c r="G2115" s="30">
        <v>46149</v>
      </c>
      <c r="H2115" t="s">
        <v>4988</v>
      </c>
      <c r="I2115">
        <v>3353301</v>
      </c>
      <c r="J2115" s="123">
        <v>46149</v>
      </c>
      <c r="K2115" s="123">
        <v>0</v>
      </c>
      <c r="L2115" s="123">
        <v>46149</v>
      </c>
      <c r="M2115">
        <v>0</v>
      </c>
      <c r="N2115">
        <v>0</v>
      </c>
      <c r="O2115" t="s">
        <v>556</v>
      </c>
      <c r="P2115" s="216">
        <v>15000</v>
      </c>
      <c r="Q2115" s="217" t="s">
        <v>49</v>
      </c>
      <c r="R2115" s="217" t="s">
        <v>62</v>
      </c>
      <c r="S2115" s="218">
        <v>0.262779112283687</v>
      </c>
      <c r="T2115" t="s">
        <v>550</v>
      </c>
      <c r="U2115" t="s">
        <v>51</v>
      </c>
      <c r="V2115" s="219">
        <v>0</v>
      </c>
      <c r="W2115" s="219">
        <v>0</v>
      </c>
    </row>
    <row r="2116" spans="1:23" ht="15" customHeight="1" x14ac:dyDescent="0.25">
      <c r="A2116" t="s">
        <v>4993</v>
      </c>
      <c r="B2116" t="s">
        <v>546</v>
      </c>
      <c r="C2116">
        <v>10000</v>
      </c>
      <c r="D2116" t="s">
        <v>4987</v>
      </c>
      <c r="E2116" t="s">
        <v>553</v>
      </c>
      <c r="F2116" t="s">
        <v>554</v>
      </c>
      <c r="G2116" s="30">
        <v>46149</v>
      </c>
      <c r="H2116" t="s">
        <v>4988</v>
      </c>
      <c r="I2116">
        <v>3353301</v>
      </c>
      <c r="J2116" s="123">
        <v>46149</v>
      </c>
      <c r="K2116" s="123">
        <v>0</v>
      </c>
      <c r="L2116" s="123">
        <v>46149</v>
      </c>
      <c r="M2116">
        <v>0</v>
      </c>
      <c r="N2116">
        <v>0</v>
      </c>
      <c r="O2116" t="s">
        <v>556</v>
      </c>
      <c r="P2116" s="216">
        <v>10000</v>
      </c>
      <c r="Q2116" s="217" t="s">
        <v>49</v>
      </c>
      <c r="R2116" s="217" t="s">
        <v>554</v>
      </c>
      <c r="S2116" s="218">
        <v>0.262779112283687</v>
      </c>
      <c r="T2116" t="s">
        <v>550</v>
      </c>
      <c r="U2116" t="s">
        <v>51</v>
      </c>
      <c r="V2116" s="219" t="s">
        <v>7006</v>
      </c>
      <c r="W2116" s="219" t="s">
        <v>67</v>
      </c>
    </row>
    <row r="2117" spans="1:23" ht="15" customHeight="1" x14ac:dyDescent="0.25">
      <c r="A2117" t="s">
        <v>4994</v>
      </c>
      <c r="B2117" t="s">
        <v>546</v>
      </c>
      <c r="C2117">
        <v>10000</v>
      </c>
      <c r="D2117" t="s">
        <v>4987</v>
      </c>
      <c r="E2117" t="s">
        <v>553</v>
      </c>
      <c r="F2117" t="s">
        <v>548</v>
      </c>
      <c r="G2117" s="30">
        <v>46149</v>
      </c>
      <c r="H2117" t="s">
        <v>4988</v>
      </c>
      <c r="I2117">
        <v>3353301</v>
      </c>
      <c r="J2117" s="123">
        <v>46149</v>
      </c>
      <c r="K2117" s="123">
        <v>0</v>
      </c>
      <c r="L2117" s="123">
        <v>46149</v>
      </c>
      <c r="M2117">
        <v>0</v>
      </c>
      <c r="N2117">
        <v>0</v>
      </c>
      <c r="O2117" t="s">
        <v>556</v>
      </c>
      <c r="P2117" s="216">
        <v>10000</v>
      </c>
      <c r="Q2117" s="217" t="s">
        <v>49</v>
      </c>
      <c r="R2117" s="217" t="s">
        <v>62</v>
      </c>
      <c r="S2117" s="218">
        <v>0.262779112283687</v>
      </c>
      <c r="T2117" t="s">
        <v>550</v>
      </c>
      <c r="U2117" t="s">
        <v>51</v>
      </c>
      <c r="V2117" s="219">
        <v>0</v>
      </c>
      <c r="W2117" s="219">
        <v>0</v>
      </c>
    </row>
    <row r="2118" spans="1:23" ht="15" customHeight="1" x14ac:dyDescent="0.25">
      <c r="A2118" t="s">
        <v>4995</v>
      </c>
      <c r="B2118" t="s">
        <v>546</v>
      </c>
      <c r="C2118">
        <v>20000</v>
      </c>
      <c r="D2118" t="s">
        <v>4987</v>
      </c>
      <c r="E2118" t="s">
        <v>553</v>
      </c>
      <c r="F2118" t="s">
        <v>548</v>
      </c>
      <c r="G2118" s="30">
        <v>46149</v>
      </c>
      <c r="H2118" t="s">
        <v>4988</v>
      </c>
      <c r="I2118">
        <v>3353301</v>
      </c>
      <c r="J2118" s="123">
        <v>46149</v>
      </c>
      <c r="K2118" s="123">
        <v>0</v>
      </c>
      <c r="L2118" s="123">
        <v>46149</v>
      </c>
      <c r="M2118">
        <v>0</v>
      </c>
      <c r="N2118">
        <v>0</v>
      </c>
      <c r="O2118" t="s">
        <v>556</v>
      </c>
      <c r="P2118" s="216">
        <v>20000</v>
      </c>
      <c r="Q2118" s="217" t="s">
        <v>49</v>
      </c>
      <c r="R2118" s="217" t="s">
        <v>62</v>
      </c>
      <c r="S2118" s="218">
        <v>0.262779112283687</v>
      </c>
      <c r="T2118" t="s">
        <v>550</v>
      </c>
      <c r="U2118" t="s">
        <v>51</v>
      </c>
      <c r="V2118" s="219">
        <v>0</v>
      </c>
      <c r="W2118" s="219">
        <v>0</v>
      </c>
    </row>
    <row r="2119" spans="1:23" ht="15" customHeight="1" x14ac:dyDescent="0.25">
      <c r="A2119" t="s">
        <v>4996</v>
      </c>
      <c r="B2119" t="s">
        <v>546</v>
      </c>
      <c r="C2119">
        <v>45000</v>
      </c>
      <c r="D2119" t="s">
        <v>4987</v>
      </c>
      <c r="E2119" t="s">
        <v>553</v>
      </c>
      <c r="F2119" t="s">
        <v>548</v>
      </c>
      <c r="G2119" s="30">
        <v>46149</v>
      </c>
      <c r="H2119" t="s">
        <v>4988</v>
      </c>
      <c r="I2119">
        <v>3353301</v>
      </c>
      <c r="J2119" s="123">
        <v>46149</v>
      </c>
      <c r="K2119" s="123">
        <v>0</v>
      </c>
      <c r="L2119" s="123">
        <v>46149</v>
      </c>
      <c r="M2119">
        <v>0</v>
      </c>
      <c r="N2119">
        <v>0</v>
      </c>
      <c r="O2119" t="s">
        <v>556</v>
      </c>
      <c r="P2119" s="216">
        <v>45000</v>
      </c>
      <c r="Q2119" s="217" t="s">
        <v>49</v>
      </c>
      <c r="R2119" s="217" t="s">
        <v>62</v>
      </c>
      <c r="S2119" s="218">
        <v>0.262779112283687</v>
      </c>
      <c r="T2119" t="s">
        <v>550</v>
      </c>
      <c r="U2119" t="s">
        <v>51</v>
      </c>
      <c r="V2119" s="219">
        <v>0</v>
      </c>
      <c r="W2119" s="219">
        <v>0</v>
      </c>
    </row>
    <row r="2120" spans="1:23" ht="15" customHeight="1" x14ac:dyDescent="0.25">
      <c r="A2120" t="s">
        <v>4997</v>
      </c>
      <c r="B2120" t="s">
        <v>546</v>
      </c>
      <c r="C2120">
        <v>45000</v>
      </c>
      <c r="D2120" t="s">
        <v>4987</v>
      </c>
      <c r="E2120" t="s">
        <v>553</v>
      </c>
      <c r="F2120" t="s">
        <v>548</v>
      </c>
      <c r="G2120" s="30">
        <v>46149</v>
      </c>
      <c r="H2120" t="s">
        <v>4988</v>
      </c>
      <c r="I2120">
        <v>3353301</v>
      </c>
      <c r="J2120" s="123">
        <v>46149</v>
      </c>
      <c r="K2120" s="123">
        <v>0</v>
      </c>
      <c r="L2120" s="123">
        <v>46149</v>
      </c>
      <c r="M2120">
        <v>0</v>
      </c>
      <c r="N2120">
        <v>0</v>
      </c>
      <c r="O2120" t="s">
        <v>556</v>
      </c>
      <c r="P2120" s="216">
        <v>45000</v>
      </c>
      <c r="Q2120" s="217" t="s">
        <v>49</v>
      </c>
      <c r="R2120" s="217" t="s">
        <v>62</v>
      </c>
      <c r="S2120" s="218">
        <v>0.262779112283687</v>
      </c>
      <c r="T2120" t="s">
        <v>550</v>
      </c>
      <c r="U2120" t="s">
        <v>51</v>
      </c>
      <c r="V2120" s="219">
        <v>0</v>
      </c>
      <c r="W2120" s="219">
        <v>0</v>
      </c>
    </row>
    <row r="2121" spans="1:23" ht="15" customHeight="1" x14ac:dyDescent="0.25">
      <c r="A2121" t="s">
        <v>4998</v>
      </c>
      <c r="B2121" t="s">
        <v>546</v>
      </c>
      <c r="C2121">
        <v>150643</v>
      </c>
      <c r="D2121" t="s">
        <v>4999</v>
      </c>
      <c r="E2121" t="s">
        <v>553</v>
      </c>
      <c r="F2121" t="s">
        <v>554</v>
      </c>
      <c r="G2121" s="30">
        <v>46143</v>
      </c>
      <c r="H2121" t="s">
        <v>5000</v>
      </c>
      <c r="I2121">
        <v>1685021.1</v>
      </c>
      <c r="J2121" s="123">
        <v>46143</v>
      </c>
      <c r="K2121" s="123">
        <v>0</v>
      </c>
      <c r="L2121" s="123">
        <v>46143</v>
      </c>
      <c r="M2121">
        <v>0</v>
      </c>
      <c r="N2121">
        <v>0</v>
      </c>
      <c r="O2121" t="s">
        <v>556</v>
      </c>
      <c r="P2121" s="216">
        <v>150643</v>
      </c>
      <c r="Q2121" s="217" t="s">
        <v>16</v>
      </c>
      <c r="R2121" s="217" t="s">
        <v>554</v>
      </c>
      <c r="S2121" s="218">
        <v>0.29999802376361934</v>
      </c>
      <c r="T2121" t="s">
        <v>550</v>
      </c>
      <c r="U2121" t="s">
        <v>51</v>
      </c>
      <c r="V2121" s="219" t="s">
        <v>7007</v>
      </c>
      <c r="W2121" s="219" t="s">
        <v>67</v>
      </c>
    </row>
    <row r="2122" spans="1:23" ht="15" customHeight="1" x14ac:dyDescent="0.25">
      <c r="A2122" t="s">
        <v>5001</v>
      </c>
      <c r="B2122" t="s">
        <v>575</v>
      </c>
      <c r="C2122">
        <v>204919</v>
      </c>
      <c r="D2122" t="s">
        <v>5002</v>
      </c>
      <c r="E2122" t="s">
        <v>223</v>
      </c>
      <c r="F2122" t="s">
        <v>580</v>
      </c>
      <c r="G2122" s="30">
        <v>46149</v>
      </c>
      <c r="H2122" t="s">
        <v>5003</v>
      </c>
      <c r="I2122">
        <v>2049192.75</v>
      </c>
      <c r="J2122" s="123">
        <v>0</v>
      </c>
      <c r="K2122" s="123">
        <v>0</v>
      </c>
      <c r="L2122" s="123">
        <v>46149</v>
      </c>
      <c r="M2122">
        <v>0</v>
      </c>
      <c r="N2122">
        <v>0</v>
      </c>
      <c r="O2122">
        <v>0</v>
      </c>
      <c r="P2122" s="216">
        <v>204919</v>
      </c>
      <c r="Q2122" s="217" t="s">
        <v>31</v>
      </c>
      <c r="R2122" s="217" t="s">
        <v>582</v>
      </c>
      <c r="S2122" s="218">
        <v>0.19999924360458526</v>
      </c>
      <c r="T2122" t="s">
        <v>550</v>
      </c>
      <c r="U2122" t="s">
        <v>51</v>
      </c>
      <c r="V2122" s="219">
        <v>0</v>
      </c>
      <c r="W2122" s="219">
        <v>0</v>
      </c>
    </row>
    <row r="2123" spans="1:23" ht="15" customHeight="1" x14ac:dyDescent="0.25">
      <c r="A2123" t="s">
        <v>5004</v>
      </c>
      <c r="B2123" t="s">
        <v>546</v>
      </c>
      <c r="C2123">
        <v>165004</v>
      </c>
      <c r="D2123" t="s">
        <v>5005</v>
      </c>
      <c r="E2123" t="s">
        <v>553</v>
      </c>
      <c r="F2123" t="s">
        <v>548</v>
      </c>
      <c r="G2123" s="30">
        <v>46144</v>
      </c>
      <c r="H2123" t="s">
        <v>5006</v>
      </c>
      <c r="I2123">
        <v>1650041.25</v>
      </c>
      <c r="J2123" s="123">
        <v>46144</v>
      </c>
      <c r="K2123" s="123">
        <v>0</v>
      </c>
      <c r="L2123" s="123">
        <v>46144</v>
      </c>
      <c r="M2123">
        <v>0</v>
      </c>
      <c r="N2123">
        <v>0</v>
      </c>
      <c r="O2123" t="s">
        <v>556</v>
      </c>
      <c r="P2123" s="216">
        <v>165004</v>
      </c>
      <c r="Q2123" s="217" t="s">
        <v>16</v>
      </c>
      <c r="R2123" s="217" t="s">
        <v>62</v>
      </c>
      <c r="S2123" s="218">
        <v>0.30000037877840935</v>
      </c>
      <c r="T2123" t="s">
        <v>550</v>
      </c>
      <c r="U2123" t="s">
        <v>51</v>
      </c>
      <c r="V2123" s="219">
        <v>0</v>
      </c>
      <c r="W2123" s="219">
        <v>0</v>
      </c>
    </row>
    <row r="2124" spans="1:23" ht="15" customHeight="1" x14ac:dyDescent="0.25">
      <c r="A2124" t="s">
        <v>5007</v>
      </c>
      <c r="B2124" t="s">
        <v>546</v>
      </c>
      <c r="C2124">
        <v>1000</v>
      </c>
      <c r="D2124" t="s">
        <v>5005</v>
      </c>
      <c r="E2124" t="s">
        <v>553</v>
      </c>
      <c r="F2124" t="s">
        <v>554</v>
      </c>
      <c r="G2124" s="30">
        <v>46145</v>
      </c>
      <c r="H2124" t="s">
        <v>5006</v>
      </c>
      <c r="I2124">
        <v>1650041.25</v>
      </c>
      <c r="J2124" s="123">
        <v>46145</v>
      </c>
      <c r="K2124" s="123">
        <v>0</v>
      </c>
      <c r="L2124" s="123">
        <v>46145</v>
      </c>
      <c r="M2124">
        <v>0</v>
      </c>
      <c r="N2124">
        <v>0</v>
      </c>
      <c r="O2124" t="s">
        <v>556</v>
      </c>
      <c r="P2124" s="216">
        <v>1000</v>
      </c>
      <c r="Q2124" s="217" t="s">
        <v>16</v>
      </c>
      <c r="R2124" s="217" t="s">
        <v>554</v>
      </c>
      <c r="S2124" s="218">
        <v>0.30000037877840935</v>
      </c>
      <c r="T2124" t="s">
        <v>550</v>
      </c>
      <c r="U2124" t="s">
        <v>51</v>
      </c>
      <c r="V2124" s="219" t="s">
        <v>7008</v>
      </c>
      <c r="W2124" s="219" t="s">
        <v>67</v>
      </c>
    </row>
    <row r="2125" spans="1:23" ht="15" customHeight="1" x14ac:dyDescent="0.25">
      <c r="A2125" t="s">
        <v>5008</v>
      </c>
      <c r="B2125" t="s">
        <v>546</v>
      </c>
      <c r="C2125">
        <v>10000</v>
      </c>
      <c r="D2125" t="s">
        <v>5005</v>
      </c>
      <c r="E2125" t="s">
        <v>553</v>
      </c>
      <c r="F2125" t="s">
        <v>554</v>
      </c>
      <c r="G2125" s="30">
        <v>46145</v>
      </c>
      <c r="H2125" t="s">
        <v>5006</v>
      </c>
      <c r="I2125">
        <v>1650041.25</v>
      </c>
      <c r="J2125" s="123">
        <v>46145</v>
      </c>
      <c r="K2125" s="123">
        <v>0</v>
      </c>
      <c r="L2125" s="123">
        <v>46145</v>
      </c>
      <c r="M2125">
        <v>0</v>
      </c>
      <c r="N2125">
        <v>0</v>
      </c>
      <c r="O2125" t="s">
        <v>556</v>
      </c>
      <c r="P2125" s="216">
        <v>10000</v>
      </c>
      <c r="Q2125" s="217" t="s">
        <v>16</v>
      </c>
      <c r="R2125" s="217" t="s">
        <v>554</v>
      </c>
      <c r="S2125" s="218">
        <v>0.30000037877840935</v>
      </c>
      <c r="T2125" t="s">
        <v>550</v>
      </c>
      <c r="U2125" t="s">
        <v>51</v>
      </c>
      <c r="V2125" s="219" t="s">
        <v>7009</v>
      </c>
      <c r="W2125" s="219" t="s">
        <v>67</v>
      </c>
    </row>
    <row r="2126" spans="1:23" ht="15" customHeight="1" x14ac:dyDescent="0.25">
      <c r="A2126" t="s">
        <v>5009</v>
      </c>
      <c r="B2126" t="s">
        <v>546</v>
      </c>
      <c r="C2126">
        <v>9000</v>
      </c>
      <c r="D2126" t="s">
        <v>5005</v>
      </c>
      <c r="E2126" t="s">
        <v>553</v>
      </c>
      <c r="F2126" t="s">
        <v>554</v>
      </c>
      <c r="G2126" s="30">
        <v>46145</v>
      </c>
      <c r="H2126" t="s">
        <v>5006</v>
      </c>
      <c r="I2126">
        <v>1650041.25</v>
      </c>
      <c r="J2126" s="123">
        <v>46145</v>
      </c>
      <c r="K2126" s="123">
        <v>0</v>
      </c>
      <c r="L2126" s="123">
        <v>46145</v>
      </c>
      <c r="M2126">
        <v>0</v>
      </c>
      <c r="N2126">
        <v>0</v>
      </c>
      <c r="O2126" t="s">
        <v>556</v>
      </c>
      <c r="P2126" s="216">
        <v>9000</v>
      </c>
      <c r="Q2126" s="217" t="s">
        <v>16</v>
      </c>
      <c r="R2126" s="217" t="s">
        <v>554</v>
      </c>
      <c r="S2126" s="218">
        <v>0.30000037877840935</v>
      </c>
      <c r="T2126" t="s">
        <v>550</v>
      </c>
      <c r="U2126" t="s">
        <v>51</v>
      </c>
      <c r="V2126" s="219" t="s">
        <v>7010</v>
      </c>
      <c r="W2126" s="219" t="s">
        <v>67</v>
      </c>
    </row>
    <row r="2127" spans="1:23" ht="15" customHeight="1" x14ac:dyDescent="0.25">
      <c r="A2127" t="s">
        <v>5010</v>
      </c>
      <c r="B2127" t="s">
        <v>546</v>
      </c>
      <c r="C2127">
        <v>165004</v>
      </c>
      <c r="D2127" t="s">
        <v>5005</v>
      </c>
      <c r="E2127" t="s">
        <v>553</v>
      </c>
      <c r="F2127" t="s">
        <v>548</v>
      </c>
      <c r="G2127" s="30">
        <v>46145</v>
      </c>
      <c r="H2127" t="s">
        <v>5006</v>
      </c>
      <c r="I2127">
        <v>1650041.25</v>
      </c>
      <c r="J2127" s="123">
        <v>46145</v>
      </c>
      <c r="K2127" s="123">
        <v>0</v>
      </c>
      <c r="L2127" s="123">
        <v>46145</v>
      </c>
      <c r="M2127">
        <v>0</v>
      </c>
      <c r="N2127">
        <v>0</v>
      </c>
      <c r="O2127" t="s">
        <v>556</v>
      </c>
      <c r="P2127" s="216">
        <v>165004</v>
      </c>
      <c r="Q2127" s="217" t="s">
        <v>16</v>
      </c>
      <c r="R2127" s="217" t="s">
        <v>62</v>
      </c>
      <c r="S2127" s="218">
        <v>0.30000037877840935</v>
      </c>
      <c r="T2127" t="s">
        <v>550</v>
      </c>
      <c r="U2127" t="s">
        <v>51</v>
      </c>
      <c r="V2127" s="219">
        <v>0</v>
      </c>
      <c r="W2127" s="219">
        <v>0</v>
      </c>
    </row>
    <row r="2128" spans="1:23" ht="15" customHeight="1" x14ac:dyDescent="0.25">
      <c r="A2128" t="s">
        <v>5011</v>
      </c>
      <c r="B2128" t="s">
        <v>546</v>
      </c>
      <c r="C2128">
        <v>55000</v>
      </c>
      <c r="D2128" t="s">
        <v>5005</v>
      </c>
      <c r="E2128" t="s">
        <v>553</v>
      </c>
      <c r="F2128" t="s">
        <v>554</v>
      </c>
      <c r="G2128" s="30">
        <v>46147</v>
      </c>
      <c r="H2128" t="s">
        <v>5006</v>
      </c>
      <c r="I2128">
        <v>1650041.25</v>
      </c>
      <c r="J2128" s="123">
        <v>46147</v>
      </c>
      <c r="K2128" s="123">
        <v>0</v>
      </c>
      <c r="L2128" s="123">
        <v>46147</v>
      </c>
      <c r="M2128">
        <v>0</v>
      </c>
      <c r="N2128">
        <v>0</v>
      </c>
      <c r="O2128" t="s">
        <v>556</v>
      </c>
      <c r="P2128" s="216">
        <v>55000</v>
      </c>
      <c r="Q2128" s="217" t="s">
        <v>16</v>
      </c>
      <c r="R2128" s="217" t="s">
        <v>554</v>
      </c>
      <c r="S2128" s="218">
        <v>0.30000037877840935</v>
      </c>
      <c r="T2128" t="s">
        <v>550</v>
      </c>
      <c r="U2128" t="s">
        <v>51</v>
      </c>
      <c r="V2128" s="219" t="s">
        <v>7011</v>
      </c>
      <c r="W2128" s="219" t="s">
        <v>67</v>
      </c>
    </row>
    <row r="2129" spans="1:23" ht="15" customHeight="1" x14ac:dyDescent="0.25">
      <c r="A2129" t="s">
        <v>5012</v>
      </c>
      <c r="B2129" t="s">
        <v>546</v>
      </c>
      <c r="C2129">
        <v>23000</v>
      </c>
      <c r="D2129" t="s">
        <v>5005</v>
      </c>
      <c r="E2129" t="s">
        <v>553</v>
      </c>
      <c r="F2129" t="s">
        <v>554</v>
      </c>
      <c r="G2129" s="30">
        <v>46146</v>
      </c>
      <c r="H2129" t="s">
        <v>5006</v>
      </c>
      <c r="I2129">
        <v>1650041.25</v>
      </c>
      <c r="J2129" s="123">
        <v>46146</v>
      </c>
      <c r="K2129" s="123">
        <v>0</v>
      </c>
      <c r="L2129" s="123">
        <v>46146</v>
      </c>
      <c r="M2129">
        <v>0</v>
      </c>
      <c r="N2129">
        <v>0</v>
      </c>
      <c r="O2129" t="s">
        <v>556</v>
      </c>
      <c r="P2129" s="216">
        <v>23000</v>
      </c>
      <c r="Q2129" s="217" t="s">
        <v>16</v>
      </c>
      <c r="R2129" s="217" t="s">
        <v>554</v>
      </c>
      <c r="S2129" s="218">
        <v>0.30000037877840935</v>
      </c>
      <c r="T2129" t="s">
        <v>550</v>
      </c>
      <c r="U2129" t="s">
        <v>51</v>
      </c>
      <c r="V2129" s="219" t="s">
        <v>7012</v>
      </c>
      <c r="W2129" s="219" t="s">
        <v>67</v>
      </c>
    </row>
    <row r="2130" spans="1:23" ht="15" customHeight="1" x14ac:dyDescent="0.25">
      <c r="A2130" t="s">
        <v>5013</v>
      </c>
      <c r="B2130" t="s">
        <v>546</v>
      </c>
      <c r="C2130">
        <v>9038.75</v>
      </c>
      <c r="D2130" t="s">
        <v>5005</v>
      </c>
      <c r="E2130" t="s">
        <v>553</v>
      </c>
      <c r="F2130" t="s">
        <v>554</v>
      </c>
      <c r="G2130" s="30">
        <v>46148</v>
      </c>
      <c r="H2130" t="s">
        <v>5006</v>
      </c>
      <c r="I2130">
        <v>1650041.25</v>
      </c>
      <c r="J2130" s="123">
        <v>46148</v>
      </c>
      <c r="K2130" s="123">
        <v>0</v>
      </c>
      <c r="L2130" s="123">
        <v>46148</v>
      </c>
      <c r="M2130">
        <v>0</v>
      </c>
      <c r="N2130">
        <v>0</v>
      </c>
      <c r="O2130" t="s">
        <v>556</v>
      </c>
      <c r="P2130" s="216">
        <v>9038.75</v>
      </c>
      <c r="Q2130" s="217" t="s">
        <v>16</v>
      </c>
      <c r="R2130" s="217" t="s">
        <v>554</v>
      </c>
      <c r="S2130" s="218">
        <v>0.30000037877840935</v>
      </c>
      <c r="T2130" t="s">
        <v>550</v>
      </c>
      <c r="U2130" t="s">
        <v>51</v>
      </c>
      <c r="V2130" s="219" t="s">
        <v>7013</v>
      </c>
      <c r="W2130" s="219" t="s">
        <v>67</v>
      </c>
    </row>
    <row r="2131" spans="1:23" ht="15" customHeight="1" x14ac:dyDescent="0.25">
      <c r="A2131" t="s">
        <v>5014</v>
      </c>
      <c r="B2131" t="s">
        <v>546</v>
      </c>
      <c r="C2131">
        <v>30000</v>
      </c>
      <c r="D2131" t="s">
        <v>5005</v>
      </c>
      <c r="E2131" t="s">
        <v>553</v>
      </c>
      <c r="F2131" t="s">
        <v>554</v>
      </c>
      <c r="G2131" s="30">
        <v>46148</v>
      </c>
      <c r="H2131" t="s">
        <v>5006</v>
      </c>
      <c r="I2131">
        <v>1650041.25</v>
      </c>
      <c r="J2131" s="123">
        <v>46148</v>
      </c>
      <c r="K2131" s="123">
        <v>0</v>
      </c>
      <c r="L2131" s="123">
        <v>46148</v>
      </c>
      <c r="M2131">
        <v>0</v>
      </c>
      <c r="N2131">
        <v>0</v>
      </c>
      <c r="O2131" t="s">
        <v>556</v>
      </c>
      <c r="P2131" s="216">
        <v>30000</v>
      </c>
      <c r="Q2131" s="217" t="s">
        <v>16</v>
      </c>
      <c r="R2131" s="217" t="s">
        <v>554</v>
      </c>
      <c r="S2131" s="218">
        <v>0.30000037877840935</v>
      </c>
      <c r="T2131" t="s">
        <v>550</v>
      </c>
      <c r="U2131" t="s">
        <v>51</v>
      </c>
      <c r="V2131" s="219" t="s">
        <v>7014</v>
      </c>
      <c r="W2131" s="219" t="s">
        <v>67</v>
      </c>
    </row>
    <row r="2132" spans="1:23" ht="15" customHeight="1" x14ac:dyDescent="0.25">
      <c r="A2132" t="s">
        <v>5015</v>
      </c>
      <c r="B2132" t="s">
        <v>546</v>
      </c>
      <c r="C2132">
        <v>39038.75</v>
      </c>
      <c r="D2132" t="s">
        <v>5005</v>
      </c>
      <c r="E2132" t="s">
        <v>553</v>
      </c>
      <c r="F2132" t="s">
        <v>548</v>
      </c>
      <c r="G2132" s="30">
        <v>46148</v>
      </c>
      <c r="H2132" t="s">
        <v>5006</v>
      </c>
      <c r="I2132">
        <v>1650041.25</v>
      </c>
      <c r="J2132" s="123">
        <v>46148</v>
      </c>
      <c r="K2132" s="123">
        <v>0</v>
      </c>
      <c r="L2132" s="123">
        <v>46148</v>
      </c>
      <c r="M2132">
        <v>0</v>
      </c>
      <c r="N2132">
        <v>0</v>
      </c>
      <c r="O2132" t="s">
        <v>556</v>
      </c>
      <c r="P2132" s="216">
        <v>39038.75</v>
      </c>
      <c r="Q2132" s="217" t="s">
        <v>16</v>
      </c>
      <c r="R2132" s="217" t="s">
        <v>62</v>
      </c>
      <c r="S2132" s="218">
        <v>0.30000037877840935</v>
      </c>
      <c r="T2132" t="s">
        <v>550</v>
      </c>
      <c r="U2132" t="s">
        <v>51</v>
      </c>
      <c r="V2132" s="219">
        <v>0</v>
      </c>
      <c r="W2132" s="219">
        <v>0</v>
      </c>
    </row>
    <row r="2133" spans="1:23" ht="15" customHeight="1" x14ac:dyDescent="0.25">
      <c r="A2133" t="s">
        <v>5016</v>
      </c>
      <c r="B2133" t="s">
        <v>575</v>
      </c>
      <c r="C2133">
        <v>204919</v>
      </c>
      <c r="D2133" t="s">
        <v>5017</v>
      </c>
      <c r="E2133" t="s">
        <v>168</v>
      </c>
      <c r="F2133" t="s">
        <v>554</v>
      </c>
      <c r="G2133" s="30">
        <v>46147</v>
      </c>
      <c r="H2133" t="s">
        <v>5018</v>
      </c>
      <c r="I2133">
        <v>2049192.75</v>
      </c>
      <c r="J2133" s="123">
        <v>0</v>
      </c>
      <c r="K2133" s="123">
        <v>0</v>
      </c>
      <c r="L2133" s="123">
        <v>46146</v>
      </c>
      <c r="M2133">
        <v>0</v>
      </c>
      <c r="N2133">
        <v>0</v>
      </c>
      <c r="O2133">
        <v>0</v>
      </c>
      <c r="P2133" s="216">
        <v>204919</v>
      </c>
      <c r="Q2133" s="217" t="s">
        <v>16</v>
      </c>
      <c r="R2133" s="217" t="s">
        <v>554</v>
      </c>
      <c r="S2133" s="218">
        <v>0.29932128151439147</v>
      </c>
      <c r="T2133" t="s">
        <v>550</v>
      </c>
      <c r="U2133" t="s">
        <v>51</v>
      </c>
      <c r="V2133" s="219" t="s">
        <v>7015</v>
      </c>
      <c r="W2133" s="219" t="s">
        <v>67</v>
      </c>
    </row>
    <row r="2134" spans="1:23" ht="15" customHeight="1" x14ac:dyDescent="0.25">
      <c r="A2134" t="s">
        <v>5019</v>
      </c>
      <c r="B2134" t="s">
        <v>546</v>
      </c>
      <c r="C2134">
        <v>127750</v>
      </c>
      <c r="D2134" t="s">
        <v>5020</v>
      </c>
      <c r="E2134" t="s">
        <v>5021</v>
      </c>
      <c r="F2134" t="s">
        <v>548</v>
      </c>
      <c r="G2134" s="30">
        <v>46143</v>
      </c>
      <c r="H2134" t="s">
        <v>5022</v>
      </c>
      <c r="I2134">
        <v>4564291.2</v>
      </c>
      <c r="J2134" s="123">
        <v>0</v>
      </c>
      <c r="K2134" s="123">
        <v>0</v>
      </c>
      <c r="L2134" s="123">
        <v>0</v>
      </c>
      <c r="M2134">
        <v>0</v>
      </c>
      <c r="N2134">
        <v>0</v>
      </c>
      <c r="O2134">
        <v>0</v>
      </c>
      <c r="P2134" s="216">
        <v>127750</v>
      </c>
      <c r="Q2134" s="217" t="s">
        <v>16</v>
      </c>
      <c r="R2134" s="217" t="s">
        <v>62</v>
      </c>
      <c r="S2134" s="218">
        <v>0.28442094141583252</v>
      </c>
      <c r="T2134" t="s">
        <v>550</v>
      </c>
      <c r="U2134" t="s">
        <v>51</v>
      </c>
      <c r="V2134" s="219">
        <v>0</v>
      </c>
      <c r="W2134" s="219">
        <v>0</v>
      </c>
    </row>
    <row r="2135" spans="1:23" ht="15" customHeight="1" x14ac:dyDescent="0.25">
      <c r="A2135" t="s">
        <v>5023</v>
      </c>
      <c r="B2135" t="s">
        <v>546</v>
      </c>
      <c r="C2135">
        <v>127750</v>
      </c>
      <c r="D2135" t="s">
        <v>5020</v>
      </c>
      <c r="E2135" t="s">
        <v>5021</v>
      </c>
      <c r="F2135" t="s">
        <v>554</v>
      </c>
      <c r="G2135" s="30">
        <v>46143</v>
      </c>
      <c r="H2135" t="s">
        <v>5022</v>
      </c>
      <c r="I2135">
        <v>4564291.2</v>
      </c>
      <c r="J2135" s="123">
        <v>0</v>
      </c>
      <c r="K2135" s="123">
        <v>0</v>
      </c>
      <c r="L2135" s="123">
        <v>0</v>
      </c>
      <c r="M2135">
        <v>0</v>
      </c>
      <c r="N2135">
        <v>0</v>
      </c>
      <c r="O2135">
        <v>0</v>
      </c>
      <c r="P2135" s="216">
        <v>127750</v>
      </c>
      <c r="Q2135" s="217" t="s">
        <v>16</v>
      </c>
      <c r="R2135" s="217" t="s">
        <v>554</v>
      </c>
      <c r="S2135" s="218">
        <v>0.28442094141583252</v>
      </c>
      <c r="T2135" t="s">
        <v>550</v>
      </c>
      <c r="U2135" t="s">
        <v>51</v>
      </c>
      <c r="V2135" s="219" t="s">
        <v>7016</v>
      </c>
      <c r="W2135" s="219" t="s">
        <v>67</v>
      </c>
    </row>
    <row r="2136" spans="1:23" ht="15" customHeight="1" x14ac:dyDescent="0.25">
      <c r="A2136" t="s">
        <v>5024</v>
      </c>
      <c r="B2136" t="s">
        <v>546</v>
      </c>
      <c r="C2136">
        <v>127750</v>
      </c>
      <c r="D2136" t="s">
        <v>5020</v>
      </c>
      <c r="E2136" t="s">
        <v>5021</v>
      </c>
      <c r="F2136" t="s">
        <v>548</v>
      </c>
      <c r="G2136" s="30">
        <v>46143</v>
      </c>
      <c r="H2136" t="s">
        <v>5022</v>
      </c>
      <c r="I2136">
        <v>4564291.2</v>
      </c>
      <c r="J2136" s="123">
        <v>0</v>
      </c>
      <c r="K2136" s="123">
        <v>0</v>
      </c>
      <c r="L2136" s="123">
        <v>0</v>
      </c>
      <c r="M2136">
        <v>0</v>
      </c>
      <c r="N2136">
        <v>0</v>
      </c>
      <c r="O2136">
        <v>0</v>
      </c>
      <c r="P2136" s="216">
        <v>127750</v>
      </c>
      <c r="Q2136" s="217" t="s">
        <v>16</v>
      </c>
      <c r="R2136" s="217" t="s">
        <v>62</v>
      </c>
      <c r="S2136" s="218">
        <v>0.28442094141583252</v>
      </c>
      <c r="T2136" t="s">
        <v>550</v>
      </c>
      <c r="U2136" t="s">
        <v>51</v>
      </c>
      <c r="V2136" s="219">
        <v>0</v>
      </c>
      <c r="W2136" s="219">
        <v>0</v>
      </c>
    </row>
    <row r="2137" spans="1:23" ht="15" customHeight="1" x14ac:dyDescent="0.25">
      <c r="A2137" t="s">
        <v>5025</v>
      </c>
      <c r="B2137" t="s">
        <v>546</v>
      </c>
      <c r="C2137">
        <v>127750</v>
      </c>
      <c r="D2137" t="s">
        <v>5020</v>
      </c>
      <c r="E2137" t="s">
        <v>5021</v>
      </c>
      <c r="F2137" t="s">
        <v>548</v>
      </c>
      <c r="G2137" s="30">
        <v>46146</v>
      </c>
      <c r="H2137" t="s">
        <v>5022</v>
      </c>
      <c r="I2137">
        <v>4564291.2</v>
      </c>
      <c r="J2137" s="123">
        <v>0</v>
      </c>
      <c r="K2137" s="123">
        <v>0</v>
      </c>
      <c r="L2137" s="123">
        <v>0</v>
      </c>
      <c r="M2137">
        <v>0</v>
      </c>
      <c r="N2137">
        <v>0</v>
      </c>
      <c r="O2137">
        <v>0</v>
      </c>
      <c r="P2137" s="216">
        <v>127750</v>
      </c>
      <c r="Q2137" s="217" t="s">
        <v>16</v>
      </c>
      <c r="R2137" s="217" t="s">
        <v>62</v>
      </c>
      <c r="S2137" s="218">
        <v>0.28442094141583252</v>
      </c>
      <c r="T2137" t="s">
        <v>550</v>
      </c>
      <c r="U2137" t="s">
        <v>51</v>
      </c>
      <c r="V2137" s="219">
        <v>0</v>
      </c>
      <c r="W2137" s="219">
        <v>0</v>
      </c>
    </row>
    <row r="2138" spans="1:23" ht="15" customHeight="1" x14ac:dyDescent="0.25">
      <c r="A2138" t="s">
        <v>5026</v>
      </c>
      <c r="B2138" t="s">
        <v>546</v>
      </c>
      <c r="C2138">
        <v>127750</v>
      </c>
      <c r="D2138" t="s">
        <v>5020</v>
      </c>
      <c r="E2138" t="s">
        <v>5021</v>
      </c>
      <c r="F2138" t="s">
        <v>554</v>
      </c>
      <c r="G2138" s="30">
        <v>46147</v>
      </c>
      <c r="H2138" t="s">
        <v>5022</v>
      </c>
      <c r="I2138">
        <v>4564291.2</v>
      </c>
      <c r="J2138" s="123">
        <v>0</v>
      </c>
      <c r="K2138" s="123">
        <v>0</v>
      </c>
      <c r="L2138" s="123">
        <v>0</v>
      </c>
      <c r="M2138">
        <v>0</v>
      </c>
      <c r="N2138">
        <v>0</v>
      </c>
      <c r="O2138">
        <v>0</v>
      </c>
      <c r="P2138" s="216">
        <v>127750</v>
      </c>
      <c r="Q2138" s="217" t="s">
        <v>16</v>
      </c>
      <c r="R2138" s="217" t="s">
        <v>554</v>
      </c>
      <c r="S2138" s="218">
        <v>0.28442094141583252</v>
      </c>
      <c r="T2138" t="s">
        <v>550</v>
      </c>
      <c r="U2138" t="s">
        <v>51</v>
      </c>
      <c r="V2138" s="219" t="s">
        <v>7017</v>
      </c>
      <c r="W2138" s="219" t="s">
        <v>67</v>
      </c>
    </row>
    <row r="2139" spans="1:23" ht="15" customHeight="1" x14ac:dyDescent="0.25">
      <c r="A2139" t="s">
        <v>5027</v>
      </c>
      <c r="B2139" t="s">
        <v>595</v>
      </c>
      <c r="C2139">
        <v>149738.4</v>
      </c>
      <c r="D2139" t="s">
        <v>5028</v>
      </c>
      <c r="E2139" t="s">
        <v>168</v>
      </c>
      <c r="F2139" t="s">
        <v>554</v>
      </c>
      <c r="G2139" s="30">
        <v>46148</v>
      </c>
      <c r="H2139" t="s">
        <v>5029</v>
      </c>
      <c r="I2139">
        <v>1537332.65</v>
      </c>
      <c r="J2139" s="123">
        <v>0</v>
      </c>
      <c r="K2139" s="123">
        <v>0</v>
      </c>
      <c r="L2139" s="123">
        <v>46147</v>
      </c>
      <c r="M2139">
        <v>0</v>
      </c>
      <c r="N2139">
        <v>0</v>
      </c>
      <c r="O2139">
        <v>0</v>
      </c>
      <c r="P2139" s="216">
        <v>149738.4</v>
      </c>
      <c r="Q2139" s="217" t="s">
        <v>16</v>
      </c>
      <c r="R2139" s="217" t="s">
        <v>554</v>
      </c>
      <c r="S2139" s="218">
        <v>0.2986717936420592</v>
      </c>
      <c r="T2139" t="s">
        <v>550</v>
      </c>
      <c r="U2139" t="s">
        <v>51</v>
      </c>
      <c r="V2139" s="219" t="s">
        <v>7018</v>
      </c>
      <c r="W2139" s="219" t="s">
        <v>67</v>
      </c>
    </row>
    <row r="2140" spans="1:23" ht="15" customHeight="1" x14ac:dyDescent="0.25">
      <c r="A2140" t="s">
        <v>5030</v>
      </c>
      <c r="B2140" t="s">
        <v>595</v>
      </c>
      <c r="C2140">
        <v>41600</v>
      </c>
      <c r="D2140" t="s">
        <v>5028</v>
      </c>
      <c r="E2140" t="s">
        <v>2760</v>
      </c>
      <c r="F2140" t="s">
        <v>580</v>
      </c>
      <c r="G2140" s="30">
        <v>46149</v>
      </c>
      <c r="H2140" t="s">
        <v>5029</v>
      </c>
      <c r="I2140">
        <v>1537332.65</v>
      </c>
      <c r="J2140" s="123">
        <v>0</v>
      </c>
      <c r="K2140" s="123">
        <v>0</v>
      </c>
      <c r="L2140" s="123">
        <v>46147</v>
      </c>
      <c r="M2140">
        <v>0</v>
      </c>
      <c r="N2140">
        <v>0</v>
      </c>
      <c r="O2140">
        <v>0</v>
      </c>
      <c r="P2140" s="216">
        <v>41600</v>
      </c>
      <c r="Q2140" s="217" t="s">
        <v>16</v>
      </c>
      <c r="R2140" s="217" t="s">
        <v>582</v>
      </c>
      <c r="S2140" s="218">
        <v>0.2986717936420592</v>
      </c>
      <c r="T2140" t="s">
        <v>550</v>
      </c>
      <c r="U2140" t="s">
        <v>51</v>
      </c>
      <c r="V2140" s="219">
        <v>0</v>
      </c>
      <c r="W2140" s="219">
        <v>0</v>
      </c>
    </row>
    <row r="2141" spans="1:23" ht="15" customHeight="1" x14ac:dyDescent="0.25">
      <c r="A2141" t="s">
        <v>5031</v>
      </c>
      <c r="B2141" t="s">
        <v>546</v>
      </c>
      <c r="C2141">
        <v>200523</v>
      </c>
      <c r="D2141" t="s">
        <v>5032</v>
      </c>
      <c r="E2141" t="s">
        <v>553</v>
      </c>
      <c r="F2141" t="s">
        <v>554</v>
      </c>
      <c r="G2141" s="30">
        <v>46148</v>
      </c>
      <c r="H2141" t="s">
        <v>5033</v>
      </c>
      <c r="I2141">
        <v>2060151</v>
      </c>
      <c r="J2141" s="123">
        <v>46148</v>
      </c>
      <c r="K2141" s="123">
        <v>0</v>
      </c>
      <c r="L2141" s="123">
        <v>46148</v>
      </c>
      <c r="M2141">
        <v>0</v>
      </c>
      <c r="N2141">
        <v>0</v>
      </c>
      <c r="O2141" t="s">
        <v>556</v>
      </c>
      <c r="P2141" s="216">
        <v>200523</v>
      </c>
      <c r="Q2141" s="217" t="s">
        <v>16</v>
      </c>
      <c r="R2141" s="217" t="s">
        <v>554</v>
      </c>
      <c r="S2141" s="218">
        <v>0.29932073831837908</v>
      </c>
      <c r="T2141" t="s">
        <v>550</v>
      </c>
      <c r="U2141" t="s">
        <v>51</v>
      </c>
      <c r="V2141" s="219" t="s">
        <v>7019</v>
      </c>
      <c r="W2141" s="219" t="s">
        <v>67</v>
      </c>
    </row>
    <row r="2142" spans="1:23" ht="15" customHeight="1" x14ac:dyDescent="0.25">
      <c r="A2142" t="s">
        <v>5034</v>
      </c>
      <c r="B2142" t="s">
        <v>546</v>
      </c>
      <c r="C2142">
        <v>165885</v>
      </c>
      <c r="D2142" t="s">
        <v>5035</v>
      </c>
      <c r="E2142" t="s">
        <v>553</v>
      </c>
      <c r="F2142" t="s">
        <v>548</v>
      </c>
      <c r="G2142" s="30">
        <v>46148</v>
      </c>
      <c r="H2142" t="s">
        <v>5036</v>
      </c>
      <c r="I2142">
        <v>1658865</v>
      </c>
      <c r="J2142" s="123">
        <v>46148</v>
      </c>
      <c r="K2142" s="123">
        <v>0</v>
      </c>
      <c r="L2142" s="123">
        <v>46148</v>
      </c>
      <c r="M2142">
        <v>0</v>
      </c>
      <c r="N2142">
        <v>0</v>
      </c>
      <c r="O2142" t="s">
        <v>556</v>
      </c>
      <c r="P2142" s="216">
        <v>165885</v>
      </c>
      <c r="Q2142" s="217" t="s">
        <v>16</v>
      </c>
      <c r="R2142" s="217" t="s">
        <v>62</v>
      </c>
      <c r="S2142" s="218">
        <v>0.2</v>
      </c>
      <c r="T2142" t="s">
        <v>550</v>
      </c>
      <c r="U2142" t="s">
        <v>51</v>
      </c>
      <c r="V2142" s="219">
        <v>0</v>
      </c>
      <c r="W2142" s="219">
        <v>0</v>
      </c>
    </row>
    <row r="2143" spans="1:23" ht="15" customHeight="1" x14ac:dyDescent="0.25">
      <c r="A2143" t="s">
        <v>5037</v>
      </c>
      <c r="B2143" t="s">
        <v>595</v>
      </c>
      <c r="C2143">
        <v>49570</v>
      </c>
      <c r="D2143" t="s">
        <v>5038</v>
      </c>
      <c r="E2143" t="s">
        <v>168</v>
      </c>
      <c r="F2143" t="s">
        <v>554</v>
      </c>
      <c r="G2143" s="30">
        <v>46148</v>
      </c>
      <c r="H2143" t="s">
        <v>5039</v>
      </c>
      <c r="I2143">
        <v>2523463.25</v>
      </c>
      <c r="J2143" s="123">
        <v>0</v>
      </c>
      <c r="K2143" s="123">
        <v>0</v>
      </c>
      <c r="L2143" s="123">
        <v>46147</v>
      </c>
      <c r="M2143">
        <v>0</v>
      </c>
      <c r="N2143">
        <v>0</v>
      </c>
      <c r="O2143">
        <v>0</v>
      </c>
      <c r="P2143" s="216">
        <v>49570</v>
      </c>
      <c r="Q2143" s="217" t="s">
        <v>16</v>
      </c>
      <c r="R2143" s="217" t="s">
        <v>554</v>
      </c>
      <c r="S2143" s="218">
        <v>0.21964496609966483</v>
      </c>
      <c r="T2143" t="s">
        <v>550</v>
      </c>
      <c r="U2143" t="s">
        <v>51</v>
      </c>
      <c r="V2143" s="219" t="s">
        <v>7020</v>
      </c>
      <c r="W2143" s="219" t="s">
        <v>67</v>
      </c>
    </row>
    <row r="2144" spans="1:23" ht="15" customHeight="1" x14ac:dyDescent="0.25">
      <c r="A2144" t="s">
        <v>5040</v>
      </c>
      <c r="B2144" t="s">
        <v>546</v>
      </c>
      <c r="C2144">
        <v>161725</v>
      </c>
      <c r="D2144" t="s">
        <v>5041</v>
      </c>
      <c r="E2144" t="s">
        <v>553</v>
      </c>
      <c r="F2144" t="s">
        <v>548</v>
      </c>
      <c r="G2144" s="30">
        <v>46145</v>
      </c>
      <c r="H2144" t="s">
        <v>5042</v>
      </c>
      <c r="I2144">
        <v>1618781.25</v>
      </c>
      <c r="J2144" s="123">
        <v>46145</v>
      </c>
      <c r="K2144" s="123">
        <v>0</v>
      </c>
      <c r="L2144" s="123">
        <v>46145</v>
      </c>
      <c r="M2144">
        <v>0</v>
      </c>
      <c r="N2144">
        <v>0</v>
      </c>
      <c r="O2144" t="s">
        <v>556</v>
      </c>
      <c r="P2144" s="216">
        <v>161725</v>
      </c>
      <c r="Q2144" s="217" t="s">
        <v>16</v>
      </c>
      <c r="R2144" s="217" t="s">
        <v>62</v>
      </c>
      <c r="S2144" s="218">
        <v>0.30001582981023533</v>
      </c>
      <c r="T2144" t="s">
        <v>550</v>
      </c>
      <c r="U2144" t="s">
        <v>51</v>
      </c>
      <c r="V2144" s="219">
        <v>0</v>
      </c>
      <c r="W2144" s="219">
        <v>0</v>
      </c>
    </row>
    <row r="2145" spans="1:23" ht="15" customHeight="1" x14ac:dyDescent="0.25">
      <c r="A2145" t="s">
        <v>5043</v>
      </c>
      <c r="B2145" t="s">
        <v>575</v>
      </c>
      <c r="C2145">
        <v>161725</v>
      </c>
      <c r="D2145" t="s">
        <v>5041</v>
      </c>
      <c r="E2145" t="s">
        <v>553</v>
      </c>
      <c r="F2145" t="s">
        <v>683</v>
      </c>
      <c r="G2145" s="30">
        <v>46146</v>
      </c>
      <c r="H2145" t="s">
        <v>5042</v>
      </c>
      <c r="I2145">
        <v>1618781.25</v>
      </c>
      <c r="J2145" s="123">
        <v>46146</v>
      </c>
      <c r="K2145" s="123">
        <v>0</v>
      </c>
      <c r="L2145" s="123">
        <v>46146</v>
      </c>
      <c r="M2145">
        <v>0</v>
      </c>
      <c r="N2145">
        <v>0</v>
      </c>
      <c r="O2145" t="s">
        <v>556</v>
      </c>
      <c r="P2145" s="216">
        <v>161725</v>
      </c>
      <c r="Q2145" s="217" t="s">
        <v>16</v>
      </c>
      <c r="R2145" s="217" t="s">
        <v>62</v>
      </c>
      <c r="S2145" s="218">
        <v>0.30001582981023533</v>
      </c>
      <c r="T2145" t="s">
        <v>550</v>
      </c>
      <c r="U2145" t="s">
        <v>51</v>
      </c>
      <c r="V2145" s="219">
        <v>0</v>
      </c>
      <c r="W2145" s="219">
        <v>0</v>
      </c>
    </row>
    <row r="2146" spans="1:23" ht="15" customHeight="1" x14ac:dyDescent="0.25">
      <c r="A2146" t="s">
        <v>5044</v>
      </c>
      <c r="B2146" t="s">
        <v>575</v>
      </c>
      <c r="C2146">
        <v>161725</v>
      </c>
      <c r="D2146" t="s">
        <v>5041</v>
      </c>
      <c r="E2146" t="s">
        <v>553</v>
      </c>
      <c r="F2146" t="s">
        <v>585</v>
      </c>
      <c r="G2146" s="30">
        <v>46146</v>
      </c>
      <c r="H2146" t="s">
        <v>5042</v>
      </c>
      <c r="I2146">
        <v>1618781.25</v>
      </c>
      <c r="J2146" s="123">
        <v>46146</v>
      </c>
      <c r="K2146" s="123">
        <v>0</v>
      </c>
      <c r="L2146" s="123">
        <v>46146</v>
      </c>
      <c r="M2146">
        <v>0</v>
      </c>
      <c r="N2146">
        <v>0</v>
      </c>
      <c r="O2146" t="s">
        <v>556</v>
      </c>
      <c r="P2146" s="216">
        <v>161725</v>
      </c>
      <c r="Q2146" s="217" t="s">
        <v>16</v>
      </c>
      <c r="R2146" s="217" t="s">
        <v>61</v>
      </c>
      <c r="S2146" s="218">
        <v>0.30001582981023533</v>
      </c>
      <c r="T2146" t="s">
        <v>550</v>
      </c>
      <c r="U2146" t="s">
        <v>51</v>
      </c>
      <c r="V2146" s="219">
        <v>0</v>
      </c>
      <c r="W2146" s="219">
        <v>0</v>
      </c>
    </row>
    <row r="2147" spans="1:23" ht="15" customHeight="1" x14ac:dyDescent="0.25">
      <c r="A2147" t="s">
        <v>5045</v>
      </c>
      <c r="B2147" t="s">
        <v>546</v>
      </c>
      <c r="C2147">
        <v>161725</v>
      </c>
      <c r="D2147" t="s">
        <v>5041</v>
      </c>
      <c r="E2147" t="s">
        <v>553</v>
      </c>
      <c r="F2147" t="s">
        <v>548</v>
      </c>
      <c r="G2147" s="30">
        <v>46146</v>
      </c>
      <c r="H2147" t="s">
        <v>5042</v>
      </c>
      <c r="I2147">
        <v>1618781.25</v>
      </c>
      <c r="J2147" s="123">
        <v>46146</v>
      </c>
      <c r="K2147" s="123">
        <v>0</v>
      </c>
      <c r="L2147" s="123">
        <v>46146</v>
      </c>
      <c r="M2147">
        <v>0</v>
      </c>
      <c r="N2147">
        <v>0</v>
      </c>
      <c r="O2147" t="s">
        <v>556</v>
      </c>
      <c r="P2147" s="216">
        <v>161725</v>
      </c>
      <c r="Q2147" s="217" t="s">
        <v>16</v>
      </c>
      <c r="R2147" s="217" t="s">
        <v>62</v>
      </c>
      <c r="S2147" s="218">
        <v>0.30001582981023533</v>
      </c>
      <c r="T2147" t="s">
        <v>550</v>
      </c>
      <c r="U2147" t="s">
        <v>51</v>
      </c>
      <c r="V2147" s="219">
        <v>0</v>
      </c>
      <c r="W2147" s="219">
        <v>0</v>
      </c>
    </row>
    <row r="2148" spans="1:23" ht="15" customHeight="1" x14ac:dyDescent="0.25">
      <c r="A2148" t="s">
        <v>5046</v>
      </c>
      <c r="B2148" t="s">
        <v>575</v>
      </c>
      <c r="C2148">
        <v>161750</v>
      </c>
      <c r="D2148" t="s">
        <v>5041</v>
      </c>
      <c r="E2148" t="s">
        <v>168</v>
      </c>
      <c r="F2148" t="s">
        <v>554</v>
      </c>
      <c r="G2148" s="30">
        <v>46146</v>
      </c>
      <c r="H2148" t="s">
        <v>5042</v>
      </c>
      <c r="I2148">
        <v>1618781.25</v>
      </c>
      <c r="J2148" s="123">
        <v>0</v>
      </c>
      <c r="K2148" s="123">
        <v>0</v>
      </c>
      <c r="L2148" s="123">
        <v>46146</v>
      </c>
      <c r="M2148">
        <v>0</v>
      </c>
      <c r="N2148">
        <v>0</v>
      </c>
      <c r="O2148">
        <v>0</v>
      </c>
      <c r="P2148" s="216">
        <v>161750</v>
      </c>
      <c r="Q2148" s="217" t="s">
        <v>16</v>
      </c>
      <c r="R2148" s="217" t="s">
        <v>554</v>
      </c>
      <c r="S2148" s="218">
        <v>0.30001582981023533</v>
      </c>
      <c r="T2148" t="s">
        <v>550</v>
      </c>
      <c r="U2148" t="s">
        <v>51</v>
      </c>
      <c r="V2148" s="219" t="s">
        <v>7021</v>
      </c>
      <c r="W2148" s="219" t="s">
        <v>67</v>
      </c>
    </row>
    <row r="2149" spans="1:23" ht="15" customHeight="1" x14ac:dyDescent="0.25">
      <c r="A2149" t="s">
        <v>5047</v>
      </c>
      <c r="B2149" t="s">
        <v>546</v>
      </c>
      <c r="C2149">
        <v>50000</v>
      </c>
      <c r="D2149" t="s">
        <v>5048</v>
      </c>
      <c r="E2149" t="s">
        <v>553</v>
      </c>
      <c r="F2149" t="s">
        <v>554</v>
      </c>
      <c r="G2149" s="30">
        <v>46147</v>
      </c>
      <c r="H2149" t="s">
        <v>5049</v>
      </c>
      <c r="I2149">
        <v>2537806.6</v>
      </c>
      <c r="J2149" s="123">
        <v>46147</v>
      </c>
      <c r="K2149" s="123">
        <v>0</v>
      </c>
      <c r="L2149" s="123">
        <v>46147</v>
      </c>
      <c r="M2149">
        <v>0</v>
      </c>
      <c r="N2149">
        <v>0</v>
      </c>
      <c r="O2149" t="s">
        <v>556</v>
      </c>
      <c r="P2149" s="216">
        <v>50000</v>
      </c>
      <c r="Q2149" s="217" t="s">
        <v>16</v>
      </c>
      <c r="R2149" s="217" t="s">
        <v>554</v>
      </c>
      <c r="S2149" s="218">
        <v>0.25910606032784372</v>
      </c>
      <c r="T2149" t="s">
        <v>550</v>
      </c>
      <c r="U2149" t="s">
        <v>51</v>
      </c>
      <c r="V2149" s="219" t="s">
        <v>7022</v>
      </c>
      <c r="W2149" s="219" t="s">
        <v>67</v>
      </c>
    </row>
    <row r="2150" spans="1:23" ht="15" customHeight="1" x14ac:dyDescent="0.25">
      <c r="A2150" t="s">
        <v>5050</v>
      </c>
      <c r="B2150" t="s">
        <v>546</v>
      </c>
      <c r="C2150">
        <v>253781.93</v>
      </c>
      <c r="D2150" t="s">
        <v>5048</v>
      </c>
      <c r="E2150" t="s">
        <v>553</v>
      </c>
      <c r="F2150" t="s">
        <v>548</v>
      </c>
      <c r="G2150" s="30">
        <v>46147</v>
      </c>
      <c r="H2150" t="s">
        <v>5049</v>
      </c>
      <c r="I2150">
        <v>2537806.6</v>
      </c>
      <c r="J2150" s="123">
        <v>46147</v>
      </c>
      <c r="K2150" s="123">
        <v>0</v>
      </c>
      <c r="L2150" s="123">
        <v>46147</v>
      </c>
      <c r="M2150">
        <v>0</v>
      </c>
      <c r="N2150">
        <v>0</v>
      </c>
      <c r="O2150" t="s">
        <v>556</v>
      </c>
      <c r="P2150" s="216">
        <v>253781.93</v>
      </c>
      <c r="Q2150" s="217" t="s">
        <v>16</v>
      </c>
      <c r="R2150" s="217" t="s">
        <v>62</v>
      </c>
      <c r="S2150" s="218">
        <v>0.25910606032784372</v>
      </c>
      <c r="T2150" t="s">
        <v>550</v>
      </c>
      <c r="U2150" t="s">
        <v>51</v>
      </c>
      <c r="V2150" s="219">
        <v>0</v>
      </c>
      <c r="W2150" s="219">
        <v>0</v>
      </c>
    </row>
    <row r="2151" spans="1:23" ht="15" customHeight="1" x14ac:dyDescent="0.25">
      <c r="A2151" t="s">
        <v>5051</v>
      </c>
      <c r="B2151" t="s">
        <v>546</v>
      </c>
      <c r="C2151">
        <v>253781.93</v>
      </c>
      <c r="D2151" t="s">
        <v>5048</v>
      </c>
      <c r="E2151" t="s">
        <v>553</v>
      </c>
      <c r="F2151" t="s">
        <v>548</v>
      </c>
      <c r="G2151" s="30">
        <v>46147</v>
      </c>
      <c r="H2151" t="s">
        <v>5049</v>
      </c>
      <c r="I2151">
        <v>2537806.6</v>
      </c>
      <c r="J2151" s="123">
        <v>46147</v>
      </c>
      <c r="K2151" s="123">
        <v>0</v>
      </c>
      <c r="L2151" s="123">
        <v>46147</v>
      </c>
      <c r="M2151">
        <v>0</v>
      </c>
      <c r="N2151">
        <v>0</v>
      </c>
      <c r="O2151" t="s">
        <v>556</v>
      </c>
      <c r="P2151" s="216">
        <v>253781.93</v>
      </c>
      <c r="Q2151" s="217" t="s">
        <v>16</v>
      </c>
      <c r="R2151" s="217" t="s">
        <v>62</v>
      </c>
      <c r="S2151" s="218">
        <v>0.25910606032784372</v>
      </c>
      <c r="T2151" t="s">
        <v>550</v>
      </c>
      <c r="U2151" t="s">
        <v>51</v>
      </c>
      <c r="V2151" s="219">
        <v>0</v>
      </c>
      <c r="W2151" s="219">
        <v>0</v>
      </c>
    </row>
    <row r="2152" spans="1:23" ht="15" customHeight="1" x14ac:dyDescent="0.25">
      <c r="A2152" t="s">
        <v>5052</v>
      </c>
      <c r="B2152" t="s">
        <v>546</v>
      </c>
      <c r="C2152">
        <v>50000</v>
      </c>
      <c r="D2152" t="s">
        <v>5048</v>
      </c>
      <c r="E2152" t="s">
        <v>553</v>
      </c>
      <c r="F2152" t="s">
        <v>554</v>
      </c>
      <c r="G2152" s="30">
        <v>46148</v>
      </c>
      <c r="H2152" t="s">
        <v>5049</v>
      </c>
      <c r="I2152">
        <v>2537806.6</v>
      </c>
      <c r="J2152" s="123">
        <v>46148</v>
      </c>
      <c r="K2152" s="123">
        <v>0</v>
      </c>
      <c r="L2152" s="123">
        <v>46148</v>
      </c>
      <c r="M2152">
        <v>0</v>
      </c>
      <c r="N2152">
        <v>0</v>
      </c>
      <c r="O2152" t="s">
        <v>556</v>
      </c>
      <c r="P2152" s="216">
        <v>50000</v>
      </c>
      <c r="Q2152" s="217" t="s">
        <v>16</v>
      </c>
      <c r="R2152" s="217" t="s">
        <v>554</v>
      </c>
      <c r="S2152" s="218">
        <v>0.25910606032784372</v>
      </c>
      <c r="T2152" t="s">
        <v>550</v>
      </c>
      <c r="U2152" t="s">
        <v>51</v>
      </c>
      <c r="V2152" s="219" t="s">
        <v>7023</v>
      </c>
      <c r="W2152" s="219" t="s">
        <v>67</v>
      </c>
    </row>
    <row r="2153" spans="1:23" ht="15" customHeight="1" x14ac:dyDescent="0.25">
      <c r="A2153" t="s">
        <v>5053</v>
      </c>
      <c r="B2153" t="s">
        <v>546</v>
      </c>
      <c r="C2153">
        <v>203781.93</v>
      </c>
      <c r="D2153" t="s">
        <v>5048</v>
      </c>
      <c r="E2153" t="s">
        <v>553</v>
      </c>
      <c r="F2153" t="s">
        <v>548</v>
      </c>
      <c r="G2153" s="30">
        <v>46148</v>
      </c>
      <c r="H2153" t="s">
        <v>5049</v>
      </c>
      <c r="I2153">
        <v>2537806.6</v>
      </c>
      <c r="J2153" s="123">
        <v>46148</v>
      </c>
      <c r="K2153" s="123">
        <v>0</v>
      </c>
      <c r="L2153" s="123">
        <v>46148</v>
      </c>
      <c r="M2153">
        <v>0</v>
      </c>
      <c r="N2153">
        <v>0</v>
      </c>
      <c r="O2153" t="s">
        <v>556</v>
      </c>
      <c r="P2153" s="216">
        <v>203781.93</v>
      </c>
      <c r="Q2153" s="217" t="s">
        <v>16</v>
      </c>
      <c r="R2153" s="217" t="s">
        <v>62</v>
      </c>
      <c r="S2153" s="218">
        <v>0.25910606032784372</v>
      </c>
      <c r="T2153" t="s">
        <v>550</v>
      </c>
      <c r="U2153" t="s">
        <v>51</v>
      </c>
      <c r="V2153" s="219">
        <v>0</v>
      </c>
      <c r="W2153" s="219">
        <v>0</v>
      </c>
    </row>
    <row r="2154" spans="1:23" ht="15" customHeight="1" x14ac:dyDescent="0.25">
      <c r="A2154" t="s">
        <v>5054</v>
      </c>
      <c r="B2154" t="s">
        <v>546</v>
      </c>
      <c r="C2154">
        <v>50000</v>
      </c>
      <c r="D2154" t="s">
        <v>5048</v>
      </c>
      <c r="E2154" t="s">
        <v>553</v>
      </c>
      <c r="F2154" t="s">
        <v>554</v>
      </c>
      <c r="G2154" s="30">
        <v>46149</v>
      </c>
      <c r="H2154" t="s">
        <v>5049</v>
      </c>
      <c r="I2154">
        <v>2537806.6</v>
      </c>
      <c r="J2154" s="123">
        <v>46149</v>
      </c>
      <c r="K2154" s="123">
        <v>0</v>
      </c>
      <c r="L2154" s="123">
        <v>46149</v>
      </c>
      <c r="M2154">
        <v>0</v>
      </c>
      <c r="N2154">
        <v>0</v>
      </c>
      <c r="O2154" t="s">
        <v>556</v>
      </c>
      <c r="P2154" s="216">
        <v>50000</v>
      </c>
      <c r="Q2154" s="217" t="s">
        <v>16</v>
      </c>
      <c r="R2154" s="217" t="s">
        <v>554</v>
      </c>
      <c r="S2154" s="218">
        <v>0.25910606032784372</v>
      </c>
      <c r="T2154" t="s">
        <v>550</v>
      </c>
      <c r="U2154" t="s">
        <v>51</v>
      </c>
      <c r="V2154" s="219" t="s">
        <v>7024</v>
      </c>
      <c r="W2154" s="219" t="s">
        <v>67</v>
      </c>
    </row>
    <row r="2155" spans="1:23" ht="15" customHeight="1" x14ac:dyDescent="0.25">
      <c r="A2155" t="s">
        <v>5055</v>
      </c>
      <c r="B2155" t="s">
        <v>595</v>
      </c>
      <c r="C2155">
        <v>5435</v>
      </c>
      <c r="D2155" t="s">
        <v>5056</v>
      </c>
      <c r="E2155" t="s">
        <v>168</v>
      </c>
      <c r="F2155" t="s">
        <v>580</v>
      </c>
      <c r="G2155" s="30">
        <v>46149</v>
      </c>
      <c r="H2155" t="s">
        <v>5057</v>
      </c>
      <c r="I2155">
        <v>1554984.25</v>
      </c>
      <c r="J2155" s="123">
        <v>0</v>
      </c>
      <c r="K2155" s="123">
        <v>0</v>
      </c>
      <c r="L2155" s="123">
        <v>46148</v>
      </c>
      <c r="M2155">
        <v>0</v>
      </c>
      <c r="N2155">
        <v>0</v>
      </c>
      <c r="O2155">
        <v>0</v>
      </c>
      <c r="P2155" s="216">
        <v>5435</v>
      </c>
      <c r="Q2155" s="217" t="s">
        <v>16</v>
      </c>
      <c r="R2155" s="217" t="s">
        <v>582</v>
      </c>
      <c r="S2155" s="218">
        <v>0.20003983963181621</v>
      </c>
      <c r="T2155" t="s">
        <v>550</v>
      </c>
      <c r="U2155" t="s">
        <v>51</v>
      </c>
      <c r="V2155" s="219">
        <v>0</v>
      </c>
      <c r="W2155" s="219">
        <v>0</v>
      </c>
    </row>
    <row r="2156" spans="1:23" ht="15" customHeight="1" x14ac:dyDescent="0.25">
      <c r="A2156" t="s">
        <v>5058</v>
      </c>
      <c r="B2156" t="s">
        <v>595</v>
      </c>
      <c r="C2156">
        <v>207031</v>
      </c>
      <c r="D2156" t="s">
        <v>5059</v>
      </c>
      <c r="E2156" t="s">
        <v>5060</v>
      </c>
      <c r="F2156" t="s">
        <v>554</v>
      </c>
      <c r="G2156" s="30">
        <v>46147</v>
      </c>
      <c r="H2156" t="s">
        <v>5061</v>
      </c>
      <c r="I2156">
        <v>2071109.25</v>
      </c>
      <c r="J2156" s="123">
        <v>0</v>
      </c>
      <c r="K2156" s="123">
        <v>0</v>
      </c>
      <c r="L2156" s="123">
        <v>46141</v>
      </c>
      <c r="M2156">
        <v>0</v>
      </c>
      <c r="N2156">
        <v>0</v>
      </c>
      <c r="O2156">
        <v>0</v>
      </c>
      <c r="P2156" s="216">
        <v>207031</v>
      </c>
      <c r="Q2156" s="217" t="s">
        <v>16</v>
      </c>
      <c r="R2156" s="217" t="s">
        <v>554</v>
      </c>
      <c r="S2156" s="218">
        <v>0.29989481723380845</v>
      </c>
      <c r="T2156" t="s">
        <v>550</v>
      </c>
      <c r="U2156" t="s">
        <v>51</v>
      </c>
      <c r="V2156" s="219" t="s">
        <v>7025</v>
      </c>
      <c r="W2156" s="219" t="s">
        <v>67</v>
      </c>
    </row>
    <row r="2157" spans="1:23" ht="15" customHeight="1" x14ac:dyDescent="0.25">
      <c r="A2157" t="s">
        <v>5062</v>
      </c>
      <c r="B2157" t="s">
        <v>595</v>
      </c>
      <c r="C2157">
        <v>16738</v>
      </c>
      <c r="D2157" t="s">
        <v>5063</v>
      </c>
      <c r="E2157" t="s">
        <v>168</v>
      </c>
      <c r="F2157" t="s">
        <v>554</v>
      </c>
      <c r="G2157" s="30">
        <v>46147</v>
      </c>
      <c r="H2157" t="s">
        <v>5064</v>
      </c>
      <c r="I2157">
        <v>1667376.9</v>
      </c>
      <c r="J2157" s="123">
        <v>0</v>
      </c>
      <c r="K2157" s="123">
        <v>0</v>
      </c>
      <c r="L2157" s="123">
        <v>46136</v>
      </c>
      <c r="M2157">
        <v>0</v>
      </c>
      <c r="N2157">
        <v>0</v>
      </c>
      <c r="O2157">
        <v>0</v>
      </c>
      <c r="P2157" s="216">
        <v>16738</v>
      </c>
      <c r="Q2157" s="217" t="s">
        <v>16</v>
      </c>
      <c r="R2157" s="217" t="s">
        <v>554</v>
      </c>
      <c r="S2157" s="218">
        <v>0.30000118149651706</v>
      </c>
      <c r="T2157" t="s">
        <v>550</v>
      </c>
      <c r="U2157" t="s">
        <v>51</v>
      </c>
      <c r="V2157" s="219" t="s">
        <v>7026</v>
      </c>
      <c r="W2157" s="219" t="s">
        <v>67</v>
      </c>
    </row>
    <row r="2158" spans="1:23" ht="15" customHeight="1" x14ac:dyDescent="0.25">
      <c r="A2158" t="s">
        <v>5065</v>
      </c>
      <c r="B2158" t="s">
        <v>595</v>
      </c>
      <c r="C2158">
        <v>80000</v>
      </c>
      <c r="D2158" t="s">
        <v>5063</v>
      </c>
      <c r="E2158" t="s">
        <v>168</v>
      </c>
      <c r="F2158" t="s">
        <v>554</v>
      </c>
      <c r="G2158" s="30">
        <v>46147</v>
      </c>
      <c r="H2158" t="s">
        <v>5064</v>
      </c>
      <c r="I2158">
        <v>1667376.9</v>
      </c>
      <c r="J2158" s="123">
        <v>0</v>
      </c>
      <c r="K2158" s="123">
        <v>0</v>
      </c>
      <c r="L2158" s="123">
        <v>46140</v>
      </c>
      <c r="M2158">
        <v>0</v>
      </c>
      <c r="N2158">
        <v>0</v>
      </c>
      <c r="O2158">
        <v>0</v>
      </c>
      <c r="P2158" s="216">
        <v>80000</v>
      </c>
      <c r="Q2158" s="217" t="s">
        <v>16</v>
      </c>
      <c r="R2158" s="217" t="s">
        <v>554</v>
      </c>
      <c r="S2158" s="218">
        <v>0.30000118149651706</v>
      </c>
      <c r="T2158" t="s">
        <v>550</v>
      </c>
      <c r="U2158" t="s">
        <v>51</v>
      </c>
      <c r="V2158" s="219" t="s">
        <v>7027</v>
      </c>
      <c r="W2158" s="219" t="s">
        <v>67</v>
      </c>
    </row>
    <row r="2159" spans="1:23" ht="15" customHeight="1" x14ac:dyDescent="0.25">
      <c r="A2159" t="s">
        <v>5066</v>
      </c>
      <c r="B2159" t="s">
        <v>595</v>
      </c>
      <c r="C2159">
        <v>70000</v>
      </c>
      <c r="D2159" t="s">
        <v>5063</v>
      </c>
      <c r="E2159" t="s">
        <v>168</v>
      </c>
      <c r="F2159" t="s">
        <v>554</v>
      </c>
      <c r="G2159" s="30">
        <v>46147</v>
      </c>
      <c r="H2159" t="s">
        <v>5064</v>
      </c>
      <c r="I2159">
        <v>1667376.9</v>
      </c>
      <c r="J2159" s="123">
        <v>0</v>
      </c>
      <c r="K2159" s="123">
        <v>0</v>
      </c>
      <c r="L2159" s="123">
        <v>46139</v>
      </c>
      <c r="M2159">
        <v>0</v>
      </c>
      <c r="N2159">
        <v>0</v>
      </c>
      <c r="O2159">
        <v>0</v>
      </c>
      <c r="P2159" s="216">
        <v>70000</v>
      </c>
      <c r="Q2159" s="217" t="s">
        <v>16</v>
      </c>
      <c r="R2159" s="217" t="s">
        <v>554</v>
      </c>
      <c r="S2159" s="218">
        <v>0.30000118149651706</v>
      </c>
      <c r="T2159" t="s">
        <v>550</v>
      </c>
      <c r="U2159" t="s">
        <v>51</v>
      </c>
      <c r="V2159" s="219" t="s">
        <v>7028</v>
      </c>
      <c r="W2159" s="219" t="s">
        <v>67</v>
      </c>
    </row>
    <row r="2160" spans="1:23" ht="15" customHeight="1" x14ac:dyDescent="0.25">
      <c r="A2160" t="s">
        <v>5067</v>
      </c>
      <c r="B2160" t="s">
        <v>595</v>
      </c>
      <c r="C2160">
        <v>340.77</v>
      </c>
      <c r="D2160" t="s">
        <v>5068</v>
      </c>
      <c r="E2160" t="s">
        <v>5060</v>
      </c>
      <c r="F2160" t="s">
        <v>683</v>
      </c>
      <c r="G2160" s="30">
        <v>46149</v>
      </c>
      <c r="H2160" t="s">
        <v>5069</v>
      </c>
      <c r="I2160">
        <v>3407698.35</v>
      </c>
      <c r="J2160" s="123">
        <v>0</v>
      </c>
      <c r="K2160" s="123">
        <v>0</v>
      </c>
      <c r="L2160" s="123">
        <v>46144</v>
      </c>
      <c r="M2160">
        <v>0</v>
      </c>
      <c r="N2160">
        <v>0</v>
      </c>
      <c r="O2160">
        <v>0</v>
      </c>
      <c r="P2160" s="216">
        <v>340.77</v>
      </c>
      <c r="Q2160" s="217" t="s">
        <v>31</v>
      </c>
      <c r="R2160" s="217" t="s">
        <v>62</v>
      </c>
      <c r="S2160" s="218">
        <v>0.19983869757720779</v>
      </c>
      <c r="T2160" t="s">
        <v>550</v>
      </c>
      <c r="U2160" t="s">
        <v>51</v>
      </c>
      <c r="V2160" s="219">
        <v>0</v>
      </c>
      <c r="W2160" s="219">
        <v>0</v>
      </c>
    </row>
    <row r="2161" spans="1:23" ht="15" customHeight="1" x14ac:dyDescent="0.25">
      <c r="A2161" t="s">
        <v>5070</v>
      </c>
      <c r="B2161" t="s">
        <v>595</v>
      </c>
      <c r="C2161">
        <v>99619.37</v>
      </c>
      <c r="D2161" t="s">
        <v>5071</v>
      </c>
      <c r="E2161" t="s">
        <v>307</v>
      </c>
      <c r="F2161" t="s">
        <v>554</v>
      </c>
      <c r="G2161" s="30">
        <v>46144</v>
      </c>
      <c r="H2161" t="s">
        <v>5072</v>
      </c>
      <c r="I2161">
        <v>1554984.25</v>
      </c>
      <c r="J2161" s="123">
        <v>0</v>
      </c>
      <c r="K2161" s="123">
        <v>0</v>
      </c>
      <c r="L2161" s="123">
        <v>46143</v>
      </c>
      <c r="M2161">
        <v>0</v>
      </c>
      <c r="N2161">
        <v>0</v>
      </c>
      <c r="O2161">
        <v>0</v>
      </c>
      <c r="P2161" s="216">
        <v>99619.37</v>
      </c>
      <c r="Q2161" s="217" t="s">
        <v>49</v>
      </c>
      <c r="R2161" s="217" t="s">
        <v>554</v>
      </c>
      <c r="S2161" s="218">
        <v>0.32812941996036293</v>
      </c>
      <c r="T2161" t="s">
        <v>550</v>
      </c>
      <c r="U2161" t="s">
        <v>51</v>
      </c>
      <c r="V2161" s="219" t="s">
        <v>7029</v>
      </c>
      <c r="W2161" s="219" t="s">
        <v>67</v>
      </c>
    </row>
    <row r="2162" spans="1:23" ht="15" customHeight="1" x14ac:dyDescent="0.25">
      <c r="A2162" t="s">
        <v>5073</v>
      </c>
      <c r="B2162" t="s">
        <v>595</v>
      </c>
      <c r="C2162">
        <v>99619.37</v>
      </c>
      <c r="D2162" t="s">
        <v>5071</v>
      </c>
      <c r="E2162" t="s">
        <v>307</v>
      </c>
      <c r="F2162" t="s">
        <v>554</v>
      </c>
      <c r="G2162" s="30">
        <v>46144</v>
      </c>
      <c r="H2162" t="s">
        <v>5072</v>
      </c>
      <c r="I2162">
        <v>1554984.25</v>
      </c>
      <c r="J2162" s="123">
        <v>0</v>
      </c>
      <c r="K2162" s="123">
        <v>0</v>
      </c>
      <c r="L2162" s="123">
        <v>46143</v>
      </c>
      <c r="M2162">
        <v>0</v>
      </c>
      <c r="N2162">
        <v>0</v>
      </c>
      <c r="O2162">
        <v>0</v>
      </c>
      <c r="P2162" s="216">
        <v>99619.37</v>
      </c>
      <c r="Q2162" s="217" t="s">
        <v>49</v>
      </c>
      <c r="R2162" s="217" t="s">
        <v>554</v>
      </c>
      <c r="S2162" s="218">
        <v>0.32812941996036293</v>
      </c>
      <c r="T2162" t="s">
        <v>550</v>
      </c>
      <c r="U2162" t="s">
        <v>51</v>
      </c>
      <c r="V2162" s="219" t="s">
        <v>7030</v>
      </c>
      <c r="W2162" s="219" t="s">
        <v>67</v>
      </c>
    </row>
    <row r="2163" spans="1:23" ht="15" customHeight="1" x14ac:dyDescent="0.25">
      <c r="A2163" t="s">
        <v>5074</v>
      </c>
      <c r="B2163" t="s">
        <v>595</v>
      </c>
      <c r="C2163">
        <v>99618.87</v>
      </c>
      <c r="D2163" t="s">
        <v>5071</v>
      </c>
      <c r="E2163" t="s">
        <v>307</v>
      </c>
      <c r="F2163" t="s">
        <v>580</v>
      </c>
      <c r="G2163" s="30">
        <v>46146</v>
      </c>
      <c r="H2163" t="s">
        <v>5072</v>
      </c>
      <c r="I2163">
        <v>1554984.25</v>
      </c>
      <c r="J2163" s="123">
        <v>0</v>
      </c>
      <c r="K2163" s="123">
        <v>0</v>
      </c>
      <c r="L2163" s="123">
        <v>46145</v>
      </c>
      <c r="M2163">
        <v>0</v>
      </c>
      <c r="N2163">
        <v>0</v>
      </c>
      <c r="O2163">
        <v>0</v>
      </c>
      <c r="P2163" s="216">
        <v>99618.87</v>
      </c>
      <c r="Q2163" s="217" t="s">
        <v>49</v>
      </c>
      <c r="R2163" s="217" t="s">
        <v>582</v>
      </c>
      <c r="S2163" s="218">
        <v>0.32812941996036293</v>
      </c>
      <c r="T2163" t="s">
        <v>550</v>
      </c>
      <c r="U2163" t="s">
        <v>51</v>
      </c>
      <c r="V2163" s="219">
        <v>0</v>
      </c>
      <c r="W2163" s="219">
        <v>0</v>
      </c>
    </row>
    <row r="2164" spans="1:23" ht="15" customHeight="1" x14ac:dyDescent="0.25">
      <c r="A2164" t="s">
        <v>5075</v>
      </c>
      <c r="B2164" t="s">
        <v>546</v>
      </c>
      <c r="C2164">
        <v>43504</v>
      </c>
      <c r="D2164" t="s">
        <v>5076</v>
      </c>
      <c r="E2164" t="s">
        <v>5077</v>
      </c>
      <c r="F2164" t="s">
        <v>554</v>
      </c>
      <c r="G2164" s="30">
        <v>46147</v>
      </c>
      <c r="H2164" t="s">
        <v>5078</v>
      </c>
      <c r="I2164">
        <v>1935045.85</v>
      </c>
      <c r="J2164" s="123">
        <v>0</v>
      </c>
      <c r="K2164" s="123">
        <v>0</v>
      </c>
      <c r="L2164" s="123">
        <v>0</v>
      </c>
      <c r="M2164">
        <v>0</v>
      </c>
      <c r="N2164">
        <v>0</v>
      </c>
      <c r="O2164">
        <v>0</v>
      </c>
      <c r="P2164" s="216">
        <v>43504</v>
      </c>
      <c r="Q2164" s="217" t="s">
        <v>16</v>
      </c>
      <c r="R2164" s="217" t="s">
        <v>554</v>
      </c>
      <c r="S2164" s="218">
        <v>0.31002088658519383</v>
      </c>
      <c r="T2164" t="s">
        <v>550</v>
      </c>
      <c r="U2164" t="s">
        <v>51</v>
      </c>
      <c r="V2164" s="219" t="s">
        <v>7031</v>
      </c>
      <c r="W2164" s="219" t="s">
        <v>67</v>
      </c>
    </row>
    <row r="2165" spans="1:23" ht="15" customHeight="1" x14ac:dyDescent="0.25">
      <c r="A2165" t="s">
        <v>5079</v>
      </c>
      <c r="B2165" t="s">
        <v>546</v>
      </c>
      <c r="C2165">
        <v>50000</v>
      </c>
      <c r="D2165" t="s">
        <v>5076</v>
      </c>
      <c r="E2165" t="s">
        <v>5077</v>
      </c>
      <c r="F2165" t="s">
        <v>548</v>
      </c>
      <c r="G2165" s="30">
        <v>46147</v>
      </c>
      <c r="H2165" t="s">
        <v>5078</v>
      </c>
      <c r="I2165">
        <v>1935045.85</v>
      </c>
      <c r="J2165" s="123">
        <v>0</v>
      </c>
      <c r="K2165" s="123">
        <v>0</v>
      </c>
      <c r="L2165" s="123">
        <v>0</v>
      </c>
      <c r="M2165">
        <v>0</v>
      </c>
      <c r="N2165">
        <v>0</v>
      </c>
      <c r="O2165">
        <v>0</v>
      </c>
      <c r="P2165" s="216">
        <v>50000</v>
      </c>
      <c r="Q2165" s="217" t="s">
        <v>16</v>
      </c>
      <c r="R2165" s="217" t="s">
        <v>62</v>
      </c>
      <c r="S2165" s="218">
        <v>0.31002088658519383</v>
      </c>
      <c r="T2165" t="s">
        <v>550</v>
      </c>
      <c r="U2165" t="s">
        <v>51</v>
      </c>
      <c r="V2165" s="219">
        <v>0</v>
      </c>
      <c r="W2165" s="219">
        <v>0</v>
      </c>
    </row>
    <row r="2166" spans="1:23" ht="15" customHeight="1" x14ac:dyDescent="0.25">
      <c r="A2166" t="s">
        <v>5080</v>
      </c>
      <c r="B2166" t="s">
        <v>546</v>
      </c>
      <c r="C2166">
        <v>50000</v>
      </c>
      <c r="D2166" t="s">
        <v>5076</v>
      </c>
      <c r="E2166" t="s">
        <v>5077</v>
      </c>
      <c r="F2166" t="s">
        <v>554</v>
      </c>
      <c r="G2166" s="30">
        <v>46147</v>
      </c>
      <c r="H2166" t="s">
        <v>5078</v>
      </c>
      <c r="I2166">
        <v>1935045.85</v>
      </c>
      <c r="J2166" s="123">
        <v>0</v>
      </c>
      <c r="K2166" s="123">
        <v>0</v>
      </c>
      <c r="L2166" s="123">
        <v>0</v>
      </c>
      <c r="M2166">
        <v>0</v>
      </c>
      <c r="N2166">
        <v>0</v>
      </c>
      <c r="O2166">
        <v>0</v>
      </c>
      <c r="P2166" s="216">
        <v>50000</v>
      </c>
      <c r="Q2166" s="217" t="s">
        <v>16</v>
      </c>
      <c r="R2166" s="217" t="s">
        <v>554</v>
      </c>
      <c r="S2166" s="218">
        <v>0.31002088658519383</v>
      </c>
      <c r="T2166" t="s">
        <v>550</v>
      </c>
      <c r="U2166" t="s">
        <v>51</v>
      </c>
      <c r="V2166" s="219" t="s">
        <v>7032</v>
      </c>
      <c r="W2166" s="219" t="s">
        <v>67</v>
      </c>
    </row>
    <row r="2167" spans="1:23" ht="15" customHeight="1" x14ac:dyDescent="0.25">
      <c r="A2167" t="s">
        <v>5081</v>
      </c>
      <c r="B2167" t="s">
        <v>595</v>
      </c>
      <c r="C2167">
        <v>155498</v>
      </c>
      <c r="D2167" t="s">
        <v>5082</v>
      </c>
      <c r="E2167" t="s">
        <v>553</v>
      </c>
      <c r="F2167" t="s">
        <v>585</v>
      </c>
      <c r="G2167" s="30">
        <v>46148</v>
      </c>
      <c r="H2167" t="s">
        <v>5083</v>
      </c>
      <c r="I2167">
        <v>1554984.25</v>
      </c>
      <c r="J2167" s="123">
        <v>46147</v>
      </c>
      <c r="K2167" s="123">
        <v>0</v>
      </c>
      <c r="L2167" s="123">
        <v>46147</v>
      </c>
      <c r="M2167">
        <v>0</v>
      </c>
      <c r="N2167">
        <v>0</v>
      </c>
      <c r="O2167" t="s">
        <v>556</v>
      </c>
      <c r="P2167" s="216">
        <v>155498</v>
      </c>
      <c r="Q2167" s="217" t="s">
        <v>16</v>
      </c>
      <c r="R2167" s="217" t="s">
        <v>61</v>
      </c>
      <c r="S2167" s="218">
        <v>0.20072421955399228</v>
      </c>
      <c r="T2167" t="s">
        <v>550</v>
      </c>
      <c r="U2167" t="s">
        <v>51</v>
      </c>
      <c r="V2167" s="219">
        <v>0</v>
      </c>
      <c r="W2167" s="219">
        <v>0</v>
      </c>
    </row>
    <row r="2168" spans="1:23" ht="15" customHeight="1" x14ac:dyDescent="0.25">
      <c r="A2168" t="s">
        <v>5084</v>
      </c>
      <c r="B2168" t="s">
        <v>595</v>
      </c>
      <c r="C2168">
        <v>42830</v>
      </c>
      <c r="D2168" t="s">
        <v>5085</v>
      </c>
      <c r="E2168" t="s">
        <v>218</v>
      </c>
      <c r="F2168" t="s">
        <v>554</v>
      </c>
      <c r="G2168" s="30">
        <v>46148</v>
      </c>
      <c r="H2168" t="s">
        <v>5086</v>
      </c>
      <c r="I2168">
        <v>1627500</v>
      </c>
      <c r="J2168" s="123">
        <v>0</v>
      </c>
      <c r="K2168" s="123">
        <v>0</v>
      </c>
      <c r="L2168" s="123">
        <v>46146</v>
      </c>
      <c r="M2168">
        <v>0</v>
      </c>
      <c r="N2168">
        <v>0</v>
      </c>
      <c r="O2168">
        <v>0</v>
      </c>
      <c r="P2168" s="216">
        <v>42830</v>
      </c>
      <c r="Q2168" s="217" t="s">
        <v>13</v>
      </c>
      <c r="R2168" s="217" t="s">
        <v>554</v>
      </c>
      <c r="S2168" s="218">
        <v>0.27368346543778804</v>
      </c>
      <c r="T2168" t="s">
        <v>550</v>
      </c>
      <c r="U2168" t="s">
        <v>51</v>
      </c>
      <c r="V2168" s="219">
        <v>0</v>
      </c>
      <c r="W2168" s="219" t="s">
        <v>72</v>
      </c>
    </row>
    <row r="2169" spans="1:23" ht="15" customHeight="1" x14ac:dyDescent="0.25">
      <c r="A2169" t="s">
        <v>5087</v>
      </c>
      <c r="B2169" t="s">
        <v>546</v>
      </c>
      <c r="C2169">
        <v>40687.5</v>
      </c>
      <c r="D2169" t="s">
        <v>5088</v>
      </c>
      <c r="E2169" t="s">
        <v>168</v>
      </c>
      <c r="F2169" t="s">
        <v>554</v>
      </c>
      <c r="G2169" s="30">
        <v>46147</v>
      </c>
      <c r="H2169" t="s">
        <v>5089</v>
      </c>
      <c r="I2169">
        <v>1627500</v>
      </c>
      <c r="J2169" s="123">
        <v>0</v>
      </c>
      <c r="K2169" s="123">
        <v>0</v>
      </c>
      <c r="L2169" s="123">
        <v>0</v>
      </c>
      <c r="M2169">
        <v>0</v>
      </c>
      <c r="N2169">
        <v>0</v>
      </c>
      <c r="O2169">
        <v>0</v>
      </c>
      <c r="P2169" s="216">
        <v>40687.5</v>
      </c>
      <c r="Q2169" s="217" t="s">
        <v>16</v>
      </c>
      <c r="R2169" s="217" t="s">
        <v>554</v>
      </c>
      <c r="S2169" s="218">
        <v>0.29999969278033795</v>
      </c>
      <c r="T2169" t="s">
        <v>550</v>
      </c>
      <c r="U2169" t="s">
        <v>51</v>
      </c>
      <c r="V2169" s="219" t="s">
        <v>7033</v>
      </c>
      <c r="W2169" s="219" t="s">
        <v>67</v>
      </c>
    </row>
    <row r="2170" spans="1:23" ht="15" customHeight="1" x14ac:dyDescent="0.25">
      <c r="A2170" t="s">
        <v>5090</v>
      </c>
      <c r="B2170" t="s">
        <v>546</v>
      </c>
      <c r="C2170">
        <v>122062.5</v>
      </c>
      <c r="D2170" t="s">
        <v>5088</v>
      </c>
      <c r="E2170" t="s">
        <v>168</v>
      </c>
      <c r="F2170" t="s">
        <v>554</v>
      </c>
      <c r="G2170" s="30">
        <v>46147</v>
      </c>
      <c r="H2170" t="s">
        <v>5089</v>
      </c>
      <c r="I2170">
        <v>1627500</v>
      </c>
      <c r="J2170" s="123">
        <v>0</v>
      </c>
      <c r="K2170" s="123">
        <v>0</v>
      </c>
      <c r="L2170" s="123">
        <v>0</v>
      </c>
      <c r="M2170">
        <v>0</v>
      </c>
      <c r="N2170">
        <v>0</v>
      </c>
      <c r="O2170">
        <v>0</v>
      </c>
      <c r="P2170" s="216">
        <v>122062.5</v>
      </c>
      <c r="Q2170" s="217" t="s">
        <v>16</v>
      </c>
      <c r="R2170" s="217" t="s">
        <v>554</v>
      </c>
      <c r="S2170" s="218">
        <v>0.29999969278033795</v>
      </c>
      <c r="T2170" t="s">
        <v>550</v>
      </c>
      <c r="U2170" t="s">
        <v>51</v>
      </c>
      <c r="V2170" s="219" t="s">
        <v>7034</v>
      </c>
      <c r="W2170" s="219" t="s">
        <v>67</v>
      </c>
    </row>
    <row r="2171" spans="1:23" ht="15" customHeight="1" x14ac:dyDescent="0.25">
      <c r="A2171" t="s">
        <v>5091</v>
      </c>
      <c r="B2171" t="s">
        <v>575</v>
      </c>
      <c r="C2171">
        <v>208206</v>
      </c>
      <c r="D2171" t="s">
        <v>5092</v>
      </c>
      <c r="E2171" t="s">
        <v>223</v>
      </c>
      <c r="F2171" t="s">
        <v>585</v>
      </c>
      <c r="G2171" s="30">
        <v>46148</v>
      </c>
      <c r="H2171" t="s">
        <v>5093</v>
      </c>
      <c r="I2171">
        <v>2082067.5</v>
      </c>
      <c r="J2171" s="123">
        <v>0</v>
      </c>
      <c r="K2171" s="123">
        <v>0</v>
      </c>
      <c r="L2171" s="123">
        <v>46070</v>
      </c>
      <c r="M2171">
        <v>0</v>
      </c>
      <c r="N2171">
        <v>0</v>
      </c>
      <c r="O2171">
        <v>0</v>
      </c>
      <c r="P2171" s="216">
        <v>208206</v>
      </c>
      <c r="Q2171" s="217" t="s">
        <v>31</v>
      </c>
      <c r="R2171" s="217" t="s">
        <v>61</v>
      </c>
      <c r="S2171" s="218">
        <v>0.20000024014591267</v>
      </c>
      <c r="T2171" t="s">
        <v>550</v>
      </c>
      <c r="U2171" t="s">
        <v>51</v>
      </c>
      <c r="V2171" s="219">
        <v>0</v>
      </c>
      <c r="W2171" s="219">
        <v>0</v>
      </c>
    </row>
    <row r="2172" spans="1:23" ht="15" customHeight="1" x14ac:dyDescent="0.25">
      <c r="A2172" t="s">
        <v>5094</v>
      </c>
      <c r="B2172" t="s">
        <v>595</v>
      </c>
      <c r="C2172">
        <v>342573</v>
      </c>
      <c r="D2172" t="s">
        <v>5095</v>
      </c>
      <c r="E2172" t="s">
        <v>218</v>
      </c>
      <c r="F2172" t="s">
        <v>554</v>
      </c>
      <c r="G2172" s="30">
        <v>46148</v>
      </c>
      <c r="H2172" t="s">
        <v>5096</v>
      </c>
      <c r="I2172">
        <v>3425728.5</v>
      </c>
      <c r="J2172" s="123">
        <v>0</v>
      </c>
      <c r="K2172" s="123">
        <v>0</v>
      </c>
      <c r="L2172" s="123">
        <v>46135</v>
      </c>
      <c r="M2172">
        <v>0</v>
      </c>
      <c r="N2172">
        <v>0</v>
      </c>
      <c r="O2172">
        <v>0</v>
      </c>
      <c r="P2172" s="216">
        <v>342573</v>
      </c>
      <c r="Q2172" s="217" t="s">
        <v>13</v>
      </c>
      <c r="R2172" s="217" t="s">
        <v>554</v>
      </c>
      <c r="S2172" s="218">
        <v>0.29983870584023226</v>
      </c>
      <c r="T2172" t="s">
        <v>550</v>
      </c>
      <c r="U2172" t="s">
        <v>51</v>
      </c>
      <c r="V2172" s="219" t="s">
        <v>7035</v>
      </c>
      <c r="W2172" s="219" t="s">
        <v>67</v>
      </c>
    </row>
    <row r="2173" spans="1:23" ht="15" customHeight="1" x14ac:dyDescent="0.25">
      <c r="A2173" t="s">
        <v>5097</v>
      </c>
      <c r="B2173" t="s">
        <v>546</v>
      </c>
      <c r="C2173">
        <v>106000</v>
      </c>
      <c r="D2173" t="s">
        <v>5098</v>
      </c>
      <c r="E2173" t="s">
        <v>5099</v>
      </c>
      <c r="F2173" t="s">
        <v>554</v>
      </c>
      <c r="G2173" s="30">
        <v>46146</v>
      </c>
      <c r="H2173" t="s">
        <v>5100</v>
      </c>
      <c r="I2173">
        <v>2063684.25</v>
      </c>
      <c r="J2173" s="123">
        <v>0</v>
      </c>
      <c r="K2173" s="123">
        <v>0</v>
      </c>
      <c r="L2173" s="123">
        <v>0</v>
      </c>
      <c r="M2173">
        <v>0</v>
      </c>
      <c r="N2173">
        <v>0</v>
      </c>
      <c r="O2173">
        <v>0</v>
      </c>
      <c r="P2173" s="216">
        <v>106000</v>
      </c>
      <c r="Q2173" s="217" t="s">
        <v>16</v>
      </c>
      <c r="R2173" s="217" t="s">
        <v>554</v>
      </c>
      <c r="S2173" s="218">
        <v>0.20074776458656404</v>
      </c>
      <c r="T2173" t="s">
        <v>550</v>
      </c>
      <c r="U2173" t="s">
        <v>51</v>
      </c>
      <c r="V2173" s="219" t="s">
        <v>7036</v>
      </c>
      <c r="W2173" s="219" t="s">
        <v>67</v>
      </c>
    </row>
    <row r="2174" spans="1:23" ht="15" customHeight="1" x14ac:dyDescent="0.25">
      <c r="A2174" t="s">
        <v>5101</v>
      </c>
      <c r="B2174" t="s">
        <v>546</v>
      </c>
      <c r="C2174">
        <v>101000</v>
      </c>
      <c r="D2174" t="s">
        <v>5098</v>
      </c>
      <c r="E2174" t="s">
        <v>5099</v>
      </c>
      <c r="F2174" t="s">
        <v>554</v>
      </c>
      <c r="G2174" s="30">
        <v>46147</v>
      </c>
      <c r="H2174" t="s">
        <v>5100</v>
      </c>
      <c r="I2174">
        <v>2063684.25</v>
      </c>
      <c r="J2174" s="123">
        <v>0</v>
      </c>
      <c r="K2174" s="123">
        <v>0</v>
      </c>
      <c r="L2174" s="123">
        <v>0</v>
      </c>
      <c r="M2174">
        <v>0</v>
      </c>
      <c r="N2174">
        <v>0</v>
      </c>
      <c r="O2174">
        <v>0</v>
      </c>
      <c r="P2174" s="216">
        <v>101000</v>
      </c>
      <c r="Q2174" s="217" t="s">
        <v>16</v>
      </c>
      <c r="R2174" s="217" t="s">
        <v>554</v>
      </c>
      <c r="S2174" s="218">
        <v>0.20074776458656404</v>
      </c>
      <c r="T2174" t="s">
        <v>550</v>
      </c>
      <c r="U2174" t="s">
        <v>51</v>
      </c>
      <c r="V2174" s="219" t="s">
        <v>7037</v>
      </c>
      <c r="W2174" s="219" t="s">
        <v>67</v>
      </c>
    </row>
    <row r="2175" spans="1:23" ht="15" customHeight="1" x14ac:dyDescent="0.25">
      <c r="A2175" t="s">
        <v>5102</v>
      </c>
      <c r="B2175" t="s">
        <v>575</v>
      </c>
      <c r="C2175">
        <v>168502</v>
      </c>
      <c r="D2175" t="s">
        <v>5103</v>
      </c>
      <c r="E2175" t="s">
        <v>168</v>
      </c>
      <c r="F2175" t="s">
        <v>554</v>
      </c>
      <c r="G2175" s="30">
        <v>46146</v>
      </c>
      <c r="H2175" t="s">
        <v>5104</v>
      </c>
      <c r="I2175">
        <v>1685021.1</v>
      </c>
      <c r="J2175" s="123">
        <v>0</v>
      </c>
      <c r="K2175" s="123">
        <v>0</v>
      </c>
      <c r="L2175" s="123">
        <v>46146</v>
      </c>
      <c r="M2175">
        <v>0</v>
      </c>
      <c r="N2175">
        <v>0</v>
      </c>
      <c r="O2175">
        <v>0</v>
      </c>
      <c r="P2175" s="216">
        <v>168502</v>
      </c>
      <c r="Q2175" s="217" t="s">
        <v>16</v>
      </c>
      <c r="R2175" s="217" t="s">
        <v>554</v>
      </c>
      <c r="S2175" s="218">
        <v>0.30000514533616224</v>
      </c>
      <c r="T2175" t="s">
        <v>550</v>
      </c>
      <c r="U2175" t="s">
        <v>51</v>
      </c>
      <c r="V2175" s="219" t="s">
        <v>7038</v>
      </c>
      <c r="W2175" s="219" t="s">
        <v>67</v>
      </c>
    </row>
    <row r="2176" spans="1:23" ht="15" customHeight="1" x14ac:dyDescent="0.25">
      <c r="A2176" t="s">
        <v>5105</v>
      </c>
      <c r="B2176" t="s">
        <v>546</v>
      </c>
      <c r="C2176">
        <v>800</v>
      </c>
      <c r="D2176" t="s">
        <v>5106</v>
      </c>
      <c r="E2176" t="s">
        <v>553</v>
      </c>
      <c r="F2176" t="s">
        <v>554</v>
      </c>
      <c r="G2176" s="30">
        <v>46143</v>
      </c>
      <c r="H2176" t="s">
        <v>5107</v>
      </c>
      <c r="I2176">
        <v>1572040.75</v>
      </c>
      <c r="J2176" s="123">
        <v>46143</v>
      </c>
      <c r="K2176" s="123">
        <v>0</v>
      </c>
      <c r="L2176" s="123">
        <v>46143</v>
      </c>
      <c r="M2176">
        <v>0</v>
      </c>
      <c r="N2176">
        <v>0</v>
      </c>
      <c r="O2176" t="s">
        <v>556</v>
      </c>
      <c r="P2176" s="216">
        <v>800</v>
      </c>
      <c r="Q2176" s="217" t="s">
        <v>49</v>
      </c>
      <c r="R2176" s="217" t="s">
        <v>554</v>
      </c>
      <c r="S2176" s="218">
        <v>0.3026244707715115</v>
      </c>
      <c r="T2176" t="s">
        <v>550</v>
      </c>
      <c r="U2176" t="s">
        <v>51</v>
      </c>
      <c r="V2176" s="219" t="s">
        <v>7039</v>
      </c>
      <c r="W2176" s="219" t="s">
        <v>67</v>
      </c>
    </row>
    <row r="2177" spans="1:23" ht="15" customHeight="1" x14ac:dyDescent="0.25">
      <c r="A2177" t="s">
        <v>5108</v>
      </c>
      <c r="B2177" t="s">
        <v>603</v>
      </c>
      <c r="C2177">
        <v>164493</v>
      </c>
      <c r="D2177" t="s">
        <v>5109</v>
      </c>
      <c r="E2177" t="s">
        <v>605</v>
      </c>
      <c r="F2177" t="s">
        <v>585</v>
      </c>
      <c r="G2177" s="30">
        <v>46148</v>
      </c>
      <c r="H2177" t="s">
        <v>5110</v>
      </c>
      <c r="I2177">
        <v>1644937.5</v>
      </c>
      <c r="J2177" s="123">
        <v>0</v>
      </c>
      <c r="K2177" s="123">
        <v>0</v>
      </c>
      <c r="L2177" s="123">
        <v>0</v>
      </c>
      <c r="M2177">
        <v>0</v>
      </c>
      <c r="N2177">
        <v>0</v>
      </c>
      <c r="O2177">
        <v>0</v>
      </c>
      <c r="P2177" s="216">
        <v>164493</v>
      </c>
      <c r="Q2177" s="217" t="s">
        <v>16</v>
      </c>
      <c r="R2177" s="217" t="s">
        <v>61</v>
      </c>
      <c r="S2177" s="218">
        <v>0.20000030396291651</v>
      </c>
      <c r="T2177" t="s">
        <v>550</v>
      </c>
      <c r="U2177" t="s">
        <v>51</v>
      </c>
      <c r="V2177" s="219">
        <v>0</v>
      </c>
      <c r="W2177" s="219">
        <v>0</v>
      </c>
    </row>
    <row r="2178" spans="1:23" ht="15" customHeight="1" x14ac:dyDescent="0.25">
      <c r="A2178" t="s">
        <v>5111</v>
      </c>
      <c r="B2178" t="s">
        <v>575</v>
      </c>
      <c r="C2178">
        <v>169384</v>
      </c>
      <c r="D2178" t="s">
        <v>5112</v>
      </c>
      <c r="E2178" t="s">
        <v>168</v>
      </c>
      <c r="F2178" t="s">
        <v>580</v>
      </c>
      <c r="G2178" s="30">
        <v>46149</v>
      </c>
      <c r="H2178" t="s">
        <v>5113</v>
      </c>
      <c r="I2178">
        <v>1693843.2</v>
      </c>
      <c r="J2178" s="123">
        <v>0</v>
      </c>
      <c r="K2178" s="123">
        <v>0</v>
      </c>
      <c r="L2178" s="123">
        <v>46147</v>
      </c>
      <c r="M2178">
        <v>0</v>
      </c>
      <c r="N2178">
        <v>0</v>
      </c>
      <c r="O2178">
        <v>0</v>
      </c>
      <c r="P2178" s="216">
        <v>169384</v>
      </c>
      <c r="Q2178" s="217" t="s">
        <v>16</v>
      </c>
      <c r="R2178" s="217" t="s">
        <v>582</v>
      </c>
      <c r="S2178" s="218">
        <v>0.20000080290784886</v>
      </c>
      <c r="T2178" t="s">
        <v>550</v>
      </c>
      <c r="U2178" t="s">
        <v>51</v>
      </c>
      <c r="V2178" s="219">
        <v>0</v>
      </c>
      <c r="W2178" s="219">
        <v>0</v>
      </c>
    </row>
    <row r="2179" spans="1:23" ht="15" customHeight="1" x14ac:dyDescent="0.25">
      <c r="A2179" t="s">
        <v>5114</v>
      </c>
      <c r="B2179" t="s">
        <v>575</v>
      </c>
      <c r="C2179">
        <v>96179</v>
      </c>
      <c r="D2179" t="s">
        <v>5115</v>
      </c>
      <c r="E2179" t="s">
        <v>168</v>
      </c>
      <c r="F2179" t="s">
        <v>580</v>
      </c>
      <c r="G2179" s="30">
        <v>46149</v>
      </c>
      <c r="H2179" t="s">
        <v>5116</v>
      </c>
      <c r="I2179">
        <v>3461788.8</v>
      </c>
      <c r="J2179" s="123">
        <v>0</v>
      </c>
      <c r="K2179" s="123">
        <v>0</v>
      </c>
      <c r="L2179" s="123">
        <v>46147</v>
      </c>
      <c r="M2179">
        <v>0</v>
      </c>
      <c r="N2179">
        <v>0</v>
      </c>
      <c r="O2179">
        <v>0</v>
      </c>
      <c r="P2179" s="216">
        <v>96179</v>
      </c>
      <c r="Q2179" s="217" t="s">
        <v>16</v>
      </c>
      <c r="R2179" s="217" t="s">
        <v>582</v>
      </c>
      <c r="S2179" s="218">
        <v>0.19983888098546049</v>
      </c>
      <c r="T2179" t="s">
        <v>550</v>
      </c>
      <c r="U2179" t="s">
        <v>51</v>
      </c>
      <c r="V2179" s="219">
        <v>0</v>
      </c>
      <c r="W2179" s="219">
        <v>0</v>
      </c>
    </row>
    <row r="2180" spans="1:23" ht="15" customHeight="1" x14ac:dyDescent="0.25">
      <c r="A2180" t="s">
        <v>5117</v>
      </c>
      <c r="B2180" t="s">
        <v>546</v>
      </c>
      <c r="C2180">
        <v>56189.599999999999</v>
      </c>
      <c r="D2180" t="s">
        <v>5118</v>
      </c>
      <c r="E2180" t="s">
        <v>168</v>
      </c>
      <c r="F2180" t="s">
        <v>548</v>
      </c>
      <c r="G2180" s="30">
        <v>46147</v>
      </c>
      <c r="H2180" t="s">
        <v>5119</v>
      </c>
      <c r="I2180">
        <v>1702665.3</v>
      </c>
      <c r="J2180" s="123">
        <v>0</v>
      </c>
      <c r="K2180" s="123">
        <v>0</v>
      </c>
      <c r="L2180" s="123">
        <v>0</v>
      </c>
      <c r="M2180">
        <v>0</v>
      </c>
      <c r="N2180">
        <v>0</v>
      </c>
      <c r="O2180">
        <v>0</v>
      </c>
      <c r="P2180" s="216">
        <v>56189.599999999999</v>
      </c>
      <c r="Q2180" s="217" t="s">
        <v>16</v>
      </c>
      <c r="R2180" s="217" t="s">
        <v>62</v>
      </c>
      <c r="S2180" s="218">
        <v>0.21289986939887715</v>
      </c>
      <c r="T2180" t="s">
        <v>550</v>
      </c>
      <c r="U2180" t="s">
        <v>51</v>
      </c>
      <c r="V2180" s="219">
        <v>0</v>
      </c>
      <c r="W2180" s="219">
        <v>0</v>
      </c>
    </row>
    <row r="2181" spans="1:23" ht="15" customHeight="1" x14ac:dyDescent="0.25">
      <c r="A2181" t="s">
        <v>5120</v>
      </c>
      <c r="B2181" t="s">
        <v>546</v>
      </c>
      <c r="C2181">
        <v>56189.599999999999</v>
      </c>
      <c r="D2181" t="s">
        <v>5118</v>
      </c>
      <c r="E2181" t="s">
        <v>168</v>
      </c>
      <c r="F2181" t="s">
        <v>548</v>
      </c>
      <c r="G2181" s="30">
        <v>46147</v>
      </c>
      <c r="H2181" t="s">
        <v>5119</v>
      </c>
      <c r="I2181">
        <v>1702665.3</v>
      </c>
      <c r="J2181" s="123">
        <v>0</v>
      </c>
      <c r="K2181" s="123">
        <v>0</v>
      </c>
      <c r="L2181" s="123">
        <v>0</v>
      </c>
      <c r="M2181">
        <v>0</v>
      </c>
      <c r="N2181">
        <v>0</v>
      </c>
      <c r="O2181">
        <v>0</v>
      </c>
      <c r="P2181" s="216">
        <v>56189.599999999999</v>
      </c>
      <c r="Q2181" s="217" t="s">
        <v>16</v>
      </c>
      <c r="R2181" s="217" t="s">
        <v>62</v>
      </c>
      <c r="S2181" s="218">
        <v>0.21289986939887715</v>
      </c>
      <c r="T2181" t="s">
        <v>550</v>
      </c>
      <c r="U2181" t="s">
        <v>51</v>
      </c>
      <c r="V2181" s="219">
        <v>0</v>
      </c>
      <c r="W2181" s="219">
        <v>0</v>
      </c>
    </row>
    <row r="2182" spans="1:23" ht="15" customHeight="1" x14ac:dyDescent="0.25">
      <c r="A2182" t="s">
        <v>5121</v>
      </c>
      <c r="B2182" t="s">
        <v>546</v>
      </c>
      <c r="C2182">
        <v>56189.599999999999</v>
      </c>
      <c r="D2182" t="s">
        <v>5118</v>
      </c>
      <c r="E2182" t="s">
        <v>168</v>
      </c>
      <c r="F2182" t="s">
        <v>548</v>
      </c>
      <c r="G2182" s="30">
        <v>46147</v>
      </c>
      <c r="H2182" t="s">
        <v>5119</v>
      </c>
      <c r="I2182">
        <v>1702665.3</v>
      </c>
      <c r="J2182" s="123">
        <v>0</v>
      </c>
      <c r="K2182" s="123">
        <v>0</v>
      </c>
      <c r="L2182" s="123">
        <v>0</v>
      </c>
      <c r="M2182">
        <v>0</v>
      </c>
      <c r="N2182">
        <v>0</v>
      </c>
      <c r="O2182">
        <v>0</v>
      </c>
      <c r="P2182" s="216">
        <v>56189.599999999999</v>
      </c>
      <c r="Q2182" s="217" t="s">
        <v>16</v>
      </c>
      <c r="R2182" s="217" t="s">
        <v>62</v>
      </c>
      <c r="S2182" s="218">
        <v>0.21289986939887715</v>
      </c>
      <c r="T2182" t="s">
        <v>550</v>
      </c>
      <c r="U2182" t="s">
        <v>51</v>
      </c>
      <c r="V2182" s="219">
        <v>0</v>
      </c>
      <c r="W2182" s="219">
        <v>0</v>
      </c>
    </row>
    <row r="2183" spans="1:23" ht="15" customHeight="1" x14ac:dyDescent="0.25">
      <c r="A2183" t="s">
        <v>5122</v>
      </c>
      <c r="B2183" t="s">
        <v>546</v>
      </c>
      <c r="C2183">
        <v>20267</v>
      </c>
      <c r="D2183" t="s">
        <v>5118</v>
      </c>
      <c r="E2183" t="s">
        <v>168</v>
      </c>
      <c r="F2183" t="s">
        <v>554</v>
      </c>
      <c r="G2183" s="30">
        <v>46148</v>
      </c>
      <c r="H2183" t="s">
        <v>5119</v>
      </c>
      <c r="I2183">
        <v>1702665.3</v>
      </c>
      <c r="J2183" s="123">
        <v>0</v>
      </c>
      <c r="K2183" s="123">
        <v>0</v>
      </c>
      <c r="L2183" s="123">
        <v>0</v>
      </c>
      <c r="M2183">
        <v>0</v>
      </c>
      <c r="N2183">
        <v>0</v>
      </c>
      <c r="O2183">
        <v>0</v>
      </c>
      <c r="P2183" s="216">
        <v>20267</v>
      </c>
      <c r="Q2183" s="217" t="s">
        <v>16</v>
      </c>
      <c r="R2183" s="217" t="s">
        <v>554</v>
      </c>
      <c r="S2183" s="218">
        <v>0.21289986939887715</v>
      </c>
      <c r="T2183" t="s">
        <v>550</v>
      </c>
      <c r="U2183" t="s">
        <v>51</v>
      </c>
      <c r="V2183" s="219" t="s">
        <v>7040</v>
      </c>
      <c r="W2183" s="219" t="s">
        <v>67</v>
      </c>
    </row>
    <row r="2184" spans="1:23" ht="15" customHeight="1" x14ac:dyDescent="0.25">
      <c r="A2184" t="s">
        <v>5123</v>
      </c>
      <c r="B2184" t="s">
        <v>546</v>
      </c>
      <c r="C2184">
        <v>205968</v>
      </c>
      <c r="D2184" t="s">
        <v>5124</v>
      </c>
      <c r="E2184" t="s">
        <v>553</v>
      </c>
      <c r="F2184" t="s">
        <v>548</v>
      </c>
      <c r="G2184" s="30">
        <v>46149</v>
      </c>
      <c r="H2184" t="s">
        <v>5125</v>
      </c>
      <c r="I2184">
        <v>2059688.9</v>
      </c>
      <c r="J2184" s="123">
        <v>46149</v>
      </c>
      <c r="K2184" s="123">
        <v>0</v>
      </c>
      <c r="L2184" s="123">
        <v>46149</v>
      </c>
      <c r="M2184">
        <v>0</v>
      </c>
      <c r="N2184">
        <v>0</v>
      </c>
      <c r="O2184" t="s">
        <v>556</v>
      </c>
      <c r="P2184" s="216">
        <v>205968</v>
      </c>
      <c r="Q2184" s="217" t="s">
        <v>16</v>
      </c>
      <c r="R2184" s="217" t="s">
        <v>62</v>
      </c>
      <c r="S2184" s="218">
        <v>0.30000016021837084</v>
      </c>
      <c r="T2184" t="s">
        <v>550</v>
      </c>
      <c r="U2184" t="s">
        <v>51</v>
      </c>
      <c r="V2184" s="219">
        <v>0</v>
      </c>
      <c r="W2184" s="219">
        <v>0</v>
      </c>
    </row>
    <row r="2185" spans="1:23" ht="15" customHeight="1" x14ac:dyDescent="0.25">
      <c r="A2185" t="s">
        <v>5126</v>
      </c>
      <c r="B2185" t="s">
        <v>546</v>
      </c>
      <c r="C2185">
        <v>205968</v>
      </c>
      <c r="D2185" t="s">
        <v>5124</v>
      </c>
      <c r="E2185" t="s">
        <v>553</v>
      </c>
      <c r="F2185" t="s">
        <v>548</v>
      </c>
      <c r="G2185" s="30">
        <v>46149</v>
      </c>
      <c r="H2185" t="s">
        <v>5125</v>
      </c>
      <c r="I2185">
        <v>2059688.9</v>
      </c>
      <c r="J2185" s="123">
        <v>46149</v>
      </c>
      <c r="K2185" s="123">
        <v>0</v>
      </c>
      <c r="L2185" s="123">
        <v>46149</v>
      </c>
      <c r="M2185">
        <v>0</v>
      </c>
      <c r="N2185">
        <v>0</v>
      </c>
      <c r="O2185" t="s">
        <v>556</v>
      </c>
      <c r="P2185" s="216">
        <v>205968</v>
      </c>
      <c r="Q2185" s="217" t="s">
        <v>16</v>
      </c>
      <c r="R2185" s="217" t="s">
        <v>62</v>
      </c>
      <c r="S2185" s="218">
        <v>0.30000016021837084</v>
      </c>
      <c r="T2185" t="s">
        <v>550</v>
      </c>
      <c r="U2185" t="s">
        <v>51</v>
      </c>
      <c r="V2185" s="219">
        <v>0</v>
      </c>
      <c r="W2185" s="219">
        <v>0</v>
      </c>
    </row>
    <row r="2186" spans="1:23" ht="15" customHeight="1" x14ac:dyDescent="0.25">
      <c r="A2186" t="s">
        <v>5127</v>
      </c>
      <c r="B2186" t="s">
        <v>546</v>
      </c>
      <c r="C2186">
        <v>205968</v>
      </c>
      <c r="D2186" t="s">
        <v>5124</v>
      </c>
      <c r="E2186" t="s">
        <v>553</v>
      </c>
      <c r="F2186" t="s">
        <v>554</v>
      </c>
      <c r="G2186" s="30">
        <v>46149</v>
      </c>
      <c r="H2186" t="s">
        <v>5125</v>
      </c>
      <c r="I2186">
        <v>2059688.9</v>
      </c>
      <c r="J2186" s="123">
        <v>46149</v>
      </c>
      <c r="K2186" s="123">
        <v>0</v>
      </c>
      <c r="L2186" s="123">
        <v>46149</v>
      </c>
      <c r="M2186">
        <v>0</v>
      </c>
      <c r="N2186">
        <v>0</v>
      </c>
      <c r="O2186" t="s">
        <v>556</v>
      </c>
      <c r="P2186" s="216">
        <v>205968</v>
      </c>
      <c r="Q2186" s="217" t="s">
        <v>16</v>
      </c>
      <c r="R2186" s="217" t="s">
        <v>554</v>
      </c>
      <c r="S2186" s="218">
        <v>0.30000016021837084</v>
      </c>
      <c r="T2186" t="s">
        <v>550</v>
      </c>
      <c r="U2186" t="s">
        <v>51</v>
      </c>
      <c r="V2186" s="219" t="s">
        <v>7041</v>
      </c>
      <c r="W2186" s="219" t="s">
        <v>67</v>
      </c>
    </row>
    <row r="2187" spans="1:23" ht="15" customHeight="1" x14ac:dyDescent="0.25">
      <c r="A2187" t="s">
        <v>5128</v>
      </c>
      <c r="B2187" t="s">
        <v>546</v>
      </c>
      <c r="C2187">
        <v>100000</v>
      </c>
      <c r="D2187" t="s">
        <v>5129</v>
      </c>
      <c r="E2187" t="s">
        <v>258</v>
      </c>
      <c r="F2187" t="s">
        <v>554</v>
      </c>
      <c r="G2187" s="30">
        <v>46144</v>
      </c>
      <c r="H2187" t="s">
        <v>5130</v>
      </c>
      <c r="I2187">
        <v>1653656.25</v>
      </c>
      <c r="J2187" s="123">
        <v>0</v>
      </c>
      <c r="K2187" s="123">
        <v>0</v>
      </c>
      <c r="L2187" s="123">
        <v>0</v>
      </c>
      <c r="M2187">
        <v>0</v>
      </c>
      <c r="N2187">
        <v>0</v>
      </c>
      <c r="O2187">
        <v>0</v>
      </c>
      <c r="P2187" s="216">
        <v>100000</v>
      </c>
      <c r="Q2187" s="217" t="s">
        <v>9</v>
      </c>
      <c r="R2187" s="217" t="s">
        <v>554</v>
      </c>
      <c r="S2187" s="218">
        <v>0.29999985184345296</v>
      </c>
      <c r="T2187" t="s">
        <v>550</v>
      </c>
      <c r="U2187" t="s">
        <v>51</v>
      </c>
      <c r="V2187" s="219" t="s">
        <v>7042</v>
      </c>
      <c r="W2187" s="219" t="s">
        <v>67</v>
      </c>
    </row>
    <row r="2188" spans="1:23" ht="15" customHeight="1" x14ac:dyDescent="0.25">
      <c r="A2188" t="s">
        <v>5131</v>
      </c>
      <c r="B2188" t="s">
        <v>546</v>
      </c>
      <c r="C2188">
        <v>65365</v>
      </c>
      <c r="D2188" t="s">
        <v>5129</v>
      </c>
      <c r="E2188" t="s">
        <v>168</v>
      </c>
      <c r="F2188" t="s">
        <v>554</v>
      </c>
      <c r="G2188" s="30">
        <v>46146</v>
      </c>
      <c r="H2188" t="s">
        <v>5130</v>
      </c>
      <c r="I2188">
        <v>1653656.25</v>
      </c>
      <c r="J2188" s="123">
        <v>0</v>
      </c>
      <c r="K2188" s="123">
        <v>0</v>
      </c>
      <c r="L2188" s="123">
        <v>0</v>
      </c>
      <c r="M2188">
        <v>0</v>
      </c>
      <c r="N2188">
        <v>0</v>
      </c>
      <c r="O2188">
        <v>0</v>
      </c>
      <c r="P2188" s="216">
        <v>65365</v>
      </c>
      <c r="Q2188" s="217" t="s">
        <v>16</v>
      </c>
      <c r="R2188" s="217" t="s">
        <v>554</v>
      </c>
      <c r="S2188" s="218">
        <v>0.29999985184345296</v>
      </c>
      <c r="T2188" t="s">
        <v>550</v>
      </c>
      <c r="U2188" t="s">
        <v>51</v>
      </c>
      <c r="V2188" s="219" t="s">
        <v>7043</v>
      </c>
      <c r="W2188" s="219" t="s">
        <v>67</v>
      </c>
    </row>
    <row r="2189" spans="1:23" ht="15" customHeight="1" x14ac:dyDescent="0.25">
      <c r="A2189" t="s">
        <v>5132</v>
      </c>
      <c r="B2189" t="s">
        <v>575</v>
      </c>
      <c r="C2189">
        <v>259399</v>
      </c>
      <c r="D2189" t="s">
        <v>5133</v>
      </c>
      <c r="E2189" t="s">
        <v>168</v>
      </c>
      <c r="F2189" t="s">
        <v>554</v>
      </c>
      <c r="G2189" s="30">
        <v>46147</v>
      </c>
      <c r="H2189" t="s">
        <v>5134</v>
      </c>
      <c r="I2189">
        <v>2593994.2000000002</v>
      </c>
      <c r="J2189" s="123">
        <v>0</v>
      </c>
      <c r="K2189" s="123">
        <v>0</v>
      </c>
      <c r="L2189" s="123">
        <v>46143</v>
      </c>
      <c r="M2189">
        <v>0</v>
      </c>
      <c r="N2189">
        <v>0</v>
      </c>
      <c r="O2189">
        <v>0</v>
      </c>
      <c r="P2189" s="216">
        <v>259399</v>
      </c>
      <c r="Q2189" s="217" t="s">
        <v>16</v>
      </c>
      <c r="R2189" s="217" t="s">
        <v>554</v>
      </c>
      <c r="S2189" s="218">
        <v>0.30004614505306137</v>
      </c>
      <c r="T2189" t="s">
        <v>550</v>
      </c>
      <c r="U2189" t="s">
        <v>51</v>
      </c>
      <c r="V2189" s="219" t="s">
        <v>7044</v>
      </c>
      <c r="W2189" s="219" t="s">
        <v>67</v>
      </c>
    </row>
    <row r="2190" spans="1:23" ht="15" customHeight="1" x14ac:dyDescent="0.25">
      <c r="A2190" t="s">
        <v>5135</v>
      </c>
      <c r="B2190" t="s">
        <v>575</v>
      </c>
      <c r="C2190">
        <v>200000</v>
      </c>
      <c r="D2190" t="s">
        <v>5136</v>
      </c>
      <c r="E2190" t="s">
        <v>223</v>
      </c>
      <c r="F2190" t="s">
        <v>554</v>
      </c>
      <c r="G2190" s="30">
        <v>46146</v>
      </c>
      <c r="H2190" t="s">
        <v>5137</v>
      </c>
      <c r="I2190">
        <v>4494429.5999999996</v>
      </c>
      <c r="J2190" s="123">
        <v>0</v>
      </c>
      <c r="K2190" s="123">
        <v>0</v>
      </c>
      <c r="L2190" s="123">
        <v>46144</v>
      </c>
      <c r="M2190">
        <v>0</v>
      </c>
      <c r="N2190">
        <v>0</v>
      </c>
      <c r="O2190">
        <v>0</v>
      </c>
      <c r="P2190" s="216">
        <v>200000</v>
      </c>
      <c r="Q2190" s="217" t="s">
        <v>31</v>
      </c>
      <c r="R2190" s="217" t="s">
        <v>554</v>
      </c>
      <c r="S2190" s="218">
        <v>0.2667490886941471</v>
      </c>
      <c r="T2190" t="s">
        <v>550</v>
      </c>
      <c r="U2190" t="s">
        <v>51</v>
      </c>
      <c r="V2190" s="219" t="s">
        <v>7045</v>
      </c>
      <c r="W2190" s="219" t="s">
        <v>67</v>
      </c>
    </row>
    <row r="2191" spans="1:23" ht="15" customHeight="1" x14ac:dyDescent="0.25">
      <c r="A2191" t="s">
        <v>5138</v>
      </c>
      <c r="B2191" t="s">
        <v>575</v>
      </c>
      <c r="C2191">
        <v>100000</v>
      </c>
      <c r="D2191" t="s">
        <v>5136</v>
      </c>
      <c r="E2191" t="s">
        <v>223</v>
      </c>
      <c r="F2191" t="s">
        <v>554</v>
      </c>
      <c r="G2191" s="30">
        <v>46146</v>
      </c>
      <c r="H2191" t="s">
        <v>5137</v>
      </c>
      <c r="I2191">
        <v>4494429.5999999996</v>
      </c>
      <c r="J2191" s="123">
        <v>0</v>
      </c>
      <c r="K2191" s="123">
        <v>0</v>
      </c>
      <c r="L2191" s="123">
        <v>46056</v>
      </c>
      <c r="M2191">
        <v>0</v>
      </c>
      <c r="N2191">
        <v>0</v>
      </c>
      <c r="O2191">
        <v>0</v>
      </c>
      <c r="P2191" s="216">
        <v>100000</v>
      </c>
      <c r="Q2191" s="217" t="s">
        <v>31</v>
      </c>
      <c r="R2191" s="217" t="s">
        <v>554</v>
      </c>
      <c r="S2191" s="218">
        <v>0.2667490886941471</v>
      </c>
      <c r="T2191" t="s">
        <v>550</v>
      </c>
      <c r="U2191" t="s">
        <v>51</v>
      </c>
      <c r="V2191" s="219" t="s">
        <v>7046</v>
      </c>
      <c r="W2191" s="219" t="s">
        <v>67</v>
      </c>
    </row>
    <row r="2192" spans="1:23" ht="15" customHeight="1" x14ac:dyDescent="0.25">
      <c r="A2192" t="s">
        <v>5139</v>
      </c>
      <c r="B2192" t="s">
        <v>595</v>
      </c>
      <c r="C2192">
        <v>171148.74</v>
      </c>
      <c r="D2192" t="s">
        <v>5140</v>
      </c>
      <c r="E2192" t="s">
        <v>168</v>
      </c>
      <c r="F2192" t="s">
        <v>554</v>
      </c>
      <c r="G2192" s="30">
        <v>46146</v>
      </c>
      <c r="H2192" t="s">
        <v>5141</v>
      </c>
      <c r="I2192">
        <v>1711487.4</v>
      </c>
      <c r="J2192" s="123">
        <v>0</v>
      </c>
      <c r="K2192" s="123">
        <v>0</v>
      </c>
      <c r="L2192" s="123">
        <v>46135</v>
      </c>
      <c r="M2192">
        <v>0</v>
      </c>
      <c r="N2192">
        <v>0</v>
      </c>
      <c r="O2192">
        <v>0</v>
      </c>
      <c r="P2192" s="216">
        <v>171148.74</v>
      </c>
      <c r="Q2192" s="217" t="s">
        <v>16</v>
      </c>
      <c r="R2192" s="217" t="s">
        <v>554</v>
      </c>
      <c r="S2192" s="218">
        <v>0.30000041484383699</v>
      </c>
      <c r="T2192" t="s">
        <v>550</v>
      </c>
      <c r="U2192" t="s">
        <v>51</v>
      </c>
      <c r="V2192" s="219" t="s">
        <v>7047</v>
      </c>
      <c r="W2192" s="219" t="s">
        <v>67</v>
      </c>
    </row>
    <row r="2193" spans="1:23" ht="15" customHeight="1" x14ac:dyDescent="0.25">
      <c r="A2193" t="s">
        <v>5142</v>
      </c>
      <c r="B2193" t="s">
        <v>64</v>
      </c>
      <c r="C2193">
        <v>1110518</v>
      </c>
      <c r="D2193" t="s">
        <v>5143</v>
      </c>
      <c r="E2193" t="s">
        <v>307</v>
      </c>
      <c r="F2193" t="s">
        <v>554</v>
      </c>
      <c r="G2193" s="30">
        <v>46146</v>
      </c>
      <c r="H2193" t="s">
        <v>5144</v>
      </c>
      <c r="I2193">
        <v>1711487.4</v>
      </c>
      <c r="J2193" s="123">
        <v>0</v>
      </c>
      <c r="K2193" s="123">
        <v>46146</v>
      </c>
      <c r="L2193" s="123">
        <v>0</v>
      </c>
      <c r="M2193">
        <v>0</v>
      </c>
      <c r="N2193">
        <v>0</v>
      </c>
      <c r="O2193" t="s">
        <v>556</v>
      </c>
      <c r="P2193" s="216">
        <v>1110518</v>
      </c>
      <c r="Q2193" s="217" t="s">
        <v>49</v>
      </c>
      <c r="R2193" s="217" t="s">
        <v>554</v>
      </c>
      <c r="S2193" s="218">
        <v>0.95172421368687854</v>
      </c>
      <c r="T2193" t="s">
        <v>550</v>
      </c>
      <c r="U2193" t="s">
        <v>51</v>
      </c>
      <c r="V2193" s="219" t="s">
        <v>7048</v>
      </c>
      <c r="W2193" s="219" t="s">
        <v>67</v>
      </c>
    </row>
    <row r="2194" spans="1:23" ht="15" customHeight="1" x14ac:dyDescent="0.25">
      <c r="A2194" t="s">
        <v>5145</v>
      </c>
      <c r="B2194" t="s">
        <v>64</v>
      </c>
      <c r="C2194">
        <v>1110518</v>
      </c>
      <c r="D2194" t="s">
        <v>5146</v>
      </c>
      <c r="E2194" t="s">
        <v>307</v>
      </c>
      <c r="F2194" t="s">
        <v>554</v>
      </c>
      <c r="G2194" s="30">
        <v>46146</v>
      </c>
      <c r="H2194" t="s">
        <v>5147</v>
      </c>
      <c r="I2194">
        <v>1711487.4</v>
      </c>
      <c r="J2194" s="123">
        <v>0</v>
      </c>
      <c r="K2194" s="123">
        <v>46146</v>
      </c>
      <c r="L2194" s="123">
        <v>0</v>
      </c>
      <c r="M2194">
        <v>0</v>
      </c>
      <c r="N2194">
        <v>0</v>
      </c>
      <c r="O2194" t="s">
        <v>556</v>
      </c>
      <c r="P2194" s="216">
        <v>1110518</v>
      </c>
      <c r="Q2194" s="217" t="s">
        <v>49</v>
      </c>
      <c r="R2194" s="217" t="s">
        <v>554</v>
      </c>
      <c r="S2194" s="218">
        <v>0.95172421368687854</v>
      </c>
      <c r="T2194" t="s">
        <v>550</v>
      </c>
      <c r="U2194" t="s">
        <v>51</v>
      </c>
      <c r="V2194" s="219" t="s">
        <v>7049</v>
      </c>
      <c r="W2194" s="219" t="s">
        <v>67</v>
      </c>
    </row>
    <row r="2195" spans="1:23" ht="15" customHeight="1" x14ac:dyDescent="0.25">
      <c r="A2195" t="s">
        <v>5148</v>
      </c>
      <c r="B2195" t="s">
        <v>546</v>
      </c>
      <c r="C2195">
        <v>25000</v>
      </c>
      <c r="D2195" t="s">
        <v>5149</v>
      </c>
      <c r="E2195" t="s">
        <v>553</v>
      </c>
      <c r="F2195" t="s">
        <v>554</v>
      </c>
      <c r="G2195" s="30">
        <v>46143</v>
      </c>
      <c r="H2195" t="s">
        <v>5150</v>
      </c>
      <c r="I2195">
        <v>3515879.25</v>
      </c>
      <c r="J2195" s="123">
        <v>46143</v>
      </c>
      <c r="K2195" s="123">
        <v>0</v>
      </c>
      <c r="L2195" s="123">
        <v>46143</v>
      </c>
      <c r="M2195">
        <v>0</v>
      </c>
      <c r="N2195">
        <v>0</v>
      </c>
      <c r="O2195" t="s">
        <v>556</v>
      </c>
      <c r="P2195" s="216">
        <v>25000</v>
      </c>
      <c r="Q2195" s="217" t="s">
        <v>16</v>
      </c>
      <c r="R2195" s="217" t="s">
        <v>554</v>
      </c>
      <c r="S2195" s="218">
        <v>0.29386816967619123</v>
      </c>
      <c r="T2195" t="s">
        <v>550</v>
      </c>
      <c r="U2195" t="s">
        <v>51</v>
      </c>
      <c r="V2195" s="219" t="s">
        <v>7050</v>
      </c>
      <c r="W2195" s="219" t="s">
        <v>67</v>
      </c>
    </row>
    <row r="2196" spans="1:23" ht="15" customHeight="1" x14ac:dyDescent="0.25">
      <c r="A2196" t="s">
        <v>5151</v>
      </c>
      <c r="B2196" t="s">
        <v>546</v>
      </c>
      <c r="C2196">
        <v>25000</v>
      </c>
      <c r="D2196" t="s">
        <v>5149</v>
      </c>
      <c r="E2196" t="s">
        <v>553</v>
      </c>
      <c r="F2196" t="s">
        <v>548</v>
      </c>
      <c r="G2196" s="30">
        <v>46143</v>
      </c>
      <c r="H2196" t="s">
        <v>5150</v>
      </c>
      <c r="I2196">
        <v>3515879.25</v>
      </c>
      <c r="J2196" s="123">
        <v>46143</v>
      </c>
      <c r="K2196" s="123">
        <v>0</v>
      </c>
      <c r="L2196" s="123">
        <v>46143</v>
      </c>
      <c r="M2196">
        <v>0</v>
      </c>
      <c r="N2196">
        <v>0</v>
      </c>
      <c r="O2196" t="s">
        <v>556</v>
      </c>
      <c r="P2196" s="216">
        <v>25000</v>
      </c>
      <c r="Q2196" s="217" t="s">
        <v>16</v>
      </c>
      <c r="R2196" s="217" t="s">
        <v>62</v>
      </c>
      <c r="S2196" s="218">
        <v>0.29386816967619123</v>
      </c>
      <c r="T2196" t="s">
        <v>550</v>
      </c>
      <c r="U2196" t="s">
        <v>51</v>
      </c>
      <c r="V2196" s="219">
        <v>0</v>
      </c>
      <c r="W2196" s="219">
        <v>0</v>
      </c>
    </row>
    <row r="2197" spans="1:23" ht="15" customHeight="1" x14ac:dyDescent="0.25">
      <c r="A2197" t="s">
        <v>5152</v>
      </c>
      <c r="B2197" t="s">
        <v>546</v>
      </c>
      <c r="C2197">
        <v>340991</v>
      </c>
      <c r="D2197" t="s">
        <v>5149</v>
      </c>
      <c r="E2197" t="s">
        <v>553</v>
      </c>
      <c r="F2197" t="s">
        <v>548</v>
      </c>
      <c r="G2197" s="30">
        <v>46143</v>
      </c>
      <c r="H2197" t="s">
        <v>5150</v>
      </c>
      <c r="I2197">
        <v>3515879.25</v>
      </c>
      <c r="J2197" s="123">
        <v>46143</v>
      </c>
      <c r="K2197" s="123">
        <v>0</v>
      </c>
      <c r="L2197" s="123">
        <v>46143</v>
      </c>
      <c r="M2197">
        <v>0</v>
      </c>
      <c r="N2197">
        <v>0</v>
      </c>
      <c r="O2197" t="s">
        <v>556</v>
      </c>
      <c r="P2197" s="216">
        <v>340991</v>
      </c>
      <c r="Q2197" s="217" t="s">
        <v>16</v>
      </c>
      <c r="R2197" s="217" t="s">
        <v>62</v>
      </c>
      <c r="S2197" s="218">
        <v>0.29386816967619123</v>
      </c>
      <c r="T2197" t="s">
        <v>550</v>
      </c>
      <c r="U2197" t="s">
        <v>51</v>
      </c>
      <c r="V2197" s="219">
        <v>0</v>
      </c>
      <c r="W2197" s="219">
        <v>0</v>
      </c>
    </row>
    <row r="2198" spans="1:23" ht="15" customHeight="1" x14ac:dyDescent="0.25">
      <c r="A2198" t="s">
        <v>5153</v>
      </c>
      <c r="B2198" t="s">
        <v>546</v>
      </c>
      <c r="C2198">
        <v>75000</v>
      </c>
      <c r="D2198" t="s">
        <v>5149</v>
      </c>
      <c r="E2198" t="s">
        <v>553</v>
      </c>
      <c r="F2198" t="s">
        <v>554</v>
      </c>
      <c r="G2198" s="30">
        <v>46146</v>
      </c>
      <c r="H2198" t="s">
        <v>5150</v>
      </c>
      <c r="I2198">
        <v>3515879.25</v>
      </c>
      <c r="J2198" s="123">
        <v>46146</v>
      </c>
      <c r="K2198" s="123">
        <v>0</v>
      </c>
      <c r="L2198" s="123">
        <v>46146</v>
      </c>
      <c r="M2198">
        <v>0</v>
      </c>
      <c r="N2198">
        <v>0</v>
      </c>
      <c r="O2198" t="s">
        <v>556</v>
      </c>
      <c r="P2198" s="216">
        <v>75000</v>
      </c>
      <c r="Q2198" s="217" t="s">
        <v>16</v>
      </c>
      <c r="R2198" s="217" t="s">
        <v>554</v>
      </c>
      <c r="S2198" s="218">
        <v>0.29386816967619123</v>
      </c>
      <c r="T2198" t="s">
        <v>550</v>
      </c>
      <c r="U2198" t="s">
        <v>51</v>
      </c>
      <c r="V2198" s="219" t="s">
        <v>7051</v>
      </c>
      <c r="W2198" s="219" t="s">
        <v>67</v>
      </c>
    </row>
    <row r="2199" spans="1:23" ht="15" customHeight="1" x14ac:dyDescent="0.25">
      <c r="A2199" t="s">
        <v>5154</v>
      </c>
      <c r="B2199" t="s">
        <v>546</v>
      </c>
      <c r="C2199">
        <v>75000</v>
      </c>
      <c r="D2199" t="s">
        <v>5149</v>
      </c>
      <c r="E2199" t="s">
        <v>553</v>
      </c>
      <c r="F2199" t="s">
        <v>548</v>
      </c>
      <c r="G2199" s="30">
        <v>46146</v>
      </c>
      <c r="H2199" t="s">
        <v>5150</v>
      </c>
      <c r="I2199">
        <v>3515879.25</v>
      </c>
      <c r="J2199" s="123">
        <v>46146</v>
      </c>
      <c r="K2199" s="123">
        <v>0</v>
      </c>
      <c r="L2199" s="123">
        <v>46146</v>
      </c>
      <c r="M2199">
        <v>0</v>
      </c>
      <c r="N2199">
        <v>0</v>
      </c>
      <c r="O2199" t="s">
        <v>556</v>
      </c>
      <c r="P2199" s="216">
        <v>75000</v>
      </c>
      <c r="Q2199" s="217" t="s">
        <v>16</v>
      </c>
      <c r="R2199" s="217" t="s">
        <v>62</v>
      </c>
      <c r="S2199" s="218">
        <v>0.29386816967619123</v>
      </c>
      <c r="T2199" t="s">
        <v>550</v>
      </c>
      <c r="U2199" t="s">
        <v>51</v>
      </c>
      <c r="V2199" s="219">
        <v>0</v>
      </c>
      <c r="W2199" s="219">
        <v>0</v>
      </c>
    </row>
    <row r="2200" spans="1:23" ht="15" customHeight="1" x14ac:dyDescent="0.25">
      <c r="A2200" t="s">
        <v>5155</v>
      </c>
      <c r="B2200" t="s">
        <v>546</v>
      </c>
      <c r="C2200">
        <v>100000</v>
      </c>
      <c r="D2200" t="s">
        <v>5149</v>
      </c>
      <c r="E2200" t="s">
        <v>553</v>
      </c>
      <c r="F2200" t="s">
        <v>554</v>
      </c>
      <c r="G2200" s="30">
        <v>46147</v>
      </c>
      <c r="H2200" t="s">
        <v>5150</v>
      </c>
      <c r="I2200">
        <v>3515879.25</v>
      </c>
      <c r="J2200" s="123">
        <v>46147</v>
      </c>
      <c r="K2200" s="123">
        <v>0</v>
      </c>
      <c r="L2200" s="123">
        <v>46147</v>
      </c>
      <c r="M2200">
        <v>0</v>
      </c>
      <c r="N2200">
        <v>0</v>
      </c>
      <c r="O2200" t="s">
        <v>556</v>
      </c>
      <c r="P2200" s="216">
        <v>100000</v>
      </c>
      <c r="Q2200" s="217" t="s">
        <v>16</v>
      </c>
      <c r="R2200" s="217" t="s">
        <v>554</v>
      </c>
      <c r="S2200" s="218">
        <v>0.29386816967619123</v>
      </c>
      <c r="T2200" t="s">
        <v>550</v>
      </c>
      <c r="U2200" t="s">
        <v>51</v>
      </c>
      <c r="V2200" s="219" t="s">
        <v>7052</v>
      </c>
      <c r="W2200" s="219" t="s">
        <v>67</v>
      </c>
    </row>
    <row r="2201" spans="1:23" ht="15" customHeight="1" x14ac:dyDescent="0.25">
      <c r="A2201" t="s">
        <v>5156</v>
      </c>
      <c r="B2201" t="s">
        <v>546</v>
      </c>
      <c r="C2201">
        <v>120000</v>
      </c>
      <c r="D2201" t="s">
        <v>5149</v>
      </c>
      <c r="E2201" t="s">
        <v>553</v>
      </c>
      <c r="F2201" t="s">
        <v>554</v>
      </c>
      <c r="G2201" s="30">
        <v>46148</v>
      </c>
      <c r="H2201" t="s">
        <v>5150</v>
      </c>
      <c r="I2201">
        <v>3515879.25</v>
      </c>
      <c r="J2201" s="123">
        <v>46148</v>
      </c>
      <c r="K2201" s="123">
        <v>0</v>
      </c>
      <c r="L2201" s="123">
        <v>46148</v>
      </c>
      <c r="M2201">
        <v>0</v>
      </c>
      <c r="N2201">
        <v>0</v>
      </c>
      <c r="O2201" t="s">
        <v>556</v>
      </c>
      <c r="P2201" s="216">
        <v>120000</v>
      </c>
      <c r="Q2201" s="217" t="s">
        <v>16</v>
      </c>
      <c r="R2201" s="217" t="s">
        <v>554</v>
      </c>
      <c r="S2201" s="218">
        <v>0.29386816967619123</v>
      </c>
      <c r="T2201" t="s">
        <v>550</v>
      </c>
      <c r="U2201" t="s">
        <v>51</v>
      </c>
      <c r="V2201" s="219" t="s">
        <v>7053</v>
      </c>
      <c r="W2201" s="219" t="s">
        <v>67</v>
      </c>
    </row>
    <row r="2202" spans="1:23" ht="15" customHeight="1" x14ac:dyDescent="0.25">
      <c r="A2202" t="s">
        <v>5157</v>
      </c>
      <c r="B2202" t="s">
        <v>546</v>
      </c>
      <c r="C2202">
        <v>20991</v>
      </c>
      <c r="D2202" t="s">
        <v>5149</v>
      </c>
      <c r="E2202" t="s">
        <v>553</v>
      </c>
      <c r="F2202" t="s">
        <v>548</v>
      </c>
      <c r="G2202" s="30">
        <v>46149</v>
      </c>
      <c r="H2202" t="s">
        <v>5150</v>
      </c>
      <c r="I2202">
        <v>3515879.25</v>
      </c>
      <c r="J2202" s="123">
        <v>46149</v>
      </c>
      <c r="K2202" s="123">
        <v>0</v>
      </c>
      <c r="L2202" s="123">
        <v>46149</v>
      </c>
      <c r="M2202">
        <v>0</v>
      </c>
      <c r="N2202">
        <v>0</v>
      </c>
      <c r="O2202" t="s">
        <v>556</v>
      </c>
      <c r="P2202" s="216">
        <v>20991</v>
      </c>
      <c r="Q2202" s="217" t="s">
        <v>16</v>
      </c>
      <c r="R2202" s="217" t="s">
        <v>62</v>
      </c>
      <c r="S2202" s="218">
        <v>0.29386816967619123</v>
      </c>
      <c r="T2202" t="s">
        <v>550</v>
      </c>
      <c r="U2202" t="s">
        <v>51</v>
      </c>
      <c r="V2202" s="219">
        <v>0</v>
      </c>
      <c r="W2202" s="219">
        <v>0</v>
      </c>
    </row>
    <row r="2203" spans="1:23" ht="15" customHeight="1" x14ac:dyDescent="0.25">
      <c r="A2203" t="s">
        <v>5158</v>
      </c>
      <c r="B2203" t="s">
        <v>575</v>
      </c>
      <c r="C2203">
        <v>163767</v>
      </c>
      <c r="D2203" t="s">
        <v>5159</v>
      </c>
      <c r="E2203" t="s">
        <v>168</v>
      </c>
      <c r="F2203" t="s">
        <v>554</v>
      </c>
      <c r="G2203" s="30">
        <v>46146</v>
      </c>
      <c r="H2203" t="s">
        <v>5160</v>
      </c>
      <c r="I2203">
        <v>1671093.75</v>
      </c>
      <c r="J2203" s="123">
        <v>0</v>
      </c>
      <c r="K2203" s="123">
        <v>0</v>
      </c>
      <c r="L2203" s="123">
        <v>46145</v>
      </c>
      <c r="M2203">
        <v>0</v>
      </c>
      <c r="N2203">
        <v>0</v>
      </c>
      <c r="O2203">
        <v>0</v>
      </c>
      <c r="P2203" s="216">
        <v>163767</v>
      </c>
      <c r="Q2203" s="217" t="s">
        <v>16</v>
      </c>
      <c r="R2203" s="217" t="s">
        <v>554</v>
      </c>
      <c r="S2203" s="218">
        <v>0.30068225449827135</v>
      </c>
      <c r="T2203" t="s">
        <v>550</v>
      </c>
      <c r="U2203" t="s">
        <v>51</v>
      </c>
      <c r="V2203" s="219" t="s">
        <v>7054</v>
      </c>
      <c r="W2203" s="219" t="s">
        <v>67</v>
      </c>
    </row>
    <row r="2204" spans="1:23" ht="15" customHeight="1" x14ac:dyDescent="0.25">
      <c r="A2204" t="s">
        <v>5161</v>
      </c>
      <c r="B2204" t="s">
        <v>595</v>
      </c>
      <c r="C2204">
        <v>50455</v>
      </c>
      <c r="D2204" t="s">
        <v>5162</v>
      </c>
      <c r="E2204" t="s">
        <v>307</v>
      </c>
      <c r="F2204" t="s">
        <v>580</v>
      </c>
      <c r="G2204" s="30">
        <v>46149</v>
      </c>
      <c r="H2204" t="s">
        <v>5163</v>
      </c>
      <c r="I2204">
        <v>4541004</v>
      </c>
      <c r="J2204" s="123">
        <v>0</v>
      </c>
      <c r="K2204" s="123">
        <v>0</v>
      </c>
      <c r="L2204" s="123">
        <v>46080</v>
      </c>
      <c r="M2204">
        <v>0</v>
      </c>
      <c r="N2204">
        <v>0</v>
      </c>
      <c r="O2204">
        <v>0</v>
      </c>
      <c r="P2204" s="216">
        <v>50455</v>
      </c>
      <c r="Q2204" s="217" t="s">
        <v>49</v>
      </c>
      <c r="R2204" s="217" t="s">
        <v>582</v>
      </c>
      <c r="S2204" s="218">
        <v>0.22222266265345725</v>
      </c>
      <c r="T2204" t="s">
        <v>550</v>
      </c>
      <c r="U2204" t="s">
        <v>51</v>
      </c>
      <c r="V2204" s="219">
        <v>0</v>
      </c>
      <c r="W2204" s="219">
        <v>0</v>
      </c>
    </row>
    <row r="2205" spans="1:23" ht="15" customHeight="1" x14ac:dyDescent="0.25">
      <c r="A2205" t="s">
        <v>5164</v>
      </c>
      <c r="B2205" t="s">
        <v>575</v>
      </c>
      <c r="C2205">
        <v>172031</v>
      </c>
      <c r="D2205" t="s">
        <v>5165</v>
      </c>
      <c r="E2205" t="s">
        <v>168</v>
      </c>
      <c r="F2205" t="s">
        <v>554</v>
      </c>
      <c r="G2205" s="30">
        <v>46146</v>
      </c>
      <c r="H2205" t="s">
        <v>5166</v>
      </c>
      <c r="I2205">
        <v>1720309.5</v>
      </c>
      <c r="J2205" s="123">
        <v>0</v>
      </c>
      <c r="K2205" s="123">
        <v>0</v>
      </c>
      <c r="L2205" s="123">
        <v>46144</v>
      </c>
      <c r="M2205">
        <v>0</v>
      </c>
      <c r="N2205">
        <v>0</v>
      </c>
      <c r="O2205">
        <v>0</v>
      </c>
      <c r="P2205" s="216">
        <v>172031</v>
      </c>
      <c r="Q2205" s="217" t="s">
        <v>16</v>
      </c>
      <c r="R2205" s="217" t="s">
        <v>554</v>
      </c>
      <c r="S2205" s="218">
        <v>0.30307508619815215</v>
      </c>
      <c r="T2205" t="s">
        <v>550</v>
      </c>
      <c r="U2205" t="s">
        <v>51</v>
      </c>
      <c r="V2205" s="219" t="s">
        <v>7055</v>
      </c>
      <c r="W2205" s="219" t="s">
        <v>67</v>
      </c>
    </row>
    <row r="2206" spans="1:23" ht="15" customHeight="1" x14ac:dyDescent="0.25">
      <c r="A2206" t="s">
        <v>5167</v>
      </c>
      <c r="B2206" t="s">
        <v>575</v>
      </c>
      <c r="C2206">
        <v>214728</v>
      </c>
      <c r="D2206" t="s">
        <v>5168</v>
      </c>
      <c r="E2206" t="s">
        <v>168</v>
      </c>
      <c r="F2206" t="s">
        <v>580</v>
      </c>
      <c r="G2206" s="30">
        <v>46149</v>
      </c>
      <c r="H2206" t="s">
        <v>5169</v>
      </c>
      <c r="I2206">
        <v>2147817</v>
      </c>
      <c r="J2206" s="123">
        <v>0</v>
      </c>
      <c r="K2206" s="123">
        <v>0</v>
      </c>
      <c r="L2206" s="123">
        <v>46144</v>
      </c>
      <c r="M2206">
        <v>0</v>
      </c>
      <c r="N2206">
        <v>0</v>
      </c>
      <c r="O2206">
        <v>0</v>
      </c>
      <c r="P2206" s="216">
        <v>214728</v>
      </c>
      <c r="Q2206" s="217" t="s">
        <v>16</v>
      </c>
      <c r="R2206" s="217" t="s">
        <v>582</v>
      </c>
      <c r="S2206" s="218">
        <v>0.2</v>
      </c>
      <c r="T2206" t="s">
        <v>550</v>
      </c>
      <c r="U2206" t="s">
        <v>51</v>
      </c>
      <c r="V2206" s="219">
        <v>0</v>
      </c>
      <c r="W2206" s="219">
        <v>0</v>
      </c>
    </row>
    <row r="2207" spans="1:23" ht="15" customHeight="1" x14ac:dyDescent="0.25">
      <c r="A2207" t="s">
        <v>5170</v>
      </c>
      <c r="B2207" t="s">
        <v>546</v>
      </c>
      <c r="C2207">
        <v>2000</v>
      </c>
      <c r="D2207" t="s">
        <v>5171</v>
      </c>
      <c r="E2207" t="s">
        <v>5172</v>
      </c>
      <c r="F2207" t="s">
        <v>548</v>
      </c>
      <c r="G2207" s="30">
        <v>46147</v>
      </c>
      <c r="H2207" t="s">
        <v>5173</v>
      </c>
      <c r="I2207">
        <v>1778038.45</v>
      </c>
      <c r="J2207" s="123">
        <v>0</v>
      </c>
      <c r="K2207" s="123">
        <v>0</v>
      </c>
      <c r="L2207" s="123">
        <v>0</v>
      </c>
      <c r="M2207">
        <v>0</v>
      </c>
      <c r="N2207">
        <v>0</v>
      </c>
      <c r="O2207">
        <v>0</v>
      </c>
      <c r="P2207" s="216">
        <v>2000</v>
      </c>
      <c r="Q2207" s="217" t="s">
        <v>49</v>
      </c>
      <c r="R2207" s="217" t="s">
        <v>62</v>
      </c>
      <c r="S2207" s="218">
        <v>0.20067338813736002</v>
      </c>
      <c r="T2207" t="s">
        <v>550</v>
      </c>
      <c r="U2207" t="s">
        <v>51</v>
      </c>
      <c r="V2207" s="219">
        <v>0</v>
      </c>
      <c r="W2207" s="219">
        <v>0</v>
      </c>
    </row>
    <row r="2208" spans="1:23" ht="15" customHeight="1" x14ac:dyDescent="0.25">
      <c r="A2208" t="s">
        <v>5174</v>
      </c>
      <c r="B2208" t="s">
        <v>546</v>
      </c>
      <c r="C2208">
        <v>2000</v>
      </c>
      <c r="D2208" t="s">
        <v>5171</v>
      </c>
      <c r="E2208" t="s">
        <v>5172</v>
      </c>
      <c r="F2208" t="s">
        <v>554</v>
      </c>
      <c r="G2208" s="30">
        <v>46147</v>
      </c>
      <c r="H2208" t="s">
        <v>5173</v>
      </c>
      <c r="I2208">
        <v>1778038.45</v>
      </c>
      <c r="J2208" s="123">
        <v>0</v>
      </c>
      <c r="K2208" s="123">
        <v>0</v>
      </c>
      <c r="L2208" s="123">
        <v>0</v>
      </c>
      <c r="M2208">
        <v>0</v>
      </c>
      <c r="N2208">
        <v>0</v>
      </c>
      <c r="O2208">
        <v>0</v>
      </c>
      <c r="P2208" s="216">
        <v>2000</v>
      </c>
      <c r="Q2208" s="217" t="s">
        <v>49</v>
      </c>
      <c r="R2208" s="217" t="s">
        <v>554</v>
      </c>
      <c r="S2208" s="218">
        <v>0.20067338813736002</v>
      </c>
      <c r="T2208" t="s">
        <v>550</v>
      </c>
      <c r="U2208" t="s">
        <v>51</v>
      </c>
      <c r="V2208" s="219" t="s">
        <v>7056</v>
      </c>
      <c r="W2208" s="219" t="s">
        <v>67</v>
      </c>
    </row>
    <row r="2209" spans="1:23" ht="15" customHeight="1" x14ac:dyDescent="0.25">
      <c r="A2209" t="s">
        <v>5175</v>
      </c>
      <c r="B2209" t="s">
        <v>546</v>
      </c>
      <c r="C2209">
        <v>5000</v>
      </c>
      <c r="D2209" t="s">
        <v>5176</v>
      </c>
      <c r="E2209" t="s">
        <v>248</v>
      </c>
      <c r="F2209" t="s">
        <v>554</v>
      </c>
      <c r="G2209" s="30">
        <v>46144</v>
      </c>
      <c r="H2209" t="s">
        <v>5177</v>
      </c>
      <c r="I2209">
        <v>1729131.6</v>
      </c>
      <c r="J2209" s="123">
        <v>0</v>
      </c>
      <c r="K2209" s="123">
        <v>0</v>
      </c>
      <c r="L2209" s="123">
        <v>0</v>
      </c>
      <c r="M2209">
        <v>0</v>
      </c>
      <c r="N2209">
        <v>0</v>
      </c>
      <c r="O2209">
        <v>0</v>
      </c>
      <c r="P2209" s="216">
        <v>5000</v>
      </c>
      <c r="Q2209" s="217" t="s">
        <v>30</v>
      </c>
      <c r="R2209" s="217" t="s">
        <v>554</v>
      </c>
      <c r="S2209" s="218">
        <v>0.21740783639602676</v>
      </c>
      <c r="T2209" t="s">
        <v>550</v>
      </c>
      <c r="U2209" t="s">
        <v>51</v>
      </c>
      <c r="V2209" s="219" t="s">
        <v>7057</v>
      </c>
      <c r="W2209" s="219" t="s">
        <v>67</v>
      </c>
    </row>
    <row r="2210" spans="1:23" ht="15" customHeight="1" x14ac:dyDescent="0.25">
      <c r="A2210" t="s">
        <v>5178</v>
      </c>
      <c r="B2210" t="s">
        <v>546</v>
      </c>
      <c r="C2210">
        <v>5000</v>
      </c>
      <c r="D2210" t="s">
        <v>5176</v>
      </c>
      <c r="E2210" t="s">
        <v>248</v>
      </c>
      <c r="F2210" t="s">
        <v>554</v>
      </c>
      <c r="G2210" s="30">
        <v>46144</v>
      </c>
      <c r="H2210" t="s">
        <v>5177</v>
      </c>
      <c r="I2210">
        <v>1729131.6</v>
      </c>
      <c r="J2210" s="123">
        <v>0</v>
      </c>
      <c r="K2210" s="123">
        <v>0</v>
      </c>
      <c r="L2210" s="123">
        <v>0</v>
      </c>
      <c r="M2210">
        <v>0</v>
      </c>
      <c r="N2210">
        <v>0</v>
      </c>
      <c r="O2210">
        <v>0</v>
      </c>
      <c r="P2210" s="216">
        <v>5000</v>
      </c>
      <c r="Q2210" s="217" t="s">
        <v>30</v>
      </c>
      <c r="R2210" s="217" t="s">
        <v>554</v>
      </c>
      <c r="S2210" s="218">
        <v>0.21740783639602676</v>
      </c>
      <c r="T2210" t="s">
        <v>550</v>
      </c>
      <c r="U2210" t="s">
        <v>51</v>
      </c>
      <c r="V2210" s="219" t="s">
        <v>7058</v>
      </c>
      <c r="W2210" s="219" t="s">
        <v>67</v>
      </c>
    </row>
    <row r="2211" spans="1:23" ht="15" customHeight="1" x14ac:dyDescent="0.25">
      <c r="A2211" t="s">
        <v>5179</v>
      </c>
      <c r="B2211" t="s">
        <v>546</v>
      </c>
      <c r="C2211">
        <v>100</v>
      </c>
      <c r="D2211" t="s">
        <v>5176</v>
      </c>
      <c r="E2211" t="s">
        <v>248</v>
      </c>
      <c r="F2211" t="s">
        <v>554</v>
      </c>
      <c r="G2211" s="30">
        <v>46144</v>
      </c>
      <c r="H2211" t="s">
        <v>5177</v>
      </c>
      <c r="I2211">
        <v>1729131.6</v>
      </c>
      <c r="J2211" s="123">
        <v>0</v>
      </c>
      <c r="K2211" s="123">
        <v>0</v>
      </c>
      <c r="L2211" s="123">
        <v>0</v>
      </c>
      <c r="M2211">
        <v>0</v>
      </c>
      <c r="N2211">
        <v>0</v>
      </c>
      <c r="O2211">
        <v>0</v>
      </c>
      <c r="P2211" s="216">
        <v>100</v>
      </c>
      <c r="Q2211" s="217" t="s">
        <v>30</v>
      </c>
      <c r="R2211" s="217" t="s">
        <v>554</v>
      </c>
      <c r="S2211" s="218">
        <v>0.21740783639602676</v>
      </c>
      <c r="T2211" t="s">
        <v>550</v>
      </c>
      <c r="U2211" t="s">
        <v>51</v>
      </c>
      <c r="V2211" s="219" t="s">
        <v>7059</v>
      </c>
      <c r="W2211" s="219" t="s">
        <v>67</v>
      </c>
    </row>
    <row r="2212" spans="1:23" ht="15" customHeight="1" x14ac:dyDescent="0.25">
      <c r="A2212" t="s">
        <v>5180</v>
      </c>
      <c r="B2212" t="s">
        <v>546</v>
      </c>
      <c r="C2212">
        <v>10000</v>
      </c>
      <c r="D2212" t="s">
        <v>5176</v>
      </c>
      <c r="E2212" t="s">
        <v>248</v>
      </c>
      <c r="F2212" t="s">
        <v>554</v>
      </c>
      <c r="G2212" s="30">
        <v>46146</v>
      </c>
      <c r="H2212" t="s">
        <v>5177</v>
      </c>
      <c r="I2212">
        <v>1729131.6</v>
      </c>
      <c r="J2212" s="123">
        <v>0</v>
      </c>
      <c r="K2212" s="123">
        <v>0</v>
      </c>
      <c r="L2212" s="123">
        <v>0</v>
      </c>
      <c r="M2212">
        <v>0</v>
      </c>
      <c r="N2212">
        <v>0</v>
      </c>
      <c r="O2212">
        <v>0</v>
      </c>
      <c r="P2212" s="216">
        <v>10000</v>
      </c>
      <c r="Q2212" s="217" t="s">
        <v>30</v>
      </c>
      <c r="R2212" s="217" t="s">
        <v>554</v>
      </c>
      <c r="S2212" s="218">
        <v>0.21740783639602676</v>
      </c>
      <c r="T2212" t="s">
        <v>550</v>
      </c>
      <c r="U2212" t="s">
        <v>51</v>
      </c>
      <c r="V2212" s="219" t="s">
        <v>7060</v>
      </c>
      <c r="W2212" s="219" t="s">
        <v>67</v>
      </c>
    </row>
    <row r="2213" spans="1:23" ht="15" customHeight="1" x14ac:dyDescent="0.25">
      <c r="A2213" t="s">
        <v>5181</v>
      </c>
      <c r="B2213" t="s">
        <v>546</v>
      </c>
      <c r="C2213">
        <v>5000</v>
      </c>
      <c r="D2213" t="s">
        <v>5176</v>
      </c>
      <c r="E2213" t="s">
        <v>248</v>
      </c>
      <c r="F2213" t="s">
        <v>548</v>
      </c>
      <c r="G2213" s="30">
        <v>46146</v>
      </c>
      <c r="H2213" t="s">
        <v>5177</v>
      </c>
      <c r="I2213">
        <v>1729131.6</v>
      </c>
      <c r="J2213" s="123">
        <v>0</v>
      </c>
      <c r="K2213" s="123">
        <v>0</v>
      </c>
      <c r="L2213" s="123">
        <v>0</v>
      </c>
      <c r="M2213">
        <v>0</v>
      </c>
      <c r="N2213">
        <v>0</v>
      </c>
      <c r="O2213">
        <v>0</v>
      </c>
      <c r="P2213" s="216">
        <v>5000</v>
      </c>
      <c r="Q2213" s="217" t="s">
        <v>30</v>
      </c>
      <c r="R2213" s="217" t="s">
        <v>62</v>
      </c>
      <c r="S2213" s="218">
        <v>0.21740783639602676</v>
      </c>
      <c r="T2213" t="s">
        <v>550</v>
      </c>
      <c r="U2213" t="s">
        <v>51</v>
      </c>
      <c r="V2213" s="219">
        <v>0</v>
      </c>
      <c r="W2213" s="219">
        <v>0</v>
      </c>
    </row>
    <row r="2214" spans="1:23" ht="15" customHeight="1" x14ac:dyDescent="0.25">
      <c r="A2214" t="s">
        <v>5182</v>
      </c>
      <c r="B2214" t="s">
        <v>546</v>
      </c>
      <c r="C2214">
        <v>10000</v>
      </c>
      <c r="D2214" t="s">
        <v>5176</v>
      </c>
      <c r="E2214" t="s">
        <v>248</v>
      </c>
      <c r="F2214" t="s">
        <v>548</v>
      </c>
      <c r="G2214" s="30">
        <v>46146</v>
      </c>
      <c r="H2214" t="s">
        <v>5177</v>
      </c>
      <c r="I2214">
        <v>1729131.6</v>
      </c>
      <c r="J2214" s="123">
        <v>0</v>
      </c>
      <c r="K2214" s="123">
        <v>0</v>
      </c>
      <c r="L2214" s="123">
        <v>0</v>
      </c>
      <c r="M2214">
        <v>0</v>
      </c>
      <c r="N2214">
        <v>0</v>
      </c>
      <c r="O2214">
        <v>0</v>
      </c>
      <c r="P2214" s="216">
        <v>10000</v>
      </c>
      <c r="Q2214" s="217" t="s">
        <v>30</v>
      </c>
      <c r="R2214" s="217" t="s">
        <v>62</v>
      </c>
      <c r="S2214" s="218">
        <v>0.21740783639602676</v>
      </c>
      <c r="T2214" t="s">
        <v>550</v>
      </c>
      <c r="U2214" t="s">
        <v>51</v>
      </c>
      <c r="V2214" s="219">
        <v>0</v>
      </c>
      <c r="W2214" s="219">
        <v>0</v>
      </c>
    </row>
    <row r="2215" spans="1:23" ht="15" customHeight="1" x14ac:dyDescent="0.25">
      <c r="A2215" t="s">
        <v>5183</v>
      </c>
      <c r="B2215" t="s">
        <v>546</v>
      </c>
      <c r="C2215">
        <v>15000</v>
      </c>
      <c r="D2215" t="s">
        <v>5176</v>
      </c>
      <c r="E2215" t="s">
        <v>248</v>
      </c>
      <c r="F2215" t="s">
        <v>548</v>
      </c>
      <c r="G2215" s="30">
        <v>46146</v>
      </c>
      <c r="H2215" t="s">
        <v>5177</v>
      </c>
      <c r="I2215">
        <v>1729131.6</v>
      </c>
      <c r="J2215" s="123">
        <v>0</v>
      </c>
      <c r="K2215" s="123">
        <v>0</v>
      </c>
      <c r="L2215" s="123">
        <v>0</v>
      </c>
      <c r="M2215">
        <v>0</v>
      </c>
      <c r="N2215">
        <v>0</v>
      </c>
      <c r="O2215">
        <v>0</v>
      </c>
      <c r="P2215" s="216">
        <v>15000</v>
      </c>
      <c r="Q2215" s="217" t="s">
        <v>30</v>
      </c>
      <c r="R2215" s="217" t="s">
        <v>62</v>
      </c>
      <c r="S2215" s="218">
        <v>0.21740783639602676</v>
      </c>
      <c r="T2215" t="s">
        <v>550</v>
      </c>
      <c r="U2215" t="s">
        <v>51</v>
      </c>
      <c r="V2215" s="219">
        <v>0</v>
      </c>
      <c r="W2215" s="219">
        <v>0</v>
      </c>
    </row>
    <row r="2216" spans="1:23" ht="15" customHeight="1" x14ac:dyDescent="0.25">
      <c r="A2216" t="s">
        <v>5184</v>
      </c>
      <c r="B2216" t="s">
        <v>546</v>
      </c>
      <c r="C2216">
        <v>10000</v>
      </c>
      <c r="D2216" t="s">
        <v>5176</v>
      </c>
      <c r="E2216" t="s">
        <v>248</v>
      </c>
      <c r="F2216" t="s">
        <v>554</v>
      </c>
      <c r="G2216" s="30">
        <v>46146</v>
      </c>
      <c r="H2216" t="s">
        <v>5177</v>
      </c>
      <c r="I2216">
        <v>1729131.6</v>
      </c>
      <c r="J2216" s="123">
        <v>0</v>
      </c>
      <c r="K2216" s="123">
        <v>0</v>
      </c>
      <c r="L2216" s="123">
        <v>0</v>
      </c>
      <c r="M2216">
        <v>0</v>
      </c>
      <c r="N2216">
        <v>0</v>
      </c>
      <c r="O2216">
        <v>0</v>
      </c>
      <c r="P2216" s="216">
        <v>10000</v>
      </c>
      <c r="Q2216" s="217" t="s">
        <v>30</v>
      </c>
      <c r="R2216" s="217" t="s">
        <v>554</v>
      </c>
      <c r="S2216" s="218">
        <v>0.21740783639602676</v>
      </c>
      <c r="T2216" t="s">
        <v>550</v>
      </c>
      <c r="U2216" t="s">
        <v>51</v>
      </c>
      <c r="V2216" s="219" t="s">
        <v>7061</v>
      </c>
      <c r="W2216" s="219" t="s">
        <v>67</v>
      </c>
    </row>
    <row r="2217" spans="1:23" ht="15" customHeight="1" x14ac:dyDescent="0.25">
      <c r="A2217" t="s">
        <v>5185</v>
      </c>
      <c r="B2217" t="s">
        <v>546</v>
      </c>
      <c r="C2217">
        <v>15000</v>
      </c>
      <c r="D2217" t="s">
        <v>5176</v>
      </c>
      <c r="E2217" t="s">
        <v>248</v>
      </c>
      <c r="F2217" t="s">
        <v>548</v>
      </c>
      <c r="G2217" s="30">
        <v>46147</v>
      </c>
      <c r="H2217" t="s">
        <v>5177</v>
      </c>
      <c r="I2217">
        <v>1729131.6</v>
      </c>
      <c r="J2217" s="123">
        <v>0</v>
      </c>
      <c r="K2217" s="123">
        <v>0</v>
      </c>
      <c r="L2217" s="123">
        <v>0</v>
      </c>
      <c r="M2217">
        <v>0</v>
      </c>
      <c r="N2217">
        <v>0</v>
      </c>
      <c r="O2217">
        <v>0</v>
      </c>
      <c r="P2217" s="216">
        <v>15000</v>
      </c>
      <c r="Q2217" s="217" t="s">
        <v>30</v>
      </c>
      <c r="R2217" s="217" t="s">
        <v>62</v>
      </c>
      <c r="S2217" s="218">
        <v>0.21740783639602676</v>
      </c>
      <c r="T2217" t="s">
        <v>550</v>
      </c>
      <c r="U2217" t="s">
        <v>51</v>
      </c>
      <c r="V2217" s="219">
        <v>0</v>
      </c>
      <c r="W2217" s="219">
        <v>0</v>
      </c>
    </row>
    <row r="2218" spans="1:23" ht="15" customHeight="1" x14ac:dyDescent="0.25">
      <c r="A2218" t="s">
        <v>5186</v>
      </c>
      <c r="B2218" t="s">
        <v>546</v>
      </c>
      <c r="C2218">
        <v>20000</v>
      </c>
      <c r="D2218" t="s">
        <v>5176</v>
      </c>
      <c r="E2218" t="s">
        <v>248</v>
      </c>
      <c r="F2218" t="s">
        <v>548</v>
      </c>
      <c r="G2218" s="30">
        <v>46147</v>
      </c>
      <c r="H2218" t="s">
        <v>5177</v>
      </c>
      <c r="I2218">
        <v>1729131.6</v>
      </c>
      <c r="J2218" s="123">
        <v>0</v>
      </c>
      <c r="K2218" s="123">
        <v>0</v>
      </c>
      <c r="L2218" s="123">
        <v>0</v>
      </c>
      <c r="M2218">
        <v>0</v>
      </c>
      <c r="N2218">
        <v>0</v>
      </c>
      <c r="O2218">
        <v>0</v>
      </c>
      <c r="P2218" s="216">
        <v>20000</v>
      </c>
      <c r="Q2218" s="217" t="s">
        <v>30</v>
      </c>
      <c r="R2218" s="217" t="s">
        <v>62</v>
      </c>
      <c r="S2218" s="218">
        <v>0.21740783639602676</v>
      </c>
      <c r="T2218" t="s">
        <v>550</v>
      </c>
      <c r="U2218" t="s">
        <v>51</v>
      </c>
      <c r="V2218" s="219">
        <v>0</v>
      </c>
      <c r="W2218" s="219">
        <v>0</v>
      </c>
    </row>
    <row r="2219" spans="1:23" ht="15" customHeight="1" x14ac:dyDescent="0.25">
      <c r="A2219" t="s">
        <v>5187</v>
      </c>
      <c r="B2219" t="s">
        <v>546</v>
      </c>
      <c r="C2219">
        <v>10000</v>
      </c>
      <c r="D2219" t="s">
        <v>5176</v>
      </c>
      <c r="E2219" t="s">
        <v>248</v>
      </c>
      <c r="F2219" t="s">
        <v>548</v>
      </c>
      <c r="G2219" s="30">
        <v>46147</v>
      </c>
      <c r="H2219" t="s">
        <v>5177</v>
      </c>
      <c r="I2219">
        <v>1729131.6</v>
      </c>
      <c r="J2219" s="123">
        <v>0</v>
      </c>
      <c r="K2219" s="123">
        <v>0</v>
      </c>
      <c r="L2219" s="123">
        <v>0</v>
      </c>
      <c r="M2219">
        <v>0</v>
      </c>
      <c r="N2219">
        <v>0</v>
      </c>
      <c r="O2219">
        <v>0</v>
      </c>
      <c r="P2219" s="216">
        <v>10000</v>
      </c>
      <c r="Q2219" s="217" t="s">
        <v>30</v>
      </c>
      <c r="R2219" s="217" t="s">
        <v>62</v>
      </c>
      <c r="S2219" s="218">
        <v>0.21740783639602676</v>
      </c>
      <c r="T2219" t="s">
        <v>550</v>
      </c>
      <c r="U2219" t="s">
        <v>51</v>
      </c>
      <c r="V2219" s="219">
        <v>0</v>
      </c>
      <c r="W2219" s="219">
        <v>0</v>
      </c>
    </row>
    <row r="2220" spans="1:23" ht="15" customHeight="1" x14ac:dyDescent="0.25">
      <c r="A2220" t="s">
        <v>5188</v>
      </c>
      <c r="B2220" t="s">
        <v>546</v>
      </c>
      <c r="C2220">
        <v>15000</v>
      </c>
      <c r="D2220" t="s">
        <v>5176</v>
      </c>
      <c r="E2220" t="s">
        <v>248</v>
      </c>
      <c r="F2220" t="s">
        <v>548</v>
      </c>
      <c r="G2220" s="30">
        <v>46147</v>
      </c>
      <c r="H2220" t="s">
        <v>5177</v>
      </c>
      <c r="I2220">
        <v>1729131.6</v>
      </c>
      <c r="J2220" s="123">
        <v>0</v>
      </c>
      <c r="K2220" s="123">
        <v>0</v>
      </c>
      <c r="L2220" s="123">
        <v>0</v>
      </c>
      <c r="M2220">
        <v>0</v>
      </c>
      <c r="N2220">
        <v>0</v>
      </c>
      <c r="O2220">
        <v>0</v>
      </c>
      <c r="P2220" s="216">
        <v>15000</v>
      </c>
      <c r="Q2220" s="217" t="s">
        <v>30</v>
      </c>
      <c r="R2220" s="217" t="s">
        <v>62</v>
      </c>
      <c r="S2220" s="218">
        <v>0.21740783639602676</v>
      </c>
      <c r="T2220" t="s">
        <v>550</v>
      </c>
      <c r="U2220" t="s">
        <v>51</v>
      </c>
      <c r="V2220" s="219">
        <v>0</v>
      </c>
      <c r="W2220" s="219">
        <v>0</v>
      </c>
    </row>
    <row r="2221" spans="1:23" ht="15" customHeight="1" x14ac:dyDescent="0.25">
      <c r="A2221" t="s">
        <v>5189</v>
      </c>
      <c r="B2221" t="s">
        <v>546</v>
      </c>
      <c r="C2221">
        <v>20000</v>
      </c>
      <c r="D2221" t="s">
        <v>5176</v>
      </c>
      <c r="E2221" t="s">
        <v>248</v>
      </c>
      <c r="F2221" t="s">
        <v>548</v>
      </c>
      <c r="G2221" s="30">
        <v>46147</v>
      </c>
      <c r="H2221" t="s">
        <v>5177</v>
      </c>
      <c r="I2221">
        <v>1729131.6</v>
      </c>
      <c r="J2221" s="123">
        <v>0</v>
      </c>
      <c r="K2221" s="123">
        <v>0</v>
      </c>
      <c r="L2221" s="123">
        <v>0</v>
      </c>
      <c r="M2221">
        <v>0</v>
      </c>
      <c r="N2221">
        <v>0</v>
      </c>
      <c r="O2221">
        <v>0</v>
      </c>
      <c r="P2221" s="216">
        <v>20000</v>
      </c>
      <c r="Q2221" s="217" t="s">
        <v>30</v>
      </c>
      <c r="R2221" s="217" t="s">
        <v>62</v>
      </c>
      <c r="S2221" s="218">
        <v>0.21740783639602676</v>
      </c>
      <c r="T2221" t="s">
        <v>550</v>
      </c>
      <c r="U2221" t="s">
        <v>51</v>
      </c>
      <c r="V2221" s="219">
        <v>0</v>
      </c>
      <c r="W2221" s="219">
        <v>0</v>
      </c>
    </row>
    <row r="2222" spans="1:23" ht="15" customHeight="1" x14ac:dyDescent="0.25">
      <c r="A2222" t="s">
        <v>5190</v>
      </c>
      <c r="B2222" t="s">
        <v>595</v>
      </c>
      <c r="C2222">
        <v>129582</v>
      </c>
      <c r="D2222" t="s">
        <v>5176</v>
      </c>
      <c r="E2222" t="s">
        <v>248</v>
      </c>
      <c r="F2222" t="s">
        <v>554</v>
      </c>
      <c r="G2222" s="30">
        <v>46147</v>
      </c>
      <c r="H2222" t="s">
        <v>5177</v>
      </c>
      <c r="I2222">
        <v>1729131.6</v>
      </c>
      <c r="J2222" s="123">
        <v>0</v>
      </c>
      <c r="K2222" s="123">
        <v>0</v>
      </c>
      <c r="L2222" s="123">
        <v>46147</v>
      </c>
      <c r="M2222">
        <v>0</v>
      </c>
      <c r="N2222">
        <v>0</v>
      </c>
      <c r="O2222">
        <v>0</v>
      </c>
      <c r="P2222" s="216">
        <v>129582</v>
      </c>
      <c r="Q2222" s="217" t="s">
        <v>30</v>
      </c>
      <c r="R2222" s="217" t="s">
        <v>554</v>
      </c>
      <c r="S2222" s="218">
        <v>0.21740783639602676</v>
      </c>
      <c r="T2222" t="s">
        <v>550</v>
      </c>
      <c r="U2222" t="s">
        <v>51</v>
      </c>
      <c r="V2222" s="219">
        <v>0</v>
      </c>
      <c r="W2222" s="219" t="s">
        <v>72</v>
      </c>
    </row>
    <row r="2223" spans="1:23" ht="15" customHeight="1" x14ac:dyDescent="0.25">
      <c r="A2223" t="s">
        <v>5191</v>
      </c>
      <c r="B2223" t="s">
        <v>546</v>
      </c>
      <c r="C2223">
        <v>10000</v>
      </c>
      <c r="D2223" t="s">
        <v>5176</v>
      </c>
      <c r="E2223" t="s">
        <v>248</v>
      </c>
      <c r="F2223" t="s">
        <v>548</v>
      </c>
      <c r="G2223" s="30">
        <v>46148</v>
      </c>
      <c r="H2223" t="s">
        <v>5177</v>
      </c>
      <c r="I2223">
        <v>1729131.6</v>
      </c>
      <c r="J2223" s="123">
        <v>0</v>
      </c>
      <c r="K2223" s="123">
        <v>0</v>
      </c>
      <c r="L2223" s="123">
        <v>0</v>
      </c>
      <c r="M2223">
        <v>0</v>
      </c>
      <c r="N2223">
        <v>0</v>
      </c>
      <c r="O2223">
        <v>0</v>
      </c>
      <c r="P2223" s="216">
        <v>10000</v>
      </c>
      <c r="Q2223" s="217" t="s">
        <v>30</v>
      </c>
      <c r="R2223" s="217" t="s">
        <v>62</v>
      </c>
      <c r="S2223" s="218">
        <v>0.21740783639602676</v>
      </c>
      <c r="T2223" t="s">
        <v>550</v>
      </c>
      <c r="U2223" t="s">
        <v>51</v>
      </c>
      <c r="V2223" s="219">
        <v>0</v>
      </c>
      <c r="W2223" s="219">
        <v>0</v>
      </c>
    </row>
    <row r="2224" spans="1:23" ht="15" customHeight="1" x14ac:dyDescent="0.25">
      <c r="A2224" t="s">
        <v>5192</v>
      </c>
      <c r="B2224" t="s">
        <v>546</v>
      </c>
      <c r="C2224">
        <v>214781.3</v>
      </c>
      <c r="D2224" t="s">
        <v>5193</v>
      </c>
      <c r="E2224" t="s">
        <v>553</v>
      </c>
      <c r="F2224" t="s">
        <v>554</v>
      </c>
      <c r="G2224" s="30">
        <v>46147</v>
      </c>
      <c r="H2224" t="s">
        <v>5194</v>
      </c>
      <c r="I2224">
        <v>2147817</v>
      </c>
      <c r="J2224" s="123">
        <v>46147</v>
      </c>
      <c r="K2224" s="123">
        <v>0</v>
      </c>
      <c r="L2224" s="123">
        <v>46147</v>
      </c>
      <c r="M2224">
        <v>0</v>
      </c>
      <c r="N2224">
        <v>0</v>
      </c>
      <c r="O2224" t="s">
        <v>556</v>
      </c>
      <c r="P2224" s="216">
        <v>214781.3</v>
      </c>
      <c r="Q2224" s="217" t="s">
        <v>16</v>
      </c>
      <c r="R2224" s="217" t="s">
        <v>554</v>
      </c>
      <c r="S2224" s="218">
        <v>0.29999995344109859</v>
      </c>
      <c r="T2224" t="s">
        <v>550</v>
      </c>
      <c r="U2224" t="s">
        <v>51</v>
      </c>
      <c r="V2224" s="219" t="s">
        <v>7062</v>
      </c>
      <c r="W2224" s="219" t="s">
        <v>67</v>
      </c>
    </row>
    <row r="2225" spans="1:23" ht="15" customHeight="1" x14ac:dyDescent="0.25">
      <c r="A2225" t="s">
        <v>5195</v>
      </c>
      <c r="B2225" t="s">
        <v>595</v>
      </c>
      <c r="C2225">
        <v>212318</v>
      </c>
      <c r="D2225" t="s">
        <v>5196</v>
      </c>
      <c r="E2225" t="s">
        <v>168</v>
      </c>
      <c r="F2225" t="s">
        <v>554</v>
      </c>
      <c r="G2225" s="30">
        <v>46146</v>
      </c>
      <c r="H2225" t="s">
        <v>5197</v>
      </c>
      <c r="I2225">
        <v>2123177.85</v>
      </c>
      <c r="J2225" s="123">
        <v>0</v>
      </c>
      <c r="K2225" s="123">
        <v>0</v>
      </c>
      <c r="L2225" s="123">
        <v>46142</v>
      </c>
      <c r="M2225">
        <v>0</v>
      </c>
      <c r="N2225">
        <v>0</v>
      </c>
      <c r="O2225">
        <v>0</v>
      </c>
      <c r="P2225" s="216">
        <v>212318</v>
      </c>
      <c r="Q2225" s="217" t="s">
        <v>16</v>
      </c>
      <c r="R2225" s="217" t="s">
        <v>554</v>
      </c>
      <c r="S2225" s="218">
        <v>0.30000030378990622</v>
      </c>
      <c r="T2225" t="s">
        <v>550</v>
      </c>
      <c r="U2225" t="s">
        <v>51</v>
      </c>
      <c r="V2225" s="219" t="s">
        <v>7063</v>
      </c>
      <c r="W2225" s="219" t="s">
        <v>67</v>
      </c>
    </row>
    <row r="2226" spans="1:23" ht="15" customHeight="1" x14ac:dyDescent="0.25">
      <c r="A2226" t="s">
        <v>5198</v>
      </c>
      <c r="B2226" t="s">
        <v>575</v>
      </c>
      <c r="C2226">
        <v>201906</v>
      </c>
      <c r="D2226" t="s">
        <v>5199</v>
      </c>
      <c r="E2226" t="s">
        <v>168</v>
      </c>
      <c r="F2226" t="s">
        <v>554</v>
      </c>
      <c r="G2226" s="30">
        <v>46147</v>
      </c>
      <c r="H2226" t="s">
        <v>5200</v>
      </c>
      <c r="I2226">
        <v>2019062.15</v>
      </c>
      <c r="J2226" s="123">
        <v>0</v>
      </c>
      <c r="K2226" s="123">
        <v>0</v>
      </c>
      <c r="L2226" s="123">
        <v>46147</v>
      </c>
      <c r="M2226">
        <v>0</v>
      </c>
      <c r="N2226">
        <v>0</v>
      </c>
      <c r="O2226">
        <v>0</v>
      </c>
      <c r="P2226" s="216">
        <v>201906</v>
      </c>
      <c r="Q2226" s="217" t="s">
        <v>16</v>
      </c>
      <c r="R2226" s="217" t="s">
        <v>554</v>
      </c>
      <c r="S2226" s="218">
        <v>0.29996824020498825</v>
      </c>
      <c r="T2226" t="s">
        <v>550</v>
      </c>
      <c r="U2226" t="s">
        <v>51</v>
      </c>
      <c r="V2226" s="219" t="s">
        <v>7064</v>
      </c>
      <c r="W2226" s="219" t="s">
        <v>67</v>
      </c>
    </row>
    <row r="2227" spans="1:23" ht="15" customHeight="1" x14ac:dyDescent="0.25">
      <c r="A2227" t="s">
        <v>5201</v>
      </c>
      <c r="B2227" t="s">
        <v>546</v>
      </c>
      <c r="C2227">
        <v>1000</v>
      </c>
      <c r="D2227" t="s">
        <v>5202</v>
      </c>
      <c r="E2227" t="s">
        <v>5203</v>
      </c>
      <c r="F2227" t="s">
        <v>554</v>
      </c>
      <c r="G2227" s="30">
        <v>46148</v>
      </c>
      <c r="H2227" t="s">
        <v>5204</v>
      </c>
      <c r="I2227">
        <v>1587079.33</v>
      </c>
      <c r="J2227" s="123">
        <v>0</v>
      </c>
      <c r="K2227" s="123">
        <v>0</v>
      </c>
      <c r="L2227" s="123">
        <v>0</v>
      </c>
      <c r="M2227">
        <v>1000</v>
      </c>
      <c r="N2227">
        <v>0</v>
      </c>
      <c r="O2227">
        <v>0</v>
      </c>
      <c r="P2227" s="216">
        <v>0</v>
      </c>
      <c r="Q2227" s="217" t="s">
        <v>9</v>
      </c>
      <c r="R2227" s="217" t="s">
        <v>554</v>
      </c>
      <c r="S2227" s="218">
        <v>0.30000075673595972</v>
      </c>
      <c r="T2227" t="s">
        <v>550</v>
      </c>
      <c r="U2227" t="s">
        <v>74</v>
      </c>
      <c r="V2227" s="219" t="s">
        <v>7065</v>
      </c>
      <c r="W2227" s="219" t="s">
        <v>67</v>
      </c>
    </row>
    <row r="2228" spans="1:23" ht="15" customHeight="1" x14ac:dyDescent="0.25">
      <c r="A2228" t="s">
        <v>5205</v>
      </c>
      <c r="B2228" t="s">
        <v>575</v>
      </c>
      <c r="C2228">
        <v>158708</v>
      </c>
      <c r="D2228" t="s">
        <v>5202</v>
      </c>
      <c r="E2228" t="s">
        <v>258</v>
      </c>
      <c r="F2228" t="s">
        <v>580</v>
      </c>
      <c r="G2228" s="30">
        <v>46148</v>
      </c>
      <c r="H2228" t="s">
        <v>5204</v>
      </c>
      <c r="I2228">
        <v>1587079.33</v>
      </c>
      <c r="J2228" s="123">
        <v>0</v>
      </c>
      <c r="K2228" s="123">
        <v>0</v>
      </c>
      <c r="L2228" s="123">
        <v>46148</v>
      </c>
      <c r="M2228">
        <v>0</v>
      </c>
      <c r="N2228">
        <v>0</v>
      </c>
      <c r="O2228">
        <v>0</v>
      </c>
      <c r="P2228" s="216">
        <v>158708</v>
      </c>
      <c r="Q2228" s="217" t="s">
        <v>9</v>
      </c>
      <c r="R2228" s="217" t="s">
        <v>582</v>
      </c>
      <c r="S2228" s="218">
        <v>0.30000075673595972</v>
      </c>
      <c r="T2228" t="s">
        <v>550</v>
      </c>
      <c r="U2228" t="s">
        <v>74</v>
      </c>
      <c r="V2228" s="219">
        <v>0</v>
      </c>
      <c r="W2228" s="219">
        <v>0</v>
      </c>
    </row>
    <row r="2229" spans="1:23" ht="15" customHeight="1" x14ac:dyDescent="0.25">
      <c r="A2229" t="s">
        <v>5206</v>
      </c>
      <c r="B2229" t="s">
        <v>595</v>
      </c>
      <c r="C2229">
        <v>178887.6</v>
      </c>
      <c r="D2229" t="s">
        <v>5207</v>
      </c>
      <c r="E2229" t="s">
        <v>258</v>
      </c>
      <c r="F2229" t="s">
        <v>580</v>
      </c>
      <c r="G2229" s="30">
        <v>46149</v>
      </c>
      <c r="H2229" t="s">
        <v>5208</v>
      </c>
      <c r="I2229">
        <v>1788875.73</v>
      </c>
      <c r="J2229" s="123">
        <v>0</v>
      </c>
      <c r="K2229" s="123">
        <v>0</v>
      </c>
      <c r="L2229" s="123">
        <v>46145</v>
      </c>
      <c r="M2229">
        <v>0</v>
      </c>
      <c r="N2229">
        <v>0</v>
      </c>
      <c r="O2229">
        <v>0</v>
      </c>
      <c r="P2229" s="216">
        <v>178887.6</v>
      </c>
      <c r="Q2229" s="217" t="s">
        <v>9</v>
      </c>
      <c r="R2229" s="217" t="s">
        <v>582</v>
      </c>
      <c r="S2229" s="218">
        <v>0.30099551409308906</v>
      </c>
      <c r="T2229" t="s">
        <v>550</v>
      </c>
      <c r="U2229" t="s">
        <v>74</v>
      </c>
      <c r="V2229" s="219">
        <v>0</v>
      </c>
      <c r="W2229" s="219">
        <v>0</v>
      </c>
    </row>
    <row r="2230" spans="1:23" ht="15" customHeight="1" x14ac:dyDescent="0.25">
      <c r="A2230" t="s">
        <v>5209</v>
      </c>
      <c r="B2230" t="s">
        <v>575</v>
      </c>
      <c r="C2230">
        <v>140470</v>
      </c>
      <c r="D2230" t="s">
        <v>5210</v>
      </c>
      <c r="E2230" t="s">
        <v>258</v>
      </c>
      <c r="F2230" t="s">
        <v>580</v>
      </c>
      <c r="G2230" s="30">
        <v>46147</v>
      </c>
      <c r="H2230" t="s">
        <v>5211</v>
      </c>
      <c r="I2230">
        <v>1404701.02</v>
      </c>
      <c r="J2230" s="123">
        <v>0</v>
      </c>
      <c r="K2230" s="123">
        <v>0</v>
      </c>
      <c r="L2230" s="123">
        <v>46147</v>
      </c>
      <c r="M2230">
        <v>0</v>
      </c>
      <c r="N2230">
        <v>0</v>
      </c>
      <c r="O2230">
        <v>0</v>
      </c>
      <c r="P2230" s="216">
        <v>140470</v>
      </c>
      <c r="Q2230" s="217" t="s">
        <v>9</v>
      </c>
      <c r="R2230" s="217" t="s">
        <v>582</v>
      </c>
      <c r="S2230" s="218">
        <v>0.30024325033949217</v>
      </c>
      <c r="T2230" t="s">
        <v>550</v>
      </c>
      <c r="U2230" t="s">
        <v>74</v>
      </c>
      <c r="V2230" s="219">
        <v>0</v>
      </c>
      <c r="W2230" s="219">
        <v>0</v>
      </c>
    </row>
    <row r="2231" spans="1:23" ht="15" customHeight="1" x14ac:dyDescent="0.25">
      <c r="A2231" t="s">
        <v>5212</v>
      </c>
      <c r="B2231" t="s">
        <v>546</v>
      </c>
      <c r="C2231">
        <v>32000</v>
      </c>
      <c r="D2231" t="s">
        <v>5213</v>
      </c>
      <c r="E2231" t="s">
        <v>553</v>
      </c>
      <c r="F2231" t="s">
        <v>554</v>
      </c>
      <c r="G2231" s="30">
        <v>46144</v>
      </c>
      <c r="H2231" t="s">
        <v>5214</v>
      </c>
      <c r="I2231">
        <v>1839810.55</v>
      </c>
      <c r="J2231" s="123">
        <v>46143</v>
      </c>
      <c r="K2231" s="123">
        <v>0</v>
      </c>
      <c r="L2231" s="123">
        <v>46143</v>
      </c>
      <c r="M2231">
        <v>0</v>
      </c>
      <c r="N2231">
        <v>0</v>
      </c>
      <c r="O2231" t="s">
        <v>556</v>
      </c>
      <c r="P2231" s="216">
        <v>32000</v>
      </c>
      <c r="Q2231" s="217" t="s">
        <v>9</v>
      </c>
      <c r="R2231" s="217" t="s">
        <v>554</v>
      </c>
      <c r="S2231" s="218">
        <v>0.36930061630530386</v>
      </c>
      <c r="T2231" t="s">
        <v>550</v>
      </c>
      <c r="U2231" t="s">
        <v>74</v>
      </c>
      <c r="V2231" s="219" t="s">
        <v>7066</v>
      </c>
      <c r="W2231" s="219" t="s">
        <v>67</v>
      </c>
    </row>
    <row r="2232" spans="1:23" ht="15" customHeight="1" x14ac:dyDescent="0.25">
      <c r="A2232" t="s">
        <v>5215</v>
      </c>
      <c r="B2232" t="s">
        <v>546</v>
      </c>
      <c r="C2232">
        <v>32500</v>
      </c>
      <c r="D2232" t="s">
        <v>5213</v>
      </c>
      <c r="E2232" t="s">
        <v>553</v>
      </c>
      <c r="F2232" t="s">
        <v>554</v>
      </c>
      <c r="G2232" s="30">
        <v>46148</v>
      </c>
      <c r="H2232" t="s">
        <v>5214</v>
      </c>
      <c r="I2232">
        <v>1839810.55</v>
      </c>
      <c r="J2232" s="123">
        <v>46148</v>
      </c>
      <c r="K2232" s="123">
        <v>0</v>
      </c>
      <c r="L2232" s="123">
        <v>46148</v>
      </c>
      <c r="M2232">
        <v>0</v>
      </c>
      <c r="N2232">
        <v>0</v>
      </c>
      <c r="O2232" t="s">
        <v>556</v>
      </c>
      <c r="P2232" s="216">
        <v>32500</v>
      </c>
      <c r="Q2232" s="217" t="s">
        <v>9</v>
      </c>
      <c r="R2232" s="217" t="s">
        <v>554</v>
      </c>
      <c r="S2232" s="218">
        <v>0.36930061630530386</v>
      </c>
      <c r="T2232" t="s">
        <v>550</v>
      </c>
      <c r="U2232" t="s">
        <v>74</v>
      </c>
      <c r="V2232" s="219" t="s">
        <v>7067</v>
      </c>
      <c r="W2232" s="219" t="s">
        <v>67</v>
      </c>
    </row>
    <row r="2233" spans="1:23" ht="15" customHeight="1" x14ac:dyDescent="0.25">
      <c r="A2233" t="s">
        <v>5216</v>
      </c>
      <c r="B2233" t="s">
        <v>575</v>
      </c>
      <c r="C2233">
        <v>183982</v>
      </c>
      <c r="D2233" t="s">
        <v>5217</v>
      </c>
      <c r="E2233" t="s">
        <v>258</v>
      </c>
      <c r="F2233" t="s">
        <v>554</v>
      </c>
      <c r="G2233" s="30">
        <v>46146</v>
      </c>
      <c r="H2233" t="s">
        <v>5218</v>
      </c>
      <c r="I2233">
        <v>1839810.55</v>
      </c>
      <c r="J2233" s="123">
        <v>0</v>
      </c>
      <c r="K2233" s="123">
        <v>0</v>
      </c>
      <c r="L2233" s="123">
        <v>46145</v>
      </c>
      <c r="M2233">
        <v>0</v>
      </c>
      <c r="N2233">
        <v>0</v>
      </c>
      <c r="O2233">
        <v>0</v>
      </c>
      <c r="P2233" s="216">
        <v>183982</v>
      </c>
      <c r="Q2233" s="217" t="s">
        <v>9</v>
      </c>
      <c r="R2233" s="217" t="s">
        <v>554</v>
      </c>
      <c r="S2233" s="218">
        <v>0.40000096749091907</v>
      </c>
      <c r="T2233" t="s">
        <v>550</v>
      </c>
      <c r="U2233" t="s">
        <v>74</v>
      </c>
      <c r="V2233" s="219" t="s">
        <v>7068</v>
      </c>
      <c r="W2233" s="219" t="s">
        <v>67</v>
      </c>
    </row>
    <row r="2234" spans="1:23" ht="15" customHeight="1" x14ac:dyDescent="0.25">
      <c r="A2234" t="s">
        <v>5219</v>
      </c>
      <c r="B2234" t="s">
        <v>546</v>
      </c>
      <c r="C2234">
        <v>10000</v>
      </c>
      <c r="D2234" t="s">
        <v>5220</v>
      </c>
      <c r="E2234" t="s">
        <v>5221</v>
      </c>
      <c r="F2234" t="s">
        <v>554</v>
      </c>
      <c r="G2234" s="30">
        <v>46143</v>
      </c>
      <c r="H2234" t="s">
        <v>5222</v>
      </c>
      <c r="I2234">
        <v>1452460.49</v>
      </c>
      <c r="J2234" s="123">
        <v>0</v>
      </c>
      <c r="K2234" s="123">
        <v>0</v>
      </c>
      <c r="L2234" s="123">
        <v>0</v>
      </c>
      <c r="M2234">
        <v>0</v>
      </c>
      <c r="N2234">
        <v>0</v>
      </c>
      <c r="O2234">
        <v>0</v>
      </c>
      <c r="P2234" s="216">
        <v>10000</v>
      </c>
      <c r="Q2234" s="217" t="s">
        <v>9</v>
      </c>
      <c r="R2234" s="217" t="s">
        <v>554</v>
      </c>
      <c r="S2234" s="218">
        <v>0.20688893231099181</v>
      </c>
      <c r="T2234" t="s">
        <v>550</v>
      </c>
      <c r="U2234" t="s">
        <v>74</v>
      </c>
      <c r="V2234" s="219" t="s">
        <v>7069</v>
      </c>
      <c r="W2234" s="219" t="s">
        <v>67</v>
      </c>
    </row>
    <row r="2235" spans="1:23" ht="15" customHeight="1" x14ac:dyDescent="0.25">
      <c r="A2235" t="s">
        <v>5223</v>
      </c>
      <c r="B2235" t="s">
        <v>546</v>
      </c>
      <c r="C2235">
        <v>154745</v>
      </c>
      <c r="D2235" t="s">
        <v>5224</v>
      </c>
      <c r="E2235" t="s">
        <v>258</v>
      </c>
      <c r="F2235" t="s">
        <v>554</v>
      </c>
      <c r="G2235" s="30">
        <v>46147</v>
      </c>
      <c r="H2235" t="s">
        <v>5225</v>
      </c>
      <c r="I2235">
        <v>1547450.38</v>
      </c>
      <c r="J2235" s="123">
        <v>0</v>
      </c>
      <c r="K2235" s="123">
        <v>0</v>
      </c>
      <c r="L2235" s="123">
        <v>0</v>
      </c>
      <c r="M2235">
        <v>0</v>
      </c>
      <c r="N2235">
        <v>0</v>
      </c>
      <c r="O2235">
        <v>0</v>
      </c>
      <c r="P2235" s="216">
        <v>154745</v>
      </c>
      <c r="Q2235" s="217" t="s">
        <v>9</v>
      </c>
      <c r="R2235" s="217" t="s">
        <v>554</v>
      </c>
      <c r="S2235" s="218">
        <v>0.3999999017739102</v>
      </c>
      <c r="T2235" t="s">
        <v>550</v>
      </c>
      <c r="U2235" t="s">
        <v>74</v>
      </c>
      <c r="V2235" s="219" t="s">
        <v>7070</v>
      </c>
      <c r="W2235" s="219" t="s">
        <v>67</v>
      </c>
    </row>
    <row r="2236" spans="1:23" ht="15" customHeight="1" x14ac:dyDescent="0.25">
      <c r="A2236" t="s">
        <v>5226</v>
      </c>
      <c r="B2236" t="s">
        <v>595</v>
      </c>
      <c r="C2236">
        <v>185000</v>
      </c>
      <c r="D2236" t="s">
        <v>5227</v>
      </c>
      <c r="E2236" t="s">
        <v>258</v>
      </c>
      <c r="F2236" t="s">
        <v>580</v>
      </c>
      <c r="G2236" s="30">
        <v>46145</v>
      </c>
      <c r="H2236" t="s">
        <v>5228</v>
      </c>
      <c r="I2236">
        <v>1835612.63</v>
      </c>
      <c r="J2236" s="123">
        <v>0</v>
      </c>
      <c r="K2236" s="123">
        <v>0</v>
      </c>
      <c r="L2236" s="123">
        <v>46145</v>
      </c>
      <c r="M2236">
        <v>0</v>
      </c>
      <c r="N2236">
        <v>0</v>
      </c>
      <c r="O2236">
        <v>0</v>
      </c>
      <c r="P2236" s="216">
        <v>185000</v>
      </c>
      <c r="Q2236" s="217" t="s">
        <v>9</v>
      </c>
      <c r="R2236" s="217" t="s">
        <v>582</v>
      </c>
      <c r="S2236" s="218">
        <v>0.30000011494799972</v>
      </c>
      <c r="T2236" t="s">
        <v>550</v>
      </c>
      <c r="U2236" t="s">
        <v>74</v>
      </c>
      <c r="V2236" s="219">
        <v>0</v>
      </c>
      <c r="W2236" s="219">
        <v>0</v>
      </c>
    </row>
    <row r="2237" spans="1:23" ht="15" customHeight="1" x14ac:dyDescent="0.25">
      <c r="A2237" t="s">
        <v>5229</v>
      </c>
      <c r="B2237" t="s">
        <v>595</v>
      </c>
      <c r="C2237">
        <v>144989.32999999999</v>
      </c>
      <c r="D2237" t="s">
        <v>5230</v>
      </c>
      <c r="E2237" t="s">
        <v>3359</v>
      </c>
      <c r="F2237" t="s">
        <v>554</v>
      </c>
      <c r="G2237" s="30">
        <v>46146</v>
      </c>
      <c r="H2237" t="s">
        <v>5231</v>
      </c>
      <c r="I2237">
        <v>1449893.3</v>
      </c>
      <c r="J2237" s="123">
        <v>0</v>
      </c>
      <c r="K2237" s="123">
        <v>0</v>
      </c>
      <c r="L2237" s="123">
        <v>46146</v>
      </c>
      <c r="M2237">
        <v>0</v>
      </c>
      <c r="N2237">
        <v>0</v>
      </c>
      <c r="O2237">
        <v>0</v>
      </c>
      <c r="P2237" s="216">
        <v>144989.32999999999</v>
      </c>
      <c r="Q2237" s="217" t="s">
        <v>9</v>
      </c>
      <c r="R2237" s="217" t="s">
        <v>554</v>
      </c>
      <c r="S2237" s="218">
        <v>0.39996604577729955</v>
      </c>
      <c r="T2237" t="s">
        <v>550</v>
      </c>
      <c r="U2237" t="s">
        <v>74</v>
      </c>
      <c r="V2237" s="219" t="s">
        <v>7071</v>
      </c>
      <c r="W2237" s="219" t="s">
        <v>67</v>
      </c>
    </row>
    <row r="2238" spans="1:23" ht="15" customHeight="1" x14ac:dyDescent="0.25">
      <c r="A2238" t="s">
        <v>5232</v>
      </c>
      <c r="B2238" t="s">
        <v>595</v>
      </c>
      <c r="C2238">
        <v>1001.87</v>
      </c>
      <c r="D2238" t="s">
        <v>5233</v>
      </c>
      <c r="E2238" t="s">
        <v>258</v>
      </c>
      <c r="F2238" t="s">
        <v>554</v>
      </c>
      <c r="G2238" s="30">
        <v>46148</v>
      </c>
      <c r="H2238" t="s">
        <v>5234</v>
      </c>
      <c r="I2238">
        <v>1857501.04</v>
      </c>
      <c r="J2238" s="123">
        <v>0</v>
      </c>
      <c r="K2238" s="123">
        <v>0</v>
      </c>
      <c r="L2238" s="123">
        <v>46143</v>
      </c>
      <c r="M2238">
        <v>0</v>
      </c>
      <c r="N2238">
        <v>0</v>
      </c>
      <c r="O2238">
        <v>0</v>
      </c>
      <c r="P2238" s="216">
        <v>1001.87</v>
      </c>
      <c r="Q2238" s="217" t="s">
        <v>9</v>
      </c>
      <c r="R2238" s="217" t="s">
        <v>554</v>
      </c>
      <c r="S2238" s="218">
        <v>0.30053984249720794</v>
      </c>
      <c r="T2238" t="s">
        <v>550</v>
      </c>
      <c r="U2238" t="s">
        <v>74</v>
      </c>
      <c r="V2238" s="219" t="s">
        <v>7072</v>
      </c>
      <c r="W2238" s="219" t="s">
        <v>67</v>
      </c>
    </row>
    <row r="2239" spans="1:23" ht="15" customHeight="1" x14ac:dyDescent="0.25">
      <c r="A2239" t="s">
        <v>5235</v>
      </c>
      <c r="B2239" t="s">
        <v>546</v>
      </c>
      <c r="C2239">
        <v>130146</v>
      </c>
      <c r="D2239" t="s">
        <v>5236</v>
      </c>
      <c r="E2239" t="s">
        <v>258</v>
      </c>
      <c r="F2239" t="s">
        <v>554</v>
      </c>
      <c r="G2239" s="30">
        <v>46146</v>
      </c>
      <c r="H2239" t="s">
        <v>5237</v>
      </c>
      <c r="I2239">
        <v>1311464.03</v>
      </c>
      <c r="J2239" s="123">
        <v>0</v>
      </c>
      <c r="K2239" s="123">
        <v>0</v>
      </c>
      <c r="L2239" s="123">
        <v>0</v>
      </c>
      <c r="M2239">
        <v>0</v>
      </c>
      <c r="N2239">
        <v>0</v>
      </c>
      <c r="O2239">
        <v>0</v>
      </c>
      <c r="P2239" s="216">
        <v>130146</v>
      </c>
      <c r="Q2239" s="217" t="s">
        <v>9</v>
      </c>
      <c r="R2239" s="217" t="s">
        <v>554</v>
      </c>
      <c r="S2239" s="218">
        <v>0.39999953334595079</v>
      </c>
      <c r="T2239" t="s">
        <v>550</v>
      </c>
      <c r="U2239" t="s">
        <v>74</v>
      </c>
      <c r="V2239" s="219" t="s">
        <v>7073</v>
      </c>
      <c r="W2239" s="219" t="s">
        <v>67</v>
      </c>
    </row>
    <row r="2240" spans="1:23" ht="15" customHeight="1" x14ac:dyDescent="0.25">
      <c r="A2240" t="s">
        <v>5238</v>
      </c>
      <c r="B2240" t="s">
        <v>546</v>
      </c>
      <c r="C2240">
        <v>20000</v>
      </c>
      <c r="D2240" t="s">
        <v>5239</v>
      </c>
      <c r="E2240" t="s">
        <v>553</v>
      </c>
      <c r="F2240" t="s">
        <v>554</v>
      </c>
      <c r="G2240" s="30">
        <v>46148</v>
      </c>
      <c r="H2240" t="s">
        <v>5240</v>
      </c>
      <c r="I2240">
        <v>1476377.9</v>
      </c>
      <c r="J2240" s="123">
        <v>46148</v>
      </c>
      <c r="K2240" s="123">
        <v>0</v>
      </c>
      <c r="L2240" s="123">
        <v>46148</v>
      </c>
      <c r="M2240">
        <v>0</v>
      </c>
      <c r="N2240">
        <v>0</v>
      </c>
      <c r="O2240" t="s">
        <v>556</v>
      </c>
      <c r="P2240" s="216">
        <v>20000</v>
      </c>
      <c r="Q2240" s="217" t="s">
        <v>9</v>
      </c>
      <c r="R2240" s="217" t="s">
        <v>554</v>
      </c>
      <c r="S2240" s="218">
        <v>0.3756165680886987</v>
      </c>
      <c r="T2240" t="s">
        <v>550</v>
      </c>
      <c r="U2240" t="s">
        <v>74</v>
      </c>
      <c r="V2240" s="219" t="s">
        <v>7074</v>
      </c>
      <c r="W2240" s="219" t="s">
        <v>67</v>
      </c>
    </row>
    <row r="2241" spans="1:23" ht="15" customHeight="1" x14ac:dyDescent="0.25">
      <c r="A2241" t="s">
        <v>5241</v>
      </c>
      <c r="B2241" t="s">
        <v>546</v>
      </c>
      <c r="C2241">
        <v>100638.42</v>
      </c>
      <c r="D2241" t="s">
        <v>5239</v>
      </c>
      <c r="E2241" t="s">
        <v>553</v>
      </c>
      <c r="F2241" t="s">
        <v>548</v>
      </c>
      <c r="G2241" s="30">
        <v>46148</v>
      </c>
      <c r="H2241" t="s">
        <v>5240</v>
      </c>
      <c r="I2241">
        <v>1476377.9</v>
      </c>
      <c r="J2241" s="123">
        <v>46148</v>
      </c>
      <c r="K2241" s="123">
        <v>0</v>
      </c>
      <c r="L2241" s="123">
        <v>46148</v>
      </c>
      <c r="M2241">
        <v>0</v>
      </c>
      <c r="N2241">
        <v>0</v>
      </c>
      <c r="O2241" t="s">
        <v>556</v>
      </c>
      <c r="P2241" s="216">
        <v>100638.42</v>
      </c>
      <c r="Q2241" s="217" t="s">
        <v>9</v>
      </c>
      <c r="R2241" s="217" t="s">
        <v>62</v>
      </c>
      <c r="S2241" s="218">
        <v>0.3756165680886987</v>
      </c>
      <c r="T2241" t="s">
        <v>550</v>
      </c>
      <c r="U2241" t="s">
        <v>74</v>
      </c>
      <c r="V2241" s="219">
        <v>0</v>
      </c>
      <c r="W2241" s="219">
        <v>0</v>
      </c>
    </row>
    <row r="2242" spans="1:23" ht="15" customHeight="1" x14ac:dyDescent="0.25">
      <c r="A2242" t="s">
        <v>5242</v>
      </c>
      <c r="B2242" t="s">
        <v>546</v>
      </c>
      <c r="C2242">
        <v>47000</v>
      </c>
      <c r="D2242" t="s">
        <v>5239</v>
      </c>
      <c r="E2242" t="s">
        <v>553</v>
      </c>
      <c r="F2242" t="s">
        <v>554</v>
      </c>
      <c r="G2242" s="30">
        <v>46148</v>
      </c>
      <c r="H2242" t="s">
        <v>5240</v>
      </c>
      <c r="I2242">
        <v>1476377.9</v>
      </c>
      <c r="J2242" s="123">
        <v>46148</v>
      </c>
      <c r="K2242" s="123">
        <v>0</v>
      </c>
      <c r="L2242" s="123">
        <v>46148</v>
      </c>
      <c r="M2242">
        <v>0</v>
      </c>
      <c r="N2242">
        <v>0</v>
      </c>
      <c r="O2242" t="s">
        <v>556</v>
      </c>
      <c r="P2242" s="216">
        <v>47000</v>
      </c>
      <c r="Q2242" s="217" t="s">
        <v>9</v>
      </c>
      <c r="R2242" s="217" t="s">
        <v>554</v>
      </c>
      <c r="S2242" s="218">
        <v>0.3756165680886987</v>
      </c>
      <c r="T2242" t="s">
        <v>550</v>
      </c>
      <c r="U2242" t="s">
        <v>74</v>
      </c>
      <c r="V2242" s="219" t="s">
        <v>7075</v>
      </c>
      <c r="W2242" s="219" t="s">
        <v>67</v>
      </c>
    </row>
    <row r="2243" spans="1:23" ht="15" customHeight="1" x14ac:dyDescent="0.25">
      <c r="A2243" t="s">
        <v>5243</v>
      </c>
      <c r="B2243" t="s">
        <v>546</v>
      </c>
      <c r="C2243">
        <v>44638.42</v>
      </c>
      <c r="D2243" t="s">
        <v>5239</v>
      </c>
      <c r="E2243" t="s">
        <v>553</v>
      </c>
      <c r="F2243" t="s">
        <v>554</v>
      </c>
      <c r="G2243" s="30">
        <v>46149</v>
      </c>
      <c r="H2243" t="s">
        <v>5240</v>
      </c>
      <c r="I2243">
        <v>1476377.9</v>
      </c>
      <c r="J2243" s="123">
        <v>46149</v>
      </c>
      <c r="K2243" s="123">
        <v>0</v>
      </c>
      <c r="L2243" s="123">
        <v>46149</v>
      </c>
      <c r="M2243">
        <v>0</v>
      </c>
      <c r="N2243">
        <v>0</v>
      </c>
      <c r="O2243" t="s">
        <v>556</v>
      </c>
      <c r="P2243" s="216">
        <v>44638.42</v>
      </c>
      <c r="Q2243" s="217" t="s">
        <v>9</v>
      </c>
      <c r="R2243" s="217" t="s">
        <v>554</v>
      </c>
      <c r="S2243" s="218">
        <v>0.3756165680886987</v>
      </c>
      <c r="T2243" t="s">
        <v>550</v>
      </c>
      <c r="U2243" t="s">
        <v>74</v>
      </c>
      <c r="V2243" s="219" t="s">
        <v>7076</v>
      </c>
      <c r="W2243" s="219" t="s">
        <v>67</v>
      </c>
    </row>
    <row r="2244" spans="1:23" ht="15" customHeight="1" x14ac:dyDescent="0.25">
      <c r="A2244" t="s">
        <v>5244</v>
      </c>
      <c r="B2244" t="s">
        <v>575</v>
      </c>
      <c r="C2244">
        <v>25000</v>
      </c>
      <c r="D2244" t="s">
        <v>5245</v>
      </c>
      <c r="E2244" t="s">
        <v>2909</v>
      </c>
      <c r="F2244" t="s">
        <v>554</v>
      </c>
      <c r="G2244" s="30">
        <v>46143</v>
      </c>
      <c r="H2244" t="s">
        <v>5246</v>
      </c>
      <c r="I2244">
        <v>1311464.03</v>
      </c>
      <c r="J2244" s="123">
        <v>0</v>
      </c>
      <c r="K2244" s="123">
        <v>0</v>
      </c>
      <c r="L2244" s="123">
        <v>46143</v>
      </c>
      <c r="M2244">
        <v>0</v>
      </c>
      <c r="N2244">
        <v>0</v>
      </c>
      <c r="O2244">
        <v>0</v>
      </c>
      <c r="P2244" s="216">
        <v>25000</v>
      </c>
      <c r="Q2244" s="217" t="s">
        <v>9</v>
      </c>
      <c r="R2244" s="217" t="s">
        <v>554</v>
      </c>
      <c r="S2244" s="218">
        <v>0.40165036017038147</v>
      </c>
      <c r="T2244" t="s">
        <v>550</v>
      </c>
      <c r="U2244" t="s">
        <v>74</v>
      </c>
      <c r="V2244" s="219" t="s">
        <v>7077</v>
      </c>
      <c r="W2244" s="219" t="s">
        <v>67</v>
      </c>
    </row>
    <row r="2245" spans="1:23" ht="15" customHeight="1" x14ac:dyDescent="0.25">
      <c r="A2245" t="s">
        <v>5247</v>
      </c>
      <c r="B2245" t="s">
        <v>546</v>
      </c>
      <c r="C2245">
        <v>130898.63</v>
      </c>
      <c r="D2245" t="s">
        <v>5248</v>
      </c>
      <c r="E2245" t="s">
        <v>553</v>
      </c>
      <c r="F2245" t="s">
        <v>554</v>
      </c>
      <c r="G2245" s="30">
        <v>46147</v>
      </c>
      <c r="H2245" t="s">
        <v>5249</v>
      </c>
      <c r="I2245">
        <v>1308993.71</v>
      </c>
      <c r="J2245" s="123">
        <v>46147</v>
      </c>
      <c r="K2245" s="123">
        <v>0</v>
      </c>
      <c r="L2245" s="123">
        <v>46146</v>
      </c>
      <c r="M2245">
        <v>0</v>
      </c>
      <c r="N2245">
        <v>0</v>
      </c>
      <c r="O2245" t="s">
        <v>556</v>
      </c>
      <c r="P2245" s="216">
        <v>130898.63</v>
      </c>
      <c r="Q2245" s="217" t="s">
        <v>9</v>
      </c>
      <c r="R2245" s="217" t="s">
        <v>554</v>
      </c>
      <c r="S2245" s="218">
        <v>0.29999914972853459</v>
      </c>
      <c r="T2245" t="s">
        <v>550</v>
      </c>
      <c r="U2245" t="s">
        <v>74</v>
      </c>
      <c r="V2245" s="219" t="s">
        <v>7078</v>
      </c>
      <c r="W2245" s="219" t="s">
        <v>67</v>
      </c>
    </row>
    <row r="2246" spans="1:23" ht="15" customHeight="1" x14ac:dyDescent="0.25">
      <c r="A2246" t="s">
        <v>5250</v>
      </c>
      <c r="B2246" t="s">
        <v>595</v>
      </c>
      <c r="C2246">
        <v>331924.25</v>
      </c>
      <c r="D2246" t="s">
        <v>5251</v>
      </c>
      <c r="E2246" t="s">
        <v>258</v>
      </c>
      <c r="F2246" t="s">
        <v>554</v>
      </c>
      <c r="G2246" s="30">
        <v>46147</v>
      </c>
      <c r="H2246" t="s">
        <v>5252</v>
      </c>
      <c r="I2246">
        <v>3319815.89</v>
      </c>
      <c r="J2246" s="123">
        <v>0</v>
      </c>
      <c r="K2246" s="123">
        <v>0</v>
      </c>
      <c r="L2246" s="123">
        <v>46147</v>
      </c>
      <c r="M2246">
        <v>0</v>
      </c>
      <c r="N2246">
        <v>0</v>
      </c>
      <c r="O2246">
        <v>0</v>
      </c>
      <c r="P2246" s="216">
        <v>331924.25</v>
      </c>
      <c r="Q2246" s="217" t="s">
        <v>9</v>
      </c>
      <c r="R2246" s="217" t="s">
        <v>554</v>
      </c>
      <c r="S2246" s="218">
        <v>0.40024340024470451</v>
      </c>
      <c r="T2246" t="s">
        <v>550</v>
      </c>
      <c r="U2246" t="s">
        <v>74</v>
      </c>
      <c r="V2246" s="219" t="s">
        <v>7079</v>
      </c>
      <c r="W2246" s="219" t="s">
        <v>67</v>
      </c>
    </row>
    <row r="2247" spans="1:23" ht="15" customHeight="1" x14ac:dyDescent="0.25">
      <c r="A2247" t="s">
        <v>5253</v>
      </c>
      <c r="B2247" t="s">
        <v>603</v>
      </c>
      <c r="C2247">
        <v>183600</v>
      </c>
      <c r="D2247" t="s">
        <v>5254</v>
      </c>
      <c r="E2247" t="s">
        <v>605</v>
      </c>
      <c r="F2247" t="s">
        <v>554</v>
      </c>
      <c r="G2247" s="30">
        <v>46146</v>
      </c>
      <c r="H2247" t="s">
        <v>5255</v>
      </c>
      <c r="I2247">
        <v>1835612.63</v>
      </c>
      <c r="J2247" s="123">
        <v>46147</v>
      </c>
      <c r="K2247" s="123">
        <v>0</v>
      </c>
      <c r="L2247" s="123">
        <v>0</v>
      </c>
      <c r="M2247">
        <v>0</v>
      </c>
      <c r="N2247">
        <v>0</v>
      </c>
      <c r="O2247">
        <v>0</v>
      </c>
      <c r="P2247" s="216">
        <v>183600</v>
      </c>
      <c r="Q2247" s="217" t="s">
        <v>9</v>
      </c>
      <c r="R2247" s="217" t="s">
        <v>554</v>
      </c>
      <c r="S2247" s="218">
        <v>0.3000208164834865</v>
      </c>
      <c r="T2247" t="s">
        <v>550</v>
      </c>
      <c r="U2247" t="s">
        <v>74</v>
      </c>
      <c r="V2247" s="219" t="s">
        <v>7080</v>
      </c>
      <c r="W2247" s="219" t="s">
        <v>67</v>
      </c>
    </row>
    <row r="2248" spans="1:23" ht="15" customHeight="1" x14ac:dyDescent="0.25">
      <c r="A2248" t="s">
        <v>5256</v>
      </c>
      <c r="B2248" t="s">
        <v>546</v>
      </c>
      <c r="C2248">
        <v>143537</v>
      </c>
      <c r="D2248" t="s">
        <v>5257</v>
      </c>
      <c r="E2248" t="s">
        <v>693</v>
      </c>
      <c r="F2248" t="s">
        <v>554</v>
      </c>
      <c r="G2248" s="30">
        <v>46146</v>
      </c>
      <c r="H2248" t="s">
        <v>5258</v>
      </c>
      <c r="I2248">
        <v>1435367.4</v>
      </c>
      <c r="J2248" s="123">
        <v>0</v>
      </c>
      <c r="K2248" s="123">
        <v>0</v>
      </c>
      <c r="L2248" s="123">
        <v>0</v>
      </c>
      <c r="M2248">
        <v>0</v>
      </c>
      <c r="N2248">
        <v>0</v>
      </c>
      <c r="O2248">
        <v>0</v>
      </c>
      <c r="P2248" s="216">
        <v>143537</v>
      </c>
      <c r="Q2248" s="217" t="s">
        <v>9</v>
      </c>
      <c r="R2248" s="217" t="s">
        <v>554</v>
      </c>
      <c r="S2248" s="218">
        <v>0.40000072455317015</v>
      </c>
      <c r="T2248" t="s">
        <v>550</v>
      </c>
      <c r="U2248" t="s">
        <v>74</v>
      </c>
      <c r="V2248" s="219" t="s">
        <v>7081</v>
      </c>
      <c r="W2248" s="219" t="s">
        <v>67</v>
      </c>
    </row>
    <row r="2249" spans="1:23" ht="15" customHeight="1" x14ac:dyDescent="0.25">
      <c r="A2249" t="s">
        <v>5259</v>
      </c>
      <c r="B2249" t="s">
        <v>575</v>
      </c>
      <c r="C2249">
        <v>81400</v>
      </c>
      <c r="D2249" t="s">
        <v>5260</v>
      </c>
      <c r="E2249" t="s">
        <v>258</v>
      </c>
      <c r="F2249" t="s">
        <v>585</v>
      </c>
      <c r="G2249" s="30">
        <v>46148</v>
      </c>
      <c r="H2249" t="s">
        <v>5261</v>
      </c>
      <c r="I2249">
        <v>1859761.46</v>
      </c>
      <c r="J2249" s="123">
        <v>0</v>
      </c>
      <c r="K2249" s="123">
        <v>0</v>
      </c>
      <c r="L2249" s="123">
        <v>46144</v>
      </c>
      <c r="M2249">
        <v>0</v>
      </c>
      <c r="N2249">
        <v>0</v>
      </c>
      <c r="O2249">
        <v>0</v>
      </c>
      <c r="P2249" s="216">
        <v>81400</v>
      </c>
      <c r="Q2249" s="217" t="s">
        <v>9</v>
      </c>
      <c r="R2249" s="217" t="s">
        <v>61</v>
      </c>
      <c r="S2249" s="218">
        <v>0.35415087051002769</v>
      </c>
      <c r="T2249" t="s">
        <v>550</v>
      </c>
      <c r="U2249" t="s">
        <v>74</v>
      </c>
      <c r="V2249" s="219">
        <v>0</v>
      </c>
      <c r="W2249" s="219">
        <v>0</v>
      </c>
    </row>
    <row r="2250" spans="1:23" ht="15" customHeight="1" x14ac:dyDescent="0.25">
      <c r="A2250" t="s">
        <v>5262</v>
      </c>
      <c r="B2250" t="s">
        <v>575</v>
      </c>
      <c r="C2250">
        <v>25000</v>
      </c>
      <c r="D2250" t="s">
        <v>5263</v>
      </c>
      <c r="E2250" t="s">
        <v>258</v>
      </c>
      <c r="F2250" t="s">
        <v>585</v>
      </c>
      <c r="G2250" s="30">
        <v>46148</v>
      </c>
      <c r="H2250" t="s">
        <v>5264</v>
      </c>
      <c r="I2250">
        <v>1817287.07</v>
      </c>
      <c r="J2250" s="123">
        <v>0</v>
      </c>
      <c r="K2250" s="123">
        <v>0</v>
      </c>
      <c r="L2250" s="123">
        <v>46146</v>
      </c>
      <c r="M2250">
        <v>0</v>
      </c>
      <c r="N2250">
        <v>0</v>
      </c>
      <c r="O2250">
        <v>0</v>
      </c>
      <c r="P2250" s="216">
        <v>25000</v>
      </c>
      <c r="Q2250" s="217" t="s">
        <v>9</v>
      </c>
      <c r="R2250" s="217" t="s">
        <v>61</v>
      </c>
      <c r="S2250" s="218">
        <v>0.24952453439290689</v>
      </c>
      <c r="T2250" t="s">
        <v>550</v>
      </c>
      <c r="U2250" t="s">
        <v>74</v>
      </c>
      <c r="V2250" s="219">
        <v>0</v>
      </c>
      <c r="W2250" s="219">
        <v>0</v>
      </c>
    </row>
    <row r="2251" spans="1:23" ht="15" customHeight="1" x14ac:dyDescent="0.25">
      <c r="A2251" t="s">
        <v>5265</v>
      </c>
      <c r="B2251" t="s">
        <v>575</v>
      </c>
      <c r="C2251">
        <v>22729</v>
      </c>
      <c r="D2251" t="s">
        <v>5263</v>
      </c>
      <c r="E2251" t="s">
        <v>258</v>
      </c>
      <c r="F2251" t="s">
        <v>585</v>
      </c>
      <c r="G2251" s="30">
        <v>46148</v>
      </c>
      <c r="H2251" t="s">
        <v>5264</v>
      </c>
      <c r="I2251">
        <v>1817287.07</v>
      </c>
      <c r="J2251" s="123">
        <v>0</v>
      </c>
      <c r="K2251" s="123">
        <v>0</v>
      </c>
      <c r="L2251" s="123">
        <v>46145</v>
      </c>
      <c r="M2251">
        <v>0</v>
      </c>
      <c r="N2251">
        <v>0</v>
      </c>
      <c r="O2251">
        <v>0</v>
      </c>
      <c r="P2251" s="216">
        <v>22729</v>
      </c>
      <c r="Q2251" s="217" t="s">
        <v>9</v>
      </c>
      <c r="R2251" s="217" t="s">
        <v>61</v>
      </c>
      <c r="S2251" s="218">
        <v>0.24952453439290689</v>
      </c>
      <c r="T2251" t="s">
        <v>550</v>
      </c>
      <c r="U2251" t="s">
        <v>74</v>
      </c>
      <c r="V2251" s="219">
        <v>0</v>
      </c>
      <c r="W2251" s="219">
        <v>0</v>
      </c>
    </row>
    <row r="2252" spans="1:23" ht="15" customHeight="1" x14ac:dyDescent="0.25">
      <c r="A2252" t="s">
        <v>5266</v>
      </c>
      <c r="B2252" t="s">
        <v>595</v>
      </c>
      <c r="C2252">
        <v>135132</v>
      </c>
      <c r="D2252" t="s">
        <v>5267</v>
      </c>
      <c r="E2252" t="s">
        <v>258</v>
      </c>
      <c r="F2252" t="s">
        <v>580</v>
      </c>
      <c r="G2252" s="30">
        <v>46149</v>
      </c>
      <c r="H2252" t="s">
        <v>5268</v>
      </c>
      <c r="I2252">
        <v>1360326.8</v>
      </c>
      <c r="J2252" s="123">
        <v>0</v>
      </c>
      <c r="K2252" s="123">
        <v>0</v>
      </c>
      <c r="L2252" s="123">
        <v>46147</v>
      </c>
      <c r="M2252">
        <v>0</v>
      </c>
      <c r="N2252">
        <v>0</v>
      </c>
      <c r="O2252">
        <v>0</v>
      </c>
      <c r="P2252" s="216">
        <v>135132</v>
      </c>
      <c r="Q2252" s="217" t="s">
        <v>9</v>
      </c>
      <c r="R2252" s="217" t="s">
        <v>582</v>
      </c>
      <c r="S2252" s="218">
        <v>0.30069808960611522</v>
      </c>
      <c r="T2252" t="s">
        <v>550</v>
      </c>
      <c r="U2252" t="s">
        <v>74</v>
      </c>
      <c r="V2252" s="219">
        <v>0</v>
      </c>
      <c r="W2252" s="219">
        <v>0</v>
      </c>
    </row>
    <row r="2253" spans="1:23" ht="15" customHeight="1" x14ac:dyDescent="0.25">
      <c r="A2253" t="s">
        <v>5269</v>
      </c>
      <c r="B2253" t="s">
        <v>575</v>
      </c>
      <c r="C2253">
        <v>150371</v>
      </c>
      <c r="D2253" t="s">
        <v>5270</v>
      </c>
      <c r="E2253" t="s">
        <v>258</v>
      </c>
      <c r="F2253" t="s">
        <v>554</v>
      </c>
      <c r="G2253" s="30">
        <v>46148</v>
      </c>
      <c r="H2253" t="s">
        <v>5271</v>
      </c>
      <c r="I2253">
        <v>1503718.23</v>
      </c>
      <c r="J2253" s="123">
        <v>0</v>
      </c>
      <c r="K2253" s="123">
        <v>0</v>
      </c>
      <c r="L2253" s="123">
        <v>46147</v>
      </c>
      <c r="M2253">
        <v>0</v>
      </c>
      <c r="N2253">
        <v>0</v>
      </c>
      <c r="O2253">
        <v>0</v>
      </c>
      <c r="P2253" s="216">
        <v>150371</v>
      </c>
      <c r="Q2253" s="217" t="s">
        <v>9</v>
      </c>
      <c r="R2253" s="217" t="s">
        <v>554</v>
      </c>
      <c r="S2253" s="218">
        <v>0.39999968611140663</v>
      </c>
      <c r="T2253" t="s">
        <v>550</v>
      </c>
      <c r="U2253" t="s">
        <v>74</v>
      </c>
      <c r="V2253" s="219" t="s">
        <v>7082</v>
      </c>
      <c r="W2253" s="219" t="s">
        <v>67</v>
      </c>
    </row>
    <row r="2254" spans="1:23" ht="15" customHeight="1" x14ac:dyDescent="0.25">
      <c r="A2254" t="s">
        <v>5272</v>
      </c>
      <c r="B2254" t="s">
        <v>595</v>
      </c>
      <c r="C2254">
        <v>180829</v>
      </c>
      <c r="D2254" t="s">
        <v>5273</v>
      </c>
      <c r="E2254" t="s">
        <v>258</v>
      </c>
      <c r="F2254" t="s">
        <v>580</v>
      </c>
      <c r="G2254" s="30">
        <v>46149</v>
      </c>
      <c r="H2254" t="s">
        <v>5274</v>
      </c>
      <c r="I2254">
        <v>1817287.07</v>
      </c>
      <c r="J2254" s="123">
        <v>0</v>
      </c>
      <c r="K2254" s="123">
        <v>0</v>
      </c>
      <c r="L2254" s="123">
        <v>46147</v>
      </c>
      <c r="M2254">
        <v>0</v>
      </c>
      <c r="N2254">
        <v>0</v>
      </c>
      <c r="O2254">
        <v>0</v>
      </c>
      <c r="P2254" s="216">
        <v>180829</v>
      </c>
      <c r="Q2254" s="217" t="s">
        <v>9</v>
      </c>
      <c r="R2254" s="217" t="s">
        <v>582</v>
      </c>
      <c r="S2254" s="218">
        <v>0.30052264114771915</v>
      </c>
      <c r="T2254" t="s">
        <v>550</v>
      </c>
      <c r="U2254" t="s">
        <v>74</v>
      </c>
      <c r="V2254" s="219">
        <v>0</v>
      </c>
      <c r="W2254" s="219">
        <v>0</v>
      </c>
    </row>
    <row r="2255" spans="1:23" ht="15" customHeight="1" x14ac:dyDescent="0.25">
      <c r="A2255" t="s">
        <v>5275</v>
      </c>
      <c r="B2255" t="s">
        <v>64</v>
      </c>
      <c r="C2255">
        <v>110650</v>
      </c>
      <c r="D2255" t="s">
        <v>5276</v>
      </c>
      <c r="E2255" t="s">
        <v>258</v>
      </c>
      <c r="F2255" t="s">
        <v>580</v>
      </c>
      <c r="G2255" s="30">
        <v>46143</v>
      </c>
      <c r="H2255" t="s">
        <v>5277</v>
      </c>
      <c r="I2255">
        <v>1524264.11</v>
      </c>
      <c r="J2255" s="123">
        <v>0</v>
      </c>
      <c r="K2255" s="123">
        <v>46142</v>
      </c>
      <c r="L2255" s="123">
        <v>0</v>
      </c>
      <c r="M2255">
        <v>0</v>
      </c>
      <c r="N2255">
        <v>0</v>
      </c>
      <c r="O2255" t="s">
        <v>556</v>
      </c>
      <c r="P2255" s="216">
        <v>110650</v>
      </c>
      <c r="Q2255" s="217" t="s">
        <v>9</v>
      </c>
      <c r="R2255" s="217" t="s">
        <v>582</v>
      </c>
      <c r="S2255" s="218">
        <v>0.22814550163488398</v>
      </c>
      <c r="T2255" t="s">
        <v>550</v>
      </c>
      <c r="U2255" t="s">
        <v>74</v>
      </c>
      <c r="V2255" s="219">
        <v>0</v>
      </c>
      <c r="W2255" s="219">
        <v>0</v>
      </c>
    </row>
    <row r="2256" spans="1:23" ht="15" customHeight="1" x14ac:dyDescent="0.25">
      <c r="A2256" t="s">
        <v>5278</v>
      </c>
      <c r="B2256" t="s">
        <v>546</v>
      </c>
      <c r="C2256">
        <v>41900</v>
      </c>
      <c r="D2256" t="s">
        <v>5276</v>
      </c>
      <c r="E2256" t="s">
        <v>258</v>
      </c>
      <c r="F2256" t="s">
        <v>548</v>
      </c>
      <c r="G2256" s="30">
        <v>46149</v>
      </c>
      <c r="H2256" t="s">
        <v>5277</v>
      </c>
      <c r="I2256">
        <v>1524264.11</v>
      </c>
      <c r="J2256" s="123">
        <v>0</v>
      </c>
      <c r="K2256" s="123">
        <v>0</v>
      </c>
      <c r="L2256" s="123">
        <v>0</v>
      </c>
      <c r="M2256">
        <v>0</v>
      </c>
      <c r="N2256">
        <v>0</v>
      </c>
      <c r="O2256">
        <v>0</v>
      </c>
      <c r="P2256" s="216">
        <v>41900</v>
      </c>
      <c r="Q2256" s="217" t="s">
        <v>9</v>
      </c>
      <c r="R2256" s="217" t="s">
        <v>62</v>
      </c>
      <c r="S2256" s="218">
        <v>0.22814550163488398</v>
      </c>
      <c r="T2256" t="s">
        <v>550</v>
      </c>
      <c r="U2256" t="s">
        <v>74</v>
      </c>
      <c r="V2256" s="219">
        <v>0</v>
      </c>
      <c r="W2256" s="219">
        <v>0</v>
      </c>
    </row>
    <row r="2257" spans="1:23" ht="15" customHeight="1" x14ac:dyDescent="0.25">
      <c r="A2257" t="s">
        <v>5279</v>
      </c>
      <c r="B2257" t="s">
        <v>546</v>
      </c>
      <c r="C2257">
        <v>41900</v>
      </c>
      <c r="D2257" t="s">
        <v>5276</v>
      </c>
      <c r="E2257" t="s">
        <v>258</v>
      </c>
      <c r="F2257" t="s">
        <v>554</v>
      </c>
      <c r="G2257" s="30">
        <v>46149</v>
      </c>
      <c r="H2257" t="s">
        <v>5277</v>
      </c>
      <c r="I2257">
        <v>1524264.11</v>
      </c>
      <c r="J2257" s="123">
        <v>0</v>
      </c>
      <c r="K2257" s="123">
        <v>0</v>
      </c>
      <c r="L2257" s="123">
        <v>0</v>
      </c>
      <c r="M2257">
        <v>0</v>
      </c>
      <c r="N2257">
        <v>0</v>
      </c>
      <c r="O2257">
        <v>0</v>
      </c>
      <c r="P2257" s="216">
        <v>41900</v>
      </c>
      <c r="Q2257" s="217" t="s">
        <v>9</v>
      </c>
      <c r="R2257" s="217" t="s">
        <v>554</v>
      </c>
      <c r="S2257" s="218">
        <v>0.22814550163488398</v>
      </c>
      <c r="T2257" t="s">
        <v>550</v>
      </c>
      <c r="U2257" t="s">
        <v>74</v>
      </c>
      <c r="V2257" s="219" t="s">
        <v>7083</v>
      </c>
      <c r="W2257" s="219" t="s">
        <v>67</v>
      </c>
    </row>
    <row r="2258" spans="1:23" ht="15" customHeight="1" x14ac:dyDescent="0.25">
      <c r="A2258" t="s">
        <v>5280</v>
      </c>
      <c r="B2258" t="s">
        <v>546</v>
      </c>
      <c r="C2258">
        <v>41900</v>
      </c>
      <c r="D2258" t="s">
        <v>5276</v>
      </c>
      <c r="E2258" t="s">
        <v>258</v>
      </c>
      <c r="F2258" t="s">
        <v>548</v>
      </c>
      <c r="G2258" s="30">
        <v>46149</v>
      </c>
      <c r="H2258" t="s">
        <v>5277</v>
      </c>
      <c r="I2258">
        <v>1524264.11</v>
      </c>
      <c r="J2258" s="123">
        <v>0</v>
      </c>
      <c r="K2258" s="123">
        <v>0</v>
      </c>
      <c r="L2258" s="123">
        <v>0</v>
      </c>
      <c r="M2258">
        <v>0</v>
      </c>
      <c r="N2258">
        <v>0</v>
      </c>
      <c r="O2258">
        <v>0</v>
      </c>
      <c r="P2258" s="216">
        <v>41900</v>
      </c>
      <c r="Q2258" s="217" t="s">
        <v>9</v>
      </c>
      <c r="R2258" s="217" t="s">
        <v>62</v>
      </c>
      <c r="S2258" s="218">
        <v>0.22814550163488398</v>
      </c>
      <c r="T2258" t="s">
        <v>550</v>
      </c>
      <c r="U2258" t="s">
        <v>74</v>
      </c>
      <c r="V2258" s="219">
        <v>0</v>
      </c>
      <c r="W2258" s="219">
        <v>0</v>
      </c>
    </row>
    <row r="2259" spans="1:23" ht="15" customHeight="1" x14ac:dyDescent="0.25">
      <c r="A2259" t="s">
        <v>5281</v>
      </c>
      <c r="B2259" t="s">
        <v>546</v>
      </c>
      <c r="C2259">
        <v>40000</v>
      </c>
      <c r="D2259" t="s">
        <v>5282</v>
      </c>
      <c r="E2259" t="s">
        <v>553</v>
      </c>
      <c r="F2259" t="s">
        <v>554</v>
      </c>
      <c r="G2259" s="30">
        <v>46147</v>
      </c>
      <c r="H2259" t="s">
        <v>5283</v>
      </c>
      <c r="I2259">
        <v>2562896.52</v>
      </c>
      <c r="J2259" s="123">
        <v>46147</v>
      </c>
      <c r="K2259" s="123">
        <v>0</v>
      </c>
      <c r="L2259" s="123">
        <v>46147</v>
      </c>
      <c r="M2259">
        <v>0</v>
      </c>
      <c r="N2259">
        <v>0</v>
      </c>
      <c r="O2259" t="s">
        <v>556</v>
      </c>
      <c r="P2259" s="216">
        <v>40000</v>
      </c>
      <c r="Q2259" s="217" t="s">
        <v>9</v>
      </c>
      <c r="R2259" s="217" t="s">
        <v>554</v>
      </c>
      <c r="S2259" s="218">
        <v>0.1592117732834839</v>
      </c>
      <c r="T2259" t="s">
        <v>550</v>
      </c>
      <c r="U2259" t="s">
        <v>74</v>
      </c>
      <c r="V2259" s="219" t="s">
        <v>7084</v>
      </c>
      <c r="W2259" s="219" t="s">
        <v>67</v>
      </c>
    </row>
    <row r="2260" spans="1:23" ht="15" customHeight="1" x14ac:dyDescent="0.25">
      <c r="A2260" t="s">
        <v>5284</v>
      </c>
      <c r="B2260" t="s">
        <v>546</v>
      </c>
      <c r="C2260">
        <v>3600</v>
      </c>
      <c r="D2260" t="s">
        <v>5285</v>
      </c>
      <c r="E2260" t="s">
        <v>553</v>
      </c>
      <c r="F2260" t="s">
        <v>554</v>
      </c>
      <c r="G2260" s="30">
        <v>46147</v>
      </c>
      <c r="H2260" t="s">
        <v>5286</v>
      </c>
      <c r="I2260">
        <v>1426285.35</v>
      </c>
      <c r="J2260" s="123">
        <v>46146</v>
      </c>
      <c r="K2260" s="123">
        <v>0</v>
      </c>
      <c r="L2260" s="123">
        <v>46146</v>
      </c>
      <c r="M2260">
        <v>0</v>
      </c>
      <c r="N2260">
        <v>0</v>
      </c>
      <c r="O2260" t="s">
        <v>556</v>
      </c>
      <c r="P2260" s="216">
        <v>3600</v>
      </c>
      <c r="Q2260" s="217" t="s">
        <v>49</v>
      </c>
      <c r="R2260" s="217" t="s">
        <v>554</v>
      </c>
      <c r="S2260" s="218">
        <v>0.22299745278881256</v>
      </c>
      <c r="T2260" t="s">
        <v>550</v>
      </c>
      <c r="U2260" t="s">
        <v>74</v>
      </c>
      <c r="V2260" s="219" t="s">
        <v>7085</v>
      </c>
      <c r="W2260" s="219" t="s">
        <v>67</v>
      </c>
    </row>
    <row r="2261" spans="1:23" ht="15" customHeight="1" x14ac:dyDescent="0.25">
      <c r="A2261" t="s">
        <v>5287</v>
      </c>
      <c r="B2261" t="s">
        <v>595</v>
      </c>
      <c r="C2261">
        <v>142778</v>
      </c>
      <c r="D2261" t="s">
        <v>5288</v>
      </c>
      <c r="E2261" t="s">
        <v>258</v>
      </c>
      <c r="F2261" t="s">
        <v>580</v>
      </c>
      <c r="G2261" s="30">
        <v>46149</v>
      </c>
      <c r="H2261" t="s">
        <v>5289</v>
      </c>
      <c r="I2261">
        <v>1427778.84</v>
      </c>
      <c r="J2261" s="123">
        <v>0</v>
      </c>
      <c r="K2261" s="123">
        <v>0</v>
      </c>
      <c r="L2261" s="123">
        <v>46148</v>
      </c>
      <c r="M2261">
        <v>0</v>
      </c>
      <c r="N2261">
        <v>0</v>
      </c>
      <c r="O2261">
        <v>0</v>
      </c>
      <c r="P2261" s="216">
        <v>142778</v>
      </c>
      <c r="Q2261" s="217" t="s">
        <v>9</v>
      </c>
      <c r="R2261" s="217" t="s">
        <v>582</v>
      </c>
      <c r="S2261" s="218">
        <v>0.20000007844352141</v>
      </c>
      <c r="T2261" t="s">
        <v>550</v>
      </c>
      <c r="U2261" t="s">
        <v>74</v>
      </c>
      <c r="V2261" s="219">
        <v>0</v>
      </c>
      <c r="W2261" s="219">
        <v>0</v>
      </c>
    </row>
    <row r="2262" spans="1:23" ht="15" customHeight="1" x14ac:dyDescent="0.25">
      <c r="A2262" t="s">
        <v>5290</v>
      </c>
      <c r="B2262" t="s">
        <v>575</v>
      </c>
      <c r="C2262">
        <v>235114</v>
      </c>
      <c r="D2262" t="s">
        <v>5291</v>
      </c>
      <c r="E2262" t="s">
        <v>3638</v>
      </c>
      <c r="F2262" t="s">
        <v>580</v>
      </c>
      <c r="G2262" s="30">
        <v>46149</v>
      </c>
      <c r="H2262" t="s">
        <v>5292</v>
      </c>
      <c r="I2262">
        <v>2351139.33</v>
      </c>
      <c r="J2262" s="123">
        <v>0</v>
      </c>
      <c r="K2262" s="123">
        <v>0</v>
      </c>
      <c r="L2262" s="123">
        <v>46149</v>
      </c>
      <c r="M2262">
        <v>0</v>
      </c>
      <c r="N2262">
        <v>0</v>
      </c>
      <c r="O2262">
        <v>0</v>
      </c>
      <c r="P2262" s="216">
        <v>235114</v>
      </c>
      <c r="Q2262" s="217" t="s">
        <v>9</v>
      </c>
      <c r="R2262" s="217" t="s">
        <v>582</v>
      </c>
      <c r="S2262" s="218">
        <v>0.30000005571766775</v>
      </c>
      <c r="T2262" t="s">
        <v>550</v>
      </c>
      <c r="U2262" t="s">
        <v>74</v>
      </c>
      <c r="V2262" s="219">
        <v>0</v>
      </c>
      <c r="W2262" s="219">
        <v>0</v>
      </c>
    </row>
    <row r="2263" spans="1:23" ht="15" customHeight="1" x14ac:dyDescent="0.25">
      <c r="A2263" t="s">
        <v>5293</v>
      </c>
      <c r="B2263" t="s">
        <v>64</v>
      </c>
      <c r="C2263">
        <v>121104</v>
      </c>
      <c r="D2263" t="s">
        <v>5294</v>
      </c>
      <c r="E2263" t="s">
        <v>273</v>
      </c>
      <c r="F2263" t="s">
        <v>554</v>
      </c>
      <c r="G2263" s="30">
        <v>46148</v>
      </c>
      <c r="H2263" t="s">
        <v>5295</v>
      </c>
      <c r="I2263">
        <v>2699637.07</v>
      </c>
      <c r="J2263" s="123">
        <v>0</v>
      </c>
      <c r="K2263" s="123">
        <v>46143</v>
      </c>
      <c r="L2263" s="123">
        <v>0</v>
      </c>
      <c r="M2263">
        <v>0</v>
      </c>
      <c r="N2263">
        <v>0</v>
      </c>
      <c r="O2263" t="s">
        <v>556</v>
      </c>
      <c r="P2263" s="216">
        <v>121104</v>
      </c>
      <c r="Q2263" s="217" t="s">
        <v>38</v>
      </c>
      <c r="R2263" s="217" t="s">
        <v>554</v>
      </c>
      <c r="S2263" s="218">
        <v>0.35514107086994479</v>
      </c>
      <c r="T2263" t="s">
        <v>550</v>
      </c>
      <c r="U2263" t="s">
        <v>74</v>
      </c>
      <c r="V2263" s="219" t="s">
        <v>7086</v>
      </c>
      <c r="W2263" s="219" t="s">
        <v>71</v>
      </c>
    </row>
    <row r="2264" spans="1:23" ht="15" customHeight="1" x14ac:dyDescent="0.25">
      <c r="A2264" t="s">
        <v>5296</v>
      </c>
      <c r="B2264" t="s">
        <v>603</v>
      </c>
      <c r="C2264">
        <v>195863.58</v>
      </c>
      <c r="D2264" t="s">
        <v>5297</v>
      </c>
      <c r="E2264" t="s">
        <v>2411</v>
      </c>
      <c r="F2264" t="s">
        <v>554</v>
      </c>
      <c r="G2264" s="30">
        <v>46149</v>
      </c>
      <c r="H2264" t="s">
        <v>5298</v>
      </c>
      <c r="I2264">
        <v>1958635.8</v>
      </c>
      <c r="J2264" s="123">
        <v>46149</v>
      </c>
      <c r="K2264" s="123">
        <v>0</v>
      </c>
      <c r="L2264" s="123">
        <v>0</v>
      </c>
      <c r="M2264">
        <v>0</v>
      </c>
      <c r="N2264">
        <v>0</v>
      </c>
      <c r="O2264">
        <v>0</v>
      </c>
      <c r="P2264" s="216">
        <v>195863.58</v>
      </c>
      <c r="Q2264" s="217" t="s">
        <v>32</v>
      </c>
      <c r="R2264" s="217" t="s">
        <v>554</v>
      </c>
      <c r="S2264" s="218">
        <v>0.20000014295664359</v>
      </c>
      <c r="T2264" t="s">
        <v>550</v>
      </c>
      <c r="U2264" t="s">
        <v>51</v>
      </c>
      <c r="V2264" s="219" t="s">
        <v>7087</v>
      </c>
      <c r="W2264" s="219" t="s">
        <v>67</v>
      </c>
    </row>
    <row r="2265" spans="1:23" ht="15" customHeight="1" x14ac:dyDescent="0.25">
      <c r="A2265" t="s">
        <v>5299</v>
      </c>
      <c r="B2265" t="s">
        <v>64</v>
      </c>
      <c r="C2265">
        <v>1396607</v>
      </c>
      <c r="D2265" t="s">
        <v>5300</v>
      </c>
      <c r="E2265" t="s">
        <v>273</v>
      </c>
      <c r="F2265" t="s">
        <v>580</v>
      </c>
      <c r="G2265" s="30">
        <v>46149</v>
      </c>
      <c r="H2265" t="s">
        <v>5301</v>
      </c>
      <c r="I2265">
        <v>3491519.5</v>
      </c>
      <c r="J2265" s="123">
        <v>0</v>
      </c>
      <c r="K2265" s="123">
        <v>46149</v>
      </c>
      <c r="L2265" s="123">
        <v>0</v>
      </c>
      <c r="M2265">
        <v>0</v>
      </c>
      <c r="N2265">
        <v>0</v>
      </c>
      <c r="O2265" t="s">
        <v>556</v>
      </c>
      <c r="P2265" s="216">
        <v>1396607</v>
      </c>
      <c r="Q2265" s="217" t="s">
        <v>38</v>
      </c>
      <c r="R2265" s="217" t="s">
        <v>582</v>
      </c>
      <c r="S2265" s="218">
        <v>0.20000002864082528</v>
      </c>
      <c r="T2265" t="s">
        <v>550</v>
      </c>
      <c r="U2265" t="s">
        <v>51</v>
      </c>
      <c r="V2265" s="219">
        <v>0</v>
      </c>
      <c r="W2265" s="219">
        <v>0</v>
      </c>
    </row>
    <row r="2266" spans="1:23" ht="15" customHeight="1" x14ac:dyDescent="0.25">
      <c r="A2266" t="s">
        <v>5302</v>
      </c>
      <c r="B2266" t="s">
        <v>595</v>
      </c>
      <c r="C2266">
        <v>166850</v>
      </c>
      <c r="D2266" t="s">
        <v>5303</v>
      </c>
      <c r="E2266" t="s">
        <v>273</v>
      </c>
      <c r="F2266" t="s">
        <v>580</v>
      </c>
      <c r="G2266" s="30">
        <v>46148</v>
      </c>
      <c r="H2266" t="s">
        <v>5304</v>
      </c>
      <c r="I2266">
        <v>1668503.2</v>
      </c>
      <c r="J2266" s="123">
        <v>0</v>
      </c>
      <c r="K2266" s="123">
        <v>0</v>
      </c>
      <c r="L2266" s="123">
        <v>46148</v>
      </c>
      <c r="M2266">
        <v>0</v>
      </c>
      <c r="N2266">
        <v>0</v>
      </c>
      <c r="O2266">
        <v>0</v>
      </c>
      <c r="P2266" s="216">
        <v>166850</v>
      </c>
      <c r="Q2266" s="217" t="s">
        <v>38</v>
      </c>
      <c r="R2266" s="217" t="s">
        <v>582</v>
      </c>
      <c r="S2266" s="218">
        <v>0.20000141444139874</v>
      </c>
      <c r="T2266" t="s">
        <v>550</v>
      </c>
      <c r="U2266" t="s">
        <v>51</v>
      </c>
      <c r="V2266" s="219">
        <v>0</v>
      </c>
      <c r="W2266" s="219">
        <v>0</v>
      </c>
    </row>
    <row r="2267" spans="1:23" ht="15" customHeight="1" x14ac:dyDescent="0.25">
      <c r="A2267" t="s">
        <v>5305</v>
      </c>
      <c r="B2267" t="s">
        <v>575</v>
      </c>
      <c r="C2267">
        <v>167691</v>
      </c>
      <c r="D2267" t="s">
        <v>5306</v>
      </c>
      <c r="E2267" t="s">
        <v>273</v>
      </c>
      <c r="F2267" t="s">
        <v>554</v>
      </c>
      <c r="G2267" s="30">
        <v>46148</v>
      </c>
      <c r="H2267" t="s">
        <v>5307</v>
      </c>
      <c r="I2267">
        <v>1676906.25</v>
      </c>
      <c r="J2267" s="123">
        <v>0</v>
      </c>
      <c r="K2267" s="123">
        <v>0</v>
      </c>
      <c r="L2267" s="123">
        <v>46148</v>
      </c>
      <c r="M2267">
        <v>0</v>
      </c>
      <c r="N2267">
        <v>0</v>
      </c>
      <c r="O2267">
        <v>0</v>
      </c>
      <c r="P2267" s="216">
        <v>167691</v>
      </c>
      <c r="Q2267" s="217" t="s">
        <v>38</v>
      </c>
      <c r="R2267" s="217" t="s">
        <v>554</v>
      </c>
      <c r="S2267" s="218">
        <v>0.30000067087829152</v>
      </c>
      <c r="T2267" t="s">
        <v>550</v>
      </c>
      <c r="U2267" t="s">
        <v>51</v>
      </c>
      <c r="V2267" s="219" t="s">
        <v>7088</v>
      </c>
      <c r="W2267" s="219" t="s">
        <v>67</v>
      </c>
    </row>
    <row r="2268" spans="1:23" ht="15" customHeight="1" x14ac:dyDescent="0.25">
      <c r="A2268" t="s">
        <v>5308</v>
      </c>
      <c r="B2268" t="s">
        <v>546</v>
      </c>
      <c r="C2268">
        <v>73283</v>
      </c>
      <c r="D2268" t="s">
        <v>5309</v>
      </c>
      <c r="E2268" t="s">
        <v>2411</v>
      </c>
      <c r="F2268" t="s">
        <v>554</v>
      </c>
      <c r="G2268" s="30">
        <v>46147</v>
      </c>
      <c r="H2268" t="s">
        <v>5310</v>
      </c>
      <c r="I2268">
        <v>1803303.65</v>
      </c>
      <c r="J2268" s="123">
        <v>0</v>
      </c>
      <c r="K2268" s="123">
        <v>0</v>
      </c>
      <c r="L2268" s="123">
        <v>0</v>
      </c>
      <c r="M2268">
        <v>0</v>
      </c>
      <c r="N2268">
        <v>73283</v>
      </c>
      <c r="O2268">
        <v>0</v>
      </c>
      <c r="P2268" s="216">
        <v>0</v>
      </c>
      <c r="Q2268" s="217" t="s">
        <v>32</v>
      </c>
      <c r="R2268" s="217" t="s">
        <v>554</v>
      </c>
      <c r="S2268" s="218">
        <v>0.10000090666926782</v>
      </c>
      <c r="T2268" t="s">
        <v>550</v>
      </c>
      <c r="U2268" t="s">
        <v>51</v>
      </c>
      <c r="V2268" s="219" t="s">
        <v>7089</v>
      </c>
      <c r="W2268" s="219" t="s">
        <v>67</v>
      </c>
    </row>
    <row r="2269" spans="1:23" ht="15" customHeight="1" x14ac:dyDescent="0.25">
      <c r="A2269" t="s">
        <v>5311</v>
      </c>
      <c r="B2269" t="s">
        <v>595</v>
      </c>
      <c r="C2269">
        <v>50000</v>
      </c>
      <c r="D2269" t="s">
        <v>5312</v>
      </c>
      <c r="E2269" t="s">
        <v>178</v>
      </c>
      <c r="F2269" t="s">
        <v>554</v>
      </c>
      <c r="G2269" s="30">
        <v>46143</v>
      </c>
      <c r="H2269" t="s">
        <v>5313</v>
      </c>
      <c r="I2269">
        <v>1831727</v>
      </c>
      <c r="J2269" s="123">
        <v>0</v>
      </c>
      <c r="K2269" s="123">
        <v>0</v>
      </c>
      <c r="L2269" s="123">
        <v>46143</v>
      </c>
      <c r="M2269">
        <v>0</v>
      </c>
      <c r="N2269">
        <v>0</v>
      </c>
      <c r="O2269">
        <v>0</v>
      </c>
      <c r="P2269" s="216">
        <v>50000</v>
      </c>
      <c r="Q2269" s="217" t="s">
        <v>32</v>
      </c>
      <c r="R2269" s="217" t="s">
        <v>554</v>
      </c>
      <c r="S2269" s="218">
        <v>0.12729680787584613</v>
      </c>
      <c r="T2269" t="s">
        <v>550</v>
      </c>
      <c r="U2269" t="s">
        <v>51</v>
      </c>
      <c r="V2269" s="219" t="s">
        <v>7090</v>
      </c>
      <c r="W2269" s="219" t="s">
        <v>67</v>
      </c>
    </row>
    <row r="2270" spans="1:23" ht="15" customHeight="1" x14ac:dyDescent="0.25">
      <c r="A2270" t="s">
        <v>5314</v>
      </c>
      <c r="B2270" t="s">
        <v>546</v>
      </c>
      <c r="C2270">
        <v>111043</v>
      </c>
      <c r="D2270" t="s">
        <v>5315</v>
      </c>
      <c r="E2270" t="s">
        <v>263</v>
      </c>
      <c r="F2270" t="s">
        <v>554</v>
      </c>
      <c r="G2270" s="30">
        <v>46143</v>
      </c>
      <c r="H2270" t="s">
        <v>5316</v>
      </c>
      <c r="I2270">
        <v>1410428.25</v>
      </c>
      <c r="J2270" s="123">
        <v>0</v>
      </c>
      <c r="K2270" s="123">
        <v>0</v>
      </c>
      <c r="L2270" s="123">
        <v>0</v>
      </c>
      <c r="M2270">
        <v>0</v>
      </c>
      <c r="N2270">
        <v>0</v>
      </c>
      <c r="O2270">
        <v>0</v>
      </c>
      <c r="P2270" s="216">
        <v>111043</v>
      </c>
      <c r="Q2270" s="217" t="s">
        <v>8</v>
      </c>
      <c r="R2270" s="217" t="s">
        <v>554</v>
      </c>
      <c r="S2270" s="218">
        <v>0.29999984756402887</v>
      </c>
      <c r="T2270" t="s">
        <v>550</v>
      </c>
      <c r="U2270" t="s">
        <v>74</v>
      </c>
      <c r="V2270" s="219" t="s">
        <v>7091</v>
      </c>
      <c r="W2270" s="219" t="s">
        <v>67</v>
      </c>
    </row>
    <row r="2271" spans="1:23" ht="15" customHeight="1" x14ac:dyDescent="0.25">
      <c r="A2271" t="s">
        <v>5317</v>
      </c>
      <c r="B2271" t="s">
        <v>546</v>
      </c>
      <c r="C2271">
        <v>30000</v>
      </c>
      <c r="D2271" t="s">
        <v>5315</v>
      </c>
      <c r="E2271" t="s">
        <v>263</v>
      </c>
      <c r="F2271" t="s">
        <v>554</v>
      </c>
      <c r="G2271" s="30">
        <v>46143</v>
      </c>
      <c r="H2271" t="s">
        <v>5316</v>
      </c>
      <c r="I2271">
        <v>1410428.25</v>
      </c>
      <c r="J2271" s="123">
        <v>0</v>
      </c>
      <c r="K2271" s="123">
        <v>0</v>
      </c>
      <c r="L2271" s="123">
        <v>0</v>
      </c>
      <c r="M2271">
        <v>0</v>
      </c>
      <c r="N2271">
        <v>0</v>
      </c>
      <c r="O2271">
        <v>0</v>
      </c>
      <c r="P2271" s="216">
        <v>30000</v>
      </c>
      <c r="Q2271" s="217" t="s">
        <v>8</v>
      </c>
      <c r="R2271" s="217" t="s">
        <v>554</v>
      </c>
      <c r="S2271" s="218">
        <v>0.29999984756402887</v>
      </c>
      <c r="T2271" t="s">
        <v>550</v>
      </c>
      <c r="U2271" t="s">
        <v>74</v>
      </c>
      <c r="V2271" s="219" t="s">
        <v>7092</v>
      </c>
      <c r="W2271" s="219" t="s">
        <v>67</v>
      </c>
    </row>
    <row r="2272" spans="1:23" ht="15" customHeight="1" x14ac:dyDescent="0.25">
      <c r="A2272" t="s">
        <v>5318</v>
      </c>
      <c r="B2272" t="s">
        <v>575</v>
      </c>
      <c r="C2272">
        <v>115000</v>
      </c>
      <c r="D2272" t="s">
        <v>5319</v>
      </c>
      <c r="E2272" t="s">
        <v>298</v>
      </c>
      <c r="F2272" t="s">
        <v>585</v>
      </c>
      <c r="G2272" s="30">
        <v>46146</v>
      </c>
      <c r="H2272" t="s">
        <v>5320</v>
      </c>
      <c r="I2272">
        <v>1343527.5</v>
      </c>
      <c r="J2272" s="123">
        <v>0</v>
      </c>
      <c r="K2272" s="123">
        <v>0</v>
      </c>
      <c r="L2272" s="123">
        <v>46146</v>
      </c>
      <c r="M2272">
        <v>0</v>
      </c>
      <c r="N2272">
        <v>0</v>
      </c>
      <c r="O2272">
        <v>0</v>
      </c>
      <c r="P2272" s="216">
        <v>115000</v>
      </c>
      <c r="Q2272" s="217" t="s">
        <v>45</v>
      </c>
      <c r="R2272" s="217" t="s">
        <v>61</v>
      </c>
      <c r="S2272" s="218">
        <v>0.40196646514492634</v>
      </c>
      <c r="T2272" t="s">
        <v>550</v>
      </c>
      <c r="U2272" t="s">
        <v>74</v>
      </c>
      <c r="V2272" s="219">
        <v>0</v>
      </c>
      <c r="W2272" s="219">
        <v>0</v>
      </c>
    </row>
    <row r="2273" spans="1:23" ht="15" customHeight="1" x14ac:dyDescent="0.25">
      <c r="A2273" t="s">
        <v>5321</v>
      </c>
      <c r="B2273" t="s">
        <v>603</v>
      </c>
      <c r="C2273">
        <v>132800</v>
      </c>
      <c r="D2273" t="s">
        <v>5322</v>
      </c>
      <c r="E2273" t="s">
        <v>605</v>
      </c>
      <c r="F2273" t="s">
        <v>554</v>
      </c>
      <c r="G2273" s="30">
        <v>46147</v>
      </c>
      <c r="H2273" t="s">
        <v>5323</v>
      </c>
      <c r="I2273">
        <v>2186674</v>
      </c>
      <c r="J2273" s="123">
        <v>46147</v>
      </c>
      <c r="K2273" s="123">
        <v>0</v>
      </c>
      <c r="L2273" s="123">
        <v>0</v>
      </c>
      <c r="M2273">
        <v>0</v>
      </c>
      <c r="N2273">
        <v>0</v>
      </c>
      <c r="O2273">
        <v>0</v>
      </c>
      <c r="P2273" s="216">
        <v>132800</v>
      </c>
      <c r="Q2273" s="217" t="s">
        <v>45</v>
      </c>
      <c r="R2273" s="217" t="s">
        <v>554</v>
      </c>
      <c r="S2273" s="218">
        <v>0.32363069666534655</v>
      </c>
      <c r="T2273" t="s">
        <v>550</v>
      </c>
      <c r="U2273" t="s">
        <v>74</v>
      </c>
      <c r="V2273" s="219" t="s">
        <v>7093</v>
      </c>
      <c r="W2273" s="219" t="s">
        <v>67</v>
      </c>
    </row>
    <row r="2274" spans="1:23" ht="15" customHeight="1" x14ac:dyDescent="0.25">
      <c r="A2274" t="s">
        <v>5324</v>
      </c>
      <c r="B2274" t="s">
        <v>575</v>
      </c>
      <c r="C2274">
        <v>50000</v>
      </c>
      <c r="D2274" t="s">
        <v>5325</v>
      </c>
      <c r="E2274" t="s">
        <v>263</v>
      </c>
      <c r="F2274" t="s">
        <v>554</v>
      </c>
      <c r="G2274" s="30">
        <v>46145</v>
      </c>
      <c r="H2274" t="s">
        <v>5326</v>
      </c>
      <c r="I2274">
        <v>1344393.75</v>
      </c>
      <c r="J2274" s="123">
        <v>0</v>
      </c>
      <c r="K2274" s="123">
        <v>0</v>
      </c>
      <c r="L2274" s="123">
        <v>46143</v>
      </c>
      <c r="M2274">
        <v>0</v>
      </c>
      <c r="N2274">
        <v>0</v>
      </c>
      <c r="O2274">
        <v>0</v>
      </c>
      <c r="P2274" s="216">
        <v>50000</v>
      </c>
      <c r="Q2274" s="217" t="s">
        <v>8</v>
      </c>
      <c r="R2274" s="217" t="s">
        <v>554</v>
      </c>
      <c r="S2274" s="218">
        <v>0.23719241479663231</v>
      </c>
      <c r="T2274" t="s">
        <v>550</v>
      </c>
      <c r="U2274" t="s">
        <v>74</v>
      </c>
      <c r="V2274" s="219" t="s">
        <v>7094</v>
      </c>
      <c r="W2274" s="219" t="s">
        <v>67</v>
      </c>
    </row>
    <row r="2275" spans="1:23" ht="15" customHeight="1" x14ac:dyDescent="0.25">
      <c r="A2275" t="s">
        <v>5327</v>
      </c>
      <c r="B2275" t="s">
        <v>575</v>
      </c>
      <c r="C2275">
        <v>1000</v>
      </c>
      <c r="D2275" t="s">
        <v>5325</v>
      </c>
      <c r="E2275" t="s">
        <v>3803</v>
      </c>
      <c r="F2275" t="s">
        <v>554</v>
      </c>
      <c r="G2275" s="30">
        <v>46147</v>
      </c>
      <c r="H2275" t="s">
        <v>5326</v>
      </c>
      <c r="I2275">
        <v>1344393.75</v>
      </c>
      <c r="J2275" s="123">
        <v>0</v>
      </c>
      <c r="K2275" s="123">
        <v>0</v>
      </c>
      <c r="L2275" s="123">
        <v>46136</v>
      </c>
      <c r="M2275">
        <v>1000</v>
      </c>
      <c r="N2275">
        <v>0</v>
      </c>
      <c r="O2275">
        <v>0</v>
      </c>
      <c r="P2275" s="216">
        <v>0</v>
      </c>
      <c r="Q2275" s="217" t="s">
        <v>8</v>
      </c>
      <c r="R2275" s="217" t="s">
        <v>554</v>
      </c>
      <c r="S2275" s="218">
        <v>0.23719241479663231</v>
      </c>
      <c r="T2275" t="s">
        <v>550</v>
      </c>
      <c r="U2275" t="s">
        <v>74</v>
      </c>
      <c r="V2275" s="219" t="s">
        <v>7095</v>
      </c>
      <c r="W2275" s="219" t="s">
        <v>67</v>
      </c>
    </row>
    <row r="2276" spans="1:23" ht="15" customHeight="1" x14ac:dyDescent="0.25">
      <c r="A2276" t="s">
        <v>5328</v>
      </c>
      <c r="B2276" t="s">
        <v>575</v>
      </c>
      <c r="C2276">
        <v>1000</v>
      </c>
      <c r="D2276" t="s">
        <v>5325</v>
      </c>
      <c r="E2276" t="s">
        <v>3803</v>
      </c>
      <c r="F2276" t="s">
        <v>554</v>
      </c>
      <c r="G2276" s="30">
        <v>46148</v>
      </c>
      <c r="H2276" t="s">
        <v>5326</v>
      </c>
      <c r="I2276">
        <v>1344393.75</v>
      </c>
      <c r="J2276" s="123">
        <v>0</v>
      </c>
      <c r="K2276" s="123">
        <v>0</v>
      </c>
      <c r="L2276" s="123">
        <v>46035</v>
      </c>
      <c r="M2276">
        <v>1000</v>
      </c>
      <c r="N2276">
        <v>0</v>
      </c>
      <c r="O2276">
        <v>0</v>
      </c>
      <c r="P2276" s="216">
        <v>0</v>
      </c>
      <c r="Q2276" s="217" t="s">
        <v>8</v>
      </c>
      <c r="R2276" s="217" t="s">
        <v>554</v>
      </c>
      <c r="S2276" s="218">
        <v>0.23719241479663231</v>
      </c>
      <c r="T2276" t="s">
        <v>550</v>
      </c>
      <c r="U2276" t="s">
        <v>74</v>
      </c>
      <c r="V2276" s="219" t="s">
        <v>7096</v>
      </c>
      <c r="W2276" s="219" t="s">
        <v>67</v>
      </c>
    </row>
    <row r="2277" spans="1:23" ht="15" customHeight="1" x14ac:dyDescent="0.25">
      <c r="A2277" t="s">
        <v>5329</v>
      </c>
      <c r="B2277" t="s">
        <v>595</v>
      </c>
      <c r="C2277">
        <v>43000</v>
      </c>
      <c r="D2277" t="s">
        <v>5330</v>
      </c>
      <c r="E2277" t="s">
        <v>263</v>
      </c>
      <c r="F2277" t="s">
        <v>554</v>
      </c>
      <c r="G2277" s="30">
        <v>46147</v>
      </c>
      <c r="H2277" t="s">
        <v>5331</v>
      </c>
      <c r="I2277">
        <v>1749503.5</v>
      </c>
      <c r="J2277" s="123">
        <v>0</v>
      </c>
      <c r="K2277" s="123">
        <v>0</v>
      </c>
      <c r="L2277" s="123">
        <v>46147</v>
      </c>
      <c r="M2277">
        <v>0</v>
      </c>
      <c r="N2277">
        <v>0</v>
      </c>
      <c r="O2277">
        <v>0</v>
      </c>
      <c r="P2277" s="216">
        <v>43000</v>
      </c>
      <c r="Q2277" s="217" t="s">
        <v>8</v>
      </c>
      <c r="R2277" s="217" t="s">
        <v>554</v>
      </c>
      <c r="S2277" s="218">
        <v>0.24915640351676918</v>
      </c>
      <c r="T2277" t="s">
        <v>550</v>
      </c>
      <c r="U2277" t="s">
        <v>74</v>
      </c>
      <c r="V2277" s="219" t="s">
        <v>7097</v>
      </c>
      <c r="W2277" s="219" t="s">
        <v>67</v>
      </c>
    </row>
    <row r="2278" spans="1:23" ht="15" customHeight="1" x14ac:dyDescent="0.25">
      <c r="A2278" t="s">
        <v>5332</v>
      </c>
      <c r="B2278" t="s">
        <v>595</v>
      </c>
      <c r="C2278">
        <v>42000</v>
      </c>
      <c r="D2278" t="s">
        <v>5330</v>
      </c>
      <c r="E2278" t="s">
        <v>263</v>
      </c>
      <c r="F2278" t="s">
        <v>554</v>
      </c>
      <c r="G2278" s="30">
        <v>46147</v>
      </c>
      <c r="H2278" t="s">
        <v>5331</v>
      </c>
      <c r="I2278">
        <v>1749503.5</v>
      </c>
      <c r="J2278" s="123">
        <v>0</v>
      </c>
      <c r="K2278" s="123">
        <v>0</v>
      </c>
      <c r="L2278" s="123">
        <v>46146</v>
      </c>
      <c r="M2278">
        <v>0</v>
      </c>
      <c r="N2278">
        <v>0</v>
      </c>
      <c r="O2278">
        <v>0</v>
      </c>
      <c r="P2278" s="216">
        <v>42000</v>
      </c>
      <c r="Q2278" s="217" t="s">
        <v>8</v>
      </c>
      <c r="R2278" s="217" t="s">
        <v>554</v>
      </c>
      <c r="S2278" s="218">
        <v>0.24915640351676918</v>
      </c>
      <c r="T2278" t="s">
        <v>550</v>
      </c>
      <c r="U2278" t="s">
        <v>74</v>
      </c>
      <c r="V2278" s="219" t="s">
        <v>7098</v>
      </c>
      <c r="W2278" s="219" t="s">
        <v>67</v>
      </c>
    </row>
    <row r="2279" spans="1:23" ht="15" customHeight="1" x14ac:dyDescent="0.25">
      <c r="A2279" t="s">
        <v>5333</v>
      </c>
      <c r="B2279" t="s">
        <v>603</v>
      </c>
      <c r="C2279">
        <v>1365289</v>
      </c>
      <c r="D2279" t="s">
        <v>5334</v>
      </c>
      <c r="E2279" t="s">
        <v>605</v>
      </c>
      <c r="F2279" t="s">
        <v>554</v>
      </c>
      <c r="G2279" s="30">
        <v>46149</v>
      </c>
      <c r="H2279" t="s">
        <v>5335</v>
      </c>
      <c r="I2279">
        <v>1791612</v>
      </c>
      <c r="J2279" s="123">
        <v>46149</v>
      </c>
      <c r="K2279" s="123">
        <v>0</v>
      </c>
      <c r="L2279" s="123">
        <v>0</v>
      </c>
      <c r="M2279">
        <v>0</v>
      </c>
      <c r="N2279">
        <v>0</v>
      </c>
      <c r="O2279">
        <v>0</v>
      </c>
      <c r="P2279" s="216">
        <v>1365289</v>
      </c>
      <c r="Q2279" s="217" t="s">
        <v>45</v>
      </c>
      <c r="R2279" s="217" t="s">
        <v>554</v>
      </c>
      <c r="S2279" s="218">
        <v>0.96204535356985776</v>
      </c>
      <c r="T2279" t="s">
        <v>550</v>
      </c>
      <c r="U2279" t="s">
        <v>74</v>
      </c>
      <c r="V2279" s="219" t="s">
        <v>7099</v>
      </c>
      <c r="W2279" s="219" t="s">
        <v>67</v>
      </c>
    </row>
    <row r="2280" spans="1:23" ht="15" customHeight="1" x14ac:dyDescent="0.25">
      <c r="A2280" t="s">
        <v>5336</v>
      </c>
      <c r="B2280" t="s">
        <v>575</v>
      </c>
      <c r="C2280">
        <v>138400</v>
      </c>
      <c r="D2280" t="s">
        <v>5337</v>
      </c>
      <c r="E2280" t="s">
        <v>263</v>
      </c>
      <c r="F2280" t="s">
        <v>554</v>
      </c>
      <c r="G2280" s="30">
        <v>46147</v>
      </c>
      <c r="H2280" t="s">
        <v>5338</v>
      </c>
      <c r="I2280">
        <v>1374013.75</v>
      </c>
      <c r="J2280" s="123">
        <v>0</v>
      </c>
      <c r="K2280" s="123">
        <v>0</v>
      </c>
      <c r="L2280" s="123">
        <v>46145</v>
      </c>
      <c r="M2280">
        <v>0</v>
      </c>
      <c r="N2280">
        <v>0</v>
      </c>
      <c r="O2280">
        <v>0</v>
      </c>
      <c r="P2280" s="216">
        <v>138400</v>
      </c>
      <c r="Q2280" s="217" t="s">
        <v>8</v>
      </c>
      <c r="R2280" s="217" t="s">
        <v>554</v>
      </c>
      <c r="S2280" s="218">
        <v>0.2007272489085353</v>
      </c>
      <c r="T2280" t="s">
        <v>550</v>
      </c>
      <c r="U2280" t="s">
        <v>74</v>
      </c>
      <c r="V2280" s="219" t="s">
        <v>7100</v>
      </c>
      <c r="W2280" s="219" t="s">
        <v>67</v>
      </c>
    </row>
    <row r="2281" spans="1:23" ht="15" customHeight="1" x14ac:dyDescent="0.25">
      <c r="A2281" t="s">
        <v>5339</v>
      </c>
      <c r="B2281" t="s">
        <v>595</v>
      </c>
      <c r="C2281">
        <v>76699.199999999997</v>
      </c>
      <c r="D2281" t="s">
        <v>5340</v>
      </c>
      <c r="E2281" t="s">
        <v>263</v>
      </c>
      <c r="F2281" t="s">
        <v>554</v>
      </c>
      <c r="G2281" s="30">
        <v>46144</v>
      </c>
      <c r="H2281" t="s">
        <v>5341</v>
      </c>
      <c r="I2281">
        <v>1791612</v>
      </c>
      <c r="J2281" s="123">
        <v>0</v>
      </c>
      <c r="K2281" s="123">
        <v>0</v>
      </c>
      <c r="L2281" s="123">
        <v>46142</v>
      </c>
      <c r="M2281">
        <v>0</v>
      </c>
      <c r="N2281">
        <v>0</v>
      </c>
      <c r="O2281">
        <v>0</v>
      </c>
      <c r="P2281" s="216">
        <v>76699.199999999997</v>
      </c>
      <c r="Q2281" s="217" t="s">
        <v>8</v>
      </c>
      <c r="R2281" s="217" t="s">
        <v>554</v>
      </c>
      <c r="S2281" s="218">
        <v>0.30028285700252061</v>
      </c>
      <c r="T2281" t="s">
        <v>550</v>
      </c>
      <c r="U2281" t="s">
        <v>74</v>
      </c>
      <c r="V2281" s="219" t="s">
        <v>7101</v>
      </c>
      <c r="W2281" s="219" t="s">
        <v>67</v>
      </c>
    </row>
    <row r="2282" spans="1:23" ht="15" customHeight="1" x14ac:dyDescent="0.25">
      <c r="A2282" t="s">
        <v>5342</v>
      </c>
      <c r="B2282" t="s">
        <v>595</v>
      </c>
      <c r="C2282">
        <v>102462</v>
      </c>
      <c r="D2282" t="s">
        <v>5340</v>
      </c>
      <c r="E2282" t="s">
        <v>263</v>
      </c>
      <c r="F2282" t="s">
        <v>554</v>
      </c>
      <c r="G2282" s="30">
        <v>46144</v>
      </c>
      <c r="H2282" t="s">
        <v>5341</v>
      </c>
      <c r="I2282">
        <v>1791612</v>
      </c>
      <c r="J2282" s="123">
        <v>0</v>
      </c>
      <c r="K2282" s="123">
        <v>0</v>
      </c>
      <c r="L2282" s="123">
        <v>46141</v>
      </c>
      <c r="M2282">
        <v>0</v>
      </c>
      <c r="N2282">
        <v>0</v>
      </c>
      <c r="O2282">
        <v>0</v>
      </c>
      <c r="P2282" s="216">
        <v>102462</v>
      </c>
      <c r="Q2282" s="217" t="s">
        <v>8</v>
      </c>
      <c r="R2282" s="217" t="s">
        <v>554</v>
      </c>
      <c r="S2282" s="218">
        <v>0.30028285700252061</v>
      </c>
      <c r="T2282" t="s">
        <v>550</v>
      </c>
      <c r="U2282" t="s">
        <v>74</v>
      </c>
      <c r="V2282" s="219" t="s">
        <v>7102</v>
      </c>
      <c r="W2282" s="219" t="s">
        <v>67</v>
      </c>
    </row>
    <row r="2283" spans="1:23" ht="15" customHeight="1" x14ac:dyDescent="0.25">
      <c r="A2283" t="s">
        <v>5343</v>
      </c>
      <c r="B2283" t="s">
        <v>595</v>
      </c>
      <c r="C2283">
        <v>136912</v>
      </c>
      <c r="D2283" t="s">
        <v>5344</v>
      </c>
      <c r="E2283" t="s">
        <v>273</v>
      </c>
      <c r="F2283" t="s">
        <v>554</v>
      </c>
      <c r="G2283" s="30">
        <v>46148</v>
      </c>
      <c r="H2283" t="s">
        <v>5345</v>
      </c>
      <c r="I2283">
        <v>1369118.5</v>
      </c>
      <c r="J2283" s="123">
        <v>0</v>
      </c>
      <c r="K2283" s="123">
        <v>0</v>
      </c>
      <c r="L2283" s="123">
        <v>46148</v>
      </c>
      <c r="M2283">
        <v>0</v>
      </c>
      <c r="N2283">
        <v>0</v>
      </c>
      <c r="O2283">
        <v>0</v>
      </c>
      <c r="P2283" s="216">
        <v>136912</v>
      </c>
      <c r="Q2283" s="217" t="s">
        <v>38</v>
      </c>
      <c r="R2283" s="217" t="s">
        <v>554</v>
      </c>
      <c r="S2283" s="218">
        <v>0.3000438968577227</v>
      </c>
      <c r="T2283" t="s">
        <v>550</v>
      </c>
      <c r="U2283" t="s">
        <v>74</v>
      </c>
      <c r="V2283" s="219" t="s">
        <v>7103</v>
      </c>
      <c r="W2283" s="219" t="s">
        <v>67</v>
      </c>
    </row>
    <row r="2284" spans="1:23" ht="15" customHeight="1" x14ac:dyDescent="0.25">
      <c r="A2284" t="s">
        <v>5346</v>
      </c>
      <c r="B2284" t="s">
        <v>595</v>
      </c>
      <c r="C2284">
        <v>133130.4</v>
      </c>
      <c r="D2284" t="s">
        <v>5347</v>
      </c>
      <c r="E2284" t="s">
        <v>263</v>
      </c>
      <c r="F2284" t="s">
        <v>585</v>
      </c>
      <c r="G2284" s="30">
        <v>46148</v>
      </c>
      <c r="H2284" t="s">
        <v>5348</v>
      </c>
      <c r="I2284">
        <v>1331304</v>
      </c>
      <c r="J2284" s="123">
        <v>0</v>
      </c>
      <c r="K2284" s="123">
        <v>0</v>
      </c>
      <c r="L2284" s="123">
        <v>46147</v>
      </c>
      <c r="M2284">
        <v>0</v>
      </c>
      <c r="N2284">
        <v>0</v>
      </c>
      <c r="O2284">
        <v>0</v>
      </c>
      <c r="P2284" s="216">
        <v>133130.4</v>
      </c>
      <c r="Q2284" s="217" t="s">
        <v>8</v>
      </c>
      <c r="R2284" s="217" t="s">
        <v>61</v>
      </c>
      <c r="S2284" s="218">
        <v>0.10000120182918402</v>
      </c>
      <c r="T2284" t="s">
        <v>550</v>
      </c>
      <c r="U2284" t="s">
        <v>74</v>
      </c>
      <c r="V2284" s="219">
        <v>0</v>
      </c>
      <c r="W2284" s="219">
        <v>0</v>
      </c>
    </row>
    <row r="2285" spans="1:23" ht="15" customHeight="1" x14ac:dyDescent="0.25">
      <c r="A2285" t="s">
        <v>5349</v>
      </c>
      <c r="B2285" t="s">
        <v>595</v>
      </c>
      <c r="C2285">
        <v>51158.49</v>
      </c>
      <c r="D2285" t="s">
        <v>5350</v>
      </c>
      <c r="E2285" t="s">
        <v>5351</v>
      </c>
      <c r="F2285" t="s">
        <v>683</v>
      </c>
      <c r="G2285" s="30">
        <v>46148</v>
      </c>
      <c r="H2285" t="s">
        <v>5352</v>
      </c>
      <c r="I2285">
        <v>1808514</v>
      </c>
      <c r="J2285" s="123">
        <v>0</v>
      </c>
      <c r="K2285" s="123">
        <v>0</v>
      </c>
      <c r="L2285" s="123">
        <v>46147</v>
      </c>
      <c r="M2285">
        <v>0</v>
      </c>
      <c r="N2285">
        <v>0</v>
      </c>
      <c r="O2285">
        <v>0</v>
      </c>
      <c r="P2285" s="216">
        <v>51158.49</v>
      </c>
      <c r="Q2285" s="217" t="s">
        <v>8</v>
      </c>
      <c r="R2285" s="217" t="s">
        <v>62</v>
      </c>
      <c r="S2285" s="218">
        <v>0.19985707050097484</v>
      </c>
      <c r="T2285" t="s">
        <v>550</v>
      </c>
      <c r="U2285" t="s">
        <v>74</v>
      </c>
      <c r="V2285" s="219">
        <v>0</v>
      </c>
      <c r="W2285" s="219">
        <v>0</v>
      </c>
    </row>
    <row r="2286" spans="1:23" ht="15" customHeight="1" x14ac:dyDescent="0.25">
      <c r="A2286" t="s">
        <v>5353</v>
      </c>
      <c r="B2286" t="s">
        <v>595</v>
      </c>
      <c r="C2286">
        <v>51367.8</v>
      </c>
      <c r="D2286" t="s">
        <v>5350</v>
      </c>
      <c r="E2286" t="s">
        <v>5351</v>
      </c>
      <c r="F2286" t="s">
        <v>554</v>
      </c>
      <c r="G2286" s="30">
        <v>46148</v>
      </c>
      <c r="H2286" t="s">
        <v>5352</v>
      </c>
      <c r="I2286">
        <v>1808514</v>
      </c>
      <c r="J2286" s="123">
        <v>0</v>
      </c>
      <c r="K2286" s="123">
        <v>0</v>
      </c>
      <c r="L2286" s="123">
        <v>46148</v>
      </c>
      <c r="M2286">
        <v>0</v>
      </c>
      <c r="N2286">
        <v>0</v>
      </c>
      <c r="O2286">
        <v>0</v>
      </c>
      <c r="P2286" s="216">
        <v>51367.8</v>
      </c>
      <c r="Q2286" s="217" t="s">
        <v>8</v>
      </c>
      <c r="R2286" s="217" t="s">
        <v>554</v>
      </c>
      <c r="S2286" s="218">
        <v>0.19985707050097484</v>
      </c>
      <c r="T2286" t="s">
        <v>550</v>
      </c>
      <c r="U2286" t="s">
        <v>74</v>
      </c>
      <c r="V2286" s="219" t="s">
        <v>7104</v>
      </c>
      <c r="W2286" s="219" t="s">
        <v>67</v>
      </c>
    </row>
    <row r="2287" spans="1:23" ht="15" customHeight="1" x14ac:dyDescent="0.25">
      <c r="A2287" t="s">
        <v>5354</v>
      </c>
      <c r="B2287" t="s">
        <v>595</v>
      </c>
      <c r="C2287">
        <v>51158.400000000001</v>
      </c>
      <c r="D2287" t="s">
        <v>5350</v>
      </c>
      <c r="E2287" t="s">
        <v>263</v>
      </c>
      <c r="F2287" t="s">
        <v>585</v>
      </c>
      <c r="G2287" s="30">
        <v>46148</v>
      </c>
      <c r="H2287" t="s">
        <v>5352</v>
      </c>
      <c r="I2287">
        <v>1808514</v>
      </c>
      <c r="J2287" s="123">
        <v>0</v>
      </c>
      <c r="K2287" s="123">
        <v>0</v>
      </c>
      <c r="L2287" s="123">
        <v>46147</v>
      </c>
      <c r="M2287">
        <v>0</v>
      </c>
      <c r="N2287">
        <v>0</v>
      </c>
      <c r="O2287">
        <v>0</v>
      </c>
      <c r="P2287" s="216">
        <v>51158.400000000001</v>
      </c>
      <c r="Q2287" s="217" t="s">
        <v>8</v>
      </c>
      <c r="R2287" s="217" t="s">
        <v>61</v>
      </c>
      <c r="S2287" s="218">
        <v>0.19985707050097484</v>
      </c>
      <c r="T2287" t="s">
        <v>550</v>
      </c>
      <c r="U2287" t="s">
        <v>74</v>
      </c>
      <c r="V2287" s="219">
        <v>0</v>
      </c>
      <c r="W2287" s="219">
        <v>0</v>
      </c>
    </row>
    <row r="2288" spans="1:23" ht="15" customHeight="1" x14ac:dyDescent="0.25">
      <c r="A2288" t="s">
        <v>5355</v>
      </c>
      <c r="B2288" t="s">
        <v>603</v>
      </c>
      <c r="C2288">
        <v>138251</v>
      </c>
      <c r="D2288" t="s">
        <v>5356</v>
      </c>
      <c r="E2288" t="s">
        <v>605</v>
      </c>
      <c r="F2288" t="s">
        <v>554</v>
      </c>
      <c r="G2288" s="30">
        <v>46147</v>
      </c>
      <c r="H2288" t="s">
        <v>5357</v>
      </c>
      <c r="I2288">
        <v>1382508</v>
      </c>
      <c r="J2288" s="123">
        <v>46147</v>
      </c>
      <c r="K2288" s="123">
        <v>0</v>
      </c>
      <c r="L2288" s="123">
        <v>0</v>
      </c>
      <c r="M2288">
        <v>0</v>
      </c>
      <c r="N2288">
        <v>0</v>
      </c>
      <c r="O2288">
        <v>0</v>
      </c>
      <c r="P2288" s="216">
        <v>138251</v>
      </c>
      <c r="Q2288" s="217" t="s">
        <v>8</v>
      </c>
      <c r="R2288" s="217" t="s">
        <v>554</v>
      </c>
      <c r="S2288" s="218">
        <v>0.29999898734763197</v>
      </c>
      <c r="T2288" t="s">
        <v>550</v>
      </c>
      <c r="U2288" t="s">
        <v>74</v>
      </c>
      <c r="V2288" s="219" t="s">
        <v>7105</v>
      </c>
      <c r="W2288" s="219" t="s">
        <v>67</v>
      </c>
    </row>
    <row r="2289" spans="1:23" ht="15" customHeight="1" x14ac:dyDescent="0.25">
      <c r="A2289" t="s">
        <v>5358</v>
      </c>
      <c r="B2289" t="s">
        <v>575</v>
      </c>
      <c r="C2289">
        <v>100000</v>
      </c>
      <c r="D2289" t="s">
        <v>5359</v>
      </c>
      <c r="E2289" t="s">
        <v>263</v>
      </c>
      <c r="F2289" t="s">
        <v>580</v>
      </c>
      <c r="G2289" s="30">
        <v>46149</v>
      </c>
      <c r="H2289" t="s">
        <v>5360</v>
      </c>
      <c r="I2289">
        <v>1700452</v>
      </c>
      <c r="J2289" s="123">
        <v>0</v>
      </c>
      <c r="K2289" s="123">
        <v>0</v>
      </c>
      <c r="L2289" s="123">
        <v>46148</v>
      </c>
      <c r="M2289">
        <v>0</v>
      </c>
      <c r="N2289">
        <v>0</v>
      </c>
      <c r="O2289">
        <v>0</v>
      </c>
      <c r="P2289" s="216">
        <v>100000</v>
      </c>
      <c r="Q2289" s="217" t="s">
        <v>8</v>
      </c>
      <c r="R2289" s="217" t="s">
        <v>582</v>
      </c>
      <c r="S2289" s="218">
        <v>0.10000282277888467</v>
      </c>
      <c r="T2289" t="s">
        <v>550</v>
      </c>
      <c r="U2289" t="s">
        <v>74</v>
      </c>
      <c r="V2289" s="219">
        <v>0</v>
      </c>
      <c r="W2289" s="219">
        <v>0</v>
      </c>
    </row>
    <row r="2290" spans="1:23" ht="15" customHeight="1" x14ac:dyDescent="0.25">
      <c r="A2290" t="s">
        <v>5361</v>
      </c>
      <c r="B2290" t="s">
        <v>575</v>
      </c>
      <c r="C2290">
        <v>170017.8</v>
      </c>
      <c r="D2290" t="s">
        <v>5362</v>
      </c>
      <c r="E2290" t="s">
        <v>263</v>
      </c>
      <c r="F2290" t="s">
        <v>554</v>
      </c>
      <c r="G2290" s="30">
        <v>46147</v>
      </c>
      <c r="H2290" t="s">
        <v>5363</v>
      </c>
      <c r="I2290">
        <v>1700166</v>
      </c>
      <c r="J2290" s="123">
        <v>0</v>
      </c>
      <c r="K2290" s="123">
        <v>0</v>
      </c>
      <c r="L2290" s="123">
        <v>46147</v>
      </c>
      <c r="M2290">
        <v>0</v>
      </c>
      <c r="N2290">
        <v>0</v>
      </c>
      <c r="O2290">
        <v>0</v>
      </c>
      <c r="P2290" s="216">
        <v>170017.8</v>
      </c>
      <c r="Q2290" s="217" t="s">
        <v>8</v>
      </c>
      <c r="R2290" s="217" t="s">
        <v>554</v>
      </c>
      <c r="S2290" s="218">
        <v>0.30000070581343236</v>
      </c>
      <c r="T2290" t="s">
        <v>550</v>
      </c>
      <c r="U2290" t="s">
        <v>74</v>
      </c>
      <c r="V2290" s="219" t="s">
        <v>7106</v>
      </c>
      <c r="W2290" s="219" t="s">
        <v>67</v>
      </c>
    </row>
    <row r="2291" spans="1:23" ht="15" customHeight="1" x14ac:dyDescent="0.25">
      <c r="A2291" t="s">
        <v>5364</v>
      </c>
      <c r="B2291" t="s">
        <v>546</v>
      </c>
      <c r="C2291">
        <v>170017.8</v>
      </c>
      <c r="D2291" t="s">
        <v>5362</v>
      </c>
      <c r="E2291" t="s">
        <v>553</v>
      </c>
      <c r="F2291" t="s">
        <v>548</v>
      </c>
      <c r="G2291" s="30">
        <v>46147</v>
      </c>
      <c r="H2291" t="s">
        <v>5363</v>
      </c>
      <c r="I2291">
        <v>1700166</v>
      </c>
      <c r="J2291" s="123">
        <v>46147</v>
      </c>
      <c r="K2291" s="123">
        <v>0</v>
      </c>
      <c r="L2291" s="123">
        <v>46147</v>
      </c>
      <c r="M2291">
        <v>0</v>
      </c>
      <c r="N2291">
        <v>0</v>
      </c>
      <c r="O2291" t="s">
        <v>556</v>
      </c>
      <c r="P2291" s="216">
        <v>170017.8</v>
      </c>
      <c r="Q2291" s="217" t="s">
        <v>8</v>
      </c>
      <c r="R2291" s="217" t="s">
        <v>62</v>
      </c>
      <c r="S2291" s="218">
        <v>0.30000070581343236</v>
      </c>
      <c r="T2291" t="s">
        <v>550</v>
      </c>
      <c r="U2291" t="s">
        <v>74</v>
      </c>
      <c r="V2291" s="219">
        <v>0</v>
      </c>
      <c r="W2291" s="219">
        <v>0</v>
      </c>
    </row>
    <row r="2292" spans="1:23" ht="15" customHeight="1" x14ac:dyDescent="0.25">
      <c r="A2292" t="s">
        <v>5365</v>
      </c>
      <c r="B2292" t="s">
        <v>546</v>
      </c>
      <c r="C2292">
        <v>170017.8</v>
      </c>
      <c r="D2292" t="s">
        <v>5362</v>
      </c>
      <c r="E2292" t="s">
        <v>553</v>
      </c>
      <c r="F2292" t="s">
        <v>548</v>
      </c>
      <c r="G2292" s="30">
        <v>46147</v>
      </c>
      <c r="H2292" t="s">
        <v>5363</v>
      </c>
      <c r="I2292">
        <v>1700166</v>
      </c>
      <c r="J2292" s="123">
        <v>46147</v>
      </c>
      <c r="K2292" s="123">
        <v>0</v>
      </c>
      <c r="L2292" s="123">
        <v>46147</v>
      </c>
      <c r="M2292">
        <v>0</v>
      </c>
      <c r="N2292">
        <v>0</v>
      </c>
      <c r="O2292" t="s">
        <v>556</v>
      </c>
      <c r="P2292" s="216">
        <v>170017.8</v>
      </c>
      <c r="Q2292" s="217" t="s">
        <v>8</v>
      </c>
      <c r="R2292" s="217" t="s">
        <v>62</v>
      </c>
      <c r="S2292" s="218">
        <v>0.30000070581343236</v>
      </c>
      <c r="T2292" t="s">
        <v>550</v>
      </c>
      <c r="U2292" t="s">
        <v>74</v>
      </c>
      <c r="V2292" s="219">
        <v>0</v>
      </c>
      <c r="W2292" s="219">
        <v>0</v>
      </c>
    </row>
    <row r="2293" spans="1:23" ht="15" customHeight="1" x14ac:dyDescent="0.25">
      <c r="A2293" t="s">
        <v>5366</v>
      </c>
      <c r="B2293" t="s">
        <v>546</v>
      </c>
      <c r="C2293">
        <v>170017.8</v>
      </c>
      <c r="D2293" t="s">
        <v>5362</v>
      </c>
      <c r="E2293" t="s">
        <v>553</v>
      </c>
      <c r="F2293" t="s">
        <v>548</v>
      </c>
      <c r="G2293" s="30">
        <v>46147</v>
      </c>
      <c r="H2293" t="s">
        <v>5363</v>
      </c>
      <c r="I2293">
        <v>1700166</v>
      </c>
      <c r="J2293" s="123">
        <v>46147</v>
      </c>
      <c r="K2293" s="123">
        <v>0</v>
      </c>
      <c r="L2293" s="123">
        <v>46147</v>
      </c>
      <c r="M2293">
        <v>0</v>
      </c>
      <c r="N2293">
        <v>0</v>
      </c>
      <c r="O2293" t="s">
        <v>556</v>
      </c>
      <c r="P2293" s="216">
        <v>170017.8</v>
      </c>
      <c r="Q2293" s="217" t="s">
        <v>8</v>
      </c>
      <c r="R2293" s="217" t="s">
        <v>62</v>
      </c>
      <c r="S2293" s="218">
        <v>0.30000070581343236</v>
      </c>
      <c r="T2293" t="s">
        <v>550</v>
      </c>
      <c r="U2293" t="s">
        <v>74</v>
      </c>
      <c r="V2293" s="219">
        <v>0</v>
      </c>
      <c r="W2293" s="219">
        <v>0</v>
      </c>
    </row>
    <row r="2294" spans="1:23" ht="15" customHeight="1" x14ac:dyDescent="0.25">
      <c r="A2294" t="s">
        <v>5367</v>
      </c>
      <c r="B2294" t="s">
        <v>575</v>
      </c>
      <c r="C2294">
        <v>136900</v>
      </c>
      <c r="D2294" t="s">
        <v>5368</v>
      </c>
      <c r="E2294" t="s">
        <v>263</v>
      </c>
      <c r="F2294" t="s">
        <v>580</v>
      </c>
      <c r="G2294" s="30">
        <v>46149</v>
      </c>
      <c r="H2294" t="s">
        <v>5369</v>
      </c>
      <c r="I2294">
        <v>1370001.25</v>
      </c>
      <c r="J2294" s="123">
        <v>0</v>
      </c>
      <c r="K2294" s="123">
        <v>0</v>
      </c>
      <c r="L2294" s="123">
        <v>46148</v>
      </c>
      <c r="M2294">
        <v>0</v>
      </c>
      <c r="N2294">
        <v>0</v>
      </c>
      <c r="O2294">
        <v>0</v>
      </c>
      <c r="P2294" s="216">
        <v>136900</v>
      </c>
      <c r="Q2294" s="217" t="s">
        <v>8</v>
      </c>
      <c r="R2294" s="217" t="s">
        <v>582</v>
      </c>
      <c r="S2294" s="218">
        <v>0.20007281015254549</v>
      </c>
      <c r="T2294" t="s">
        <v>550</v>
      </c>
      <c r="U2294" t="s">
        <v>74</v>
      </c>
      <c r="V2294" s="219">
        <v>0</v>
      </c>
      <c r="W2294" s="219">
        <v>0</v>
      </c>
    </row>
    <row r="2295" spans="1:23" ht="15" customHeight="1" x14ac:dyDescent="0.25">
      <c r="A2295" t="s">
        <v>5370</v>
      </c>
      <c r="B2295" t="s">
        <v>595</v>
      </c>
      <c r="C2295">
        <v>35775</v>
      </c>
      <c r="D2295" t="s">
        <v>5371</v>
      </c>
      <c r="E2295" t="s">
        <v>321</v>
      </c>
      <c r="F2295" t="s">
        <v>554</v>
      </c>
      <c r="G2295" s="30">
        <v>46145</v>
      </c>
      <c r="H2295" t="s">
        <v>5372</v>
      </c>
      <c r="I2295">
        <v>1764666</v>
      </c>
      <c r="J2295" s="123">
        <v>0</v>
      </c>
      <c r="K2295" s="123">
        <v>0</v>
      </c>
      <c r="L2295" s="123">
        <v>46113</v>
      </c>
      <c r="M2295">
        <v>0</v>
      </c>
      <c r="N2295">
        <v>0</v>
      </c>
      <c r="O2295">
        <v>0</v>
      </c>
      <c r="P2295" s="216">
        <v>35775</v>
      </c>
      <c r="Q2295" s="217" t="s">
        <v>43</v>
      </c>
      <c r="R2295" s="217" t="s">
        <v>554</v>
      </c>
      <c r="S2295" s="218">
        <v>0.60000344541119954</v>
      </c>
      <c r="T2295" t="s">
        <v>550</v>
      </c>
      <c r="U2295" t="s">
        <v>74</v>
      </c>
      <c r="V2295" s="219" t="s">
        <v>7107</v>
      </c>
      <c r="W2295" s="219" t="s">
        <v>67</v>
      </c>
    </row>
    <row r="2296" spans="1:23" ht="15" customHeight="1" x14ac:dyDescent="0.25">
      <c r="A2296" t="s">
        <v>5373</v>
      </c>
      <c r="B2296" t="s">
        <v>595</v>
      </c>
      <c r="C2296">
        <v>62851.199999999997</v>
      </c>
      <c r="D2296" t="s">
        <v>5374</v>
      </c>
      <c r="E2296" t="s">
        <v>263</v>
      </c>
      <c r="F2296" t="s">
        <v>554</v>
      </c>
      <c r="G2296" s="30">
        <v>46146</v>
      </c>
      <c r="H2296" t="s">
        <v>5375</v>
      </c>
      <c r="I2296">
        <v>1403297.67</v>
      </c>
      <c r="J2296" s="123">
        <v>0</v>
      </c>
      <c r="K2296" s="123">
        <v>0</v>
      </c>
      <c r="L2296" s="123">
        <v>46143</v>
      </c>
      <c r="M2296">
        <v>0</v>
      </c>
      <c r="N2296">
        <v>0</v>
      </c>
      <c r="O2296">
        <v>0</v>
      </c>
      <c r="P2296" s="216">
        <v>62851.199999999997</v>
      </c>
      <c r="Q2296" s="217" t="s">
        <v>8</v>
      </c>
      <c r="R2296" s="217" t="s">
        <v>554</v>
      </c>
      <c r="S2296" s="218">
        <v>0.18958016227590546</v>
      </c>
      <c r="T2296" t="s">
        <v>550</v>
      </c>
      <c r="U2296" t="s">
        <v>74</v>
      </c>
      <c r="V2296" s="219" t="s">
        <v>7108</v>
      </c>
      <c r="W2296" s="219" t="s">
        <v>67</v>
      </c>
    </row>
    <row r="2297" spans="1:23" ht="15" customHeight="1" x14ac:dyDescent="0.25">
      <c r="A2297" t="s">
        <v>5376</v>
      </c>
      <c r="B2297" t="s">
        <v>595</v>
      </c>
      <c r="C2297">
        <v>15000</v>
      </c>
      <c r="D2297" t="s">
        <v>5374</v>
      </c>
      <c r="E2297" t="s">
        <v>5377</v>
      </c>
      <c r="F2297" t="s">
        <v>585</v>
      </c>
      <c r="G2297" s="30">
        <v>46147</v>
      </c>
      <c r="H2297" t="s">
        <v>5375</v>
      </c>
      <c r="I2297">
        <v>1403297.67</v>
      </c>
      <c r="J2297" s="123">
        <v>0</v>
      </c>
      <c r="K2297" s="123">
        <v>0</v>
      </c>
      <c r="L2297" s="123">
        <v>46146</v>
      </c>
      <c r="M2297">
        <v>0</v>
      </c>
      <c r="N2297">
        <v>0</v>
      </c>
      <c r="O2297">
        <v>0</v>
      </c>
      <c r="P2297" s="216">
        <v>15000</v>
      </c>
      <c r="Q2297" s="217" t="s">
        <v>8</v>
      </c>
      <c r="R2297" s="217" t="s">
        <v>61</v>
      </c>
      <c r="S2297" s="218">
        <v>0.18958016227590546</v>
      </c>
      <c r="T2297" t="s">
        <v>550</v>
      </c>
      <c r="U2297" t="s">
        <v>74</v>
      </c>
      <c r="V2297" s="219">
        <v>0</v>
      </c>
      <c r="W2297" s="219">
        <v>0</v>
      </c>
    </row>
    <row r="2298" spans="1:23" ht="15" customHeight="1" x14ac:dyDescent="0.25">
      <c r="A2298" t="s">
        <v>5378</v>
      </c>
      <c r="B2298" t="s">
        <v>595</v>
      </c>
      <c r="C2298">
        <v>10000</v>
      </c>
      <c r="D2298" t="s">
        <v>5379</v>
      </c>
      <c r="E2298" t="s">
        <v>263</v>
      </c>
      <c r="F2298" t="s">
        <v>580</v>
      </c>
      <c r="G2298" s="30">
        <v>46148</v>
      </c>
      <c r="H2298" t="s">
        <v>5380</v>
      </c>
      <c r="I2298">
        <v>1367113.45</v>
      </c>
      <c r="J2298" s="123">
        <v>0</v>
      </c>
      <c r="K2298" s="123">
        <v>0</v>
      </c>
      <c r="L2298" s="123">
        <v>46147</v>
      </c>
      <c r="M2298">
        <v>0</v>
      </c>
      <c r="N2298">
        <v>0</v>
      </c>
      <c r="O2298">
        <v>0</v>
      </c>
      <c r="P2298" s="216">
        <v>10000</v>
      </c>
      <c r="Q2298" s="217" t="s">
        <v>8</v>
      </c>
      <c r="R2298" s="217" t="s">
        <v>582</v>
      </c>
      <c r="S2298" s="218">
        <v>0.10000031087398049</v>
      </c>
      <c r="T2298" t="s">
        <v>550</v>
      </c>
      <c r="U2298" t="s">
        <v>74</v>
      </c>
      <c r="V2298" s="219">
        <v>0</v>
      </c>
      <c r="W2298" s="219">
        <v>0</v>
      </c>
    </row>
    <row r="2299" spans="1:23" ht="15" customHeight="1" x14ac:dyDescent="0.25">
      <c r="A2299" t="s">
        <v>5381</v>
      </c>
      <c r="B2299" t="s">
        <v>595</v>
      </c>
      <c r="C2299">
        <v>39600</v>
      </c>
      <c r="D2299" t="s">
        <v>5382</v>
      </c>
      <c r="E2299" t="s">
        <v>5383</v>
      </c>
      <c r="F2299" t="s">
        <v>580</v>
      </c>
      <c r="G2299" s="30">
        <v>46148</v>
      </c>
      <c r="H2299" t="s">
        <v>5384</v>
      </c>
      <c r="I2299">
        <v>1697640.83</v>
      </c>
      <c r="J2299" s="123">
        <v>0</v>
      </c>
      <c r="K2299" s="123">
        <v>0</v>
      </c>
      <c r="L2299" s="123">
        <v>46149</v>
      </c>
      <c r="M2299">
        <v>0</v>
      </c>
      <c r="N2299">
        <v>0</v>
      </c>
      <c r="O2299">
        <v>0</v>
      </c>
      <c r="P2299" s="216">
        <v>39600</v>
      </c>
      <c r="Q2299" s="217" t="s">
        <v>8</v>
      </c>
      <c r="R2299" s="217" t="s">
        <v>582</v>
      </c>
      <c r="S2299" s="218">
        <v>0.10084392821772553</v>
      </c>
      <c r="T2299" t="s">
        <v>550</v>
      </c>
      <c r="U2299" t="s">
        <v>74</v>
      </c>
      <c r="V2299" s="219">
        <v>0</v>
      </c>
      <c r="W2299" s="219">
        <v>0</v>
      </c>
    </row>
    <row r="2300" spans="1:23" ht="15" customHeight="1" x14ac:dyDescent="0.25">
      <c r="A2300" t="s">
        <v>5385</v>
      </c>
      <c r="B2300" t="s">
        <v>575</v>
      </c>
      <c r="C2300">
        <v>5000</v>
      </c>
      <c r="D2300" t="s">
        <v>5386</v>
      </c>
      <c r="E2300" t="s">
        <v>263</v>
      </c>
      <c r="F2300" t="s">
        <v>580</v>
      </c>
      <c r="G2300" s="30">
        <v>46148</v>
      </c>
      <c r="H2300" t="s">
        <v>5387</v>
      </c>
      <c r="I2300">
        <v>1746611.24</v>
      </c>
      <c r="J2300" s="123">
        <v>0</v>
      </c>
      <c r="K2300" s="123">
        <v>0</v>
      </c>
      <c r="L2300" s="123">
        <v>46148</v>
      </c>
      <c r="M2300">
        <v>0</v>
      </c>
      <c r="N2300">
        <v>0</v>
      </c>
      <c r="O2300">
        <v>0</v>
      </c>
      <c r="P2300" s="216">
        <v>5000</v>
      </c>
      <c r="Q2300" s="217" t="s">
        <v>8</v>
      </c>
      <c r="R2300" s="217" t="s">
        <v>582</v>
      </c>
      <c r="S2300" s="218">
        <v>0.20000000114507452</v>
      </c>
      <c r="T2300" t="s">
        <v>550</v>
      </c>
      <c r="U2300" t="s">
        <v>74</v>
      </c>
      <c r="V2300" s="219">
        <v>0</v>
      </c>
      <c r="W2300" s="219">
        <v>0</v>
      </c>
    </row>
    <row r="2301" spans="1:23" ht="15" customHeight="1" x14ac:dyDescent="0.25">
      <c r="A2301" t="s">
        <v>5388</v>
      </c>
      <c r="B2301" t="s">
        <v>595</v>
      </c>
      <c r="C2301">
        <v>2500</v>
      </c>
      <c r="D2301" t="s">
        <v>5386</v>
      </c>
      <c r="E2301" t="s">
        <v>263</v>
      </c>
      <c r="F2301" t="s">
        <v>585</v>
      </c>
      <c r="G2301" s="30">
        <v>46148</v>
      </c>
      <c r="H2301" t="s">
        <v>5387</v>
      </c>
      <c r="I2301">
        <v>1746611.24</v>
      </c>
      <c r="J2301" s="123">
        <v>0</v>
      </c>
      <c r="K2301" s="123">
        <v>0</v>
      </c>
      <c r="L2301" s="123">
        <v>46147</v>
      </c>
      <c r="M2301">
        <v>0</v>
      </c>
      <c r="N2301">
        <v>0</v>
      </c>
      <c r="O2301">
        <v>0</v>
      </c>
      <c r="P2301" s="216">
        <v>2500</v>
      </c>
      <c r="Q2301" s="217" t="s">
        <v>8</v>
      </c>
      <c r="R2301" s="217" t="s">
        <v>61</v>
      </c>
      <c r="S2301" s="218">
        <v>0.20000000114507452</v>
      </c>
      <c r="T2301" t="s">
        <v>550</v>
      </c>
      <c r="U2301" t="s">
        <v>74</v>
      </c>
      <c r="V2301" s="219">
        <v>0</v>
      </c>
      <c r="W2301" s="219">
        <v>0</v>
      </c>
    </row>
    <row r="2302" spans="1:23" ht="15" customHeight="1" x14ac:dyDescent="0.25">
      <c r="A2302" t="s">
        <v>5389</v>
      </c>
      <c r="B2302" t="s">
        <v>595</v>
      </c>
      <c r="C2302">
        <v>9000</v>
      </c>
      <c r="D2302" t="s">
        <v>5386</v>
      </c>
      <c r="E2302" t="s">
        <v>263</v>
      </c>
      <c r="F2302" t="s">
        <v>585</v>
      </c>
      <c r="G2302" s="30">
        <v>46148</v>
      </c>
      <c r="H2302" t="s">
        <v>5387</v>
      </c>
      <c r="I2302">
        <v>1746611.24</v>
      </c>
      <c r="J2302" s="123">
        <v>0</v>
      </c>
      <c r="K2302" s="123">
        <v>0</v>
      </c>
      <c r="L2302" s="123">
        <v>46147</v>
      </c>
      <c r="M2302">
        <v>0</v>
      </c>
      <c r="N2302">
        <v>0</v>
      </c>
      <c r="O2302">
        <v>0</v>
      </c>
      <c r="P2302" s="216">
        <v>9000</v>
      </c>
      <c r="Q2302" s="217" t="s">
        <v>8</v>
      </c>
      <c r="R2302" s="217" t="s">
        <v>61</v>
      </c>
      <c r="S2302" s="218">
        <v>0.20000000114507452</v>
      </c>
      <c r="T2302" t="s">
        <v>550</v>
      </c>
      <c r="U2302" t="s">
        <v>74</v>
      </c>
      <c r="V2302" s="219">
        <v>0</v>
      </c>
      <c r="W2302" s="219">
        <v>0</v>
      </c>
    </row>
    <row r="2303" spans="1:23" ht="15" customHeight="1" x14ac:dyDescent="0.25">
      <c r="A2303" t="s">
        <v>5390</v>
      </c>
      <c r="B2303" t="s">
        <v>546</v>
      </c>
      <c r="C2303">
        <v>20000</v>
      </c>
      <c r="D2303" t="s">
        <v>5391</v>
      </c>
      <c r="E2303" t="s">
        <v>553</v>
      </c>
      <c r="F2303" t="s">
        <v>554</v>
      </c>
      <c r="G2303" s="30">
        <v>46146</v>
      </c>
      <c r="H2303" t="s">
        <v>5392</v>
      </c>
      <c r="I2303">
        <v>1762735.58</v>
      </c>
      <c r="J2303" s="123">
        <v>46146</v>
      </c>
      <c r="K2303" s="123">
        <v>0</v>
      </c>
      <c r="L2303" s="123">
        <v>46146</v>
      </c>
      <c r="M2303">
        <v>0</v>
      </c>
      <c r="N2303">
        <v>0</v>
      </c>
      <c r="O2303" t="s">
        <v>556</v>
      </c>
      <c r="P2303" s="216">
        <v>20000</v>
      </c>
      <c r="Q2303" s="217" t="s">
        <v>8</v>
      </c>
      <c r="R2303" s="217" t="s">
        <v>554</v>
      </c>
      <c r="S2303" s="218">
        <v>0.24979015854436884</v>
      </c>
      <c r="T2303" t="s">
        <v>550</v>
      </c>
      <c r="U2303" t="s">
        <v>74</v>
      </c>
      <c r="V2303" s="219" t="s">
        <v>7109</v>
      </c>
      <c r="W2303" s="219" t="s">
        <v>67</v>
      </c>
    </row>
    <row r="2304" spans="1:23" ht="15" customHeight="1" x14ac:dyDescent="0.25">
      <c r="A2304" t="s">
        <v>5393</v>
      </c>
      <c r="B2304" t="s">
        <v>546</v>
      </c>
      <c r="C2304">
        <v>20000</v>
      </c>
      <c r="D2304" t="s">
        <v>5391</v>
      </c>
      <c r="E2304" t="s">
        <v>553</v>
      </c>
      <c r="F2304" t="s">
        <v>548</v>
      </c>
      <c r="G2304" s="30">
        <v>46147</v>
      </c>
      <c r="H2304" t="s">
        <v>5392</v>
      </c>
      <c r="I2304">
        <v>1762735.58</v>
      </c>
      <c r="J2304" s="123">
        <v>46147</v>
      </c>
      <c r="K2304" s="123">
        <v>0</v>
      </c>
      <c r="L2304" s="123">
        <v>46147</v>
      </c>
      <c r="M2304">
        <v>0</v>
      </c>
      <c r="N2304">
        <v>0</v>
      </c>
      <c r="O2304" t="s">
        <v>556</v>
      </c>
      <c r="P2304" s="216">
        <v>20000</v>
      </c>
      <c r="Q2304" s="217" t="s">
        <v>8</v>
      </c>
      <c r="R2304" s="217" t="s">
        <v>62</v>
      </c>
      <c r="S2304" s="218">
        <v>0.24979015854436884</v>
      </c>
      <c r="T2304" t="s">
        <v>550</v>
      </c>
      <c r="U2304" t="s">
        <v>74</v>
      </c>
      <c r="V2304" s="219">
        <v>0</v>
      </c>
      <c r="W2304" s="219">
        <v>0</v>
      </c>
    </row>
    <row r="2305" spans="1:23" ht="15" customHeight="1" x14ac:dyDescent="0.25">
      <c r="A2305" t="s">
        <v>5394</v>
      </c>
      <c r="B2305" t="s">
        <v>546</v>
      </c>
      <c r="C2305">
        <v>20000</v>
      </c>
      <c r="D2305" t="s">
        <v>5391</v>
      </c>
      <c r="E2305" t="s">
        <v>553</v>
      </c>
      <c r="F2305" t="s">
        <v>554</v>
      </c>
      <c r="G2305" s="30">
        <v>46147</v>
      </c>
      <c r="H2305" t="s">
        <v>5392</v>
      </c>
      <c r="I2305">
        <v>1762735.58</v>
      </c>
      <c r="J2305" s="123">
        <v>46147</v>
      </c>
      <c r="K2305" s="123">
        <v>0</v>
      </c>
      <c r="L2305" s="123">
        <v>46147</v>
      </c>
      <c r="M2305">
        <v>0</v>
      </c>
      <c r="N2305">
        <v>0</v>
      </c>
      <c r="O2305" t="s">
        <v>556</v>
      </c>
      <c r="P2305" s="216">
        <v>20000</v>
      </c>
      <c r="Q2305" s="217" t="s">
        <v>8</v>
      </c>
      <c r="R2305" s="217" t="s">
        <v>554</v>
      </c>
      <c r="S2305" s="218">
        <v>0.24979015854436884</v>
      </c>
      <c r="T2305" t="s">
        <v>550</v>
      </c>
      <c r="U2305" t="s">
        <v>74</v>
      </c>
      <c r="V2305" s="219" t="s">
        <v>7110</v>
      </c>
      <c r="W2305" s="219" t="s">
        <v>67</v>
      </c>
    </row>
    <row r="2306" spans="1:23" ht="15" customHeight="1" x14ac:dyDescent="0.25">
      <c r="A2306" t="s">
        <v>5395</v>
      </c>
      <c r="B2306" t="s">
        <v>546</v>
      </c>
      <c r="C2306">
        <v>20000</v>
      </c>
      <c r="D2306" t="s">
        <v>5391</v>
      </c>
      <c r="E2306" t="s">
        <v>553</v>
      </c>
      <c r="F2306" t="s">
        <v>554</v>
      </c>
      <c r="G2306" s="30">
        <v>46147</v>
      </c>
      <c r="H2306" t="s">
        <v>5392</v>
      </c>
      <c r="I2306">
        <v>1762735.58</v>
      </c>
      <c r="J2306" s="123">
        <v>46147</v>
      </c>
      <c r="K2306" s="123">
        <v>0</v>
      </c>
      <c r="L2306" s="123">
        <v>46147</v>
      </c>
      <c r="M2306">
        <v>0</v>
      </c>
      <c r="N2306">
        <v>0</v>
      </c>
      <c r="O2306" t="s">
        <v>556</v>
      </c>
      <c r="P2306" s="216">
        <v>20000</v>
      </c>
      <c r="Q2306" s="217" t="s">
        <v>8</v>
      </c>
      <c r="R2306" s="217" t="s">
        <v>554</v>
      </c>
      <c r="S2306" s="218">
        <v>0.24979015854436884</v>
      </c>
      <c r="T2306" t="s">
        <v>550</v>
      </c>
      <c r="U2306" t="s">
        <v>74</v>
      </c>
      <c r="V2306" s="219" t="s">
        <v>7111</v>
      </c>
      <c r="W2306" s="219" t="s">
        <v>67</v>
      </c>
    </row>
    <row r="2307" spans="1:23" ht="15" customHeight="1" x14ac:dyDescent="0.25">
      <c r="A2307" t="s">
        <v>5396</v>
      </c>
      <c r="B2307" t="s">
        <v>575</v>
      </c>
      <c r="C2307">
        <v>37500</v>
      </c>
      <c r="D2307" t="s">
        <v>5397</v>
      </c>
      <c r="E2307" t="s">
        <v>263</v>
      </c>
      <c r="F2307" t="s">
        <v>554</v>
      </c>
      <c r="G2307" s="30">
        <v>46143</v>
      </c>
      <c r="H2307" t="s">
        <v>5398</v>
      </c>
      <c r="I2307">
        <v>1434562.12</v>
      </c>
      <c r="J2307" s="123">
        <v>0</v>
      </c>
      <c r="K2307" s="123">
        <v>0</v>
      </c>
      <c r="L2307" s="123">
        <v>46143</v>
      </c>
      <c r="M2307">
        <v>0</v>
      </c>
      <c r="N2307">
        <v>0</v>
      </c>
      <c r="O2307">
        <v>0</v>
      </c>
      <c r="P2307" s="216">
        <v>37500</v>
      </c>
      <c r="Q2307" s="217" t="s">
        <v>8</v>
      </c>
      <c r="R2307" s="217" t="s">
        <v>554</v>
      </c>
      <c r="S2307" s="218">
        <v>0.21571739256575378</v>
      </c>
      <c r="T2307" t="s">
        <v>550</v>
      </c>
      <c r="U2307" t="s">
        <v>74</v>
      </c>
      <c r="V2307" s="219" t="s">
        <v>7112</v>
      </c>
      <c r="W2307" s="219" t="s">
        <v>67</v>
      </c>
    </row>
    <row r="2308" spans="1:23" ht="15" customHeight="1" x14ac:dyDescent="0.25">
      <c r="A2308" t="s">
        <v>5399</v>
      </c>
      <c r="B2308" t="s">
        <v>595</v>
      </c>
      <c r="C2308">
        <v>178990</v>
      </c>
      <c r="D2308" t="s">
        <v>5400</v>
      </c>
      <c r="E2308" t="s">
        <v>263</v>
      </c>
      <c r="F2308" t="s">
        <v>554</v>
      </c>
      <c r="G2308" s="30">
        <v>46148</v>
      </c>
      <c r="H2308" t="s">
        <v>5401</v>
      </c>
      <c r="I2308">
        <v>1789903.68</v>
      </c>
      <c r="J2308" s="123">
        <v>0</v>
      </c>
      <c r="K2308" s="123">
        <v>0</v>
      </c>
      <c r="L2308" s="123">
        <v>46147</v>
      </c>
      <c r="M2308">
        <v>0</v>
      </c>
      <c r="N2308">
        <v>0</v>
      </c>
      <c r="O2308">
        <v>0</v>
      </c>
      <c r="P2308" s="216">
        <v>178990</v>
      </c>
      <c r="Q2308" s="217" t="s">
        <v>8</v>
      </c>
      <c r="R2308" s="217" t="s">
        <v>554</v>
      </c>
      <c r="S2308" s="218">
        <v>0.20196495713110105</v>
      </c>
      <c r="T2308" t="s">
        <v>550</v>
      </c>
      <c r="U2308" t="s">
        <v>74</v>
      </c>
      <c r="V2308" s="219" t="s">
        <v>7113</v>
      </c>
      <c r="W2308" s="219" t="s">
        <v>67</v>
      </c>
    </row>
    <row r="2309" spans="1:23" ht="15" customHeight="1" x14ac:dyDescent="0.25">
      <c r="A2309" t="s">
        <v>5402</v>
      </c>
      <c r="B2309" t="s">
        <v>546</v>
      </c>
      <c r="C2309">
        <v>8000</v>
      </c>
      <c r="D2309" t="s">
        <v>5403</v>
      </c>
      <c r="E2309" t="s">
        <v>4311</v>
      </c>
      <c r="F2309" t="s">
        <v>554</v>
      </c>
      <c r="G2309" s="30">
        <v>46148</v>
      </c>
      <c r="H2309" t="s">
        <v>5404</v>
      </c>
      <c r="I2309">
        <v>1366825.51</v>
      </c>
      <c r="J2309" s="123">
        <v>0</v>
      </c>
      <c r="K2309" s="123">
        <v>0</v>
      </c>
      <c r="L2309" s="123">
        <v>0</v>
      </c>
      <c r="M2309">
        <v>0</v>
      </c>
      <c r="N2309">
        <v>0</v>
      </c>
      <c r="O2309">
        <v>0</v>
      </c>
      <c r="P2309" s="216">
        <v>8000</v>
      </c>
      <c r="Q2309" s="217" t="s">
        <v>8</v>
      </c>
      <c r="R2309" s="217" t="s">
        <v>554</v>
      </c>
      <c r="S2309" s="218">
        <v>0.20023258126050048</v>
      </c>
      <c r="T2309" t="s">
        <v>550</v>
      </c>
      <c r="U2309" t="s">
        <v>74</v>
      </c>
      <c r="V2309" s="219" t="s">
        <v>7114</v>
      </c>
      <c r="W2309" s="219" t="s">
        <v>67</v>
      </c>
    </row>
    <row r="2310" spans="1:23" ht="15" customHeight="1" x14ac:dyDescent="0.25">
      <c r="A2310" t="s">
        <v>5405</v>
      </c>
      <c r="B2310" t="s">
        <v>546</v>
      </c>
      <c r="C2310">
        <v>8000</v>
      </c>
      <c r="D2310" t="s">
        <v>5403</v>
      </c>
      <c r="E2310" t="s">
        <v>4311</v>
      </c>
      <c r="F2310" t="s">
        <v>548</v>
      </c>
      <c r="G2310" s="30">
        <v>46148</v>
      </c>
      <c r="H2310" t="s">
        <v>5404</v>
      </c>
      <c r="I2310">
        <v>1366825.51</v>
      </c>
      <c r="J2310" s="123">
        <v>0</v>
      </c>
      <c r="K2310" s="123">
        <v>0</v>
      </c>
      <c r="L2310" s="123">
        <v>0</v>
      </c>
      <c r="M2310">
        <v>0</v>
      </c>
      <c r="N2310">
        <v>0</v>
      </c>
      <c r="O2310">
        <v>0</v>
      </c>
      <c r="P2310" s="216">
        <v>8000</v>
      </c>
      <c r="Q2310" s="217" t="s">
        <v>8</v>
      </c>
      <c r="R2310" s="217" t="s">
        <v>62</v>
      </c>
      <c r="S2310" s="218">
        <v>0.20023258126050048</v>
      </c>
      <c r="T2310" t="s">
        <v>550</v>
      </c>
      <c r="U2310" t="s">
        <v>74</v>
      </c>
      <c r="V2310" s="219">
        <v>0</v>
      </c>
      <c r="W2310" s="219">
        <v>0</v>
      </c>
    </row>
    <row r="2311" spans="1:23" ht="15" customHeight="1" x14ac:dyDescent="0.25">
      <c r="A2311" t="s">
        <v>5406</v>
      </c>
      <c r="B2311" t="s">
        <v>603</v>
      </c>
      <c r="C2311">
        <v>1000</v>
      </c>
      <c r="D2311" t="s">
        <v>5407</v>
      </c>
      <c r="E2311" t="s">
        <v>3851</v>
      </c>
      <c r="F2311" t="s">
        <v>554</v>
      </c>
      <c r="G2311" s="30">
        <v>46147</v>
      </c>
      <c r="H2311" t="s">
        <v>5408</v>
      </c>
      <c r="I2311">
        <v>1806501.63</v>
      </c>
      <c r="J2311" s="123">
        <v>46147</v>
      </c>
      <c r="K2311" s="123">
        <v>0</v>
      </c>
      <c r="L2311" s="123">
        <v>0</v>
      </c>
      <c r="M2311">
        <v>1000</v>
      </c>
      <c r="N2311">
        <v>0</v>
      </c>
      <c r="O2311">
        <v>0</v>
      </c>
      <c r="P2311" s="216">
        <v>0</v>
      </c>
      <c r="Q2311" s="217" t="s">
        <v>8</v>
      </c>
      <c r="R2311" s="217" t="s">
        <v>554</v>
      </c>
      <c r="S2311" s="218">
        <v>0.22250242863052386</v>
      </c>
      <c r="T2311" t="s">
        <v>550</v>
      </c>
      <c r="U2311" t="s">
        <v>74</v>
      </c>
      <c r="V2311" s="219" t="s">
        <v>7115</v>
      </c>
      <c r="W2311" s="219" t="s">
        <v>67</v>
      </c>
    </row>
    <row r="2312" spans="1:23" ht="15" customHeight="1" x14ac:dyDescent="0.25">
      <c r="A2312" t="s">
        <v>5409</v>
      </c>
      <c r="B2312" t="s">
        <v>546</v>
      </c>
      <c r="C2312">
        <v>40650</v>
      </c>
      <c r="D2312" t="s">
        <v>5407</v>
      </c>
      <c r="E2312" t="s">
        <v>263</v>
      </c>
      <c r="F2312" t="s">
        <v>554</v>
      </c>
      <c r="G2312" s="30">
        <v>46148</v>
      </c>
      <c r="H2312" t="s">
        <v>5408</v>
      </c>
      <c r="I2312">
        <v>1806501.63</v>
      </c>
      <c r="J2312" s="123">
        <v>0</v>
      </c>
      <c r="K2312" s="123">
        <v>0</v>
      </c>
      <c r="L2312" s="123">
        <v>0</v>
      </c>
      <c r="M2312">
        <v>0</v>
      </c>
      <c r="N2312">
        <v>0</v>
      </c>
      <c r="O2312">
        <v>0</v>
      </c>
      <c r="P2312" s="216">
        <v>40650</v>
      </c>
      <c r="Q2312" s="217" t="s">
        <v>8</v>
      </c>
      <c r="R2312" s="217" t="s">
        <v>554</v>
      </c>
      <c r="S2312" s="218">
        <v>0.22250242863052386</v>
      </c>
      <c r="T2312" t="s">
        <v>550</v>
      </c>
      <c r="U2312" t="s">
        <v>74</v>
      </c>
      <c r="V2312" s="219" t="s">
        <v>7116</v>
      </c>
      <c r="W2312" s="219" t="s">
        <v>67</v>
      </c>
    </row>
    <row r="2313" spans="1:23" ht="15" customHeight="1" x14ac:dyDescent="0.25">
      <c r="A2313" t="s">
        <v>5410</v>
      </c>
      <c r="B2313" t="s">
        <v>575</v>
      </c>
      <c r="C2313">
        <v>138338</v>
      </c>
      <c r="D2313" t="s">
        <v>5411</v>
      </c>
      <c r="E2313" t="s">
        <v>263</v>
      </c>
      <c r="F2313" t="s">
        <v>554</v>
      </c>
      <c r="G2313" s="30">
        <v>46144</v>
      </c>
      <c r="H2313" t="s">
        <v>5412</v>
      </c>
      <c r="I2313">
        <v>1383377.71</v>
      </c>
      <c r="J2313" s="123">
        <v>0</v>
      </c>
      <c r="K2313" s="123">
        <v>0</v>
      </c>
      <c r="L2313" s="123">
        <v>46143</v>
      </c>
      <c r="M2313">
        <v>0</v>
      </c>
      <c r="N2313">
        <v>0</v>
      </c>
      <c r="O2313">
        <v>0</v>
      </c>
      <c r="P2313" s="216">
        <v>138338</v>
      </c>
      <c r="Q2313" s="217" t="s">
        <v>8</v>
      </c>
      <c r="R2313" s="217" t="s">
        <v>554</v>
      </c>
      <c r="S2313" s="218">
        <v>0.30000049661057498</v>
      </c>
      <c r="T2313" t="s">
        <v>550</v>
      </c>
      <c r="U2313" t="s">
        <v>74</v>
      </c>
      <c r="V2313" s="219" t="s">
        <v>7117</v>
      </c>
      <c r="W2313" s="219" t="s">
        <v>67</v>
      </c>
    </row>
    <row r="2314" spans="1:23" ht="15" customHeight="1" x14ac:dyDescent="0.25">
      <c r="A2314" t="s">
        <v>5413</v>
      </c>
      <c r="B2314" t="s">
        <v>546</v>
      </c>
      <c r="C2314">
        <v>77458</v>
      </c>
      <c r="D2314" t="s">
        <v>5414</v>
      </c>
      <c r="E2314" t="s">
        <v>553</v>
      </c>
      <c r="F2314" t="s">
        <v>554</v>
      </c>
      <c r="G2314" s="30">
        <v>46144</v>
      </c>
      <c r="H2314" t="s">
        <v>5415</v>
      </c>
      <c r="I2314">
        <v>1932558.32</v>
      </c>
      <c r="J2314" s="123">
        <v>46144</v>
      </c>
      <c r="K2314" s="123">
        <v>0</v>
      </c>
      <c r="L2314" s="123">
        <v>46144</v>
      </c>
      <c r="M2314">
        <v>0</v>
      </c>
      <c r="N2314">
        <v>0</v>
      </c>
      <c r="O2314" t="s">
        <v>556</v>
      </c>
      <c r="P2314" s="216">
        <v>77458</v>
      </c>
      <c r="Q2314" s="217" t="s">
        <v>8</v>
      </c>
      <c r="R2314" s="217" t="s">
        <v>554</v>
      </c>
      <c r="S2314" s="218">
        <v>0.30000028219630898</v>
      </c>
      <c r="T2314" t="s">
        <v>550</v>
      </c>
      <c r="U2314" t="s">
        <v>74</v>
      </c>
      <c r="V2314" s="219" t="s">
        <v>7118</v>
      </c>
      <c r="W2314" s="219" t="s">
        <v>67</v>
      </c>
    </row>
    <row r="2315" spans="1:23" ht="15" customHeight="1" x14ac:dyDescent="0.25">
      <c r="A2315" t="s">
        <v>5416</v>
      </c>
      <c r="B2315" t="s">
        <v>546</v>
      </c>
      <c r="C2315">
        <v>77458</v>
      </c>
      <c r="D2315" t="s">
        <v>5414</v>
      </c>
      <c r="E2315" t="s">
        <v>553</v>
      </c>
      <c r="F2315" t="s">
        <v>548</v>
      </c>
      <c r="G2315" s="30">
        <v>46144</v>
      </c>
      <c r="H2315" t="s">
        <v>5415</v>
      </c>
      <c r="I2315">
        <v>1932558.32</v>
      </c>
      <c r="J2315" s="123">
        <v>46144</v>
      </c>
      <c r="K2315" s="123">
        <v>0</v>
      </c>
      <c r="L2315" s="123">
        <v>46144</v>
      </c>
      <c r="M2315">
        <v>0</v>
      </c>
      <c r="N2315">
        <v>0</v>
      </c>
      <c r="O2315" t="s">
        <v>556</v>
      </c>
      <c r="P2315" s="216">
        <v>77458</v>
      </c>
      <c r="Q2315" s="217" t="s">
        <v>8</v>
      </c>
      <c r="R2315" s="217" t="s">
        <v>62</v>
      </c>
      <c r="S2315" s="218">
        <v>0.30000028219630898</v>
      </c>
      <c r="T2315" t="s">
        <v>550</v>
      </c>
      <c r="U2315" t="s">
        <v>74</v>
      </c>
      <c r="V2315" s="219">
        <v>0</v>
      </c>
      <c r="W2315" s="219">
        <v>0</v>
      </c>
    </row>
    <row r="2316" spans="1:23" ht="15" customHeight="1" x14ac:dyDescent="0.25">
      <c r="A2316" t="s">
        <v>5417</v>
      </c>
      <c r="B2316" t="s">
        <v>546</v>
      </c>
      <c r="C2316">
        <v>110000</v>
      </c>
      <c r="D2316" t="s">
        <v>5414</v>
      </c>
      <c r="E2316" t="s">
        <v>553</v>
      </c>
      <c r="F2316" t="s">
        <v>554</v>
      </c>
      <c r="G2316" s="30">
        <v>46144</v>
      </c>
      <c r="H2316" t="s">
        <v>5415</v>
      </c>
      <c r="I2316">
        <v>1932558.32</v>
      </c>
      <c r="J2316" s="123">
        <v>46144</v>
      </c>
      <c r="K2316" s="123">
        <v>0</v>
      </c>
      <c r="L2316" s="123">
        <v>46144</v>
      </c>
      <c r="M2316">
        <v>0</v>
      </c>
      <c r="N2316">
        <v>0</v>
      </c>
      <c r="O2316" t="s">
        <v>556</v>
      </c>
      <c r="P2316" s="216">
        <v>110000</v>
      </c>
      <c r="Q2316" s="217" t="s">
        <v>8</v>
      </c>
      <c r="R2316" s="217" t="s">
        <v>554</v>
      </c>
      <c r="S2316" s="218">
        <v>0.30000028219630898</v>
      </c>
      <c r="T2316" t="s">
        <v>550</v>
      </c>
      <c r="U2316" t="s">
        <v>74</v>
      </c>
      <c r="V2316" s="219" t="s">
        <v>7119</v>
      </c>
      <c r="W2316" s="219" t="s">
        <v>67</v>
      </c>
    </row>
    <row r="2317" spans="1:23" ht="15" customHeight="1" x14ac:dyDescent="0.25">
      <c r="A2317" t="s">
        <v>5418</v>
      </c>
      <c r="B2317" t="s">
        <v>595</v>
      </c>
      <c r="C2317">
        <v>176293.47</v>
      </c>
      <c r="D2317" t="s">
        <v>5419</v>
      </c>
      <c r="E2317" t="s">
        <v>263</v>
      </c>
      <c r="F2317" t="s">
        <v>554</v>
      </c>
      <c r="G2317" s="30">
        <v>46147</v>
      </c>
      <c r="H2317" t="s">
        <v>5420</v>
      </c>
      <c r="I2317">
        <v>1762934.71</v>
      </c>
      <c r="J2317" s="123">
        <v>0</v>
      </c>
      <c r="K2317" s="123">
        <v>0</v>
      </c>
      <c r="L2317" s="123">
        <v>46147</v>
      </c>
      <c r="M2317">
        <v>0</v>
      </c>
      <c r="N2317">
        <v>0</v>
      </c>
      <c r="O2317">
        <v>0</v>
      </c>
      <c r="P2317" s="216">
        <v>176293.47</v>
      </c>
      <c r="Q2317" s="217" t="s">
        <v>8</v>
      </c>
      <c r="R2317" s="217" t="s">
        <v>554</v>
      </c>
      <c r="S2317" s="218">
        <v>0.30000003233245093</v>
      </c>
      <c r="T2317" t="s">
        <v>550</v>
      </c>
      <c r="U2317" t="s">
        <v>74</v>
      </c>
      <c r="V2317" s="219" t="s">
        <v>7120</v>
      </c>
      <c r="W2317" s="219" t="s">
        <v>67</v>
      </c>
    </row>
    <row r="2318" spans="1:23" ht="15" customHeight="1" x14ac:dyDescent="0.25">
      <c r="A2318" t="s">
        <v>5421</v>
      </c>
      <c r="B2318" t="s">
        <v>546</v>
      </c>
      <c r="C2318">
        <v>182163.89</v>
      </c>
      <c r="D2318" t="s">
        <v>5422</v>
      </c>
      <c r="E2318" t="s">
        <v>553</v>
      </c>
      <c r="F2318" t="s">
        <v>554</v>
      </c>
      <c r="G2318" s="30">
        <v>46143</v>
      </c>
      <c r="H2318" t="s">
        <v>5423</v>
      </c>
      <c r="I2318">
        <v>1821641.07</v>
      </c>
      <c r="J2318" s="123">
        <v>46143</v>
      </c>
      <c r="K2318" s="123">
        <v>0</v>
      </c>
      <c r="L2318" s="123">
        <v>46143</v>
      </c>
      <c r="M2318">
        <v>0</v>
      </c>
      <c r="N2318">
        <v>0</v>
      </c>
      <c r="O2318" t="s">
        <v>556</v>
      </c>
      <c r="P2318" s="216">
        <v>182163.89</v>
      </c>
      <c r="Q2318" s="217" t="s">
        <v>8</v>
      </c>
      <c r="R2318" s="217" t="s">
        <v>554</v>
      </c>
      <c r="S2318" s="218">
        <v>0.29999982378526413</v>
      </c>
      <c r="T2318" t="s">
        <v>550</v>
      </c>
      <c r="U2318" t="s">
        <v>74</v>
      </c>
      <c r="V2318" s="219" t="s">
        <v>7121</v>
      </c>
      <c r="W2318" s="219" t="s">
        <v>67</v>
      </c>
    </row>
    <row r="2319" spans="1:23" ht="15" customHeight="1" x14ac:dyDescent="0.25">
      <c r="A2319" t="s">
        <v>5424</v>
      </c>
      <c r="B2319" t="s">
        <v>595</v>
      </c>
      <c r="C2319">
        <v>49970</v>
      </c>
      <c r="D2319" t="s">
        <v>5425</v>
      </c>
      <c r="E2319" t="s">
        <v>5426</v>
      </c>
      <c r="F2319" t="s">
        <v>554</v>
      </c>
      <c r="G2319" s="30">
        <v>46147</v>
      </c>
      <c r="H2319" t="s">
        <v>5427</v>
      </c>
      <c r="I2319">
        <v>1391787.02</v>
      </c>
      <c r="J2319" s="123">
        <v>0</v>
      </c>
      <c r="K2319" s="123">
        <v>0</v>
      </c>
      <c r="L2319" s="123">
        <v>46146</v>
      </c>
      <c r="M2319">
        <v>0</v>
      </c>
      <c r="N2319">
        <v>0</v>
      </c>
      <c r="O2319">
        <v>0</v>
      </c>
      <c r="P2319" s="216">
        <v>49970</v>
      </c>
      <c r="Q2319" s="217" t="s">
        <v>8</v>
      </c>
      <c r="R2319" s="217" t="s">
        <v>554</v>
      </c>
      <c r="S2319" s="218">
        <v>0.23579613495748797</v>
      </c>
      <c r="T2319" t="s">
        <v>550</v>
      </c>
      <c r="U2319" t="s">
        <v>74</v>
      </c>
      <c r="V2319" s="219" t="s">
        <v>7122</v>
      </c>
      <c r="W2319" s="219" t="s">
        <v>67</v>
      </c>
    </row>
    <row r="2320" spans="1:23" ht="15" customHeight="1" x14ac:dyDescent="0.25">
      <c r="A2320" t="s">
        <v>5428</v>
      </c>
      <c r="B2320" t="s">
        <v>595</v>
      </c>
      <c r="C2320">
        <v>40000</v>
      </c>
      <c r="D2320" t="s">
        <v>5425</v>
      </c>
      <c r="E2320" t="s">
        <v>5426</v>
      </c>
      <c r="F2320" t="s">
        <v>580</v>
      </c>
      <c r="G2320" s="30">
        <v>46149</v>
      </c>
      <c r="H2320" t="s">
        <v>5427</v>
      </c>
      <c r="I2320">
        <v>1391787.02</v>
      </c>
      <c r="J2320" s="123">
        <v>0</v>
      </c>
      <c r="K2320" s="123">
        <v>0</v>
      </c>
      <c r="L2320" s="123">
        <v>46148</v>
      </c>
      <c r="M2320">
        <v>0</v>
      </c>
      <c r="N2320">
        <v>0</v>
      </c>
      <c r="O2320">
        <v>0</v>
      </c>
      <c r="P2320" s="216">
        <v>40000</v>
      </c>
      <c r="Q2320" s="217" t="s">
        <v>8</v>
      </c>
      <c r="R2320" s="217" t="s">
        <v>582</v>
      </c>
      <c r="S2320" s="218">
        <v>0.23579613495748797</v>
      </c>
      <c r="T2320" t="s">
        <v>550</v>
      </c>
      <c r="U2320" t="s">
        <v>74</v>
      </c>
      <c r="V2320" s="219">
        <v>0</v>
      </c>
      <c r="W2320" s="219">
        <v>0</v>
      </c>
    </row>
    <row r="2321" spans="1:23" ht="15" customHeight="1" x14ac:dyDescent="0.25">
      <c r="A2321" t="s">
        <v>5429</v>
      </c>
      <c r="B2321" t="s">
        <v>595</v>
      </c>
      <c r="C2321">
        <v>35000</v>
      </c>
      <c r="D2321" t="s">
        <v>5430</v>
      </c>
      <c r="E2321" t="s">
        <v>5431</v>
      </c>
      <c r="F2321" t="s">
        <v>683</v>
      </c>
      <c r="G2321" s="30">
        <v>46147</v>
      </c>
      <c r="H2321" t="s">
        <v>5432</v>
      </c>
      <c r="I2321">
        <v>1818195</v>
      </c>
      <c r="J2321" s="123">
        <v>0</v>
      </c>
      <c r="K2321" s="123">
        <v>0</v>
      </c>
      <c r="L2321" s="123">
        <v>46117</v>
      </c>
      <c r="M2321">
        <v>0</v>
      </c>
      <c r="N2321">
        <v>0</v>
      </c>
      <c r="O2321">
        <v>0</v>
      </c>
      <c r="P2321" s="216">
        <v>35000</v>
      </c>
      <c r="Q2321" s="217" t="s">
        <v>23</v>
      </c>
      <c r="R2321" s="217" t="s">
        <v>62</v>
      </c>
      <c r="S2321" s="218">
        <v>0.27078399731601943</v>
      </c>
      <c r="T2321" t="s">
        <v>550</v>
      </c>
      <c r="U2321" t="s">
        <v>51</v>
      </c>
      <c r="V2321" s="219">
        <v>0</v>
      </c>
      <c r="W2321" s="219">
        <v>0</v>
      </c>
    </row>
    <row r="2322" spans="1:23" ht="15" customHeight="1" x14ac:dyDescent="0.25">
      <c r="A2322" t="s">
        <v>5433</v>
      </c>
      <c r="B2322" t="s">
        <v>595</v>
      </c>
      <c r="C2322">
        <v>128485</v>
      </c>
      <c r="D2322" t="s">
        <v>5430</v>
      </c>
      <c r="E2322" t="s">
        <v>208</v>
      </c>
      <c r="F2322" t="s">
        <v>554</v>
      </c>
      <c r="G2322" s="30">
        <v>46147</v>
      </c>
      <c r="H2322" t="s">
        <v>5432</v>
      </c>
      <c r="I2322">
        <v>1818195</v>
      </c>
      <c r="J2322" s="123">
        <v>0</v>
      </c>
      <c r="K2322" s="123">
        <v>0</v>
      </c>
      <c r="L2322" s="123">
        <v>46146</v>
      </c>
      <c r="M2322">
        <v>0</v>
      </c>
      <c r="N2322">
        <v>0</v>
      </c>
      <c r="O2322">
        <v>0</v>
      </c>
      <c r="P2322" s="216">
        <v>128485</v>
      </c>
      <c r="Q2322" s="217" t="s">
        <v>23</v>
      </c>
      <c r="R2322" s="217" t="s">
        <v>554</v>
      </c>
      <c r="S2322" s="218">
        <v>0.27078399731601943</v>
      </c>
      <c r="T2322" t="s">
        <v>550</v>
      </c>
      <c r="U2322" t="s">
        <v>51</v>
      </c>
      <c r="V2322" s="219" t="s">
        <v>7123</v>
      </c>
      <c r="W2322" s="219" t="s">
        <v>67</v>
      </c>
    </row>
    <row r="2323" spans="1:23" ht="15" customHeight="1" x14ac:dyDescent="0.25">
      <c r="A2323" t="s">
        <v>5434</v>
      </c>
      <c r="B2323" t="s">
        <v>595</v>
      </c>
      <c r="C2323">
        <v>35000</v>
      </c>
      <c r="D2323" t="s">
        <v>5430</v>
      </c>
      <c r="E2323" t="s">
        <v>5431</v>
      </c>
      <c r="F2323" t="s">
        <v>683</v>
      </c>
      <c r="G2323" s="30">
        <v>46148</v>
      </c>
      <c r="H2323" t="s">
        <v>5432</v>
      </c>
      <c r="I2323">
        <v>1818195</v>
      </c>
      <c r="J2323" s="123">
        <v>0</v>
      </c>
      <c r="K2323" s="123">
        <v>0</v>
      </c>
      <c r="L2323" s="123">
        <v>46117</v>
      </c>
      <c r="M2323">
        <v>0</v>
      </c>
      <c r="N2323">
        <v>0</v>
      </c>
      <c r="O2323">
        <v>0</v>
      </c>
      <c r="P2323" s="216">
        <v>35000</v>
      </c>
      <c r="Q2323" s="217" t="s">
        <v>23</v>
      </c>
      <c r="R2323" s="217" t="s">
        <v>62</v>
      </c>
      <c r="S2323" s="218">
        <v>0.27078399731601943</v>
      </c>
      <c r="T2323" t="s">
        <v>550</v>
      </c>
      <c r="U2323" t="s">
        <v>51</v>
      </c>
      <c r="V2323" s="219">
        <v>0</v>
      </c>
      <c r="W2323" s="219">
        <v>0</v>
      </c>
    </row>
    <row r="2324" spans="1:23" ht="15" customHeight="1" x14ac:dyDescent="0.25">
      <c r="A2324" t="s">
        <v>5435</v>
      </c>
      <c r="B2324" t="s">
        <v>603</v>
      </c>
      <c r="C2324">
        <v>249388.43</v>
      </c>
      <c r="D2324" t="s">
        <v>5436</v>
      </c>
      <c r="E2324" t="s">
        <v>2411</v>
      </c>
      <c r="F2324" t="s">
        <v>554</v>
      </c>
      <c r="G2324" s="30">
        <v>46149</v>
      </c>
      <c r="H2324" t="s">
        <v>5437</v>
      </c>
      <c r="I2324">
        <v>2493884.25</v>
      </c>
      <c r="J2324" s="123">
        <v>46149</v>
      </c>
      <c r="K2324" s="123">
        <v>0</v>
      </c>
      <c r="L2324" s="123">
        <v>0</v>
      </c>
      <c r="M2324">
        <v>0</v>
      </c>
      <c r="N2324">
        <v>0</v>
      </c>
      <c r="O2324">
        <v>0</v>
      </c>
      <c r="P2324" s="216">
        <v>249388.43</v>
      </c>
      <c r="Q2324" s="217" t="s">
        <v>23</v>
      </c>
      <c r="R2324" s="217" t="s">
        <v>554</v>
      </c>
      <c r="S2324" s="218">
        <v>0.20043762255605888</v>
      </c>
      <c r="T2324" t="s">
        <v>550</v>
      </c>
      <c r="U2324" t="s">
        <v>51</v>
      </c>
      <c r="V2324" s="219" t="s">
        <v>7124</v>
      </c>
      <c r="W2324" s="219" t="s">
        <v>67</v>
      </c>
    </row>
    <row r="2325" spans="1:23" ht="15" customHeight="1" x14ac:dyDescent="0.25">
      <c r="A2325" t="s">
        <v>5438</v>
      </c>
      <c r="B2325" t="s">
        <v>575</v>
      </c>
      <c r="C2325">
        <v>10000</v>
      </c>
      <c r="D2325" t="s">
        <v>5439</v>
      </c>
      <c r="E2325" t="s">
        <v>316</v>
      </c>
      <c r="F2325" t="s">
        <v>554</v>
      </c>
      <c r="G2325" s="30">
        <v>46146</v>
      </c>
      <c r="H2325" t="s">
        <v>5440</v>
      </c>
      <c r="I2325">
        <v>2603517</v>
      </c>
      <c r="J2325" s="123">
        <v>0</v>
      </c>
      <c r="K2325" s="123">
        <v>0</v>
      </c>
      <c r="L2325" s="123">
        <v>46144</v>
      </c>
      <c r="M2325">
        <v>0</v>
      </c>
      <c r="N2325">
        <v>0</v>
      </c>
      <c r="O2325">
        <v>0</v>
      </c>
      <c r="P2325" s="216">
        <v>10000</v>
      </c>
      <c r="Q2325" s="217" t="s">
        <v>46</v>
      </c>
      <c r="R2325" s="217" t="s">
        <v>554</v>
      </c>
      <c r="S2325" s="218">
        <v>0.22461851026899382</v>
      </c>
      <c r="T2325" t="s">
        <v>550</v>
      </c>
      <c r="U2325" t="s">
        <v>51</v>
      </c>
      <c r="V2325" s="219" t="s">
        <v>7125</v>
      </c>
      <c r="W2325" s="219" t="s">
        <v>67</v>
      </c>
    </row>
    <row r="2326" spans="1:23" ht="15" customHeight="1" x14ac:dyDescent="0.25">
      <c r="A2326" t="s">
        <v>5441</v>
      </c>
      <c r="B2326" t="s">
        <v>546</v>
      </c>
      <c r="C2326">
        <v>50000</v>
      </c>
      <c r="D2326" t="s">
        <v>5442</v>
      </c>
      <c r="E2326" t="s">
        <v>316</v>
      </c>
      <c r="F2326" t="s">
        <v>554</v>
      </c>
      <c r="G2326" s="30">
        <v>46147</v>
      </c>
      <c r="H2326" t="s">
        <v>5443</v>
      </c>
      <c r="I2326">
        <v>2621475</v>
      </c>
      <c r="J2326" s="123">
        <v>0</v>
      </c>
      <c r="K2326" s="123">
        <v>0</v>
      </c>
      <c r="L2326" s="123">
        <v>0</v>
      </c>
      <c r="M2326">
        <v>0</v>
      </c>
      <c r="N2326">
        <v>0</v>
      </c>
      <c r="O2326">
        <v>0</v>
      </c>
      <c r="P2326" s="216">
        <v>50000</v>
      </c>
      <c r="Q2326" s="217" t="s">
        <v>46</v>
      </c>
      <c r="R2326" s="217" t="s">
        <v>554</v>
      </c>
      <c r="S2326" s="218">
        <v>0.24814846603534269</v>
      </c>
      <c r="T2326" t="s">
        <v>550</v>
      </c>
      <c r="U2326" t="s">
        <v>51</v>
      </c>
      <c r="V2326" s="219" t="s">
        <v>7126</v>
      </c>
      <c r="W2326" s="219" t="s">
        <v>67</v>
      </c>
    </row>
    <row r="2327" spans="1:23" ht="15" customHeight="1" x14ac:dyDescent="0.25">
      <c r="A2327" t="s">
        <v>5444</v>
      </c>
      <c r="B2327" t="s">
        <v>546</v>
      </c>
      <c r="C2327">
        <v>50000</v>
      </c>
      <c r="D2327" t="s">
        <v>5442</v>
      </c>
      <c r="E2327" t="s">
        <v>316</v>
      </c>
      <c r="F2327" t="s">
        <v>548</v>
      </c>
      <c r="G2327" s="30">
        <v>46147</v>
      </c>
      <c r="H2327" t="s">
        <v>5443</v>
      </c>
      <c r="I2327">
        <v>2621475</v>
      </c>
      <c r="J2327" s="123">
        <v>0</v>
      </c>
      <c r="K2327" s="123">
        <v>0</v>
      </c>
      <c r="L2327" s="123">
        <v>0</v>
      </c>
      <c r="M2327">
        <v>0</v>
      </c>
      <c r="N2327">
        <v>0</v>
      </c>
      <c r="O2327">
        <v>0</v>
      </c>
      <c r="P2327" s="216">
        <v>50000</v>
      </c>
      <c r="Q2327" s="217" t="s">
        <v>46</v>
      </c>
      <c r="R2327" s="217" t="s">
        <v>62</v>
      </c>
      <c r="S2327" s="218">
        <v>0.24814846603534269</v>
      </c>
      <c r="T2327" t="s">
        <v>550</v>
      </c>
      <c r="U2327" t="s">
        <v>51</v>
      </c>
      <c r="V2327" s="219">
        <v>0</v>
      </c>
      <c r="W2327" s="219">
        <v>0</v>
      </c>
    </row>
    <row r="2328" spans="1:23" ht="15" customHeight="1" x14ac:dyDescent="0.25">
      <c r="A2328" t="s">
        <v>5445</v>
      </c>
      <c r="B2328" t="s">
        <v>546</v>
      </c>
      <c r="C2328">
        <v>25000</v>
      </c>
      <c r="D2328" t="s">
        <v>5442</v>
      </c>
      <c r="E2328" t="s">
        <v>316</v>
      </c>
      <c r="F2328" t="s">
        <v>554</v>
      </c>
      <c r="G2328" s="30">
        <v>46147</v>
      </c>
      <c r="H2328" t="s">
        <v>5443</v>
      </c>
      <c r="I2328">
        <v>2621475</v>
      </c>
      <c r="J2328" s="123">
        <v>0</v>
      </c>
      <c r="K2328" s="123">
        <v>0</v>
      </c>
      <c r="L2328" s="123">
        <v>0</v>
      </c>
      <c r="M2328">
        <v>0</v>
      </c>
      <c r="N2328">
        <v>0</v>
      </c>
      <c r="O2328">
        <v>0</v>
      </c>
      <c r="P2328" s="216">
        <v>25000</v>
      </c>
      <c r="Q2328" s="217" t="s">
        <v>46</v>
      </c>
      <c r="R2328" s="217" t="s">
        <v>554</v>
      </c>
      <c r="S2328" s="218">
        <v>0.24814846603534269</v>
      </c>
      <c r="T2328" t="s">
        <v>550</v>
      </c>
      <c r="U2328" t="s">
        <v>51</v>
      </c>
      <c r="V2328" s="219" t="s">
        <v>7127</v>
      </c>
      <c r="W2328" s="219" t="s">
        <v>67</v>
      </c>
    </row>
    <row r="2329" spans="1:23" ht="15" customHeight="1" x14ac:dyDescent="0.25">
      <c r="A2329" t="s">
        <v>5446</v>
      </c>
      <c r="B2329" t="s">
        <v>546</v>
      </c>
      <c r="C2329">
        <v>25000</v>
      </c>
      <c r="D2329" t="s">
        <v>5442</v>
      </c>
      <c r="E2329" t="s">
        <v>316</v>
      </c>
      <c r="F2329" t="s">
        <v>554</v>
      </c>
      <c r="G2329" s="30">
        <v>46147</v>
      </c>
      <c r="H2329" t="s">
        <v>5443</v>
      </c>
      <c r="I2329">
        <v>2621475</v>
      </c>
      <c r="J2329" s="123">
        <v>0</v>
      </c>
      <c r="K2329" s="123">
        <v>0</v>
      </c>
      <c r="L2329" s="123">
        <v>0</v>
      </c>
      <c r="M2329">
        <v>0</v>
      </c>
      <c r="N2329">
        <v>0</v>
      </c>
      <c r="O2329">
        <v>0</v>
      </c>
      <c r="P2329" s="216">
        <v>25000</v>
      </c>
      <c r="Q2329" s="217" t="s">
        <v>46</v>
      </c>
      <c r="R2329" s="217" t="s">
        <v>554</v>
      </c>
      <c r="S2329" s="218">
        <v>0.24814846603534269</v>
      </c>
      <c r="T2329" t="s">
        <v>550</v>
      </c>
      <c r="U2329" t="s">
        <v>51</v>
      </c>
      <c r="V2329" s="219" t="s">
        <v>7128</v>
      </c>
      <c r="W2329" s="219" t="s">
        <v>67</v>
      </c>
    </row>
    <row r="2330" spans="1:23" ht="15" customHeight="1" x14ac:dyDescent="0.25">
      <c r="A2330" t="s">
        <v>5447</v>
      </c>
      <c r="B2330" t="s">
        <v>546</v>
      </c>
      <c r="C2330">
        <v>25000</v>
      </c>
      <c r="D2330" t="s">
        <v>5442</v>
      </c>
      <c r="E2330" t="s">
        <v>316</v>
      </c>
      <c r="F2330" t="s">
        <v>548</v>
      </c>
      <c r="G2330" s="30">
        <v>46147</v>
      </c>
      <c r="H2330" t="s">
        <v>5443</v>
      </c>
      <c r="I2330">
        <v>2621475</v>
      </c>
      <c r="J2330" s="123">
        <v>0</v>
      </c>
      <c r="K2330" s="123">
        <v>0</v>
      </c>
      <c r="L2330" s="123">
        <v>0</v>
      </c>
      <c r="M2330">
        <v>0</v>
      </c>
      <c r="N2330">
        <v>0</v>
      </c>
      <c r="O2330">
        <v>0</v>
      </c>
      <c r="P2330" s="216">
        <v>25000</v>
      </c>
      <c r="Q2330" s="217" t="s">
        <v>46</v>
      </c>
      <c r="R2330" s="217" t="s">
        <v>62</v>
      </c>
      <c r="S2330" s="218">
        <v>0.24814846603534269</v>
      </c>
      <c r="T2330" t="s">
        <v>550</v>
      </c>
      <c r="U2330" t="s">
        <v>51</v>
      </c>
      <c r="V2330" s="219">
        <v>0</v>
      </c>
      <c r="W2330" s="219">
        <v>0</v>
      </c>
    </row>
    <row r="2331" spans="1:23" ht="15" customHeight="1" x14ac:dyDescent="0.25">
      <c r="A2331" t="s">
        <v>5448</v>
      </c>
      <c r="B2331" t="s">
        <v>546</v>
      </c>
      <c r="C2331">
        <v>25000</v>
      </c>
      <c r="D2331" t="s">
        <v>5442</v>
      </c>
      <c r="E2331" t="s">
        <v>316</v>
      </c>
      <c r="F2331" t="s">
        <v>548</v>
      </c>
      <c r="G2331" s="30">
        <v>46147</v>
      </c>
      <c r="H2331" t="s">
        <v>5443</v>
      </c>
      <c r="I2331">
        <v>2621475</v>
      </c>
      <c r="J2331" s="123">
        <v>0</v>
      </c>
      <c r="K2331" s="123">
        <v>0</v>
      </c>
      <c r="L2331" s="123">
        <v>0</v>
      </c>
      <c r="M2331">
        <v>0</v>
      </c>
      <c r="N2331">
        <v>0</v>
      </c>
      <c r="O2331">
        <v>0</v>
      </c>
      <c r="P2331" s="216">
        <v>25000</v>
      </c>
      <c r="Q2331" s="217" t="s">
        <v>46</v>
      </c>
      <c r="R2331" s="217" t="s">
        <v>62</v>
      </c>
      <c r="S2331" s="218">
        <v>0.24814846603534269</v>
      </c>
      <c r="T2331" t="s">
        <v>550</v>
      </c>
      <c r="U2331" t="s">
        <v>51</v>
      </c>
      <c r="V2331" s="219">
        <v>0</v>
      </c>
      <c r="W2331" s="219">
        <v>0</v>
      </c>
    </row>
    <row r="2332" spans="1:23" ht="15" customHeight="1" x14ac:dyDescent="0.25">
      <c r="A2332" t="s">
        <v>5449</v>
      </c>
      <c r="B2332" t="s">
        <v>603</v>
      </c>
      <c r="C2332">
        <v>130000</v>
      </c>
      <c r="D2332" t="s">
        <v>5450</v>
      </c>
      <c r="E2332" t="s">
        <v>605</v>
      </c>
      <c r="F2332" t="s">
        <v>683</v>
      </c>
      <c r="G2332" s="30">
        <v>46143</v>
      </c>
      <c r="H2332" t="s">
        <v>5451</v>
      </c>
      <c r="I2332">
        <v>1794101.61</v>
      </c>
      <c r="J2332" s="123">
        <v>0</v>
      </c>
      <c r="K2332" s="123">
        <v>0</v>
      </c>
      <c r="L2332" s="123">
        <v>0</v>
      </c>
      <c r="M2332">
        <v>0</v>
      </c>
      <c r="N2332">
        <v>0</v>
      </c>
      <c r="O2332">
        <v>0</v>
      </c>
      <c r="P2332" s="216">
        <v>130000</v>
      </c>
      <c r="Q2332" s="217" t="s">
        <v>11</v>
      </c>
      <c r="R2332" s="217" t="s">
        <v>62</v>
      </c>
      <c r="S2332" s="218">
        <v>0.27134632023433719</v>
      </c>
      <c r="T2332" t="s">
        <v>550</v>
      </c>
      <c r="U2332" t="s">
        <v>74</v>
      </c>
      <c r="V2332" s="219">
        <v>0</v>
      </c>
      <c r="W2332" s="219">
        <v>0</v>
      </c>
    </row>
    <row r="2333" spans="1:23" ht="15" customHeight="1" x14ac:dyDescent="0.25">
      <c r="A2333" t="s">
        <v>5452</v>
      </c>
      <c r="B2333" t="s">
        <v>603</v>
      </c>
      <c r="C2333">
        <v>128000</v>
      </c>
      <c r="D2333" t="s">
        <v>5450</v>
      </c>
      <c r="E2333" t="s">
        <v>605</v>
      </c>
      <c r="F2333" t="s">
        <v>554</v>
      </c>
      <c r="G2333" s="30">
        <v>46144</v>
      </c>
      <c r="H2333" t="s">
        <v>5451</v>
      </c>
      <c r="I2333">
        <v>1794101.61</v>
      </c>
      <c r="J2333" s="123">
        <v>46144</v>
      </c>
      <c r="K2333" s="123">
        <v>0</v>
      </c>
      <c r="L2333" s="123">
        <v>0</v>
      </c>
      <c r="M2333">
        <v>0</v>
      </c>
      <c r="N2333">
        <v>0</v>
      </c>
      <c r="O2333">
        <v>0</v>
      </c>
      <c r="P2333" s="216">
        <v>128000</v>
      </c>
      <c r="Q2333" s="217" t="s">
        <v>11</v>
      </c>
      <c r="R2333" s="217" t="s">
        <v>554</v>
      </c>
      <c r="S2333" s="218">
        <v>0.27134632023433719</v>
      </c>
      <c r="T2333" t="s">
        <v>550</v>
      </c>
      <c r="U2333" t="s">
        <v>74</v>
      </c>
      <c r="V2333" s="219" t="s">
        <v>7129</v>
      </c>
      <c r="W2333" s="219" t="s">
        <v>67</v>
      </c>
    </row>
    <row r="2334" spans="1:23" ht="15" customHeight="1" x14ac:dyDescent="0.25">
      <c r="A2334" t="s">
        <v>5453</v>
      </c>
      <c r="B2334" t="s">
        <v>595</v>
      </c>
      <c r="C2334">
        <v>177867.15</v>
      </c>
      <c r="D2334" t="s">
        <v>5454</v>
      </c>
      <c r="E2334" t="s">
        <v>4879</v>
      </c>
      <c r="F2334" t="s">
        <v>580</v>
      </c>
      <c r="G2334" s="30">
        <v>46148</v>
      </c>
      <c r="H2334" t="s">
        <v>5455</v>
      </c>
      <c r="I2334">
        <v>1778671.54</v>
      </c>
      <c r="J2334" s="123">
        <v>46122</v>
      </c>
      <c r="K2334" s="123">
        <v>0</v>
      </c>
      <c r="L2334" s="123">
        <v>46122</v>
      </c>
      <c r="M2334">
        <v>0</v>
      </c>
      <c r="N2334">
        <v>0</v>
      </c>
      <c r="O2334">
        <v>0</v>
      </c>
      <c r="P2334" s="216">
        <v>177867.15</v>
      </c>
      <c r="Q2334" s="217" t="s">
        <v>11</v>
      </c>
      <c r="R2334" s="217" t="s">
        <v>582</v>
      </c>
      <c r="S2334" s="218">
        <v>9.9947762137128471E-2</v>
      </c>
      <c r="T2334" t="s">
        <v>550</v>
      </c>
      <c r="U2334" t="s">
        <v>74</v>
      </c>
      <c r="V2334" s="219">
        <v>0</v>
      </c>
      <c r="W2334" s="219">
        <v>0</v>
      </c>
    </row>
    <row r="2335" spans="1:23" ht="15" customHeight="1" x14ac:dyDescent="0.25">
      <c r="A2335" t="s">
        <v>5456</v>
      </c>
      <c r="B2335" t="s">
        <v>546</v>
      </c>
      <c r="C2335">
        <v>143431</v>
      </c>
      <c r="D2335" t="s">
        <v>5457</v>
      </c>
      <c r="E2335" t="s">
        <v>553</v>
      </c>
      <c r="F2335" t="s">
        <v>554</v>
      </c>
      <c r="G2335" s="30">
        <v>46147</v>
      </c>
      <c r="H2335" t="s">
        <v>5458</v>
      </c>
      <c r="I2335">
        <v>1434312.54</v>
      </c>
      <c r="J2335" s="123">
        <v>46147</v>
      </c>
      <c r="K2335" s="123">
        <v>0</v>
      </c>
      <c r="L2335" s="123">
        <v>46147</v>
      </c>
      <c r="M2335">
        <v>0</v>
      </c>
      <c r="N2335">
        <v>0</v>
      </c>
      <c r="O2335" t="s">
        <v>556</v>
      </c>
      <c r="P2335" s="216">
        <v>143431</v>
      </c>
      <c r="Q2335" s="217" t="s">
        <v>11</v>
      </c>
      <c r="R2335" s="217" t="s">
        <v>554</v>
      </c>
      <c r="S2335" s="218">
        <v>0.30000016593315149</v>
      </c>
      <c r="T2335" t="s">
        <v>550</v>
      </c>
      <c r="U2335" t="s">
        <v>74</v>
      </c>
      <c r="V2335" s="219" t="s">
        <v>7130</v>
      </c>
      <c r="W2335" s="219" t="s">
        <v>67</v>
      </c>
    </row>
    <row r="2336" spans="1:23" ht="15" customHeight="1" x14ac:dyDescent="0.25">
      <c r="A2336" t="s">
        <v>5459</v>
      </c>
      <c r="B2336" t="s">
        <v>546</v>
      </c>
      <c r="C2336">
        <v>12500</v>
      </c>
      <c r="D2336" t="s">
        <v>5460</v>
      </c>
      <c r="E2336" t="s">
        <v>258</v>
      </c>
      <c r="F2336" t="s">
        <v>554</v>
      </c>
      <c r="G2336" s="30">
        <v>46147</v>
      </c>
      <c r="H2336" t="s">
        <v>5461</v>
      </c>
      <c r="I2336">
        <v>1404555.71</v>
      </c>
      <c r="J2336" s="123">
        <v>0</v>
      </c>
      <c r="K2336" s="123">
        <v>0</v>
      </c>
      <c r="L2336" s="123">
        <v>0</v>
      </c>
      <c r="M2336">
        <v>0</v>
      </c>
      <c r="N2336">
        <v>0</v>
      </c>
      <c r="O2336">
        <v>0</v>
      </c>
      <c r="P2336" s="216">
        <v>12500</v>
      </c>
      <c r="Q2336" s="217" t="s">
        <v>9</v>
      </c>
      <c r="R2336" s="217" t="s">
        <v>554</v>
      </c>
      <c r="S2336" s="218">
        <v>0.30000020433507762</v>
      </c>
      <c r="T2336" t="s">
        <v>550</v>
      </c>
      <c r="U2336" t="s">
        <v>74</v>
      </c>
      <c r="V2336" s="219" t="s">
        <v>7131</v>
      </c>
      <c r="W2336" s="219" t="s">
        <v>67</v>
      </c>
    </row>
    <row r="2337" spans="1:23" ht="15" customHeight="1" x14ac:dyDescent="0.25">
      <c r="A2337" t="s">
        <v>5462</v>
      </c>
      <c r="B2337" t="s">
        <v>546</v>
      </c>
      <c r="C2337">
        <v>1946</v>
      </c>
      <c r="D2337" t="s">
        <v>5460</v>
      </c>
      <c r="E2337" t="s">
        <v>258</v>
      </c>
      <c r="F2337" t="s">
        <v>554</v>
      </c>
      <c r="G2337" s="30">
        <v>46147</v>
      </c>
      <c r="H2337" t="s">
        <v>5461</v>
      </c>
      <c r="I2337">
        <v>1404555.71</v>
      </c>
      <c r="J2337" s="123">
        <v>0</v>
      </c>
      <c r="K2337" s="123">
        <v>0</v>
      </c>
      <c r="L2337" s="123">
        <v>0</v>
      </c>
      <c r="M2337">
        <v>0</v>
      </c>
      <c r="N2337">
        <v>0</v>
      </c>
      <c r="O2337">
        <v>0</v>
      </c>
      <c r="P2337" s="216">
        <v>1946</v>
      </c>
      <c r="Q2337" s="217" t="s">
        <v>9</v>
      </c>
      <c r="R2337" s="217" t="s">
        <v>554</v>
      </c>
      <c r="S2337" s="218">
        <v>0.30000020433507762</v>
      </c>
      <c r="T2337" t="s">
        <v>550</v>
      </c>
      <c r="U2337" t="s">
        <v>74</v>
      </c>
      <c r="V2337" s="219" t="s">
        <v>7132</v>
      </c>
      <c r="W2337" s="219" t="s">
        <v>67</v>
      </c>
    </row>
    <row r="2338" spans="1:23" ht="15" customHeight="1" x14ac:dyDescent="0.25">
      <c r="A2338" t="s">
        <v>5463</v>
      </c>
      <c r="B2338" t="s">
        <v>595</v>
      </c>
      <c r="C2338">
        <v>89511.45</v>
      </c>
      <c r="D2338" t="s">
        <v>5464</v>
      </c>
      <c r="E2338" t="s">
        <v>258</v>
      </c>
      <c r="F2338" t="s">
        <v>554</v>
      </c>
      <c r="G2338" s="30">
        <v>46147</v>
      </c>
      <c r="H2338" t="s">
        <v>5465</v>
      </c>
      <c r="I2338">
        <v>1794989.63</v>
      </c>
      <c r="J2338" s="123">
        <v>0</v>
      </c>
      <c r="K2338" s="123">
        <v>0</v>
      </c>
      <c r="L2338" s="123">
        <v>46127</v>
      </c>
      <c r="M2338">
        <v>0</v>
      </c>
      <c r="N2338">
        <v>0</v>
      </c>
      <c r="O2338">
        <v>0</v>
      </c>
      <c r="P2338" s="216">
        <v>89511.45</v>
      </c>
      <c r="Q2338" s="217" t="s">
        <v>9</v>
      </c>
      <c r="R2338" s="217" t="s">
        <v>554</v>
      </c>
      <c r="S2338" s="218">
        <v>0.18788490159689672</v>
      </c>
      <c r="T2338" t="s">
        <v>550</v>
      </c>
      <c r="U2338" t="s">
        <v>74</v>
      </c>
      <c r="V2338" s="219" t="s">
        <v>7133</v>
      </c>
      <c r="W2338" s="219" t="s">
        <v>67</v>
      </c>
    </row>
    <row r="2339" spans="1:23" ht="15" customHeight="1" x14ac:dyDescent="0.25">
      <c r="A2339" t="s">
        <v>5466</v>
      </c>
      <c r="B2339" t="s">
        <v>603</v>
      </c>
      <c r="C2339">
        <v>530000</v>
      </c>
      <c r="D2339" t="s">
        <v>5467</v>
      </c>
      <c r="E2339" t="s">
        <v>605</v>
      </c>
      <c r="F2339" t="s">
        <v>554</v>
      </c>
      <c r="G2339" s="30">
        <v>46146</v>
      </c>
      <c r="H2339" t="s">
        <v>5468</v>
      </c>
      <c r="I2339">
        <v>24556410</v>
      </c>
      <c r="J2339" s="123">
        <v>46146</v>
      </c>
      <c r="K2339" s="123">
        <v>0</v>
      </c>
      <c r="L2339" s="123">
        <v>0</v>
      </c>
      <c r="M2339">
        <v>0</v>
      </c>
      <c r="N2339">
        <v>0</v>
      </c>
      <c r="O2339">
        <v>0</v>
      </c>
      <c r="P2339" s="216">
        <v>530000</v>
      </c>
      <c r="Q2339" s="217" t="s">
        <v>39</v>
      </c>
      <c r="R2339" s="217" t="s">
        <v>554</v>
      </c>
      <c r="S2339" s="218">
        <v>0.8592593913361114</v>
      </c>
      <c r="T2339" t="s">
        <v>550</v>
      </c>
      <c r="U2339" t="s">
        <v>51</v>
      </c>
      <c r="V2339" s="219" t="s">
        <v>7134</v>
      </c>
      <c r="W2339" s="219" t="s">
        <v>67</v>
      </c>
    </row>
    <row r="2340" spans="1:23" ht="15" customHeight="1" x14ac:dyDescent="0.25">
      <c r="A2340" t="s">
        <v>5469</v>
      </c>
      <c r="B2340" t="s">
        <v>575</v>
      </c>
      <c r="C2340">
        <v>868316.4</v>
      </c>
      <c r="D2340" t="s">
        <v>5470</v>
      </c>
      <c r="E2340" t="s">
        <v>218</v>
      </c>
      <c r="F2340" t="s">
        <v>580</v>
      </c>
      <c r="G2340" s="30">
        <v>46149</v>
      </c>
      <c r="H2340" t="s">
        <v>5471</v>
      </c>
      <c r="I2340">
        <v>8269680</v>
      </c>
      <c r="J2340" s="123">
        <v>0</v>
      </c>
      <c r="K2340" s="123">
        <v>0</v>
      </c>
      <c r="L2340" s="123">
        <v>46137</v>
      </c>
      <c r="M2340">
        <v>0</v>
      </c>
      <c r="N2340">
        <v>0</v>
      </c>
      <c r="O2340">
        <v>0</v>
      </c>
      <c r="P2340" s="216">
        <v>868316.4</v>
      </c>
      <c r="Q2340" s="217" t="s">
        <v>13</v>
      </c>
      <c r="R2340" s="217" t="s">
        <v>582</v>
      </c>
      <c r="S2340" s="218">
        <v>0.39935049481963025</v>
      </c>
      <c r="T2340" t="s">
        <v>550</v>
      </c>
      <c r="U2340" t="s">
        <v>51</v>
      </c>
      <c r="V2340" s="219">
        <v>0</v>
      </c>
      <c r="W2340" s="219">
        <v>0</v>
      </c>
    </row>
    <row r="2341" spans="1:23" ht="15" customHeight="1" x14ac:dyDescent="0.25">
      <c r="A2341" t="s">
        <v>5472</v>
      </c>
      <c r="B2341" t="s">
        <v>1118</v>
      </c>
      <c r="C2341">
        <v>473290</v>
      </c>
      <c r="D2341" t="s">
        <v>5473</v>
      </c>
      <c r="E2341" t="s">
        <v>178</v>
      </c>
      <c r="F2341" t="s">
        <v>554</v>
      </c>
      <c r="G2341" s="30">
        <v>46147</v>
      </c>
      <c r="H2341" t="s">
        <v>5474</v>
      </c>
      <c r="I2341">
        <v>4732900</v>
      </c>
      <c r="J2341" s="123">
        <v>46104</v>
      </c>
      <c r="K2341" s="123">
        <v>0</v>
      </c>
      <c r="L2341" s="123">
        <v>0</v>
      </c>
      <c r="M2341">
        <v>0</v>
      </c>
      <c r="N2341">
        <v>0</v>
      </c>
      <c r="O2341">
        <v>0</v>
      </c>
      <c r="P2341" s="216">
        <v>473290</v>
      </c>
      <c r="Q2341" s="217" t="s">
        <v>32</v>
      </c>
      <c r="R2341" s="217" t="s">
        <v>554</v>
      </c>
      <c r="S2341" s="218">
        <v>0.30584250670836061</v>
      </c>
      <c r="T2341" t="s">
        <v>550</v>
      </c>
      <c r="U2341" t="s">
        <v>51</v>
      </c>
      <c r="V2341" s="219" t="s">
        <v>7135</v>
      </c>
      <c r="W2341" s="219" t="s">
        <v>67</v>
      </c>
    </row>
    <row r="2342" spans="1:23" ht="15" customHeight="1" x14ac:dyDescent="0.25">
      <c r="A2342" t="s">
        <v>5475</v>
      </c>
      <c r="B2342" t="s">
        <v>575</v>
      </c>
      <c r="C2342">
        <v>436382</v>
      </c>
      <c r="D2342" t="s">
        <v>5476</v>
      </c>
      <c r="E2342" t="s">
        <v>298</v>
      </c>
      <c r="F2342" t="s">
        <v>554</v>
      </c>
      <c r="G2342" s="30">
        <v>46143</v>
      </c>
      <c r="H2342" t="s">
        <v>5477</v>
      </c>
      <c r="I2342">
        <v>2524411.0499999998</v>
      </c>
      <c r="J2342" s="123">
        <v>0</v>
      </c>
      <c r="K2342" s="123">
        <v>0</v>
      </c>
      <c r="L2342" s="123">
        <v>46143</v>
      </c>
      <c r="M2342">
        <v>0</v>
      </c>
      <c r="N2342">
        <v>0</v>
      </c>
      <c r="O2342">
        <v>0</v>
      </c>
      <c r="P2342" s="216">
        <v>436382</v>
      </c>
      <c r="Q2342" s="217" t="s">
        <v>45</v>
      </c>
      <c r="R2342" s="217" t="s">
        <v>554</v>
      </c>
      <c r="S2342" s="218">
        <v>0.39286954475975694</v>
      </c>
      <c r="T2342" t="s">
        <v>550</v>
      </c>
      <c r="U2342" t="s">
        <v>51</v>
      </c>
      <c r="V2342" s="219" t="s">
        <v>7136</v>
      </c>
      <c r="W2342" s="219" t="s">
        <v>67</v>
      </c>
    </row>
    <row r="2343" spans="1:23" ht="15" customHeight="1" x14ac:dyDescent="0.25">
      <c r="A2343" t="s">
        <v>5478</v>
      </c>
      <c r="B2343" t="s">
        <v>595</v>
      </c>
      <c r="C2343">
        <v>187300</v>
      </c>
      <c r="D2343" t="s">
        <v>5479</v>
      </c>
      <c r="E2343" t="s">
        <v>193</v>
      </c>
      <c r="F2343" t="s">
        <v>580</v>
      </c>
      <c r="G2343" s="30">
        <v>46149</v>
      </c>
      <c r="H2343" t="s">
        <v>5480</v>
      </c>
      <c r="I2343">
        <v>1872998.75</v>
      </c>
      <c r="J2343" s="123">
        <v>0</v>
      </c>
      <c r="K2343" s="123">
        <v>0</v>
      </c>
      <c r="L2343" s="123">
        <v>46145</v>
      </c>
      <c r="M2343">
        <v>0</v>
      </c>
      <c r="N2343">
        <v>0</v>
      </c>
      <c r="O2343">
        <v>0</v>
      </c>
      <c r="P2343" s="216">
        <v>187300</v>
      </c>
      <c r="Q2343" s="217" t="s">
        <v>26</v>
      </c>
      <c r="R2343" s="217" t="s">
        <v>582</v>
      </c>
      <c r="S2343" s="218">
        <v>0.10000006673789825</v>
      </c>
      <c r="T2343" t="s">
        <v>550</v>
      </c>
      <c r="U2343" t="s">
        <v>51</v>
      </c>
      <c r="V2343" s="219">
        <v>0</v>
      </c>
      <c r="W2343" s="219">
        <v>0</v>
      </c>
    </row>
    <row r="2344" spans="1:23" ht="15" customHeight="1" x14ac:dyDescent="0.25">
      <c r="A2344" t="s">
        <v>5481</v>
      </c>
      <c r="B2344" t="s">
        <v>595</v>
      </c>
      <c r="C2344">
        <v>10025</v>
      </c>
      <c r="D2344" t="s">
        <v>5482</v>
      </c>
      <c r="E2344" t="s">
        <v>193</v>
      </c>
      <c r="F2344" t="s">
        <v>580</v>
      </c>
      <c r="G2344" s="30">
        <v>46149</v>
      </c>
      <c r="H2344" t="s">
        <v>5483</v>
      </c>
      <c r="I2344">
        <v>2569905</v>
      </c>
      <c r="J2344" s="123">
        <v>0</v>
      </c>
      <c r="K2344" s="123">
        <v>0</v>
      </c>
      <c r="L2344" s="123">
        <v>46032</v>
      </c>
      <c r="M2344">
        <v>0</v>
      </c>
      <c r="N2344">
        <v>0</v>
      </c>
      <c r="O2344">
        <v>0</v>
      </c>
      <c r="P2344" s="216">
        <v>10025</v>
      </c>
      <c r="Q2344" s="217" t="s">
        <v>26</v>
      </c>
      <c r="R2344" s="217" t="s">
        <v>582</v>
      </c>
      <c r="S2344" s="218">
        <v>0.1470276372083793</v>
      </c>
      <c r="T2344" t="s">
        <v>550</v>
      </c>
      <c r="U2344" t="s">
        <v>51</v>
      </c>
      <c r="V2344" s="219">
        <v>0</v>
      </c>
      <c r="W2344" s="219">
        <v>0</v>
      </c>
    </row>
    <row r="2345" spans="1:23" ht="15" customHeight="1" x14ac:dyDescent="0.25">
      <c r="A2345" t="s">
        <v>5484</v>
      </c>
      <c r="B2345" t="s">
        <v>595</v>
      </c>
      <c r="C2345">
        <v>10000</v>
      </c>
      <c r="D2345" t="s">
        <v>5482</v>
      </c>
      <c r="E2345" t="s">
        <v>193</v>
      </c>
      <c r="F2345" t="s">
        <v>580</v>
      </c>
      <c r="G2345" s="30">
        <v>46149</v>
      </c>
      <c r="H2345" t="s">
        <v>5483</v>
      </c>
      <c r="I2345">
        <v>2569905</v>
      </c>
      <c r="J2345" s="123">
        <v>0</v>
      </c>
      <c r="K2345" s="123">
        <v>0</v>
      </c>
      <c r="L2345" s="123">
        <v>46091</v>
      </c>
      <c r="M2345">
        <v>0</v>
      </c>
      <c r="N2345">
        <v>0</v>
      </c>
      <c r="O2345">
        <v>0</v>
      </c>
      <c r="P2345" s="216">
        <v>10000</v>
      </c>
      <c r="Q2345" s="217" t="s">
        <v>26</v>
      </c>
      <c r="R2345" s="217" t="s">
        <v>582</v>
      </c>
      <c r="S2345" s="218">
        <v>0.1470276372083793</v>
      </c>
      <c r="T2345" t="s">
        <v>550</v>
      </c>
      <c r="U2345" t="s">
        <v>51</v>
      </c>
      <c r="V2345" s="219">
        <v>0</v>
      </c>
      <c r="W2345" s="219">
        <v>0</v>
      </c>
    </row>
    <row r="2346" spans="1:23" ht="15" customHeight="1" x14ac:dyDescent="0.25">
      <c r="A2346" t="s">
        <v>5485</v>
      </c>
      <c r="B2346" t="s">
        <v>546</v>
      </c>
      <c r="C2346">
        <v>258343</v>
      </c>
      <c r="D2346" t="s">
        <v>5486</v>
      </c>
      <c r="E2346" t="s">
        <v>553</v>
      </c>
      <c r="F2346" t="s">
        <v>548</v>
      </c>
      <c r="G2346" s="30">
        <v>46147</v>
      </c>
      <c r="H2346" t="s">
        <v>5487</v>
      </c>
      <c r="I2346">
        <v>2583428.5499999998</v>
      </c>
      <c r="J2346" s="123">
        <v>46147</v>
      </c>
      <c r="K2346" s="123">
        <v>0</v>
      </c>
      <c r="L2346" s="123">
        <v>46147</v>
      </c>
      <c r="M2346">
        <v>0</v>
      </c>
      <c r="N2346">
        <v>0</v>
      </c>
      <c r="O2346" t="s">
        <v>556</v>
      </c>
      <c r="P2346" s="216">
        <v>258343</v>
      </c>
      <c r="Q2346" s="217" t="s">
        <v>26</v>
      </c>
      <c r="R2346" s="217" t="s">
        <v>62</v>
      </c>
      <c r="S2346" s="218">
        <v>0.14193773619169767</v>
      </c>
      <c r="T2346" t="s">
        <v>550</v>
      </c>
      <c r="U2346" t="s">
        <v>51</v>
      </c>
      <c r="V2346" s="219">
        <v>0</v>
      </c>
      <c r="W2346" s="219">
        <v>0</v>
      </c>
    </row>
    <row r="2347" spans="1:23" ht="15" customHeight="1" x14ac:dyDescent="0.25">
      <c r="A2347" t="s">
        <v>5488</v>
      </c>
      <c r="B2347" t="s">
        <v>546</v>
      </c>
      <c r="C2347">
        <v>58343</v>
      </c>
      <c r="D2347" t="s">
        <v>5486</v>
      </c>
      <c r="E2347" t="s">
        <v>553</v>
      </c>
      <c r="F2347" t="s">
        <v>554</v>
      </c>
      <c r="G2347" s="30">
        <v>46149</v>
      </c>
      <c r="H2347" t="s">
        <v>5487</v>
      </c>
      <c r="I2347">
        <v>2583428.5499999998</v>
      </c>
      <c r="J2347" s="123">
        <v>46149</v>
      </c>
      <c r="K2347" s="123">
        <v>0</v>
      </c>
      <c r="L2347" s="123">
        <v>46149</v>
      </c>
      <c r="M2347">
        <v>0</v>
      </c>
      <c r="N2347">
        <v>0</v>
      </c>
      <c r="O2347" t="s">
        <v>556</v>
      </c>
      <c r="P2347" s="216">
        <v>58343</v>
      </c>
      <c r="Q2347" s="217" t="s">
        <v>26</v>
      </c>
      <c r="R2347" s="217" t="s">
        <v>554</v>
      </c>
      <c r="S2347" s="218">
        <v>0.14193773619169767</v>
      </c>
      <c r="T2347" t="s">
        <v>550</v>
      </c>
      <c r="U2347" t="s">
        <v>51</v>
      </c>
      <c r="V2347" s="219" t="s">
        <v>7137</v>
      </c>
      <c r="W2347" s="219" t="s">
        <v>67</v>
      </c>
    </row>
    <row r="2348" spans="1:23" ht="15" customHeight="1" x14ac:dyDescent="0.25">
      <c r="A2348" t="s">
        <v>5489</v>
      </c>
      <c r="B2348" t="s">
        <v>546</v>
      </c>
      <c r="C2348">
        <v>58343</v>
      </c>
      <c r="D2348" t="s">
        <v>5486</v>
      </c>
      <c r="E2348" t="s">
        <v>553</v>
      </c>
      <c r="F2348" t="s">
        <v>548</v>
      </c>
      <c r="G2348" s="30">
        <v>46149</v>
      </c>
      <c r="H2348" t="s">
        <v>5487</v>
      </c>
      <c r="I2348">
        <v>2583428.5499999998</v>
      </c>
      <c r="J2348" s="123">
        <v>46149</v>
      </c>
      <c r="K2348" s="123">
        <v>0</v>
      </c>
      <c r="L2348" s="123">
        <v>46149</v>
      </c>
      <c r="M2348">
        <v>0</v>
      </c>
      <c r="N2348">
        <v>0</v>
      </c>
      <c r="O2348" t="s">
        <v>556</v>
      </c>
      <c r="P2348" s="216">
        <v>58343</v>
      </c>
      <c r="Q2348" s="217" t="s">
        <v>26</v>
      </c>
      <c r="R2348" s="217" t="s">
        <v>62</v>
      </c>
      <c r="S2348" s="218">
        <v>0.14193773619169767</v>
      </c>
      <c r="T2348" t="s">
        <v>550</v>
      </c>
      <c r="U2348" t="s">
        <v>51</v>
      </c>
      <c r="V2348" s="219">
        <v>0</v>
      </c>
      <c r="W2348" s="219">
        <v>0</v>
      </c>
    </row>
    <row r="2349" spans="1:23" ht="15" customHeight="1" x14ac:dyDescent="0.25">
      <c r="A2349" t="s">
        <v>5490</v>
      </c>
      <c r="B2349" t="s">
        <v>546</v>
      </c>
      <c r="C2349">
        <v>50000</v>
      </c>
      <c r="D2349" t="s">
        <v>5486</v>
      </c>
      <c r="E2349" t="s">
        <v>553</v>
      </c>
      <c r="F2349" t="s">
        <v>554</v>
      </c>
      <c r="G2349" s="30">
        <v>46149</v>
      </c>
      <c r="H2349" t="s">
        <v>5487</v>
      </c>
      <c r="I2349">
        <v>2583428.5499999998</v>
      </c>
      <c r="J2349" s="123">
        <v>46149</v>
      </c>
      <c r="K2349" s="123">
        <v>0</v>
      </c>
      <c r="L2349" s="123">
        <v>46149</v>
      </c>
      <c r="M2349">
        <v>0</v>
      </c>
      <c r="N2349">
        <v>0</v>
      </c>
      <c r="O2349" t="s">
        <v>556</v>
      </c>
      <c r="P2349" s="216">
        <v>50000</v>
      </c>
      <c r="Q2349" s="217" t="s">
        <v>26</v>
      </c>
      <c r="R2349" s="217" t="s">
        <v>554</v>
      </c>
      <c r="S2349" s="218">
        <v>0.14193773619169767</v>
      </c>
      <c r="T2349" t="s">
        <v>550</v>
      </c>
      <c r="U2349" t="s">
        <v>51</v>
      </c>
      <c r="V2349" s="219" t="s">
        <v>7138</v>
      </c>
      <c r="W2349" s="219" t="s">
        <v>67</v>
      </c>
    </row>
    <row r="2350" spans="1:23" ht="15" customHeight="1" x14ac:dyDescent="0.25">
      <c r="A2350" t="s">
        <v>5491</v>
      </c>
      <c r="B2350" t="s">
        <v>546</v>
      </c>
      <c r="C2350">
        <v>192135</v>
      </c>
      <c r="D2350" t="s">
        <v>5492</v>
      </c>
      <c r="E2350" t="s">
        <v>3072</v>
      </c>
      <c r="F2350" t="s">
        <v>554</v>
      </c>
      <c r="G2350" s="30">
        <v>46146</v>
      </c>
      <c r="H2350" t="s">
        <v>5493</v>
      </c>
      <c r="I2350">
        <v>1921355</v>
      </c>
      <c r="J2350" s="123">
        <v>0</v>
      </c>
      <c r="K2350" s="123">
        <v>0</v>
      </c>
      <c r="L2350" s="123">
        <v>0</v>
      </c>
      <c r="M2350">
        <v>0</v>
      </c>
      <c r="N2350">
        <v>0</v>
      </c>
      <c r="O2350">
        <v>0</v>
      </c>
      <c r="P2350" s="216">
        <v>192135</v>
      </c>
      <c r="Q2350" s="217" t="s">
        <v>21</v>
      </c>
      <c r="R2350" s="217" t="s">
        <v>554</v>
      </c>
      <c r="S2350" s="218">
        <v>0.30000026023301263</v>
      </c>
      <c r="T2350" t="s">
        <v>550</v>
      </c>
      <c r="U2350" t="s">
        <v>51</v>
      </c>
      <c r="V2350" s="219" t="s">
        <v>7139</v>
      </c>
      <c r="W2350" s="219" t="s">
        <v>67</v>
      </c>
    </row>
    <row r="2351" spans="1:23" ht="15" customHeight="1" x14ac:dyDescent="0.25">
      <c r="A2351" t="s">
        <v>5494</v>
      </c>
      <c r="B2351" t="s">
        <v>575</v>
      </c>
      <c r="C2351">
        <v>883000</v>
      </c>
      <c r="D2351" t="s">
        <v>5495</v>
      </c>
      <c r="E2351" t="s">
        <v>223</v>
      </c>
      <c r="F2351" t="s">
        <v>554</v>
      </c>
      <c r="G2351" s="30">
        <v>46146</v>
      </c>
      <c r="H2351" t="s">
        <v>5496</v>
      </c>
      <c r="I2351">
        <v>8409520</v>
      </c>
      <c r="J2351" s="123">
        <v>0</v>
      </c>
      <c r="K2351" s="123">
        <v>0</v>
      </c>
      <c r="L2351" s="123">
        <v>46143</v>
      </c>
      <c r="M2351">
        <v>0</v>
      </c>
      <c r="N2351">
        <v>0</v>
      </c>
      <c r="O2351">
        <v>0</v>
      </c>
      <c r="P2351" s="216">
        <v>883000</v>
      </c>
      <c r="Q2351" s="217" t="s">
        <v>31</v>
      </c>
      <c r="R2351" s="217" t="s">
        <v>554</v>
      </c>
      <c r="S2351" s="218">
        <v>0.31500014269542137</v>
      </c>
      <c r="T2351" t="s">
        <v>550</v>
      </c>
      <c r="U2351" t="s">
        <v>51</v>
      </c>
      <c r="V2351" s="219" t="s">
        <v>7140</v>
      </c>
      <c r="W2351" s="219" t="s">
        <v>67</v>
      </c>
    </row>
    <row r="2352" spans="1:23" ht="15" customHeight="1" x14ac:dyDescent="0.25">
      <c r="A2352" t="s">
        <v>5497</v>
      </c>
      <c r="B2352" t="s">
        <v>64</v>
      </c>
      <c r="C2352">
        <v>430956</v>
      </c>
      <c r="D2352" t="s">
        <v>5498</v>
      </c>
      <c r="E2352" t="s">
        <v>613</v>
      </c>
      <c r="F2352" t="s">
        <v>580</v>
      </c>
      <c r="G2352" s="30">
        <v>46149</v>
      </c>
      <c r="H2352" t="s">
        <v>5499</v>
      </c>
      <c r="I2352">
        <v>4078800</v>
      </c>
      <c r="J2352" s="123">
        <v>0</v>
      </c>
      <c r="K2352" s="123">
        <v>46148</v>
      </c>
      <c r="L2352" s="123">
        <v>0</v>
      </c>
      <c r="M2352">
        <v>0</v>
      </c>
      <c r="N2352">
        <v>0</v>
      </c>
      <c r="O2352" t="s">
        <v>556</v>
      </c>
      <c r="P2352" s="216">
        <v>430956</v>
      </c>
      <c r="Q2352" s="217" t="s">
        <v>28</v>
      </c>
      <c r="R2352" s="217" t="s">
        <v>582</v>
      </c>
      <c r="S2352" s="218">
        <v>0.20934245366284202</v>
      </c>
      <c r="T2352" t="s">
        <v>550</v>
      </c>
      <c r="U2352" t="s">
        <v>51</v>
      </c>
      <c r="V2352" s="219">
        <v>0</v>
      </c>
      <c r="W2352" s="219">
        <v>0</v>
      </c>
    </row>
    <row r="2353" spans="1:23" ht="15" customHeight="1" x14ac:dyDescent="0.25">
      <c r="A2353" t="s">
        <v>5500</v>
      </c>
      <c r="B2353" t="s">
        <v>595</v>
      </c>
      <c r="C2353">
        <v>120729</v>
      </c>
      <c r="D2353" t="s">
        <v>5501</v>
      </c>
      <c r="E2353" t="s">
        <v>268</v>
      </c>
      <c r="F2353" t="s">
        <v>554</v>
      </c>
      <c r="G2353" s="30">
        <v>46144</v>
      </c>
      <c r="H2353" t="s">
        <v>5502</v>
      </c>
      <c r="I2353">
        <v>1207290.9099999999</v>
      </c>
      <c r="J2353" s="123">
        <v>0</v>
      </c>
      <c r="K2353" s="123">
        <v>0</v>
      </c>
      <c r="L2353" s="123">
        <v>46143</v>
      </c>
      <c r="M2353">
        <v>0</v>
      </c>
      <c r="N2353">
        <v>0</v>
      </c>
      <c r="O2353">
        <v>0</v>
      </c>
      <c r="P2353" s="216">
        <v>120729</v>
      </c>
      <c r="Q2353" s="217" t="s">
        <v>10</v>
      </c>
      <c r="R2353" s="217" t="s">
        <v>554</v>
      </c>
      <c r="S2353" s="218">
        <v>0.19999992379632844</v>
      </c>
      <c r="T2353" t="s">
        <v>550</v>
      </c>
      <c r="U2353" t="s">
        <v>77</v>
      </c>
      <c r="V2353" s="219" t="s">
        <v>7141</v>
      </c>
      <c r="W2353" s="219" t="s">
        <v>67</v>
      </c>
    </row>
    <row r="2354" spans="1:23" ht="15" customHeight="1" x14ac:dyDescent="0.25">
      <c r="A2354" t="s">
        <v>5503</v>
      </c>
      <c r="B2354" t="s">
        <v>595</v>
      </c>
      <c r="C2354">
        <v>1000</v>
      </c>
      <c r="D2354" t="s">
        <v>5501</v>
      </c>
      <c r="E2354" t="s">
        <v>3803</v>
      </c>
      <c r="F2354" t="s">
        <v>585</v>
      </c>
      <c r="G2354" s="30">
        <v>46148</v>
      </c>
      <c r="H2354" t="s">
        <v>5502</v>
      </c>
      <c r="I2354">
        <v>1207290.9099999999</v>
      </c>
      <c r="J2354" s="123">
        <v>0</v>
      </c>
      <c r="K2354" s="123">
        <v>0</v>
      </c>
      <c r="L2354" s="123">
        <v>46142</v>
      </c>
      <c r="M2354">
        <v>0</v>
      </c>
      <c r="N2354">
        <v>0</v>
      </c>
      <c r="O2354">
        <v>0</v>
      </c>
      <c r="P2354" s="216">
        <v>1000</v>
      </c>
      <c r="Q2354" s="217" t="s">
        <v>10</v>
      </c>
      <c r="R2354" s="217" t="s">
        <v>61</v>
      </c>
      <c r="S2354" s="218">
        <v>0.19999992379632844</v>
      </c>
      <c r="T2354" t="s">
        <v>550</v>
      </c>
      <c r="U2354" t="s">
        <v>77</v>
      </c>
      <c r="V2354" s="219">
        <v>0</v>
      </c>
      <c r="W2354" s="219">
        <v>0</v>
      </c>
    </row>
    <row r="2355" spans="1:23" ht="15" customHeight="1" x14ac:dyDescent="0.25">
      <c r="A2355" t="s">
        <v>5504</v>
      </c>
      <c r="B2355" t="s">
        <v>595</v>
      </c>
      <c r="C2355">
        <v>123316</v>
      </c>
      <c r="D2355" t="s">
        <v>5505</v>
      </c>
      <c r="E2355" t="s">
        <v>268</v>
      </c>
      <c r="F2355" t="s">
        <v>554</v>
      </c>
      <c r="G2355" s="30">
        <v>46146</v>
      </c>
      <c r="H2355" t="s">
        <v>5506</v>
      </c>
      <c r="I2355">
        <v>1233161.43</v>
      </c>
      <c r="J2355" s="123">
        <v>0</v>
      </c>
      <c r="K2355" s="123">
        <v>0</v>
      </c>
      <c r="L2355" s="123">
        <v>46145</v>
      </c>
      <c r="M2355">
        <v>0</v>
      </c>
      <c r="N2355">
        <v>0</v>
      </c>
      <c r="O2355">
        <v>0</v>
      </c>
      <c r="P2355" s="216">
        <v>123316</v>
      </c>
      <c r="Q2355" s="217" t="s">
        <v>10</v>
      </c>
      <c r="R2355" s="217" t="s">
        <v>554</v>
      </c>
      <c r="S2355" s="218">
        <v>0.30000046303751166</v>
      </c>
      <c r="T2355" t="s">
        <v>550</v>
      </c>
      <c r="U2355" t="s">
        <v>77</v>
      </c>
      <c r="V2355" s="219" t="s">
        <v>7142</v>
      </c>
      <c r="W2355" s="219" t="s">
        <v>67</v>
      </c>
    </row>
    <row r="2356" spans="1:23" ht="15" customHeight="1" x14ac:dyDescent="0.25">
      <c r="A2356" t="s">
        <v>5507</v>
      </c>
      <c r="B2356" t="s">
        <v>595</v>
      </c>
      <c r="C2356">
        <v>125616</v>
      </c>
      <c r="D2356" t="s">
        <v>5508</v>
      </c>
      <c r="E2356" t="s">
        <v>268</v>
      </c>
      <c r="F2356" t="s">
        <v>554</v>
      </c>
      <c r="G2356" s="30">
        <v>46144</v>
      </c>
      <c r="H2356" t="s">
        <v>5509</v>
      </c>
      <c r="I2356">
        <v>1256157.45</v>
      </c>
      <c r="J2356" s="123">
        <v>0</v>
      </c>
      <c r="K2356" s="123">
        <v>0</v>
      </c>
      <c r="L2356" s="123">
        <v>46143</v>
      </c>
      <c r="M2356">
        <v>0</v>
      </c>
      <c r="N2356">
        <v>0</v>
      </c>
      <c r="O2356">
        <v>0</v>
      </c>
      <c r="P2356" s="216">
        <v>125616</v>
      </c>
      <c r="Q2356" s="217" t="s">
        <v>10</v>
      </c>
      <c r="R2356" s="217" t="s">
        <v>554</v>
      </c>
      <c r="S2356" s="218">
        <v>0.2000027225886373</v>
      </c>
      <c r="T2356" t="s">
        <v>550</v>
      </c>
      <c r="U2356" t="s">
        <v>77</v>
      </c>
      <c r="V2356" s="219" t="s">
        <v>7143</v>
      </c>
      <c r="W2356" s="219" t="s">
        <v>67</v>
      </c>
    </row>
    <row r="2357" spans="1:23" ht="15" customHeight="1" x14ac:dyDescent="0.25">
      <c r="A2357" t="s">
        <v>5510</v>
      </c>
      <c r="B2357" t="s">
        <v>595</v>
      </c>
      <c r="C2357">
        <v>1000</v>
      </c>
      <c r="D2357" t="s">
        <v>5508</v>
      </c>
      <c r="E2357" t="s">
        <v>3803</v>
      </c>
      <c r="F2357" t="s">
        <v>585</v>
      </c>
      <c r="G2357" s="30">
        <v>46148</v>
      </c>
      <c r="H2357" t="s">
        <v>5509</v>
      </c>
      <c r="I2357">
        <v>1256157.45</v>
      </c>
      <c r="J2357" s="123">
        <v>0</v>
      </c>
      <c r="K2357" s="123">
        <v>0</v>
      </c>
      <c r="L2357" s="123">
        <v>46142</v>
      </c>
      <c r="M2357">
        <v>0</v>
      </c>
      <c r="N2357">
        <v>0</v>
      </c>
      <c r="O2357">
        <v>0</v>
      </c>
      <c r="P2357" s="216">
        <v>1000</v>
      </c>
      <c r="Q2357" s="217" t="s">
        <v>10</v>
      </c>
      <c r="R2357" s="217" t="s">
        <v>61</v>
      </c>
      <c r="S2357" s="218">
        <v>0.2000027225886373</v>
      </c>
      <c r="T2357" t="s">
        <v>550</v>
      </c>
      <c r="U2357" t="s">
        <v>77</v>
      </c>
      <c r="V2357" s="219">
        <v>0</v>
      </c>
      <c r="W2357" s="219">
        <v>0</v>
      </c>
    </row>
    <row r="2358" spans="1:23" ht="15" customHeight="1" x14ac:dyDescent="0.25">
      <c r="A2358" t="s">
        <v>5511</v>
      </c>
      <c r="B2358" t="s">
        <v>595</v>
      </c>
      <c r="C2358">
        <v>126074</v>
      </c>
      <c r="D2358" t="s">
        <v>5512</v>
      </c>
      <c r="E2358" t="s">
        <v>268</v>
      </c>
      <c r="F2358" t="s">
        <v>554</v>
      </c>
      <c r="G2358" s="30">
        <v>46148</v>
      </c>
      <c r="H2358" t="s">
        <v>5513</v>
      </c>
      <c r="I2358">
        <v>1260739.1100000001</v>
      </c>
      <c r="J2358" s="123">
        <v>0</v>
      </c>
      <c r="K2358" s="123">
        <v>0</v>
      </c>
      <c r="L2358" s="123">
        <v>46147</v>
      </c>
      <c r="M2358">
        <v>0</v>
      </c>
      <c r="N2358">
        <v>0</v>
      </c>
      <c r="O2358">
        <v>0</v>
      </c>
      <c r="P2358" s="216">
        <v>126074</v>
      </c>
      <c r="Q2358" s="217" t="s">
        <v>10</v>
      </c>
      <c r="R2358" s="217" t="s">
        <v>554</v>
      </c>
      <c r="S2358" s="218">
        <v>0.20000006345484167</v>
      </c>
      <c r="T2358" t="s">
        <v>550</v>
      </c>
      <c r="U2358" t="s">
        <v>77</v>
      </c>
      <c r="V2358" s="219" t="s">
        <v>7144</v>
      </c>
      <c r="W2358" s="219" t="s">
        <v>67</v>
      </c>
    </row>
    <row r="2359" spans="1:23" ht="15" customHeight="1" x14ac:dyDescent="0.25">
      <c r="A2359" t="s">
        <v>5514</v>
      </c>
      <c r="B2359" t="s">
        <v>595</v>
      </c>
      <c r="C2359">
        <v>31540.19</v>
      </c>
      <c r="D2359" t="s">
        <v>5515</v>
      </c>
      <c r="E2359" t="s">
        <v>268</v>
      </c>
      <c r="F2359" t="s">
        <v>580</v>
      </c>
      <c r="G2359" s="30">
        <v>46149</v>
      </c>
      <c r="H2359" t="s">
        <v>5516</v>
      </c>
      <c r="I2359">
        <v>1346113.06</v>
      </c>
      <c r="J2359" s="123">
        <v>0</v>
      </c>
      <c r="K2359" s="123">
        <v>0</v>
      </c>
      <c r="L2359" s="123">
        <v>46148</v>
      </c>
      <c r="M2359">
        <v>0</v>
      </c>
      <c r="N2359">
        <v>0</v>
      </c>
      <c r="O2359">
        <v>0</v>
      </c>
      <c r="P2359" s="216">
        <v>31540.19</v>
      </c>
      <c r="Q2359" s="217" t="s">
        <v>10</v>
      </c>
      <c r="R2359" s="217" t="s">
        <v>582</v>
      </c>
      <c r="S2359" s="218">
        <v>0.19996314425476266</v>
      </c>
      <c r="T2359" t="s">
        <v>550</v>
      </c>
      <c r="U2359" t="s">
        <v>77</v>
      </c>
      <c r="V2359" s="219">
        <v>0</v>
      </c>
      <c r="W2359" s="219">
        <v>0</v>
      </c>
    </row>
    <row r="2360" spans="1:23" ht="15" customHeight="1" x14ac:dyDescent="0.25">
      <c r="A2360" t="s">
        <v>5517</v>
      </c>
      <c r="B2360" t="s">
        <v>595</v>
      </c>
      <c r="C2360">
        <v>104977</v>
      </c>
      <c r="D2360" t="s">
        <v>5518</v>
      </c>
      <c r="E2360" t="s">
        <v>173</v>
      </c>
      <c r="F2360" t="s">
        <v>554</v>
      </c>
      <c r="G2360" s="30">
        <v>46148</v>
      </c>
      <c r="H2360" t="s">
        <v>5519</v>
      </c>
      <c r="I2360">
        <v>2049774.4</v>
      </c>
      <c r="J2360" s="123">
        <v>0</v>
      </c>
      <c r="K2360" s="123">
        <v>0</v>
      </c>
      <c r="L2360" s="123">
        <v>46146</v>
      </c>
      <c r="M2360">
        <v>0</v>
      </c>
      <c r="N2360">
        <v>0</v>
      </c>
      <c r="O2360">
        <v>0</v>
      </c>
      <c r="P2360" s="216">
        <v>104977</v>
      </c>
      <c r="Q2360" s="217" t="s">
        <v>27</v>
      </c>
      <c r="R2360" s="217" t="s">
        <v>554</v>
      </c>
      <c r="S2360" s="218">
        <v>0.19999990242828675</v>
      </c>
      <c r="T2360" t="s">
        <v>550</v>
      </c>
      <c r="U2360" t="s">
        <v>51</v>
      </c>
      <c r="V2360" s="219" t="s">
        <v>7145</v>
      </c>
      <c r="W2360" s="219" t="s">
        <v>67</v>
      </c>
    </row>
    <row r="2361" spans="1:23" ht="15" customHeight="1" x14ac:dyDescent="0.25">
      <c r="A2361" t="s">
        <v>5520</v>
      </c>
      <c r="B2361" t="s">
        <v>595</v>
      </c>
      <c r="C2361">
        <v>417.11</v>
      </c>
      <c r="D2361" t="s">
        <v>5518</v>
      </c>
      <c r="E2361" t="s">
        <v>173</v>
      </c>
      <c r="F2361" t="s">
        <v>554</v>
      </c>
      <c r="G2361" s="30">
        <v>46148</v>
      </c>
      <c r="H2361" t="s">
        <v>5519</v>
      </c>
      <c r="I2361">
        <v>2049774.4</v>
      </c>
      <c r="J2361" s="123">
        <v>0</v>
      </c>
      <c r="K2361" s="123">
        <v>0</v>
      </c>
      <c r="L2361" s="123">
        <v>46126</v>
      </c>
      <c r="M2361">
        <v>0</v>
      </c>
      <c r="N2361">
        <v>0</v>
      </c>
      <c r="O2361">
        <v>0</v>
      </c>
      <c r="P2361" s="216">
        <v>417.11</v>
      </c>
      <c r="Q2361" s="217" t="s">
        <v>27</v>
      </c>
      <c r="R2361" s="217" t="s">
        <v>554</v>
      </c>
      <c r="S2361" s="218">
        <v>0.19999990242828675</v>
      </c>
      <c r="T2361" t="s">
        <v>550</v>
      </c>
      <c r="U2361" t="s">
        <v>51</v>
      </c>
      <c r="V2361" s="219" t="s">
        <v>7146</v>
      </c>
      <c r="W2361" s="219" t="s">
        <v>67</v>
      </c>
    </row>
    <row r="2362" spans="1:23" ht="15" customHeight="1" x14ac:dyDescent="0.25">
      <c r="A2362" t="s">
        <v>5521</v>
      </c>
      <c r="B2362" t="s">
        <v>595</v>
      </c>
      <c r="C2362">
        <v>201482.36</v>
      </c>
      <c r="D2362" t="s">
        <v>5522</v>
      </c>
      <c r="E2362" t="s">
        <v>173</v>
      </c>
      <c r="F2362" t="s">
        <v>554</v>
      </c>
      <c r="G2362" s="30">
        <v>46148</v>
      </c>
      <c r="H2362" t="s">
        <v>5523</v>
      </c>
      <c r="I2362">
        <v>2015866.35</v>
      </c>
      <c r="J2362" s="123">
        <v>0</v>
      </c>
      <c r="K2362" s="123">
        <v>0</v>
      </c>
      <c r="L2362" s="123">
        <v>46145</v>
      </c>
      <c r="M2362">
        <v>0</v>
      </c>
      <c r="N2362">
        <v>0</v>
      </c>
      <c r="O2362">
        <v>0</v>
      </c>
      <c r="P2362" s="216">
        <v>201482.36</v>
      </c>
      <c r="Q2362" s="217" t="s">
        <v>27</v>
      </c>
      <c r="R2362" s="217" t="s">
        <v>554</v>
      </c>
      <c r="S2362" s="218">
        <v>0.29909556752113053</v>
      </c>
      <c r="T2362" t="s">
        <v>550</v>
      </c>
      <c r="U2362" t="s">
        <v>51</v>
      </c>
      <c r="V2362" s="219" t="s">
        <v>7147</v>
      </c>
      <c r="W2362" s="219" t="s">
        <v>67</v>
      </c>
    </row>
    <row r="2363" spans="1:23" ht="15" customHeight="1" x14ac:dyDescent="0.25">
      <c r="A2363" t="s">
        <v>5524</v>
      </c>
      <c r="B2363" t="s">
        <v>603</v>
      </c>
      <c r="C2363">
        <v>83533.899999999994</v>
      </c>
      <c r="D2363" t="s">
        <v>5525</v>
      </c>
      <c r="E2363" t="s">
        <v>5526</v>
      </c>
      <c r="F2363" t="s">
        <v>554</v>
      </c>
      <c r="G2363" s="30">
        <v>46149</v>
      </c>
      <c r="H2363" t="s">
        <v>5527</v>
      </c>
      <c r="I2363">
        <v>2059597.6</v>
      </c>
      <c r="J2363" s="123">
        <v>46149</v>
      </c>
      <c r="K2363" s="123">
        <v>0</v>
      </c>
      <c r="L2363" s="123">
        <v>0</v>
      </c>
      <c r="M2363">
        <v>0</v>
      </c>
      <c r="N2363">
        <v>83533.899999999994</v>
      </c>
      <c r="O2363">
        <v>0</v>
      </c>
      <c r="P2363" s="216">
        <v>0</v>
      </c>
      <c r="Q2363" s="217" t="s">
        <v>27</v>
      </c>
      <c r="R2363" s="217" t="s">
        <v>554</v>
      </c>
      <c r="S2363" s="218">
        <v>0.10850906021642286</v>
      </c>
      <c r="T2363" t="s">
        <v>550</v>
      </c>
      <c r="U2363" t="s">
        <v>51</v>
      </c>
      <c r="V2363" s="219" t="s">
        <v>7148</v>
      </c>
      <c r="W2363" s="219" t="s">
        <v>67</v>
      </c>
    </row>
    <row r="2364" spans="1:23" ht="15" customHeight="1" x14ac:dyDescent="0.25">
      <c r="A2364" t="s">
        <v>5528</v>
      </c>
      <c r="B2364" t="s">
        <v>595</v>
      </c>
      <c r="C2364">
        <v>50000</v>
      </c>
      <c r="D2364" t="s">
        <v>5529</v>
      </c>
      <c r="E2364" t="s">
        <v>3210</v>
      </c>
      <c r="F2364" t="s">
        <v>580</v>
      </c>
      <c r="G2364" s="30">
        <v>46143</v>
      </c>
      <c r="H2364" t="s">
        <v>5530</v>
      </c>
      <c r="I2364">
        <v>2069420.8</v>
      </c>
      <c r="J2364" s="123">
        <v>0</v>
      </c>
      <c r="K2364" s="123">
        <v>0</v>
      </c>
      <c r="L2364" s="123">
        <v>46143</v>
      </c>
      <c r="M2364">
        <v>0</v>
      </c>
      <c r="N2364">
        <v>0</v>
      </c>
      <c r="O2364">
        <v>0</v>
      </c>
      <c r="P2364" s="216">
        <v>50000</v>
      </c>
      <c r="Q2364" s="217" t="s">
        <v>27</v>
      </c>
      <c r="R2364" s="217" t="s">
        <v>582</v>
      </c>
      <c r="S2364" s="218">
        <v>0.10335452315933037</v>
      </c>
      <c r="T2364" t="s">
        <v>550</v>
      </c>
      <c r="U2364" t="s">
        <v>51</v>
      </c>
      <c r="V2364" s="219">
        <v>0</v>
      </c>
      <c r="W2364" s="219">
        <v>0</v>
      </c>
    </row>
    <row r="2365" spans="1:23" ht="15" customHeight="1" x14ac:dyDescent="0.25">
      <c r="A2365" t="s">
        <v>5531</v>
      </c>
      <c r="B2365" t="s">
        <v>595</v>
      </c>
      <c r="C2365">
        <v>205520.94</v>
      </c>
      <c r="D2365" t="s">
        <v>5532</v>
      </c>
      <c r="E2365" t="s">
        <v>5431</v>
      </c>
      <c r="F2365" t="s">
        <v>554</v>
      </c>
      <c r="G2365" s="30">
        <v>46144</v>
      </c>
      <c r="H2365" t="s">
        <v>5533</v>
      </c>
      <c r="I2365">
        <v>2045490.2</v>
      </c>
      <c r="J2365" s="123">
        <v>0</v>
      </c>
      <c r="K2365" s="123">
        <v>0</v>
      </c>
      <c r="L2365" s="123">
        <v>46143</v>
      </c>
      <c r="M2365">
        <v>0</v>
      </c>
      <c r="N2365">
        <v>0</v>
      </c>
      <c r="O2365">
        <v>0</v>
      </c>
      <c r="P2365" s="216">
        <v>205520.94</v>
      </c>
      <c r="Q2365" s="217" t="s">
        <v>27</v>
      </c>
      <c r="R2365" s="217" t="s">
        <v>554</v>
      </c>
      <c r="S2365" s="218">
        <v>0.20027855425560093</v>
      </c>
      <c r="T2365" t="s">
        <v>550</v>
      </c>
      <c r="U2365" t="s">
        <v>51</v>
      </c>
      <c r="V2365" s="219">
        <v>0</v>
      </c>
      <c r="W2365" s="219" t="s">
        <v>72</v>
      </c>
    </row>
    <row r="2366" spans="1:23" ht="15" customHeight="1" x14ac:dyDescent="0.25">
      <c r="A2366" t="s">
        <v>5534</v>
      </c>
      <c r="B2366" t="s">
        <v>575</v>
      </c>
      <c r="C2366">
        <v>206503</v>
      </c>
      <c r="D2366" t="s">
        <v>5535</v>
      </c>
      <c r="E2366" t="s">
        <v>173</v>
      </c>
      <c r="F2366" t="s">
        <v>554</v>
      </c>
      <c r="G2366" s="30">
        <v>46148</v>
      </c>
      <c r="H2366" t="s">
        <v>5536</v>
      </c>
      <c r="I2366">
        <v>2065033.1</v>
      </c>
      <c r="J2366" s="123">
        <v>0</v>
      </c>
      <c r="K2366" s="123">
        <v>0</v>
      </c>
      <c r="L2366" s="123">
        <v>46147</v>
      </c>
      <c r="M2366">
        <v>0</v>
      </c>
      <c r="N2366">
        <v>0</v>
      </c>
      <c r="O2366">
        <v>0</v>
      </c>
      <c r="P2366" s="216">
        <v>206503</v>
      </c>
      <c r="Q2366" s="217" t="s">
        <v>27</v>
      </c>
      <c r="R2366" s="217" t="s">
        <v>554</v>
      </c>
      <c r="S2366" s="218">
        <v>0.29877326421547434</v>
      </c>
      <c r="T2366" t="s">
        <v>550</v>
      </c>
      <c r="U2366" t="s">
        <v>51</v>
      </c>
      <c r="V2366" s="219" t="s">
        <v>7149</v>
      </c>
      <c r="W2366" s="219" t="s">
        <v>67</v>
      </c>
    </row>
    <row r="2367" spans="1:23" ht="15" customHeight="1" x14ac:dyDescent="0.25">
      <c r="A2367" t="s">
        <v>5537</v>
      </c>
      <c r="B2367" t="s">
        <v>546</v>
      </c>
      <c r="C2367">
        <v>213241</v>
      </c>
      <c r="D2367" t="s">
        <v>5538</v>
      </c>
      <c r="E2367" t="s">
        <v>173</v>
      </c>
      <c r="F2367" t="s">
        <v>548</v>
      </c>
      <c r="G2367" s="30">
        <v>46146</v>
      </c>
      <c r="H2367" t="s">
        <v>5539</v>
      </c>
      <c r="I2367">
        <v>2132803.15</v>
      </c>
      <c r="J2367" s="123">
        <v>0</v>
      </c>
      <c r="K2367" s="123">
        <v>0</v>
      </c>
      <c r="L2367" s="123">
        <v>0</v>
      </c>
      <c r="M2367">
        <v>0</v>
      </c>
      <c r="N2367">
        <v>0</v>
      </c>
      <c r="O2367">
        <v>0</v>
      </c>
      <c r="P2367" s="216">
        <v>213241</v>
      </c>
      <c r="Q2367" s="217" t="s">
        <v>27</v>
      </c>
      <c r="R2367" s="217" t="s">
        <v>62</v>
      </c>
      <c r="S2367" s="218">
        <v>0.20001845927506251</v>
      </c>
      <c r="T2367" t="s">
        <v>550</v>
      </c>
      <c r="U2367" t="s">
        <v>51</v>
      </c>
      <c r="V2367" s="219">
        <v>0</v>
      </c>
      <c r="W2367" s="219">
        <v>0</v>
      </c>
    </row>
    <row r="2368" spans="1:23" ht="15" customHeight="1" x14ac:dyDescent="0.25">
      <c r="A2368" t="s">
        <v>5540</v>
      </c>
      <c r="B2368" t="s">
        <v>595</v>
      </c>
      <c r="C2368">
        <v>279985</v>
      </c>
      <c r="D2368" t="s">
        <v>5541</v>
      </c>
      <c r="E2368" t="s">
        <v>173</v>
      </c>
      <c r="F2368" t="s">
        <v>554</v>
      </c>
      <c r="G2368" s="30">
        <v>46146</v>
      </c>
      <c r="H2368" t="s">
        <v>5542</v>
      </c>
      <c r="I2368">
        <v>2800352</v>
      </c>
      <c r="J2368" s="123">
        <v>0</v>
      </c>
      <c r="K2368" s="123">
        <v>0</v>
      </c>
      <c r="L2368" s="123">
        <v>46145</v>
      </c>
      <c r="M2368">
        <v>0</v>
      </c>
      <c r="N2368">
        <v>0</v>
      </c>
      <c r="O2368">
        <v>0</v>
      </c>
      <c r="P2368" s="216">
        <v>279985</v>
      </c>
      <c r="Q2368" s="217" t="s">
        <v>27</v>
      </c>
      <c r="R2368" s="217" t="s">
        <v>554</v>
      </c>
      <c r="S2368" s="218">
        <v>0.29998228794094456</v>
      </c>
      <c r="T2368" t="s">
        <v>550</v>
      </c>
      <c r="U2368" t="s">
        <v>51</v>
      </c>
      <c r="V2368" s="219" t="s">
        <v>7150</v>
      </c>
      <c r="W2368" s="219" t="s">
        <v>67</v>
      </c>
    </row>
    <row r="2369" spans="1:23" ht="15" customHeight="1" x14ac:dyDescent="0.25">
      <c r="A2369" t="s">
        <v>5543</v>
      </c>
      <c r="B2369" t="s">
        <v>595</v>
      </c>
      <c r="C2369">
        <v>279644</v>
      </c>
      <c r="D2369" t="s">
        <v>5544</v>
      </c>
      <c r="E2369" t="s">
        <v>173</v>
      </c>
      <c r="F2369" t="s">
        <v>585</v>
      </c>
      <c r="G2369" s="30">
        <v>46146</v>
      </c>
      <c r="H2369" t="s">
        <v>5545</v>
      </c>
      <c r="I2369">
        <v>2800352</v>
      </c>
      <c r="J2369" s="123">
        <v>0</v>
      </c>
      <c r="K2369" s="123">
        <v>0</v>
      </c>
      <c r="L2369" s="123">
        <v>46141</v>
      </c>
      <c r="M2369">
        <v>0</v>
      </c>
      <c r="N2369">
        <v>0</v>
      </c>
      <c r="O2369">
        <v>0</v>
      </c>
      <c r="P2369" s="216">
        <v>279644</v>
      </c>
      <c r="Q2369" s="217" t="s">
        <v>27</v>
      </c>
      <c r="R2369" s="217" t="s">
        <v>61</v>
      </c>
      <c r="S2369" s="218">
        <v>0.19999998214510176</v>
      </c>
      <c r="T2369" t="s">
        <v>550</v>
      </c>
      <c r="U2369" t="s">
        <v>51</v>
      </c>
      <c r="V2369" s="219">
        <v>0</v>
      </c>
      <c r="W2369" s="219">
        <v>0</v>
      </c>
    </row>
    <row r="2370" spans="1:23" ht="15" customHeight="1" x14ac:dyDescent="0.25">
      <c r="A2370" t="s">
        <v>5546</v>
      </c>
      <c r="B2370" t="s">
        <v>595</v>
      </c>
      <c r="C2370">
        <v>279644</v>
      </c>
      <c r="D2370" t="s">
        <v>5544</v>
      </c>
      <c r="E2370" t="s">
        <v>173</v>
      </c>
      <c r="F2370" t="s">
        <v>683</v>
      </c>
      <c r="G2370" s="30">
        <v>46147</v>
      </c>
      <c r="H2370" t="s">
        <v>5545</v>
      </c>
      <c r="I2370">
        <v>2800352</v>
      </c>
      <c r="J2370" s="123">
        <v>0</v>
      </c>
      <c r="K2370" s="123">
        <v>0</v>
      </c>
      <c r="L2370" s="123">
        <v>46142</v>
      </c>
      <c r="M2370">
        <v>0</v>
      </c>
      <c r="N2370">
        <v>0</v>
      </c>
      <c r="O2370">
        <v>0</v>
      </c>
      <c r="P2370" s="216">
        <v>279644</v>
      </c>
      <c r="Q2370" s="217" t="s">
        <v>27</v>
      </c>
      <c r="R2370" s="217" t="s">
        <v>62</v>
      </c>
      <c r="S2370" s="218">
        <v>0.19999998214510176</v>
      </c>
      <c r="T2370" t="s">
        <v>550</v>
      </c>
      <c r="U2370" t="s">
        <v>51</v>
      </c>
      <c r="V2370" s="219">
        <v>0</v>
      </c>
      <c r="W2370" s="219">
        <v>0</v>
      </c>
    </row>
    <row r="2371" spans="1:23" ht="15" customHeight="1" x14ac:dyDescent="0.25">
      <c r="A2371" t="s">
        <v>5547</v>
      </c>
      <c r="B2371" t="s">
        <v>595</v>
      </c>
      <c r="C2371">
        <v>279644</v>
      </c>
      <c r="D2371" t="s">
        <v>5544</v>
      </c>
      <c r="E2371" t="s">
        <v>5548</v>
      </c>
      <c r="F2371" t="s">
        <v>554</v>
      </c>
      <c r="G2371" s="30">
        <v>46146</v>
      </c>
      <c r="H2371" t="s">
        <v>5545</v>
      </c>
      <c r="I2371">
        <v>2800352</v>
      </c>
      <c r="J2371" s="123">
        <v>0</v>
      </c>
      <c r="K2371" s="123">
        <v>0</v>
      </c>
      <c r="L2371" s="123">
        <v>46142</v>
      </c>
      <c r="M2371">
        <v>0</v>
      </c>
      <c r="N2371">
        <v>0</v>
      </c>
      <c r="O2371">
        <v>0</v>
      </c>
      <c r="P2371" s="216">
        <v>279644</v>
      </c>
      <c r="Q2371" s="217" t="s">
        <v>27</v>
      </c>
      <c r="R2371" s="217" t="s">
        <v>554</v>
      </c>
      <c r="S2371" s="218">
        <v>0.19999998214510176</v>
      </c>
      <c r="T2371" t="s">
        <v>550</v>
      </c>
      <c r="U2371" t="s">
        <v>51</v>
      </c>
      <c r="V2371" s="219" t="s">
        <v>7151</v>
      </c>
      <c r="W2371" s="219" t="s">
        <v>67</v>
      </c>
    </row>
    <row r="2372" spans="1:23" ht="15" customHeight="1" x14ac:dyDescent="0.25">
      <c r="A2372" t="s">
        <v>5549</v>
      </c>
      <c r="B2372" t="s">
        <v>546</v>
      </c>
      <c r="C2372">
        <v>99000</v>
      </c>
      <c r="D2372" t="s">
        <v>5550</v>
      </c>
      <c r="E2372" t="s">
        <v>553</v>
      </c>
      <c r="F2372" t="s">
        <v>554</v>
      </c>
      <c r="G2372" s="30">
        <v>46146</v>
      </c>
      <c r="H2372" t="s">
        <v>5551</v>
      </c>
      <c r="I2372">
        <v>2800352</v>
      </c>
      <c r="J2372" s="123">
        <v>46146</v>
      </c>
      <c r="K2372" s="123">
        <v>0</v>
      </c>
      <c r="L2372" s="123">
        <v>46146</v>
      </c>
      <c r="M2372">
        <v>0</v>
      </c>
      <c r="N2372">
        <v>0</v>
      </c>
      <c r="O2372" t="s">
        <v>556</v>
      </c>
      <c r="P2372" s="216">
        <v>99000</v>
      </c>
      <c r="Q2372" s="217" t="s">
        <v>27</v>
      </c>
      <c r="R2372" s="217" t="s">
        <v>554</v>
      </c>
      <c r="S2372" s="218">
        <v>0.26757743312269316</v>
      </c>
      <c r="T2372" t="s">
        <v>550</v>
      </c>
      <c r="U2372" t="s">
        <v>51</v>
      </c>
      <c r="V2372" s="219" t="s">
        <v>7152</v>
      </c>
      <c r="W2372" s="219" t="s">
        <v>67</v>
      </c>
    </row>
    <row r="2373" spans="1:23" ht="15" customHeight="1" x14ac:dyDescent="0.25">
      <c r="A2373" t="s">
        <v>5552</v>
      </c>
      <c r="B2373" t="s">
        <v>546</v>
      </c>
      <c r="C2373">
        <v>50000</v>
      </c>
      <c r="D2373" t="s">
        <v>5550</v>
      </c>
      <c r="E2373" t="s">
        <v>553</v>
      </c>
      <c r="F2373" t="s">
        <v>554</v>
      </c>
      <c r="G2373" s="30">
        <v>46147</v>
      </c>
      <c r="H2373" t="s">
        <v>5551</v>
      </c>
      <c r="I2373">
        <v>2800352</v>
      </c>
      <c r="J2373" s="123">
        <v>46147</v>
      </c>
      <c r="K2373" s="123">
        <v>0</v>
      </c>
      <c r="L2373" s="123">
        <v>46147</v>
      </c>
      <c r="M2373">
        <v>0</v>
      </c>
      <c r="N2373">
        <v>0</v>
      </c>
      <c r="O2373" t="s">
        <v>556</v>
      </c>
      <c r="P2373" s="216">
        <v>50000</v>
      </c>
      <c r="Q2373" s="217" t="s">
        <v>27</v>
      </c>
      <c r="R2373" s="217" t="s">
        <v>554</v>
      </c>
      <c r="S2373" s="218">
        <v>0.26757743312269316</v>
      </c>
      <c r="T2373" t="s">
        <v>550</v>
      </c>
      <c r="U2373" t="s">
        <v>51</v>
      </c>
      <c r="V2373" s="219" t="s">
        <v>7153</v>
      </c>
      <c r="W2373" s="219" t="s">
        <v>67</v>
      </c>
    </row>
    <row r="2374" spans="1:23" ht="15" customHeight="1" x14ac:dyDescent="0.25">
      <c r="A2374" t="s">
        <v>5553</v>
      </c>
      <c r="B2374" t="s">
        <v>575</v>
      </c>
      <c r="C2374">
        <v>62520</v>
      </c>
      <c r="D2374" t="s">
        <v>5554</v>
      </c>
      <c r="E2374" t="s">
        <v>173</v>
      </c>
      <c r="F2374" t="s">
        <v>580</v>
      </c>
      <c r="G2374" s="30">
        <v>46149</v>
      </c>
      <c r="H2374" t="s">
        <v>5555</v>
      </c>
      <c r="I2374">
        <v>2625330</v>
      </c>
      <c r="J2374" s="123">
        <v>0</v>
      </c>
      <c r="K2374" s="123">
        <v>0</v>
      </c>
      <c r="L2374" s="123">
        <v>46135</v>
      </c>
      <c r="M2374">
        <v>0</v>
      </c>
      <c r="N2374">
        <v>0</v>
      </c>
      <c r="O2374">
        <v>0</v>
      </c>
      <c r="P2374" s="216">
        <v>62520</v>
      </c>
      <c r="Q2374" s="217" t="s">
        <v>27</v>
      </c>
      <c r="R2374" s="217" t="s">
        <v>582</v>
      </c>
      <c r="S2374" s="218">
        <v>9.9993524623571126E-2</v>
      </c>
      <c r="T2374" t="s">
        <v>550</v>
      </c>
      <c r="U2374" t="s">
        <v>51</v>
      </c>
      <c r="V2374" s="219">
        <v>0</v>
      </c>
      <c r="W2374" s="219">
        <v>0</v>
      </c>
    </row>
    <row r="2375" spans="1:23" ht="15" customHeight="1" x14ac:dyDescent="0.25">
      <c r="A2375" t="s">
        <v>5556</v>
      </c>
      <c r="B2375" t="s">
        <v>575</v>
      </c>
      <c r="C2375">
        <v>289537</v>
      </c>
      <c r="D2375" t="s">
        <v>5557</v>
      </c>
      <c r="E2375" t="s">
        <v>5558</v>
      </c>
      <c r="F2375" t="s">
        <v>585</v>
      </c>
      <c r="G2375" s="30">
        <v>46148</v>
      </c>
      <c r="H2375" t="s">
        <v>5559</v>
      </c>
      <c r="I2375">
        <v>2895366.64</v>
      </c>
      <c r="J2375" s="123">
        <v>46148</v>
      </c>
      <c r="K2375" s="123">
        <v>0</v>
      </c>
      <c r="L2375" s="123">
        <v>46148</v>
      </c>
      <c r="M2375">
        <v>0</v>
      </c>
      <c r="N2375">
        <v>0</v>
      </c>
      <c r="O2375">
        <v>0</v>
      </c>
      <c r="P2375" s="216">
        <v>289537</v>
      </c>
      <c r="Q2375" s="217" t="s">
        <v>18</v>
      </c>
      <c r="R2375" s="217" t="s">
        <v>61</v>
      </c>
      <c r="S2375" s="218">
        <v>9.9694748848802084E-2</v>
      </c>
      <c r="T2375" t="s">
        <v>550</v>
      </c>
      <c r="U2375" t="s">
        <v>51</v>
      </c>
      <c r="V2375" s="219">
        <v>0</v>
      </c>
      <c r="W2375" s="219">
        <v>0</v>
      </c>
    </row>
    <row r="2376" spans="1:23" ht="15" customHeight="1" x14ac:dyDescent="0.25">
      <c r="A2376" t="s">
        <v>5560</v>
      </c>
      <c r="B2376" t="s">
        <v>668</v>
      </c>
      <c r="C2376">
        <v>22000</v>
      </c>
      <c r="D2376" t="s">
        <v>5561</v>
      </c>
      <c r="E2376" t="s">
        <v>288</v>
      </c>
      <c r="F2376" t="s">
        <v>554</v>
      </c>
      <c r="G2376" s="30">
        <v>46147</v>
      </c>
      <c r="H2376" t="s">
        <v>5562</v>
      </c>
      <c r="I2376">
        <v>1850594</v>
      </c>
      <c r="J2376" s="123">
        <v>46142</v>
      </c>
      <c r="K2376" s="123">
        <v>0</v>
      </c>
      <c r="L2376" s="123">
        <v>46142</v>
      </c>
      <c r="M2376">
        <v>0</v>
      </c>
      <c r="N2376">
        <v>0</v>
      </c>
      <c r="O2376">
        <v>0</v>
      </c>
      <c r="P2376" s="216">
        <v>22000</v>
      </c>
      <c r="Q2376" s="217" t="s">
        <v>48</v>
      </c>
      <c r="R2376" s="217" t="s">
        <v>554</v>
      </c>
      <c r="S2376" s="218">
        <v>0.30860063309402275</v>
      </c>
      <c r="T2376" t="s">
        <v>550</v>
      </c>
      <c r="U2376" t="s">
        <v>51</v>
      </c>
      <c r="V2376" s="219" t="s">
        <v>7154</v>
      </c>
      <c r="W2376" s="219" t="s">
        <v>67</v>
      </c>
    </row>
    <row r="2377" spans="1:23" ht="15" customHeight="1" x14ac:dyDescent="0.25">
      <c r="A2377" t="s">
        <v>5563</v>
      </c>
      <c r="B2377" t="s">
        <v>668</v>
      </c>
      <c r="C2377">
        <v>38000</v>
      </c>
      <c r="D2377" t="s">
        <v>5561</v>
      </c>
      <c r="E2377" t="s">
        <v>288</v>
      </c>
      <c r="F2377" t="s">
        <v>554</v>
      </c>
      <c r="G2377" s="30">
        <v>46147</v>
      </c>
      <c r="H2377" t="s">
        <v>5562</v>
      </c>
      <c r="I2377">
        <v>1850594</v>
      </c>
      <c r="J2377" s="123">
        <v>46142</v>
      </c>
      <c r="K2377" s="123">
        <v>0</v>
      </c>
      <c r="L2377" s="123">
        <v>46142</v>
      </c>
      <c r="M2377">
        <v>0</v>
      </c>
      <c r="N2377">
        <v>0</v>
      </c>
      <c r="O2377">
        <v>0</v>
      </c>
      <c r="P2377" s="216">
        <v>38000</v>
      </c>
      <c r="Q2377" s="217" t="s">
        <v>48</v>
      </c>
      <c r="R2377" s="217" t="s">
        <v>554</v>
      </c>
      <c r="S2377" s="218">
        <v>0.30860063309402275</v>
      </c>
      <c r="T2377" t="s">
        <v>550</v>
      </c>
      <c r="U2377" t="s">
        <v>51</v>
      </c>
      <c r="V2377" s="219" t="s">
        <v>7155</v>
      </c>
      <c r="W2377" s="219" t="s">
        <v>67</v>
      </c>
    </row>
    <row r="2378" spans="1:23" ht="15" customHeight="1" x14ac:dyDescent="0.25">
      <c r="A2378" t="s">
        <v>5564</v>
      </c>
      <c r="B2378" t="s">
        <v>668</v>
      </c>
      <c r="C2378">
        <v>20000</v>
      </c>
      <c r="D2378" t="s">
        <v>5561</v>
      </c>
      <c r="E2378" t="s">
        <v>288</v>
      </c>
      <c r="F2378" t="s">
        <v>554</v>
      </c>
      <c r="G2378" s="30">
        <v>46147</v>
      </c>
      <c r="H2378" t="s">
        <v>5562</v>
      </c>
      <c r="I2378">
        <v>1850594</v>
      </c>
      <c r="J2378" s="123">
        <v>46140</v>
      </c>
      <c r="K2378" s="123">
        <v>0</v>
      </c>
      <c r="L2378" s="123">
        <v>46140</v>
      </c>
      <c r="M2378">
        <v>0</v>
      </c>
      <c r="N2378">
        <v>0</v>
      </c>
      <c r="O2378">
        <v>0</v>
      </c>
      <c r="P2378" s="216">
        <v>20000</v>
      </c>
      <c r="Q2378" s="217" t="s">
        <v>48</v>
      </c>
      <c r="R2378" s="217" t="s">
        <v>554</v>
      </c>
      <c r="S2378" s="218">
        <v>0.30860063309402275</v>
      </c>
      <c r="T2378" t="s">
        <v>550</v>
      </c>
      <c r="U2378" t="s">
        <v>51</v>
      </c>
      <c r="V2378" s="219" t="s">
        <v>7156</v>
      </c>
      <c r="W2378" s="219" t="s">
        <v>67</v>
      </c>
    </row>
    <row r="2379" spans="1:23" ht="15" customHeight="1" x14ac:dyDescent="0.25">
      <c r="A2379" t="s">
        <v>5565</v>
      </c>
      <c r="B2379" t="s">
        <v>668</v>
      </c>
      <c r="C2379">
        <v>40000</v>
      </c>
      <c r="D2379" t="s">
        <v>5561</v>
      </c>
      <c r="E2379" t="s">
        <v>288</v>
      </c>
      <c r="F2379" t="s">
        <v>554</v>
      </c>
      <c r="G2379" s="30">
        <v>46147</v>
      </c>
      <c r="H2379" t="s">
        <v>5562</v>
      </c>
      <c r="I2379">
        <v>1850594</v>
      </c>
      <c r="J2379" s="123">
        <v>0</v>
      </c>
      <c r="K2379" s="123">
        <v>0</v>
      </c>
      <c r="L2379" s="123">
        <v>46140</v>
      </c>
      <c r="M2379">
        <v>0</v>
      </c>
      <c r="N2379">
        <v>0</v>
      </c>
      <c r="O2379">
        <v>0</v>
      </c>
      <c r="P2379" s="216">
        <v>40000</v>
      </c>
      <c r="Q2379" s="217" t="s">
        <v>48</v>
      </c>
      <c r="R2379" s="217" t="s">
        <v>554</v>
      </c>
      <c r="S2379" s="218">
        <v>0.30860063309402275</v>
      </c>
      <c r="T2379" t="s">
        <v>550</v>
      </c>
      <c r="U2379" t="s">
        <v>51</v>
      </c>
      <c r="V2379" s="219" t="s">
        <v>7157</v>
      </c>
      <c r="W2379" s="219" t="s">
        <v>67</v>
      </c>
    </row>
    <row r="2380" spans="1:23" ht="15" customHeight="1" x14ac:dyDescent="0.25">
      <c r="A2380" t="s">
        <v>5566</v>
      </c>
      <c r="B2380" t="s">
        <v>546</v>
      </c>
      <c r="C2380">
        <v>13595</v>
      </c>
      <c r="D2380" t="s">
        <v>5567</v>
      </c>
      <c r="E2380" t="s">
        <v>5568</v>
      </c>
      <c r="F2380" t="s">
        <v>554</v>
      </c>
      <c r="G2380" s="30">
        <v>46148</v>
      </c>
      <c r="H2380" t="s">
        <v>5569</v>
      </c>
      <c r="I2380">
        <v>1639254.75</v>
      </c>
      <c r="J2380" s="123">
        <v>0</v>
      </c>
      <c r="K2380" s="123">
        <v>0</v>
      </c>
      <c r="L2380" s="123">
        <v>0</v>
      </c>
      <c r="M2380">
        <v>0</v>
      </c>
      <c r="N2380">
        <v>0</v>
      </c>
      <c r="O2380">
        <v>0</v>
      </c>
      <c r="P2380" s="216">
        <v>13595</v>
      </c>
      <c r="Q2380" s="217" t="s">
        <v>18</v>
      </c>
      <c r="R2380" s="217" t="s">
        <v>554</v>
      </c>
      <c r="S2380" s="218">
        <v>0.20030371118338988</v>
      </c>
      <c r="T2380" t="s">
        <v>550</v>
      </c>
      <c r="U2380" t="s">
        <v>51</v>
      </c>
      <c r="V2380" s="219" t="s">
        <v>7158</v>
      </c>
      <c r="W2380" s="219" t="s">
        <v>67</v>
      </c>
    </row>
    <row r="2381" spans="1:23" ht="15" customHeight="1" x14ac:dyDescent="0.25">
      <c r="A2381" t="s">
        <v>5570</v>
      </c>
      <c r="B2381" t="s">
        <v>546</v>
      </c>
      <c r="C2381">
        <v>100000</v>
      </c>
      <c r="D2381" t="s">
        <v>5571</v>
      </c>
      <c r="E2381" t="s">
        <v>553</v>
      </c>
      <c r="F2381" t="s">
        <v>554</v>
      </c>
      <c r="G2381" s="30">
        <v>46144</v>
      </c>
      <c r="H2381" t="s">
        <v>5572</v>
      </c>
      <c r="I2381">
        <v>2967902.31</v>
      </c>
      <c r="J2381" s="123">
        <v>46144</v>
      </c>
      <c r="K2381" s="123">
        <v>0</v>
      </c>
      <c r="L2381" s="123">
        <v>46144</v>
      </c>
      <c r="M2381">
        <v>0</v>
      </c>
      <c r="N2381">
        <v>0</v>
      </c>
      <c r="O2381" t="s">
        <v>556</v>
      </c>
      <c r="P2381" s="216">
        <v>100000</v>
      </c>
      <c r="Q2381" s="217" t="s">
        <v>18</v>
      </c>
      <c r="R2381" s="217" t="s">
        <v>554</v>
      </c>
      <c r="S2381" s="218">
        <v>0.18118345344055481</v>
      </c>
      <c r="T2381" t="s">
        <v>550</v>
      </c>
      <c r="U2381" t="s">
        <v>51</v>
      </c>
      <c r="V2381" s="219" t="s">
        <v>7159</v>
      </c>
      <c r="W2381" s="219" t="s">
        <v>67</v>
      </c>
    </row>
    <row r="2382" spans="1:23" ht="15" customHeight="1" x14ac:dyDescent="0.25">
      <c r="A2382" t="s">
        <v>5573</v>
      </c>
      <c r="B2382" t="s">
        <v>546</v>
      </c>
      <c r="C2382">
        <v>30000</v>
      </c>
      <c r="D2382" t="s">
        <v>5571</v>
      </c>
      <c r="E2382" t="s">
        <v>553</v>
      </c>
      <c r="F2382" t="s">
        <v>554</v>
      </c>
      <c r="G2382" s="30">
        <v>46147</v>
      </c>
      <c r="H2382" t="s">
        <v>5572</v>
      </c>
      <c r="I2382">
        <v>2967902.31</v>
      </c>
      <c r="J2382" s="123">
        <v>46147</v>
      </c>
      <c r="K2382" s="123">
        <v>0</v>
      </c>
      <c r="L2382" s="123">
        <v>46147</v>
      </c>
      <c r="M2382">
        <v>0</v>
      </c>
      <c r="N2382">
        <v>0</v>
      </c>
      <c r="O2382" t="s">
        <v>556</v>
      </c>
      <c r="P2382" s="216">
        <v>30000</v>
      </c>
      <c r="Q2382" s="217" t="s">
        <v>18</v>
      </c>
      <c r="R2382" s="217" t="s">
        <v>554</v>
      </c>
      <c r="S2382" s="218">
        <v>0.18118345344055481</v>
      </c>
      <c r="T2382" t="s">
        <v>550</v>
      </c>
      <c r="U2382" t="s">
        <v>51</v>
      </c>
      <c r="V2382" s="219" t="s">
        <v>7160</v>
      </c>
      <c r="W2382" s="219" t="s">
        <v>67</v>
      </c>
    </row>
    <row r="2383" spans="1:23" ht="15" customHeight="1" x14ac:dyDescent="0.25">
      <c r="A2383" t="s">
        <v>5574</v>
      </c>
      <c r="B2383" t="s">
        <v>546</v>
      </c>
      <c r="C2383">
        <v>88596.21</v>
      </c>
      <c r="D2383" t="s">
        <v>5571</v>
      </c>
      <c r="E2383" t="s">
        <v>553</v>
      </c>
      <c r="F2383" t="s">
        <v>548</v>
      </c>
      <c r="G2383" s="30">
        <v>46147</v>
      </c>
      <c r="H2383" t="s">
        <v>5572</v>
      </c>
      <c r="I2383">
        <v>2967902.31</v>
      </c>
      <c r="J2383" s="123">
        <v>46147</v>
      </c>
      <c r="K2383" s="123">
        <v>0</v>
      </c>
      <c r="L2383" s="123">
        <v>46147</v>
      </c>
      <c r="M2383">
        <v>0</v>
      </c>
      <c r="N2383">
        <v>0</v>
      </c>
      <c r="O2383" t="s">
        <v>556</v>
      </c>
      <c r="P2383" s="216">
        <v>88596.21</v>
      </c>
      <c r="Q2383" s="217" t="s">
        <v>18</v>
      </c>
      <c r="R2383" s="217" t="s">
        <v>62</v>
      </c>
      <c r="S2383" s="218">
        <v>0.18118345344055481</v>
      </c>
      <c r="T2383" t="s">
        <v>550</v>
      </c>
      <c r="U2383" t="s">
        <v>51</v>
      </c>
      <c r="V2383" s="219">
        <v>0</v>
      </c>
      <c r="W2383" s="219">
        <v>0</v>
      </c>
    </row>
    <row r="2384" spans="1:23" ht="15" customHeight="1" x14ac:dyDescent="0.25">
      <c r="A2384" t="s">
        <v>5575</v>
      </c>
      <c r="B2384" t="s">
        <v>575</v>
      </c>
      <c r="C2384">
        <v>297014</v>
      </c>
      <c r="D2384" t="s">
        <v>5576</v>
      </c>
      <c r="E2384" t="s">
        <v>5577</v>
      </c>
      <c r="F2384" t="s">
        <v>554</v>
      </c>
      <c r="G2384" s="30">
        <v>46147</v>
      </c>
      <c r="H2384" t="s">
        <v>5578</v>
      </c>
      <c r="I2384">
        <v>2970138.64</v>
      </c>
      <c r="J2384" s="123">
        <v>0</v>
      </c>
      <c r="K2384" s="123">
        <v>0</v>
      </c>
      <c r="L2384" s="123">
        <v>46147</v>
      </c>
      <c r="M2384">
        <v>0</v>
      </c>
      <c r="N2384">
        <v>0</v>
      </c>
      <c r="O2384">
        <v>0</v>
      </c>
      <c r="P2384" s="216">
        <v>297014</v>
      </c>
      <c r="Q2384" s="217" t="s">
        <v>18</v>
      </c>
      <c r="R2384" s="217" t="s">
        <v>554</v>
      </c>
      <c r="S2384" s="218">
        <v>0.19999286969311306</v>
      </c>
      <c r="T2384" t="s">
        <v>550</v>
      </c>
      <c r="U2384" t="s">
        <v>51</v>
      </c>
      <c r="V2384" s="219" t="s">
        <v>7161</v>
      </c>
      <c r="W2384" s="219" t="s">
        <v>67</v>
      </c>
    </row>
    <row r="2385" spans="1:23" ht="15" customHeight="1" x14ac:dyDescent="0.25">
      <c r="A2385" t="s">
        <v>5579</v>
      </c>
      <c r="B2385" t="s">
        <v>546</v>
      </c>
      <c r="C2385">
        <v>26281.200000000001</v>
      </c>
      <c r="D2385" t="s">
        <v>5580</v>
      </c>
      <c r="E2385" t="s">
        <v>5581</v>
      </c>
      <c r="F2385" t="s">
        <v>554</v>
      </c>
      <c r="G2385" s="30">
        <v>46143</v>
      </c>
      <c r="H2385" t="s">
        <v>5582</v>
      </c>
      <c r="I2385">
        <v>2990077.84</v>
      </c>
      <c r="J2385" s="123">
        <v>0</v>
      </c>
      <c r="K2385" s="123">
        <v>0</v>
      </c>
      <c r="L2385" s="123">
        <v>0</v>
      </c>
      <c r="M2385">
        <v>0</v>
      </c>
      <c r="N2385">
        <v>0</v>
      </c>
      <c r="O2385">
        <v>0</v>
      </c>
      <c r="P2385" s="216">
        <v>26281.200000000001</v>
      </c>
      <c r="Q2385" s="217" t="s">
        <v>18</v>
      </c>
      <c r="R2385" s="217" t="s">
        <v>554</v>
      </c>
      <c r="S2385" s="218">
        <v>9.6127841942736852E-2</v>
      </c>
      <c r="T2385" t="s">
        <v>550</v>
      </c>
      <c r="U2385" t="s">
        <v>51</v>
      </c>
      <c r="V2385" s="219" t="s">
        <v>7162</v>
      </c>
      <c r="W2385" s="219" t="s">
        <v>67</v>
      </c>
    </row>
    <row r="2386" spans="1:23" ht="15" customHeight="1" x14ac:dyDescent="0.25">
      <c r="A2386" t="s">
        <v>5583</v>
      </c>
      <c r="B2386" t="s">
        <v>546</v>
      </c>
      <c r="C2386">
        <v>21129.599999999999</v>
      </c>
      <c r="D2386" t="s">
        <v>5580</v>
      </c>
      <c r="E2386" t="s">
        <v>5581</v>
      </c>
      <c r="F2386" t="s">
        <v>554</v>
      </c>
      <c r="G2386" s="30">
        <v>46148</v>
      </c>
      <c r="H2386" t="s">
        <v>5582</v>
      </c>
      <c r="I2386">
        <v>2990077.84</v>
      </c>
      <c r="J2386" s="123">
        <v>0</v>
      </c>
      <c r="K2386" s="123">
        <v>0</v>
      </c>
      <c r="L2386" s="123">
        <v>0</v>
      </c>
      <c r="M2386">
        <v>0</v>
      </c>
      <c r="N2386">
        <v>0</v>
      </c>
      <c r="O2386">
        <v>0</v>
      </c>
      <c r="P2386" s="216">
        <v>21129.599999999999</v>
      </c>
      <c r="Q2386" s="217" t="s">
        <v>18</v>
      </c>
      <c r="R2386" s="217" t="s">
        <v>554</v>
      </c>
      <c r="S2386" s="218">
        <v>9.6127841942736852E-2</v>
      </c>
      <c r="T2386" t="s">
        <v>550</v>
      </c>
      <c r="U2386" t="s">
        <v>51</v>
      </c>
      <c r="V2386" s="219" t="s">
        <v>7163</v>
      </c>
      <c r="W2386" s="219" t="s">
        <v>67</v>
      </c>
    </row>
    <row r="2387" spans="1:23" ht="15" customHeight="1" x14ac:dyDescent="0.25">
      <c r="A2387" t="s">
        <v>5584</v>
      </c>
      <c r="B2387" t="s">
        <v>546</v>
      </c>
      <c r="C2387">
        <v>40000</v>
      </c>
      <c r="D2387" t="s">
        <v>5585</v>
      </c>
      <c r="E2387" t="s">
        <v>1813</v>
      </c>
      <c r="F2387" t="s">
        <v>554</v>
      </c>
      <c r="G2387" s="30">
        <v>46147</v>
      </c>
      <c r="H2387" t="s">
        <v>5586</v>
      </c>
      <c r="I2387">
        <v>1685957.85</v>
      </c>
      <c r="J2387" s="123">
        <v>0</v>
      </c>
      <c r="K2387" s="123">
        <v>0</v>
      </c>
      <c r="L2387" s="123">
        <v>0</v>
      </c>
      <c r="M2387">
        <v>0</v>
      </c>
      <c r="N2387">
        <v>0</v>
      </c>
      <c r="O2387">
        <v>0</v>
      </c>
      <c r="P2387" s="216">
        <v>40000</v>
      </c>
      <c r="Q2387" s="217" t="s">
        <v>18</v>
      </c>
      <c r="R2387" s="217" t="s">
        <v>554</v>
      </c>
      <c r="S2387" s="218">
        <v>0.12683616342898657</v>
      </c>
      <c r="T2387" t="s">
        <v>550</v>
      </c>
      <c r="U2387" t="s">
        <v>51</v>
      </c>
      <c r="V2387" s="219" t="s">
        <v>7164</v>
      </c>
      <c r="W2387" s="219" t="s">
        <v>67</v>
      </c>
    </row>
    <row r="2388" spans="1:23" ht="15" customHeight="1" x14ac:dyDescent="0.25">
      <c r="A2388" t="s">
        <v>5587</v>
      </c>
      <c r="B2388" t="s">
        <v>595</v>
      </c>
      <c r="C2388">
        <v>168596</v>
      </c>
      <c r="D2388" t="s">
        <v>5588</v>
      </c>
      <c r="E2388" t="s">
        <v>213</v>
      </c>
      <c r="F2388" t="s">
        <v>554</v>
      </c>
      <c r="G2388" s="30">
        <v>46148</v>
      </c>
      <c r="H2388" t="s">
        <v>5589</v>
      </c>
      <c r="I2388">
        <v>1685957.85</v>
      </c>
      <c r="J2388" s="123">
        <v>0</v>
      </c>
      <c r="K2388" s="123">
        <v>0</v>
      </c>
      <c r="L2388" s="123">
        <v>46148</v>
      </c>
      <c r="M2388">
        <v>0</v>
      </c>
      <c r="N2388">
        <v>0</v>
      </c>
      <c r="O2388">
        <v>0</v>
      </c>
      <c r="P2388" s="216">
        <v>168596</v>
      </c>
      <c r="Q2388" s="217" t="s">
        <v>18</v>
      </c>
      <c r="R2388" s="217" t="s">
        <v>554</v>
      </c>
      <c r="S2388" s="218">
        <v>0.20024093722153255</v>
      </c>
      <c r="T2388" t="s">
        <v>550</v>
      </c>
      <c r="U2388" t="s">
        <v>51</v>
      </c>
      <c r="V2388" s="219" t="s">
        <v>7165</v>
      </c>
      <c r="W2388" s="219" t="s">
        <v>67</v>
      </c>
    </row>
    <row r="2389" spans="1:23" ht="15" customHeight="1" x14ac:dyDescent="0.25">
      <c r="A2389" t="s">
        <v>5590</v>
      </c>
      <c r="B2389" t="s">
        <v>595</v>
      </c>
      <c r="C2389">
        <v>220772</v>
      </c>
      <c r="D2389" t="s">
        <v>5591</v>
      </c>
      <c r="E2389" t="s">
        <v>5592</v>
      </c>
      <c r="F2389" t="s">
        <v>580</v>
      </c>
      <c r="G2389" s="30">
        <v>46147</v>
      </c>
      <c r="H2389" t="s">
        <v>5593</v>
      </c>
      <c r="I2389">
        <v>2207710.09</v>
      </c>
      <c r="J2389" s="123">
        <v>0</v>
      </c>
      <c r="K2389" s="123">
        <v>0</v>
      </c>
      <c r="L2389" s="123">
        <v>46147</v>
      </c>
      <c r="M2389">
        <v>0</v>
      </c>
      <c r="N2389">
        <v>0</v>
      </c>
      <c r="O2389">
        <v>0</v>
      </c>
      <c r="P2389" s="216">
        <v>220772</v>
      </c>
      <c r="Q2389" s="217" t="s">
        <v>18</v>
      </c>
      <c r="R2389" s="217" t="s">
        <v>582</v>
      </c>
      <c r="S2389" s="218">
        <v>0.10000000045295804</v>
      </c>
      <c r="T2389" t="s">
        <v>550</v>
      </c>
      <c r="U2389" t="s">
        <v>51</v>
      </c>
      <c r="V2389" s="219">
        <v>0</v>
      </c>
      <c r="W2389" s="219">
        <v>0</v>
      </c>
    </row>
    <row r="2390" spans="1:23" ht="15" customHeight="1" x14ac:dyDescent="0.25">
      <c r="A2390" t="s">
        <v>5594</v>
      </c>
      <c r="B2390" t="s">
        <v>595</v>
      </c>
      <c r="C2390">
        <v>13850</v>
      </c>
      <c r="D2390" t="s">
        <v>5595</v>
      </c>
      <c r="E2390" t="s">
        <v>5596</v>
      </c>
      <c r="F2390" t="s">
        <v>554</v>
      </c>
      <c r="G2390" s="30">
        <v>46146</v>
      </c>
      <c r="H2390" t="s">
        <v>5597</v>
      </c>
      <c r="I2390">
        <v>2673258.35</v>
      </c>
      <c r="J2390" s="123">
        <v>0</v>
      </c>
      <c r="K2390" s="123">
        <v>0</v>
      </c>
      <c r="L2390" s="123">
        <v>46146</v>
      </c>
      <c r="M2390">
        <v>0</v>
      </c>
      <c r="N2390">
        <v>0</v>
      </c>
      <c r="O2390">
        <v>0</v>
      </c>
      <c r="P2390" s="216">
        <v>13850</v>
      </c>
      <c r="Q2390" s="217" t="s">
        <v>18</v>
      </c>
      <c r="R2390" s="217" t="s">
        <v>554</v>
      </c>
      <c r="S2390" s="218">
        <v>0.20000133544892881</v>
      </c>
      <c r="T2390" t="s">
        <v>550</v>
      </c>
      <c r="U2390" t="s">
        <v>51</v>
      </c>
      <c r="V2390" s="219" t="s">
        <v>7166</v>
      </c>
      <c r="W2390" s="219" t="s">
        <v>67</v>
      </c>
    </row>
    <row r="2391" spans="1:23" ht="15" customHeight="1" x14ac:dyDescent="0.25">
      <c r="A2391" t="s">
        <v>5598</v>
      </c>
      <c r="B2391" t="s">
        <v>546</v>
      </c>
      <c r="C2391">
        <v>17340</v>
      </c>
      <c r="D2391" t="s">
        <v>5599</v>
      </c>
      <c r="E2391" t="s">
        <v>2548</v>
      </c>
      <c r="F2391" t="s">
        <v>554</v>
      </c>
      <c r="G2391" s="30">
        <v>46147</v>
      </c>
      <c r="H2391" t="s">
        <v>5600</v>
      </c>
      <c r="I2391">
        <v>2579740.5</v>
      </c>
      <c r="J2391" s="123">
        <v>0</v>
      </c>
      <c r="K2391" s="123">
        <v>0</v>
      </c>
      <c r="L2391" s="123">
        <v>0</v>
      </c>
      <c r="M2391">
        <v>0</v>
      </c>
      <c r="N2391">
        <v>17340</v>
      </c>
      <c r="O2391">
        <v>0</v>
      </c>
      <c r="P2391" s="216">
        <v>0</v>
      </c>
      <c r="Q2391" s="217" t="s">
        <v>18</v>
      </c>
      <c r="R2391" s="217" t="s">
        <v>554</v>
      </c>
      <c r="S2391" s="218">
        <v>0.121384302025727</v>
      </c>
      <c r="T2391" t="s">
        <v>550</v>
      </c>
      <c r="U2391" t="s">
        <v>51</v>
      </c>
      <c r="V2391" s="219" t="s">
        <v>7167</v>
      </c>
      <c r="W2391" s="219" t="s">
        <v>67</v>
      </c>
    </row>
    <row r="2392" spans="1:23" ht="15" customHeight="1" x14ac:dyDescent="0.25">
      <c r="A2392" t="s">
        <v>5601</v>
      </c>
      <c r="B2392" t="s">
        <v>546</v>
      </c>
      <c r="C2392">
        <v>55000</v>
      </c>
      <c r="D2392" t="s">
        <v>5599</v>
      </c>
      <c r="E2392" t="s">
        <v>2548</v>
      </c>
      <c r="F2392" t="s">
        <v>554</v>
      </c>
      <c r="G2392" s="30">
        <v>46148</v>
      </c>
      <c r="H2392" t="s">
        <v>5600</v>
      </c>
      <c r="I2392">
        <v>2579740.5</v>
      </c>
      <c r="J2392" s="123">
        <v>0</v>
      </c>
      <c r="K2392" s="123">
        <v>0</v>
      </c>
      <c r="L2392" s="123">
        <v>0</v>
      </c>
      <c r="M2392">
        <v>0</v>
      </c>
      <c r="N2392">
        <v>0</v>
      </c>
      <c r="O2392">
        <v>0</v>
      </c>
      <c r="P2392" s="216">
        <v>55000</v>
      </c>
      <c r="Q2392" s="217" t="s">
        <v>18</v>
      </c>
      <c r="R2392" s="217" t="s">
        <v>554</v>
      </c>
      <c r="S2392" s="218">
        <v>0.121384302025727</v>
      </c>
      <c r="T2392" t="s">
        <v>550</v>
      </c>
      <c r="U2392" t="s">
        <v>51</v>
      </c>
      <c r="V2392" s="219" t="s">
        <v>7168</v>
      </c>
      <c r="W2392" s="219" t="s">
        <v>67</v>
      </c>
    </row>
    <row r="2393" spans="1:23" ht="15" customHeight="1" x14ac:dyDescent="0.25">
      <c r="A2393" t="s">
        <v>5602</v>
      </c>
      <c r="B2393" t="s">
        <v>64</v>
      </c>
      <c r="C2393">
        <v>2312250</v>
      </c>
      <c r="D2393" t="s">
        <v>5603</v>
      </c>
      <c r="E2393" t="s">
        <v>183</v>
      </c>
      <c r="F2393" t="s">
        <v>580</v>
      </c>
      <c r="G2393" s="30">
        <v>46149</v>
      </c>
      <c r="H2393" t="s">
        <v>5604</v>
      </c>
      <c r="I2393">
        <v>23122500</v>
      </c>
      <c r="J2393" s="123">
        <v>0</v>
      </c>
      <c r="K2393" s="123">
        <v>46148</v>
      </c>
      <c r="L2393" s="123">
        <v>0</v>
      </c>
      <c r="M2393">
        <v>0</v>
      </c>
      <c r="N2393">
        <v>0</v>
      </c>
      <c r="O2393" t="s">
        <v>556</v>
      </c>
      <c r="P2393" s="216">
        <v>2312250</v>
      </c>
      <c r="Q2393" s="217" t="s">
        <v>33</v>
      </c>
      <c r="R2393" s="217" t="s">
        <v>582</v>
      </c>
      <c r="S2393" s="218">
        <v>0.2</v>
      </c>
      <c r="T2393" t="s">
        <v>550</v>
      </c>
      <c r="U2393" t="s">
        <v>51</v>
      </c>
      <c r="V2393" s="219">
        <v>0</v>
      </c>
      <c r="W2393" s="219">
        <v>0</v>
      </c>
    </row>
    <row r="2394" spans="1:23" ht="15" customHeight="1" x14ac:dyDescent="0.25">
      <c r="A2394" t="s">
        <v>5605</v>
      </c>
      <c r="B2394" t="s">
        <v>546</v>
      </c>
      <c r="C2394">
        <v>199769.2</v>
      </c>
      <c r="D2394" t="s">
        <v>5606</v>
      </c>
      <c r="E2394" t="s">
        <v>553</v>
      </c>
      <c r="F2394" t="s">
        <v>554</v>
      </c>
      <c r="G2394" s="30">
        <v>46148</v>
      </c>
      <c r="H2394" t="s">
        <v>5607</v>
      </c>
      <c r="I2394">
        <v>1996433.1</v>
      </c>
      <c r="J2394" s="123">
        <v>46148</v>
      </c>
      <c r="K2394" s="123">
        <v>0</v>
      </c>
      <c r="L2394" s="123">
        <v>46148</v>
      </c>
      <c r="M2394">
        <v>0</v>
      </c>
      <c r="N2394">
        <v>0</v>
      </c>
      <c r="O2394" t="s">
        <v>556</v>
      </c>
      <c r="P2394" s="216">
        <v>199769.2</v>
      </c>
      <c r="Q2394" s="217" t="s">
        <v>34</v>
      </c>
      <c r="R2394" s="217" t="s">
        <v>554</v>
      </c>
      <c r="S2394" s="218">
        <v>0.199840906264277</v>
      </c>
      <c r="T2394" t="s">
        <v>550</v>
      </c>
      <c r="U2394" t="s">
        <v>51</v>
      </c>
      <c r="V2394" s="219" t="s">
        <v>7169</v>
      </c>
      <c r="W2394" s="219" t="s">
        <v>67</v>
      </c>
    </row>
    <row r="2395" spans="1:23" ht="15" customHeight="1" x14ac:dyDescent="0.25">
      <c r="A2395" t="s">
        <v>5608</v>
      </c>
      <c r="B2395" t="s">
        <v>575</v>
      </c>
      <c r="C2395">
        <v>300000</v>
      </c>
      <c r="D2395" t="s">
        <v>5609</v>
      </c>
      <c r="E2395" t="s">
        <v>5610</v>
      </c>
      <c r="F2395" t="s">
        <v>554</v>
      </c>
      <c r="G2395" s="30">
        <v>46143</v>
      </c>
      <c r="H2395" t="s">
        <v>5611</v>
      </c>
      <c r="I2395">
        <v>3208312.8</v>
      </c>
      <c r="J2395" s="123">
        <v>0</v>
      </c>
      <c r="K2395" s="123">
        <v>0</v>
      </c>
      <c r="L2395" s="123">
        <v>46143</v>
      </c>
      <c r="M2395">
        <v>0</v>
      </c>
      <c r="N2395">
        <v>0</v>
      </c>
      <c r="O2395">
        <v>0</v>
      </c>
      <c r="P2395" s="216">
        <v>300000</v>
      </c>
      <c r="Q2395" s="217" t="s">
        <v>34</v>
      </c>
      <c r="R2395" s="217" t="s">
        <v>554</v>
      </c>
      <c r="S2395" s="218">
        <v>0.2000007605243479</v>
      </c>
      <c r="T2395" t="s">
        <v>550</v>
      </c>
      <c r="U2395" t="s">
        <v>51</v>
      </c>
      <c r="V2395" s="219" t="s">
        <v>7170</v>
      </c>
      <c r="W2395" s="219" t="s">
        <v>67</v>
      </c>
    </row>
    <row r="2396" spans="1:23" ht="15" customHeight="1" x14ac:dyDescent="0.25">
      <c r="A2396" t="s">
        <v>5612</v>
      </c>
      <c r="B2396" t="s">
        <v>546</v>
      </c>
      <c r="C2396">
        <v>20832</v>
      </c>
      <c r="D2396" t="s">
        <v>5609</v>
      </c>
      <c r="E2396" t="s">
        <v>5610</v>
      </c>
      <c r="F2396" t="s">
        <v>554</v>
      </c>
      <c r="G2396" s="30">
        <v>46146</v>
      </c>
      <c r="H2396" t="s">
        <v>5611</v>
      </c>
      <c r="I2396">
        <v>3208312.8</v>
      </c>
      <c r="J2396" s="123">
        <v>0</v>
      </c>
      <c r="K2396" s="123">
        <v>0</v>
      </c>
      <c r="L2396" s="123">
        <v>0</v>
      </c>
      <c r="M2396">
        <v>0</v>
      </c>
      <c r="N2396">
        <v>0</v>
      </c>
      <c r="O2396">
        <v>0</v>
      </c>
      <c r="P2396" s="216">
        <v>20832</v>
      </c>
      <c r="Q2396" s="217" t="s">
        <v>34</v>
      </c>
      <c r="R2396" s="217" t="s">
        <v>554</v>
      </c>
      <c r="S2396" s="218">
        <v>0.2000007605243479</v>
      </c>
      <c r="T2396" t="s">
        <v>550</v>
      </c>
      <c r="U2396" t="s">
        <v>51</v>
      </c>
      <c r="V2396" s="219" t="s">
        <v>7171</v>
      </c>
      <c r="W2396" s="219" t="s">
        <v>67</v>
      </c>
    </row>
    <row r="2397" spans="1:23" ht="15" customHeight="1" x14ac:dyDescent="0.25">
      <c r="A2397" t="s">
        <v>5613</v>
      </c>
      <c r="B2397" t="s">
        <v>546</v>
      </c>
      <c r="C2397">
        <v>71014</v>
      </c>
      <c r="D2397" t="s">
        <v>5614</v>
      </c>
      <c r="E2397" t="s">
        <v>141</v>
      </c>
      <c r="F2397" t="s">
        <v>554</v>
      </c>
      <c r="G2397" s="30">
        <v>46147</v>
      </c>
      <c r="H2397" t="s">
        <v>5615</v>
      </c>
      <c r="I2397">
        <v>3550698.4</v>
      </c>
      <c r="J2397" s="123">
        <v>0</v>
      </c>
      <c r="K2397" s="123">
        <v>0</v>
      </c>
      <c r="L2397" s="123">
        <v>0</v>
      </c>
      <c r="M2397">
        <v>0</v>
      </c>
      <c r="N2397">
        <v>0</v>
      </c>
      <c r="O2397">
        <v>0</v>
      </c>
      <c r="P2397" s="216">
        <v>71014</v>
      </c>
      <c r="Q2397" s="217" t="s">
        <v>34</v>
      </c>
      <c r="R2397" s="217" t="s">
        <v>554</v>
      </c>
      <c r="S2397" s="218">
        <v>0.14006816518124998</v>
      </c>
      <c r="T2397" t="s">
        <v>550</v>
      </c>
      <c r="U2397" t="s">
        <v>51</v>
      </c>
      <c r="V2397" s="219" t="s">
        <v>7172</v>
      </c>
      <c r="W2397" s="219" t="s">
        <v>67</v>
      </c>
    </row>
    <row r="2398" spans="1:23" ht="15" customHeight="1" x14ac:dyDescent="0.25">
      <c r="A2398" t="s">
        <v>5616</v>
      </c>
      <c r="B2398" t="s">
        <v>546</v>
      </c>
      <c r="C2398">
        <v>71014</v>
      </c>
      <c r="D2398" t="s">
        <v>5614</v>
      </c>
      <c r="E2398" t="s">
        <v>141</v>
      </c>
      <c r="F2398" t="s">
        <v>554</v>
      </c>
      <c r="G2398" s="30">
        <v>46147</v>
      </c>
      <c r="H2398" t="s">
        <v>5615</v>
      </c>
      <c r="I2398">
        <v>3550698.4</v>
      </c>
      <c r="J2398" s="123">
        <v>0</v>
      </c>
      <c r="K2398" s="123">
        <v>0</v>
      </c>
      <c r="L2398" s="123">
        <v>0</v>
      </c>
      <c r="M2398">
        <v>0</v>
      </c>
      <c r="N2398">
        <v>0</v>
      </c>
      <c r="O2398">
        <v>0</v>
      </c>
      <c r="P2398" s="216">
        <v>71014</v>
      </c>
      <c r="Q2398" s="217" t="s">
        <v>34</v>
      </c>
      <c r="R2398" s="217" t="s">
        <v>554</v>
      </c>
      <c r="S2398" s="218">
        <v>0.14006816518124998</v>
      </c>
      <c r="T2398" t="s">
        <v>550</v>
      </c>
      <c r="U2398" t="s">
        <v>51</v>
      </c>
      <c r="V2398" s="219" t="s">
        <v>7173</v>
      </c>
      <c r="W2398" s="219" t="s">
        <v>67</v>
      </c>
    </row>
    <row r="2399" spans="1:23" ht="15" customHeight="1" x14ac:dyDescent="0.25">
      <c r="A2399" t="s">
        <v>5617</v>
      </c>
      <c r="B2399" t="s">
        <v>595</v>
      </c>
      <c r="C2399">
        <v>71014</v>
      </c>
      <c r="D2399" t="s">
        <v>5614</v>
      </c>
      <c r="E2399" t="s">
        <v>141</v>
      </c>
      <c r="F2399" t="s">
        <v>580</v>
      </c>
      <c r="G2399" s="30">
        <v>46149</v>
      </c>
      <c r="H2399" t="s">
        <v>5615</v>
      </c>
      <c r="I2399">
        <v>3550698.4</v>
      </c>
      <c r="J2399" s="123">
        <v>0</v>
      </c>
      <c r="K2399" s="123">
        <v>0</v>
      </c>
      <c r="L2399" s="123">
        <v>46147</v>
      </c>
      <c r="M2399">
        <v>0</v>
      </c>
      <c r="N2399">
        <v>0</v>
      </c>
      <c r="O2399">
        <v>0</v>
      </c>
      <c r="P2399" s="216">
        <v>71014</v>
      </c>
      <c r="Q2399" s="217" t="s">
        <v>34</v>
      </c>
      <c r="R2399" s="217" t="s">
        <v>582</v>
      </c>
      <c r="S2399" s="218">
        <v>0.14006816518124998</v>
      </c>
      <c r="T2399" t="s">
        <v>550</v>
      </c>
      <c r="U2399" t="s">
        <v>51</v>
      </c>
      <c r="V2399" s="219">
        <v>0</v>
      </c>
      <c r="W2399" s="219">
        <v>0</v>
      </c>
    </row>
    <row r="2400" spans="1:23" ht="15" customHeight="1" x14ac:dyDescent="0.25">
      <c r="A2400" t="s">
        <v>5618</v>
      </c>
      <c r="B2400" t="s">
        <v>595</v>
      </c>
      <c r="C2400">
        <v>70994</v>
      </c>
      <c r="D2400" t="s">
        <v>5614</v>
      </c>
      <c r="E2400" t="s">
        <v>141</v>
      </c>
      <c r="F2400" t="s">
        <v>580</v>
      </c>
      <c r="G2400" s="30">
        <v>46149</v>
      </c>
      <c r="H2400" t="s">
        <v>5615</v>
      </c>
      <c r="I2400">
        <v>3550698.4</v>
      </c>
      <c r="J2400" s="123">
        <v>0</v>
      </c>
      <c r="K2400" s="123">
        <v>0</v>
      </c>
      <c r="L2400" s="123">
        <v>46146</v>
      </c>
      <c r="M2400">
        <v>0</v>
      </c>
      <c r="N2400">
        <v>0</v>
      </c>
      <c r="O2400">
        <v>0</v>
      </c>
      <c r="P2400" s="216">
        <v>70994</v>
      </c>
      <c r="Q2400" s="217" t="s">
        <v>34</v>
      </c>
      <c r="R2400" s="217" t="s">
        <v>582</v>
      </c>
      <c r="S2400" s="218">
        <v>0.14006816518124998</v>
      </c>
      <c r="T2400" t="s">
        <v>550</v>
      </c>
      <c r="U2400" t="s">
        <v>51</v>
      </c>
      <c r="V2400" s="219">
        <v>0</v>
      </c>
      <c r="W2400" s="219">
        <v>0</v>
      </c>
    </row>
    <row r="2401" spans="1:23" ht="15" customHeight="1" x14ac:dyDescent="0.25">
      <c r="A2401" t="s">
        <v>5619</v>
      </c>
      <c r="B2401" t="s">
        <v>595</v>
      </c>
      <c r="C2401">
        <v>38395.660000000003</v>
      </c>
      <c r="D2401" t="s">
        <v>5620</v>
      </c>
      <c r="E2401" t="s">
        <v>5621</v>
      </c>
      <c r="F2401" t="s">
        <v>554</v>
      </c>
      <c r="G2401" s="30">
        <v>46143</v>
      </c>
      <c r="H2401" t="s">
        <v>5622</v>
      </c>
      <c r="I2401">
        <v>2093641.55</v>
      </c>
      <c r="J2401" s="123">
        <v>0</v>
      </c>
      <c r="K2401" s="123">
        <v>0</v>
      </c>
      <c r="L2401" s="123">
        <v>46142</v>
      </c>
      <c r="M2401">
        <v>0</v>
      </c>
      <c r="N2401">
        <v>38395.660000000003</v>
      </c>
      <c r="O2401">
        <v>0</v>
      </c>
      <c r="P2401" s="216">
        <v>0</v>
      </c>
      <c r="Q2401" s="217" t="s">
        <v>34</v>
      </c>
      <c r="R2401" s="217" t="s">
        <v>554</v>
      </c>
      <c r="S2401" s="218">
        <v>0.11026959223272961</v>
      </c>
      <c r="T2401" t="s">
        <v>550</v>
      </c>
      <c r="U2401" t="s">
        <v>51</v>
      </c>
      <c r="V2401" s="219" t="s">
        <v>7174</v>
      </c>
      <c r="W2401" s="219" t="s">
        <v>67</v>
      </c>
    </row>
    <row r="2402" spans="1:23" ht="15" customHeight="1" x14ac:dyDescent="0.25">
      <c r="A2402" t="s">
        <v>5623</v>
      </c>
      <c r="B2402" t="s">
        <v>546</v>
      </c>
      <c r="C2402">
        <v>6500</v>
      </c>
      <c r="D2402" t="s">
        <v>5620</v>
      </c>
      <c r="E2402" t="s">
        <v>553</v>
      </c>
      <c r="F2402" t="s">
        <v>548</v>
      </c>
      <c r="G2402" s="30">
        <v>46144</v>
      </c>
      <c r="H2402" t="s">
        <v>5622</v>
      </c>
      <c r="I2402">
        <v>2093641.55</v>
      </c>
      <c r="J2402" s="123">
        <v>46144</v>
      </c>
      <c r="K2402" s="123">
        <v>0</v>
      </c>
      <c r="L2402" s="123">
        <v>46144</v>
      </c>
      <c r="M2402">
        <v>0</v>
      </c>
      <c r="N2402">
        <v>0</v>
      </c>
      <c r="O2402" t="s">
        <v>556</v>
      </c>
      <c r="P2402" s="216">
        <v>6500</v>
      </c>
      <c r="Q2402" s="217" t="s">
        <v>34</v>
      </c>
      <c r="R2402" s="217" t="s">
        <v>62</v>
      </c>
      <c r="S2402" s="218">
        <v>0.11026959223272961</v>
      </c>
      <c r="T2402" t="s">
        <v>550</v>
      </c>
      <c r="U2402" t="s">
        <v>51</v>
      </c>
      <c r="V2402" s="219">
        <v>0</v>
      </c>
      <c r="W2402" s="219">
        <v>0</v>
      </c>
    </row>
    <row r="2403" spans="1:23" ht="15" customHeight="1" x14ac:dyDescent="0.25">
      <c r="A2403" t="s">
        <v>5624</v>
      </c>
      <c r="B2403" t="s">
        <v>546</v>
      </c>
      <c r="C2403">
        <v>1000</v>
      </c>
      <c r="D2403" t="s">
        <v>5620</v>
      </c>
      <c r="E2403" t="s">
        <v>553</v>
      </c>
      <c r="F2403" t="s">
        <v>554</v>
      </c>
      <c r="G2403" s="30">
        <v>46145</v>
      </c>
      <c r="H2403" t="s">
        <v>5622</v>
      </c>
      <c r="I2403">
        <v>2093641.55</v>
      </c>
      <c r="J2403" s="123">
        <v>46145</v>
      </c>
      <c r="K2403" s="123">
        <v>0</v>
      </c>
      <c r="L2403" s="123">
        <v>46145</v>
      </c>
      <c r="M2403">
        <v>0</v>
      </c>
      <c r="N2403">
        <v>0</v>
      </c>
      <c r="O2403" t="s">
        <v>556</v>
      </c>
      <c r="P2403" s="216">
        <v>1000</v>
      </c>
      <c r="Q2403" s="217" t="s">
        <v>34</v>
      </c>
      <c r="R2403" s="217" t="s">
        <v>554</v>
      </c>
      <c r="S2403" s="218">
        <v>0.11026959223272961</v>
      </c>
      <c r="T2403" t="s">
        <v>550</v>
      </c>
      <c r="U2403" t="s">
        <v>51</v>
      </c>
      <c r="V2403" s="219" t="s">
        <v>7175</v>
      </c>
      <c r="W2403" s="219" t="s">
        <v>67</v>
      </c>
    </row>
    <row r="2404" spans="1:23" ht="15" customHeight="1" x14ac:dyDescent="0.25">
      <c r="A2404" t="s">
        <v>5625</v>
      </c>
      <c r="B2404" t="s">
        <v>546</v>
      </c>
      <c r="C2404">
        <v>241013</v>
      </c>
      <c r="D2404" t="s">
        <v>5620</v>
      </c>
      <c r="E2404" t="s">
        <v>553</v>
      </c>
      <c r="F2404" t="s">
        <v>548</v>
      </c>
      <c r="G2404" s="30">
        <v>46145</v>
      </c>
      <c r="H2404" t="s">
        <v>5622</v>
      </c>
      <c r="I2404">
        <v>2093641.55</v>
      </c>
      <c r="J2404" s="123">
        <v>46145</v>
      </c>
      <c r="K2404" s="123">
        <v>0</v>
      </c>
      <c r="L2404" s="123">
        <v>46145</v>
      </c>
      <c r="M2404">
        <v>0</v>
      </c>
      <c r="N2404">
        <v>0</v>
      </c>
      <c r="O2404" t="s">
        <v>556</v>
      </c>
      <c r="P2404" s="216">
        <v>241013</v>
      </c>
      <c r="Q2404" s="217" t="s">
        <v>34</v>
      </c>
      <c r="R2404" s="217" t="s">
        <v>62</v>
      </c>
      <c r="S2404" s="218">
        <v>0.11026959223272961</v>
      </c>
      <c r="T2404" t="s">
        <v>550</v>
      </c>
      <c r="U2404" t="s">
        <v>51</v>
      </c>
      <c r="V2404" s="219">
        <v>0</v>
      </c>
      <c r="W2404" s="219">
        <v>0</v>
      </c>
    </row>
    <row r="2405" spans="1:23" ht="15" customHeight="1" x14ac:dyDescent="0.25">
      <c r="A2405" t="s">
        <v>5626</v>
      </c>
      <c r="B2405" t="s">
        <v>546</v>
      </c>
      <c r="C2405">
        <v>5000</v>
      </c>
      <c r="D2405" t="s">
        <v>5620</v>
      </c>
      <c r="E2405" t="s">
        <v>553</v>
      </c>
      <c r="F2405" t="s">
        <v>554</v>
      </c>
      <c r="G2405" s="30">
        <v>46149</v>
      </c>
      <c r="H2405" t="s">
        <v>5622</v>
      </c>
      <c r="I2405">
        <v>2093641.55</v>
      </c>
      <c r="J2405" s="123">
        <v>46149</v>
      </c>
      <c r="K2405" s="123">
        <v>0</v>
      </c>
      <c r="L2405" s="123">
        <v>46149</v>
      </c>
      <c r="M2405">
        <v>0</v>
      </c>
      <c r="N2405">
        <v>0</v>
      </c>
      <c r="O2405" t="s">
        <v>556</v>
      </c>
      <c r="P2405" s="216">
        <v>5000</v>
      </c>
      <c r="Q2405" s="217" t="s">
        <v>34</v>
      </c>
      <c r="R2405" s="217" t="s">
        <v>554</v>
      </c>
      <c r="S2405" s="218">
        <v>0.11026959223272961</v>
      </c>
      <c r="T2405" t="s">
        <v>550</v>
      </c>
      <c r="U2405" t="s">
        <v>51</v>
      </c>
      <c r="V2405" s="219" t="s">
        <v>7176</v>
      </c>
      <c r="W2405" s="219" t="s">
        <v>67</v>
      </c>
    </row>
    <row r="2406" spans="1:23" ht="15" customHeight="1" x14ac:dyDescent="0.25">
      <c r="A2406" t="s">
        <v>5627</v>
      </c>
      <c r="B2406" t="s">
        <v>546</v>
      </c>
      <c r="C2406">
        <v>15500</v>
      </c>
      <c r="D2406" t="s">
        <v>5620</v>
      </c>
      <c r="E2406" t="s">
        <v>553</v>
      </c>
      <c r="F2406" t="s">
        <v>554</v>
      </c>
      <c r="G2406" s="30">
        <v>46149</v>
      </c>
      <c r="H2406" t="s">
        <v>5622</v>
      </c>
      <c r="I2406">
        <v>2093641.55</v>
      </c>
      <c r="J2406" s="123">
        <v>46149</v>
      </c>
      <c r="K2406" s="123">
        <v>0</v>
      </c>
      <c r="L2406" s="123">
        <v>46149</v>
      </c>
      <c r="M2406">
        <v>0</v>
      </c>
      <c r="N2406">
        <v>0</v>
      </c>
      <c r="O2406" t="s">
        <v>556</v>
      </c>
      <c r="P2406" s="216">
        <v>15500</v>
      </c>
      <c r="Q2406" s="217" t="s">
        <v>34</v>
      </c>
      <c r="R2406" s="217" t="s">
        <v>554</v>
      </c>
      <c r="S2406" s="218">
        <v>0.11026959223272961</v>
      </c>
      <c r="T2406" t="s">
        <v>550</v>
      </c>
      <c r="U2406" t="s">
        <v>51</v>
      </c>
      <c r="V2406" s="219" t="s">
        <v>7177</v>
      </c>
      <c r="W2406" s="219" t="s">
        <v>67</v>
      </c>
    </row>
    <row r="2407" spans="1:23" ht="15" customHeight="1" x14ac:dyDescent="0.25">
      <c r="A2407" t="s">
        <v>5628</v>
      </c>
      <c r="B2407" t="s">
        <v>546</v>
      </c>
      <c r="C2407">
        <v>5000</v>
      </c>
      <c r="D2407" t="s">
        <v>5620</v>
      </c>
      <c r="E2407" t="s">
        <v>553</v>
      </c>
      <c r="F2407" t="s">
        <v>548</v>
      </c>
      <c r="G2407" s="30">
        <v>46149</v>
      </c>
      <c r="H2407" t="s">
        <v>5622</v>
      </c>
      <c r="I2407">
        <v>2093641.55</v>
      </c>
      <c r="J2407" s="123">
        <v>46149</v>
      </c>
      <c r="K2407" s="123">
        <v>0</v>
      </c>
      <c r="L2407" s="123">
        <v>46149</v>
      </c>
      <c r="M2407">
        <v>0</v>
      </c>
      <c r="N2407">
        <v>0</v>
      </c>
      <c r="O2407" t="s">
        <v>556</v>
      </c>
      <c r="P2407" s="216">
        <v>5000</v>
      </c>
      <c r="Q2407" s="217" t="s">
        <v>34</v>
      </c>
      <c r="R2407" s="217" t="s">
        <v>62</v>
      </c>
      <c r="S2407" s="218">
        <v>0.11026959223272961</v>
      </c>
      <c r="T2407" t="s">
        <v>550</v>
      </c>
      <c r="U2407" t="s">
        <v>51</v>
      </c>
      <c r="V2407" s="219">
        <v>0</v>
      </c>
      <c r="W2407" s="219">
        <v>0</v>
      </c>
    </row>
    <row r="2408" spans="1:23" ht="15" customHeight="1" x14ac:dyDescent="0.25">
      <c r="A2408" t="s">
        <v>5629</v>
      </c>
      <c r="B2408" t="s">
        <v>546</v>
      </c>
      <c r="C2408">
        <v>208363</v>
      </c>
      <c r="D2408" t="s">
        <v>5620</v>
      </c>
      <c r="E2408" t="s">
        <v>553</v>
      </c>
      <c r="F2408" t="s">
        <v>548</v>
      </c>
      <c r="G2408" s="30">
        <v>46149</v>
      </c>
      <c r="H2408" t="s">
        <v>5622</v>
      </c>
      <c r="I2408">
        <v>2093641.55</v>
      </c>
      <c r="J2408" s="123">
        <v>46149</v>
      </c>
      <c r="K2408" s="123">
        <v>0</v>
      </c>
      <c r="L2408" s="123">
        <v>46149</v>
      </c>
      <c r="M2408">
        <v>0</v>
      </c>
      <c r="N2408">
        <v>0</v>
      </c>
      <c r="O2408" t="s">
        <v>556</v>
      </c>
      <c r="P2408" s="216">
        <v>208363</v>
      </c>
      <c r="Q2408" s="217" t="s">
        <v>34</v>
      </c>
      <c r="R2408" s="217" t="s">
        <v>62</v>
      </c>
      <c r="S2408" s="218">
        <v>0.11026959223272961</v>
      </c>
      <c r="T2408" t="s">
        <v>550</v>
      </c>
      <c r="U2408" t="s">
        <v>51</v>
      </c>
      <c r="V2408" s="219">
        <v>0</v>
      </c>
      <c r="W2408" s="219">
        <v>0</v>
      </c>
    </row>
    <row r="2409" spans="1:23" ht="15" customHeight="1" x14ac:dyDescent="0.25">
      <c r="A2409" t="s">
        <v>5630</v>
      </c>
      <c r="B2409" t="s">
        <v>595</v>
      </c>
      <c r="C2409">
        <v>77364.160000000003</v>
      </c>
      <c r="D2409" t="s">
        <v>5620</v>
      </c>
      <c r="E2409" t="s">
        <v>141</v>
      </c>
      <c r="F2409" t="s">
        <v>580</v>
      </c>
      <c r="G2409" s="30">
        <v>46149</v>
      </c>
      <c r="H2409" t="s">
        <v>5622</v>
      </c>
      <c r="I2409">
        <v>2093641.55</v>
      </c>
      <c r="J2409" s="123">
        <v>0</v>
      </c>
      <c r="K2409" s="123">
        <v>0</v>
      </c>
      <c r="L2409" s="123">
        <v>46149</v>
      </c>
      <c r="M2409">
        <v>0</v>
      </c>
      <c r="N2409">
        <v>0</v>
      </c>
      <c r="O2409">
        <v>0</v>
      </c>
      <c r="P2409" s="216">
        <v>77364.160000000003</v>
      </c>
      <c r="Q2409" s="217" t="s">
        <v>34</v>
      </c>
      <c r="R2409" s="217" t="s">
        <v>582</v>
      </c>
      <c r="S2409" s="218">
        <v>0.11026959223272961</v>
      </c>
      <c r="T2409" t="s">
        <v>550</v>
      </c>
      <c r="U2409" t="s">
        <v>51</v>
      </c>
      <c r="V2409" s="219">
        <v>0</v>
      </c>
      <c r="W2409" s="219">
        <v>0</v>
      </c>
    </row>
    <row r="2410" spans="1:23" ht="15" customHeight="1" x14ac:dyDescent="0.25">
      <c r="A2410" t="s">
        <v>5631</v>
      </c>
      <c r="B2410" t="s">
        <v>595</v>
      </c>
      <c r="C2410">
        <v>208069.4</v>
      </c>
      <c r="D2410" t="s">
        <v>5632</v>
      </c>
      <c r="E2410" t="s">
        <v>4437</v>
      </c>
      <c r="F2410" t="s">
        <v>554</v>
      </c>
      <c r="G2410" s="30">
        <v>46143</v>
      </c>
      <c r="H2410" t="s">
        <v>5633</v>
      </c>
      <c r="I2410">
        <v>2093641.55</v>
      </c>
      <c r="J2410" s="123">
        <v>0</v>
      </c>
      <c r="K2410" s="123">
        <v>0</v>
      </c>
      <c r="L2410" s="123">
        <v>46143</v>
      </c>
      <c r="M2410">
        <v>0</v>
      </c>
      <c r="N2410">
        <v>0</v>
      </c>
      <c r="O2410">
        <v>0</v>
      </c>
      <c r="P2410" s="216">
        <v>208069.4</v>
      </c>
      <c r="Q2410" s="217" t="s">
        <v>34</v>
      </c>
      <c r="R2410" s="217" t="s">
        <v>554</v>
      </c>
      <c r="S2410" s="218">
        <v>0.19851578700279426</v>
      </c>
      <c r="T2410" t="s">
        <v>550</v>
      </c>
      <c r="U2410" t="s">
        <v>51</v>
      </c>
      <c r="V2410" s="219" t="s">
        <v>7178</v>
      </c>
      <c r="W2410" s="219" t="s">
        <v>67</v>
      </c>
    </row>
    <row r="2411" spans="1:23" ht="15" customHeight="1" x14ac:dyDescent="0.25">
      <c r="A2411" t="s">
        <v>5634</v>
      </c>
      <c r="B2411" t="s">
        <v>603</v>
      </c>
      <c r="C2411">
        <v>5000</v>
      </c>
      <c r="D2411" t="s">
        <v>5635</v>
      </c>
      <c r="E2411" t="s">
        <v>5636</v>
      </c>
      <c r="F2411" t="s">
        <v>554</v>
      </c>
      <c r="G2411" s="30">
        <v>46146</v>
      </c>
      <c r="H2411" t="s">
        <v>5637</v>
      </c>
      <c r="I2411">
        <v>1980812.9</v>
      </c>
      <c r="J2411" s="123">
        <v>46146</v>
      </c>
      <c r="K2411" s="123">
        <v>0</v>
      </c>
      <c r="L2411" s="123">
        <v>0</v>
      </c>
      <c r="M2411">
        <v>5000</v>
      </c>
      <c r="N2411">
        <v>0</v>
      </c>
      <c r="O2411">
        <v>0</v>
      </c>
      <c r="P2411" s="216">
        <v>0</v>
      </c>
      <c r="Q2411" s="217" t="s">
        <v>34</v>
      </c>
      <c r="R2411" s="217" t="s">
        <v>554</v>
      </c>
      <c r="S2411" s="218">
        <v>9.5191499999999998E-2</v>
      </c>
      <c r="T2411" t="s">
        <v>550</v>
      </c>
      <c r="U2411" t="s">
        <v>51</v>
      </c>
      <c r="V2411" s="219" t="s">
        <v>7179</v>
      </c>
      <c r="W2411" s="219" t="s">
        <v>67</v>
      </c>
    </row>
    <row r="2412" spans="1:23" ht="15" customHeight="1" x14ac:dyDescent="0.25">
      <c r="A2412" t="s">
        <v>5638</v>
      </c>
      <c r="B2412" t="s">
        <v>575</v>
      </c>
      <c r="C2412">
        <v>100000</v>
      </c>
      <c r="D2412" t="s">
        <v>5635</v>
      </c>
      <c r="E2412" t="s">
        <v>5636</v>
      </c>
      <c r="F2412" t="s">
        <v>580</v>
      </c>
      <c r="G2412" s="30">
        <v>46149</v>
      </c>
      <c r="H2412" t="s">
        <v>5637</v>
      </c>
      <c r="I2412">
        <v>1980812.9</v>
      </c>
      <c r="J2412" s="123">
        <v>0</v>
      </c>
      <c r="K2412" s="123">
        <v>0</v>
      </c>
      <c r="L2412" s="123">
        <v>46081</v>
      </c>
      <c r="M2412">
        <v>0</v>
      </c>
      <c r="N2412">
        <v>0</v>
      </c>
      <c r="O2412">
        <v>0</v>
      </c>
      <c r="P2412" s="216">
        <v>100000</v>
      </c>
      <c r="Q2412" s="217" t="s">
        <v>34</v>
      </c>
      <c r="R2412" s="217" t="s">
        <v>582</v>
      </c>
      <c r="S2412" s="218">
        <v>9.5191499999999998E-2</v>
      </c>
      <c r="T2412" t="s">
        <v>550</v>
      </c>
      <c r="U2412" t="s">
        <v>51</v>
      </c>
      <c r="V2412" s="219">
        <v>0</v>
      </c>
      <c r="W2412" s="219">
        <v>0</v>
      </c>
    </row>
    <row r="2413" spans="1:23" ht="15" customHeight="1" x14ac:dyDescent="0.25">
      <c r="A2413" t="s">
        <v>5639</v>
      </c>
      <c r="B2413" t="s">
        <v>595</v>
      </c>
      <c r="C2413">
        <v>211457.8</v>
      </c>
      <c r="D2413" t="s">
        <v>5640</v>
      </c>
      <c r="E2413" t="s">
        <v>5641</v>
      </c>
      <c r="F2413" t="s">
        <v>585</v>
      </c>
      <c r="G2413" s="30">
        <v>46148</v>
      </c>
      <c r="H2413" t="s">
        <v>5642</v>
      </c>
      <c r="I2413">
        <v>2093641.55</v>
      </c>
      <c r="J2413" s="123">
        <v>0</v>
      </c>
      <c r="K2413" s="123">
        <v>0</v>
      </c>
      <c r="L2413" s="123">
        <v>46147</v>
      </c>
      <c r="M2413">
        <v>0</v>
      </c>
      <c r="N2413">
        <v>0</v>
      </c>
      <c r="O2413">
        <v>0</v>
      </c>
      <c r="P2413" s="216">
        <v>211457.8</v>
      </c>
      <c r="Q2413" s="217" t="s">
        <v>34</v>
      </c>
      <c r="R2413" s="217" t="s">
        <v>61</v>
      </c>
      <c r="S2413" s="218">
        <v>9.9366828099107976E-2</v>
      </c>
      <c r="T2413" t="s">
        <v>550</v>
      </c>
      <c r="U2413" t="s">
        <v>51</v>
      </c>
      <c r="V2413" s="219">
        <v>0</v>
      </c>
      <c r="W2413" s="219">
        <v>0</v>
      </c>
    </row>
    <row r="2414" spans="1:23" ht="15" customHeight="1" x14ac:dyDescent="0.25">
      <c r="A2414" t="s">
        <v>5643</v>
      </c>
      <c r="B2414" t="s">
        <v>595</v>
      </c>
      <c r="C2414">
        <v>211457.8</v>
      </c>
      <c r="D2414" t="s">
        <v>5640</v>
      </c>
      <c r="E2414" t="s">
        <v>5641</v>
      </c>
      <c r="F2414" t="s">
        <v>580</v>
      </c>
      <c r="G2414" s="30">
        <v>46149</v>
      </c>
      <c r="H2414" t="s">
        <v>5642</v>
      </c>
      <c r="I2414">
        <v>2093641.55</v>
      </c>
      <c r="J2414" s="123">
        <v>0</v>
      </c>
      <c r="K2414" s="123">
        <v>0</v>
      </c>
      <c r="L2414" s="123">
        <v>46147</v>
      </c>
      <c r="M2414">
        <v>0</v>
      </c>
      <c r="N2414">
        <v>0</v>
      </c>
      <c r="O2414">
        <v>0</v>
      </c>
      <c r="P2414" s="216">
        <v>211457.8</v>
      </c>
      <c r="Q2414" s="217" t="s">
        <v>34</v>
      </c>
      <c r="R2414" s="217" t="s">
        <v>582</v>
      </c>
      <c r="S2414" s="218">
        <v>9.9366828099107976E-2</v>
      </c>
      <c r="T2414" t="s">
        <v>550</v>
      </c>
      <c r="U2414" t="s">
        <v>51</v>
      </c>
      <c r="V2414" s="219">
        <v>0</v>
      </c>
      <c r="W2414" s="219">
        <v>0</v>
      </c>
    </row>
    <row r="2415" spans="1:23" ht="15" customHeight="1" x14ac:dyDescent="0.25">
      <c r="A2415" t="s">
        <v>5644</v>
      </c>
      <c r="B2415" t="s">
        <v>546</v>
      </c>
      <c r="C2415">
        <v>14458</v>
      </c>
      <c r="D2415" t="s">
        <v>5645</v>
      </c>
      <c r="E2415" t="s">
        <v>5431</v>
      </c>
      <c r="F2415" t="s">
        <v>554</v>
      </c>
      <c r="G2415" s="30">
        <v>46143</v>
      </c>
      <c r="H2415" t="s">
        <v>5646</v>
      </c>
      <c r="I2415">
        <v>2119087.7999999998</v>
      </c>
      <c r="J2415" s="123">
        <v>0</v>
      </c>
      <c r="K2415" s="123">
        <v>0</v>
      </c>
      <c r="L2415" s="123">
        <v>0</v>
      </c>
      <c r="M2415">
        <v>0</v>
      </c>
      <c r="N2415">
        <v>0</v>
      </c>
      <c r="O2415">
        <v>0</v>
      </c>
      <c r="P2415" s="216">
        <v>14458</v>
      </c>
      <c r="Q2415" s="217" t="s">
        <v>34</v>
      </c>
      <c r="R2415" s="217" t="s">
        <v>554</v>
      </c>
      <c r="S2415" s="218">
        <v>0.12097962151450262</v>
      </c>
      <c r="T2415" t="s">
        <v>550</v>
      </c>
      <c r="U2415" t="s">
        <v>51</v>
      </c>
      <c r="V2415" s="219" t="s">
        <v>7180</v>
      </c>
      <c r="W2415" s="219" t="s">
        <v>67</v>
      </c>
    </row>
    <row r="2416" spans="1:23" ht="15" customHeight="1" x14ac:dyDescent="0.25">
      <c r="A2416" t="s">
        <v>5647</v>
      </c>
      <c r="B2416" t="s">
        <v>546</v>
      </c>
      <c r="C2416">
        <v>30000</v>
      </c>
      <c r="D2416" t="s">
        <v>5645</v>
      </c>
      <c r="E2416" t="s">
        <v>5431</v>
      </c>
      <c r="F2416" t="s">
        <v>554</v>
      </c>
      <c r="G2416" s="30">
        <v>46143</v>
      </c>
      <c r="H2416" t="s">
        <v>5646</v>
      </c>
      <c r="I2416">
        <v>2119087.7999999998</v>
      </c>
      <c r="J2416" s="123">
        <v>0</v>
      </c>
      <c r="K2416" s="123">
        <v>0</v>
      </c>
      <c r="L2416" s="123">
        <v>0</v>
      </c>
      <c r="M2416">
        <v>0</v>
      </c>
      <c r="N2416">
        <v>0</v>
      </c>
      <c r="O2416">
        <v>0</v>
      </c>
      <c r="P2416" s="216">
        <v>30000</v>
      </c>
      <c r="Q2416" s="217" t="s">
        <v>34</v>
      </c>
      <c r="R2416" s="217" t="s">
        <v>554</v>
      </c>
      <c r="S2416" s="218">
        <v>0.12097962151450262</v>
      </c>
      <c r="T2416" t="s">
        <v>550</v>
      </c>
      <c r="U2416" t="s">
        <v>51</v>
      </c>
      <c r="V2416" s="219" t="s">
        <v>7181</v>
      </c>
      <c r="W2416" s="219" t="s">
        <v>67</v>
      </c>
    </row>
    <row r="2417" spans="1:23" ht="15" customHeight="1" x14ac:dyDescent="0.25">
      <c r="A2417" t="s">
        <v>5648</v>
      </c>
      <c r="B2417" t="s">
        <v>546</v>
      </c>
      <c r="C2417">
        <v>44458</v>
      </c>
      <c r="D2417" t="s">
        <v>5645</v>
      </c>
      <c r="E2417" t="s">
        <v>5431</v>
      </c>
      <c r="F2417" t="s">
        <v>548</v>
      </c>
      <c r="G2417" s="30">
        <v>46143</v>
      </c>
      <c r="H2417" t="s">
        <v>5646</v>
      </c>
      <c r="I2417">
        <v>2119087.7999999998</v>
      </c>
      <c r="J2417" s="123">
        <v>0</v>
      </c>
      <c r="K2417" s="123">
        <v>0</v>
      </c>
      <c r="L2417" s="123">
        <v>0</v>
      </c>
      <c r="M2417">
        <v>0</v>
      </c>
      <c r="N2417">
        <v>0</v>
      </c>
      <c r="O2417">
        <v>0</v>
      </c>
      <c r="P2417" s="216">
        <v>44458</v>
      </c>
      <c r="Q2417" s="217" t="s">
        <v>34</v>
      </c>
      <c r="R2417" s="217" t="s">
        <v>62</v>
      </c>
      <c r="S2417" s="218">
        <v>0.12097962151450262</v>
      </c>
      <c r="T2417" t="s">
        <v>550</v>
      </c>
      <c r="U2417" t="s">
        <v>51</v>
      </c>
      <c r="V2417" s="219">
        <v>0</v>
      </c>
      <c r="W2417" s="219">
        <v>0</v>
      </c>
    </row>
    <row r="2418" spans="1:23" ht="15" customHeight="1" x14ac:dyDescent="0.25">
      <c r="A2418" t="s">
        <v>5649</v>
      </c>
      <c r="B2418" t="s">
        <v>595</v>
      </c>
      <c r="C2418">
        <v>89874</v>
      </c>
      <c r="D2418" t="s">
        <v>5650</v>
      </c>
      <c r="E2418" t="s">
        <v>141</v>
      </c>
      <c r="F2418" t="s">
        <v>554</v>
      </c>
      <c r="G2418" s="30">
        <v>46146</v>
      </c>
      <c r="H2418" t="s">
        <v>5651</v>
      </c>
      <c r="I2418">
        <v>1989969.2</v>
      </c>
      <c r="J2418" s="123">
        <v>0</v>
      </c>
      <c r="K2418" s="123">
        <v>0</v>
      </c>
      <c r="L2418" s="123">
        <v>46146</v>
      </c>
      <c r="M2418">
        <v>0</v>
      </c>
      <c r="N2418">
        <v>0</v>
      </c>
      <c r="O2418">
        <v>0</v>
      </c>
      <c r="P2418" s="216">
        <v>89874</v>
      </c>
      <c r="Q2418" s="217" t="s">
        <v>34</v>
      </c>
      <c r="R2418" s="217" t="s">
        <v>554</v>
      </c>
      <c r="S2418" s="218">
        <v>0.17017450000000001</v>
      </c>
      <c r="T2418" t="s">
        <v>550</v>
      </c>
      <c r="U2418" t="s">
        <v>51</v>
      </c>
      <c r="V2418" s="219" t="s">
        <v>7182</v>
      </c>
      <c r="W2418" s="219" t="s">
        <v>67</v>
      </c>
    </row>
    <row r="2419" spans="1:23" ht="15" customHeight="1" x14ac:dyDescent="0.25">
      <c r="A2419" t="s">
        <v>5652</v>
      </c>
      <c r="B2419" t="s">
        <v>595</v>
      </c>
      <c r="C2419">
        <v>90000</v>
      </c>
      <c r="D2419" t="s">
        <v>5650</v>
      </c>
      <c r="E2419" t="s">
        <v>4311</v>
      </c>
      <c r="F2419" t="s">
        <v>683</v>
      </c>
      <c r="G2419" s="30">
        <v>46146</v>
      </c>
      <c r="H2419" t="s">
        <v>5651</v>
      </c>
      <c r="I2419">
        <v>1989969.2</v>
      </c>
      <c r="J2419" s="123">
        <v>0</v>
      </c>
      <c r="K2419" s="123">
        <v>0</v>
      </c>
      <c r="L2419" s="123">
        <v>46146</v>
      </c>
      <c r="M2419">
        <v>0</v>
      </c>
      <c r="N2419">
        <v>0</v>
      </c>
      <c r="O2419">
        <v>0</v>
      </c>
      <c r="P2419" s="216">
        <v>90000</v>
      </c>
      <c r="Q2419" s="217" t="s">
        <v>34</v>
      </c>
      <c r="R2419" s="217" t="s">
        <v>62</v>
      </c>
      <c r="S2419" s="218">
        <v>0.17017450000000001</v>
      </c>
      <c r="T2419" t="s">
        <v>550</v>
      </c>
      <c r="U2419" t="s">
        <v>51</v>
      </c>
      <c r="V2419" s="219">
        <v>0</v>
      </c>
      <c r="W2419" s="219">
        <v>0</v>
      </c>
    </row>
    <row r="2420" spans="1:23" ht="15" customHeight="1" x14ac:dyDescent="0.25">
      <c r="A2420" t="s">
        <v>5653</v>
      </c>
      <c r="B2420" t="s">
        <v>575</v>
      </c>
      <c r="C2420">
        <v>283200</v>
      </c>
      <c r="D2420" t="s">
        <v>5654</v>
      </c>
      <c r="E2420" t="s">
        <v>141</v>
      </c>
      <c r="F2420" t="s">
        <v>554</v>
      </c>
      <c r="G2420" s="30">
        <v>46144</v>
      </c>
      <c r="H2420" t="s">
        <v>5655</v>
      </c>
      <c r="I2420">
        <v>2014749</v>
      </c>
      <c r="J2420" s="123">
        <v>0</v>
      </c>
      <c r="K2420" s="123">
        <v>0</v>
      </c>
      <c r="L2420" s="123">
        <v>46144</v>
      </c>
      <c r="M2420">
        <v>0</v>
      </c>
      <c r="N2420">
        <v>81740</v>
      </c>
      <c r="O2420" t="s">
        <v>556</v>
      </c>
      <c r="P2420" s="216">
        <v>201460</v>
      </c>
      <c r="Q2420" s="217" t="s">
        <v>34</v>
      </c>
      <c r="R2420" s="217" t="s">
        <v>554</v>
      </c>
      <c r="S2420" s="218">
        <v>0.19997478594107754</v>
      </c>
      <c r="T2420" t="s">
        <v>550</v>
      </c>
      <c r="U2420" t="s">
        <v>51</v>
      </c>
      <c r="V2420" s="219" t="s">
        <v>7183</v>
      </c>
      <c r="W2420" s="219" t="s">
        <v>67</v>
      </c>
    </row>
    <row r="2421" spans="1:23" ht="15" customHeight="1" x14ac:dyDescent="0.25">
      <c r="A2421" t="s">
        <v>5656</v>
      </c>
      <c r="B2421" t="s">
        <v>595</v>
      </c>
      <c r="C2421">
        <v>21814</v>
      </c>
      <c r="D2421" t="s">
        <v>5657</v>
      </c>
      <c r="E2421" t="s">
        <v>5658</v>
      </c>
      <c r="F2421" t="s">
        <v>554</v>
      </c>
      <c r="G2421" s="30">
        <v>46148</v>
      </c>
      <c r="H2421" t="s">
        <v>5659</v>
      </c>
      <c r="I2421">
        <v>2138440.2000000002</v>
      </c>
      <c r="J2421" s="123">
        <v>0</v>
      </c>
      <c r="K2421" s="123">
        <v>0</v>
      </c>
      <c r="L2421" s="123">
        <v>46146</v>
      </c>
      <c r="M2421">
        <v>0</v>
      </c>
      <c r="N2421">
        <v>0</v>
      </c>
      <c r="O2421">
        <v>0</v>
      </c>
      <c r="P2421" s="216">
        <v>21814</v>
      </c>
      <c r="Q2421" s="217" t="s">
        <v>34</v>
      </c>
      <c r="R2421" s="217" t="s">
        <v>554</v>
      </c>
      <c r="S2421" s="218">
        <v>0.19532385801576307</v>
      </c>
      <c r="T2421" t="s">
        <v>550</v>
      </c>
      <c r="U2421" t="s">
        <v>51</v>
      </c>
      <c r="V2421" s="219" t="s">
        <v>7184</v>
      </c>
      <c r="W2421" s="219" t="s">
        <v>67</v>
      </c>
    </row>
    <row r="2422" spans="1:23" ht="15" customHeight="1" x14ac:dyDescent="0.25">
      <c r="A2422" t="s">
        <v>5660</v>
      </c>
      <c r="B2422" t="s">
        <v>546</v>
      </c>
      <c r="C2422">
        <v>3700</v>
      </c>
      <c r="D2422" t="s">
        <v>5661</v>
      </c>
      <c r="E2422" t="s">
        <v>5662</v>
      </c>
      <c r="F2422" t="s">
        <v>554</v>
      </c>
      <c r="G2422" s="30">
        <v>46147</v>
      </c>
      <c r="H2422" t="s">
        <v>5663</v>
      </c>
      <c r="I2422">
        <v>2138440.2000000002</v>
      </c>
      <c r="J2422" s="123">
        <v>0</v>
      </c>
      <c r="K2422" s="123">
        <v>0</v>
      </c>
      <c r="L2422" s="123">
        <v>0</v>
      </c>
      <c r="M2422">
        <v>0</v>
      </c>
      <c r="N2422">
        <v>0</v>
      </c>
      <c r="O2422">
        <v>0</v>
      </c>
      <c r="P2422" s="216">
        <v>3700</v>
      </c>
      <c r="Q2422" s="217" t="s">
        <v>49</v>
      </c>
      <c r="R2422" s="217" t="s">
        <v>554</v>
      </c>
      <c r="S2422" s="218">
        <v>0.21588866501854947</v>
      </c>
      <c r="T2422" t="s">
        <v>550</v>
      </c>
      <c r="U2422" t="s">
        <v>51</v>
      </c>
      <c r="V2422" s="219" t="s">
        <v>7185</v>
      </c>
      <c r="W2422" s="219" t="s">
        <v>67</v>
      </c>
    </row>
    <row r="2423" spans="1:23" ht="15" customHeight="1" x14ac:dyDescent="0.25">
      <c r="A2423" t="s">
        <v>5664</v>
      </c>
      <c r="B2423" t="s">
        <v>546</v>
      </c>
      <c r="C2423">
        <v>3700</v>
      </c>
      <c r="D2423" t="s">
        <v>5661</v>
      </c>
      <c r="E2423" t="s">
        <v>5662</v>
      </c>
      <c r="F2423" t="s">
        <v>554</v>
      </c>
      <c r="G2423" s="30">
        <v>46147</v>
      </c>
      <c r="H2423" t="s">
        <v>5663</v>
      </c>
      <c r="I2423">
        <v>2138440.2000000002</v>
      </c>
      <c r="J2423" s="123">
        <v>0</v>
      </c>
      <c r="K2423" s="123">
        <v>0</v>
      </c>
      <c r="L2423" s="123">
        <v>0</v>
      </c>
      <c r="M2423">
        <v>0</v>
      </c>
      <c r="N2423">
        <v>0</v>
      </c>
      <c r="O2423">
        <v>0</v>
      </c>
      <c r="P2423" s="216">
        <v>3700</v>
      </c>
      <c r="Q2423" s="217" t="s">
        <v>49</v>
      </c>
      <c r="R2423" s="217" t="s">
        <v>554</v>
      </c>
      <c r="S2423" s="218">
        <v>0.21588866501854947</v>
      </c>
      <c r="T2423" t="s">
        <v>550</v>
      </c>
      <c r="U2423" t="s">
        <v>51</v>
      </c>
      <c r="V2423" s="219" t="s">
        <v>7186</v>
      </c>
      <c r="W2423" s="219" t="s">
        <v>67</v>
      </c>
    </row>
    <row r="2424" spans="1:23" ht="15" customHeight="1" x14ac:dyDescent="0.25">
      <c r="A2424" t="s">
        <v>5665</v>
      </c>
      <c r="B2424" t="s">
        <v>546</v>
      </c>
      <c r="C2424">
        <v>1800</v>
      </c>
      <c r="D2424" t="s">
        <v>5661</v>
      </c>
      <c r="E2424" t="s">
        <v>5662</v>
      </c>
      <c r="F2424" t="s">
        <v>554</v>
      </c>
      <c r="G2424" s="30">
        <v>46147</v>
      </c>
      <c r="H2424" t="s">
        <v>5663</v>
      </c>
      <c r="I2424">
        <v>2138440.2000000002</v>
      </c>
      <c r="J2424" s="123">
        <v>0</v>
      </c>
      <c r="K2424" s="123">
        <v>0</v>
      </c>
      <c r="L2424" s="123">
        <v>0</v>
      </c>
      <c r="M2424">
        <v>0</v>
      </c>
      <c r="N2424">
        <v>0</v>
      </c>
      <c r="O2424">
        <v>0</v>
      </c>
      <c r="P2424" s="216">
        <v>1800</v>
      </c>
      <c r="Q2424" s="217" t="s">
        <v>49</v>
      </c>
      <c r="R2424" s="217" t="s">
        <v>554</v>
      </c>
      <c r="S2424" s="218">
        <v>0.21588866501854947</v>
      </c>
      <c r="T2424" t="s">
        <v>550</v>
      </c>
      <c r="U2424" t="s">
        <v>51</v>
      </c>
      <c r="V2424" s="219" t="s">
        <v>7187</v>
      </c>
      <c r="W2424" s="219" t="s">
        <v>67</v>
      </c>
    </row>
    <row r="2425" spans="1:23" ht="15" customHeight="1" x14ac:dyDescent="0.25">
      <c r="A2425" t="s">
        <v>5666</v>
      </c>
      <c r="B2425" t="s">
        <v>546</v>
      </c>
      <c r="C2425">
        <v>1800</v>
      </c>
      <c r="D2425" t="s">
        <v>5661</v>
      </c>
      <c r="E2425" t="s">
        <v>5662</v>
      </c>
      <c r="F2425" t="s">
        <v>554</v>
      </c>
      <c r="G2425" s="30">
        <v>46149</v>
      </c>
      <c r="H2425" t="s">
        <v>5663</v>
      </c>
      <c r="I2425">
        <v>2138440.2000000002</v>
      </c>
      <c r="J2425" s="123">
        <v>0</v>
      </c>
      <c r="K2425" s="123">
        <v>0</v>
      </c>
      <c r="L2425" s="123">
        <v>0</v>
      </c>
      <c r="M2425">
        <v>0</v>
      </c>
      <c r="N2425">
        <v>1800</v>
      </c>
      <c r="O2425">
        <v>0</v>
      </c>
      <c r="P2425" s="216">
        <v>0</v>
      </c>
      <c r="Q2425" s="217" t="s">
        <v>49</v>
      </c>
      <c r="R2425" s="217" t="s">
        <v>554</v>
      </c>
      <c r="S2425" s="218">
        <v>0.21588866501854947</v>
      </c>
      <c r="T2425" t="s">
        <v>550</v>
      </c>
      <c r="U2425" t="s">
        <v>51</v>
      </c>
      <c r="V2425" s="219" t="s">
        <v>7188</v>
      </c>
      <c r="W2425" s="219" t="s">
        <v>67</v>
      </c>
    </row>
    <row r="2426" spans="1:23" ht="15" customHeight="1" x14ac:dyDescent="0.25">
      <c r="A2426" t="s">
        <v>5667</v>
      </c>
      <c r="B2426" t="s">
        <v>546</v>
      </c>
      <c r="C2426">
        <v>1800</v>
      </c>
      <c r="D2426" t="s">
        <v>5661</v>
      </c>
      <c r="E2426" t="s">
        <v>5662</v>
      </c>
      <c r="F2426" t="s">
        <v>554</v>
      </c>
      <c r="G2426" s="30">
        <v>46149</v>
      </c>
      <c r="H2426" t="s">
        <v>5663</v>
      </c>
      <c r="I2426">
        <v>2138440.2000000002</v>
      </c>
      <c r="J2426" s="123">
        <v>0</v>
      </c>
      <c r="K2426" s="123">
        <v>0</v>
      </c>
      <c r="L2426" s="123">
        <v>0</v>
      </c>
      <c r="M2426">
        <v>0</v>
      </c>
      <c r="N2426">
        <v>1800</v>
      </c>
      <c r="O2426">
        <v>0</v>
      </c>
      <c r="P2426" s="216">
        <v>0</v>
      </c>
      <c r="Q2426" s="217" t="s">
        <v>49</v>
      </c>
      <c r="R2426" s="217" t="s">
        <v>554</v>
      </c>
      <c r="S2426" s="218">
        <v>0.21588866501854947</v>
      </c>
      <c r="T2426" t="s">
        <v>550</v>
      </c>
      <c r="U2426" t="s">
        <v>51</v>
      </c>
      <c r="V2426" s="219" t="s">
        <v>7189</v>
      </c>
      <c r="W2426" s="219" t="s">
        <v>67</v>
      </c>
    </row>
    <row r="2427" spans="1:23" ht="15" customHeight="1" x14ac:dyDescent="0.25">
      <c r="A2427" t="s">
        <v>5668</v>
      </c>
      <c r="B2427" t="s">
        <v>603</v>
      </c>
      <c r="C2427">
        <v>214812</v>
      </c>
      <c r="D2427" t="s">
        <v>5669</v>
      </c>
      <c r="E2427" t="s">
        <v>605</v>
      </c>
      <c r="F2427" t="s">
        <v>554</v>
      </c>
      <c r="G2427" s="30">
        <v>46146</v>
      </c>
      <c r="H2427" t="s">
        <v>5670</v>
      </c>
      <c r="I2427">
        <v>2148116.4</v>
      </c>
      <c r="J2427" s="123">
        <v>46146</v>
      </c>
      <c r="K2427" s="123">
        <v>0</v>
      </c>
      <c r="L2427" s="123">
        <v>0</v>
      </c>
      <c r="M2427">
        <v>0</v>
      </c>
      <c r="N2427">
        <v>0</v>
      </c>
      <c r="O2427">
        <v>0</v>
      </c>
      <c r="P2427" s="216">
        <v>214812</v>
      </c>
      <c r="Q2427" s="217" t="s">
        <v>34</v>
      </c>
      <c r="R2427" s="217" t="s">
        <v>554</v>
      </c>
      <c r="S2427" s="218">
        <v>0.19940027458474785</v>
      </c>
      <c r="T2427" t="s">
        <v>550</v>
      </c>
      <c r="U2427" t="s">
        <v>51</v>
      </c>
      <c r="V2427" s="219" t="s">
        <v>7190</v>
      </c>
      <c r="W2427" s="219" t="s">
        <v>67</v>
      </c>
    </row>
    <row r="2428" spans="1:23" ht="15" customHeight="1" x14ac:dyDescent="0.25">
      <c r="A2428" t="s">
        <v>5671</v>
      </c>
      <c r="B2428" t="s">
        <v>603</v>
      </c>
      <c r="C2428">
        <v>87074.66</v>
      </c>
      <c r="D2428" t="s">
        <v>5669</v>
      </c>
      <c r="E2428" t="s">
        <v>1558</v>
      </c>
      <c r="F2428" t="s">
        <v>554</v>
      </c>
      <c r="G2428" s="30">
        <v>46146</v>
      </c>
      <c r="H2428" t="s">
        <v>5670</v>
      </c>
      <c r="I2428">
        <v>2148116.4</v>
      </c>
      <c r="J2428" s="123">
        <v>46146</v>
      </c>
      <c r="K2428" s="123">
        <v>0</v>
      </c>
      <c r="L2428" s="123">
        <v>0</v>
      </c>
      <c r="M2428">
        <v>0</v>
      </c>
      <c r="N2428">
        <v>87074.66</v>
      </c>
      <c r="O2428">
        <v>0</v>
      </c>
      <c r="P2428" s="216">
        <v>0</v>
      </c>
      <c r="Q2428" s="217" t="s">
        <v>34</v>
      </c>
      <c r="R2428" s="217" t="s">
        <v>554</v>
      </c>
      <c r="S2428" s="218">
        <v>0.19940027458474785</v>
      </c>
      <c r="T2428" t="s">
        <v>550</v>
      </c>
      <c r="U2428" t="s">
        <v>51</v>
      </c>
      <c r="V2428" s="219" t="s">
        <v>7191</v>
      </c>
      <c r="W2428" s="219" t="s">
        <v>67</v>
      </c>
    </row>
    <row r="2429" spans="1:23" ht="15" customHeight="1" x14ac:dyDescent="0.25">
      <c r="A2429" t="s">
        <v>5672</v>
      </c>
      <c r="B2429" t="s">
        <v>546</v>
      </c>
      <c r="C2429">
        <v>200000</v>
      </c>
      <c r="D2429" t="s">
        <v>5673</v>
      </c>
      <c r="E2429" t="s">
        <v>5077</v>
      </c>
      <c r="F2429" t="s">
        <v>548</v>
      </c>
      <c r="G2429" s="30">
        <v>46146</v>
      </c>
      <c r="H2429" t="s">
        <v>5674</v>
      </c>
      <c r="I2429">
        <v>2046087.2</v>
      </c>
      <c r="J2429" s="123">
        <v>0</v>
      </c>
      <c r="K2429" s="123">
        <v>0</v>
      </c>
      <c r="L2429" s="123">
        <v>0</v>
      </c>
      <c r="M2429">
        <v>0</v>
      </c>
      <c r="N2429">
        <v>0</v>
      </c>
      <c r="O2429">
        <v>0</v>
      </c>
      <c r="P2429" s="216">
        <v>200000</v>
      </c>
      <c r="Q2429" s="217" t="s">
        <v>32</v>
      </c>
      <c r="R2429" s="217" t="s">
        <v>62</v>
      </c>
      <c r="S2429" s="218">
        <v>0.20003741776010328</v>
      </c>
      <c r="T2429" t="s">
        <v>550</v>
      </c>
      <c r="U2429" t="s">
        <v>51</v>
      </c>
      <c r="V2429" s="219">
        <v>0</v>
      </c>
      <c r="W2429" s="219">
        <v>0</v>
      </c>
    </row>
    <row r="2430" spans="1:23" ht="15" customHeight="1" x14ac:dyDescent="0.25">
      <c r="A2430" t="s">
        <v>5675</v>
      </c>
      <c r="B2430" t="s">
        <v>546</v>
      </c>
      <c r="C2430">
        <v>204605</v>
      </c>
      <c r="D2430" t="s">
        <v>5673</v>
      </c>
      <c r="E2430" t="s">
        <v>5077</v>
      </c>
      <c r="F2430" t="s">
        <v>548</v>
      </c>
      <c r="G2430" s="30">
        <v>46146</v>
      </c>
      <c r="H2430" t="s">
        <v>5674</v>
      </c>
      <c r="I2430">
        <v>2046087.2</v>
      </c>
      <c r="J2430" s="123">
        <v>0</v>
      </c>
      <c r="K2430" s="123">
        <v>0</v>
      </c>
      <c r="L2430" s="123">
        <v>0</v>
      </c>
      <c r="M2430">
        <v>0</v>
      </c>
      <c r="N2430">
        <v>0</v>
      </c>
      <c r="O2430">
        <v>0</v>
      </c>
      <c r="P2430" s="216">
        <v>204605</v>
      </c>
      <c r="Q2430" s="217" t="s">
        <v>32</v>
      </c>
      <c r="R2430" s="217" t="s">
        <v>62</v>
      </c>
      <c r="S2430" s="218">
        <v>0.20003741776010328</v>
      </c>
      <c r="T2430" t="s">
        <v>550</v>
      </c>
      <c r="U2430" t="s">
        <v>51</v>
      </c>
      <c r="V2430" s="219">
        <v>0</v>
      </c>
      <c r="W2430" s="219">
        <v>0</v>
      </c>
    </row>
    <row r="2431" spans="1:23" ht="15" customHeight="1" x14ac:dyDescent="0.25">
      <c r="A2431" t="s">
        <v>5676</v>
      </c>
      <c r="B2431" t="s">
        <v>546</v>
      </c>
      <c r="C2431">
        <v>190000</v>
      </c>
      <c r="D2431" t="s">
        <v>5673</v>
      </c>
      <c r="E2431" t="s">
        <v>5077</v>
      </c>
      <c r="F2431" t="s">
        <v>554</v>
      </c>
      <c r="G2431" s="30">
        <v>46146</v>
      </c>
      <c r="H2431" t="s">
        <v>5674</v>
      </c>
      <c r="I2431">
        <v>2046087.2</v>
      </c>
      <c r="J2431" s="123">
        <v>0</v>
      </c>
      <c r="K2431" s="123">
        <v>0</v>
      </c>
      <c r="L2431" s="123">
        <v>0</v>
      </c>
      <c r="M2431">
        <v>0</v>
      </c>
      <c r="N2431">
        <v>0</v>
      </c>
      <c r="O2431">
        <v>0</v>
      </c>
      <c r="P2431" s="216">
        <v>190000</v>
      </c>
      <c r="Q2431" s="217" t="s">
        <v>32</v>
      </c>
      <c r="R2431" s="217" t="s">
        <v>554</v>
      </c>
      <c r="S2431" s="218">
        <v>0.20003741776010328</v>
      </c>
      <c r="T2431" t="s">
        <v>550</v>
      </c>
      <c r="U2431" t="s">
        <v>51</v>
      </c>
      <c r="V2431" s="219" t="s">
        <v>7192</v>
      </c>
      <c r="W2431" s="219" t="s">
        <v>67</v>
      </c>
    </row>
    <row r="2432" spans="1:23" ht="15" customHeight="1" x14ac:dyDescent="0.25">
      <c r="A2432" t="s">
        <v>5677</v>
      </c>
      <c r="B2432" t="s">
        <v>546</v>
      </c>
      <c r="C2432">
        <v>14608</v>
      </c>
      <c r="D2432" t="s">
        <v>5673</v>
      </c>
      <c r="E2432" t="s">
        <v>178</v>
      </c>
      <c r="F2432" t="s">
        <v>554</v>
      </c>
      <c r="G2432" s="30">
        <v>46148</v>
      </c>
      <c r="H2432" t="s">
        <v>5674</v>
      </c>
      <c r="I2432">
        <v>2046087.2</v>
      </c>
      <c r="J2432" s="123">
        <v>0</v>
      </c>
      <c r="K2432" s="123">
        <v>0</v>
      </c>
      <c r="L2432" s="123">
        <v>0</v>
      </c>
      <c r="M2432">
        <v>0</v>
      </c>
      <c r="N2432">
        <v>0</v>
      </c>
      <c r="O2432">
        <v>0</v>
      </c>
      <c r="P2432" s="216">
        <v>14608</v>
      </c>
      <c r="Q2432" s="217" t="s">
        <v>32</v>
      </c>
      <c r="R2432" s="217" t="s">
        <v>554</v>
      </c>
      <c r="S2432" s="218">
        <v>0.20003741776010328</v>
      </c>
      <c r="T2432" t="s">
        <v>550</v>
      </c>
      <c r="U2432" t="s">
        <v>51</v>
      </c>
      <c r="V2432" s="219" t="s">
        <v>7193</v>
      </c>
      <c r="W2432" s="219" t="s">
        <v>67</v>
      </c>
    </row>
    <row r="2433" spans="1:23" ht="15" customHeight="1" x14ac:dyDescent="0.25">
      <c r="A2433" t="s">
        <v>5678</v>
      </c>
      <c r="B2433" t="s">
        <v>546</v>
      </c>
      <c r="C2433">
        <v>14608</v>
      </c>
      <c r="D2433" t="s">
        <v>5673</v>
      </c>
      <c r="E2433" t="s">
        <v>5077</v>
      </c>
      <c r="F2433" t="s">
        <v>548</v>
      </c>
      <c r="G2433" s="30">
        <v>46148</v>
      </c>
      <c r="H2433" t="s">
        <v>5674</v>
      </c>
      <c r="I2433">
        <v>2046087.2</v>
      </c>
      <c r="J2433" s="123">
        <v>0</v>
      </c>
      <c r="K2433" s="123">
        <v>0</v>
      </c>
      <c r="L2433" s="123">
        <v>0</v>
      </c>
      <c r="M2433">
        <v>0</v>
      </c>
      <c r="N2433">
        <v>0</v>
      </c>
      <c r="O2433">
        <v>0</v>
      </c>
      <c r="P2433" s="216">
        <v>14608</v>
      </c>
      <c r="Q2433" s="217" t="s">
        <v>32</v>
      </c>
      <c r="R2433" s="217" t="s">
        <v>62</v>
      </c>
      <c r="S2433" s="218">
        <v>0.20003741776010328</v>
      </c>
      <c r="T2433" t="s">
        <v>550</v>
      </c>
      <c r="U2433" t="s">
        <v>51</v>
      </c>
      <c r="V2433" s="219">
        <v>0</v>
      </c>
      <c r="W2433" s="219">
        <v>0</v>
      </c>
    </row>
    <row r="2434" spans="1:23" ht="15" customHeight="1" x14ac:dyDescent="0.25">
      <c r="A2434" t="s">
        <v>5679</v>
      </c>
      <c r="B2434" t="s">
        <v>595</v>
      </c>
      <c r="C2434">
        <v>64830</v>
      </c>
      <c r="D2434" t="s">
        <v>5680</v>
      </c>
      <c r="E2434" t="s">
        <v>213</v>
      </c>
      <c r="F2434" t="s">
        <v>554</v>
      </c>
      <c r="G2434" s="30">
        <v>46148</v>
      </c>
      <c r="H2434" t="s">
        <v>5681</v>
      </c>
      <c r="I2434">
        <v>1650274.95</v>
      </c>
      <c r="J2434" s="123">
        <v>0</v>
      </c>
      <c r="K2434" s="123">
        <v>0</v>
      </c>
      <c r="L2434" s="123">
        <v>46142</v>
      </c>
      <c r="M2434">
        <v>0</v>
      </c>
      <c r="N2434">
        <v>0</v>
      </c>
      <c r="O2434">
        <v>0</v>
      </c>
      <c r="P2434" s="216">
        <v>64830</v>
      </c>
      <c r="Q2434" s="217" t="s">
        <v>18</v>
      </c>
      <c r="R2434" s="217" t="s">
        <v>554</v>
      </c>
      <c r="S2434" s="218">
        <v>0.15958309250225242</v>
      </c>
      <c r="T2434" t="s">
        <v>550</v>
      </c>
      <c r="U2434" t="s">
        <v>51</v>
      </c>
      <c r="V2434" s="219" t="s">
        <v>7194</v>
      </c>
      <c r="W2434" s="219" t="s">
        <v>67</v>
      </c>
    </row>
    <row r="2435" spans="1:23" ht="15" customHeight="1" x14ac:dyDescent="0.25">
      <c r="A2435" t="s">
        <v>5682</v>
      </c>
      <c r="B2435" t="s">
        <v>595</v>
      </c>
      <c r="C2435">
        <v>50000</v>
      </c>
      <c r="D2435" t="s">
        <v>5683</v>
      </c>
      <c r="E2435" t="s">
        <v>198</v>
      </c>
      <c r="F2435" t="s">
        <v>683</v>
      </c>
      <c r="G2435" s="30">
        <v>46147</v>
      </c>
      <c r="H2435" t="s">
        <v>5684</v>
      </c>
      <c r="I2435">
        <v>2660056.5499999998</v>
      </c>
      <c r="J2435" s="123">
        <v>0</v>
      </c>
      <c r="K2435" s="123">
        <v>0</v>
      </c>
      <c r="L2435" s="123">
        <v>46123</v>
      </c>
      <c r="M2435">
        <v>0</v>
      </c>
      <c r="N2435">
        <v>0</v>
      </c>
      <c r="O2435">
        <v>0</v>
      </c>
      <c r="P2435" s="216">
        <v>50000</v>
      </c>
      <c r="Q2435" s="217" t="s">
        <v>29</v>
      </c>
      <c r="R2435" s="217" t="s">
        <v>62</v>
      </c>
      <c r="S2435" s="218">
        <v>0.18120343719760396</v>
      </c>
      <c r="T2435" t="s">
        <v>550</v>
      </c>
      <c r="U2435" t="s">
        <v>51</v>
      </c>
      <c r="V2435" s="219">
        <v>0</v>
      </c>
      <c r="W2435" s="219">
        <v>0</v>
      </c>
    </row>
    <row r="2436" spans="1:23" ht="15" customHeight="1" x14ac:dyDescent="0.25">
      <c r="A2436" t="s">
        <v>5685</v>
      </c>
      <c r="B2436" t="s">
        <v>575</v>
      </c>
      <c r="C2436">
        <v>500000</v>
      </c>
      <c r="D2436" t="s">
        <v>5686</v>
      </c>
      <c r="E2436" t="s">
        <v>311</v>
      </c>
      <c r="F2436" t="s">
        <v>554</v>
      </c>
      <c r="G2436" s="30">
        <v>46147</v>
      </c>
      <c r="H2436" t="s">
        <v>5687</v>
      </c>
      <c r="I2436">
        <v>14386180</v>
      </c>
      <c r="J2436" s="123">
        <v>0</v>
      </c>
      <c r="K2436" s="123">
        <v>0</v>
      </c>
      <c r="L2436" s="123">
        <v>46147</v>
      </c>
      <c r="M2436">
        <v>0</v>
      </c>
      <c r="N2436">
        <v>0</v>
      </c>
      <c r="O2436">
        <v>0</v>
      </c>
      <c r="P2436" s="216">
        <v>500000</v>
      </c>
      <c r="Q2436" s="217" t="s">
        <v>42</v>
      </c>
      <c r="R2436" s="217" t="s">
        <v>554</v>
      </c>
      <c r="S2436" s="218">
        <v>0.49374399597391383</v>
      </c>
      <c r="T2436" t="s">
        <v>550</v>
      </c>
      <c r="U2436" t="s">
        <v>51</v>
      </c>
      <c r="V2436" s="219" t="s">
        <v>7195</v>
      </c>
      <c r="W2436" s="219" t="s">
        <v>67</v>
      </c>
    </row>
    <row r="2437" spans="1:23" ht="15" customHeight="1" x14ac:dyDescent="0.25">
      <c r="A2437" t="s">
        <v>5688</v>
      </c>
      <c r="B2437" t="s">
        <v>575</v>
      </c>
      <c r="C2437">
        <v>3725854</v>
      </c>
      <c r="D2437" t="s">
        <v>5686</v>
      </c>
      <c r="E2437" t="s">
        <v>311</v>
      </c>
      <c r="F2437" t="s">
        <v>554</v>
      </c>
      <c r="G2437" s="30">
        <v>46147</v>
      </c>
      <c r="H2437" t="s">
        <v>5687</v>
      </c>
      <c r="I2437">
        <v>14386180</v>
      </c>
      <c r="J2437" s="123">
        <v>0</v>
      </c>
      <c r="K2437" s="123">
        <v>0</v>
      </c>
      <c r="L2437" s="123">
        <v>46147</v>
      </c>
      <c r="M2437">
        <v>0</v>
      </c>
      <c r="N2437">
        <v>0</v>
      </c>
      <c r="O2437">
        <v>0</v>
      </c>
      <c r="P2437" s="216">
        <v>3725854</v>
      </c>
      <c r="Q2437" s="217" t="s">
        <v>42</v>
      </c>
      <c r="R2437" s="217" t="s">
        <v>554</v>
      </c>
      <c r="S2437" s="218">
        <v>0.49374399597391383</v>
      </c>
      <c r="T2437" t="s">
        <v>550</v>
      </c>
      <c r="U2437" t="s">
        <v>51</v>
      </c>
      <c r="V2437" s="219" t="s">
        <v>7196</v>
      </c>
      <c r="W2437" s="219" t="s">
        <v>67</v>
      </c>
    </row>
    <row r="2438" spans="1:23" ht="15" customHeight="1" x14ac:dyDescent="0.25">
      <c r="A2438" t="s">
        <v>5689</v>
      </c>
      <c r="B2438" t="s">
        <v>603</v>
      </c>
      <c r="C2438">
        <v>764000</v>
      </c>
      <c r="D2438" t="s">
        <v>5690</v>
      </c>
      <c r="E2438" t="s">
        <v>605</v>
      </c>
      <c r="F2438" t="s">
        <v>554</v>
      </c>
      <c r="G2438" s="30">
        <v>46143</v>
      </c>
      <c r="H2438" t="s">
        <v>5691</v>
      </c>
      <c r="I2438">
        <v>11638800</v>
      </c>
      <c r="J2438" s="123">
        <v>46143</v>
      </c>
      <c r="K2438" s="123">
        <v>0</v>
      </c>
      <c r="L2438" s="123">
        <v>0</v>
      </c>
      <c r="M2438">
        <v>0</v>
      </c>
      <c r="N2438">
        <v>0</v>
      </c>
      <c r="O2438">
        <v>0</v>
      </c>
      <c r="P2438" s="216">
        <v>764000</v>
      </c>
      <c r="Q2438" s="217" t="s">
        <v>21</v>
      </c>
      <c r="R2438" s="217" t="s">
        <v>554</v>
      </c>
      <c r="S2438" s="218">
        <v>0.20001031034127228</v>
      </c>
      <c r="T2438" t="s">
        <v>550</v>
      </c>
      <c r="U2438" t="s">
        <v>51</v>
      </c>
      <c r="V2438" s="219" t="s">
        <v>7197</v>
      </c>
      <c r="W2438" s="219" t="s">
        <v>67</v>
      </c>
    </row>
    <row r="2439" spans="1:23" ht="15" customHeight="1" x14ac:dyDescent="0.25">
      <c r="A2439" t="s">
        <v>5692</v>
      </c>
      <c r="B2439" t="s">
        <v>546</v>
      </c>
      <c r="C2439">
        <v>60000</v>
      </c>
      <c r="D2439" t="s">
        <v>5693</v>
      </c>
      <c r="E2439" t="s">
        <v>5021</v>
      </c>
      <c r="F2439" t="s">
        <v>554</v>
      </c>
      <c r="G2439" s="30">
        <v>46148</v>
      </c>
      <c r="H2439" t="s">
        <v>5694</v>
      </c>
      <c r="I2439">
        <v>3610670</v>
      </c>
      <c r="J2439" s="123">
        <v>0</v>
      </c>
      <c r="K2439" s="123">
        <v>0</v>
      </c>
      <c r="L2439" s="123">
        <v>0</v>
      </c>
      <c r="M2439">
        <v>0</v>
      </c>
      <c r="N2439">
        <v>0</v>
      </c>
      <c r="O2439">
        <v>0</v>
      </c>
      <c r="P2439" s="216">
        <v>60000</v>
      </c>
      <c r="Q2439" s="217" t="s">
        <v>20</v>
      </c>
      <c r="R2439" s="217" t="s">
        <v>554</v>
      </c>
      <c r="S2439" s="218">
        <v>0.19751652740350129</v>
      </c>
      <c r="T2439" t="s">
        <v>550</v>
      </c>
      <c r="U2439" t="s">
        <v>51</v>
      </c>
      <c r="V2439" s="219" t="s">
        <v>7198</v>
      </c>
      <c r="W2439" s="219" t="s">
        <v>67</v>
      </c>
    </row>
    <row r="2440" spans="1:23" ht="15" customHeight="1" x14ac:dyDescent="0.25">
      <c r="A2440" t="s">
        <v>5695</v>
      </c>
      <c r="B2440" t="s">
        <v>546</v>
      </c>
      <c r="C2440">
        <v>50000</v>
      </c>
      <c r="D2440" t="s">
        <v>5693</v>
      </c>
      <c r="E2440" t="s">
        <v>5021</v>
      </c>
      <c r="F2440" t="s">
        <v>554</v>
      </c>
      <c r="G2440" s="30">
        <v>46148</v>
      </c>
      <c r="H2440" t="s">
        <v>5694</v>
      </c>
      <c r="I2440">
        <v>3610670</v>
      </c>
      <c r="J2440" s="123">
        <v>0</v>
      </c>
      <c r="K2440" s="123">
        <v>0</v>
      </c>
      <c r="L2440" s="123">
        <v>0</v>
      </c>
      <c r="M2440">
        <v>0</v>
      </c>
      <c r="N2440">
        <v>0</v>
      </c>
      <c r="O2440">
        <v>0</v>
      </c>
      <c r="P2440" s="216">
        <v>50000</v>
      </c>
      <c r="Q2440" s="217" t="s">
        <v>20</v>
      </c>
      <c r="R2440" s="217" t="s">
        <v>554</v>
      </c>
      <c r="S2440" s="218">
        <v>0.19751652740350129</v>
      </c>
      <c r="T2440" t="s">
        <v>550</v>
      </c>
      <c r="U2440" t="s">
        <v>51</v>
      </c>
      <c r="V2440" s="219" t="s">
        <v>7199</v>
      </c>
      <c r="W2440" s="219" t="s">
        <v>67</v>
      </c>
    </row>
    <row r="2441" spans="1:23" ht="15" customHeight="1" x14ac:dyDescent="0.25">
      <c r="A2441" t="s">
        <v>5696</v>
      </c>
      <c r="B2441" t="s">
        <v>546</v>
      </c>
      <c r="C2441">
        <v>40000</v>
      </c>
      <c r="D2441" t="s">
        <v>5693</v>
      </c>
      <c r="E2441" t="s">
        <v>5021</v>
      </c>
      <c r="F2441" t="s">
        <v>554</v>
      </c>
      <c r="G2441" s="30">
        <v>46148</v>
      </c>
      <c r="H2441" t="s">
        <v>5694</v>
      </c>
      <c r="I2441">
        <v>3610670</v>
      </c>
      <c r="J2441" s="123">
        <v>0</v>
      </c>
      <c r="K2441" s="123">
        <v>0</v>
      </c>
      <c r="L2441" s="123">
        <v>0</v>
      </c>
      <c r="M2441">
        <v>0</v>
      </c>
      <c r="N2441">
        <v>0</v>
      </c>
      <c r="O2441">
        <v>0</v>
      </c>
      <c r="P2441" s="216">
        <v>40000</v>
      </c>
      <c r="Q2441" s="217" t="s">
        <v>20</v>
      </c>
      <c r="R2441" s="217" t="s">
        <v>554</v>
      </c>
      <c r="S2441" s="218">
        <v>0.19751652740350129</v>
      </c>
      <c r="T2441" t="s">
        <v>550</v>
      </c>
      <c r="U2441" t="s">
        <v>51</v>
      </c>
      <c r="V2441" s="219" t="s">
        <v>7200</v>
      </c>
      <c r="W2441" s="219" t="s">
        <v>67</v>
      </c>
    </row>
    <row r="2442" spans="1:23" ht="15" customHeight="1" x14ac:dyDescent="0.25">
      <c r="A2442" t="s">
        <v>5697</v>
      </c>
      <c r="B2442" t="s">
        <v>546</v>
      </c>
      <c r="C2442">
        <v>200000</v>
      </c>
      <c r="D2442" t="s">
        <v>5693</v>
      </c>
      <c r="E2442" t="s">
        <v>5021</v>
      </c>
      <c r="F2442" t="s">
        <v>554</v>
      </c>
      <c r="G2442" s="30">
        <v>46148</v>
      </c>
      <c r="H2442" t="s">
        <v>5694</v>
      </c>
      <c r="I2442">
        <v>3610670</v>
      </c>
      <c r="J2442" s="123">
        <v>0</v>
      </c>
      <c r="K2442" s="123">
        <v>0</v>
      </c>
      <c r="L2442" s="123">
        <v>0</v>
      </c>
      <c r="M2442">
        <v>0</v>
      </c>
      <c r="N2442">
        <v>0</v>
      </c>
      <c r="O2442">
        <v>0</v>
      </c>
      <c r="P2442" s="216">
        <v>200000</v>
      </c>
      <c r="Q2442" s="217" t="s">
        <v>20</v>
      </c>
      <c r="R2442" s="217" t="s">
        <v>554</v>
      </c>
      <c r="S2442" s="218">
        <v>0.19751652740350129</v>
      </c>
      <c r="T2442" t="s">
        <v>550</v>
      </c>
      <c r="U2442" t="s">
        <v>51</v>
      </c>
      <c r="V2442" s="219" t="s">
        <v>7201</v>
      </c>
      <c r="W2442" s="219" t="s">
        <v>67</v>
      </c>
    </row>
    <row r="2443" spans="1:23" ht="15" customHeight="1" x14ac:dyDescent="0.25">
      <c r="A2443" t="s">
        <v>5698</v>
      </c>
      <c r="B2443" t="s">
        <v>575</v>
      </c>
      <c r="C2443">
        <v>50000</v>
      </c>
      <c r="D2443" t="s">
        <v>5699</v>
      </c>
      <c r="E2443" t="s">
        <v>5700</v>
      </c>
      <c r="F2443" t="s">
        <v>585</v>
      </c>
      <c r="G2443" s="30">
        <v>46144</v>
      </c>
      <c r="H2443" t="s">
        <v>5701</v>
      </c>
      <c r="I2443">
        <v>5658858</v>
      </c>
      <c r="J2443" s="123">
        <v>0</v>
      </c>
      <c r="K2443" s="123">
        <v>0</v>
      </c>
      <c r="L2443" s="123">
        <v>46142</v>
      </c>
      <c r="M2443">
        <v>0</v>
      </c>
      <c r="N2443">
        <v>0</v>
      </c>
      <c r="O2443">
        <v>0</v>
      </c>
      <c r="P2443" s="216">
        <v>50000</v>
      </c>
      <c r="Q2443" s="217" t="s">
        <v>29</v>
      </c>
      <c r="R2443" s="217" t="s">
        <v>61</v>
      </c>
      <c r="S2443" s="218">
        <v>0.20000014843984421</v>
      </c>
      <c r="T2443" t="s">
        <v>550</v>
      </c>
      <c r="U2443" t="s">
        <v>51</v>
      </c>
      <c r="V2443" s="219">
        <v>0</v>
      </c>
      <c r="W2443" s="219">
        <v>0</v>
      </c>
    </row>
    <row r="2444" spans="1:23" ht="15" customHeight="1" x14ac:dyDescent="0.25">
      <c r="A2444" t="s">
        <v>5702</v>
      </c>
      <c r="B2444" t="s">
        <v>575</v>
      </c>
      <c r="C2444">
        <v>100000</v>
      </c>
      <c r="D2444" t="s">
        <v>5699</v>
      </c>
      <c r="E2444" t="s">
        <v>5700</v>
      </c>
      <c r="F2444" t="s">
        <v>585</v>
      </c>
      <c r="G2444" s="30">
        <v>46144</v>
      </c>
      <c r="H2444" t="s">
        <v>5701</v>
      </c>
      <c r="I2444">
        <v>5658858</v>
      </c>
      <c r="J2444" s="123">
        <v>0</v>
      </c>
      <c r="K2444" s="123">
        <v>0</v>
      </c>
      <c r="L2444" s="123">
        <v>46142</v>
      </c>
      <c r="M2444">
        <v>0</v>
      </c>
      <c r="N2444">
        <v>0</v>
      </c>
      <c r="O2444">
        <v>0</v>
      </c>
      <c r="P2444" s="216">
        <v>100000</v>
      </c>
      <c r="Q2444" s="217" t="s">
        <v>29</v>
      </c>
      <c r="R2444" s="217" t="s">
        <v>61</v>
      </c>
      <c r="S2444" s="218">
        <v>0.20000014843984421</v>
      </c>
      <c r="T2444" t="s">
        <v>550</v>
      </c>
      <c r="U2444" t="s">
        <v>51</v>
      </c>
      <c r="V2444" s="219">
        <v>0</v>
      </c>
      <c r="W2444" s="219">
        <v>0</v>
      </c>
    </row>
    <row r="2445" spans="1:23" ht="15" customHeight="1" x14ac:dyDescent="0.25">
      <c r="A2445" t="s">
        <v>5703</v>
      </c>
      <c r="B2445" t="s">
        <v>575</v>
      </c>
      <c r="C2445">
        <v>200000</v>
      </c>
      <c r="D2445" t="s">
        <v>5699</v>
      </c>
      <c r="E2445" t="s">
        <v>5700</v>
      </c>
      <c r="F2445" t="s">
        <v>585</v>
      </c>
      <c r="G2445" s="30">
        <v>46144</v>
      </c>
      <c r="H2445" t="s">
        <v>5701</v>
      </c>
      <c r="I2445">
        <v>5658858</v>
      </c>
      <c r="J2445" s="123">
        <v>0</v>
      </c>
      <c r="K2445" s="123">
        <v>0</v>
      </c>
      <c r="L2445" s="123">
        <v>46142</v>
      </c>
      <c r="M2445">
        <v>0</v>
      </c>
      <c r="N2445">
        <v>0</v>
      </c>
      <c r="O2445">
        <v>0</v>
      </c>
      <c r="P2445" s="216">
        <v>200000</v>
      </c>
      <c r="Q2445" s="217" t="s">
        <v>29</v>
      </c>
      <c r="R2445" s="217" t="s">
        <v>61</v>
      </c>
      <c r="S2445" s="218">
        <v>0.20000014843984421</v>
      </c>
      <c r="T2445" t="s">
        <v>550</v>
      </c>
      <c r="U2445" t="s">
        <v>51</v>
      </c>
      <c r="V2445" s="219">
        <v>0</v>
      </c>
      <c r="W2445" s="219">
        <v>0</v>
      </c>
    </row>
    <row r="2446" spans="1:23" ht="15" customHeight="1" x14ac:dyDescent="0.25">
      <c r="A2446" t="s">
        <v>5704</v>
      </c>
      <c r="B2446" t="s">
        <v>575</v>
      </c>
      <c r="C2446">
        <v>15885.8</v>
      </c>
      <c r="D2446" t="s">
        <v>5699</v>
      </c>
      <c r="E2446" t="s">
        <v>5700</v>
      </c>
      <c r="F2446" t="s">
        <v>585</v>
      </c>
      <c r="G2446" s="30">
        <v>46146</v>
      </c>
      <c r="H2446" t="s">
        <v>5701</v>
      </c>
      <c r="I2446">
        <v>5658858</v>
      </c>
      <c r="J2446" s="123">
        <v>0</v>
      </c>
      <c r="K2446" s="123">
        <v>0</v>
      </c>
      <c r="L2446" s="123">
        <v>46142</v>
      </c>
      <c r="M2446">
        <v>0</v>
      </c>
      <c r="N2446">
        <v>0</v>
      </c>
      <c r="O2446">
        <v>0</v>
      </c>
      <c r="P2446" s="216">
        <v>15885.8</v>
      </c>
      <c r="Q2446" s="217" t="s">
        <v>29</v>
      </c>
      <c r="R2446" s="217" t="s">
        <v>61</v>
      </c>
      <c r="S2446" s="218">
        <v>0.20000014843984421</v>
      </c>
      <c r="T2446" t="s">
        <v>550</v>
      </c>
      <c r="U2446" t="s">
        <v>51</v>
      </c>
      <c r="V2446" s="219">
        <v>0</v>
      </c>
      <c r="W2446" s="219">
        <v>0</v>
      </c>
    </row>
    <row r="2447" spans="1:23" ht="15" customHeight="1" x14ac:dyDescent="0.25">
      <c r="A2447" t="s">
        <v>5705</v>
      </c>
      <c r="B2447" t="s">
        <v>575</v>
      </c>
      <c r="C2447">
        <v>100000</v>
      </c>
      <c r="D2447" t="s">
        <v>5699</v>
      </c>
      <c r="E2447" t="s">
        <v>5700</v>
      </c>
      <c r="F2447" t="s">
        <v>585</v>
      </c>
      <c r="G2447" s="30">
        <v>46147</v>
      </c>
      <c r="H2447" t="s">
        <v>5701</v>
      </c>
      <c r="I2447">
        <v>5658858</v>
      </c>
      <c r="J2447" s="123">
        <v>0</v>
      </c>
      <c r="K2447" s="123">
        <v>0</v>
      </c>
      <c r="L2447" s="123">
        <v>46141</v>
      </c>
      <c r="M2447">
        <v>0</v>
      </c>
      <c r="N2447">
        <v>0</v>
      </c>
      <c r="O2447">
        <v>0</v>
      </c>
      <c r="P2447" s="216">
        <v>100000</v>
      </c>
      <c r="Q2447" s="217" t="s">
        <v>29</v>
      </c>
      <c r="R2447" s="217" t="s">
        <v>61</v>
      </c>
      <c r="S2447" s="218">
        <v>0.20000014843984421</v>
      </c>
      <c r="T2447" t="s">
        <v>550</v>
      </c>
      <c r="U2447" t="s">
        <v>51</v>
      </c>
      <c r="V2447" s="219">
        <v>0</v>
      </c>
      <c r="W2447" s="219">
        <v>0</v>
      </c>
    </row>
    <row r="2448" spans="1:23" ht="15" customHeight="1" x14ac:dyDescent="0.25">
      <c r="A2448" t="s">
        <v>5706</v>
      </c>
      <c r="B2448" t="s">
        <v>575</v>
      </c>
      <c r="C2448">
        <v>100000</v>
      </c>
      <c r="D2448" t="s">
        <v>5699</v>
      </c>
      <c r="E2448" t="s">
        <v>5700</v>
      </c>
      <c r="F2448" t="s">
        <v>585</v>
      </c>
      <c r="G2448" s="30">
        <v>46147</v>
      </c>
      <c r="H2448" t="s">
        <v>5701</v>
      </c>
      <c r="I2448">
        <v>5658858</v>
      </c>
      <c r="J2448" s="123">
        <v>0</v>
      </c>
      <c r="K2448" s="123">
        <v>0</v>
      </c>
      <c r="L2448" s="123">
        <v>46142</v>
      </c>
      <c r="M2448">
        <v>0</v>
      </c>
      <c r="N2448">
        <v>0</v>
      </c>
      <c r="O2448">
        <v>0</v>
      </c>
      <c r="P2448" s="216">
        <v>100000</v>
      </c>
      <c r="Q2448" s="217" t="s">
        <v>29</v>
      </c>
      <c r="R2448" s="217" t="s">
        <v>61</v>
      </c>
      <c r="S2448" s="218">
        <v>0.20000014843984421</v>
      </c>
      <c r="T2448" t="s">
        <v>550</v>
      </c>
      <c r="U2448" t="s">
        <v>51</v>
      </c>
      <c r="V2448" s="219">
        <v>0</v>
      </c>
      <c r="W2448" s="219">
        <v>0</v>
      </c>
    </row>
    <row r="2449" spans="1:23" ht="15" customHeight="1" x14ac:dyDescent="0.25">
      <c r="A2449" t="s">
        <v>5707</v>
      </c>
      <c r="B2449" t="s">
        <v>575</v>
      </c>
      <c r="C2449">
        <v>100000</v>
      </c>
      <c r="D2449" t="s">
        <v>5699</v>
      </c>
      <c r="E2449" t="s">
        <v>5700</v>
      </c>
      <c r="F2449" t="s">
        <v>585</v>
      </c>
      <c r="G2449" s="30">
        <v>46147</v>
      </c>
      <c r="H2449" t="s">
        <v>5701</v>
      </c>
      <c r="I2449">
        <v>5658858</v>
      </c>
      <c r="J2449" s="123">
        <v>0</v>
      </c>
      <c r="K2449" s="123">
        <v>0</v>
      </c>
      <c r="L2449" s="123">
        <v>46143</v>
      </c>
      <c r="M2449">
        <v>0</v>
      </c>
      <c r="N2449">
        <v>0</v>
      </c>
      <c r="O2449">
        <v>0</v>
      </c>
      <c r="P2449" s="216">
        <v>100000</v>
      </c>
      <c r="Q2449" s="217" t="s">
        <v>29</v>
      </c>
      <c r="R2449" s="217" t="s">
        <v>61</v>
      </c>
      <c r="S2449" s="218">
        <v>0.20000014843984421</v>
      </c>
      <c r="T2449" t="s">
        <v>550</v>
      </c>
      <c r="U2449" t="s">
        <v>51</v>
      </c>
      <c r="V2449" s="219">
        <v>0</v>
      </c>
      <c r="W2449" s="219">
        <v>0</v>
      </c>
    </row>
    <row r="2450" spans="1:23" ht="15" customHeight="1" x14ac:dyDescent="0.25">
      <c r="A2450" t="s">
        <v>5708</v>
      </c>
      <c r="B2450" t="s">
        <v>575</v>
      </c>
      <c r="C2450">
        <v>200000</v>
      </c>
      <c r="D2450" t="s">
        <v>5699</v>
      </c>
      <c r="E2450" t="s">
        <v>5700</v>
      </c>
      <c r="F2450" t="s">
        <v>554</v>
      </c>
      <c r="G2450" s="30">
        <v>46148</v>
      </c>
      <c r="H2450" t="s">
        <v>5701</v>
      </c>
      <c r="I2450">
        <v>5658858</v>
      </c>
      <c r="J2450" s="123">
        <v>0</v>
      </c>
      <c r="K2450" s="123">
        <v>0</v>
      </c>
      <c r="L2450" s="123">
        <v>46142</v>
      </c>
      <c r="M2450">
        <v>0</v>
      </c>
      <c r="N2450">
        <v>0</v>
      </c>
      <c r="O2450">
        <v>0</v>
      </c>
      <c r="P2450" s="216">
        <v>200000</v>
      </c>
      <c r="Q2450" s="217" t="s">
        <v>29</v>
      </c>
      <c r="R2450" s="217" t="s">
        <v>554</v>
      </c>
      <c r="S2450" s="218">
        <v>0.20000014843984421</v>
      </c>
      <c r="T2450" t="s">
        <v>550</v>
      </c>
      <c r="U2450" t="s">
        <v>51</v>
      </c>
      <c r="V2450" s="219" t="s">
        <v>7202</v>
      </c>
      <c r="W2450" s="219" t="s">
        <v>67</v>
      </c>
    </row>
    <row r="2451" spans="1:23" ht="15" customHeight="1" x14ac:dyDescent="0.25">
      <c r="A2451" t="s">
        <v>5709</v>
      </c>
      <c r="B2451" t="s">
        <v>575</v>
      </c>
      <c r="C2451">
        <v>100000</v>
      </c>
      <c r="D2451" t="s">
        <v>5699</v>
      </c>
      <c r="E2451" t="s">
        <v>5700</v>
      </c>
      <c r="F2451" t="s">
        <v>554</v>
      </c>
      <c r="G2451" s="30">
        <v>46148</v>
      </c>
      <c r="H2451" t="s">
        <v>5701</v>
      </c>
      <c r="I2451">
        <v>5658858</v>
      </c>
      <c r="J2451" s="123">
        <v>0</v>
      </c>
      <c r="K2451" s="123">
        <v>0</v>
      </c>
      <c r="L2451" s="123">
        <v>46141</v>
      </c>
      <c r="M2451">
        <v>0</v>
      </c>
      <c r="N2451">
        <v>0</v>
      </c>
      <c r="O2451">
        <v>0</v>
      </c>
      <c r="P2451" s="216">
        <v>100000</v>
      </c>
      <c r="Q2451" s="217" t="s">
        <v>29</v>
      </c>
      <c r="R2451" s="217" t="s">
        <v>554</v>
      </c>
      <c r="S2451" s="218">
        <v>0.20000014843984421</v>
      </c>
      <c r="T2451" t="s">
        <v>550</v>
      </c>
      <c r="U2451" t="s">
        <v>51</v>
      </c>
      <c r="V2451" s="219" t="s">
        <v>7203</v>
      </c>
      <c r="W2451" s="219" t="s">
        <v>67</v>
      </c>
    </row>
    <row r="2452" spans="1:23" ht="15" customHeight="1" x14ac:dyDescent="0.25">
      <c r="A2452" t="s">
        <v>5710</v>
      </c>
      <c r="B2452" t="s">
        <v>575</v>
      </c>
      <c r="C2452">
        <v>100000</v>
      </c>
      <c r="D2452" t="s">
        <v>5699</v>
      </c>
      <c r="E2452" t="s">
        <v>5700</v>
      </c>
      <c r="F2452" t="s">
        <v>554</v>
      </c>
      <c r="G2452" s="30">
        <v>46148</v>
      </c>
      <c r="H2452" t="s">
        <v>5701</v>
      </c>
      <c r="I2452">
        <v>5658858</v>
      </c>
      <c r="J2452" s="123">
        <v>0</v>
      </c>
      <c r="K2452" s="123">
        <v>0</v>
      </c>
      <c r="L2452" s="123">
        <v>46143</v>
      </c>
      <c r="M2452">
        <v>0</v>
      </c>
      <c r="N2452">
        <v>0</v>
      </c>
      <c r="O2452">
        <v>0</v>
      </c>
      <c r="P2452" s="216">
        <v>100000</v>
      </c>
      <c r="Q2452" s="217" t="s">
        <v>29</v>
      </c>
      <c r="R2452" s="217" t="s">
        <v>554</v>
      </c>
      <c r="S2452" s="218">
        <v>0.20000014843984421</v>
      </c>
      <c r="T2452" t="s">
        <v>550</v>
      </c>
      <c r="U2452" t="s">
        <v>51</v>
      </c>
      <c r="V2452" s="219" t="s">
        <v>7204</v>
      </c>
      <c r="W2452" s="219" t="s">
        <v>67</v>
      </c>
    </row>
    <row r="2453" spans="1:23" ht="15" customHeight="1" x14ac:dyDescent="0.25">
      <c r="A2453" t="s">
        <v>5711</v>
      </c>
      <c r="B2453" t="s">
        <v>575</v>
      </c>
      <c r="C2453">
        <v>15885.8</v>
      </c>
      <c r="D2453" t="s">
        <v>5699</v>
      </c>
      <c r="E2453" t="s">
        <v>5700</v>
      </c>
      <c r="F2453" t="s">
        <v>554</v>
      </c>
      <c r="G2453" s="30">
        <v>46148</v>
      </c>
      <c r="H2453" t="s">
        <v>5701</v>
      </c>
      <c r="I2453">
        <v>5658858</v>
      </c>
      <c r="J2453" s="123">
        <v>0</v>
      </c>
      <c r="K2453" s="123">
        <v>0</v>
      </c>
      <c r="L2453" s="123">
        <v>46143</v>
      </c>
      <c r="M2453">
        <v>0</v>
      </c>
      <c r="N2453">
        <v>0</v>
      </c>
      <c r="O2453">
        <v>0</v>
      </c>
      <c r="P2453" s="216">
        <v>15885.8</v>
      </c>
      <c r="Q2453" s="217" t="s">
        <v>29</v>
      </c>
      <c r="R2453" s="217" t="s">
        <v>554</v>
      </c>
      <c r="S2453" s="218">
        <v>0.20000014843984421</v>
      </c>
      <c r="T2453" t="s">
        <v>550</v>
      </c>
      <c r="U2453" t="s">
        <v>51</v>
      </c>
      <c r="V2453" s="219" t="s">
        <v>7205</v>
      </c>
      <c r="W2453" s="219" t="s">
        <v>67</v>
      </c>
    </row>
    <row r="2454" spans="1:23" ht="15" customHeight="1" x14ac:dyDescent="0.25">
      <c r="A2454" t="s">
        <v>5712</v>
      </c>
      <c r="B2454" t="s">
        <v>575</v>
      </c>
      <c r="C2454">
        <v>50000</v>
      </c>
      <c r="D2454" t="s">
        <v>5699</v>
      </c>
      <c r="E2454" t="s">
        <v>5700</v>
      </c>
      <c r="F2454" t="s">
        <v>554</v>
      </c>
      <c r="G2454" s="30">
        <v>46148</v>
      </c>
      <c r="H2454" t="s">
        <v>5701</v>
      </c>
      <c r="I2454">
        <v>5658858</v>
      </c>
      <c r="J2454" s="123">
        <v>0</v>
      </c>
      <c r="K2454" s="123">
        <v>0</v>
      </c>
      <c r="L2454" s="123">
        <v>46142</v>
      </c>
      <c r="M2454">
        <v>0</v>
      </c>
      <c r="N2454">
        <v>0</v>
      </c>
      <c r="O2454">
        <v>0</v>
      </c>
      <c r="P2454" s="216">
        <v>50000</v>
      </c>
      <c r="Q2454" s="217" t="s">
        <v>29</v>
      </c>
      <c r="R2454" s="217" t="s">
        <v>554</v>
      </c>
      <c r="S2454" s="218">
        <v>0.20000014843984421</v>
      </c>
      <c r="T2454" t="s">
        <v>550</v>
      </c>
      <c r="U2454" t="s">
        <v>51</v>
      </c>
      <c r="V2454" s="219" t="s">
        <v>7206</v>
      </c>
      <c r="W2454" s="219" t="s">
        <v>67</v>
      </c>
    </row>
    <row r="2455" spans="1:23" ht="15" customHeight="1" x14ac:dyDescent="0.25">
      <c r="A2455" t="s">
        <v>5713</v>
      </c>
      <c r="B2455" t="s">
        <v>575</v>
      </c>
      <c r="C2455">
        <v>100000</v>
      </c>
      <c r="D2455" t="s">
        <v>5699</v>
      </c>
      <c r="E2455" t="s">
        <v>5700</v>
      </c>
      <c r="F2455" t="s">
        <v>554</v>
      </c>
      <c r="G2455" s="30">
        <v>46148</v>
      </c>
      <c r="H2455" t="s">
        <v>5701</v>
      </c>
      <c r="I2455">
        <v>5658858</v>
      </c>
      <c r="J2455" s="123">
        <v>0</v>
      </c>
      <c r="K2455" s="123">
        <v>0</v>
      </c>
      <c r="L2455" s="123">
        <v>46142</v>
      </c>
      <c r="M2455">
        <v>0</v>
      </c>
      <c r="N2455">
        <v>0</v>
      </c>
      <c r="O2455">
        <v>0</v>
      </c>
      <c r="P2455" s="216">
        <v>100000</v>
      </c>
      <c r="Q2455" s="217" t="s">
        <v>29</v>
      </c>
      <c r="R2455" s="217" t="s">
        <v>554</v>
      </c>
      <c r="S2455" s="218">
        <v>0.20000014843984421</v>
      </c>
      <c r="T2455" t="s">
        <v>550</v>
      </c>
      <c r="U2455" t="s">
        <v>51</v>
      </c>
      <c r="V2455" s="219" t="s">
        <v>7207</v>
      </c>
      <c r="W2455" s="219" t="s">
        <v>67</v>
      </c>
    </row>
    <row r="2456" spans="1:23" ht="15" customHeight="1" x14ac:dyDescent="0.25">
      <c r="A2456" t="s">
        <v>5714</v>
      </c>
      <c r="B2456" t="s">
        <v>546</v>
      </c>
      <c r="C2456">
        <v>415951</v>
      </c>
      <c r="D2456" t="s">
        <v>5715</v>
      </c>
      <c r="E2456" t="s">
        <v>5581</v>
      </c>
      <c r="F2456" t="s">
        <v>554</v>
      </c>
      <c r="G2456" s="30">
        <v>46144</v>
      </c>
      <c r="H2456" t="s">
        <v>5716</v>
      </c>
      <c r="I2456">
        <v>4159501.5</v>
      </c>
      <c r="J2456" s="123">
        <v>0</v>
      </c>
      <c r="K2456" s="123">
        <v>0</v>
      </c>
      <c r="L2456" s="123">
        <v>0</v>
      </c>
      <c r="M2456">
        <v>0</v>
      </c>
      <c r="N2456">
        <v>0</v>
      </c>
      <c r="O2456">
        <v>0</v>
      </c>
      <c r="P2456" s="216">
        <v>415951</v>
      </c>
      <c r="Q2456" s="217" t="s">
        <v>29</v>
      </c>
      <c r="R2456" s="217" t="s">
        <v>554</v>
      </c>
      <c r="S2456" s="218">
        <v>0.20000040870282171</v>
      </c>
      <c r="T2456" t="s">
        <v>550</v>
      </c>
      <c r="U2456" t="s">
        <v>51</v>
      </c>
      <c r="V2456" s="219" t="s">
        <v>7208</v>
      </c>
      <c r="W2456" s="219" t="s">
        <v>67</v>
      </c>
    </row>
    <row r="2457" spans="1:23" ht="15" customHeight="1" x14ac:dyDescent="0.25">
      <c r="A2457" t="s">
        <v>5717</v>
      </c>
      <c r="B2457" t="s">
        <v>546</v>
      </c>
      <c r="C2457">
        <v>78300</v>
      </c>
      <c r="D2457" t="s">
        <v>5718</v>
      </c>
      <c r="E2457" t="s">
        <v>553</v>
      </c>
      <c r="F2457" t="s">
        <v>548</v>
      </c>
      <c r="G2457" s="30">
        <v>46143</v>
      </c>
      <c r="H2457" t="s">
        <v>5719</v>
      </c>
      <c r="I2457">
        <v>7289481.25</v>
      </c>
      <c r="J2457" s="123">
        <v>46143</v>
      </c>
      <c r="K2457" s="123">
        <v>0</v>
      </c>
      <c r="L2457" s="123">
        <v>46143</v>
      </c>
      <c r="M2457">
        <v>0</v>
      </c>
      <c r="N2457">
        <v>0</v>
      </c>
      <c r="O2457" t="s">
        <v>556</v>
      </c>
      <c r="P2457" s="216">
        <v>78300</v>
      </c>
      <c r="Q2457" s="217" t="s">
        <v>30</v>
      </c>
      <c r="R2457" s="217" t="s">
        <v>62</v>
      </c>
      <c r="S2457" s="218">
        <v>0.18435352721429937</v>
      </c>
      <c r="T2457" t="s">
        <v>550</v>
      </c>
      <c r="U2457" t="s">
        <v>51</v>
      </c>
      <c r="V2457" s="219">
        <v>0</v>
      </c>
      <c r="W2457" s="219">
        <v>0</v>
      </c>
    </row>
    <row r="2458" spans="1:23" ht="15" customHeight="1" x14ac:dyDescent="0.25">
      <c r="A2458" t="s">
        <v>5720</v>
      </c>
      <c r="B2458" t="s">
        <v>546</v>
      </c>
      <c r="C2458">
        <v>78355</v>
      </c>
      <c r="D2458" t="s">
        <v>5718</v>
      </c>
      <c r="E2458" t="s">
        <v>553</v>
      </c>
      <c r="F2458" t="s">
        <v>548</v>
      </c>
      <c r="G2458" s="30">
        <v>46143</v>
      </c>
      <c r="H2458" t="s">
        <v>5719</v>
      </c>
      <c r="I2458">
        <v>7289481.25</v>
      </c>
      <c r="J2458" s="123">
        <v>46143</v>
      </c>
      <c r="K2458" s="123">
        <v>0</v>
      </c>
      <c r="L2458" s="123">
        <v>46143</v>
      </c>
      <c r="M2458">
        <v>0</v>
      </c>
      <c r="N2458">
        <v>0</v>
      </c>
      <c r="O2458" t="s">
        <v>556</v>
      </c>
      <c r="P2458" s="216">
        <v>78355</v>
      </c>
      <c r="Q2458" s="217" t="s">
        <v>30</v>
      </c>
      <c r="R2458" s="217" t="s">
        <v>62</v>
      </c>
      <c r="S2458" s="218">
        <v>0.18435352721429937</v>
      </c>
      <c r="T2458" t="s">
        <v>550</v>
      </c>
      <c r="U2458" t="s">
        <v>51</v>
      </c>
      <c r="V2458" s="219">
        <v>0</v>
      </c>
      <c r="W2458" s="219">
        <v>0</v>
      </c>
    </row>
    <row r="2459" spans="1:23" ht="15" customHeight="1" x14ac:dyDescent="0.25">
      <c r="A2459" t="s">
        <v>5721</v>
      </c>
      <c r="B2459" t="s">
        <v>595</v>
      </c>
      <c r="C2459">
        <v>220302.26</v>
      </c>
      <c r="D2459" t="s">
        <v>5718</v>
      </c>
      <c r="E2459" t="s">
        <v>5722</v>
      </c>
      <c r="F2459" t="s">
        <v>554</v>
      </c>
      <c r="G2459" s="30">
        <v>46146</v>
      </c>
      <c r="H2459" t="s">
        <v>5719</v>
      </c>
      <c r="I2459">
        <v>7289481.25</v>
      </c>
      <c r="J2459" s="123">
        <v>0</v>
      </c>
      <c r="K2459" s="123">
        <v>0</v>
      </c>
      <c r="L2459" s="123">
        <v>46142</v>
      </c>
      <c r="M2459">
        <v>0</v>
      </c>
      <c r="N2459">
        <v>0</v>
      </c>
      <c r="O2459">
        <v>0</v>
      </c>
      <c r="P2459" s="216">
        <v>220302.26</v>
      </c>
      <c r="Q2459" s="217" t="s">
        <v>30</v>
      </c>
      <c r="R2459" s="217" t="s">
        <v>554</v>
      </c>
      <c r="S2459" s="218">
        <v>0.18435352721429937</v>
      </c>
      <c r="T2459" t="s">
        <v>550</v>
      </c>
      <c r="U2459" t="s">
        <v>51</v>
      </c>
      <c r="V2459" s="219" t="s">
        <v>7209</v>
      </c>
      <c r="W2459" s="219" t="s">
        <v>67</v>
      </c>
    </row>
    <row r="2460" spans="1:23" ht="15" customHeight="1" x14ac:dyDescent="0.25">
      <c r="A2460" t="s">
        <v>5723</v>
      </c>
      <c r="B2460" t="s">
        <v>546</v>
      </c>
      <c r="C2460">
        <v>78350</v>
      </c>
      <c r="D2460" t="s">
        <v>5718</v>
      </c>
      <c r="E2460" t="s">
        <v>553</v>
      </c>
      <c r="F2460" t="s">
        <v>548</v>
      </c>
      <c r="G2460" s="30">
        <v>46147</v>
      </c>
      <c r="H2460" t="s">
        <v>5719</v>
      </c>
      <c r="I2460">
        <v>7289481.25</v>
      </c>
      <c r="J2460" s="123">
        <v>46147</v>
      </c>
      <c r="K2460" s="123">
        <v>0</v>
      </c>
      <c r="L2460" s="123">
        <v>46147</v>
      </c>
      <c r="M2460">
        <v>0</v>
      </c>
      <c r="N2460">
        <v>0</v>
      </c>
      <c r="O2460" t="s">
        <v>556</v>
      </c>
      <c r="P2460" s="216">
        <v>78350</v>
      </c>
      <c r="Q2460" s="217" t="s">
        <v>30</v>
      </c>
      <c r="R2460" s="217" t="s">
        <v>62</v>
      </c>
      <c r="S2460" s="218">
        <v>0.18435352721429937</v>
      </c>
      <c r="T2460" t="s">
        <v>550</v>
      </c>
      <c r="U2460" t="s">
        <v>51</v>
      </c>
      <c r="V2460" s="219">
        <v>0</v>
      </c>
      <c r="W2460" s="219">
        <v>0</v>
      </c>
    </row>
    <row r="2461" spans="1:23" ht="15" customHeight="1" x14ac:dyDescent="0.25">
      <c r="A2461" t="s">
        <v>5724</v>
      </c>
      <c r="B2461" t="s">
        <v>546</v>
      </c>
      <c r="C2461">
        <v>444556.68</v>
      </c>
      <c r="D2461" t="s">
        <v>5718</v>
      </c>
      <c r="E2461" t="s">
        <v>553</v>
      </c>
      <c r="F2461" t="s">
        <v>548</v>
      </c>
      <c r="G2461" s="30">
        <v>46147</v>
      </c>
      <c r="H2461" t="s">
        <v>5719</v>
      </c>
      <c r="I2461">
        <v>7289481.25</v>
      </c>
      <c r="J2461" s="123">
        <v>46147</v>
      </c>
      <c r="K2461" s="123">
        <v>0</v>
      </c>
      <c r="L2461" s="123">
        <v>46147</v>
      </c>
      <c r="M2461">
        <v>0</v>
      </c>
      <c r="N2461">
        <v>0</v>
      </c>
      <c r="O2461" t="s">
        <v>556</v>
      </c>
      <c r="P2461" s="216">
        <v>444556.68</v>
      </c>
      <c r="Q2461" s="217" t="s">
        <v>30</v>
      </c>
      <c r="R2461" s="217" t="s">
        <v>62</v>
      </c>
      <c r="S2461" s="218">
        <v>0.18435352721429937</v>
      </c>
      <c r="T2461" t="s">
        <v>550</v>
      </c>
      <c r="U2461" t="s">
        <v>51</v>
      </c>
      <c r="V2461" s="219">
        <v>0</v>
      </c>
      <c r="W2461" s="219">
        <v>0</v>
      </c>
    </row>
    <row r="2462" spans="1:23" ht="15" customHeight="1" x14ac:dyDescent="0.25">
      <c r="A2462" t="s">
        <v>5725</v>
      </c>
      <c r="B2462" t="s">
        <v>546</v>
      </c>
      <c r="C2462">
        <v>55100</v>
      </c>
      <c r="D2462" t="s">
        <v>5718</v>
      </c>
      <c r="E2462" t="s">
        <v>553</v>
      </c>
      <c r="F2462" t="s">
        <v>554</v>
      </c>
      <c r="G2462" s="30">
        <v>46148</v>
      </c>
      <c r="H2462" t="s">
        <v>5719</v>
      </c>
      <c r="I2462">
        <v>7289481.25</v>
      </c>
      <c r="J2462" s="123">
        <v>46148</v>
      </c>
      <c r="K2462" s="123">
        <v>0</v>
      </c>
      <c r="L2462" s="123">
        <v>46148</v>
      </c>
      <c r="M2462">
        <v>0</v>
      </c>
      <c r="N2462">
        <v>0</v>
      </c>
      <c r="O2462" t="s">
        <v>556</v>
      </c>
      <c r="P2462" s="216">
        <v>55100</v>
      </c>
      <c r="Q2462" s="217" t="s">
        <v>30</v>
      </c>
      <c r="R2462" s="217" t="s">
        <v>554</v>
      </c>
      <c r="S2462" s="218">
        <v>0.18435352721429937</v>
      </c>
      <c r="T2462" t="s">
        <v>550</v>
      </c>
      <c r="U2462" t="s">
        <v>51</v>
      </c>
      <c r="V2462" s="219" t="s">
        <v>7210</v>
      </c>
      <c r="W2462" s="219" t="s">
        <v>67</v>
      </c>
    </row>
    <row r="2463" spans="1:23" ht="15" customHeight="1" x14ac:dyDescent="0.25">
      <c r="A2463" t="s">
        <v>5726</v>
      </c>
      <c r="B2463" t="s">
        <v>546</v>
      </c>
      <c r="C2463">
        <v>78355</v>
      </c>
      <c r="D2463" t="s">
        <v>5718</v>
      </c>
      <c r="E2463" t="s">
        <v>248</v>
      </c>
      <c r="F2463" t="s">
        <v>548</v>
      </c>
      <c r="G2463" s="30">
        <v>46148</v>
      </c>
      <c r="H2463" t="s">
        <v>5719</v>
      </c>
      <c r="I2463">
        <v>7289481.25</v>
      </c>
      <c r="J2463" s="123">
        <v>0</v>
      </c>
      <c r="K2463" s="123">
        <v>0</v>
      </c>
      <c r="L2463" s="123">
        <v>0</v>
      </c>
      <c r="M2463">
        <v>0</v>
      </c>
      <c r="N2463">
        <v>0</v>
      </c>
      <c r="O2463">
        <v>0</v>
      </c>
      <c r="P2463" s="216">
        <v>78355</v>
      </c>
      <c r="Q2463" s="217" t="s">
        <v>30</v>
      </c>
      <c r="R2463" s="217" t="s">
        <v>62</v>
      </c>
      <c r="S2463" s="218">
        <v>0.18435352721429937</v>
      </c>
      <c r="T2463" t="s">
        <v>550</v>
      </c>
      <c r="U2463" t="s">
        <v>51</v>
      </c>
      <c r="V2463" s="219">
        <v>0</v>
      </c>
      <c r="W2463" s="219">
        <v>0</v>
      </c>
    </row>
    <row r="2464" spans="1:23" ht="15" customHeight="1" x14ac:dyDescent="0.25">
      <c r="A2464" t="s">
        <v>5727</v>
      </c>
      <c r="B2464" t="s">
        <v>546</v>
      </c>
      <c r="C2464">
        <v>55100</v>
      </c>
      <c r="D2464" t="s">
        <v>5718</v>
      </c>
      <c r="E2464" t="s">
        <v>553</v>
      </c>
      <c r="F2464" t="s">
        <v>554</v>
      </c>
      <c r="G2464" s="30">
        <v>46148</v>
      </c>
      <c r="H2464" t="s">
        <v>5719</v>
      </c>
      <c r="I2464">
        <v>7289481.25</v>
      </c>
      <c r="J2464" s="123">
        <v>46148</v>
      </c>
      <c r="K2464" s="123">
        <v>0</v>
      </c>
      <c r="L2464" s="123">
        <v>46148</v>
      </c>
      <c r="M2464">
        <v>0</v>
      </c>
      <c r="N2464">
        <v>0</v>
      </c>
      <c r="O2464" t="s">
        <v>556</v>
      </c>
      <c r="P2464" s="216">
        <v>55100</v>
      </c>
      <c r="Q2464" s="217" t="s">
        <v>30</v>
      </c>
      <c r="R2464" s="217" t="s">
        <v>554</v>
      </c>
      <c r="S2464" s="218">
        <v>0.18435352721429937</v>
      </c>
      <c r="T2464" t="s">
        <v>550</v>
      </c>
      <c r="U2464" t="s">
        <v>51</v>
      </c>
      <c r="V2464" s="219" t="s">
        <v>7211</v>
      </c>
      <c r="W2464" s="219" t="s">
        <v>67</v>
      </c>
    </row>
    <row r="2465" spans="1:23" ht="15" customHeight="1" x14ac:dyDescent="0.25">
      <c r="A2465" t="s">
        <v>5728</v>
      </c>
      <c r="B2465" t="s">
        <v>546</v>
      </c>
      <c r="C2465">
        <v>55100</v>
      </c>
      <c r="D2465" t="s">
        <v>5718</v>
      </c>
      <c r="E2465" t="s">
        <v>553</v>
      </c>
      <c r="F2465" t="s">
        <v>548</v>
      </c>
      <c r="G2465" s="30">
        <v>46148</v>
      </c>
      <c r="H2465" t="s">
        <v>5719</v>
      </c>
      <c r="I2465">
        <v>7289481.25</v>
      </c>
      <c r="J2465" s="123">
        <v>46148</v>
      </c>
      <c r="K2465" s="123">
        <v>0</v>
      </c>
      <c r="L2465" s="123">
        <v>46148</v>
      </c>
      <c r="M2465">
        <v>0</v>
      </c>
      <c r="N2465">
        <v>0</v>
      </c>
      <c r="O2465" t="s">
        <v>556</v>
      </c>
      <c r="P2465" s="216">
        <v>55100</v>
      </c>
      <c r="Q2465" s="217" t="s">
        <v>30</v>
      </c>
      <c r="R2465" s="217" t="s">
        <v>62</v>
      </c>
      <c r="S2465" s="218">
        <v>0.18435352721429937</v>
      </c>
      <c r="T2465" t="s">
        <v>550</v>
      </c>
      <c r="U2465" t="s">
        <v>51</v>
      </c>
      <c r="V2465" s="219">
        <v>0</v>
      </c>
      <c r="W2465" s="219">
        <v>0</v>
      </c>
    </row>
    <row r="2466" spans="1:23" ht="15" customHeight="1" x14ac:dyDescent="0.25">
      <c r="A2466" t="s">
        <v>5729</v>
      </c>
      <c r="B2466" t="s">
        <v>603</v>
      </c>
      <c r="C2466">
        <v>728950</v>
      </c>
      <c r="D2466" t="s">
        <v>5730</v>
      </c>
      <c r="E2466" t="s">
        <v>605</v>
      </c>
      <c r="F2466" t="s">
        <v>554</v>
      </c>
      <c r="G2466" s="30">
        <v>46148</v>
      </c>
      <c r="H2466" t="s">
        <v>5731</v>
      </c>
      <c r="I2466">
        <v>7289481.25</v>
      </c>
      <c r="J2466" s="123">
        <v>46148</v>
      </c>
      <c r="K2466" s="123">
        <v>0</v>
      </c>
      <c r="L2466" s="123">
        <v>0</v>
      </c>
      <c r="M2466">
        <v>0</v>
      </c>
      <c r="N2466">
        <v>0</v>
      </c>
      <c r="O2466">
        <v>0</v>
      </c>
      <c r="P2466" s="216">
        <v>728950</v>
      </c>
      <c r="Q2466" s="217" t="s">
        <v>30</v>
      </c>
      <c r="R2466" s="217" t="s">
        <v>554</v>
      </c>
      <c r="S2466" s="218">
        <v>0.20000037725592612</v>
      </c>
      <c r="T2466" t="s">
        <v>550</v>
      </c>
      <c r="U2466" t="s">
        <v>51</v>
      </c>
      <c r="V2466" s="219" t="s">
        <v>7212</v>
      </c>
      <c r="W2466" s="219" t="s">
        <v>67</v>
      </c>
    </row>
    <row r="2467" spans="1:23" ht="15" customHeight="1" x14ac:dyDescent="0.25">
      <c r="A2467" t="s">
        <v>5732</v>
      </c>
      <c r="B2467" t="s">
        <v>546</v>
      </c>
      <c r="C2467">
        <v>562219</v>
      </c>
      <c r="D2467" t="s">
        <v>5733</v>
      </c>
      <c r="E2467" t="s">
        <v>343</v>
      </c>
      <c r="F2467" t="s">
        <v>554</v>
      </c>
      <c r="G2467" s="30">
        <v>46143</v>
      </c>
      <c r="H2467" t="s">
        <v>5734</v>
      </c>
      <c r="I2467">
        <v>5658858</v>
      </c>
      <c r="J2467" s="123">
        <v>0</v>
      </c>
      <c r="K2467" s="123">
        <v>0</v>
      </c>
      <c r="L2467" s="123">
        <v>0</v>
      </c>
      <c r="M2467">
        <v>0</v>
      </c>
      <c r="N2467">
        <v>0</v>
      </c>
      <c r="O2467">
        <v>0</v>
      </c>
      <c r="P2467" s="216">
        <v>562219</v>
      </c>
      <c r="Q2467" s="217" t="s">
        <v>344</v>
      </c>
      <c r="R2467" s="217" t="s">
        <v>554</v>
      </c>
      <c r="S2467" s="218">
        <v>0.29999992931435987</v>
      </c>
      <c r="T2467" t="s">
        <v>550</v>
      </c>
      <c r="U2467" t="s">
        <v>51</v>
      </c>
      <c r="V2467" s="219" t="s">
        <v>7213</v>
      </c>
      <c r="W2467" s="219" t="s">
        <v>67</v>
      </c>
    </row>
    <row r="2468" spans="1:23" ht="15" customHeight="1" x14ac:dyDescent="0.25">
      <c r="A2468" t="s">
        <v>5735</v>
      </c>
      <c r="B2468" t="s">
        <v>575</v>
      </c>
      <c r="C2468">
        <v>400000</v>
      </c>
      <c r="D2468" t="s">
        <v>5736</v>
      </c>
      <c r="E2468" t="s">
        <v>228</v>
      </c>
      <c r="F2468" t="s">
        <v>554</v>
      </c>
      <c r="G2468" s="30">
        <v>46146</v>
      </c>
      <c r="H2468" t="s">
        <v>5737</v>
      </c>
      <c r="I2468">
        <v>4159501.5</v>
      </c>
      <c r="J2468" s="123">
        <v>0</v>
      </c>
      <c r="K2468" s="123">
        <v>0</v>
      </c>
      <c r="L2468" s="123">
        <v>46144</v>
      </c>
      <c r="M2468">
        <v>0</v>
      </c>
      <c r="N2468">
        <v>0</v>
      </c>
      <c r="O2468">
        <v>0</v>
      </c>
      <c r="P2468" s="216">
        <v>400000</v>
      </c>
      <c r="Q2468" s="217" t="s">
        <v>20</v>
      </c>
      <c r="R2468" s="217" t="s">
        <v>554</v>
      </c>
      <c r="S2468" s="218">
        <v>0.20000233201021805</v>
      </c>
      <c r="T2468" t="s">
        <v>550</v>
      </c>
      <c r="U2468" t="s">
        <v>51</v>
      </c>
      <c r="V2468" s="219" t="s">
        <v>7214</v>
      </c>
      <c r="W2468" s="219" t="s">
        <v>67</v>
      </c>
    </row>
    <row r="2469" spans="1:23" ht="15" customHeight="1" x14ac:dyDescent="0.25">
      <c r="A2469" t="s">
        <v>5738</v>
      </c>
      <c r="B2469" t="s">
        <v>575</v>
      </c>
      <c r="C2469">
        <v>15459</v>
      </c>
      <c r="D2469" t="s">
        <v>5736</v>
      </c>
      <c r="E2469" t="s">
        <v>228</v>
      </c>
      <c r="F2469" t="s">
        <v>554</v>
      </c>
      <c r="G2469" s="30">
        <v>46146</v>
      </c>
      <c r="H2469" t="s">
        <v>5737</v>
      </c>
      <c r="I2469">
        <v>4159501.5</v>
      </c>
      <c r="J2469" s="123">
        <v>0</v>
      </c>
      <c r="K2469" s="123">
        <v>0</v>
      </c>
      <c r="L2469" s="123">
        <v>46144</v>
      </c>
      <c r="M2469">
        <v>0</v>
      </c>
      <c r="N2469">
        <v>0</v>
      </c>
      <c r="O2469">
        <v>0</v>
      </c>
      <c r="P2469" s="216">
        <v>15459</v>
      </c>
      <c r="Q2469" s="217" t="s">
        <v>20</v>
      </c>
      <c r="R2469" s="217" t="s">
        <v>554</v>
      </c>
      <c r="S2469" s="218">
        <v>0.20000233201021805</v>
      </c>
      <c r="T2469" t="s">
        <v>550</v>
      </c>
      <c r="U2469" t="s">
        <v>51</v>
      </c>
      <c r="V2469" s="219" t="s">
        <v>7215</v>
      </c>
      <c r="W2469" s="219" t="s">
        <v>67</v>
      </c>
    </row>
    <row r="2470" spans="1:23" ht="15" customHeight="1" x14ac:dyDescent="0.25">
      <c r="A2470" t="s">
        <v>5739</v>
      </c>
      <c r="B2470" t="s">
        <v>575</v>
      </c>
      <c r="C2470">
        <v>500</v>
      </c>
      <c r="D2470" t="s">
        <v>5736</v>
      </c>
      <c r="E2470" t="s">
        <v>228</v>
      </c>
      <c r="F2470" t="s">
        <v>554</v>
      </c>
      <c r="G2470" s="30">
        <v>46146</v>
      </c>
      <c r="H2470" t="s">
        <v>5737</v>
      </c>
      <c r="I2470">
        <v>4159501.5</v>
      </c>
      <c r="J2470" s="123">
        <v>0</v>
      </c>
      <c r="K2470" s="123">
        <v>0</v>
      </c>
      <c r="L2470" s="123">
        <v>46146</v>
      </c>
      <c r="M2470">
        <v>0</v>
      </c>
      <c r="N2470">
        <v>0</v>
      </c>
      <c r="O2470">
        <v>0</v>
      </c>
      <c r="P2470" s="216">
        <v>500</v>
      </c>
      <c r="Q2470" s="217" t="s">
        <v>20</v>
      </c>
      <c r="R2470" s="217" t="s">
        <v>554</v>
      </c>
      <c r="S2470" s="218">
        <v>0.20000233201021805</v>
      </c>
      <c r="T2470" t="s">
        <v>550</v>
      </c>
      <c r="U2470" t="s">
        <v>51</v>
      </c>
      <c r="V2470" s="219" t="s">
        <v>7216</v>
      </c>
      <c r="W2470" s="219" t="s">
        <v>67</v>
      </c>
    </row>
    <row r="2471" spans="1:23" ht="15" customHeight="1" x14ac:dyDescent="0.25">
      <c r="A2471" t="s">
        <v>5740</v>
      </c>
      <c r="B2471" t="s">
        <v>546</v>
      </c>
      <c r="C2471">
        <v>10000</v>
      </c>
      <c r="D2471" t="s">
        <v>5741</v>
      </c>
      <c r="E2471" t="s">
        <v>4437</v>
      </c>
      <c r="F2471" t="s">
        <v>554</v>
      </c>
      <c r="G2471" s="30">
        <v>46143</v>
      </c>
      <c r="H2471" t="s">
        <v>5742</v>
      </c>
      <c r="I2471">
        <v>4159501.5</v>
      </c>
      <c r="J2471" s="123">
        <v>0</v>
      </c>
      <c r="K2471" s="123">
        <v>0</v>
      </c>
      <c r="L2471" s="123">
        <v>0</v>
      </c>
      <c r="M2471">
        <v>0</v>
      </c>
      <c r="N2471">
        <v>0</v>
      </c>
      <c r="O2471">
        <v>0</v>
      </c>
      <c r="P2471" s="216">
        <v>10000</v>
      </c>
      <c r="Q2471" s="217" t="s">
        <v>30</v>
      </c>
      <c r="R2471" s="217" t="s">
        <v>554</v>
      </c>
      <c r="S2471" s="218">
        <v>0.20121425608333113</v>
      </c>
      <c r="T2471" t="s">
        <v>550</v>
      </c>
      <c r="U2471" t="s">
        <v>51</v>
      </c>
      <c r="V2471" s="219" t="s">
        <v>7217</v>
      </c>
      <c r="W2471" s="219" t="s">
        <v>67</v>
      </c>
    </row>
    <row r="2472" spans="1:23" ht="15" customHeight="1" x14ac:dyDescent="0.25">
      <c r="A2472" t="s">
        <v>5743</v>
      </c>
      <c r="B2472" t="s">
        <v>546</v>
      </c>
      <c r="C2472">
        <v>10000</v>
      </c>
      <c r="D2472" t="s">
        <v>5741</v>
      </c>
      <c r="E2472" t="s">
        <v>4437</v>
      </c>
      <c r="F2472" t="s">
        <v>554</v>
      </c>
      <c r="G2472" s="30">
        <v>46143</v>
      </c>
      <c r="H2472" t="s">
        <v>5742</v>
      </c>
      <c r="I2472">
        <v>4159501.5</v>
      </c>
      <c r="J2472" s="123">
        <v>0</v>
      </c>
      <c r="K2472" s="123">
        <v>0</v>
      </c>
      <c r="L2472" s="123">
        <v>0</v>
      </c>
      <c r="M2472">
        <v>0</v>
      </c>
      <c r="N2472">
        <v>0</v>
      </c>
      <c r="O2472">
        <v>0</v>
      </c>
      <c r="P2472" s="216">
        <v>10000</v>
      </c>
      <c r="Q2472" s="217" t="s">
        <v>30</v>
      </c>
      <c r="R2472" s="217" t="s">
        <v>554</v>
      </c>
      <c r="S2472" s="218">
        <v>0.20121425608333113</v>
      </c>
      <c r="T2472" t="s">
        <v>550</v>
      </c>
      <c r="U2472" t="s">
        <v>51</v>
      </c>
      <c r="V2472" s="219" t="s">
        <v>7218</v>
      </c>
      <c r="W2472" s="219" t="s">
        <v>67</v>
      </c>
    </row>
    <row r="2473" spans="1:23" ht="15" customHeight="1" x14ac:dyDescent="0.25">
      <c r="A2473" t="s">
        <v>5744</v>
      </c>
      <c r="B2473" t="s">
        <v>546</v>
      </c>
      <c r="C2473">
        <v>15000</v>
      </c>
      <c r="D2473" t="s">
        <v>5741</v>
      </c>
      <c r="E2473" t="s">
        <v>4437</v>
      </c>
      <c r="F2473" t="s">
        <v>554</v>
      </c>
      <c r="G2473" s="30">
        <v>46143</v>
      </c>
      <c r="H2473" t="s">
        <v>5742</v>
      </c>
      <c r="I2473">
        <v>4159501.5</v>
      </c>
      <c r="J2473" s="123">
        <v>0</v>
      </c>
      <c r="K2473" s="123">
        <v>0</v>
      </c>
      <c r="L2473" s="123">
        <v>0</v>
      </c>
      <c r="M2473">
        <v>0</v>
      </c>
      <c r="N2473">
        <v>0</v>
      </c>
      <c r="O2473">
        <v>0</v>
      </c>
      <c r="P2473" s="216">
        <v>15000</v>
      </c>
      <c r="Q2473" s="217" t="s">
        <v>30</v>
      </c>
      <c r="R2473" s="217" t="s">
        <v>554</v>
      </c>
      <c r="S2473" s="218">
        <v>0.20121425608333113</v>
      </c>
      <c r="T2473" t="s">
        <v>550</v>
      </c>
      <c r="U2473" t="s">
        <v>51</v>
      </c>
      <c r="V2473" s="219" t="s">
        <v>7219</v>
      </c>
      <c r="W2473" s="219" t="s">
        <v>67</v>
      </c>
    </row>
    <row r="2474" spans="1:23" ht="15" customHeight="1" x14ac:dyDescent="0.25">
      <c r="A2474" t="s">
        <v>5745</v>
      </c>
      <c r="B2474" t="s">
        <v>546</v>
      </c>
      <c r="C2474">
        <v>15000</v>
      </c>
      <c r="D2474" t="s">
        <v>5741</v>
      </c>
      <c r="E2474" t="s">
        <v>4437</v>
      </c>
      <c r="F2474" t="s">
        <v>554</v>
      </c>
      <c r="G2474" s="30">
        <v>46144</v>
      </c>
      <c r="H2474" t="s">
        <v>5742</v>
      </c>
      <c r="I2474">
        <v>4159501.5</v>
      </c>
      <c r="J2474" s="123">
        <v>0</v>
      </c>
      <c r="K2474" s="123">
        <v>0</v>
      </c>
      <c r="L2474" s="123">
        <v>0</v>
      </c>
      <c r="M2474">
        <v>0</v>
      </c>
      <c r="N2474">
        <v>0</v>
      </c>
      <c r="O2474">
        <v>0</v>
      </c>
      <c r="P2474" s="216">
        <v>15000</v>
      </c>
      <c r="Q2474" s="217" t="s">
        <v>30</v>
      </c>
      <c r="R2474" s="217" t="s">
        <v>554</v>
      </c>
      <c r="S2474" s="218">
        <v>0.20121425608333113</v>
      </c>
      <c r="T2474" t="s">
        <v>550</v>
      </c>
      <c r="U2474" t="s">
        <v>51</v>
      </c>
      <c r="V2474" s="219" t="s">
        <v>7220</v>
      </c>
      <c r="W2474" s="219" t="s">
        <v>67</v>
      </c>
    </row>
    <row r="2475" spans="1:23" ht="15" customHeight="1" x14ac:dyDescent="0.25">
      <c r="A2475" t="s">
        <v>5746</v>
      </c>
      <c r="B2475" t="s">
        <v>546</v>
      </c>
      <c r="C2475">
        <v>15000</v>
      </c>
      <c r="D2475" t="s">
        <v>5741</v>
      </c>
      <c r="E2475" t="s">
        <v>4437</v>
      </c>
      <c r="F2475" t="s">
        <v>554</v>
      </c>
      <c r="G2475" s="30">
        <v>46144</v>
      </c>
      <c r="H2475" t="s">
        <v>5742</v>
      </c>
      <c r="I2475">
        <v>4159501.5</v>
      </c>
      <c r="J2475" s="123">
        <v>0</v>
      </c>
      <c r="K2475" s="123">
        <v>0</v>
      </c>
      <c r="L2475" s="123">
        <v>0</v>
      </c>
      <c r="M2475">
        <v>0</v>
      </c>
      <c r="N2475">
        <v>0</v>
      </c>
      <c r="O2475">
        <v>0</v>
      </c>
      <c r="P2475" s="216">
        <v>15000</v>
      </c>
      <c r="Q2475" s="217" t="s">
        <v>30</v>
      </c>
      <c r="R2475" s="217" t="s">
        <v>554</v>
      </c>
      <c r="S2475" s="218">
        <v>0.20121425608333113</v>
      </c>
      <c r="T2475" t="s">
        <v>550</v>
      </c>
      <c r="U2475" t="s">
        <v>51</v>
      </c>
      <c r="V2475" s="219" t="s">
        <v>7221</v>
      </c>
      <c r="W2475" s="219" t="s">
        <v>67</v>
      </c>
    </row>
    <row r="2476" spans="1:23" ht="15" customHeight="1" x14ac:dyDescent="0.25">
      <c r="A2476" t="s">
        <v>5747</v>
      </c>
      <c r="B2476" t="s">
        <v>546</v>
      </c>
      <c r="C2476">
        <v>4949</v>
      </c>
      <c r="D2476" t="s">
        <v>5741</v>
      </c>
      <c r="E2476" t="s">
        <v>4437</v>
      </c>
      <c r="F2476" t="s">
        <v>548</v>
      </c>
      <c r="G2476" s="30">
        <v>46146</v>
      </c>
      <c r="H2476" t="s">
        <v>5742</v>
      </c>
      <c r="I2476">
        <v>4159501.5</v>
      </c>
      <c r="J2476" s="123">
        <v>0</v>
      </c>
      <c r="K2476" s="123">
        <v>0</v>
      </c>
      <c r="L2476" s="123">
        <v>0</v>
      </c>
      <c r="M2476">
        <v>0</v>
      </c>
      <c r="N2476">
        <v>0</v>
      </c>
      <c r="O2476">
        <v>0</v>
      </c>
      <c r="P2476" s="216">
        <v>4949</v>
      </c>
      <c r="Q2476" s="217" t="s">
        <v>30</v>
      </c>
      <c r="R2476" s="217" t="s">
        <v>62</v>
      </c>
      <c r="S2476" s="218">
        <v>0.20121425608333113</v>
      </c>
      <c r="T2476" t="s">
        <v>550</v>
      </c>
      <c r="U2476" t="s">
        <v>51</v>
      </c>
      <c r="V2476" s="219">
        <v>0</v>
      </c>
      <c r="W2476" s="219">
        <v>0</v>
      </c>
    </row>
    <row r="2477" spans="1:23" ht="15" customHeight="1" x14ac:dyDescent="0.25">
      <c r="A2477" t="s">
        <v>5748</v>
      </c>
      <c r="B2477" t="s">
        <v>546</v>
      </c>
      <c r="C2477">
        <v>10000</v>
      </c>
      <c r="D2477" t="s">
        <v>5741</v>
      </c>
      <c r="E2477" t="s">
        <v>4437</v>
      </c>
      <c r="F2477" t="s">
        <v>554</v>
      </c>
      <c r="G2477" s="30">
        <v>46146</v>
      </c>
      <c r="H2477" t="s">
        <v>5742</v>
      </c>
      <c r="I2477">
        <v>4159501.5</v>
      </c>
      <c r="J2477" s="123">
        <v>0</v>
      </c>
      <c r="K2477" s="123">
        <v>0</v>
      </c>
      <c r="L2477" s="123">
        <v>0</v>
      </c>
      <c r="M2477">
        <v>0</v>
      </c>
      <c r="N2477">
        <v>0</v>
      </c>
      <c r="O2477">
        <v>0</v>
      </c>
      <c r="P2477" s="216">
        <v>10000</v>
      </c>
      <c r="Q2477" s="217" t="s">
        <v>30</v>
      </c>
      <c r="R2477" s="217" t="s">
        <v>554</v>
      </c>
      <c r="S2477" s="218">
        <v>0.20121425608333113</v>
      </c>
      <c r="T2477" t="s">
        <v>550</v>
      </c>
      <c r="U2477" t="s">
        <v>51</v>
      </c>
      <c r="V2477" s="219" t="s">
        <v>7222</v>
      </c>
      <c r="W2477" s="219" t="s">
        <v>67</v>
      </c>
    </row>
    <row r="2478" spans="1:23" ht="15" customHeight="1" x14ac:dyDescent="0.25">
      <c r="A2478" t="s">
        <v>5749</v>
      </c>
      <c r="B2478" t="s">
        <v>546</v>
      </c>
      <c r="C2478">
        <v>10000</v>
      </c>
      <c r="D2478" t="s">
        <v>5741</v>
      </c>
      <c r="E2478" t="s">
        <v>4437</v>
      </c>
      <c r="F2478" t="s">
        <v>554</v>
      </c>
      <c r="G2478" s="30">
        <v>46146</v>
      </c>
      <c r="H2478" t="s">
        <v>5742</v>
      </c>
      <c r="I2478">
        <v>4159501.5</v>
      </c>
      <c r="J2478" s="123">
        <v>0</v>
      </c>
      <c r="K2478" s="123">
        <v>0</v>
      </c>
      <c r="L2478" s="123">
        <v>0</v>
      </c>
      <c r="M2478">
        <v>0</v>
      </c>
      <c r="N2478">
        <v>0</v>
      </c>
      <c r="O2478">
        <v>0</v>
      </c>
      <c r="P2478" s="216">
        <v>10000</v>
      </c>
      <c r="Q2478" s="217" t="s">
        <v>30</v>
      </c>
      <c r="R2478" s="217" t="s">
        <v>554</v>
      </c>
      <c r="S2478" s="218">
        <v>0.20121425608333113</v>
      </c>
      <c r="T2478" t="s">
        <v>550</v>
      </c>
      <c r="U2478" t="s">
        <v>51</v>
      </c>
      <c r="V2478" s="219" t="s">
        <v>7223</v>
      </c>
      <c r="W2478" s="219" t="s">
        <v>67</v>
      </c>
    </row>
    <row r="2479" spans="1:23" ht="15" customHeight="1" x14ac:dyDescent="0.25">
      <c r="A2479" t="s">
        <v>5750</v>
      </c>
      <c r="B2479" t="s">
        <v>546</v>
      </c>
      <c r="C2479">
        <v>10000</v>
      </c>
      <c r="D2479" t="s">
        <v>5741</v>
      </c>
      <c r="E2479" t="s">
        <v>4437</v>
      </c>
      <c r="F2479" t="s">
        <v>554</v>
      </c>
      <c r="G2479" s="30">
        <v>46146</v>
      </c>
      <c r="H2479" t="s">
        <v>5742</v>
      </c>
      <c r="I2479">
        <v>4159501.5</v>
      </c>
      <c r="J2479" s="123">
        <v>0</v>
      </c>
      <c r="K2479" s="123">
        <v>0</v>
      </c>
      <c r="L2479" s="123">
        <v>0</v>
      </c>
      <c r="M2479">
        <v>0</v>
      </c>
      <c r="N2479">
        <v>0</v>
      </c>
      <c r="O2479">
        <v>0</v>
      </c>
      <c r="P2479" s="216">
        <v>10000</v>
      </c>
      <c r="Q2479" s="217" t="s">
        <v>30</v>
      </c>
      <c r="R2479" s="217" t="s">
        <v>554</v>
      </c>
      <c r="S2479" s="218">
        <v>0.20121425608333113</v>
      </c>
      <c r="T2479" t="s">
        <v>550</v>
      </c>
      <c r="U2479" t="s">
        <v>51</v>
      </c>
      <c r="V2479" s="219" t="s">
        <v>7224</v>
      </c>
      <c r="W2479" s="219" t="s">
        <v>67</v>
      </c>
    </row>
    <row r="2480" spans="1:23" ht="15" customHeight="1" x14ac:dyDescent="0.25">
      <c r="A2480" t="s">
        <v>5751</v>
      </c>
      <c r="B2480" t="s">
        <v>575</v>
      </c>
      <c r="C2480">
        <v>36000</v>
      </c>
      <c r="D2480" t="s">
        <v>5752</v>
      </c>
      <c r="E2480" t="s">
        <v>248</v>
      </c>
      <c r="F2480" t="s">
        <v>554</v>
      </c>
      <c r="G2480" s="30">
        <v>46143</v>
      </c>
      <c r="H2480" t="s">
        <v>5753</v>
      </c>
      <c r="I2480">
        <v>4159501.5</v>
      </c>
      <c r="J2480" s="123">
        <v>0</v>
      </c>
      <c r="K2480" s="123">
        <v>0</v>
      </c>
      <c r="L2480" s="123">
        <v>46142</v>
      </c>
      <c r="M2480">
        <v>0</v>
      </c>
      <c r="N2480">
        <v>0</v>
      </c>
      <c r="O2480">
        <v>0</v>
      </c>
      <c r="P2480" s="216">
        <v>36000</v>
      </c>
      <c r="Q2480" s="217" t="s">
        <v>30</v>
      </c>
      <c r="R2480" s="217" t="s">
        <v>554</v>
      </c>
      <c r="S2480" s="218">
        <v>0.13928427481033484</v>
      </c>
      <c r="T2480" t="s">
        <v>550</v>
      </c>
      <c r="U2480" t="s">
        <v>51</v>
      </c>
      <c r="V2480" s="219" t="s">
        <v>7225</v>
      </c>
      <c r="W2480" s="219" t="s">
        <v>67</v>
      </c>
    </row>
    <row r="2481" spans="1:23" ht="15" customHeight="1" x14ac:dyDescent="0.25">
      <c r="A2481" t="s">
        <v>5754</v>
      </c>
      <c r="B2481" t="s">
        <v>546</v>
      </c>
      <c r="C2481">
        <v>346750</v>
      </c>
      <c r="D2481" t="s">
        <v>5755</v>
      </c>
      <c r="E2481" t="s">
        <v>5756</v>
      </c>
      <c r="F2481" t="s">
        <v>548</v>
      </c>
      <c r="G2481" s="30">
        <v>46149</v>
      </c>
      <c r="H2481" t="s">
        <v>5757</v>
      </c>
      <c r="I2481">
        <v>7289481.25</v>
      </c>
      <c r="J2481" s="123">
        <v>0</v>
      </c>
      <c r="K2481" s="123">
        <v>0</v>
      </c>
      <c r="L2481" s="123">
        <v>0</v>
      </c>
      <c r="M2481">
        <v>0</v>
      </c>
      <c r="N2481">
        <v>0</v>
      </c>
      <c r="O2481">
        <v>0</v>
      </c>
      <c r="P2481" s="216">
        <v>346750</v>
      </c>
      <c r="Q2481" s="217" t="s">
        <v>30</v>
      </c>
      <c r="R2481" s="217" t="s">
        <v>62</v>
      </c>
      <c r="S2481" s="218">
        <v>0.15394758028906377</v>
      </c>
      <c r="T2481" t="s">
        <v>550</v>
      </c>
      <c r="U2481" t="s">
        <v>51</v>
      </c>
      <c r="V2481" s="219">
        <v>0</v>
      </c>
      <c r="W2481" s="219">
        <v>0</v>
      </c>
    </row>
    <row r="2482" spans="1:23" ht="15" customHeight="1" x14ac:dyDescent="0.25">
      <c r="A2482" t="s">
        <v>5758</v>
      </c>
      <c r="B2482" t="s">
        <v>603</v>
      </c>
      <c r="C2482">
        <v>399590</v>
      </c>
      <c r="D2482" t="s">
        <v>5759</v>
      </c>
      <c r="E2482" t="s">
        <v>605</v>
      </c>
      <c r="F2482" t="s">
        <v>554</v>
      </c>
      <c r="G2482" s="30">
        <v>46148</v>
      </c>
      <c r="H2482" t="s">
        <v>5760</v>
      </c>
      <c r="I2482">
        <v>3995907.5</v>
      </c>
      <c r="J2482" s="123">
        <v>46148</v>
      </c>
      <c r="K2482" s="123">
        <v>0</v>
      </c>
      <c r="L2482" s="123">
        <v>0</v>
      </c>
      <c r="M2482">
        <v>0</v>
      </c>
      <c r="N2482">
        <v>0</v>
      </c>
      <c r="O2482">
        <v>0</v>
      </c>
      <c r="P2482" s="216">
        <v>399590</v>
      </c>
      <c r="Q2482" s="217" t="s">
        <v>29</v>
      </c>
      <c r="R2482" s="217" t="s">
        <v>554</v>
      </c>
      <c r="S2482" s="218">
        <v>0.1999998748719784</v>
      </c>
      <c r="T2482" t="s">
        <v>550</v>
      </c>
      <c r="U2482" t="s">
        <v>51</v>
      </c>
      <c r="V2482" s="219" t="s">
        <v>7226</v>
      </c>
      <c r="W2482" s="219" t="s">
        <v>67</v>
      </c>
    </row>
    <row r="2483" spans="1:23" ht="15" customHeight="1" x14ac:dyDescent="0.25">
      <c r="A2483" t="s">
        <v>5761</v>
      </c>
      <c r="B2483" t="s">
        <v>575</v>
      </c>
      <c r="C2483">
        <v>250000</v>
      </c>
      <c r="D2483" t="s">
        <v>5762</v>
      </c>
      <c r="E2483" t="s">
        <v>321</v>
      </c>
      <c r="F2483" t="s">
        <v>554</v>
      </c>
      <c r="G2483" s="30">
        <v>46146</v>
      </c>
      <c r="H2483" t="s">
        <v>5763</v>
      </c>
      <c r="I2483">
        <v>4159501.5</v>
      </c>
      <c r="J2483" s="123">
        <v>0</v>
      </c>
      <c r="K2483" s="123">
        <v>0</v>
      </c>
      <c r="L2483" s="123">
        <v>46143</v>
      </c>
      <c r="M2483">
        <v>0</v>
      </c>
      <c r="N2483">
        <v>0</v>
      </c>
      <c r="O2483">
        <v>0</v>
      </c>
      <c r="P2483" s="216">
        <v>250000</v>
      </c>
      <c r="Q2483" s="217" t="s">
        <v>43</v>
      </c>
      <c r="R2483" s="217" t="s">
        <v>554</v>
      </c>
      <c r="S2483" s="218">
        <v>0.29999989181395897</v>
      </c>
      <c r="T2483" t="s">
        <v>550</v>
      </c>
      <c r="U2483" t="s">
        <v>51</v>
      </c>
      <c r="V2483" s="219" t="s">
        <v>7227</v>
      </c>
      <c r="W2483" s="219" t="s">
        <v>67</v>
      </c>
    </row>
    <row r="2484" spans="1:23" ht="15" customHeight="1" x14ac:dyDescent="0.25">
      <c r="A2484" t="s">
        <v>5764</v>
      </c>
      <c r="B2484" t="s">
        <v>575</v>
      </c>
      <c r="C2484">
        <v>165948</v>
      </c>
      <c r="D2484" t="s">
        <v>5762</v>
      </c>
      <c r="E2484" t="s">
        <v>321</v>
      </c>
      <c r="F2484" t="s">
        <v>554</v>
      </c>
      <c r="G2484" s="30">
        <v>46146</v>
      </c>
      <c r="H2484" t="s">
        <v>5763</v>
      </c>
      <c r="I2484">
        <v>4159501.5</v>
      </c>
      <c r="J2484" s="123">
        <v>0</v>
      </c>
      <c r="K2484" s="123">
        <v>0</v>
      </c>
      <c r="L2484" s="123">
        <v>46144</v>
      </c>
      <c r="M2484">
        <v>0</v>
      </c>
      <c r="N2484">
        <v>0</v>
      </c>
      <c r="O2484">
        <v>0</v>
      </c>
      <c r="P2484" s="216">
        <v>165948</v>
      </c>
      <c r="Q2484" s="217" t="s">
        <v>43</v>
      </c>
      <c r="R2484" s="217" t="s">
        <v>554</v>
      </c>
      <c r="S2484" s="218">
        <v>0.29999989181395897</v>
      </c>
      <c r="T2484" t="s">
        <v>550</v>
      </c>
      <c r="U2484" t="s">
        <v>51</v>
      </c>
      <c r="V2484" s="219" t="s">
        <v>7228</v>
      </c>
      <c r="W2484" s="219" t="s">
        <v>67</v>
      </c>
    </row>
    <row r="2485" spans="1:23" ht="15" customHeight="1" x14ac:dyDescent="0.25">
      <c r="A2485" t="s">
        <v>5765</v>
      </c>
      <c r="B2485" t="s">
        <v>575</v>
      </c>
      <c r="C2485">
        <v>115950</v>
      </c>
      <c r="D2485" t="s">
        <v>5766</v>
      </c>
      <c r="E2485" t="s">
        <v>238</v>
      </c>
      <c r="F2485" t="s">
        <v>554</v>
      </c>
      <c r="G2485" s="30">
        <v>46146</v>
      </c>
      <c r="H2485" t="s">
        <v>5767</v>
      </c>
      <c r="I2485">
        <v>4159501.5</v>
      </c>
      <c r="J2485" s="123">
        <v>0</v>
      </c>
      <c r="K2485" s="123">
        <v>0</v>
      </c>
      <c r="L2485" s="123">
        <v>46139</v>
      </c>
      <c r="M2485">
        <v>0</v>
      </c>
      <c r="N2485">
        <v>0</v>
      </c>
      <c r="O2485">
        <v>0</v>
      </c>
      <c r="P2485" s="216">
        <v>115950</v>
      </c>
      <c r="Q2485" s="217" t="s">
        <v>19</v>
      </c>
      <c r="R2485" s="217" t="s">
        <v>554</v>
      </c>
      <c r="S2485" s="218">
        <v>0.20000233201021805</v>
      </c>
      <c r="T2485" t="s">
        <v>550</v>
      </c>
      <c r="U2485" t="s">
        <v>51</v>
      </c>
      <c r="V2485" s="219" t="s">
        <v>7229</v>
      </c>
      <c r="W2485" s="219" t="s">
        <v>67</v>
      </c>
    </row>
    <row r="2486" spans="1:23" ht="15" customHeight="1" x14ac:dyDescent="0.25">
      <c r="A2486" t="s">
        <v>5768</v>
      </c>
      <c r="B2486" t="s">
        <v>575</v>
      </c>
      <c r="C2486">
        <v>38000</v>
      </c>
      <c r="D2486" t="s">
        <v>5769</v>
      </c>
      <c r="E2486" t="s">
        <v>198</v>
      </c>
      <c r="F2486" t="s">
        <v>585</v>
      </c>
      <c r="G2486" s="30">
        <v>46143</v>
      </c>
      <c r="H2486" t="s">
        <v>5770</v>
      </c>
      <c r="I2486">
        <v>5658858</v>
      </c>
      <c r="J2486" s="123">
        <v>0</v>
      </c>
      <c r="K2486" s="123">
        <v>0</v>
      </c>
      <c r="L2486" s="123">
        <v>46121</v>
      </c>
      <c r="M2486">
        <v>0</v>
      </c>
      <c r="N2486">
        <v>0</v>
      </c>
      <c r="O2486">
        <v>0</v>
      </c>
      <c r="P2486" s="216">
        <v>38000</v>
      </c>
      <c r="Q2486" s="217" t="s">
        <v>29</v>
      </c>
      <c r="R2486" s="217" t="s">
        <v>61</v>
      </c>
      <c r="S2486" s="218">
        <v>0.1530149722788591</v>
      </c>
      <c r="T2486" t="s">
        <v>550</v>
      </c>
      <c r="U2486" t="s">
        <v>51</v>
      </c>
      <c r="V2486" s="219">
        <v>0</v>
      </c>
      <c r="W2486" s="219">
        <v>0</v>
      </c>
    </row>
    <row r="2487" spans="1:23" ht="15" customHeight="1" x14ac:dyDescent="0.25">
      <c r="A2487" t="s">
        <v>5771</v>
      </c>
      <c r="B2487" t="s">
        <v>575</v>
      </c>
      <c r="C2487">
        <v>173218</v>
      </c>
      <c r="D2487" t="s">
        <v>5769</v>
      </c>
      <c r="E2487" t="s">
        <v>198</v>
      </c>
      <c r="F2487" t="s">
        <v>580</v>
      </c>
      <c r="G2487" s="30">
        <v>46143</v>
      </c>
      <c r="H2487" t="s">
        <v>5770</v>
      </c>
      <c r="I2487">
        <v>5658858</v>
      </c>
      <c r="J2487" s="123">
        <v>0</v>
      </c>
      <c r="K2487" s="123">
        <v>0</v>
      </c>
      <c r="L2487" s="123">
        <v>46139</v>
      </c>
      <c r="M2487">
        <v>0</v>
      </c>
      <c r="N2487">
        <v>0</v>
      </c>
      <c r="O2487">
        <v>0</v>
      </c>
      <c r="P2487" s="216">
        <v>173218</v>
      </c>
      <c r="Q2487" s="217" t="s">
        <v>29</v>
      </c>
      <c r="R2487" s="217" t="s">
        <v>582</v>
      </c>
      <c r="S2487" s="218">
        <v>0.1530149722788591</v>
      </c>
      <c r="T2487" t="s">
        <v>550</v>
      </c>
      <c r="U2487" t="s">
        <v>51</v>
      </c>
      <c r="V2487" s="219">
        <v>0</v>
      </c>
      <c r="W2487" s="219">
        <v>0</v>
      </c>
    </row>
    <row r="2488" spans="1:23" ht="15" customHeight="1" x14ac:dyDescent="0.25">
      <c r="A2488" t="s">
        <v>5772</v>
      </c>
      <c r="B2488" t="s">
        <v>650</v>
      </c>
      <c r="C2488">
        <v>110000</v>
      </c>
      <c r="D2488" t="s">
        <v>5773</v>
      </c>
      <c r="E2488" t="s">
        <v>5774</v>
      </c>
      <c r="F2488" t="s">
        <v>554</v>
      </c>
      <c r="G2488" s="30">
        <v>46143</v>
      </c>
      <c r="H2488" t="s">
        <v>5775</v>
      </c>
      <c r="I2488">
        <v>5575639.5</v>
      </c>
      <c r="J2488" s="123">
        <v>46143</v>
      </c>
      <c r="K2488" s="123">
        <v>0</v>
      </c>
      <c r="L2488" s="123">
        <v>0</v>
      </c>
      <c r="M2488">
        <v>0</v>
      </c>
      <c r="N2488">
        <v>0</v>
      </c>
      <c r="O2488">
        <v>0</v>
      </c>
      <c r="P2488" s="216">
        <v>110000</v>
      </c>
      <c r="Q2488" s="217" t="s">
        <v>29</v>
      </c>
      <c r="R2488" s="217" t="s">
        <v>554</v>
      </c>
      <c r="S2488" s="218">
        <v>0.12794736818978344</v>
      </c>
      <c r="T2488" t="s">
        <v>550</v>
      </c>
      <c r="U2488" t="s">
        <v>51</v>
      </c>
      <c r="V2488" s="219" t="s">
        <v>7230</v>
      </c>
      <c r="W2488" s="219" t="s">
        <v>67</v>
      </c>
    </row>
    <row r="2489" spans="1:23" ht="15" customHeight="1" x14ac:dyDescent="0.25">
      <c r="A2489" t="s">
        <v>5776</v>
      </c>
      <c r="B2489" t="s">
        <v>575</v>
      </c>
      <c r="C2489">
        <v>50000</v>
      </c>
      <c r="D2489" t="s">
        <v>5773</v>
      </c>
      <c r="E2489" t="s">
        <v>5774</v>
      </c>
      <c r="F2489" t="s">
        <v>554</v>
      </c>
      <c r="G2489" s="30">
        <v>46146</v>
      </c>
      <c r="H2489" t="s">
        <v>5775</v>
      </c>
      <c r="I2489">
        <v>5575639.5</v>
      </c>
      <c r="J2489" s="123">
        <v>0</v>
      </c>
      <c r="K2489" s="123">
        <v>0</v>
      </c>
      <c r="L2489" s="123">
        <v>46146</v>
      </c>
      <c r="M2489">
        <v>0</v>
      </c>
      <c r="N2489">
        <v>50000</v>
      </c>
      <c r="O2489">
        <v>0</v>
      </c>
      <c r="P2489" s="216">
        <v>0</v>
      </c>
      <c r="Q2489" s="217" t="s">
        <v>29</v>
      </c>
      <c r="R2489" s="217" t="s">
        <v>554</v>
      </c>
      <c r="S2489" s="218">
        <v>0.12794736818978344</v>
      </c>
      <c r="T2489" t="s">
        <v>550</v>
      </c>
      <c r="U2489" t="s">
        <v>51</v>
      </c>
      <c r="V2489" s="219" t="s">
        <v>7231</v>
      </c>
      <c r="W2489" s="219" t="s">
        <v>67</v>
      </c>
    </row>
    <row r="2490" spans="1:23" ht="15" customHeight="1" x14ac:dyDescent="0.25">
      <c r="A2490" t="s">
        <v>5777</v>
      </c>
      <c r="B2490" t="s">
        <v>650</v>
      </c>
      <c r="C2490">
        <v>110000</v>
      </c>
      <c r="D2490" t="s">
        <v>5773</v>
      </c>
      <c r="E2490" t="s">
        <v>5774</v>
      </c>
      <c r="F2490" t="s">
        <v>554</v>
      </c>
      <c r="G2490" s="30">
        <v>46146</v>
      </c>
      <c r="H2490" t="s">
        <v>5775</v>
      </c>
      <c r="I2490">
        <v>5575639.5</v>
      </c>
      <c r="J2490" s="123">
        <v>46146</v>
      </c>
      <c r="K2490" s="123">
        <v>0</v>
      </c>
      <c r="L2490" s="123">
        <v>0</v>
      </c>
      <c r="M2490">
        <v>0</v>
      </c>
      <c r="N2490">
        <v>110000</v>
      </c>
      <c r="O2490">
        <v>0</v>
      </c>
      <c r="P2490" s="216">
        <v>0</v>
      </c>
      <c r="Q2490" s="217" t="s">
        <v>29</v>
      </c>
      <c r="R2490" s="217" t="s">
        <v>554</v>
      </c>
      <c r="S2490" s="218">
        <v>0.12794736818978344</v>
      </c>
      <c r="T2490" t="s">
        <v>550</v>
      </c>
      <c r="U2490" t="s">
        <v>51</v>
      </c>
      <c r="V2490" s="219" t="s">
        <v>7232</v>
      </c>
      <c r="W2490" s="219" t="s">
        <v>67</v>
      </c>
    </row>
    <row r="2491" spans="1:23" ht="15" customHeight="1" x14ac:dyDescent="0.25">
      <c r="A2491" t="s">
        <v>5778</v>
      </c>
      <c r="B2491" t="s">
        <v>650</v>
      </c>
      <c r="C2491">
        <v>45824.4</v>
      </c>
      <c r="D2491" t="s">
        <v>5773</v>
      </c>
      <c r="E2491" t="s">
        <v>5774</v>
      </c>
      <c r="F2491" t="s">
        <v>554</v>
      </c>
      <c r="G2491" s="30">
        <v>46148</v>
      </c>
      <c r="H2491" t="s">
        <v>5775</v>
      </c>
      <c r="I2491">
        <v>5575639.5</v>
      </c>
      <c r="J2491" s="123">
        <v>46148</v>
      </c>
      <c r="K2491" s="123">
        <v>0</v>
      </c>
      <c r="L2491" s="123">
        <v>0</v>
      </c>
      <c r="M2491">
        <v>0</v>
      </c>
      <c r="N2491">
        <v>0</v>
      </c>
      <c r="O2491">
        <v>0</v>
      </c>
      <c r="P2491" s="216">
        <v>45824.4</v>
      </c>
      <c r="Q2491" s="217" t="s">
        <v>29</v>
      </c>
      <c r="R2491" s="217" t="s">
        <v>554</v>
      </c>
      <c r="S2491" s="218">
        <v>0.12794736818978344</v>
      </c>
      <c r="T2491" t="s">
        <v>550</v>
      </c>
      <c r="U2491" t="s">
        <v>51</v>
      </c>
      <c r="V2491" s="219" t="s">
        <v>7233</v>
      </c>
      <c r="W2491" s="219" t="s">
        <v>67</v>
      </c>
    </row>
    <row r="2492" spans="1:23" ht="15" customHeight="1" x14ac:dyDescent="0.25">
      <c r="A2492" t="s">
        <v>5779</v>
      </c>
      <c r="B2492" t="s">
        <v>650</v>
      </c>
      <c r="C2492">
        <v>64175.6</v>
      </c>
      <c r="D2492" t="s">
        <v>5773</v>
      </c>
      <c r="E2492" t="s">
        <v>5774</v>
      </c>
      <c r="F2492" t="s">
        <v>554</v>
      </c>
      <c r="G2492" s="30">
        <v>46148</v>
      </c>
      <c r="H2492" t="s">
        <v>5775</v>
      </c>
      <c r="I2492">
        <v>5575639.5</v>
      </c>
      <c r="J2492" s="123">
        <v>46148</v>
      </c>
      <c r="K2492" s="123">
        <v>0</v>
      </c>
      <c r="L2492" s="123">
        <v>0</v>
      </c>
      <c r="M2492">
        <v>0</v>
      </c>
      <c r="N2492">
        <v>64175.6</v>
      </c>
      <c r="O2492">
        <v>0</v>
      </c>
      <c r="P2492" s="216">
        <v>0</v>
      </c>
      <c r="Q2492" s="217" t="s">
        <v>29</v>
      </c>
      <c r="R2492" s="217" t="s">
        <v>554</v>
      </c>
      <c r="S2492" s="218">
        <v>0.12794736818978344</v>
      </c>
      <c r="T2492" t="s">
        <v>550</v>
      </c>
      <c r="U2492" t="s">
        <v>51</v>
      </c>
      <c r="V2492" s="219" t="s">
        <v>7234</v>
      </c>
      <c r="W2492" s="219" t="s">
        <v>71</v>
      </c>
    </row>
    <row r="2493" spans="1:23" ht="15" customHeight="1" x14ac:dyDescent="0.25">
      <c r="A2493" t="s">
        <v>5780</v>
      </c>
      <c r="B2493" t="s">
        <v>546</v>
      </c>
      <c r="C2493">
        <v>415951</v>
      </c>
      <c r="D2493" t="s">
        <v>5781</v>
      </c>
      <c r="E2493" t="s">
        <v>5581</v>
      </c>
      <c r="F2493" t="s">
        <v>554</v>
      </c>
      <c r="G2493" s="30">
        <v>46144</v>
      </c>
      <c r="H2493" t="s">
        <v>5782</v>
      </c>
      <c r="I2493">
        <v>4159501.5</v>
      </c>
      <c r="J2493" s="123">
        <v>0</v>
      </c>
      <c r="K2493" s="123">
        <v>0</v>
      </c>
      <c r="L2493" s="123">
        <v>0</v>
      </c>
      <c r="M2493">
        <v>0</v>
      </c>
      <c r="N2493">
        <v>0</v>
      </c>
      <c r="O2493">
        <v>0</v>
      </c>
      <c r="P2493" s="216">
        <v>415951</v>
      </c>
      <c r="Q2493" s="217" t="s">
        <v>29</v>
      </c>
      <c r="R2493" s="217" t="s">
        <v>554</v>
      </c>
      <c r="S2493" s="218">
        <v>0.20000040870282171</v>
      </c>
      <c r="T2493" t="s">
        <v>550</v>
      </c>
      <c r="U2493" t="s">
        <v>51</v>
      </c>
      <c r="V2493" s="219" t="s">
        <v>7235</v>
      </c>
      <c r="W2493" s="219" t="s">
        <v>67</v>
      </c>
    </row>
    <row r="2494" spans="1:23" ht="15" customHeight="1" x14ac:dyDescent="0.25">
      <c r="A2494" t="s">
        <v>5783</v>
      </c>
      <c r="B2494" t="s">
        <v>575</v>
      </c>
      <c r="C2494">
        <v>557564</v>
      </c>
      <c r="D2494" t="s">
        <v>5784</v>
      </c>
      <c r="E2494" t="s">
        <v>5785</v>
      </c>
      <c r="F2494" t="s">
        <v>554</v>
      </c>
      <c r="G2494" s="30">
        <v>46146</v>
      </c>
      <c r="H2494" t="s">
        <v>5786</v>
      </c>
      <c r="I2494">
        <v>5575639.5</v>
      </c>
      <c r="J2494" s="123">
        <v>0</v>
      </c>
      <c r="K2494" s="123">
        <v>0</v>
      </c>
      <c r="L2494" s="123">
        <v>46146</v>
      </c>
      <c r="M2494">
        <v>0</v>
      </c>
      <c r="N2494">
        <v>0</v>
      </c>
      <c r="O2494">
        <v>0</v>
      </c>
      <c r="P2494" s="216">
        <v>557564</v>
      </c>
      <c r="Q2494" s="217" t="s">
        <v>29</v>
      </c>
      <c r="R2494" s="217" t="s">
        <v>554</v>
      </c>
      <c r="S2494" s="218">
        <v>0.20000001793516242</v>
      </c>
      <c r="T2494" t="s">
        <v>550</v>
      </c>
      <c r="U2494" t="s">
        <v>51</v>
      </c>
      <c r="V2494" s="219" t="s">
        <v>7236</v>
      </c>
      <c r="W2494" s="219" t="s">
        <v>67</v>
      </c>
    </row>
    <row r="2495" spans="1:23" ht="15" customHeight="1" x14ac:dyDescent="0.25">
      <c r="A2495" t="s">
        <v>5787</v>
      </c>
      <c r="B2495" t="s">
        <v>575</v>
      </c>
      <c r="C2495">
        <v>115936</v>
      </c>
      <c r="D2495" t="s">
        <v>5788</v>
      </c>
      <c r="E2495" t="s">
        <v>4091</v>
      </c>
      <c r="F2495" t="s">
        <v>554</v>
      </c>
      <c r="G2495" s="30">
        <v>46146</v>
      </c>
      <c r="H2495" t="s">
        <v>5789</v>
      </c>
      <c r="I2495">
        <v>4159501.5</v>
      </c>
      <c r="J2495" s="123">
        <v>0</v>
      </c>
      <c r="K2495" s="123">
        <v>0</v>
      </c>
      <c r="L2495" s="123">
        <v>46146</v>
      </c>
      <c r="M2495">
        <v>0</v>
      </c>
      <c r="N2495">
        <v>115936</v>
      </c>
      <c r="O2495">
        <v>0</v>
      </c>
      <c r="P2495" s="216">
        <v>0</v>
      </c>
      <c r="Q2495" s="217" t="s">
        <v>29</v>
      </c>
      <c r="R2495" s="217" t="s">
        <v>554</v>
      </c>
      <c r="S2495" s="218">
        <v>0.20000016828939718</v>
      </c>
      <c r="T2495" t="s">
        <v>550</v>
      </c>
      <c r="U2495" t="s">
        <v>51</v>
      </c>
      <c r="V2495" s="219" t="s">
        <v>7237</v>
      </c>
      <c r="W2495" s="219" t="s">
        <v>67</v>
      </c>
    </row>
    <row r="2496" spans="1:23" ht="15" customHeight="1" x14ac:dyDescent="0.25">
      <c r="A2496" t="s">
        <v>5790</v>
      </c>
      <c r="B2496" t="s">
        <v>575</v>
      </c>
      <c r="C2496">
        <v>198000</v>
      </c>
      <c r="D2496" t="s">
        <v>5788</v>
      </c>
      <c r="E2496" t="s">
        <v>4091</v>
      </c>
      <c r="F2496" t="s">
        <v>585</v>
      </c>
      <c r="G2496" s="30">
        <v>46148</v>
      </c>
      <c r="H2496" t="s">
        <v>5789</v>
      </c>
      <c r="I2496">
        <v>4159501.5</v>
      </c>
      <c r="J2496" s="123">
        <v>0</v>
      </c>
      <c r="K2496" s="123">
        <v>0</v>
      </c>
      <c r="L2496" s="123">
        <v>46141</v>
      </c>
      <c r="M2496">
        <v>0</v>
      </c>
      <c r="N2496">
        <v>0</v>
      </c>
      <c r="O2496">
        <v>0</v>
      </c>
      <c r="P2496" s="216">
        <v>198000</v>
      </c>
      <c r="Q2496" s="217" t="s">
        <v>29</v>
      </c>
      <c r="R2496" s="217" t="s">
        <v>61</v>
      </c>
      <c r="S2496" s="218">
        <v>0.20000016828939718</v>
      </c>
      <c r="T2496" t="s">
        <v>550</v>
      </c>
      <c r="U2496" t="s">
        <v>51</v>
      </c>
      <c r="V2496" s="219">
        <v>0</v>
      </c>
      <c r="W2496" s="219">
        <v>0</v>
      </c>
    </row>
    <row r="2497" spans="1:23" ht="15" customHeight="1" x14ac:dyDescent="0.25">
      <c r="A2497" t="s">
        <v>5791</v>
      </c>
      <c r="B2497" t="s">
        <v>595</v>
      </c>
      <c r="C2497">
        <v>32192.74</v>
      </c>
      <c r="D2497" t="s">
        <v>5792</v>
      </c>
      <c r="E2497" t="s">
        <v>5793</v>
      </c>
      <c r="F2497" t="s">
        <v>554</v>
      </c>
      <c r="G2497" s="30">
        <v>46146</v>
      </c>
      <c r="H2497" t="s">
        <v>5794</v>
      </c>
      <c r="I2497">
        <v>4159501.5</v>
      </c>
      <c r="J2497" s="123">
        <v>0</v>
      </c>
      <c r="K2497" s="123">
        <v>0</v>
      </c>
      <c r="L2497" s="123">
        <v>46142</v>
      </c>
      <c r="M2497">
        <v>0</v>
      </c>
      <c r="N2497">
        <v>32192.74</v>
      </c>
      <c r="O2497">
        <v>0</v>
      </c>
      <c r="P2497" s="216">
        <v>0</v>
      </c>
      <c r="Q2497" s="217" t="s">
        <v>29</v>
      </c>
      <c r="R2497" s="217" t="s">
        <v>554</v>
      </c>
      <c r="S2497" s="218">
        <v>0.10000382978585295</v>
      </c>
      <c r="T2497" t="s">
        <v>550</v>
      </c>
      <c r="U2497" t="s">
        <v>51</v>
      </c>
      <c r="V2497" s="219" t="s">
        <v>7238</v>
      </c>
      <c r="W2497" s="219" t="s">
        <v>67</v>
      </c>
    </row>
    <row r="2498" spans="1:23" ht="15" customHeight="1" x14ac:dyDescent="0.25">
      <c r="A2498" t="s">
        <v>5795</v>
      </c>
      <c r="B2498" t="s">
        <v>595</v>
      </c>
      <c r="C2498">
        <v>10000</v>
      </c>
      <c r="D2498" t="s">
        <v>5792</v>
      </c>
      <c r="E2498" t="s">
        <v>5793</v>
      </c>
      <c r="F2498" t="s">
        <v>683</v>
      </c>
      <c r="G2498" s="30">
        <v>46147</v>
      </c>
      <c r="H2498" t="s">
        <v>5794</v>
      </c>
      <c r="I2498">
        <v>4159501.5</v>
      </c>
      <c r="J2498" s="123">
        <v>0</v>
      </c>
      <c r="K2498" s="123">
        <v>0</v>
      </c>
      <c r="L2498" s="123">
        <v>46095</v>
      </c>
      <c r="M2498">
        <v>0</v>
      </c>
      <c r="N2498">
        <v>0</v>
      </c>
      <c r="O2498">
        <v>0</v>
      </c>
      <c r="P2498" s="216">
        <v>10000</v>
      </c>
      <c r="Q2498" s="217" t="s">
        <v>29</v>
      </c>
      <c r="R2498" s="217" t="s">
        <v>62</v>
      </c>
      <c r="S2498" s="218">
        <v>0.10000382978585295</v>
      </c>
      <c r="T2498" t="s">
        <v>550</v>
      </c>
      <c r="U2498" t="s">
        <v>51</v>
      </c>
      <c r="V2498" s="219">
        <v>0</v>
      </c>
      <c r="W2498" s="219">
        <v>0</v>
      </c>
    </row>
    <row r="2499" spans="1:23" ht="15" customHeight="1" x14ac:dyDescent="0.25">
      <c r="A2499" t="s">
        <v>5796</v>
      </c>
      <c r="B2499" t="s">
        <v>595</v>
      </c>
      <c r="C2499">
        <v>100</v>
      </c>
      <c r="D2499" t="s">
        <v>5792</v>
      </c>
      <c r="E2499" t="s">
        <v>5793</v>
      </c>
      <c r="F2499" t="s">
        <v>580</v>
      </c>
      <c r="G2499" s="30">
        <v>46149</v>
      </c>
      <c r="H2499" t="s">
        <v>5794</v>
      </c>
      <c r="I2499">
        <v>4159501.5</v>
      </c>
      <c r="J2499" s="123">
        <v>0</v>
      </c>
      <c r="K2499" s="123">
        <v>0</v>
      </c>
      <c r="L2499" s="123">
        <v>46148</v>
      </c>
      <c r="M2499">
        <v>0</v>
      </c>
      <c r="N2499">
        <v>0</v>
      </c>
      <c r="O2499">
        <v>0</v>
      </c>
      <c r="P2499" s="216">
        <v>100</v>
      </c>
      <c r="Q2499" s="217" t="s">
        <v>29</v>
      </c>
      <c r="R2499" s="217" t="s">
        <v>582</v>
      </c>
      <c r="S2499" s="218">
        <v>0.10000382978585295</v>
      </c>
      <c r="T2499" t="s">
        <v>550</v>
      </c>
      <c r="U2499" t="s">
        <v>51</v>
      </c>
      <c r="V2499" s="219">
        <v>0</v>
      </c>
      <c r="W2499" s="219">
        <v>0</v>
      </c>
    </row>
    <row r="2500" spans="1:23" ht="15" customHeight="1" x14ac:dyDescent="0.25">
      <c r="A2500" t="s">
        <v>5797</v>
      </c>
      <c r="B2500" t="s">
        <v>595</v>
      </c>
      <c r="C2500">
        <v>100</v>
      </c>
      <c r="D2500" t="s">
        <v>5792</v>
      </c>
      <c r="E2500" t="s">
        <v>5793</v>
      </c>
      <c r="F2500" t="s">
        <v>580</v>
      </c>
      <c r="G2500" s="30">
        <v>46149</v>
      </c>
      <c r="H2500" t="s">
        <v>5794</v>
      </c>
      <c r="I2500">
        <v>4159501.5</v>
      </c>
      <c r="J2500" s="123">
        <v>0</v>
      </c>
      <c r="K2500" s="123">
        <v>0</v>
      </c>
      <c r="L2500" s="123">
        <v>46148</v>
      </c>
      <c r="M2500">
        <v>0</v>
      </c>
      <c r="N2500">
        <v>0</v>
      </c>
      <c r="O2500">
        <v>0</v>
      </c>
      <c r="P2500" s="216">
        <v>100</v>
      </c>
      <c r="Q2500" s="217" t="s">
        <v>29</v>
      </c>
      <c r="R2500" s="217" t="s">
        <v>582</v>
      </c>
      <c r="S2500" s="218">
        <v>0.10000382978585295</v>
      </c>
      <c r="T2500" t="s">
        <v>550</v>
      </c>
      <c r="U2500" t="s">
        <v>51</v>
      </c>
      <c r="V2500" s="219">
        <v>0</v>
      </c>
      <c r="W2500" s="219">
        <v>0</v>
      </c>
    </row>
    <row r="2501" spans="1:23" ht="15" customHeight="1" x14ac:dyDescent="0.25">
      <c r="A2501" t="s">
        <v>5798</v>
      </c>
      <c r="B2501" t="s">
        <v>595</v>
      </c>
      <c r="C2501">
        <v>10080</v>
      </c>
      <c r="D2501" t="s">
        <v>5792</v>
      </c>
      <c r="E2501" t="s">
        <v>5793</v>
      </c>
      <c r="F2501" t="s">
        <v>580</v>
      </c>
      <c r="G2501" s="30">
        <v>46149</v>
      </c>
      <c r="H2501" t="s">
        <v>5794</v>
      </c>
      <c r="I2501">
        <v>4159501.5</v>
      </c>
      <c r="J2501" s="123">
        <v>0</v>
      </c>
      <c r="K2501" s="123">
        <v>0</v>
      </c>
      <c r="L2501" s="123">
        <v>46149</v>
      </c>
      <c r="M2501">
        <v>0</v>
      </c>
      <c r="N2501">
        <v>0</v>
      </c>
      <c r="O2501">
        <v>0</v>
      </c>
      <c r="P2501" s="216">
        <v>10080</v>
      </c>
      <c r="Q2501" s="217" t="s">
        <v>29</v>
      </c>
      <c r="R2501" s="217" t="s">
        <v>582</v>
      </c>
      <c r="S2501" s="218">
        <v>0.10000382978585295</v>
      </c>
      <c r="T2501" t="s">
        <v>550</v>
      </c>
      <c r="U2501" t="s">
        <v>51</v>
      </c>
      <c r="V2501" s="219">
        <v>0</v>
      </c>
      <c r="W2501" s="219">
        <v>0</v>
      </c>
    </row>
    <row r="2502" spans="1:23" ht="15" customHeight="1" x14ac:dyDescent="0.25">
      <c r="A2502" t="s">
        <v>5799</v>
      </c>
      <c r="B2502" t="s">
        <v>595</v>
      </c>
      <c r="C2502">
        <v>6500</v>
      </c>
      <c r="D2502" t="s">
        <v>5792</v>
      </c>
      <c r="E2502" t="s">
        <v>5793</v>
      </c>
      <c r="F2502" t="s">
        <v>580</v>
      </c>
      <c r="G2502" s="30">
        <v>46149</v>
      </c>
      <c r="H2502" t="s">
        <v>5794</v>
      </c>
      <c r="I2502">
        <v>4159501.5</v>
      </c>
      <c r="J2502" s="123">
        <v>0</v>
      </c>
      <c r="K2502" s="123">
        <v>0</v>
      </c>
      <c r="L2502" s="123">
        <v>46142</v>
      </c>
      <c r="M2502">
        <v>0</v>
      </c>
      <c r="N2502">
        <v>0</v>
      </c>
      <c r="O2502">
        <v>0</v>
      </c>
      <c r="P2502" s="216">
        <v>6500</v>
      </c>
      <c r="Q2502" s="217" t="s">
        <v>29</v>
      </c>
      <c r="R2502" s="217" t="s">
        <v>582</v>
      </c>
      <c r="S2502" s="218">
        <v>0.10000382978585295</v>
      </c>
      <c r="T2502" t="s">
        <v>550</v>
      </c>
      <c r="U2502" t="s">
        <v>51</v>
      </c>
      <c r="V2502" s="219">
        <v>0</v>
      </c>
      <c r="W2502" s="219">
        <v>0</v>
      </c>
    </row>
    <row r="2503" spans="1:23" ht="15" customHeight="1" x14ac:dyDescent="0.25">
      <c r="A2503" t="s">
        <v>5800</v>
      </c>
      <c r="B2503" t="s">
        <v>575</v>
      </c>
      <c r="C2503">
        <v>310000</v>
      </c>
      <c r="D2503" t="s">
        <v>5801</v>
      </c>
      <c r="E2503" t="s">
        <v>3171</v>
      </c>
      <c r="F2503" t="s">
        <v>585</v>
      </c>
      <c r="G2503" s="30">
        <v>46146</v>
      </c>
      <c r="H2503" t="s">
        <v>5802</v>
      </c>
      <c r="I2503">
        <v>4057383</v>
      </c>
      <c r="J2503" s="123">
        <v>0</v>
      </c>
      <c r="K2503" s="123">
        <v>0</v>
      </c>
      <c r="L2503" s="123">
        <v>46144</v>
      </c>
      <c r="M2503">
        <v>0</v>
      </c>
      <c r="N2503">
        <v>0</v>
      </c>
      <c r="O2503">
        <v>0</v>
      </c>
      <c r="P2503" s="216">
        <v>310000</v>
      </c>
      <c r="Q2503" s="217" t="s">
        <v>24</v>
      </c>
      <c r="R2503" s="217" t="s">
        <v>61</v>
      </c>
      <c r="S2503" s="218">
        <v>0.20001562583566795</v>
      </c>
      <c r="T2503" t="s">
        <v>550</v>
      </c>
      <c r="U2503" t="s">
        <v>51</v>
      </c>
      <c r="V2503" s="219">
        <v>0</v>
      </c>
      <c r="W2503" s="219">
        <v>0</v>
      </c>
    </row>
    <row r="2504" spans="1:23" ht="15" customHeight="1" x14ac:dyDescent="0.25">
      <c r="A2504" t="s">
        <v>5803</v>
      </c>
      <c r="B2504" t="s">
        <v>595</v>
      </c>
      <c r="C2504">
        <v>99960</v>
      </c>
      <c r="D2504" t="s">
        <v>5804</v>
      </c>
      <c r="E2504" t="s">
        <v>3210</v>
      </c>
      <c r="F2504" t="s">
        <v>554</v>
      </c>
      <c r="G2504" s="30">
        <v>46147</v>
      </c>
      <c r="H2504" t="s">
        <v>5805</v>
      </c>
      <c r="I2504">
        <v>4159501.5</v>
      </c>
      <c r="J2504" s="123">
        <v>0</v>
      </c>
      <c r="K2504" s="123">
        <v>0</v>
      </c>
      <c r="L2504" s="123">
        <v>46146</v>
      </c>
      <c r="M2504">
        <v>0</v>
      </c>
      <c r="N2504">
        <v>0</v>
      </c>
      <c r="O2504">
        <v>0</v>
      </c>
      <c r="P2504" s="216">
        <v>99960</v>
      </c>
      <c r="Q2504" s="217" t="s">
        <v>24</v>
      </c>
      <c r="R2504" s="217" t="s">
        <v>554</v>
      </c>
      <c r="S2504" s="218">
        <v>0.12531743287026101</v>
      </c>
      <c r="T2504" t="s">
        <v>550</v>
      </c>
      <c r="U2504" t="s">
        <v>51</v>
      </c>
      <c r="V2504" s="219" t="s">
        <v>7239</v>
      </c>
      <c r="W2504" s="219" t="s">
        <v>67</v>
      </c>
    </row>
    <row r="2505" spans="1:23" ht="15" customHeight="1" x14ac:dyDescent="0.25">
      <c r="A2505" t="s">
        <v>5806</v>
      </c>
      <c r="B2505" t="s">
        <v>64</v>
      </c>
      <c r="C2505">
        <v>405734</v>
      </c>
      <c r="D2505" t="s">
        <v>5807</v>
      </c>
      <c r="E2505" t="s">
        <v>5077</v>
      </c>
      <c r="F2505" t="s">
        <v>554</v>
      </c>
      <c r="G2505" s="30">
        <v>46147</v>
      </c>
      <c r="H2505" t="s">
        <v>5808</v>
      </c>
      <c r="I2505">
        <v>4057383</v>
      </c>
      <c r="J2505" s="123">
        <v>0</v>
      </c>
      <c r="K2505" s="123">
        <v>46146</v>
      </c>
      <c r="L2505" s="123">
        <v>0</v>
      </c>
      <c r="M2505">
        <v>0</v>
      </c>
      <c r="N2505">
        <v>0</v>
      </c>
      <c r="O2505" t="s">
        <v>556</v>
      </c>
      <c r="P2505" s="216">
        <v>405734</v>
      </c>
      <c r="Q2505" s="217" t="s">
        <v>24</v>
      </c>
      <c r="R2505" s="217" t="s">
        <v>554</v>
      </c>
      <c r="S2505" s="218">
        <v>0.19999886626428909</v>
      </c>
      <c r="T2505" t="s">
        <v>550</v>
      </c>
      <c r="U2505" t="s">
        <v>51</v>
      </c>
      <c r="V2505" s="219" t="s">
        <v>7240</v>
      </c>
      <c r="W2505" s="219" t="s">
        <v>67</v>
      </c>
    </row>
    <row r="2506" spans="1:23" ht="15" customHeight="1" x14ac:dyDescent="0.25">
      <c r="A2506" t="s">
        <v>5809</v>
      </c>
      <c r="B2506" t="s">
        <v>546</v>
      </c>
      <c r="C2506">
        <v>37000</v>
      </c>
      <c r="D2506" t="s">
        <v>5810</v>
      </c>
      <c r="E2506" t="s">
        <v>5811</v>
      </c>
      <c r="F2506" t="s">
        <v>554</v>
      </c>
      <c r="G2506" s="30">
        <v>46146</v>
      </c>
      <c r="H2506" t="s">
        <v>5812</v>
      </c>
      <c r="I2506">
        <v>2523600</v>
      </c>
      <c r="J2506" s="123">
        <v>0</v>
      </c>
      <c r="K2506" s="123">
        <v>0</v>
      </c>
      <c r="L2506" s="123">
        <v>0</v>
      </c>
      <c r="M2506">
        <v>0</v>
      </c>
      <c r="N2506">
        <v>0</v>
      </c>
      <c r="O2506">
        <v>0</v>
      </c>
      <c r="P2506" s="216">
        <v>37000</v>
      </c>
      <c r="Q2506" s="217" t="s">
        <v>32</v>
      </c>
      <c r="R2506" s="217" t="s">
        <v>554</v>
      </c>
      <c r="S2506" s="218">
        <v>0.18013948327785703</v>
      </c>
      <c r="T2506" t="s">
        <v>550</v>
      </c>
      <c r="U2506" t="s">
        <v>51</v>
      </c>
      <c r="V2506" s="219" t="s">
        <v>7241</v>
      </c>
      <c r="W2506" s="219" t="s">
        <v>67</v>
      </c>
    </row>
    <row r="2507" spans="1:23" ht="15" customHeight="1" x14ac:dyDescent="0.25">
      <c r="A2507" t="s">
        <v>5813</v>
      </c>
      <c r="B2507" t="s">
        <v>546</v>
      </c>
      <c r="C2507">
        <v>37000</v>
      </c>
      <c r="D2507" t="s">
        <v>5810</v>
      </c>
      <c r="E2507" t="s">
        <v>5811</v>
      </c>
      <c r="F2507" t="s">
        <v>548</v>
      </c>
      <c r="G2507" s="30">
        <v>46149</v>
      </c>
      <c r="H2507" t="s">
        <v>5812</v>
      </c>
      <c r="I2507">
        <v>2523600</v>
      </c>
      <c r="J2507" s="123">
        <v>0</v>
      </c>
      <c r="K2507" s="123">
        <v>0</v>
      </c>
      <c r="L2507" s="123">
        <v>0</v>
      </c>
      <c r="M2507">
        <v>0</v>
      </c>
      <c r="N2507">
        <v>0</v>
      </c>
      <c r="O2507">
        <v>0</v>
      </c>
      <c r="P2507" s="216">
        <v>37000</v>
      </c>
      <c r="Q2507" s="217" t="s">
        <v>32</v>
      </c>
      <c r="R2507" s="217" t="s">
        <v>62</v>
      </c>
      <c r="S2507" s="218">
        <v>0.18013948327785703</v>
      </c>
      <c r="T2507" t="s">
        <v>550</v>
      </c>
      <c r="U2507" t="s">
        <v>51</v>
      </c>
      <c r="V2507" s="219">
        <v>0</v>
      </c>
      <c r="W2507" s="219">
        <v>0</v>
      </c>
    </row>
    <row r="2508" spans="1:23" ht="15" customHeight="1" x14ac:dyDescent="0.25">
      <c r="A2508" t="s">
        <v>5814</v>
      </c>
      <c r="B2508" t="s">
        <v>546</v>
      </c>
      <c r="C2508">
        <v>37000</v>
      </c>
      <c r="D2508" t="s">
        <v>5810</v>
      </c>
      <c r="E2508" t="s">
        <v>5811</v>
      </c>
      <c r="F2508" t="s">
        <v>554</v>
      </c>
      <c r="G2508" s="30">
        <v>46149</v>
      </c>
      <c r="H2508" t="s">
        <v>5812</v>
      </c>
      <c r="I2508">
        <v>2523600</v>
      </c>
      <c r="J2508" s="123">
        <v>0</v>
      </c>
      <c r="K2508" s="123">
        <v>0</v>
      </c>
      <c r="L2508" s="123">
        <v>0</v>
      </c>
      <c r="M2508">
        <v>0</v>
      </c>
      <c r="N2508">
        <v>0</v>
      </c>
      <c r="O2508">
        <v>0</v>
      </c>
      <c r="P2508" s="216">
        <v>37000</v>
      </c>
      <c r="Q2508" s="217" t="s">
        <v>32</v>
      </c>
      <c r="R2508" s="217" t="s">
        <v>554</v>
      </c>
      <c r="S2508" s="218">
        <v>0.18013948327785703</v>
      </c>
      <c r="T2508" t="s">
        <v>550</v>
      </c>
      <c r="U2508" t="s">
        <v>51</v>
      </c>
      <c r="V2508" s="219" t="s">
        <v>7242</v>
      </c>
      <c r="W2508" s="219" t="s">
        <v>67</v>
      </c>
    </row>
    <row r="2509" spans="1:23" ht="15" customHeight="1" x14ac:dyDescent="0.25">
      <c r="A2509" t="s">
        <v>5815</v>
      </c>
      <c r="B2509" t="s">
        <v>546</v>
      </c>
      <c r="C2509">
        <v>20000</v>
      </c>
      <c r="D2509" t="s">
        <v>5816</v>
      </c>
      <c r="E2509" t="s">
        <v>553</v>
      </c>
      <c r="F2509" t="s">
        <v>554</v>
      </c>
      <c r="G2509" s="30">
        <v>46143</v>
      </c>
      <c r="H2509" t="s">
        <v>5817</v>
      </c>
      <c r="I2509">
        <v>4159501.5</v>
      </c>
      <c r="J2509" s="123">
        <v>46143</v>
      </c>
      <c r="K2509" s="123">
        <v>0</v>
      </c>
      <c r="L2509" s="123">
        <v>46143</v>
      </c>
      <c r="M2509">
        <v>0</v>
      </c>
      <c r="N2509">
        <v>0</v>
      </c>
      <c r="O2509" t="s">
        <v>556</v>
      </c>
      <c r="P2509" s="216">
        <v>20000</v>
      </c>
      <c r="Q2509" s="217" t="s">
        <v>29</v>
      </c>
      <c r="R2509" s="217" t="s">
        <v>554</v>
      </c>
      <c r="S2509" s="218">
        <v>0.13219005690946378</v>
      </c>
      <c r="T2509" t="s">
        <v>550</v>
      </c>
      <c r="U2509" t="s">
        <v>51</v>
      </c>
      <c r="V2509" s="219" t="s">
        <v>7243</v>
      </c>
      <c r="W2509" s="219" t="s">
        <v>67</v>
      </c>
    </row>
    <row r="2510" spans="1:23" ht="15" customHeight="1" x14ac:dyDescent="0.25">
      <c r="A2510" t="s">
        <v>5818</v>
      </c>
      <c r="B2510" t="s">
        <v>575</v>
      </c>
      <c r="C2510">
        <v>26636</v>
      </c>
      <c r="D2510" t="s">
        <v>5819</v>
      </c>
      <c r="E2510" t="s">
        <v>5820</v>
      </c>
      <c r="F2510" t="s">
        <v>554</v>
      </c>
      <c r="G2510" s="30">
        <v>46146</v>
      </c>
      <c r="H2510" t="s">
        <v>5821</v>
      </c>
      <c r="I2510">
        <v>1309260.8700000001</v>
      </c>
      <c r="J2510" s="123">
        <v>0</v>
      </c>
      <c r="K2510" s="123">
        <v>0</v>
      </c>
      <c r="L2510" s="123">
        <v>46146</v>
      </c>
      <c r="M2510">
        <v>0</v>
      </c>
      <c r="N2510">
        <v>26636</v>
      </c>
      <c r="O2510">
        <v>0</v>
      </c>
      <c r="P2510" s="216">
        <v>0</v>
      </c>
      <c r="Q2510" s="217" t="s">
        <v>42</v>
      </c>
      <c r="R2510" s="217" t="s">
        <v>554</v>
      </c>
      <c r="S2510" s="218">
        <v>0.17326736420374342</v>
      </c>
      <c r="T2510" t="s">
        <v>550</v>
      </c>
      <c r="U2510" t="s">
        <v>78</v>
      </c>
      <c r="V2510" s="219" t="s">
        <v>7244</v>
      </c>
      <c r="W2510" s="219" t="s">
        <v>67</v>
      </c>
    </row>
    <row r="2511" spans="1:23" ht="15" customHeight="1" x14ac:dyDescent="0.25">
      <c r="A2511" t="s">
        <v>5822</v>
      </c>
      <c r="B2511" t="s">
        <v>575</v>
      </c>
      <c r="C2511">
        <v>281413</v>
      </c>
      <c r="D2511" t="s">
        <v>5823</v>
      </c>
      <c r="E2511" t="s">
        <v>5824</v>
      </c>
      <c r="F2511" t="s">
        <v>554</v>
      </c>
      <c r="G2511" s="30">
        <v>46146</v>
      </c>
      <c r="H2511" t="s">
        <v>5825</v>
      </c>
      <c r="I2511">
        <v>1407063.48</v>
      </c>
      <c r="J2511" s="123">
        <v>0</v>
      </c>
      <c r="K2511" s="123">
        <v>0</v>
      </c>
      <c r="L2511" s="123">
        <v>46145</v>
      </c>
      <c r="M2511">
        <v>0</v>
      </c>
      <c r="N2511">
        <v>0</v>
      </c>
      <c r="O2511">
        <v>0</v>
      </c>
      <c r="P2511" s="216">
        <v>281413</v>
      </c>
      <c r="Q2511" s="217" t="s">
        <v>42</v>
      </c>
      <c r="R2511" s="217" t="s">
        <v>554</v>
      </c>
      <c r="S2511" s="218">
        <v>0.22487471567380884</v>
      </c>
      <c r="T2511" t="s">
        <v>550</v>
      </c>
      <c r="U2511" t="s">
        <v>78</v>
      </c>
      <c r="V2511" s="219" t="s">
        <v>7245</v>
      </c>
      <c r="W2511" s="219" t="s">
        <v>67</v>
      </c>
    </row>
    <row r="2512" spans="1:23" ht="15" customHeight="1" x14ac:dyDescent="0.25">
      <c r="A2512" t="s">
        <v>5826</v>
      </c>
      <c r="B2512" t="s">
        <v>64</v>
      </c>
      <c r="C2512">
        <v>108351.65</v>
      </c>
      <c r="D2512" t="s">
        <v>5827</v>
      </c>
      <c r="E2512" t="s">
        <v>5828</v>
      </c>
      <c r="F2512" t="s">
        <v>554</v>
      </c>
      <c r="G2512" s="30">
        <v>46143</v>
      </c>
      <c r="H2512" t="s">
        <v>5829</v>
      </c>
      <c r="I2512">
        <v>1422278.27</v>
      </c>
      <c r="J2512" s="123">
        <v>0</v>
      </c>
      <c r="K2512" s="123">
        <v>46143</v>
      </c>
      <c r="L2512" s="123">
        <v>0</v>
      </c>
      <c r="M2512">
        <v>0</v>
      </c>
      <c r="N2512">
        <v>0</v>
      </c>
      <c r="O2512" t="s">
        <v>556</v>
      </c>
      <c r="P2512" s="216">
        <v>108351.65</v>
      </c>
      <c r="Q2512" s="217" t="s">
        <v>42</v>
      </c>
      <c r="R2512" s="217" t="s">
        <v>554</v>
      </c>
      <c r="S2512" s="218">
        <v>0.22031669653505992</v>
      </c>
      <c r="T2512" t="s">
        <v>550</v>
      </c>
      <c r="U2512" t="s">
        <v>78</v>
      </c>
      <c r="V2512" s="219" t="s">
        <v>7246</v>
      </c>
      <c r="W2512" s="219" t="s">
        <v>67</v>
      </c>
    </row>
    <row r="2513" spans="1:23" ht="15" customHeight="1" x14ac:dyDescent="0.25">
      <c r="A2513" t="s">
        <v>5830</v>
      </c>
      <c r="B2513" t="s">
        <v>64</v>
      </c>
      <c r="C2513">
        <v>118488.17</v>
      </c>
      <c r="D2513" t="s">
        <v>5831</v>
      </c>
      <c r="E2513" t="s">
        <v>5828</v>
      </c>
      <c r="F2513" t="s">
        <v>554</v>
      </c>
      <c r="G2513" s="30">
        <v>46143</v>
      </c>
      <c r="H2513" t="s">
        <v>5832</v>
      </c>
      <c r="I2513">
        <v>1309260.8700000001</v>
      </c>
      <c r="J2513" s="123">
        <v>0</v>
      </c>
      <c r="K2513" s="123">
        <v>46143</v>
      </c>
      <c r="L2513" s="123">
        <v>0</v>
      </c>
      <c r="M2513">
        <v>0</v>
      </c>
      <c r="N2513">
        <v>0</v>
      </c>
      <c r="O2513" t="s">
        <v>556</v>
      </c>
      <c r="P2513" s="216">
        <v>118488.17</v>
      </c>
      <c r="Q2513" s="217" t="s">
        <v>42</v>
      </c>
      <c r="R2513" s="217" t="s">
        <v>554</v>
      </c>
      <c r="S2513" s="218">
        <v>0.22034430006298131</v>
      </c>
      <c r="T2513" t="s">
        <v>550</v>
      </c>
      <c r="U2513" t="s">
        <v>78</v>
      </c>
      <c r="V2513" s="219" t="s">
        <v>7247</v>
      </c>
      <c r="W2513" s="219" t="s">
        <v>67</v>
      </c>
    </row>
    <row r="2514" spans="1:23" ht="15" customHeight="1" x14ac:dyDescent="0.25">
      <c r="A2514" t="s">
        <v>5833</v>
      </c>
      <c r="B2514" t="s">
        <v>546</v>
      </c>
      <c r="C2514">
        <v>30000</v>
      </c>
      <c r="D2514" t="s">
        <v>5834</v>
      </c>
      <c r="E2514" t="s">
        <v>5835</v>
      </c>
      <c r="F2514" t="s">
        <v>554</v>
      </c>
      <c r="G2514" s="30">
        <v>46149</v>
      </c>
      <c r="H2514" t="s">
        <v>5836</v>
      </c>
      <c r="I2514">
        <v>1460619.53</v>
      </c>
      <c r="J2514" s="123">
        <v>0</v>
      </c>
      <c r="K2514" s="123">
        <v>0</v>
      </c>
      <c r="L2514" s="123">
        <v>0</v>
      </c>
      <c r="M2514">
        <v>0</v>
      </c>
      <c r="N2514">
        <v>0</v>
      </c>
      <c r="O2514">
        <v>0</v>
      </c>
      <c r="P2514" s="216">
        <v>30000</v>
      </c>
      <c r="Q2514" s="217" t="s">
        <v>42</v>
      </c>
      <c r="R2514" s="217" t="s">
        <v>554</v>
      </c>
      <c r="S2514" s="218">
        <v>0.18900336078622748</v>
      </c>
      <c r="T2514" t="s">
        <v>550</v>
      </c>
      <c r="U2514" t="s">
        <v>78</v>
      </c>
      <c r="V2514" s="219" t="s">
        <v>7248</v>
      </c>
      <c r="W2514" s="219" t="s">
        <v>67</v>
      </c>
    </row>
    <row r="2515" spans="1:23" ht="15" customHeight="1" x14ac:dyDescent="0.25">
      <c r="A2515" t="s">
        <v>5837</v>
      </c>
      <c r="B2515" t="s">
        <v>546</v>
      </c>
      <c r="C2515">
        <v>25000</v>
      </c>
      <c r="D2515" t="s">
        <v>5834</v>
      </c>
      <c r="E2515" t="s">
        <v>5835</v>
      </c>
      <c r="F2515" t="s">
        <v>548</v>
      </c>
      <c r="G2515" s="30">
        <v>46149</v>
      </c>
      <c r="H2515" t="s">
        <v>5836</v>
      </c>
      <c r="I2515">
        <v>1460619.53</v>
      </c>
      <c r="J2515" s="123">
        <v>0</v>
      </c>
      <c r="K2515" s="123">
        <v>0</v>
      </c>
      <c r="L2515" s="123">
        <v>0</v>
      </c>
      <c r="M2515">
        <v>0</v>
      </c>
      <c r="N2515">
        <v>0</v>
      </c>
      <c r="O2515">
        <v>0</v>
      </c>
      <c r="P2515" s="216">
        <v>25000</v>
      </c>
      <c r="Q2515" s="217" t="s">
        <v>42</v>
      </c>
      <c r="R2515" s="217" t="s">
        <v>62</v>
      </c>
      <c r="S2515" s="218">
        <v>0.18900336078622748</v>
      </c>
      <c r="T2515" t="s">
        <v>550</v>
      </c>
      <c r="U2515" t="s">
        <v>78</v>
      </c>
      <c r="V2515" s="219">
        <v>0</v>
      </c>
      <c r="W2515" s="219">
        <v>0</v>
      </c>
    </row>
    <row r="2516" spans="1:23" ht="15" customHeight="1" x14ac:dyDescent="0.25">
      <c r="A2516" t="s">
        <v>5838</v>
      </c>
      <c r="B2516" t="s">
        <v>546</v>
      </c>
      <c r="C2516">
        <v>30000</v>
      </c>
      <c r="D2516" t="s">
        <v>5834</v>
      </c>
      <c r="E2516" t="s">
        <v>5835</v>
      </c>
      <c r="F2516" t="s">
        <v>548</v>
      </c>
      <c r="G2516" s="30">
        <v>46149</v>
      </c>
      <c r="H2516" t="s">
        <v>5836</v>
      </c>
      <c r="I2516">
        <v>1460619.53</v>
      </c>
      <c r="J2516" s="123">
        <v>0</v>
      </c>
      <c r="K2516" s="123">
        <v>0</v>
      </c>
      <c r="L2516" s="123">
        <v>0</v>
      </c>
      <c r="M2516">
        <v>0</v>
      </c>
      <c r="N2516">
        <v>0</v>
      </c>
      <c r="O2516">
        <v>0</v>
      </c>
      <c r="P2516" s="216">
        <v>30000</v>
      </c>
      <c r="Q2516" s="217" t="s">
        <v>42</v>
      </c>
      <c r="R2516" s="217" t="s">
        <v>62</v>
      </c>
      <c r="S2516" s="218">
        <v>0.18900336078622748</v>
      </c>
      <c r="T2516" t="s">
        <v>550</v>
      </c>
      <c r="U2516" t="s">
        <v>78</v>
      </c>
      <c r="V2516" s="219">
        <v>0</v>
      </c>
      <c r="W2516" s="219">
        <v>0</v>
      </c>
    </row>
    <row r="2517" spans="1:23" ht="15" customHeight="1" x14ac:dyDescent="0.25">
      <c r="A2517" t="s">
        <v>5839</v>
      </c>
      <c r="B2517" t="s">
        <v>575</v>
      </c>
      <c r="C2517">
        <v>243945</v>
      </c>
      <c r="D2517" t="s">
        <v>5840</v>
      </c>
      <c r="E2517" t="s">
        <v>5841</v>
      </c>
      <c r="F2517" t="s">
        <v>554</v>
      </c>
      <c r="G2517" s="30">
        <v>46147</v>
      </c>
      <c r="H2517" t="s">
        <v>5842</v>
      </c>
      <c r="I2517">
        <v>2439446.4500000002</v>
      </c>
      <c r="J2517" s="123">
        <v>0</v>
      </c>
      <c r="K2517" s="123">
        <v>0</v>
      </c>
      <c r="L2517" s="123">
        <v>46146</v>
      </c>
      <c r="M2517">
        <v>0</v>
      </c>
      <c r="N2517">
        <v>0</v>
      </c>
      <c r="O2517">
        <v>0</v>
      </c>
      <c r="P2517" s="216">
        <v>243945</v>
      </c>
      <c r="Q2517" s="217" t="s">
        <v>42</v>
      </c>
      <c r="R2517" s="217" t="s">
        <v>554</v>
      </c>
      <c r="S2517" s="218">
        <v>0.12000017462978127</v>
      </c>
      <c r="T2517" t="s">
        <v>550</v>
      </c>
      <c r="U2517" t="s">
        <v>78</v>
      </c>
      <c r="V2517" s="219" t="s">
        <v>7249</v>
      </c>
      <c r="W2517" s="219" t="s">
        <v>67</v>
      </c>
    </row>
    <row r="2518" spans="1:23" ht="15" customHeight="1" x14ac:dyDescent="0.25">
      <c r="M2518"/>
      <c r="N2518"/>
      <c r="O2518"/>
      <c r="P2518" s="216"/>
      <c r="Q2518" s="217"/>
      <c r="R2518" s="217"/>
      <c r="S2518" s="218"/>
    </row>
    <row r="2519" spans="1:23" ht="15" customHeight="1" x14ac:dyDescent="0.25">
      <c r="M2519"/>
      <c r="N2519"/>
      <c r="O2519"/>
      <c r="P2519" s="216"/>
      <c r="Q2519" s="217"/>
      <c r="R2519" s="217"/>
      <c r="S2519" s="218"/>
    </row>
    <row r="2520" spans="1:23" ht="15" customHeight="1" x14ac:dyDescent="0.25">
      <c r="M2520"/>
      <c r="N2520"/>
      <c r="O2520"/>
      <c r="P2520" s="216"/>
      <c r="Q2520" s="217"/>
      <c r="R2520" s="217"/>
      <c r="S2520" s="218"/>
    </row>
    <row r="2521" spans="1:23" ht="15" customHeight="1" x14ac:dyDescent="0.25">
      <c r="M2521"/>
      <c r="N2521"/>
      <c r="O2521"/>
      <c r="P2521" s="216"/>
      <c r="Q2521" s="217"/>
      <c r="R2521" s="217"/>
      <c r="S2521" s="218"/>
    </row>
    <row r="2522" spans="1:23" ht="15" customHeight="1" x14ac:dyDescent="0.25">
      <c r="M2522"/>
      <c r="N2522"/>
      <c r="O2522"/>
      <c r="P2522" s="216"/>
      <c r="Q2522" s="217"/>
      <c r="R2522" s="217"/>
      <c r="S2522" s="218"/>
    </row>
    <row r="2523" spans="1:23" ht="15" customHeight="1" x14ac:dyDescent="0.25">
      <c r="M2523"/>
      <c r="N2523"/>
      <c r="O2523"/>
      <c r="P2523" s="216"/>
      <c r="Q2523" s="217"/>
      <c r="R2523" s="217"/>
      <c r="S2523" s="218"/>
    </row>
    <row r="2524" spans="1:23" ht="15" customHeight="1" x14ac:dyDescent="0.25">
      <c r="M2524"/>
      <c r="N2524"/>
      <c r="O2524"/>
      <c r="P2524" s="216"/>
      <c r="Q2524" s="217"/>
      <c r="R2524" s="217"/>
      <c r="S2524" s="218"/>
    </row>
    <row r="2525" spans="1:23" ht="15" customHeight="1" x14ac:dyDescent="0.25">
      <c r="M2525"/>
      <c r="N2525"/>
      <c r="O2525"/>
      <c r="P2525" s="216"/>
      <c r="Q2525" s="217"/>
      <c r="R2525" s="217"/>
      <c r="S2525" s="218"/>
    </row>
    <row r="2526" spans="1:23" ht="15" customHeight="1" x14ac:dyDescent="0.25">
      <c r="M2526"/>
      <c r="N2526"/>
      <c r="O2526"/>
      <c r="P2526" s="216"/>
      <c r="Q2526" s="217"/>
      <c r="R2526" s="217"/>
      <c r="S2526" s="218"/>
    </row>
    <row r="2527" spans="1:23" ht="15" customHeight="1" x14ac:dyDescent="0.25">
      <c r="M2527"/>
      <c r="N2527"/>
      <c r="O2527"/>
      <c r="P2527" s="216"/>
      <c r="Q2527" s="217"/>
      <c r="R2527" s="217"/>
      <c r="S2527" s="218"/>
    </row>
    <row r="2528" spans="1:23" ht="15" customHeight="1" x14ac:dyDescent="0.25">
      <c r="M2528"/>
      <c r="N2528"/>
      <c r="O2528"/>
      <c r="P2528" s="216"/>
      <c r="Q2528" s="217"/>
      <c r="R2528" s="217"/>
      <c r="S2528" s="218"/>
    </row>
    <row r="2529" spans="13:19" ht="15" customHeight="1" x14ac:dyDescent="0.25">
      <c r="M2529"/>
      <c r="N2529"/>
      <c r="O2529"/>
      <c r="P2529" s="216"/>
      <c r="Q2529" s="217"/>
      <c r="R2529" s="217"/>
      <c r="S2529" s="218"/>
    </row>
    <row r="2530" spans="13:19" ht="15" customHeight="1" x14ac:dyDescent="0.25">
      <c r="M2530"/>
      <c r="N2530"/>
      <c r="O2530"/>
      <c r="P2530" s="216"/>
      <c r="Q2530" s="217"/>
      <c r="R2530" s="217"/>
      <c r="S2530" s="218"/>
    </row>
    <row r="2531" spans="13:19" ht="15" customHeight="1" x14ac:dyDescent="0.25">
      <c r="M2531"/>
      <c r="N2531"/>
      <c r="O2531"/>
      <c r="P2531" s="216"/>
      <c r="Q2531" s="217"/>
      <c r="R2531" s="217"/>
      <c r="S2531" s="218"/>
    </row>
    <row r="2532" spans="13:19" ht="15" customHeight="1" x14ac:dyDescent="0.25">
      <c r="M2532"/>
      <c r="N2532"/>
      <c r="O2532"/>
      <c r="P2532" s="216"/>
      <c r="Q2532" s="217"/>
      <c r="R2532" s="217"/>
      <c r="S2532" s="218"/>
    </row>
    <row r="2533" spans="13:19" ht="15" customHeight="1" x14ac:dyDescent="0.25">
      <c r="M2533"/>
      <c r="N2533"/>
      <c r="O2533"/>
      <c r="P2533" s="216"/>
      <c r="Q2533" s="217"/>
      <c r="R2533" s="217"/>
      <c r="S2533" s="218"/>
    </row>
    <row r="2534" spans="13:19" ht="15" customHeight="1" x14ac:dyDescent="0.25">
      <c r="M2534"/>
      <c r="N2534"/>
      <c r="O2534"/>
      <c r="P2534" s="216"/>
      <c r="Q2534" s="217"/>
      <c r="R2534" s="217"/>
      <c r="S2534" s="218"/>
    </row>
    <row r="2535" spans="13:19" ht="15" customHeight="1" x14ac:dyDescent="0.25">
      <c r="M2535"/>
      <c r="N2535"/>
      <c r="O2535"/>
      <c r="P2535" s="216"/>
      <c r="Q2535" s="217"/>
      <c r="R2535" s="217"/>
      <c r="S2535" s="218"/>
    </row>
    <row r="2536" spans="13:19" ht="15" customHeight="1" x14ac:dyDescent="0.25">
      <c r="M2536"/>
      <c r="N2536"/>
      <c r="O2536"/>
      <c r="P2536" s="216"/>
      <c r="Q2536" s="217"/>
      <c r="R2536" s="217"/>
      <c r="S2536" s="218"/>
    </row>
    <row r="2537" spans="13:19" ht="15" customHeight="1" x14ac:dyDescent="0.25">
      <c r="M2537"/>
      <c r="N2537"/>
      <c r="O2537"/>
      <c r="P2537" s="216"/>
      <c r="Q2537" s="217"/>
      <c r="R2537" s="217"/>
      <c r="S2537" s="218"/>
    </row>
    <row r="2538" spans="13:19" ht="15" customHeight="1" x14ac:dyDescent="0.25">
      <c r="M2538"/>
      <c r="N2538"/>
      <c r="O2538"/>
      <c r="P2538" s="216"/>
      <c r="Q2538" s="217"/>
      <c r="R2538" s="217"/>
      <c r="S2538" s="218"/>
    </row>
    <row r="2539" spans="13:19" ht="15" customHeight="1" x14ac:dyDescent="0.25">
      <c r="M2539"/>
      <c r="N2539"/>
      <c r="O2539"/>
      <c r="P2539" s="216"/>
      <c r="Q2539" s="217"/>
      <c r="R2539" s="217"/>
      <c r="S2539" s="218"/>
    </row>
    <row r="2540" spans="13:19" ht="15" customHeight="1" x14ac:dyDescent="0.25">
      <c r="M2540"/>
      <c r="N2540"/>
      <c r="O2540"/>
      <c r="P2540" s="216"/>
      <c r="Q2540" s="217"/>
      <c r="R2540" s="217"/>
      <c r="S2540" s="218"/>
    </row>
    <row r="2541" spans="13:19" ht="15" customHeight="1" x14ac:dyDescent="0.25">
      <c r="M2541"/>
      <c r="N2541"/>
      <c r="O2541"/>
      <c r="P2541" s="216"/>
      <c r="Q2541" s="217"/>
      <c r="R2541" s="217"/>
      <c r="S2541" s="218"/>
    </row>
    <row r="2542" spans="13:19" ht="15" customHeight="1" x14ac:dyDescent="0.25">
      <c r="M2542"/>
      <c r="N2542"/>
      <c r="O2542"/>
      <c r="P2542" s="216"/>
      <c r="Q2542" s="217"/>
      <c r="R2542" s="217"/>
      <c r="S2542" s="218"/>
    </row>
    <row r="2543" spans="13:19" ht="15" customHeight="1" x14ac:dyDescent="0.25">
      <c r="M2543"/>
      <c r="N2543"/>
      <c r="O2543"/>
      <c r="P2543" s="216"/>
      <c r="Q2543" s="217"/>
      <c r="R2543" s="217"/>
      <c r="S2543" s="218"/>
    </row>
    <row r="2544" spans="13:19" ht="15" customHeight="1" x14ac:dyDescent="0.25">
      <c r="M2544"/>
      <c r="N2544"/>
      <c r="O2544"/>
      <c r="P2544" s="216"/>
      <c r="Q2544" s="217"/>
      <c r="R2544" s="217"/>
      <c r="S2544" s="218"/>
    </row>
    <row r="2545" spans="13:19" ht="15" customHeight="1" x14ac:dyDescent="0.25">
      <c r="M2545"/>
      <c r="N2545"/>
      <c r="O2545"/>
      <c r="P2545" s="216"/>
      <c r="Q2545" s="217"/>
      <c r="R2545" s="217"/>
      <c r="S2545" s="218"/>
    </row>
    <row r="2546" spans="13:19" ht="15" customHeight="1" x14ac:dyDescent="0.25">
      <c r="M2546"/>
      <c r="N2546"/>
      <c r="O2546"/>
      <c r="P2546" s="216"/>
      <c r="Q2546" s="217"/>
      <c r="R2546" s="217"/>
      <c r="S2546" s="218"/>
    </row>
    <row r="2547" spans="13:19" ht="15" customHeight="1" x14ac:dyDescent="0.25">
      <c r="M2547"/>
      <c r="N2547"/>
      <c r="O2547"/>
      <c r="P2547" s="216"/>
      <c r="Q2547" s="217"/>
      <c r="R2547" s="217"/>
      <c r="S2547" s="218"/>
    </row>
    <row r="2548" spans="13:19" ht="15" customHeight="1" x14ac:dyDescent="0.25">
      <c r="M2548"/>
      <c r="N2548"/>
      <c r="O2548"/>
      <c r="P2548" s="216"/>
      <c r="Q2548" s="217"/>
      <c r="R2548" s="217"/>
      <c r="S2548" s="218"/>
    </row>
    <row r="2549" spans="13:19" ht="15" customHeight="1" x14ac:dyDescent="0.25">
      <c r="M2549"/>
      <c r="N2549"/>
      <c r="O2549"/>
      <c r="P2549" s="216"/>
      <c r="Q2549" s="217"/>
      <c r="R2549" s="217"/>
      <c r="S2549" s="218"/>
    </row>
    <row r="2550" spans="13:19" ht="15" customHeight="1" x14ac:dyDescent="0.25">
      <c r="M2550"/>
      <c r="N2550"/>
      <c r="O2550"/>
      <c r="P2550" s="216"/>
      <c r="Q2550" s="217"/>
      <c r="R2550" s="217"/>
      <c r="S2550" s="218"/>
    </row>
    <row r="2551" spans="13:19" ht="15" customHeight="1" x14ac:dyDescent="0.25">
      <c r="M2551"/>
      <c r="N2551"/>
      <c r="O2551"/>
      <c r="P2551" s="216"/>
      <c r="Q2551" s="217"/>
      <c r="R2551" s="217"/>
      <c r="S2551" s="218"/>
    </row>
    <row r="2552" spans="13:19" ht="15" customHeight="1" x14ac:dyDescent="0.25">
      <c r="M2552"/>
      <c r="N2552"/>
      <c r="O2552"/>
      <c r="P2552" s="216"/>
      <c r="Q2552" s="217"/>
      <c r="R2552" s="217"/>
      <c r="S2552" s="218"/>
    </row>
    <row r="2553" spans="13:19" ht="15" customHeight="1" x14ac:dyDescent="0.25">
      <c r="M2553"/>
      <c r="N2553"/>
      <c r="O2553"/>
      <c r="P2553" s="216"/>
      <c r="Q2553" s="217"/>
      <c r="R2553" s="217"/>
      <c r="S2553" s="218"/>
    </row>
    <row r="2554" spans="13:19" ht="15" customHeight="1" x14ac:dyDescent="0.25">
      <c r="M2554"/>
      <c r="N2554"/>
      <c r="O2554"/>
      <c r="P2554" s="216"/>
      <c r="Q2554" s="217"/>
      <c r="R2554" s="217"/>
      <c r="S2554" s="218"/>
    </row>
    <row r="2555" spans="13:19" ht="15" customHeight="1" x14ac:dyDescent="0.25">
      <c r="M2555"/>
      <c r="N2555"/>
      <c r="O2555"/>
      <c r="P2555" s="216"/>
      <c r="Q2555" s="217"/>
      <c r="R2555" s="217"/>
      <c r="S2555" s="218"/>
    </row>
    <row r="2556" spans="13:19" ht="15" customHeight="1" x14ac:dyDescent="0.25">
      <c r="M2556"/>
      <c r="N2556"/>
      <c r="O2556"/>
      <c r="P2556" s="216"/>
      <c r="Q2556" s="217"/>
      <c r="R2556" s="217"/>
      <c r="S2556" s="218"/>
    </row>
    <row r="2557" spans="13:19" ht="15" customHeight="1" x14ac:dyDescent="0.25">
      <c r="M2557"/>
      <c r="N2557"/>
      <c r="O2557"/>
      <c r="P2557" s="216"/>
      <c r="Q2557" s="217"/>
      <c r="R2557" s="217"/>
      <c r="S2557" s="218"/>
    </row>
    <row r="2558" spans="13:19" ht="15" customHeight="1" x14ac:dyDescent="0.25">
      <c r="M2558"/>
      <c r="N2558"/>
      <c r="O2558"/>
      <c r="P2558" s="216"/>
      <c r="Q2558" s="217"/>
      <c r="R2558" s="217"/>
      <c r="S2558" s="218"/>
    </row>
    <row r="2559" spans="13:19" ht="15" customHeight="1" x14ac:dyDescent="0.25">
      <c r="M2559"/>
      <c r="N2559"/>
      <c r="O2559"/>
      <c r="P2559" s="216"/>
      <c r="Q2559" s="217"/>
      <c r="R2559" s="217"/>
      <c r="S2559" s="218"/>
    </row>
    <row r="2560" spans="13:19" ht="15" customHeight="1" x14ac:dyDescent="0.25">
      <c r="M2560"/>
      <c r="N2560"/>
      <c r="O2560"/>
      <c r="P2560" s="216"/>
      <c r="Q2560" s="217"/>
      <c r="R2560" s="217"/>
      <c r="S2560" s="218"/>
    </row>
    <row r="2561" spans="13:19" ht="15" customHeight="1" x14ac:dyDescent="0.25">
      <c r="M2561"/>
      <c r="N2561"/>
      <c r="O2561"/>
      <c r="P2561" s="216"/>
      <c r="Q2561" s="217"/>
      <c r="R2561" s="217"/>
      <c r="S2561" s="218"/>
    </row>
    <row r="2562" spans="13:19" ht="15" customHeight="1" x14ac:dyDescent="0.25">
      <c r="M2562"/>
      <c r="N2562"/>
      <c r="O2562"/>
      <c r="P2562" s="216"/>
      <c r="Q2562" s="217"/>
      <c r="R2562" s="217"/>
      <c r="S2562" s="218"/>
    </row>
    <row r="2563" spans="13:19" ht="15" customHeight="1" x14ac:dyDescent="0.25">
      <c r="M2563"/>
      <c r="N2563"/>
      <c r="O2563"/>
      <c r="P2563" s="216"/>
      <c r="Q2563" s="217"/>
      <c r="R2563" s="217"/>
      <c r="S2563" s="218"/>
    </row>
    <row r="2564" spans="13:19" ht="15" customHeight="1" x14ac:dyDescent="0.25">
      <c r="M2564"/>
      <c r="N2564"/>
      <c r="O2564"/>
      <c r="P2564" s="216"/>
      <c r="Q2564" s="217"/>
      <c r="R2564" s="217"/>
      <c r="S2564" s="218"/>
    </row>
    <row r="2565" spans="13:19" ht="15" customHeight="1" x14ac:dyDescent="0.25">
      <c r="M2565"/>
      <c r="N2565"/>
      <c r="O2565"/>
      <c r="P2565" s="216"/>
      <c r="Q2565" s="217"/>
      <c r="R2565" s="217"/>
      <c r="S2565" s="218"/>
    </row>
    <row r="2566" spans="13:19" ht="15" customHeight="1" x14ac:dyDescent="0.25">
      <c r="M2566"/>
      <c r="N2566"/>
      <c r="O2566"/>
      <c r="P2566" s="216"/>
      <c r="Q2566" s="217"/>
      <c r="R2566" s="217"/>
      <c r="S2566" s="218"/>
    </row>
    <row r="2567" spans="13:19" ht="15" customHeight="1" x14ac:dyDescent="0.25">
      <c r="M2567"/>
      <c r="N2567"/>
      <c r="O2567"/>
      <c r="P2567" s="216"/>
      <c r="Q2567" s="217"/>
      <c r="R2567" s="217"/>
      <c r="S2567" s="218"/>
    </row>
    <row r="2568" spans="13:19" ht="15" customHeight="1" x14ac:dyDescent="0.25">
      <c r="M2568"/>
      <c r="N2568"/>
      <c r="O2568"/>
      <c r="P2568" s="216"/>
      <c r="Q2568" s="217"/>
      <c r="R2568" s="217"/>
      <c r="S2568" s="218"/>
    </row>
    <row r="2569" spans="13:19" ht="15" customHeight="1" x14ac:dyDescent="0.25">
      <c r="M2569"/>
      <c r="N2569"/>
      <c r="O2569"/>
      <c r="P2569" s="216"/>
      <c r="Q2569" s="217"/>
      <c r="R2569" s="217"/>
      <c r="S2569" s="218"/>
    </row>
    <row r="2570" spans="13:19" ht="15" customHeight="1" x14ac:dyDescent="0.25">
      <c r="M2570"/>
      <c r="N2570"/>
      <c r="O2570"/>
      <c r="P2570" s="216"/>
      <c r="Q2570" s="217"/>
      <c r="R2570" s="217"/>
      <c r="S2570" s="218"/>
    </row>
    <row r="2571" spans="13:19" ht="15" customHeight="1" x14ac:dyDescent="0.25">
      <c r="M2571"/>
      <c r="N2571"/>
      <c r="O2571"/>
      <c r="P2571" s="216"/>
      <c r="Q2571" s="217"/>
      <c r="R2571" s="217"/>
      <c r="S2571" s="218"/>
    </row>
    <row r="2572" spans="13:19" ht="15" customHeight="1" x14ac:dyDescent="0.25">
      <c r="M2572"/>
      <c r="N2572"/>
      <c r="O2572"/>
      <c r="P2572" s="216"/>
      <c r="Q2572" s="217"/>
      <c r="R2572" s="217"/>
      <c r="S2572" s="218"/>
    </row>
    <row r="2573" spans="13:19" ht="15" customHeight="1" x14ac:dyDescent="0.25">
      <c r="M2573"/>
      <c r="N2573"/>
      <c r="O2573"/>
      <c r="P2573" s="216"/>
      <c r="Q2573" s="217"/>
      <c r="R2573" s="217"/>
      <c r="S2573" s="218"/>
    </row>
    <row r="2574" spans="13:19" ht="15" customHeight="1" x14ac:dyDescent="0.25">
      <c r="M2574"/>
      <c r="N2574"/>
      <c r="O2574"/>
      <c r="P2574" s="216"/>
      <c r="Q2574" s="217"/>
      <c r="R2574" s="217"/>
      <c r="S2574" s="218"/>
    </row>
    <row r="2575" spans="13:19" ht="15" customHeight="1" x14ac:dyDescent="0.25">
      <c r="M2575"/>
      <c r="N2575"/>
      <c r="O2575"/>
      <c r="P2575" s="216"/>
      <c r="Q2575" s="217"/>
      <c r="R2575" s="217"/>
      <c r="S2575" s="218"/>
    </row>
    <row r="2576" spans="13:19" ht="15" customHeight="1" x14ac:dyDescent="0.25">
      <c r="M2576"/>
      <c r="N2576"/>
      <c r="O2576"/>
      <c r="P2576" s="216"/>
      <c r="Q2576" s="217"/>
      <c r="R2576" s="217"/>
      <c r="S2576" s="218"/>
    </row>
    <row r="2577" spans="13:19" ht="15" customHeight="1" x14ac:dyDescent="0.25">
      <c r="M2577"/>
      <c r="N2577"/>
      <c r="O2577"/>
      <c r="P2577" s="216"/>
      <c r="Q2577" s="217"/>
      <c r="R2577" s="217"/>
      <c r="S2577" s="218"/>
    </row>
    <row r="2578" spans="13:19" ht="15" customHeight="1" x14ac:dyDescent="0.25">
      <c r="M2578"/>
      <c r="N2578"/>
      <c r="O2578"/>
      <c r="P2578" s="216"/>
      <c r="Q2578" s="217"/>
      <c r="R2578" s="217"/>
      <c r="S2578" s="218"/>
    </row>
    <row r="2579" spans="13:19" ht="15" customHeight="1" x14ac:dyDescent="0.25">
      <c r="M2579"/>
      <c r="N2579"/>
      <c r="O2579"/>
      <c r="P2579" s="216"/>
      <c r="Q2579" s="217"/>
      <c r="R2579" s="217"/>
      <c r="S2579" s="218"/>
    </row>
    <row r="2580" spans="13:19" ht="15" customHeight="1" x14ac:dyDescent="0.25">
      <c r="M2580"/>
      <c r="N2580"/>
      <c r="O2580"/>
      <c r="P2580" s="216"/>
      <c r="Q2580" s="217"/>
      <c r="R2580" s="217"/>
      <c r="S2580" s="218"/>
    </row>
    <row r="2581" spans="13:19" ht="15" customHeight="1" x14ac:dyDescent="0.25">
      <c r="M2581"/>
      <c r="N2581"/>
      <c r="O2581"/>
      <c r="P2581" s="216"/>
      <c r="Q2581" s="217"/>
      <c r="R2581" s="217"/>
      <c r="S2581" s="218"/>
    </row>
    <row r="2582" spans="13:19" ht="15" customHeight="1" x14ac:dyDescent="0.25">
      <c r="M2582"/>
      <c r="N2582"/>
      <c r="O2582"/>
      <c r="P2582" s="216"/>
      <c r="Q2582" s="217"/>
      <c r="R2582" s="217"/>
      <c r="S2582" s="218"/>
    </row>
    <row r="2583" spans="13:19" ht="15" customHeight="1" x14ac:dyDescent="0.25">
      <c r="M2583"/>
      <c r="N2583"/>
      <c r="O2583"/>
      <c r="P2583" s="216"/>
      <c r="Q2583" s="217"/>
      <c r="R2583" s="217"/>
      <c r="S2583" s="218"/>
    </row>
    <row r="2584" spans="13:19" ht="15" customHeight="1" x14ac:dyDescent="0.25">
      <c r="M2584"/>
      <c r="N2584"/>
      <c r="O2584"/>
      <c r="P2584" s="216"/>
      <c r="Q2584" s="217"/>
      <c r="R2584" s="217"/>
      <c r="S2584" s="218"/>
    </row>
    <row r="2585" spans="13:19" ht="15" customHeight="1" x14ac:dyDescent="0.25">
      <c r="M2585"/>
      <c r="N2585"/>
      <c r="O2585"/>
      <c r="P2585" s="216"/>
      <c r="Q2585" s="217"/>
      <c r="R2585" s="217"/>
      <c r="S2585" s="218"/>
    </row>
    <row r="2586" spans="13:19" ht="15" customHeight="1" x14ac:dyDescent="0.25">
      <c r="M2586"/>
      <c r="N2586"/>
      <c r="O2586"/>
      <c r="P2586" s="216"/>
      <c r="Q2586" s="217"/>
      <c r="R2586" s="217"/>
      <c r="S2586" s="218"/>
    </row>
    <row r="2587" spans="13:19" ht="15" customHeight="1" x14ac:dyDescent="0.25">
      <c r="M2587"/>
      <c r="N2587"/>
      <c r="O2587"/>
      <c r="P2587" s="216"/>
      <c r="Q2587" s="217"/>
      <c r="R2587" s="217"/>
      <c r="S2587" s="218"/>
    </row>
    <row r="2588" spans="13:19" ht="15" customHeight="1" x14ac:dyDescent="0.25">
      <c r="M2588"/>
      <c r="N2588"/>
      <c r="O2588"/>
      <c r="P2588" s="216"/>
      <c r="Q2588" s="217"/>
      <c r="R2588" s="217"/>
      <c r="S2588" s="218"/>
    </row>
    <row r="2589" spans="13:19" ht="15" customHeight="1" x14ac:dyDescent="0.25">
      <c r="M2589"/>
      <c r="N2589"/>
      <c r="O2589"/>
      <c r="P2589" s="216"/>
      <c r="Q2589" s="217"/>
      <c r="R2589" s="217"/>
      <c r="S2589" s="218"/>
    </row>
    <row r="2590" spans="13:19" ht="15" customHeight="1" x14ac:dyDescent="0.25">
      <c r="M2590"/>
      <c r="N2590"/>
      <c r="O2590"/>
      <c r="P2590" s="216"/>
      <c r="Q2590" s="217"/>
      <c r="R2590" s="217"/>
      <c r="S2590" s="218"/>
    </row>
    <row r="2591" spans="13:19" ht="15" customHeight="1" x14ac:dyDescent="0.25">
      <c r="M2591"/>
      <c r="N2591"/>
      <c r="O2591"/>
      <c r="P2591" s="216"/>
      <c r="Q2591" s="217"/>
      <c r="R2591" s="217"/>
      <c r="S2591" s="218"/>
    </row>
    <row r="2592" spans="13:19" ht="15" customHeight="1" x14ac:dyDescent="0.25">
      <c r="M2592"/>
      <c r="N2592"/>
      <c r="O2592"/>
      <c r="P2592" s="216"/>
      <c r="Q2592" s="217"/>
      <c r="R2592" s="217"/>
      <c r="S2592" s="218"/>
    </row>
    <row r="2593" spans="13:19" ht="15" customHeight="1" x14ac:dyDescent="0.25">
      <c r="M2593"/>
      <c r="N2593"/>
      <c r="O2593"/>
      <c r="P2593" s="216"/>
      <c r="Q2593" s="217"/>
      <c r="R2593" s="217"/>
      <c r="S2593" s="218"/>
    </row>
    <row r="2594" spans="13:19" ht="15" customHeight="1" x14ac:dyDescent="0.25">
      <c r="M2594"/>
      <c r="N2594"/>
      <c r="O2594"/>
      <c r="P2594" s="216"/>
      <c r="Q2594" s="217"/>
      <c r="R2594" s="217"/>
      <c r="S2594" s="218"/>
    </row>
    <row r="2595" spans="13:19" ht="15" customHeight="1" x14ac:dyDescent="0.25">
      <c r="M2595"/>
      <c r="N2595"/>
      <c r="O2595"/>
      <c r="P2595" s="216"/>
      <c r="Q2595" s="217"/>
      <c r="R2595" s="217"/>
      <c r="S2595" s="218"/>
    </row>
    <row r="2596" spans="13:19" ht="15" customHeight="1" x14ac:dyDescent="0.25">
      <c r="M2596"/>
      <c r="N2596"/>
      <c r="O2596"/>
      <c r="P2596" s="216"/>
      <c r="Q2596" s="217"/>
      <c r="R2596" s="217"/>
      <c r="S2596" s="218"/>
    </row>
    <row r="2597" spans="13:19" ht="15" customHeight="1" x14ac:dyDescent="0.25">
      <c r="M2597"/>
      <c r="N2597"/>
      <c r="O2597"/>
      <c r="P2597" s="216"/>
      <c r="Q2597" s="217"/>
      <c r="R2597" s="217"/>
      <c r="S2597" s="218"/>
    </row>
    <row r="2598" spans="13:19" ht="15" customHeight="1" x14ac:dyDescent="0.25">
      <c r="M2598"/>
      <c r="N2598"/>
      <c r="O2598"/>
      <c r="P2598" s="216"/>
      <c r="Q2598" s="217"/>
      <c r="R2598" s="217"/>
      <c r="S2598" s="218"/>
    </row>
    <row r="2599" spans="13:19" ht="15" customHeight="1" x14ac:dyDescent="0.25">
      <c r="M2599"/>
      <c r="N2599"/>
      <c r="O2599"/>
      <c r="P2599" s="216"/>
      <c r="Q2599" s="217"/>
      <c r="R2599" s="217"/>
      <c r="S2599" s="218"/>
    </row>
    <row r="2600" spans="13:19" ht="15" customHeight="1" x14ac:dyDescent="0.25">
      <c r="M2600"/>
      <c r="N2600"/>
      <c r="O2600"/>
      <c r="P2600" s="216"/>
      <c r="Q2600" s="217"/>
      <c r="R2600" s="217"/>
      <c r="S2600" s="218"/>
    </row>
    <row r="2601" spans="13:19" ht="15" customHeight="1" x14ac:dyDescent="0.25">
      <c r="M2601"/>
      <c r="N2601"/>
      <c r="O2601"/>
      <c r="P2601" s="216"/>
      <c r="Q2601" s="217"/>
      <c r="R2601" s="217"/>
      <c r="S2601" s="218"/>
    </row>
    <row r="2602" spans="13:19" ht="15" customHeight="1" x14ac:dyDescent="0.25">
      <c r="M2602"/>
      <c r="N2602"/>
      <c r="O2602"/>
      <c r="P2602" s="216"/>
      <c r="Q2602" s="217"/>
      <c r="R2602" s="217"/>
      <c r="S2602" s="218"/>
    </row>
    <row r="2603" spans="13:19" ht="15" customHeight="1" x14ac:dyDescent="0.25">
      <c r="M2603"/>
      <c r="N2603"/>
      <c r="O2603"/>
      <c r="P2603" s="216"/>
      <c r="Q2603" s="217"/>
      <c r="R2603" s="217"/>
      <c r="S2603" s="218"/>
    </row>
    <row r="2604" spans="13:19" ht="15" customHeight="1" x14ac:dyDescent="0.25">
      <c r="M2604"/>
      <c r="N2604"/>
      <c r="O2604"/>
      <c r="P2604" s="216"/>
      <c r="Q2604" s="217"/>
      <c r="R2604" s="217"/>
      <c r="S2604" s="218"/>
    </row>
    <row r="2605" spans="13:19" ht="15" customHeight="1" x14ac:dyDescent="0.25">
      <c r="M2605"/>
      <c r="N2605"/>
      <c r="O2605"/>
      <c r="P2605" s="216"/>
      <c r="Q2605" s="217"/>
      <c r="R2605" s="217"/>
      <c r="S2605" s="218"/>
    </row>
    <row r="2606" spans="13:19" ht="15" customHeight="1" x14ac:dyDescent="0.25">
      <c r="M2606"/>
      <c r="N2606"/>
      <c r="O2606"/>
      <c r="P2606" s="216"/>
      <c r="Q2606" s="217"/>
      <c r="R2606" s="217"/>
      <c r="S2606" s="218"/>
    </row>
    <row r="2607" spans="13:19" ht="15" customHeight="1" x14ac:dyDescent="0.25">
      <c r="M2607"/>
      <c r="N2607"/>
      <c r="O2607"/>
      <c r="P2607" s="216"/>
      <c r="Q2607" s="217"/>
      <c r="R2607" s="217"/>
      <c r="S2607" s="218"/>
    </row>
    <row r="2608" spans="13:19" ht="15" customHeight="1" x14ac:dyDescent="0.25">
      <c r="M2608"/>
      <c r="N2608"/>
      <c r="O2608"/>
      <c r="P2608" s="216"/>
      <c r="Q2608" s="217"/>
      <c r="R2608" s="217"/>
      <c r="S2608" s="218"/>
    </row>
    <row r="2609" spans="13:19" ht="15" customHeight="1" x14ac:dyDescent="0.25">
      <c r="M2609"/>
      <c r="N2609"/>
      <c r="O2609"/>
      <c r="P2609" s="216"/>
      <c r="Q2609" s="217"/>
      <c r="R2609" s="217"/>
      <c r="S2609" s="218"/>
    </row>
    <row r="2610" spans="13:19" ht="15" customHeight="1" x14ac:dyDescent="0.25">
      <c r="M2610"/>
      <c r="N2610"/>
      <c r="O2610"/>
      <c r="P2610" s="216"/>
      <c r="Q2610" s="217"/>
      <c r="R2610" s="217"/>
      <c r="S2610" s="218"/>
    </row>
    <row r="2611" spans="13:19" ht="15" customHeight="1" x14ac:dyDescent="0.25">
      <c r="M2611"/>
      <c r="N2611"/>
      <c r="O2611"/>
      <c r="P2611" s="216"/>
      <c r="Q2611" s="217"/>
      <c r="R2611" s="217"/>
      <c r="S2611" s="218"/>
    </row>
    <row r="2612" spans="13:19" ht="15" customHeight="1" x14ac:dyDescent="0.25">
      <c r="M2612"/>
      <c r="N2612"/>
      <c r="O2612"/>
      <c r="P2612" s="216"/>
      <c r="Q2612" s="217"/>
      <c r="R2612" s="217"/>
      <c r="S2612" s="218"/>
    </row>
    <row r="2613" spans="13:19" ht="15" customHeight="1" x14ac:dyDescent="0.25">
      <c r="M2613"/>
      <c r="N2613"/>
      <c r="O2613"/>
      <c r="P2613" s="216"/>
      <c r="Q2613" s="217"/>
      <c r="R2613" s="217"/>
      <c r="S2613" s="218"/>
    </row>
    <row r="2614" spans="13:19" ht="15" customHeight="1" x14ac:dyDescent="0.25">
      <c r="M2614"/>
      <c r="N2614"/>
      <c r="O2614"/>
      <c r="P2614" s="216"/>
      <c r="Q2614" s="217"/>
      <c r="R2614" s="217"/>
      <c r="S2614" s="218"/>
    </row>
    <row r="2615" spans="13:19" ht="15" customHeight="1" x14ac:dyDescent="0.25">
      <c r="M2615"/>
      <c r="N2615"/>
      <c r="O2615"/>
      <c r="P2615" s="216"/>
      <c r="Q2615" s="217"/>
      <c r="R2615" s="217"/>
      <c r="S2615" s="218"/>
    </row>
    <row r="2616" spans="13:19" ht="15" customHeight="1" x14ac:dyDescent="0.25">
      <c r="M2616"/>
      <c r="N2616"/>
      <c r="O2616"/>
      <c r="P2616" s="216"/>
      <c r="Q2616" s="217"/>
      <c r="R2616" s="217"/>
      <c r="S2616" s="218"/>
    </row>
    <row r="2617" spans="13:19" ht="15" customHeight="1" x14ac:dyDescent="0.25">
      <c r="M2617"/>
      <c r="N2617"/>
      <c r="O2617"/>
      <c r="P2617" s="216"/>
      <c r="Q2617" s="217"/>
      <c r="R2617" s="217"/>
      <c r="S2617" s="218"/>
    </row>
    <row r="2618" spans="13:19" ht="15" customHeight="1" x14ac:dyDescent="0.25">
      <c r="M2618"/>
      <c r="N2618"/>
      <c r="O2618"/>
      <c r="P2618" s="216"/>
      <c r="Q2618" s="217"/>
      <c r="R2618" s="217"/>
      <c r="S2618" s="218"/>
    </row>
    <row r="2619" spans="13:19" ht="15" customHeight="1" x14ac:dyDescent="0.25">
      <c r="M2619"/>
      <c r="N2619"/>
      <c r="O2619"/>
      <c r="P2619" s="216"/>
      <c r="Q2619" s="217"/>
      <c r="R2619" s="217"/>
      <c r="S2619" s="218"/>
    </row>
    <row r="2620" spans="13:19" ht="15" customHeight="1" x14ac:dyDescent="0.25">
      <c r="M2620"/>
      <c r="N2620"/>
      <c r="O2620"/>
      <c r="P2620" s="216"/>
      <c r="Q2620" s="217"/>
      <c r="R2620" s="217"/>
      <c r="S2620" s="218"/>
    </row>
    <row r="2621" spans="13:19" ht="15" customHeight="1" x14ac:dyDescent="0.25">
      <c r="M2621"/>
      <c r="N2621"/>
      <c r="O2621"/>
      <c r="P2621" s="216"/>
      <c r="Q2621" s="217"/>
      <c r="R2621" s="217"/>
      <c r="S2621" s="218"/>
    </row>
    <row r="2622" spans="13:19" ht="15" customHeight="1" x14ac:dyDescent="0.25">
      <c r="M2622"/>
      <c r="N2622"/>
      <c r="O2622"/>
      <c r="P2622" s="216"/>
      <c r="Q2622" s="217"/>
      <c r="R2622" s="217"/>
      <c r="S2622" s="218"/>
    </row>
    <row r="2623" spans="13:19" ht="15" customHeight="1" x14ac:dyDescent="0.25">
      <c r="M2623"/>
      <c r="N2623"/>
      <c r="O2623"/>
      <c r="P2623" s="216"/>
      <c r="Q2623" s="217"/>
      <c r="R2623" s="217"/>
      <c r="S2623" s="218"/>
    </row>
    <row r="2624" spans="13:19" ht="15" customHeight="1" x14ac:dyDescent="0.25">
      <c r="M2624"/>
      <c r="N2624"/>
      <c r="O2624"/>
      <c r="P2624" s="216"/>
      <c r="Q2624" s="217"/>
      <c r="R2624" s="217"/>
      <c r="S2624" s="218"/>
    </row>
    <row r="2625" spans="13:19" ht="15" customHeight="1" x14ac:dyDescent="0.25">
      <c r="M2625"/>
      <c r="N2625"/>
      <c r="O2625"/>
      <c r="P2625" s="216"/>
      <c r="Q2625" s="217"/>
      <c r="R2625" s="217"/>
      <c r="S2625" s="218"/>
    </row>
    <row r="2626" spans="13:19" ht="15" customHeight="1" x14ac:dyDescent="0.25">
      <c r="M2626"/>
      <c r="N2626"/>
      <c r="O2626"/>
      <c r="P2626" s="216"/>
      <c r="Q2626" s="217"/>
      <c r="R2626" s="217"/>
      <c r="S2626" s="218"/>
    </row>
    <row r="2627" spans="13:19" ht="15" customHeight="1" x14ac:dyDescent="0.25">
      <c r="M2627"/>
      <c r="N2627"/>
      <c r="O2627"/>
      <c r="P2627" s="216"/>
      <c r="Q2627" s="217"/>
      <c r="R2627" s="217"/>
      <c r="S2627" s="218"/>
    </row>
    <row r="2628" spans="13:19" ht="15" customHeight="1" x14ac:dyDescent="0.25">
      <c r="M2628"/>
      <c r="N2628"/>
      <c r="O2628"/>
      <c r="P2628" s="216"/>
      <c r="Q2628" s="217"/>
      <c r="R2628" s="217"/>
      <c r="S2628" s="218"/>
    </row>
    <row r="2629" spans="13:19" ht="15" customHeight="1" x14ac:dyDescent="0.25">
      <c r="M2629"/>
      <c r="N2629"/>
      <c r="O2629"/>
      <c r="P2629" s="216"/>
      <c r="Q2629" s="217"/>
      <c r="R2629" s="217"/>
      <c r="S2629" s="218"/>
    </row>
    <row r="2630" spans="13:19" ht="15" customHeight="1" x14ac:dyDescent="0.25">
      <c r="M2630"/>
      <c r="N2630"/>
      <c r="O2630"/>
      <c r="P2630" s="216"/>
      <c r="Q2630" s="217"/>
      <c r="R2630" s="217"/>
      <c r="S2630" s="218"/>
    </row>
    <row r="2631" spans="13:19" ht="15" customHeight="1" x14ac:dyDescent="0.25">
      <c r="M2631"/>
      <c r="N2631"/>
      <c r="O2631"/>
      <c r="P2631" s="216"/>
      <c r="Q2631" s="217"/>
      <c r="R2631" s="217"/>
      <c r="S2631" s="218"/>
    </row>
    <row r="2632" spans="13:19" ht="15" customHeight="1" x14ac:dyDescent="0.25">
      <c r="M2632"/>
      <c r="N2632"/>
      <c r="O2632"/>
      <c r="P2632" s="216"/>
      <c r="Q2632" s="217"/>
      <c r="R2632" s="217"/>
      <c r="S2632" s="218"/>
    </row>
    <row r="2633" spans="13:19" ht="15" customHeight="1" x14ac:dyDescent="0.25">
      <c r="M2633"/>
      <c r="N2633"/>
      <c r="O2633"/>
      <c r="P2633" s="216"/>
      <c r="Q2633" s="217"/>
      <c r="R2633" s="217"/>
      <c r="S2633" s="218"/>
    </row>
    <row r="2634" spans="13:19" ht="15" customHeight="1" x14ac:dyDescent="0.25">
      <c r="M2634"/>
      <c r="N2634"/>
      <c r="O2634"/>
      <c r="P2634" s="216"/>
      <c r="Q2634" s="217"/>
      <c r="R2634" s="217"/>
      <c r="S2634" s="218"/>
    </row>
    <row r="2635" spans="13:19" ht="15" customHeight="1" x14ac:dyDescent="0.25">
      <c r="M2635"/>
      <c r="N2635"/>
      <c r="O2635"/>
      <c r="P2635" s="216"/>
      <c r="Q2635" s="217"/>
      <c r="R2635" s="217"/>
      <c r="S2635" s="218"/>
    </row>
    <row r="2636" spans="13:19" ht="15" customHeight="1" x14ac:dyDescent="0.25">
      <c r="M2636"/>
      <c r="N2636"/>
      <c r="O2636"/>
      <c r="P2636" s="216"/>
      <c r="Q2636" s="217"/>
      <c r="R2636" s="217"/>
      <c r="S2636" s="218"/>
    </row>
    <row r="2637" spans="13:19" ht="15" customHeight="1" x14ac:dyDescent="0.25">
      <c r="M2637"/>
      <c r="N2637"/>
      <c r="O2637"/>
      <c r="P2637" s="216"/>
      <c r="Q2637" s="217"/>
      <c r="R2637" s="217"/>
      <c r="S2637" s="218"/>
    </row>
    <row r="2638" spans="13:19" ht="15" customHeight="1" x14ac:dyDescent="0.25">
      <c r="M2638"/>
      <c r="N2638"/>
      <c r="O2638"/>
      <c r="P2638" s="216"/>
      <c r="Q2638" s="217"/>
      <c r="R2638" s="217"/>
      <c r="S2638" s="218"/>
    </row>
    <row r="2639" spans="13:19" ht="15" customHeight="1" x14ac:dyDescent="0.25">
      <c r="M2639"/>
      <c r="N2639"/>
      <c r="O2639"/>
      <c r="P2639" s="216"/>
      <c r="Q2639" s="217"/>
      <c r="R2639" s="217"/>
      <c r="S2639" s="218"/>
    </row>
    <row r="2640" spans="13:19" ht="15" customHeight="1" x14ac:dyDescent="0.25">
      <c r="M2640"/>
      <c r="N2640"/>
      <c r="O2640"/>
      <c r="P2640" s="216"/>
      <c r="Q2640" s="217"/>
      <c r="R2640" s="217"/>
      <c r="S2640" s="218"/>
    </row>
    <row r="2641" spans="13:19" ht="15" customHeight="1" x14ac:dyDescent="0.25">
      <c r="M2641"/>
      <c r="N2641"/>
      <c r="O2641"/>
      <c r="P2641" s="216"/>
      <c r="Q2641" s="217"/>
      <c r="R2641" s="217"/>
      <c r="S2641" s="218"/>
    </row>
    <row r="2642" spans="13:19" ht="15" customHeight="1" x14ac:dyDescent="0.25">
      <c r="M2642"/>
      <c r="N2642"/>
      <c r="O2642"/>
      <c r="P2642" s="216"/>
      <c r="Q2642" s="217"/>
      <c r="R2642" s="217"/>
      <c r="S2642" s="218"/>
    </row>
    <row r="2643" spans="13:19" ht="15" customHeight="1" x14ac:dyDescent="0.25">
      <c r="M2643"/>
      <c r="N2643"/>
      <c r="O2643"/>
      <c r="P2643" s="216"/>
      <c r="Q2643" s="217"/>
      <c r="R2643" s="217"/>
      <c r="S2643" s="218"/>
    </row>
    <row r="2644" spans="13:19" ht="15" customHeight="1" x14ac:dyDescent="0.25">
      <c r="M2644"/>
      <c r="N2644"/>
      <c r="O2644"/>
      <c r="P2644" s="216"/>
      <c r="Q2644" s="217"/>
      <c r="R2644" s="217"/>
      <c r="S2644" s="218"/>
    </row>
    <row r="2645" spans="13:19" ht="15" customHeight="1" x14ac:dyDescent="0.25">
      <c r="M2645"/>
      <c r="N2645"/>
      <c r="O2645"/>
      <c r="P2645" s="216"/>
      <c r="Q2645" s="217"/>
      <c r="R2645" s="217"/>
      <c r="S2645" s="218"/>
    </row>
    <row r="2646" spans="13:19" ht="15" customHeight="1" x14ac:dyDescent="0.25">
      <c r="M2646"/>
      <c r="N2646"/>
      <c r="O2646"/>
      <c r="P2646" s="216"/>
      <c r="Q2646" s="217"/>
      <c r="R2646" s="217"/>
      <c r="S2646" s="218"/>
    </row>
    <row r="2647" spans="13:19" ht="15" customHeight="1" x14ac:dyDescent="0.25">
      <c r="M2647"/>
      <c r="N2647"/>
      <c r="O2647"/>
      <c r="P2647" s="216"/>
      <c r="Q2647" s="217"/>
      <c r="R2647" s="217"/>
      <c r="S2647" s="218"/>
    </row>
    <row r="2648" spans="13:19" ht="15" customHeight="1" x14ac:dyDescent="0.25">
      <c r="M2648"/>
      <c r="N2648"/>
      <c r="O2648"/>
      <c r="P2648" s="216"/>
      <c r="Q2648" s="217"/>
      <c r="R2648" s="217"/>
      <c r="S2648" s="218"/>
    </row>
    <row r="2649" spans="13:19" ht="15" customHeight="1" x14ac:dyDescent="0.25">
      <c r="M2649"/>
      <c r="N2649"/>
      <c r="O2649"/>
      <c r="P2649" s="216"/>
      <c r="Q2649" s="217"/>
      <c r="R2649" s="217"/>
      <c r="S2649" s="218"/>
    </row>
    <row r="2650" spans="13:19" ht="15" customHeight="1" x14ac:dyDescent="0.25">
      <c r="M2650"/>
      <c r="N2650"/>
      <c r="O2650"/>
      <c r="P2650" s="216"/>
      <c r="Q2650" s="217"/>
      <c r="R2650" s="217"/>
      <c r="S2650" s="218"/>
    </row>
    <row r="2651" spans="13:19" ht="15" customHeight="1" x14ac:dyDescent="0.25">
      <c r="M2651"/>
      <c r="N2651"/>
      <c r="O2651"/>
      <c r="P2651" s="216"/>
      <c r="Q2651" s="217"/>
      <c r="R2651" s="217"/>
      <c r="S2651" s="218"/>
    </row>
    <row r="2652" spans="13:19" ht="15" customHeight="1" x14ac:dyDescent="0.25">
      <c r="M2652"/>
      <c r="N2652"/>
      <c r="O2652"/>
      <c r="P2652" s="216"/>
      <c r="Q2652" s="217"/>
      <c r="R2652" s="217"/>
      <c r="S2652" s="218"/>
    </row>
    <row r="2653" spans="13:19" ht="15" customHeight="1" x14ac:dyDescent="0.25">
      <c r="M2653"/>
      <c r="N2653"/>
      <c r="O2653"/>
      <c r="P2653" s="216"/>
      <c r="Q2653" s="217"/>
      <c r="R2653" s="217"/>
      <c r="S2653" s="218"/>
    </row>
    <row r="2654" spans="13:19" ht="15" customHeight="1" x14ac:dyDescent="0.25">
      <c r="M2654"/>
      <c r="N2654"/>
      <c r="O2654"/>
      <c r="P2654" s="216"/>
      <c r="Q2654" s="217"/>
      <c r="R2654" s="217"/>
      <c r="S2654" s="218"/>
    </row>
    <row r="2655" spans="13:19" ht="15" customHeight="1" x14ac:dyDescent="0.25">
      <c r="M2655"/>
      <c r="N2655"/>
      <c r="O2655"/>
      <c r="P2655" s="216"/>
      <c r="Q2655" s="217"/>
      <c r="R2655" s="217"/>
      <c r="S2655" s="218"/>
    </row>
    <row r="2656" spans="13:19" ht="15" customHeight="1" x14ac:dyDescent="0.25">
      <c r="M2656"/>
      <c r="N2656"/>
      <c r="O2656"/>
      <c r="P2656" s="216"/>
      <c r="Q2656" s="217"/>
      <c r="R2656" s="217"/>
      <c r="S2656" s="218"/>
    </row>
    <row r="2657" spans="13:19" ht="15" customHeight="1" x14ac:dyDescent="0.25">
      <c r="M2657"/>
      <c r="N2657"/>
      <c r="O2657"/>
      <c r="P2657" s="216"/>
      <c r="Q2657" s="217"/>
      <c r="R2657" s="217"/>
      <c r="S2657" s="218"/>
    </row>
    <row r="2658" spans="13:19" ht="15" customHeight="1" x14ac:dyDescent="0.25">
      <c r="M2658"/>
      <c r="N2658"/>
      <c r="O2658"/>
      <c r="P2658" s="216"/>
      <c r="Q2658" s="217"/>
      <c r="R2658" s="217"/>
      <c r="S2658" s="218"/>
    </row>
    <row r="2659" spans="13:19" ht="15" customHeight="1" x14ac:dyDescent="0.25">
      <c r="M2659"/>
      <c r="N2659"/>
      <c r="O2659"/>
      <c r="P2659" s="216"/>
      <c r="Q2659" s="217"/>
      <c r="R2659" s="217"/>
      <c r="S2659" s="218"/>
    </row>
    <row r="2660" spans="13:19" ht="15" customHeight="1" x14ac:dyDescent="0.25">
      <c r="M2660"/>
      <c r="N2660"/>
      <c r="O2660"/>
      <c r="P2660" s="216"/>
      <c r="Q2660" s="217"/>
      <c r="R2660" s="217"/>
      <c r="S2660" s="218"/>
    </row>
    <row r="2661" spans="13:19" ht="15" customHeight="1" x14ac:dyDescent="0.25">
      <c r="M2661"/>
      <c r="N2661"/>
      <c r="O2661"/>
      <c r="P2661" s="216"/>
      <c r="Q2661" s="217"/>
      <c r="R2661" s="217"/>
      <c r="S2661" s="218"/>
    </row>
    <row r="2662" spans="13:19" ht="15" customHeight="1" x14ac:dyDescent="0.25">
      <c r="M2662"/>
      <c r="N2662"/>
      <c r="O2662"/>
      <c r="P2662" s="216"/>
      <c r="Q2662" s="217"/>
      <c r="R2662" s="217"/>
      <c r="S2662" s="218"/>
    </row>
    <row r="2663" spans="13:19" ht="15" customHeight="1" x14ac:dyDescent="0.25">
      <c r="M2663"/>
      <c r="N2663"/>
      <c r="O2663"/>
      <c r="P2663" s="216"/>
      <c r="Q2663" s="217"/>
      <c r="R2663" s="217"/>
      <c r="S2663" s="218"/>
    </row>
    <row r="2664" spans="13:19" ht="15" customHeight="1" x14ac:dyDescent="0.25">
      <c r="M2664"/>
      <c r="N2664"/>
      <c r="O2664"/>
      <c r="P2664" s="216"/>
      <c r="Q2664" s="217"/>
      <c r="R2664" s="217"/>
      <c r="S2664" s="218"/>
    </row>
    <row r="2665" spans="13:19" ht="15" customHeight="1" x14ac:dyDescent="0.25">
      <c r="M2665"/>
      <c r="N2665"/>
      <c r="O2665"/>
      <c r="P2665" s="216"/>
      <c r="Q2665" s="217"/>
      <c r="R2665" s="217"/>
      <c r="S2665" s="218"/>
    </row>
    <row r="2666" spans="13:19" ht="15" customHeight="1" x14ac:dyDescent="0.25">
      <c r="M2666"/>
      <c r="N2666"/>
      <c r="O2666"/>
      <c r="P2666" s="216"/>
      <c r="Q2666" s="217"/>
      <c r="R2666" s="217"/>
      <c r="S2666" s="218"/>
    </row>
    <row r="2667" spans="13:19" ht="15" customHeight="1" x14ac:dyDescent="0.25">
      <c r="M2667"/>
      <c r="N2667"/>
      <c r="O2667"/>
      <c r="P2667" s="216"/>
      <c r="Q2667" s="217"/>
      <c r="R2667" s="217"/>
      <c r="S2667" s="218"/>
    </row>
    <row r="2668" spans="13:19" ht="15" customHeight="1" x14ac:dyDescent="0.25">
      <c r="M2668"/>
      <c r="N2668"/>
      <c r="O2668"/>
      <c r="P2668" s="216"/>
      <c r="Q2668" s="217"/>
      <c r="R2668" s="217"/>
      <c r="S2668" s="218"/>
    </row>
    <row r="2669" spans="13:19" ht="15" customHeight="1" x14ac:dyDescent="0.25">
      <c r="M2669"/>
      <c r="N2669"/>
      <c r="O2669"/>
      <c r="P2669" s="216"/>
      <c r="Q2669" s="217"/>
      <c r="R2669" s="217"/>
      <c r="S2669" s="218"/>
    </row>
    <row r="2670" spans="13:19" ht="15" customHeight="1" x14ac:dyDescent="0.25">
      <c r="M2670"/>
      <c r="N2670"/>
      <c r="O2670"/>
      <c r="P2670" s="216"/>
      <c r="Q2670" s="217"/>
      <c r="R2670" s="217"/>
      <c r="S2670" s="218"/>
    </row>
    <row r="2671" spans="13:19" ht="15" customHeight="1" x14ac:dyDescent="0.25">
      <c r="M2671"/>
      <c r="N2671"/>
      <c r="O2671"/>
      <c r="P2671" s="216"/>
      <c r="Q2671" s="217"/>
      <c r="R2671" s="217"/>
      <c r="S2671" s="218"/>
    </row>
    <row r="2672" spans="13:19" ht="15" customHeight="1" x14ac:dyDescent="0.25">
      <c r="M2672"/>
      <c r="N2672"/>
      <c r="O2672"/>
      <c r="P2672" s="216"/>
      <c r="Q2672" s="217"/>
      <c r="R2672" s="217"/>
      <c r="S2672" s="218"/>
    </row>
    <row r="2673" spans="13:19" ht="15" customHeight="1" x14ac:dyDescent="0.25">
      <c r="M2673"/>
      <c r="N2673"/>
      <c r="O2673"/>
      <c r="P2673" s="216"/>
      <c r="Q2673" s="217"/>
      <c r="R2673" s="217"/>
      <c r="S2673" s="218"/>
    </row>
    <row r="2674" spans="13:19" ht="15" customHeight="1" x14ac:dyDescent="0.25">
      <c r="M2674"/>
      <c r="N2674"/>
      <c r="O2674"/>
      <c r="P2674" s="216"/>
      <c r="Q2674" s="217"/>
      <c r="R2674" s="217"/>
      <c r="S2674" s="218"/>
    </row>
    <row r="2675" spans="13:19" ht="15" customHeight="1" x14ac:dyDescent="0.25">
      <c r="M2675"/>
      <c r="N2675"/>
      <c r="O2675"/>
      <c r="P2675" s="216"/>
      <c r="Q2675" s="217"/>
      <c r="R2675" s="217"/>
      <c r="S2675" s="218"/>
    </row>
    <row r="2676" spans="13:19" ht="15" customHeight="1" x14ac:dyDescent="0.25">
      <c r="M2676"/>
      <c r="N2676"/>
      <c r="O2676"/>
      <c r="P2676" s="216"/>
      <c r="Q2676" s="217"/>
      <c r="R2676" s="217"/>
      <c r="S2676" s="218"/>
    </row>
    <row r="2677" spans="13:19" ht="15" customHeight="1" x14ac:dyDescent="0.25">
      <c r="M2677"/>
      <c r="N2677"/>
      <c r="O2677"/>
      <c r="P2677" s="216"/>
      <c r="Q2677" s="217"/>
      <c r="R2677" s="217"/>
      <c r="S2677" s="218"/>
    </row>
    <row r="2678" spans="13:19" ht="15" customHeight="1" x14ac:dyDescent="0.25">
      <c r="M2678"/>
      <c r="N2678"/>
      <c r="O2678"/>
      <c r="P2678" s="216"/>
      <c r="Q2678" s="217"/>
      <c r="R2678" s="217"/>
      <c r="S2678" s="218"/>
    </row>
    <row r="2679" spans="13:19" ht="15" customHeight="1" x14ac:dyDescent="0.25">
      <c r="M2679"/>
      <c r="N2679"/>
      <c r="O2679"/>
      <c r="P2679" s="216"/>
      <c r="Q2679" s="217"/>
      <c r="R2679" s="217"/>
      <c r="S2679" s="218"/>
    </row>
    <row r="2680" spans="13:19" ht="15" customHeight="1" x14ac:dyDescent="0.25">
      <c r="M2680"/>
      <c r="N2680"/>
      <c r="O2680"/>
      <c r="P2680" s="216"/>
      <c r="Q2680" s="217"/>
      <c r="R2680" s="217"/>
      <c r="S2680" s="218"/>
    </row>
    <row r="2681" spans="13:19" ht="15" customHeight="1" x14ac:dyDescent="0.25">
      <c r="M2681"/>
      <c r="N2681"/>
      <c r="O2681"/>
      <c r="P2681" s="216"/>
      <c r="Q2681" s="217"/>
      <c r="R2681" s="217"/>
      <c r="S2681" s="218"/>
    </row>
    <row r="2682" spans="13:19" ht="15" customHeight="1" x14ac:dyDescent="0.25">
      <c r="M2682"/>
      <c r="N2682"/>
      <c r="O2682"/>
      <c r="P2682" s="216"/>
      <c r="Q2682" s="217"/>
      <c r="R2682" s="217"/>
      <c r="S2682" s="218"/>
    </row>
    <row r="2683" spans="13:19" ht="15" customHeight="1" x14ac:dyDescent="0.25">
      <c r="M2683"/>
      <c r="N2683"/>
      <c r="O2683"/>
      <c r="P2683" s="216"/>
      <c r="Q2683" s="217"/>
      <c r="R2683" s="217"/>
      <c r="S2683" s="218"/>
    </row>
    <row r="2684" spans="13:19" ht="15" customHeight="1" x14ac:dyDescent="0.25">
      <c r="M2684"/>
      <c r="N2684"/>
      <c r="O2684"/>
      <c r="P2684" s="216"/>
      <c r="Q2684" s="217"/>
      <c r="R2684" s="217"/>
      <c r="S2684" s="218"/>
    </row>
    <row r="2685" spans="13:19" ht="15" customHeight="1" x14ac:dyDescent="0.25">
      <c r="M2685"/>
      <c r="N2685"/>
      <c r="O2685"/>
      <c r="P2685" s="216"/>
      <c r="Q2685" s="217"/>
      <c r="R2685" s="217"/>
      <c r="S2685" s="218"/>
    </row>
    <row r="2686" spans="13:19" ht="15" customHeight="1" x14ac:dyDescent="0.25">
      <c r="M2686"/>
      <c r="N2686"/>
      <c r="O2686"/>
      <c r="P2686" s="216"/>
      <c r="Q2686" s="217"/>
      <c r="R2686" s="217"/>
      <c r="S2686" s="218"/>
    </row>
    <row r="2687" spans="13:19" ht="15" customHeight="1" x14ac:dyDescent="0.25">
      <c r="M2687"/>
      <c r="N2687"/>
      <c r="O2687"/>
      <c r="P2687" s="216"/>
      <c r="Q2687" s="217"/>
      <c r="R2687" s="217"/>
      <c r="S2687" s="218"/>
    </row>
    <row r="2688" spans="13:19" ht="15" customHeight="1" x14ac:dyDescent="0.25">
      <c r="M2688"/>
      <c r="N2688"/>
      <c r="O2688"/>
      <c r="P2688" s="216"/>
      <c r="Q2688" s="217"/>
      <c r="R2688" s="217"/>
      <c r="S2688" s="218"/>
    </row>
    <row r="2689" spans="13:19" ht="15" customHeight="1" x14ac:dyDescent="0.25">
      <c r="M2689"/>
      <c r="N2689"/>
      <c r="O2689"/>
      <c r="P2689" s="216"/>
      <c r="Q2689" s="217"/>
      <c r="R2689" s="217"/>
      <c r="S2689" s="218"/>
    </row>
    <row r="2690" spans="13:19" ht="15" customHeight="1" x14ac:dyDescent="0.25">
      <c r="M2690"/>
      <c r="N2690"/>
      <c r="O2690"/>
      <c r="P2690" s="216"/>
      <c r="Q2690" s="217"/>
      <c r="R2690" s="217"/>
      <c r="S2690" s="218"/>
    </row>
    <row r="2691" spans="13:19" ht="15" customHeight="1" x14ac:dyDescent="0.25">
      <c r="M2691"/>
      <c r="N2691"/>
      <c r="O2691"/>
      <c r="P2691" s="216"/>
      <c r="Q2691" s="217"/>
      <c r="R2691" s="217"/>
      <c r="S2691" s="218"/>
    </row>
    <row r="2692" spans="13:19" ht="15" customHeight="1" x14ac:dyDescent="0.25">
      <c r="M2692"/>
      <c r="N2692"/>
      <c r="O2692"/>
      <c r="P2692" s="216"/>
      <c r="Q2692" s="217"/>
      <c r="R2692" s="217"/>
      <c r="S2692" s="218"/>
    </row>
    <row r="2693" spans="13:19" ht="15" customHeight="1" x14ac:dyDescent="0.25">
      <c r="M2693"/>
      <c r="N2693"/>
      <c r="O2693"/>
      <c r="P2693" s="216"/>
      <c r="Q2693" s="217"/>
      <c r="R2693" s="217"/>
      <c r="S2693" s="218"/>
    </row>
    <row r="2694" spans="13:19" ht="15" customHeight="1" x14ac:dyDescent="0.25">
      <c r="M2694"/>
      <c r="N2694"/>
      <c r="O2694"/>
      <c r="P2694" s="216"/>
      <c r="Q2694" s="217"/>
      <c r="R2694" s="217"/>
      <c r="S2694" s="218"/>
    </row>
    <row r="2695" spans="13:19" ht="15" customHeight="1" x14ac:dyDescent="0.25">
      <c r="M2695"/>
      <c r="N2695"/>
      <c r="O2695"/>
      <c r="P2695" s="216"/>
      <c r="Q2695" s="217"/>
      <c r="R2695" s="217"/>
      <c r="S2695" s="218"/>
    </row>
    <row r="2696" spans="13:19" ht="15" customHeight="1" x14ac:dyDescent="0.25">
      <c r="M2696"/>
      <c r="N2696"/>
      <c r="O2696"/>
      <c r="P2696" s="216"/>
      <c r="Q2696" s="217"/>
      <c r="R2696" s="217"/>
      <c r="S2696" s="218"/>
    </row>
    <row r="2697" spans="13:19" ht="15" customHeight="1" x14ac:dyDescent="0.25">
      <c r="M2697"/>
      <c r="N2697"/>
      <c r="O2697"/>
      <c r="P2697" s="216"/>
      <c r="Q2697" s="217"/>
      <c r="R2697" s="217"/>
      <c r="S2697" s="218"/>
    </row>
    <row r="2698" spans="13:19" ht="15" customHeight="1" x14ac:dyDescent="0.25">
      <c r="M2698"/>
      <c r="N2698"/>
      <c r="O2698"/>
      <c r="P2698" s="216"/>
      <c r="Q2698" s="217"/>
      <c r="R2698" s="217"/>
      <c r="S2698" s="218"/>
    </row>
    <row r="2699" spans="13:19" ht="15" customHeight="1" x14ac:dyDescent="0.25">
      <c r="M2699"/>
      <c r="N2699"/>
      <c r="O2699"/>
      <c r="P2699" s="216"/>
      <c r="Q2699" s="217"/>
      <c r="R2699" s="217"/>
      <c r="S2699" s="218"/>
    </row>
    <row r="2700" spans="13:19" ht="15" customHeight="1" x14ac:dyDescent="0.25">
      <c r="M2700"/>
      <c r="N2700"/>
      <c r="O2700"/>
      <c r="P2700" s="216"/>
      <c r="Q2700" s="217"/>
      <c r="R2700" s="217"/>
      <c r="S2700" s="218"/>
    </row>
    <row r="2701" spans="13:19" ht="15" customHeight="1" x14ac:dyDescent="0.25">
      <c r="M2701"/>
      <c r="N2701"/>
      <c r="O2701"/>
      <c r="P2701" s="216"/>
      <c r="Q2701" s="217"/>
      <c r="R2701" s="217"/>
      <c r="S2701" s="218"/>
    </row>
    <row r="2702" spans="13:19" ht="15" customHeight="1" x14ac:dyDescent="0.25">
      <c r="M2702"/>
      <c r="N2702"/>
      <c r="O2702"/>
      <c r="P2702" s="216"/>
      <c r="Q2702" s="217"/>
      <c r="R2702" s="217"/>
      <c r="S2702" s="218"/>
    </row>
    <row r="2703" spans="13:19" ht="15" customHeight="1" x14ac:dyDescent="0.25">
      <c r="M2703"/>
      <c r="N2703"/>
      <c r="O2703"/>
      <c r="P2703" s="216"/>
      <c r="Q2703" s="217"/>
      <c r="R2703" s="217"/>
      <c r="S2703" s="218"/>
    </row>
    <row r="2704" spans="13:19" ht="15" customHeight="1" x14ac:dyDescent="0.25">
      <c r="M2704"/>
      <c r="N2704"/>
      <c r="O2704"/>
      <c r="P2704" s="216"/>
      <c r="Q2704" s="217"/>
      <c r="R2704" s="217"/>
      <c r="S2704" s="218"/>
    </row>
    <row r="2705" spans="13:19" ht="15" customHeight="1" x14ac:dyDescent="0.25">
      <c r="M2705"/>
      <c r="N2705"/>
      <c r="O2705"/>
      <c r="P2705" s="216"/>
      <c r="Q2705" s="217"/>
      <c r="R2705" s="217"/>
      <c r="S2705" s="218"/>
    </row>
    <row r="2706" spans="13:19" ht="15" customHeight="1" x14ac:dyDescent="0.25">
      <c r="M2706"/>
      <c r="N2706"/>
      <c r="O2706"/>
      <c r="P2706" s="216"/>
      <c r="Q2706" s="217"/>
      <c r="R2706" s="217"/>
      <c r="S2706" s="218"/>
    </row>
    <row r="2707" spans="13:19" ht="15" customHeight="1" x14ac:dyDescent="0.25">
      <c r="M2707"/>
      <c r="N2707"/>
      <c r="O2707"/>
      <c r="P2707" s="216"/>
      <c r="Q2707" s="217"/>
      <c r="R2707" s="217"/>
      <c r="S2707" s="218"/>
    </row>
    <row r="2708" spans="13:19" ht="15" customHeight="1" x14ac:dyDescent="0.25">
      <c r="M2708"/>
      <c r="N2708"/>
      <c r="O2708"/>
      <c r="P2708" s="216"/>
      <c r="Q2708" s="217"/>
      <c r="R2708" s="217"/>
      <c r="S2708" s="218"/>
    </row>
    <row r="2709" spans="13:19" ht="15" customHeight="1" x14ac:dyDescent="0.25">
      <c r="M2709"/>
      <c r="N2709"/>
      <c r="O2709"/>
      <c r="P2709" s="216"/>
      <c r="Q2709" s="217"/>
      <c r="R2709" s="217"/>
      <c r="S2709" s="218"/>
    </row>
    <row r="2710" spans="13:19" ht="15" customHeight="1" x14ac:dyDescent="0.25">
      <c r="M2710"/>
      <c r="N2710"/>
      <c r="O2710"/>
      <c r="P2710" s="216"/>
      <c r="Q2710" s="217"/>
      <c r="R2710" s="217"/>
      <c r="S2710" s="218"/>
    </row>
    <row r="2711" spans="13:19" ht="15" customHeight="1" x14ac:dyDescent="0.25">
      <c r="M2711"/>
      <c r="N2711"/>
      <c r="O2711"/>
      <c r="P2711" s="216"/>
      <c r="Q2711" s="217"/>
      <c r="R2711" s="217"/>
      <c r="S2711" s="218"/>
    </row>
    <row r="2712" spans="13:19" ht="15" customHeight="1" x14ac:dyDescent="0.25">
      <c r="M2712"/>
      <c r="N2712"/>
      <c r="O2712"/>
      <c r="P2712" s="216"/>
      <c r="Q2712" s="217"/>
      <c r="R2712" s="217"/>
      <c r="S2712" s="218"/>
    </row>
    <row r="2713" spans="13:19" ht="15" customHeight="1" x14ac:dyDescent="0.25">
      <c r="M2713"/>
      <c r="N2713"/>
      <c r="O2713"/>
      <c r="P2713" s="216"/>
      <c r="Q2713" s="217"/>
      <c r="R2713" s="217"/>
      <c r="S2713" s="218"/>
    </row>
    <row r="2714" spans="13:19" ht="15" customHeight="1" x14ac:dyDescent="0.25">
      <c r="M2714"/>
      <c r="N2714"/>
      <c r="O2714"/>
      <c r="P2714" s="216"/>
      <c r="Q2714" s="217"/>
      <c r="R2714" s="217"/>
      <c r="S2714" s="218"/>
    </row>
    <row r="2715" spans="13:19" ht="15" customHeight="1" x14ac:dyDescent="0.25">
      <c r="M2715"/>
      <c r="N2715"/>
      <c r="O2715"/>
      <c r="P2715" s="216"/>
      <c r="Q2715" s="217"/>
      <c r="R2715" s="217"/>
      <c r="S2715" s="218"/>
    </row>
    <row r="2716" spans="13:19" ht="15" customHeight="1" x14ac:dyDescent="0.25">
      <c r="M2716"/>
      <c r="N2716"/>
      <c r="O2716"/>
      <c r="P2716" s="216"/>
      <c r="Q2716" s="217"/>
      <c r="R2716" s="217"/>
      <c r="S2716" s="218"/>
    </row>
    <row r="2717" spans="13:19" ht="15" customHeight="1" x14ac:dyDescent="0.25">
      <c r="M2717"/>
      <c r="N2717"/>
      <c r="O2717"/>
      <c r="P2717" s="216"/>
      <c r="Q2717" s="217"/>
      <c r="R2717" s="217"/>
      <c r="S2717" s="218"/>
    </row>
    <row r="2718" spans="13:19" ht="15" customHeight="1" x14ac:dyDescent="0.25">
      <c r="M2718"/>
      <c r="N2718"/>
      <c r="O2718"/>
      <c r="P2718" s="216"/>
      <c r="Q2718" s="217"/>
      <c r="R2718" s="217"/>
      <c r="S2718" s="218"/>
    </row>
    <row r="2719" spans="13:19" ht="15" customHeight="1" x14ac:dyDescent="0.25">
      <c r="M2719"/>
      <c r="N2719"/>
      <c r="O2719"/>
      <c r="P2719" s="216"/>
      <c r="Q2719" s="217"/>
      <c r="R2719" s="217"/>
      <c r="S2719" s="218"/>
    </row>
    <row r="2720" spans="13:19" ht="15" customHeight="1" x14ac:dyDescent="0.25">
      <c r="M2720"/>
      <c r="N2720"/>
      <c r="O2720"/>
      <c r="P2720" s="216"/>
      <c r="Q2720" s="217"/>
      <c r="R2720" s="217"/>
      <c r="S2720" s="218"/>
    </row>
    <row r="2721" spans="13:19" ht="15" customHeight="1" x14ac:dyDescent="0.25">
      <c r="M2721"/>
      <c r="N2721"/>
      <c r="O2721"/>
      <c r="P2721" s="216"/>
      <c r="Q2721" s="217"/>
      <c r="R2721" s="217"/>
      <c r="S2721" s="218"/>
    </row>
    <row r="2722" spans="13:19" ht="15" customHeight="1" x14ac:dyDescent="0.25">
      <c r="M2722"/>
      <c r="N2722"/>
      <c r="O2722"/>
      <c r="P2722" s="216"/>
      <c r="Q2722" s="217"/>
      <c r="R2722" s="217"/>
      <c r="S2722" s="218"/>
    </row>
    <row r="2723" spans="13:19" ht="15" customHeight="1" x14ac:dyDescent="0.25">
      <c r="M2723"/>
      <c r="N2723"/>
      <c r="O2723"/>
      <c r="P2723" s="216"/>
      <c r="Q2723" s="217"/>
      <c r="R2723" s="217"/>
      <c r="S2723" s="218"/>
    </row>
    <row r="2724" spans="13:19" ht="15" customHeight="1" x14ac:dyDescent="0.25">
      <c r="M2724"/>
      <c r="N2724"/>
      <c r="O2724"/>
      <c r="P2724" s="216"/>
      <c r="Q2724" s="217"/>
      <c r="R2724" s="217"/>
      <c r="S2724" s="218"/>
    </row>
    <row r="2725" spans="13:19" ht="15" customHeight="1" x14ac:dyDescent="0.25">
      <c r="M2725"/>
      <c r="N2725"/>
      <c r="O2725"/>
      <c r="P2725" s="216"/>
      <c r="Q2725" s="217"/>
      <c r="R2725" s="217"/>
      <c r="S2725" s="218"/>
    </row>
    <row r="2726" spans="13:19" ht="15" customHeight="1" x14ac:dyDescent="0.25">
      <c r="M2726"/>
      <c r="N2726"/>
      <c r="O2726"/>
      <c r="P2726" s="216"/>
      <c r="Q2726" s="217"/>
      <c r="R2726" s="217"/>
      <c r="S2726" s="218"/>
    </row>
    <row r="2727" spans="13:19" ht="15" customHeight="1" x14ac:dyDescent="0.25">
      <c r="M2727"/>
      <c r="N2727"/>
      <c r="O2727"/>
      <c r="P2727" s="216"/>
      <c r="Q2727" s="217"/>
      <c r="R2727" s="217"/>
      <c r="S2727" s="218"/>
    </row>
    <row r="2728" spans="13:19" ht="15" customHeight="1" x14ac:dyDescent="0.25">
      <c r="M2728"/>
      <c r="N2728"/>
      <c r="O2728"/>
      <c r="P2728" s="216"/>
      <c r="Q2728" s="217"/>
      <c r="R2728" s="217"/>
      <c r="S2728" s="218"/>
    </row>
    <row r="2729" spans="13:19" ht="15" customHeight="1" x14ac:dyDescent="0.25">
      <c r="M2729"/>
      <c r="N2729"/>
      <c r="O2729"/>
      <c r="P2729" s="216"/>
      <c r="Q2729" s="217"/>
      <c r="R2729" s="217"/>
      <c r="S2729" s="218"/>
    </row>
    <row r="2730" spans="13:19" ht="15" customHeight="1" x14ac:dyDescent="0.25">
      <c r="M2730"/>
      <c r="N2730"/>
      <c r="O2730"/>
      <c r="P2730" s="216"/>
      <c r="Q2730" s="217"/>
      <c r="R2730" s="217"/>
      <c r="S2730" s="218"/>
    </row>
    <row r="2731" spans="13:19" ht="15" customHeight="1" x14ac:dyDescent="0.25">
      <c r="M2731"/>
      <c r="N2731"/>
      <c r="O2731"/>
      <c r="P2731" s="216"/>
      <c r="Q2731" s="217"/>
      <c r="R2731" s="217"/>
      <c r="S2731" s="218"/>
    </row>
    <row r="2732" spans="13:19" ht="15" customHeight="1" x14ac:dyDescent="0.25">
      <c r="M2732"/>
      <c r="N2732"/>
      <c r="O2732"/>
      <c r="P2732" s="216"/>
      <c r="Q2732" s="217"/>
      <c r="R2732" s="217"/>
      <c r="S2732" s="218"/>
    </row>
    <row r="2733" spans="13:19" ht="15" customHeight="1" x14ac:dyDescent="0.25">
      <c r="M2733"/>
      <c r="N2733"/>
      <c r="O2733"/>
      <c r="P2733" s="216"/>
      <c r="Q2733" s="217"/>
      <c r="R2733" s="217"/>
      <c r="S2733" s="218"/>
    </row>
    <row r="2734" spans="13:19" ht="15" customHeight="1" x14ac:dyDescent="0.25">
      <c r="M2734"/>
      <c r="N2734"/>
      <c r="O2734"/>
      <c r="P2734" s="216"/>
      <c r="Q2734" s="217"/>
      <c r="R2734" s="217"/>
      <c r="S2734" s="218"/>
    </row>
    <row r="2735" spans="13:19" ht="15" customHeight="1" x14ac:dyDescent="0.25">
      <c r="M2735"/>
      <c r="N2735"/>
      <c r="O2735"/>
      <c r="P2735" s="216"/>
      <c r="Q2735" s="217"/>
      <c r="R2735" s="217"/>
      <c r="S2735" s="218"/>
    </row>
    <row r="2736" spans="13:19" ht="15" customHeight="1" x14ac:dyDescent="0.25">
      <c r="M2736"/>
      <c r="N2736"/>
      <c r="O2736"/>
      <c r="P2736" s="216"/>
      <c r="Q2736" s="217"/>
      <c r="R2736" s="217"/>
      <c r="S2736" s="218"/>
    </row>
    <row r="2737" spans="13:19" ht="15" customHeight="1" x14ac:dyDescent="0.25">
      <c r="M2737"/>
      <c r="N2737"/>
      <c r="O2737"/>
      <c r="P2737" s="216"/>
      <c r="Q2737" s="217"/>
      <c r="R2737" s="217"/>
      <c r="S2737" s="218"/>
    </row>
    <row r="2738" spans="13:19" ht="15" customHeight="1" x14ac:dyDescent="0.25">
      <c r="M2738"/>
      <c r="N2738"/>
      <c r="O2738"/>
      <c r="P2738" s="216"/>
      <c r="Q2738" s="217"/>
      <c r="R2738" s="217"/>
      <c r="S2738" s="218"/>
    </row>
    <row r="2739" spans="13:19" ht="15" customHeight="1" x14ac:dyDescent="0.25">
      <c r="M2739"/>
      <c r="N2739"/>
      <c r="O2739"/>
      <c r="P2739" s="216"/>
      <c r="Q2739" s="217"/>
      <c r="R2739" s="217"/>
      <c r="S2739" s="218"/>
    </row>
    <row r="2740" spans="13:19" ht="15" customHeight="1" x14ac:dyDescent="0.25">
      <c r="M2740"/>
      <c r="N2740"/>
      <c r="O2740"/>
      <c r="P2740" s="216"/>
      <c r="Q2740" s="217"/>
      <c r="R2740" s="217"/>
      <c r="S2740" s="218"/>
    </row>
    <row r="2741" spans="13:19" ht="15" customHeight="1" x14ac:dyDescent="0.25">
      <c r="M2741"/>
      <c r="N2741"/>
      <c r="O2741"/>
      <c r="P2741" s="216"/>
      <c r="Q2741" s="217"/>
      <c r="R2741" s="217"/>
      <c r="S2741" s="218"/>
    </row>
    <row r="2742" spans="13:19" ht="15" customHeight="1" x14ac:dyDescent="0.25">
      <c r="M2742"/>
      <c r="N2742"/>
      <c r="O2742"/>
      <c r="P2742" s="216"/>
      <c r="Q2742" s="217"/>
      <c r="R2742" s="217"/>
      <c r="S2742" s="218"/>
    </row>
    <row r="2743" spans="13:19" ht="15" customHeight="1" x14ac:dyDescent="0.25">
      <c r="M2743"/>
      <c r="N2743"/>
      <c r="O2743"/>
      <c r="P2743" s="216"/>
      <c r="Q2743" s="217"/>
      <c r="R2743" s="217"/>
      <c r="S2743" s="218"/>
    </row>
    <row r="2744" spans="13:19" ht="15" customHeight="1" x14ac:dyDescent="0.25">
      <c r="M2744"/>
      <c r="N2744"/>
      <c r="O2744"/>
      <c r="P2744" s="216"/>
      <c r="Q2744" s="217"/>
      <c r="R2744" s="217"/>
      <c r="S2744" s="218"/>
    </row>
    <row r="2745" spans="13:19" ht="15" customHeight="1" x14ac:dyDescent="0.25">
      <c r="M2745"/>
      <c r="N2745"/>
      <c r="O2745"/>
      <c r="P2745" s="216"/>
      <c r="Q2745" s="217"/>
      <c r="R2745" s="217"/>
      <c r="S2745" s="218"/>
    </row>
    <row r="2746" spans="13:19" ht="15" customHeight="1" x14ac:dyDescent="0.25">
      <c r="M2746"/>
      <c r="N2746"/>
      <c r="O2746"/>
      <c r="P2746" s="216"/>
      <c r="Q2746" s="217"/>
      <c r="R2746" s="217"/>
      <c r="S2746" s="218"/>
    </row>
    <row r="2747" spans="13:19" ht="15" customHeight="1" x14ac:dyDescent="0.25">
      <c r="M2747"/>
      <c r="N2747"/>
      <c r="O2747"/>
      <c r="P2747" s="216"/>
      <c r="Q2747" s="217"/>
      <c r="R2747" s="217"/>
      <c r="S2747" s="218"/>
    </row>
    <row r="2748" spans="13:19" ht="15" customHeight="1" x14ac:dyDescent="0.25">
      <c r="M2748"/>
      <c r="N2748"/>
      <c r="O2748"/>
      <c r="P2748" s="216"/>
      <c r="Q2748" s="217"/>
      <c r="R2748" s="217"/>
      <c r="S2748" s="218"/>
    </row>
    <row r="2749" spans="13:19" ht="15" customHeight="1" x14ac:dyDescent="0.25">
      <c r="M2749"/>
      <c r="N2749"/>
      <c r="O2749"/>
      <c r="P2749" s="216"/>
      <c r="Q2749" s="217"/>
      <c r="R2749" s="217"/>
      <c r="S2749" s="218"/>
    </row>
    <row r="2750" spans="13:19" ht="15" customHeight="1" x14ac:dyDescent="0.25">
      <c r="M2750"/>
      <c r="N2750"/>
      <c r="O2750"/>
      <c r="P2750" s="216"/>
      <c r="Q2750" s="217"/>
      <c r="R2750" s="217"/>
      <c r="S2750" s="218"/>
    </row>
    <row r="2751" spans="13:19" ht="15" customHeight="1" x14ac:dyDescent="0.25">
      <c r="M2751"/>
      <c r="N2751"/>
      <c r="O2751"/>
      <c r="P2751" s="216"/>
      <c r="Q2751" s="217"/>
      <c r="R2751" s="217"/>
      <c r="S2751" s="218"/>
    </row>
    <row r="2752" spans="13:19" ht="15" customHeight="1" x14ac:dyDescent="0.25">
      <c r="M2752"/>
      <c r="N2752"/>
      <c r="O2752"/>
      <c r="P2752" s="216"/>
      <c r="Q2752" s="217"/>
      <c r="R2752" s="217"/>
      <c r="S2752" s="218"/>
    </row>
    <row r="2753" spans="13:19" ht="15" customHeight="1" x14ac:dyDescent="0.25">
      <c r="M2753"/>
      <c r="N2753"/>
      <c r="O2753"/>
      <c r="P2753" s="216"/>
      <c r="Q2753" s="217"/>
      <c r="R2753" s="217"/>
      <c r="S2753" s="218"/>
    </row>
    <row r="2754" spans="13:19" ht="15" customHeight="1" x14ac:dyDescent="0.25">
      <c r="M2754"/>
      <c r="N2754"/>
      <c r="O2754"/>
      <c r="P2754" s="216"/>
      <c r="Q2754" s="217"/>
      <c r="R2754" s="217"/>
      <c r="S2754" s="218"/>
    </row>
    <row r="2755" spans="13:19" ht="15" customHeight="1" x14ac:dyDescent="0.25">
      <c r="M2755"/>
      <c r="N2755"/>
      <c r="O2755"/>
      <c r="P2755" s="216"/>
      <c r="Q2755" s="217"/>
      <c r="R2755" s="217"/>
      <c r="S2755" s="218"/>
    </row>
    <row r="2756" spans="13:19" ht="15" customHeight="1" x14ac:dyDescent="0.25">
      <c r="M2756"/>
      <c r="N2756"/>
      <c r="O2756"/>
      <c r="P2756" s="216"/>
      <c r="Q2756" s="217"/>
      <c r="R2756" s="217"/>
      <c r="S2756" s="218"/>
    </row>
    <row r="2757" spans="13:19" ht="15" customHeight="1" x14ac:dyDescent="0.25">
      <c r="M2757"/>
      <c r="N2757"/>
      <c r="O2757"/>
      <c r="P2757" s="216"/>
      <c r="Q2757" s="217"/>
      <c r="R2757" s="217"/>
      <c r="S2757" s="218"/>
    </row>
    <row r="2758" spans="13:19" ht="15" customHeight="1" x14ac:dyDescent="0.25">
      <c r="M2758"/>
      <c r="N2758"/>
      <c r="O2758"/>
      <c r="P2758" s="216"/>
      <c r="Q2758" s="217"/>
      <c r="R2758" s="217"/>
      <c r="S2758" s="218"/>
    </row>
    <row r="2759" spans="13:19" ht="15" customHeight="1" x14ac:dyDescent="0.25">
      <c r="M2759"/>
      <c r="N2759"/>
      <c r="O2759"/>
      <c r="P2759" s="216"/>
      <c r="Q2759" s="217"/>
      <c r="R2759" s="217"/>
      <c r="S2759" s="218"/>
    </row>
    <row r="2760" spans="13:19" ht="15" customHeight="1" x14ac:dyDescent="0.25">
      <c r="M2760"/>
      <c r="N2760"/>
      <c r="O2760"/>
      <c r="P2760" s="216"/>
      <c r="Q2760" s="217"/>
      <c r="R2760" s="217"/>
      <c r="S2760" s="218"/>
    </row>
    <row r="2761" spans="13:19" ht="15" customHeight="1" x14ac:dyDescent="0.25">
      <c r="M2761"/>
      <c r="N2761"/>
      <c r="O2761"/>
      <c r="P2761" s="216"/>
      <c r="Q2761" s="217"/>
      <c r="R2761" s="217"/>
      <c r="S2761" s="218"/>
    </row>
    <row r="2762" spans="13:19" ht="15" customHeight="1" x14ac:dyDescent="0.25">
      <c r="M2762"/>
      <c r="N2762"/>
      <c r="O2762"/>
      <c r="P2762" s="216"/>
      <c r="Q2762" s="217"/>
      <c r="R2762" s="217"/>
      <c r="S2762" s="218"/>
    </row>
    <row r="2763" spans="13:19" ht="15" customHeight="1" x14ac:dyDescent="0.25">
      <c r="M2763"/>
      <c r="N2763"/>
      <c r="O2763"/>
      <c r="P2763" s="216"/>
      <c r="Q2763" s="217"/>
      <c r="R2763" s="217"/>
      <c r="S2763" s="218"/>
    </row>
    <row r="2764" spans="13:19" ht="15" customHeight="1" x14ac:dyDescent="0.25">
      <c r="M2764"/>
      <c r="N2764"/>
      <c r="O2764"/>
      <c r="P2764" s="216"/>
      <c r="Q2764" s="217"/>
      <c r="R2764" s="217"/>
      <c r="S2764" s="218"/>
    </row>
    <row r="2765" spans="13:19" ht="15" customHeight="1" x14ac:dyDescent="0.25">
      <c r="M2765"/>
      <c r="N2765"/>
      <c r="O2765"/>
      <c r="P2765" s="216"/>
      <c r="Q2765" s="217"/>
      <c r="R2765" s="217"/>
      <c r="S2765" s="218"/>
    </row>
    <row r="2766" spans="13:19" ht="15" customHeight="1" x14ac:dyDescent="0.25">
      <c r="M2766"/>
      <c r="N2766"/>
      <c r="O2766"/>
      <c r="P2766" s="216"/>
      <c r="Q2766" s="217"/>
      <c r="R2766" s="217"/>
      <c r="S2766" s="218"/>
    </row>
    <row r="2767" spans="13:19" ht="15" customHeight="1" x14ac:dyDescent="0.25">
      <c r="M2767"/>
      <c r="N2767"/>
      <c r="O2767"/>
      <c r="P2767" s="216"/>
      <c r="Q2767" s="217"/>
      <c r="R2767" s="217"/>
      <c r="S2767" s="218"/>
    </row>
    <row r="2768" spans="13:19" ht="15" customHeight="1" x14ac:dyDescent="0.25">
      <c r="M2768"/>
      <c r="N2768"/>
      <c r="O2768"/>
      <c r="P2768" s="216"/>
      <c r="Q2768" s="217"/>
      <c r="R2768" s="217"/>
      <c r="S2768" s="218"/>
    </row>
    <row r="2769" spans="13:19" ht="15" customHeight="1" x14ac:dyDescent="0.25">
      <c r="M2769"/>
      <c r="N2769"/>
      <c r="O2769"/>
      <c r="P2769" s="216"/>
      <c r="Q2769" s="217"/>
      <c r="R2769" s="217"/>
      <c r="S2769" s="218"/>
    </row>
    <row r="2770" spans="13:19" ht="15" customHeight="1" x14ac:dyDescent="0.25">
      <c r="M2770"/>
      <c r="N2770"/>
      <c r="O2770"/>
      <c r="P2770" s="216"/>
      <c r="Q2770" s="217"/>
      <c r="R2770" s="217"/>
      <c r="S2770" s="218"/>
    </row>
    <row r="2771" spans="13:19" ht="15" customHeight="1" x14ac:dyDescent="0.25">
      <c r="M2771"/>
      <c r="N2771"/>
      <c r="O2771"/>
      <c r="P2771" s="216"/>
      <c r="Q2771" s="217"/>
      <c r="R2771" s="217"/>
      <c r="S2771" s="218"/>
    </row>
    <row r="2772" spans="13:19" ht="15" customHeight="1" x14ac:dyDescent="0.25">
      <c r="M2772"/>
      <c r="N2772"/>
      <c r="O2772"/>
      <c r="P2772" s="216"/>
      <c r="Q2772" s="217"/>
      <c r="R2772" s="217"/>
      <c r="S2772" s="218"/>
    </row>
    <row r="2773" spans="13:19" ht="15" customHeight="1" x14ac:dyDescent="0.25">
      <c r="M2773"/>
      <c r="N2773"/>
      <c r="O2773"/>
      <c r="P2773" s="216"/>
      <c r="Q2773" s="217"/>
      <c r="R2773" s="217"/>
      <c r="S2773" s="218"/>
    </row>
    <row r="2774" spans="13:19" ht="15" customHeight="1" x14ac:dyDescent="0.25">
      <c r="M2774"/>
      <c r="N2774"/>
      <c r="O2774"/>
      <c r="P2774" s="216"/>
      <c r="Q2774" s="217"/>
      <c r="R2774" s="217"/>
      <c r="S2774" s="218"/>
    </row>
    <row r="2775" spans="13:19" ht="15" customHeight="1" x14ac:dyDescent="0.25">
      <c r="M2775"/>
      <c r="N2775"/>
      <c r="O2775"/>
      <c r="P2775" s="216"/>
      <c r="Q2775" s="217"/>
      <c r="R2775" s="217"/>
      <c r="S2775" s="218"/>
    </row>
    <row r="2776" spans="13:19" ht="15" customHeight="1" x14ac:dyDescent="0.25">
      <c r="M2776"/>
      <c r="N2776"/>
      <c r="O2776"/>
      <c r="P2776" s="216"/>
      <c r="Q2776" s="217"/>
      <c r="R2776" s="217"/>
      <c r="S2776" s="218"/>
    </row>
    <row r="2777" spans="13:19" ht="15" customHeight="1" x14ac:dyDescent="0.25">
      <c r="M2777"/>
      <c r="N2777"/>
      <c r="O2777"/>
      <c r="P2777" s="216"/>
      <c r="Q2777" s="217"/>
      <c r="R2777" s="217"/>
      <c r="S2777" s="218"/>
    </row>
    <row r="2778" spans="13:19" ht="15" customHeight="1" x14ac:dyDescent="0.25">
      <c r="M2778"/>
      <c r="N2778"/>
      <c r="O2778"/>
      <c r="P2778" s="216"/>
      <c r="Q2778" s="217"/>
      <c r="R2778" s="217"/>
      <c r="S2778" s="218"/>
    </row>
    <row r="2779" spans="13:19" ht="15" customHeight="1" x14ac:dyDescent="0.25">
      <c r="M2779"/>
      <c r="N2779"/>
      <c r="O2779"/>
      <c r="P2779" s="216"/>
      <c r="Q2779" s="217"/>
      <c r="R2779" s="217"/>
      <c r="S2779" s="218"/>
    </row>
    <row r="2780" spans="13:19" ht="15" customHeight="1" x14ac:dyDescent="0.25">
      <c r="M2780"/>
      <c r="N2780"/>
      <c r="O2780"/>
      <c r="P2780" s="216"/>
      <c r="Q2780" s="217"/>
      <c r="R2780" s="217"/>
      <c r="S2780" s="218"/>
    </row>
    <row r="2781" spans="13:19" ht="15" customHeight="1" x14ac:dyDescent="0.25">
      <c r="M2781"/>
      <c r="N2781"/>
      <c r="O2781"/>
      <c r="P2781" s="216"/>
      <c r="Q2781" s="217"/>
      <c r="R2781" s="217"/>
      <c r="S2781" s="218"/>
    </row>
    <row r="2782" spans="13:19" ht="15" customHeight="1" x14ac:dyDescent="0.25">
      <c r="M2782"/>
      <c r="N2782"/>
      <c r="O2782"/>
      <c r="P2782" s="216"/>
      <c r="Q2782" s="217"/>
      <c r="R2782" s="217"/>
      <c r="S2782" s="218"/>
    </row>
    <row r="2783" spans="13:19" ht="15" customHeight="1" x14ac:dyDescent="0.25">
      <c r="M2783"/>
      <c r="N2783"/>
      <c r="O2783"/>
      <c r="P2783" s="216"/>
      <c r="Q2783" s="217"/>
      <c r="R2783" s="217"/>
      <c r="S2783" s="218"/>
    </row>
    <row r="2784" spans="13:19" ht="15" customHeight="1" x14ac:dyDescent="0.25">
      <c r="M2784"/>
      <c r="N2784"/>
      <c r="O2784"/>
      <c r="P2784" s="216"/>
      <c r="Q2784" s="217"/>
      <c r="R2784" s="217"/>
      <c r="S2784" s="218"/>
    </row>
    <row r="2785" spans="13:19" ht="15" customHeight="1" x14ac:dyDescent="0.25">
      <c r="M2785"/>
      <c r="N2785"/>
      <c r="O2785"/>
      <c r="P2785" s="216"/>
      <c r="Q2785" s="217"/>
      <c r="R2785" s="217"/>
      <c r="S2785" s="218"/>
    </row>
    <row r="2786" spans="13:19" ht="15" customHeight="1" x14ac:dyDescent="0.25">
      <c r="M2786"/>
      <c r="N2786"/>
      <c r="O2786"/>
      <c r="P2786" s="216"/>
      <c r="Q2786" s="217"/>
      <c r="R2786" s="217"/>
      <c r="S2786" s="218"/>
    </row>
    <row r="2787" spans="13:19" ht="15" customHeight="1" x14ac:dyDescent="0.25">
      <c r="M2787"/>
      <c r="N2787"/>
      <c r="O2787"/>
      <c r="P2787" s="216"/>
      <c r="Q2787" s="217"/>
      <c r="R2787" s="217"/>
      <c r="S2787" s="218"/>
    </row>
    <row r="2788" spans="13:19" ht="15" customHeight="1" x14ac:dyDescent="0.25">
      <c r="M2788"/>
      <c r="N2788"/>
      <c r="O2788"/>
      <c r="P2788" s="216"/>
      <c r="Q2788" s="217"/>
      <c r="R2788" s="217"/>
      <c r="S2788" s="218"/>
    </row>
    <row r="2789" spans="13:19" ht="15" customHeight="1" x14ac:dyDescent="0.25">
      <c r="M2789"/>
      <c r="N2789"/>
      <c r="O2789"/>
      <c r="P2789" s="216"/>
      <c r="Q2789" s="217"/>
      <c r="R2789" s="217"/>
      <c r="S2789" s="218"/>
    </row>
    <row r="2790" spans="13:19" ht="15" customHeight="1" x14ac:dyDescent="0.25">
      <c r="M2790"/>
      <c r="N2790"/>
      <c r="O2790"/>
      <c r="P2790" s="216"/>
      <c r="Q2790" s="217"/>
      <c r="R2790" s="217"/>
      <c r="S2790" s="218"/>
    </row>
    <row r="2791" spans="13:19" ht="15" customHeight="1" x14ac:dyDescent="0.25">
      <c r="M2791"/>
      <c r="N2791"/>
      <c r="O2791"/>
      <c r="P2791" s="216"/>
      <c r="Q2791" s="217"/>
      <c r="R2791" s="217"/>
      <c r="S2791" s="218"/>
    </row>
    <row r="2792" spans="13:19" ht="15" customHeight="1" x14ac:dyDescent="0.25">
      <c r="M2792"/>
      <c r="N2792"/>
      <c r="O2792"/>
      <c r="P2792" s="216"/>
      <c r="Q2792" s="217"/>
      <c r="R2792" s="217"/>
      <c r="S2792" s="218"/>
    </row>
    <row r="2793" spans="13:19" ht="15" customHeight="1" x14ac:dyDescent="0.25">
      <c r="M2793"/>
      <c r="N2793"/>
      <c r="O2793"/>
      <c r="P2793" s="216"/>
      <c r="Q2793" s="217"/>
      <c r="R2793" s="217"/>
      <c r="S2793" s="218"/>
    </row>
    <row r="2794" spans="13:19" ht="15" customHeight="1" x14ac:dyDescent="0.25">
      <c r="M2794"/>
      <c r="N2794"/>
      <c r="O2794"/>
      <c r="P2794" s="216"/>
      <c r="Q2794" s="217"/>
      <c r="R2794" s="217"/>
      <c r="S2794" s="218"/>
    </row>
    <row r="2795" spans="13:19" ht="15" customHeight="1" x14ac:dyDescent="0.25">
      <c r="M2795"/>
      <c r="N2795"/>
      <c r="O2795"/>
      <c r="P2795" s="216"/>
      <c r="Q2795" s="217"/>
      <c r="R2795" s="217"/>
      <c r="S2795" s="218"/>
    </row>
    <row r="2796" spans="13:19" ht="15" customHeight="1" x14ac:dyDescent="0.25">
      <c r="M2796"/>
      <c r="N2796"/>
      <c r="O2796"/>
      <c r="P2796" s="216"/>
      <c r="Q2796" s="217"/>
      <c r="R2796" s="217"/>
      <c r="S2796" s="218"/>
    </row>
    <row r="2797" spans="13:19" ht="15" customHeight="1" x14ac:dyDescent="0.25">
      <c r="M2797"/>
      <c r="N2797"/>
      <c r="O2797"/>
      <c r="P2797" s="216"/>
      <c r="Q2797" s="217"/>
      <c r="R2797" s="217"/>
      <c r="S2797" s="218"/>
    </row>
    <row r="2798" spans="13:19" ht="15" customHeight="1" x14ac:dyDescent="0.25">
      <c r="M2798"/>
      <c r="N2798"/>
      <c r="O2798"/>
      <c r="P2798" s="216"/>
      <c r="Q2798" s="217"/>
      <c r="R2798" s="217"/>
      <c r="S2798" s="218"/>
    </row>
    <row r="2799" spans="13:19" ht="15" customHeight="1" x14ac:dyDescent="0.25">
      <c r="M2799"/>
      <c r="N2799"/>
      <c r="O2799"/>
      <c r="P2799" s="216"/>
      <c r="Q2799" s="217"/>
      <c r="R2799" s="217"/>
      <c r="S2799" s="218"/>
    </row>
    <row r="2800" spans="13:19" ht="15" customHeight="1" x14ac:dyDescent="0.25">
      <c r="M2800"/>
      <c r="N2800"/>
      <c r="O2800"/>
      <c r="P2800" s="216"/>
      <c r="Q2800" s="217"/>
      <c r="R2800" s="217"/>
      <c r="S2800" s="218"/>
    </row>
    <row r="2801" spans="13:19" ht="15" customHeight="1" x14ac:dyDescent="0.25">
      <c r="M2801"/>
      <c r="N2801"/>
      <c r="O2801"/>
      <c r="P2801" s="216"/>
      <c r="Q2801" s="217"/>
      <c r="R2801" s="217"/>
      <c r="S2801" s="218"/>
    </row>
    <row r="2802" spans="13:19" ht="15" customHeight="1" x14ac:dyDescent="0.25">
      <c r="M2802"/>
      <c r="N2802"/>
      <c r="O2802"/>
      <c r="P2802" s="216"/>
      <c r="Q2802" s="217"/>
      <c r="R2802" s="217"/>
      <c r="S2802" s="218"/>
    </row>
    <row r="2803" spans="13:19" ht="15" customHeight="1" x14ac:dyDescent="0.25">
      <c r="M2803"/>
      <c r="N2803"/>
      <c r="O2803"/>
      <c r="P2803" s="216"/>
      <c r="Q2803" s="217"/>
      <c r="R2803" s="217"/>
      <c r="S2803" s="218"/>
    </row>
    <row r="2804" spans="13:19" ht="15" customHeight="1" x14ac:dyDescent="0.25">
      <c r="M2804"/>
      <c r="N2804"/>
      <c r="O2804"/>
      <c r="P2804" s="216"/>
      <c r="Q2804" s="217"/>
      <c r="R2804" s="217"/>
      <c r="S2804" s="218"/>
    </row>
    <row r="2805" spans="13:19" ht="15" customHeight="1" x14ac:dyDescent="0.25">
      <c r="M2805"/>
      <c r="N2805"/>
      <c r="O2805"/>
      <c r="P2805" s="216"/>
      <c r="Q2805" s="217"/>
      <c r="R2805" s="217"/>
      <c r="S2805" s="218"/>
    </row>
    <row r="2806" spans="13:19" ht="15" customHeight="1" x14ac:dyDescent="0.25">
      <c r="M2806"/>
      <c r="N2806"/>
      <c r="O2806"/>
      <c r="P2806" s="216"/>
      <c r="Q2806" s="217"/>
      <c r="R2806" s="217"/>
      <c r="S2806" s="218"/>
    </row>
    <row r="2807" spans="13:19" ht="15" customHeight="1" x14ac:dyDescent="0.25">
      <c r="M2807"/>
      <c r="N2807"/>
      <c r="O2807"/>
      <c r="P2807" s="216"/>
      <c r="Q2807" s="217"/>
      <c r="R2807" s="217"/>
      <c r="S2807" s="218"/>
    </row>
    <row r="2808" spans="13:19" ht="15" customHeight="1" x14ac:dyDescent="0.25">
      <c r="M2808"/>
      <c r="N2808"/>
      <c r="O2808"/>
      <c r="P2808" s="216"/>
      <c r="Q2808" s="217"/>
      <c r="R2808" s="217"/>
      <c r="S2808" s="218"/>
    </row>
    <row r="2809" spans="13:19" ht="15" customHeight="1" x14ac:dyDescent="0.25">
      <c r="M2809"/>
      <c r="N2809"/>
      <c r="O2809"/>
      <c r="P2809" s="216"/>
      <c r="Q2809" s="217"/>
      <c r="R2809" s="217"/>
      <c r="S2809" s="218"/>
    </row>
    <row r="2810" spans="13:19" ht="15" customHeight="1" x14ac:dyDescent="0.25">
      <c r="M2810"/>
      <c r="N2810"/>
      <c r="O2810"/>
      <c r="P2810" s="216"/>
      <c r="Q2810" s="217"/>
      <c r="R2810" s="217"/>
      <c r="S2810" s="218"/>
    </row>
    <row r="2811" spans="13:19" ht="15" customHeight="1" x14ac:dyDescent="0.25">
      <c r="M2811"/>
      <c r="N2811"/>
      <c r="O2811"/>
      <c r="P2811" s="216"/>
      <c r="Q2811" s="217"/>
      <c r="R2811" s="217"/>
      <c r="S2811" s="218"/>
    </row>
    <row r="2812" spans="13:19" ht="15" customHeight="1" x14ac:dyDescent="0.25">
      <c r="M2812"/>
      <c r="N2812"/>
      <c r="O2812"/>
      <c r="P2812" s="216"/>
      <c r="Q2812" s="217"/>
      <c r="R2812" s="217"/>
      <c r="S2812" s="218"/>
    </row>
    <row r="2813" spans="13:19" ht="15" customHeight="1" x14ac:dyDescent="0.25">
      <c r="M2813"/>
      <c r="N2813"/>
      <c r="O2813"/>
      <c r="P2813" s="216"/>
      <c r="Q2813" s="217"/>
      <c r="R2813" s="217"/>
      <c r="S2813" s="218"/>
    </row>
    <row r="2814" spans="13:19" ht="15" customHeight="1" x14ac:dyDescent="0.25">
      <c r="M2814"/>
      <c r="N2814"/>
      <c r="O2814"/>
      <c r="P2814" s="216"/>
      <c r="Q2814" s="217"/>
      <c r="R2814" s="217"/>
      <c r="S2814" s="218"/>
    </row>
    <row r="2815" spans="13:19" ht="15" customHeight="1" x14ac:dyDescent="0.25">
      <c r="M2815"/>
      <c r="N2815"/>
      <c r="O2815"/>
      <c r="P2815" s="216"/>
      <c r="Q2815" s="217"/>
      <c r="R2815" s="217"/>
      <c r="S2815" s="218"/>
    </row>
    <row r="2816" spans="13:19" ht="15" customHeight="1" x14ac:dyDescent="0.25">
      <c r="M2816"/>
      <c r="N2816"/>
      <c r="O2816"/>
      <c r="P2816" s="216"/>
      <c r="Q2816" s="217"/>
      <c r="R2816" s="217"/>
      <c r="S2816" s="218"/>
    </row>
    <row r="2817" spans="13:19" ht="15" customHeight="1" x14ac:dyDescent="0.25">
      <c r="M2817"/>
      <c r="N2817"/>
      <c r="O2817"/>
      <c r="P2817" s="216"/>
      <c r="Q2817" s="217"/>
      <c r="R2817" s="217"/>
      <c r="S2817" s="218"/>
    </row>
    <row r="2818" spans="13:19" ht="15" customHeight="1" x14ac:dyDescent="0.25">
      <c r="M2818"/>
      <c r="N2818"/>
      <c r="O2818"/>
      <c r="P2818" s="216"/>
      <c r="Q2818" s="217"/>
      <c r="R2818" s="217"/>
      <c r="S2818" s="218"/>
    </row>
    <row r="2819" spans="13:19" ht="15" customHeight="1" x14ac:dyDescent="0.25">
      <c r="M2819"/>
      <c r="N2819"/>
      <c r="O2819"/>
      <c r="P2819" s="216"/>
      <c r="Q2819" s="217"/>
      <c r="R2819" s="217"/>
      <c r="S2819" s="218"/>
    </row>
    <row r="2820" spans="13:19" ht="15" customHeight="1" x14ac:dyDescent="0.25">
      <c r="M2820"/>
      <c r="N2820"/>
      <c r="O2820"/>
      <c r="P2820" s="216"/>
      <c r="Q2820" s="217"/>
      <c r="R2820" s="217"/>
      <c r="S2820" s="218"/>
    </row>
    <row r="2821" spans="13:19" ht="15" customHeight="1" x14ac:dyDescent="0.25">
      <c r="M2821"/>
      <c r="N2821"/>
      <c r="O2821"/>
      <c r="P2821" s="216"/>
      <c r="Q2821" s="217"/>
      <c r="R2821" s="217"/>
      <c r="S2821" s="218"/>
    </row>
    <row r="2822" spans="13:19" ht="15" customHeight="1" x14ac:dyDescent="0.25">
      <c r="M2822"/>
      <c r="N2822"/>
      <c r="O2822"/>
      <c r="P2822" s="216"/>
      <c r="Q2822" s="217"/>
      <c r="R2822" s="217"/>
      <c r="S2822" s="218"/>
    </row>
    <row r="2823" spans="13:19" ht="15" customHeight="1" x14ac:dyDescent="0.25">
      <c r="M2823"/>
      <c r="N2823"/>
      <c r="O2823"/>
      <c r="P2823" s="216"/>
      <c r="Q2823" s="217"/>
      <c r="R2823" s="217"/>
      <c r="S2823" s="218"/>
    </row>
    <row r="2824" spans="13:19" ht="15" customHeight="1" x14ac:dyDescent="0.25">
      <c r="M2824"/>
      <c r="N2824"/>
      <c r="O2824"/>
      <c r="P2824" s="216"/>
      <c r="Q2824" s="217"/>
      <c r="R2824" s="217"/>
      <c r="S2824" s="218"/>
    </row>
    <row r="2825" spans="13:19" ht="15" customHeight="1" x14ac:dyDescent="0.25">
      <c r="M2825"/>
      <c r="N2825"/>
      <c r="O2825"/>
      <c r="P2825" s="216"/>
      <c r="Q2825" s="217"/>
      <c r="R2825" s="217"/>
      <c r="S2825" s="218"/>
    </row>
    <row r="2826" spans="13:19" ht="15" customHeight="1" x14ac:dyDescent="0.25">
      <c r="M2826"/>
      <c r="N2826"/>
      <c r="O2826"/>
      <c r="P2826" s="216"/>
      <c r="Q2826" s="217"/>
      <c r="R2826" s="217"/>
      <c r="S2826" s="218"/>
    </row>
    <row r="2827" spans="13:19" ht="15" customHeight="1" x14ac:dyDescent="0.25">
      <c r="M2827"/>
      <c r="N2827"/>
      <c r="O2827"/>
      <c r="P2827" s="216"/>
      <c r="Q2827" s="217"/>
      <c r="R2827" s="217"/>
      <c r="S2827" s="218"/>
    </row>
    <row r="2828" spans="13:19" ht="15" customHeight="1" x14ac:dyDescent="0.25">
      <c r="M2828"/>
      <c r="N2828"/>
      <c r="O2828"/>
      <c r="P2828" s="216"/>
      <c r="Q2828" s="217"/>
      <c r="R2828" s="217"/>
      <c r="S2828" s="218"/>
    </row>
    <row r="2829" spans="13:19" ht="15" customHeight="1" x14ac:dyDescent="0.25">
      <c r="M2829"/>
      <c r="N2829"/>
      <c r="O2829"/>
      <c r="P2829" s="216"/>
      <c r="Q2829" s="217"/>
      <c r="R2829" s="217"/>
      <c r="S2829" s="218"/>
    </row>
    <row r="2830" spans="13:19" ht="15" customHeight="1" x14ac:dyDescent="0.25">
      <c r="M2830"/>
      <c r="N2830"/>
      <c r="O2830"/>
      <c r="P2830" s="216"/>
      <c r="Q2830" s="217"/>
      <c r="R2830" s="217"/>
      <c r="S2830" s="218"/>
    </row>
    <row r="2831" spans="13:19" ht="15" customHeight="1" x14ac:dyDescent="0.25">
      <c r="M2831"/>
      <c r="N2831"/>
      <c r="O2831"/>
      <c r="P2831" s="216"/>
      <c r="Q2831" s="217"/>
      <c r="R2831" s="217"/>
      <c r="S2831" s="218"/>
    </row>
    <row r="2832" spans="13:19" ht="15" customHeight="1" x14ac:dyDescent="0.25">
      <c r="M2832"/>
      <c r="N2832"/>
      <c r="O2832"/>
      <c r="P2832" s="216"/>
      <c r="Q2832" s="217"/>
      <c r="R2832" s="217"/>
      <c r="S2832" s="218"/>
    </row>
    <row r="2833" spans="13:19" ht="15" customHeight="1" x14ac:dyDescent="0.25">
      <c r="M2833"/>
      <c r="N2833"/>
      <c r="O2833"/>
      <c r="P2833" s="216"/>
      <c r="Q2833" s="217"/>
      <c r="R2833" s="217"/>
      <c r="S2833" s="218"/>
    </row>
    <row r="2834" spans="13:19" ht="15" customHeight="1" x14ac:dyDescent="0.25">
      <c r="M2834"/>
      <c r="N2834"/>
      <c r="O2834"/>
      <c r="P2834" s="216"/>
      <c r="Q2834" s="217"/>
      <c r="R2834" s="217"/>
      <c r="S2834" s="218"/>
    </row>
    <row r="2835" spans="13:19" ht="15" customHeight="1" x14ac:dyDescent="0.25">
      <c r="M2835"/>
      <c r="N2835"/>
      <c r="O2835"/>
      <c r="P2835" s="216"/>
      <c r="Q2835" s="217"/>
      <c r="R2835" s="217"/>
      <c r="S2835" s="218"/>
    </row>
    <row r="2836" spans="13:19" ht="15" customHeight="1" x14ac:dyDescent="0.25">
      <c r="M2836"/>
      <c r="N2836"/>
      <c r="O2836"/>
      <c r="P2836" s="216"/>
      <c r="Q2836" s="217"/>
      <c r="R2836" s="217"/>
      <c r="S2836" s="218"/>
    </row>
    <row r="2837" spans="13:19" ht="15" customHeight="1" x14ac:dyDescent="0.25">
      <c r="M2837"/>
      <c r="N2837"/>
      <c r="O2837"/>
      <c r="P2837" s="216"/>
      <c r="Q2837" s="217"/>
      <c r="R2837" s="217"/>
      <c r="S2837" s="218"/>
    </row>
    <row r="2838" spans="13:19" ht="15" customHeight="1" x14ac:dyDescent="0.25">
      <c r="M2838"/>
      <c r="N2838"/>
      <c r="O2838"/>
      <c r="P2838" s="216"/>
      <c r="Q2838" s="217"/>
      <c r="R2838" s="217"/>
      <c r="S2838" s="218"/>
    </row>
    <row r="2839" spans="13:19" ht="15" customHeight="1" x14ac:dyDescent="0.25">
      <c r="M2839"/>
      <c r="N2839"/>
      <c r="O2839"/>
      <c r="P2839" s="216"/>
      <c r="Q2839" s="217"/>
      <c r="R2839" s="217"/>
      <c r="S2839" s="218"/>
    </row>
    <row r="2840" spans="13:19" ht="15" customHeight="1" x14ac:dyDescent="0.25">
      <c r="M2840"/>
      <c r="N2840"/>
      <c r="O2840"/>
      <c r="P2840" s="216"/>
      <c r="Q2840" s="217"/>
      <c r="R2840" s="217"/>
      <c r="S2840" s="218"/>
    </row>
    <row r="2841" spans="13:19" ht="15" customHeight="1" x14ac:dyDescent="0.25">
      <c r="M2841"/>
      <c r="N2841"/>
      <c r="O2841"/>
      <c r="P2841" s="216"/>
      <c r="Q2841" s="217"/>
      <c r="R2841" s="217"/>
      <c r="S2841" s="218"/>
    </row>
    <row r="2842" spans="13:19" ht="15" customHeight="1" x14ac:dyDescent="0.25">
      <c r="M2842"/>
      <c r="N2842"/>
      <c r="O2842"/>
      <c r="P2842" s="216"/>
      <c r="Q2842" s="217"/>
      <c r="R2842" s="217"/>
      <c r="S2842" s="218"/>
    </row>
    <row r="2843" spans="13:19" ht="15" customHeight="1" x14ac:dyDescent="0.25">
      <c r="M2843"/>
      <c r="N2843"/>
      <c r="O2843"/>
      <c r="P2843" s="216"/>
      <c r="Q2843" s="217"/>
      <c r="R2843" s="217"/>
      <c r="S2843" s="218"/>
    </row>
    <row r="2844" spans="13:19" ht="15" customHeight="1" x14ac:dyDescent="0.25">
      <c r="M2844"/>
      <c r="N2844"/>
      <c r="O2844"/>
      <c r="P2844" s="216"/>
      <c r="Q2844" s="217"/>
      <c r="R2844" s="217"/>
      <c r="S2844" s="218"/>
    </row>
    <row r="2845" spans="13:19" ht="15" customHeight="1" x14ac:dyDescent="0.25">
      <c r="M2845"/>
      <c r="N2845"/>
      <c r="O2845"/>
      <c r="P2845" s="216"/>
      <c r="Q2845" s="217"/>
      <c r="R2845" s="217"/>
      <c r="S2845" s="218"/>
    </row>
    <row r="2846" spans="13:19" ht="15" customHeight="1" x14ac:dyDescent="0.25">
      <c r="M2846"/>
      <c r="N2846"/>
      <c r="O2846"/>
      <c r="P2846" s="216"/>
      <c r="Q2846" s="217"/>
      <c r="R2846" s="217"/>
      <c r="S2846" s="218"/>
    </row>
    <row r="2847" spans="13:19" ht="15" customHeight="1" x14ac:dyDescent="0.25">
      <c r="M2847"/>
      <c r="N2847"/>
      <c r="O2847"/>
      <c r="P2847" s="216"/>
      <c r="Q2847" s="217"/>
      <c r="R2847" s="217"/>
      <c r="S2847" s="218"/>
    </row>
    <row r="2848" spans="13:19" ht="15" customHeight="1" x14ac:dyDescent="0.25">
      <c r="M2848"/>
      <c r="N2848"/>
      <c r="O2848"/>
      <c r="P2848" s="216"/>
      <c r="Q2848" s="217"/>
      <c r="R2848" s="217"/>
      <c r="S2848" s="218"/>
    </row>
    <row r="2849" spans="13:19" ht="15" customHeight="1" x14ac:dyDescent="0.25">
      <c r="M2849"/>
      <c r="N2849"/>
      <c r="O2849"/>
      <c r="P2849" s="216"/>
      <c r="Q2849" s="217"/>
      <c r="R2849" s="217"/>
      <c r="S2849" s="218"/>
    </row>
    <row r="2850" spans="13:19" ht="15" customHeight="1" x14ac:dyDescent="0.25">
      <c r="M2850"/>
      <c r="N2850"/>
      <c r="O2850"/>
      <c r="P2850" s="216"/>
      <c r="Q2850" s="217"/>
      <c r="R2850" s="217"/>
      <c r="S2850" s="218"/>
    </row>
    <row r="2851" spans="13:19" ht="15" customHeight="1" x14ac:dyDescent="0.25">
      <c r="M2851"/>
      <c r="N2851"/>
      <c r="O2851"/>
      <c r="P2851" s="216"/>
      <c r="Q2851" s="217"/>
      <c r="R2851" s="217"/>
      <c r="S2851" s="218"/>
    </row>
    <row r="2852" spans="13:19" ht="15" customHeight="1" x14ac:dyDescent="0.25">
      <c r="M2852"/>
      <c r="N2852"/>
      <c r="O2852"/>
      <c r="P2852" s="216"/>
      <c r="Q2852" s="217"/>
      <c r="R2852" s="217"/>
      <c r="S2852" s="218"/>
    </row>
    <row r="2853" spans="13:19" ht="15" customHeight="1" x14ac:dyDescent="0.25">
      <c r="M2853"/>
      <c r="N2853"/>
      <c r="O2853"/>
      <c r="P2853" s="216"/>
      <c r="Q2853" s="217"/>
      <c r="R2853" s="217"/>
      <c r="S2853" s="218"/>
    </row>
    <row r="2854" spans="13:19" ht="15" customHeight="1" x14ac:dyDescent="0.25">
      <c r="M2854"/>
      <c r="N2854"/>
      <c r="O2854"/>
      <c r="P2854" s="216"/>
      <c r="Q2854" s="217"/>
      <c r="R2854" s="217"/>
      <c r="S2854" s="218"/>
    </row>
    <row r="2855" spans="13:19" ht="15" customHeight="1" x14ac:dyDescent="0.25">
      <c r="M2855"/>
      <c r="N2855"/>
      <c r="O2855"/>
      <c r="P2855" s="216"/>
      <c r="Q2855" s="217"/>
      <c r="R2855" s="217"/>
      <c r="S2855" s="218"/>
    </row>
    <row r="2856" spans="13:19" ht="15" customHeight="1" x14ac:dyDescent="0.25">
      <c r="M2856"/>
      <c r="N2856"/>
      <c r="O2856"/>
      <c r="P2856" s="216"/>
      <c r="Q2856" s="217"/>
      <c r="R2856" s="217"/>
      <c r="S2856" s="218"/>
    </row>
    <row r="2857" spans="13:19" ht="15" customHeight="1" x14ac:dyDescent="0.25">
      <c r="M2857"/>
      <c r="N2857"/>
      <c r="O2857"/>
      <c r="P2857" s="216"/>
      <c r="Q2857" s="217"/>
      <c r="R2857" s="217"/>
      <c r="S2857" s="218"/>
    </row>
    <row r="2858" spans="13:19" ht="15" customHeight="1" x14ac:dyDescent="0.25">
      <c r="M2858"/>
      <c r="N2858"/>
      <c r="O2858"/>
      <c r="P2858" s="216"/>
      <c r="Q2858" s="217"/>
      <c r="R2858" s="217"/>
      <c r="S2858" s="218"/>
    </row>
    <row r="2859" spans="13:19" ht="15" customHeight="1" x14ac:dyDescent="0.25">
      <c r="M2859"/>
      <c r="N2859"/>
      <c r="O2859"/>
      <c r="P2859" s="216"/>
      <c r="Q2859" s="217"/>
      <c r="R2859" s="217"/>
      <c r="S2859" s="218"/>
    </row>
    <row r="2860" spans="13:19" ht="15" customHeight="1" x14ac:dyDescent="0.25">
      <c r="M2860"/>
      <c r="N2860"/>
      <c r="O2860"/>
      <c r="P2860" s="216"/>
      <c r="Q2860" s="217"/>
      <c r="R2860" s="217"/>
      <c r="S2860" s="218"/>
    </row>
    <row r="2861" spans="13:19" ht="15" customHeight="1" x14ac:dyDescent="0.25">
      <c r="M2861"/>
      <c r="N2861"/>
      <c r="O2861"/>
      <c r="P2861" s="216"/>
      <c r="Q2861" s="217"/>
      <c r="R2861" s="217"/>
      <c r="S2861" s="218"/>
    </row>
    <row r="2862" spans="13:19" ht="15" customHeight="1" x14ac:dyDescent="0.25">
      <c r="M2862"/>
      <c r="N2862"/>
      <c r="O2862"/>
      <c r="P2862" s="216"/>
      <c r="Q2862" s="217"/>
      <c r="R2862" s="217"/>
      <c r="S2862" s="218"/>
    </row>
    <row r="2863" spans="13:19" ht="15" customHeight="1" x14ac:dyDescent="0.25">
      <c r="M2863"/>
      <c r="N2863"/>
      <c r="O2863"/>
      <c r="P2863" s="216"/>
      <c r="Q2863" s="217"/>
      <c r="R2863" s="217"/>
      <c r="S2863" s="218"/>
    </row>
    <row r="2864" spans="13:19" ht="15" customHeight="1" x14ac:dyDescent="0.25">
      <c r="M2864"/>
      <c r="N2864"/>
      <c r="O2864"/>
      <c r="P2864" s="216"/>
      <c r="Q2864" s="217"/>
      <c r="R2864" s="217"/>
      <c r="S2864" s="218"/>
    </row>
    <row r="2865" spans="13:19" ht="15" customHeight="1" x14ac:dyDescent="0.25">
      <c r="M2865"/>
      <c r="N2865"/>
      <c r="O2865"/>
      <c r="P2865" s="216"/>
      <c r="Q2865" s="217"/>
      <c r="R2865" s="217"/>
      <c r="S2865" s="218"/>
    </row>
    <row r="2866" spans="13:19" ht="15" customHeight="1" x14ac:dyDescent="0.25">
      <c r="M2866"/>
      <c r="N2866"/>
      <c r="O2866"/>
      <c r="P2866" s="216"/>
      <c r="Q2866" s="217"/>
      <c r="R2866" s="217"/>
      <c r="S2866" s="218"/>
    </row>
    <row r="2867" spans="13:19" ht="15" customHeight="1" x14ac:dyDescent="0.25">
      <c r="M2867"/>
      <c r="N2867"/>
      <c r="O2867"/>
      <c r="P2867" s="216"/>
      <c r="Q2867" s="217"/>
      <c r="R2867" s="217"/>
      <c r="S2867" s="218"/>
    </row>
    <row r="2868" spans="13:19" ht="15" customHeight="1" x14ac:dyDescent="0.25">
      <c r="M2868"/>
      <c r="N2868"/>
      <c r="O2868"/>
      <c r="P2868" s="216"/>
      <c r="Q2868" s="217"/>
      <c r="R2868" s="217"/>
      <c r="S2868" s="218"/>
    </row>
    <row r="2869" spans="13:19" ht="15" customHeight="1" x14ac:dyDescent="0.25">
      <c r="M2869"/>
      <c r="N2869"/>
      <c r="O2869"/>
      <c r="P2869" s="216"/>
      <c r="Q2869" s="217"/>
      <c r="R2869" s="217"/>
      <c r="S2869" s="218"/>
    </row>
    <row r="2870" spans="13:19" ht="15" customHeight="1" x14ac:dyDescent="0.25">
      <c r="M2870"/>
      <c r="N2870"/>
      <c r="O2870"/>
      <c r="P2870" s="216"/>
      <c r="Q2870" s="217"/>
      <c r="R2870" s="217"/>
      <c r="S2870" s="218"/>
    </row>
    <row r="2871" spans="13:19" ht="15" customHeight="1" x14ac:dyDescent="0.25">
      <c r="M2871"/>
      <c r="N2871"/>
      <c r="O2871"/>
      <c r="P2871" s="216"/>
      <c r="Q2871" s="217"/>
      <c r="R2871" s="217"/>
      <c r="S2871" s="218"/>
    </row>
    <row r="2872" spans="13:19" ht="15" customHeight="1" x14ac:dyDescent="0.25">
      <c r="M2872"/>
      <c r="N2872"/>
      <c r="O2872"/>
      <c r="P2872" s="216"/>
      <c r="Q2872" s="217"/>
      <c r="R2872" s="217"/>
      <c r="S2872" s="218"/>
    </row>
    <row r="2873" spans="13:19" ht="15" customHeight="1" x14ac:dyDescent="0.25">
      <c r="M2873"/>
      <c r="N2873"/>
      <c r="O2873"/>
      <c r="P2873" s="216"/>
      <c r="Q2873" s="217"/>
      <c r="R2873" s="217"/>
      <c r="S2873" s="218"/>
    </row>
    <row r="2874" spans="13:19" ht="15" customHeight="1" x14ac:dyDescent="0.25">
      <c r="M2874"/>
      <c r="N2874"/>
      <c r="O2874"/>
      <c r="P2874" s="216"/>
      <c r="Q2874" s="217"/>
      <c r="R2874" s="217"/>
      <c r="S2874" s="218"/>
    </row>
    <row r="2875" spans="13:19" ht="15" customHeight="1" x14ac:dyDescent="0.25">
      <c r="M2875"/>
      <c r="N2875"/>
      <c r="O2875"/>
      <c r="P2875" s="216"/>
      <c r="Q2875" s="217"/>
      <c r="R2875" s="217"/>
      <c r="S2875" s="218"/>
    </row>
    <row r="2876" spans="13:19" ht="15" customHeight="1" x14ac:dyDescent="0.25">
      <c r="M2876"/>
      <c r="N2876"/>
      <c r="O2876"/>
      <c r="P2876" s="216"/>
      <c r="Q2876" s="217"/>
      <c r="R2876" s="217"/>
      <c r="S2876" s="218"/>
    </row>
    <row r="2877" spans="13:19" ht="15" customHeight="1" x14ac:dyDescent="0.25">
      <c r="M2877"/>
      <c r="N2877"/>
      <c r="O2877"/>
      <c r="P2877" s="216"/>
      <c r="Q2877" s="217"/>
      <c r="R2877" s="217"/>
      <c r="S2877" s="218"/>
    </row>
    <row r="2878" spans="13:19" ht="15" customHeight="1" x14ac:dyDescent="0.25">
      <c r="M2878"/>
      <c r="N2878"/>
      <c r="O2878"/>
      <c r="P2878" s="216"/>
      <c r="Q2878" s="217"/>
      <c r="R2878" s="217"/>
      <c r="S2878" s="218"/>
    </row>
    <row r="2879" spans="13:19" ht="15" customHeight="1" x14ac:dyDescent="0.25">
      <c r="M2879"/>
      <c r="N2879"/>
      <c r="O2879"/>
      <c r="P2879" s="216"/>
      <c r="Q2879" s="217"/>
      <c r="R2879" s="217"/>
      <c r="S2879" s="218"/>
    </row>
    <row r="2880" spans="13:19" ht="15" customHeight="1" x14ac:dyDescent="0.25">
      <c r="M2880"/>
      <c r="N2880"/>
      <c r="O2880"/>
      <c r="P2880" s="216"/>
      <c r="Q2880" s="217"/>
      <c r="R2880" s="217"/>
      <c r="S2880" s="218"/>
    </row>
    <row r="2881" spans="13:19" ht="15" customHeight="1" x14ac:dyDescent="0.25">
      <c r="M2881"/>
      <c r="N2881"/>
      <c r="O2881"/>
      <c r="P2881" s="216"/>
      <c r="Q2881" s="217"/>
      <c r="R2881" s="217"/>
      <c r="S2881" s="218"/>
    </row>
    <row r="2882" spans="13:19" ht="15" customHeight="1" x14ac:dyDescent="0.25">
      <c r="M2882"/>
      <c r="N2882"/>
      <c r="O2882"/>
      <c r="P2882" s="216"/>
      <c r="Q2882" s="217"/>
      <c r="R2882" s="217"/>
      <c r="S2882" s="218"/>
    </row>
    <row r="2883" spans="13:19" ht="15" customHeight="1" x14ac:dyDescent="0.25">
      <c r="M2883"/>
      <c r="N2883"/>
      <c r="O2883"/>
      <c r="P2883" s="216"/>
      <c r="Q2883" s="217"/>
      <c r="R2883" s="217"/>
      <c r="S2883" s="218"/>
    </row>
    <row r="2884" spans="13:19" ht="15" customHeight="1" x14ac:dyDescent="0.25">
      <c r="M2884"/>
      <c r="N2884"/>
      <c r="O2884"/>
      <c r="P2884" s="216"/>
      <c r="Q2884" s="217"/>
      <c r="R2884" s="217"/>
      <c r="S2884" s="218"/>
    </row>
    <row r="2885" spans="13:19" ht="15" customHeight="1" x14ac:dyDescent="0.25">
      <c r="M2885"/>
      <c r="N2885"/>
      <c r="O2885"/>
      <c r="P2885" s="216"/>
      <c r="Q2885" s="217"/>
      <c r="R2885" s="217"/>
      <c r="S2885" s="218"/>
    </row>
    <row r="2886" spans="13:19" ht="15" customHeight="1" x14ac:dyDescent="0.25">
      <c r="M2886"/>
      <c r="N2886"/>
      <c r="O2886"/>
      <c r="P2886" s="216"/>
      <c r="Q2886" s="217"/>
      <c r="R2886" s="217"/>
      <c r="S2886" s="218"/>
    </row>
    <row r="2887" spans="13:19" ht="15" customHeight="1" x14ac:dyDescent="0.25">
      <c r="M2887"/>
      <c r="N2887"/>
      <c r="O2887"/>
      <c r="P2887" s="216"/>
      <c r="Q2887" s="217"/>
      <c r="R2887" s="217"/>
      <c r="S2887" s="218"/>
    </row>
    <row r="2888" spans="13:19" ht="15" customHeight="1" x14ac:dyDescent="0.25">
      <c r="M2888"/>
      <c r="N2888"/>
      <c r="O2888"/>
      <c r="P2888" s="216"/>
      <c r="Q2888" s="217"/>
      <c r="R2888" s="217"/>
      <c r="S2888" s="218"/>
    </row>
    <row r="2889" spans="13:19" ht="15" customHeight="1" x14ac:dyDescent="0.25">
      <c r="M2889"/>
      <c r="N2889"/>
      <c r="O2889"/>
      <c r="P2889" s="216"/>
      <c r="Q2889" s="217"/>
      <c r="R2889" s="217"/>
      <c r="S2889" s="218"/>
    </row>
    <row r="2890" spans="13:19" ht="15" customHeight="1" x14ac:dyDescent="0.25">
      <c r="M2890"/>
      <c r="N2890"/>
      <c r="O2890"/>
      <c r="P2890" s="216"/>
      <c r="Q2890" s="217"/>
      <c r="R2890" s="217"/>
      <c r="S2890" s="218"/>
    </row>
    <row r="2891" spans="13:19" ht="15" customHeight="1" x14ac:dyDescent="0.25">
      <c r="M2891"/>
      <c r="N2891"/>
      <c r="O2891"/>
      <c r="P2891" s="216"/>
      <c r="Q2891" s="217"/>
      <c r="R2891" s="217"/>
      <c r="S2891" s="218"/>
    </row>
    <row r="2892" spans="13:19" ht="15" customHeight="1" x14ac:dyDescent="0.25">
      <c r="M2892"/>
      <c r="N2892"/>
      <c r="O2892"/>
      <c r="P2892" s="216"/>
      <c r="Q2892" s="217"/>
      <c r="R2892" s="217"/>
      <c r="S2892" s="218"/>
    </row>
    <row r="2893" spans="13:19" ht="15" customHeight="1" x14ac:dyDescent="0.25">
      <c r="M2893"/>
      <c r="N2893"/>
      <c r="O2893"/>
      <c r="P2893" s="216"/>
      <c r="Q2893" s="217"/>
      <c r="R2893" s="217"/>
      <c r="S2893" s="218"/>
    </row>
    <row r="2894" spans="13:19" ht="15" customHeight="1" x14ac:dyDescent="0.25">
      <c r="M2894"/>
      <c r="N2894"/>
      <c r="O2894"/>
      <c r="P2894" s="216"/>
      <c r="Q2894" s="217"/>
      <c r="R2894" s="217"/>
      <c r="S2894" s="218"/>
    </row>
    <row r="2895" spans="13:19" ht="15" customHeight="1" x14ac:dyDescent="0.25">
      <c r="M2895"/>
      <c r="N2895"/>
      <c r="O2895"/>
      <c r="P2895" s="216"/>
      <c r="Q2895" s="217"/>
      <c r="R2895" s="217"/>
      <c r="S2895" s="218"/>
    </row>
    <row r="2896" spans="13:19" ht="15" customHeight="1" x14ac:dyDescent="0.25">
      <c r="M2896"/>
      <c r="N2896"/>
      <c r="O2896"/>
      <c r="P2896" s="216"/>
      <c r="Q2896" s="217"/>
      <c r="R2896" s="217"/>
      <c r="S2896" s="218"/>
    </row>
    <row r="2897" spans="13:19" ht="15" customHeight="1" x14ac:dyDescent="0.25">
      <c r="M2897"/>
      <c r="N2897"/>
      <c r="O2897"/>
      <c r="P2897" s="216"/>
      <c r="Q2897" s="217"/>
      <c r="R2897" s="217"/>
      <c r="S2897" s="218"/>
    </row>
    <row r="2898" spans="13:19" ht="15" customHeight="1" x14ac:dyDescent="0.25">
      <c r="M2898"/>
      <c r="N2898"/>
      <c r="O2898"/>
      <c r="P2898" s="216"/>
      <c r="Q2898" s="217"/>
      <c r="R2898" s="217"/>
      <c r="S2898" s="218"/>
    </row>
    <row r="2899" spans="13:19" ht="15" customHeight="1" x14ac:dyDescent="0.25">
      <c r="M2899"/>
      <c r="N2899"/>
      <c r="O2899"/>
      <c r="P2899" s="216"/>
      <c r="Q2899" s="217"/>
      <c r="R2899" s="217"/>
      <c r="S2899" s="218"/>
    </row>
    <row r="2900" spans="13:19" ht="15" customHeight="1" x14ac:dyDescent="0.25">
      <c r="M2900"/>
      <c r="N2900"/>
      <c r="O2900"/>
      <c r="P2900" s="216"/>
      <c r="Q2900" s="217"/>
      <c r="R2900" s="217"/>
      <c r="S2900" s="218"/>
    </row>
    <row r="2901" spans="13:19" ht="15" customHeight="1" x14ac:dyDescent="0.25">
      <c r="M2901"/>
      <c r="N2901"/>
      <c r="O2901"/>
      <c r="P2901" s="216"/>
      <c r="Q2901" s="217"/>
      <c r="R2901" s="217"/>
      <c r="S2901" s="218"/>
    </row>
    <row r="2902" spans="13:19" ht="15" customHeight="1" x14ac:dyDescent="0.25">
      <c r="M2902"/>
      <c r="N2902"/>
      <c r="O2902"/>
      <c r="P2902" s="216"/>
      <c r="Q2902" s="217"/>
      <c r="R2902" s="217"/>
      <c r="S2902" s="218"/>
    </row>
    <row r="2903" spans="13:19" ht="15" customHeight="1" x14ac:dyDescent="0.25">
      <c r="M2903"/>
      <c r="N2903"/>
      <c r="O2903"/>
      <c r="P2903" s="216"/>
      <c r="Q2903" s="217"/>
      <c r="R2903" s="217"/>
      <c r="S2903" s="218"/>
    </row>
    <row r="2904" spans="13:19" ht="15" customHeight="1" x14ac:dyDescent="0.25">
      <c r="M2904"/>
      <c r="N2904"/>
      <c r="O2904"/>
      <c r="P2904" s="216"/>
      <c r="Q2904" s="217"/>
      <c r="R2904" s="217"/>
      <c r="S2904" s="218"/>
    </row>
    <row r="2905" spans="13:19" ht="15" customHeight="1" x14ac:dyDescent="0.25">
      <c r="M2905"/>
      <c r="N2905"/>
      <c r="O2905"/>
      <c r="P2905" s="216"/>
      <c r="Q2905" s="217"/>
      <c r="R2905" s="217"/>
      <c r="S2905" s="218"/>
    </row>
    <row r="2906" spans="13:19" ht="15" customHeight="1" x14ac:dyDescent="0.25">
      <c r="M2906"/>
      <c r="N2906"/>
      <c r="O2906"/>
      <c r="P2906" s="216"/>
      <c r="Q2906" s="217"/>
      <c r="R2906" s="217"/>
      <c r="S2906" s="218"/>
    </row>
    <row r="2907" spans="13:19" ht="15" customHeight="1" x14ac:dyDescent="0.25">
      <c r="M2907"/>
      <c r="N2907"/>
      <c r="O2907"/>
      <c r="P2907" s="216"/>
      <c r="Q2907" s="217"/>
      <c r="R2907" s="217"/>
      <c r="S2907" s="218"/>
    </row>
    <row r="2908" spans="13:19" ht="15" customHeight="1" x14ac:dyDescent="0.25">
      <c r="M2908"/>
      <c r="N2908"/>
      <c r="O2908"/>
      <c r="P2908" s="216"/>
      <c r="Q2908" s="217"/>
      <c r="R2908" s="217"/>
      <c r="S2908" s="218"/>
    </row>
    <row r="2909" spans="13:19" ht="15" customHeight="1" x14ac:dyDescent="0.25">
      <c r="M2909"/>
      <c r="N2909"/>
      <c r="O2909"/>
      <c r="P2909" s="216"/>
      <c r="Q2909" s="217"/>
      <c r="R2909" s="217"/>
      <c r="S2909" s="218"/>
    </row>
    <row r="2910" spans="13:19" ht="15" customHeight="1" x14ac:dyDescent="0.25">
      <c r="M2910"/>
      <c r="N2910"/>
      <c r="O2910"/>
      <c r="P2910" s="216"/>
      <c r="Q2910" s="217"/>
      <c r="R2910" s="217"/>
      <c r="S2910" s="218"/>
    </row>
    <row r="2911" spans="13:19" ht="15" customHeight="1" x14ac:dyDescent="0.25">
      <c r="M2911"/>
      <c r="N2911"/>
      <c r="O2911"/>
      <c r="P2911" s="216"/>
      <c r="Q2911" s="217"/>
      <c r="R2911" s="217"/>
      <c r="S2911" s="218"/>
    </row>
    <row r="2912" spans="13:19" ht="15" customHeight="1" x14ac:dyDescent="0.25">
      <c r="M2912"/>
      <c r="N2912"/>
      <c r="O2912"/>
      <c r="P2912" s="216"/>
      <c r="Q2912" s="217"/>
      <c r="R2912" s="217"/>
      <c r="S2912" s="218"/>
    </row>
    <row r="2913" spans="13:19" ht="15" customHeight="1" x14ac:dyDescent="0.25">
      <c r="M2913"/>
      <c r="N2913"/>
      <c r="O2913"/>
      <c r="P2913" s="216"/>
      <c r="Q2913" s="217"/>
      <c r="R2913" s="217"/>
      <c r="S2913" s="218"/>
    </row>
    <row r="2914" spans="13:19" ht="15" customHeight="1" x14ac:dyDescent="0.25">
      <c r="M2914"/>
      <c r="N2914"/>
      <c r="O2914"/>
      <c r="P2914" s="216"/>
      <c r="Q2914" s="217"/>
      <c r="R2914" s="217"/>
      <c r="S2914" s="218"/>
    </row>
    <row r="2915" spans="13:19" ht="15" customHeight="1" x14ac:dyDescent="0.25">
      <c r="M2915"/>
      <c r="N2915"/>
      <c r="O2915"/>
      <c r="P2915" s="216"/>
      <c r="Q2915" s="217"/>
      <c r="R2915" s="217"/>
      <c r="S2915" s="218"/>
    </row>
    <row r="2916" spans="13:19" ht="15" customHeight="1" x14ac:dyDescent="0.25">
      <c r="M2916"/>
      <c r="N2916"/>
      <c r="O2916"/>
      <c r="P2916" s="216"/>
      <c r="Q2916" s="217"/>
      <c r="R2916" s="217"/>
      <c r="S2916" s="218"/>
    </row>
    <row r="2917" spans="13:19" ht="15" customHeight="1" x14ac:dyDescent="0.25">
      <c r="M2917"/>
      <c r="N2917"/>
      <c r="O2917"/>
      <c r="P2917" s="216"/>
      <c r="Q2917" s="217"/>
      <c r="R2917" s="217"/>
      <c r="S2917" s="218"/>
    </row>
    <row r="2918" spans="13:19" ht="15" customHeight="1" x14ac:dyDescent="0.25">
      <c r="M2918"/>
      <c r="N2918"/>
      <c r="O2918"/>
      <c r="P2918" s="216"/>
      <c r="Q2918" s="217"/>
      <c r="R2918" s="217"/>
      <c r="S2918" s="218"/>
    </row>
    <row r="2919" spans="13:19" ht="15" customHeight="1" x14ac:dyDescent="0.25">
      <c r="M2919"/>
      <c r="N2919"/>
      <c r="O2919"/>
      <c r="P2919" s="216"/>
      <c r="Q2919" s="217"/>
      <c r="R2919" s="217"/>
      <c r="S2919" s="218"/>
    </row>
    <row r="2920" spans="13:19" ht="15" customHeight="1" x14ac:dyDescent="0.25">
      <c r="M2920"/>
      <c r="N2920"/>
      <c r="O2920"/>
      <c r="P2920" s="216"/>
      <c r="Q2920" s="217"/>
      <c r="R2920" s="217"/>
      <c r="S2920" s="218"/>
    </row>
    <row r="2921" spans="13:19" ht="15" customHeight="1" x14ac:dyDescent="0.25">
      <c r="M2921"/>
      <c r="N2921"/>
      <c r="O2921"/>
      <c r="P2921" s="216"/>
      <c r="Q2921" s="217"/>
      <c r="R2921" s="217"/>
      <c r="S2921" s="218"/>
    </row>
    <row r="2922" spans="13:19" ht="15" customHeight="1" x14ac:dyDescent="0.25">
      <c r="M2922"/>
      <c r="N2922"/>
      <c r="O2922"/>
      <c r="P2922" s="216"/>
      <c r="Q2922" s="217"/>
      <c r="R2922" s="217"/>
      <c r="S2922" s="218"/>
    </row>
    <row r="2923" spans="13:19" ht="15" customHeight="1" x14ac:dyDescent="0.25">
      <c r="M2923"/>
      <c r="N2923"/>
      <c r="O2923"/>
      <c r="P2923" s="216"/>
      <c r="Q2923" s="217"/>
      <c r="R2923" s="217"/>
      <c r="S2923" s="218"/>
    </row>
    <row r="2924" spans="13:19" ht="15" customHeight="1" x14ac:dyDescent="0.25">
      <c r="M2924"/>
      <c r="N2924"/>
      <c r="O2924"/>
      <c r="P2924" s="216"/>
      <c r="Q2924" s="217"/>
      <c r="R2924" s="217"/>
      <c r="S2924" s="218"/>
    </row>
    <row r="2925" spans="13:19" ht="15" customHeight="1" x14ac:dyDescent="0.25">
      <c r="M2925"/>
      <c r="N2925"/>
      <c r="O2925"/>
      <c r="P2925" s="216"/>
      <c r="Q2925" s="217"/>
      <c r="R2925" s="217"/>
      <c r="S2925" s="218"/>
    </row>
    <row r="2926" spans="13:19" ht="15" customHeight="1" x14ac:dyDescent="0.25">
      <c r="M2926"/>
      <c r="N2926"/>
      <c r="O2926"/>
      <c r="P2926" s="216"/>
      <c r="Q2926" s="217"/>
      <c r="R2926" s="217"/>
      <c r="S2926" s="218"/>
    </row>
    <row r="2927" spans="13:19" ht="15" customHeight="1" x14ac:dyDescent="0.25">
      <c r="M2927"/>
      <c r="N2927"/>
      <c r="O2927"/>
      <c r="P2927" s="216"/>
      <c r="Q2927" s="217"/>
      <c r="R2927" s="217"/>
      <c r="S2927" s="218"/>
    </row>
    <row r="2928" spans="13:19" ht="15" customHeight="1" x14ac:dyDescent="0.25">
      <c r="M2928"/>
      <c r="N2928"/>
      <c r="O2928"/>
      <c r="P2928" s="216"/>
      <c r="Q2928" s="217"/>
      <c r="R2928" s="217"/>
      <c r="S2928" s="218"/>
    </row>
    <row r="2929" spans="13:19" ht="15" customHeight="1" x14ac:dyDescent="0.25">
      <c r="M2929"/>
      <c r="N2929"/>
      <c r="O2929"/>
      <c r="P2929" s="216"/>
      <c r="Q2929" s="217"/>
      <c r="R2929" s="217"/>
      <c r="S2929" s="218"/>
    </row>
    <row r="2930" spans="13:19" ht="15" customHeight="1" x14ac:dyDescent="0.25">
      <c r="M2930"/>
      <c r="N2930"/>
      <c r="O2930"/>
      <c r="P2930" s="216"/>
      <c r="Q2930" s="217"/>
      <c r="R2930" s="217"/>
      <c r="S2930" s="218"/>
    </row>
    <row r="2931" spans="13:19" ht="15" customHeight="1" x14ac:dyDescent="0.25">
      <c r="M2931"/>
      <c r="N2931"/>
      <c r="O2931"/>
      <c r="P2931" s="216"/>
      <c r="Q2931" s="217"/>
      <c r="R2931" s="217"/>
      <c r="S2931" s="218"/>
    </row>
    <row r="2932" spans="13:19" ht="15" customHeight="1" x14ac:dyDescent="0.25">
      <c r="M2932"/>
      <c r="N2932"/>
      <c r="O2932"/>
      <c r="P2932" s="216"/>
      <c r="Q2932" s="217"/>
      <c r="R2932" s="217"/>
      <c r="S2932" s="218"/>
    </row>
    <row r="2933" spans="13:19" ht="15" customHeight="1" x14ac:dyDescent="0.25">
      <c r="M2933"/>
      <c r="N2933"/>
      <c r="O2933"/>
      <c r="P2933" s="216"/>
      <c r="Q2933" s="217"/>
      <c r="R2933" s="217"/>
      <c r="S2933" s="218"/>
    </row>
    <row r="2934" spans="13:19" ht="15" customHeight="1" x14ac:dyDescent="0.25">
      <c r="M2934"/>
      <c r="N2934"/>
      <c r="O2934"/>
      <c r="P2934" s="216"/>
      <c r="Q2934" s="217"/>
      <c r="R2934" s="217"/>
      <c r="S2934" s="218"/>
    </row>
    <row r="2935" spans="13:19" ht="15" customHeight="1" x14ac:dyDescent="0.25">
      <c r="M2935"/>
      <c r="N2935"/>
      <c r="O2935"/>
      <c r="P2935" s="216"/>
      <c r="Q2935" s="217"/>
      <c r="R2935" s="217"/>
      <c r="S2935" s="218"/>
    </row>
    <row r="2936" spans="13:19" ht="15" customHeight="1" x14ac:dyDescent="0.25">
      <c r="M2936"/>
      <c r="N2936"/>
      <c r="O2936"/>
      <c r="P2936" s="216"/>
      <c r="Q2936" s="217"/>
      <c r="R2936" s="217"/>
      <c r="S2936" s="218"/>
    </row>
    <row r="2937" spans="13:19" ht="15" customHeight="1" x14ac:dyDescent="0.25">
      <c r="M2937"/>
      <c r="N2937"/>
      <c r="O2937"/>
      <c r="P2937" s="216"/>
      <c r="Q2937" s="217"/>
      <c r="R2937" s="217"/>
      <c r="S2937" s="218"/>
    </row>
    <row r="2938" spans="13:19" ht="15" customHeight="1" x14ac:dyDescent="0.25">
      <c r="M2938"/>
      <c r="N2938"/>
      <c r="O2938"/>
      <c r="P2938" s="216"/>
      <c r="Q2938" s="217"/>
      <c r="R2938" s="217"/>
      <c r="S2938" s="218"/>
    </row>
    <row r="2939" spans="13:19" ht="15" customHeight="1" x14ac:dyDescent="0.25">
      <c r="M2939"/>
      <c r="N2939"/>
      <c r="O2939"/>
      <c r="P2939" s="216"/>
      <c r="Q2939" s="217"/>
      <c r="R2939" s="217"/>
      <c r="S2939" s="218"/>
    </row>
    <row r="2940" spans="13:19" ht="15" customHeight="1" x14ac:dyDescent="0.25">
      <c r="M2940"/>
      <c r="N2940"/>
      <c r="O2940"/>
      <c r="P2940" s="216"/>
      <c r="Q2940" s="217"/>
      <c r="R2940" s="217"/>
      <c r="S2940" s="218"/>
    </row>
    <row r="2941" spans="13:19" ht="15" customHeight="1" x14ac:dyDescent="0.25">
      <c r="M2941"/>
      <c r="N2941"/>
      <c r="O2941"/>
      <c r="P2941" s="216"/>
      <c r="Q2941" s="217"/>
      <c r="R2941" s="217"/>
      <c r="S2941" s="218"/>
    </row>
    <row r="2942" spans="13:19" ht="15" customHeight="1" x14ac:dyDescent="0.25">
      <c r="M2942"/>
      <c r="N2942"/>
      <c r="O2942"/>
      <c r="P2942" s="216"/>
      <c r="Q2942" s="217"/>
      <c r="R2942" s="217"/>
      <c r="S2942" s="218"/>
    </row>
    <row r="2943" spans="13:19" ht="15" customHeight="1" x14ac:dyDescent="0.25">
      <c r="M2943"/>
      <c r="N2943"/>
      <c r="O2943"/>
      <c r="P2943" s="216"/>
      <c r="Q2943" s="217"/>
      <c r="R2943" s="217"/>
      <c r="S2943" s="218"/>
    </row>
    <row r="2944" spans="13:19" ht="15" customHeight="1" x14ac:dyDescent="0.25">
      <c r="M2944"/>
      <c r="N2944"/>
      <c r="O2944"/>
      <c r="P2944" s="216"/>
      <c r="Q2944" s="217"/>
      <c r="R2944" s="217"/>
      <c r="S2944" s="218"/>
    </row>
    <row r="2945" spans="13:19" ht="15" customHeight="1" x14ac:dyDescent="0.25">
      <c r="M2945"/>
      <c r="N2945"/>
      <c r="O2945"/>
      <c r="P2945" s="216"/>
      <c r="Q2945" s="217"/>
      <c r="R2945" s="217"/>
      <c r="S2945" s="218"/>
    </row>
    <row r="2946" spans="13:19" ht="15" customHeight="1" x14ac:dyDescent="0.25">
      <c r="M2946"/>
      <c r="N2946"/>
      <c r="O2946"/>
      <c r="P2946" s="216"/>
      <c r="Q2946" s="217"/>
      <c r="R2946" s="217"/>
      <c r="S2946" s="218"/>
    </row>
    <row r="2947" spans="13:19" ht="15" customHeight="1" x14ac:dyDescent="0.25">
      <c r="M2947"/>
      <c r="N2947"/>
      <c r="O2947"/>
      <c r="P2947" s="216"/>
      <c r="Q2947" s="217"/>
      <c r="R2947" s="217"/>
      <c r="S2947" s="218"/>
    </row>
    <row r="2948" spans="13:19" ht="15" customHeight="1" x14ac:dyDescent="0.25">
      <c r="M2948"/>
      <c r="N2948"/>
      <c r="O2948"/>
      <c r="P2948" s="216"/>
      <c r="Q2948" s="217"/>
      <c r="R2948" s="217"/>
      <c r="S2948" s="218"/>
    </row>
    <row r="2949" spans="13:19" ht="15" customHeight="1" x14ac:dyDescent="0.25">
      <c r="M2949"/>
      <c r="N2949"/>
      <c r="O2949"/>
      <c r="P2949" s="216"/>
      <c r="Q2949" s="217"/>
      <c r="R2949" s="217"/>
      <c r="S2949" s="218"/>
    </row>
    <row r="2950" spans="13:19" ht="15" customHeight="1" x14ac:dyDescent="0.25">
      <c r="M2950"/>
      <c r="N2950"/>
      <c r="O2950"/>
      <c r="P2950" s="216"/>
      <c r="Q2950" s="217"/>
      <c r="R2950" s="217"/>
      <c r="S2950" s="218"/>
    </row>
    <row r="2951" spans="13:19" ht="15" customHeight="1" x14ac:dyDescent="0.25">
      <c r="M2951"/>
      <c r="N2951"/>
      <c r="O2951"/>
      <c r="P2951" s="216"/>
      <c r="Q2951" s="217"/>
      <c r="R2951" s="217"/>
      <c r="S2951" s="218"/>
    </row>
    <row r="2952" spans="13:19" ht="15" customHeight="1" x14ac:dyDescent="0.25">
      <c r="M2952"/>
      <c r="N2952"/>
      <c r="O2952"/>
      <c r="P2952" s="216"/>
      <c r="Q2952" s="217"/>
      <c r="R2952" s="217"/>
      <c r="S2952" s="218"/>
    </row>
    <row r="2953" spans="13:19" ht="15" customHeight="1" x14ac:dyDescent="0.25">
      <c r="M2953"/>
      <c r="N2953"/>
      <c r="O2953"/>
      <c r="P2953" s="216"/>
      <c r="Q2953" s="217"/>
      <c r="R2953" s="217"/>
      <c r="S2953" s="218"/>
    </row>
    <row r="2954" spans="13:19" ht="15" customHeight="1" x14ac:dyDescent="0.25">
      <c r="M2954"/>
      <c r="N2954"/>
      <c r="O2954"/>
      <c r="P2954" s="216"/>
      <c r="Q2954" s="217"/>
      <c r="R2954" s="217"/>
      <c r="S2954" s="218"/>
    </row>
    <row r="2955" spans="13:19" ht="15" customHeight="1" x14ac:dyDescent="0.25">
      <c r="M2955"/>
      <c r="N2955"/>
      <c r="O2955"/>
      <c r="P2955" s="216"/>
      <c r="Q2955" s="217"/>
      <c r="R2955" s="217"/>
      <c r="S2955" s="218"/>
    </row>
    <row r="2956" spans="13:19" ht="15" customHeight="1" x14ac:dyDescent="0.25">
      <c r="M2956"/>
      <c r="N2956"/>
      <c r="O2956"/>
      <c r="P2956" s="216"/>
      <c r="Q2956" s="217"/>
      <c r="R2956" s="217"/>
      <c r="S2956" s="218"/>
    </row>
    <row r="2957" spans="13:19" ht="15" customHeight="1" x14ac:dyDescent="0.25">
      <c r="M2957"/>
      <c r="N2957"/>
      <c r="O2957"/>
      <c r="P2957" s="216"/>
      <c r="Q2957" s="217"/>
      <c r="R2957" s="217"/>
      <c r="S2957" s="218"/>
    </row>
    <row r="2958" spans="13:19" ht="15" customHeight="1" x14ac:dyDescent="0.25">
      <c r="M2958"/>
      <c r="N2958"/>
      <c r="O2958"/>
      <c r="P2958" s="216"/>
      <c r="Q2958" s="217"/>
      <c r="R2958" s="217"/>
      <c r="S2958" s="218"/>
    </row>
    <row r="2959" spans="13:19" ht="15" customHeight="1" x14ac:dyDescent="0.25">
      <c r="M2959"/>
      <c r="N2959"/>
      <c r="O2959"/>
      <c r="P2959" s="216"/>
      <c r="Q2959" s="217"/>
      <c r="R2959" s="217"/>
      <c r="S2959" s="218"/>
    </row>
    <row r="2960" spans="13:19" ht="15" customHeight="1" x14ac:dyDescent="0.25">
      <c r="M2960"/>
      <c r="N2960"/>
      <c r="O2960"/>
      <c r="P2960" s="216"/>
      <c r="Q2960" s="217"/>
      <c r="R2960" s="217"/>
      <c r="S2960" s="218"/>
    </row>
    <row r="2961" spans="13:19" ht="15" customHeight="1" x14ac:dyDescent="0.25">
      <c r="M2961"/>
      <c r="N2961"/>
      <c r="O2961"/>
      <c r="P2961" s="216"/>
      <c r="Q2961" s="217"/>
      <c r="R2961" s="217"/>
      <c r="S2961" s="218"/>
    </row>
    <row r="2962" spans="13:19" ht="15" customHeight="1" x14ac:dyDescent="0.25">
      <c r="M2962"/>
      <c r="N2962"/>
      <c r="O2962"/>
      <c r="P2962" s="216"/>
      <c r="Q2962" s="217"/>
      <c r="R2962" s="217"/>
      <c r="S2962" s="218"/>
    </row>
    <row r="2963" spans="13:19" ht="15" customHeight="1" x14ac:dyDescent="0.25">
      <c r="M2963"/>
      <c r="N2963"/>
      <c r="O2963"/>
      <c r="P2963" s="216"/>
      <c r="Q2963" s="217"/>
      <c r="R2963" s="217"/>
      <c r="S2963" s="218"/>
    </row>
    <row r="2964" spans="13:19" ht="15" customHeight="1" x14ac:dyDescent="0.25">
      <c r="M2964"/>
      <c r="N2964"/>
      <c r="O2964"/>
      <c r="P2964" s="216"/>
      <c r="Q2964" s="217"/>
      <c r="R2964" s="217"/>
      <c r="S2964" s="218"/>
    </row>
    <row r="2965" spans="13:19" ht="15" customHeight="1" x14ac:dyDescent="0.25">
      <c r="M2965"/>
      <c r="N2965"/>
      <c r="O2965"/>
      <c r="P2965" s="216"/>
      <c r="Q2965" s="217"/>
      <c r="R2965" s="217"/>
      <c r="S2965" s="218"/>
    </row>
    <row r="2966" spans="13:19" ht="15" customHeight="1" x14ac:dyDescent="0.25">
      <c r="M2966"/>
      <c r="N2966"/>
      <c r="O2966"/>
      <c r="P2966" s="216"/>
      <c r="Q2966" s="217"/>
      <c r="R2966" s="217"/>
      <c r="S2966" s="218"/>
    </row>
    <row r="2967" spans="13:19" ht="15" customHeight="1" x14ac:dyDescent="0.25">
      <c r="M2967"/>
      <c r="N2967"/>
      <c r="O2967"/>
      <c r="P2967" s="216"/>
      <c r="Q2967" s="217"/>
      <c r="R2967" s="217"/>
      <c r="S2967" s="218"/>
    </row>
    <row r="2968" spans="13:19" ht="15" customHeight="1" x14ac:dyDescent="0.25">
      <c r="M2968"/>
      <c r="N2968"/>
      <c r="O2968"/>
      <c r="P2968" s="216"/>
      <c r="Q2968" s="217"/>
      <c r="R2968" s="217"/>
      <c r="S2968" s="218"/>
    </row>
    <row r="2969" spans="13:19" ht="15" customHeight="1" x14ac:dyDescent="0.25">
      <c r="M2969"/>
      <c r="N2969"/>
      <c r="O2969"/>
      <c r="P2969" s="216"/>
      <c r="Q2969" s="217"/>
      <c r="R2969" s="217"/>
      <c r="S2969" s="218"/>
    </row>
    <row r="2970" spans="13:19" ht="15" customHeight="1" x14ac:dyDescent="0.25">
      <c r="M2970"/>
      <c r="N2970"/>
      <c r="O2970"/>
      <c r="P2970" s="216"/>
      <c r="Q2970" s="217"/>
      <c r="R2970" s="217"/>
      <c r="S2970" s="218"/>
    </row>
    <row r="2971" spans="13:19" ht="15" customHeight="1" x14ac:dyDescent="0.25">
      <c r="M2971"/>
      <c r="N2971"/>
      <c r="O2971"/>
      <c r="P2971" s="216"/>
      <c r="Q2971" s="217"/>
      <c r="R2971" s="217"/>
      <c r="S2971" s="218"/>
    </row>
    <row r="2972" spans="13:19" ht="15" customHeight="1" x14ac:dyDescent="0.25">
      <c r="M2972"/>
      <c r="N2972"/>
      <c r="O2972"/>
      <c r="P2972" s="216"/>
      <c r="Q2972" s="217"/>
      <c r="R2972" s="217"/>
      <c r="S2972" s="218"/>
    </row>
    <row r="2973" spans="13:19" ht="15" customHeight="1" x14ac:dyDescent="0.25">
      <c r="M2973"/>
      <c r="N2973"/>
      <c r="O2973"/>
      <c r="P2973" s="216"/>
      <c r="Q2973" s="217"/>
      <c r="R2973" s="217"/>
      <c r="S2973" s="218"/>
    </row>
    <row r="2974" spans="13:19" ht="15" customHeight="1" x14ac:dyDescent="0.25">
      <c r="M2974"/>
      <c r="N2974"/>
      <c r="O2974"/>
      <c r="P2974" s="216"/>
      <c r="Q2974" s="217"/>
      <c r="R2974" s="217"/>
      <c r="S2974" s="218"/>
    </row>
    <row r="2975" spans="13:19" ht="15" customHeight="1" x14ac:dyDescent="0.25">
      <c r="M2975"/>
      <c r="N2975"/>
      <c r="O2975"/>
      <c r="P2975" s="216"/>
      <c r="Q2975" s="217"/>
      <c r="R2975" s="217"/>
      <c r="S2975" s="218"/>
    </row>
    <row r="2976" spans="13:19" ht="15" customHeight="1" x14ac:dyDescent="0.25">
      <c r="M2976"/>
      <c r="N2976"/>
      <c r="O2976"/>
      <c r="P2976" s="216"/>
      <c r="Q2976" s="217"/>
      <c r="R2976" s="217"/>
      <c r="S2976" s="218"/>
    </row>
    <row r="2977" spans="13:19" ht="15" customHeight="1" x14ac:dyDescent="0.25">
      <c r="M2977"/>
      <c r="N2977"/>
      <c r="O2977"/>
      <c r="P2977" s="216"/>
      <c r="Q2977" s="217"/>
      <c r="R2977" s="217"/>
      <c r="S2977" s="218"/>
    </row>
    <row r="2978" spans="13:19" ht="15" customHeight="1" x14ac:dyDescent="0.25">
      <c r="M2978"/>
      <c r="N2978"/>
      <c r="O2978"/>
      <c r="P2978" s="216"/>
      <c r="Q2978" s="217"/>
      <c r="R2978" s="217"/>
      <c r="S2978" s="218"/>
    </row>
    <row r="2979" spans="13:19" ht="15" customHeight="1" x14ac:dyDescent="0.25">
      <c r="M2979"/>
      <c r="N2979"/>
      <c r="O2979"/>
      <c r="P2979" s="216"/>
      <c r="Q2979" s="217"/>
      <c r="R2979" s="217"/>
      <c r="S2979" s="218"/>
    </row>
    <row r="2980" spans="13:19" ht="15" customHeight="1" x14ac:dyDescent="0.25">
      <c r="M2980"/>
      <c r="N2980"/>
      <c r="O2980"/>
      <c r="P2980" s="216"/>
      <c r="Q2980" s="217"/>
      <c r="R2980" s="217"/>
      <c r="S2980" s="218"/>
    </row>
    <row r="2981" spans="13:19" ht="15" customHeight="1" x14ac:dyDescent="0.25">
      <c r="M2981"/>
      <c r="N2981"/>
      <c r="O2981"/>
      <c r="P2981" s="216"/>
      <c r="Q2981" s="217"/>
      <c r="R2981" s="217"/>
      <c r="S2981" s="218"/>
    </row>
    <row r="2982" spans="13:19" ht="15" customHeight="1" x14ac:dyDescent="0.25">
      <c r="M2982"/>
      <c r="N2982"/>
      <c r="O2982"/>
      <c r="P2982" s="216"/>
      <c r="Q2982" s="217"/>
      <c r="R2982" s="217"/>
      <c r="S2982" s="218"/>
    </row>
    <row r="2983" spans="13:19" ht="15" customHeight="1" x14ac:dyDescent="0.25">
      <c r="M2983"/>
      <c r="N2983"/>
      <c r="O2983"/>
      <c r="P2983" s="216"/>
      <c r="Q2983" s="217"/>
      <c r="R2983" s="217"/>
      <c r="S2983" s="218"/>
    </row>
    <row r="2984" spans="13:19" ht="15" customHeight="1" x14ac:dyDescent="0.25">
      <c r="M2984"/>
      <c r="N2984"/>
      <c r="O2984"/>
      <c r="P2984" s="216"/>
      <c r="Q2984" s="217"/>
      <c r="R2984" s="217"/>
      <c r="S2984" s="218"/>
    </row>
    <row r="2985" spans="13:19" ht="15" customHeight="1" x14ac:dyDescent="0.25">
      <c r="M2985"/>
      <c r="N2985"/>
      <c r="O2985"/>
      <c r="P2985" s="216"/>
      <c r="Q2985" s="217"/>
      <c r="R2985" s="217"/>
      <c r="S2985" s="218"/>
    </row>
    <row r="2986" spans="13:19" ht="15" customHeight="1" x14ac:dyDescent="0.25">
      <c r="M2986"/>
      <c r="N2986"/>
      <c r="O2986"/>
      <c r="P2986" s="216"/>
      <c r="Q2986" s="217"/>
      <c r="R2986" s="217"/>
      <c r="S2986" s="218"/>
    </row>
    <row r="2987" spans="13:19" ht="15" customHeight="1" x14ac:dyDescent="0.25">
      <c r="M2987"/>
      <c r="N2987"/>
      <c r="O2987"/>
      <c r="P2987" s="216"/>
      <c r="Q2987" s="217"/>
      <c r="R2987" s="217"/>
      <c r="S2987" s="218"/>
    </row>
    <row r="2988" spans="13:19" ht="15" customHeight="1" x14ac:dyDescent="0.25">
      <c r="M2988"/>
      <c r="N2988"/>
      <c r="O2988"/>
      <c r="P2988" s="216"/>
      <c r="Q2988" s="217"/>
      <c r="R2988" s="217"/>
      <c r="S2988" s="218"/>
    </row>
    <row r="2989" spans="13:19" ht="15" customHeight="1" x14ac:dyDescent="0.25">
      <c r="M2989"/>
      <c r="N2989"/>
      <c r="O2989"/>
      <c r="P2989" s="216"/>
      <c r="Q2989" s="217"/>
      <c r="R2989" s="217"/>
      <c r="S2989" s="218"/>
    </row>
    <row r="2990" spans="13:19" ht="15" customHeight="1" x14ac:dyDescent="0.25">
      <c r="M2990"/>
      <c r="N2990"/>
      <c r="O2990"/>
      <c r="P2990" s="216"/>
      <c r="Q2990" s="217"/>
      <c r="R2990" s="217"/>
      <c r="S2990" s="218"/>
    </row>
    <row r="2991" spans="13:19" ht="15" customHeight="1" x14ac:dyDescent="0.25">
      <c r="M2991"/>
      <c r="N2991"/>
      <c r="O2991"/>
      <c r="P2991" s="216"/>
      <c r="Q2991" s="217"/>
      <c r="R2991" s="217"/>
      <c r="S2991" s="218"/>
    </row>
    <row r="2992" spans="13:19" ht="15" customHeight="1" x14ac:dyDescent="0.25">
      <c r="M2992"/>
      <c r="N2992"/>
      <c r="O2992"/>
      <c r="P2992" s="216"/>
      <c r="Q2992" s="217"/>
      <c r="R2992" s="217"/>
      <c r="S2992" s="218"/>
    </row>
    <row r="2993" spans="13:19" ht="15" customHeight="1" x14ac:dyDescent="0.25">
      <c r="M2993"/>
      <c r="N2993"/>
      <c r="O2993"/>
      <c r="P2993" s="216"/>
      <c r="Q2993" s="217"/>
      <c r="R2993" s="217"/>
      <c r="S2993" s="218"/>
    </row>
    <row r="2994" spans="13:19" ht="15" customHeight="1" x14ac:dyDescent="0.25">
      <c r="M2994"/>
      <c r="N2994"/>
      <c r="O2994"/>
      <c r="P2994" s="216"/>
      <c r="Q2994" s="217"/>
      <c r="R2994" s="217"/>
      <c r="S2994" s="218"/>
    </row>
    <row r="2995" spans="13:19" ht="15" customHeight="1" x14ac:dyDescent="0.25">
      <c r="M2995"/>
      <c r="N2995"/>
      <c r="O2995"/>
      <c r="P2995" s="216"/>
      <c r="Q2995" s="217"/>
      <c r="R2995" s="217"/>
      <c r="S2995" s="218"/>
    </row>
    <row r="2996" spans="13:19" ht="15" customHeight="1" x14ac:dyDescent="0.25">
      <c r="M2996"/>
      <c r="N2996"/>
      <c r="O2996"/>
      <c r="P2996" s="216"/>
      <c r="Q2996" s="217"/>
      <c r="R2996" s="217"/>
      <c r="S2996" s="218"/>
    </row>
    <row r="2997" spans="13:19" ht="15" customHeight="1" x14ac:dyDescent="0.25">
      <c r="M2997"/>
      <c r="N2997"/>
      <c r="O2997"/>
      <c r="P2997" s="216"/>
      <c r="Q2997" s="217"/>
      <c r="R2997" s="217"/>
      <c r="S2997" s="218"/>
    </row>
    <row r="2998" spans="13:19" ht="15" customHeight="1" x14ac:dyDescent="0.25">
      <c r="M2998"/>
      <c r="N2998"/>
      <c r="O2998"/>
      <c r="P2998" s="216"/>
      <c r="Q2998" s="217"/>
      <c r="R2998" s="217"/>
      <c r="S2998" s="218"/>
    </row>
    <row r="2999" spans="13:19" ht="15" customHeight="1" x14ac:dyDescent="0.25">
      <c r="M2999"/>
      <c r="N2999"/>
      <c r="O2999"/>
      <c r="P2999" s="216"/>
      <c r="Q2999" s="217"/>
      <c r="R2999" s="217"/>
      <c r="S2999" s="218"/>
    </row>
    <row r="3000" spans="13:19" ht="15" customHeight="1" x14ac:dyDescent="0.25">
      <c r="M3000"/>
      <c r="N3000"/>
      <c r="O3000"/>
      <c r="P3000" s="216"/>
      <c r="Q3000" s="217"/>
      <c r="R3000" s="217"/>
      <c r="S3000" s="218"/>
    </row>
    <row r="3001" spans="13:19" ht="15" customHeight="1" x14ac:dyDescent="0.25">
      <c r="M3001"/>
      <c r="N3001"/>
      <c r="O3001"/>
      <c r="P3001" s="216"/>
      <c r="Q3001" s="217"/>
      <c r="R3001" s="217"/>
      <c r="S3001" s="218"/>
    </row>
    <row r="3002" spans="13:19" ht="15" customHeight="1" x14ac:dyDescent="0.25">
      <c r="M3002"/>
      <c r="N3002"/>
      <c r="O3002"/>
      <c r="P3002" s="216"/>
      <c r="Q3002" s="217"/>
      <c r="R3002" s="217"/>
      <c r="S3002" s="218"/>
    </row>
    <row r="3003" spans="13:19" ht="15" customHeight="1" x14ac:dyDescent="0.25">
      <c r="M3003"/>
      <c r="N3003"/>
      <c r="O3003"/>
      <c r="P3003" s="216"/>
      <c r="Q3003" s="217"/>
      <c r="R3003" s="217"/>
      <c r="S3003" s="218"/>
    </row>
    <row r="3004" spans="13:19" ht="15" customHeight="1" x14ac:dyDescent="0.25">
      <c r="M3004"/>
      <c r="N3004"/>
      <c r="O3004"/>
      <c r="P3004" s="216"/>
      <c r="Q3004" s="217"/>
      <c r="R3004" s="217"/>
      <c r="S3004" s="218"/>
    </row>
    <row r="3005" spans="13:19" ht="15" customHeight="1" x14ac:dyDescent="0.25">
      <c r="M3005"/>
      <c r="N3005"/>
      <c r="O3005"/>
      <c r="P3005" s="216"/>
      <c r="Q3005" s="217"/>
      <c r="R3005" s="217"/>
      <c r="S3005" s="218"/>
    </row>
    <row r="3006" spans="13:19" ht="15" customHeight="1" x14ac:dyDescent="0.25">
      <c r="M3006"/>
      <c r="N3006"/>
      <c r="O3006"/>
      <c r="P3006" s="216"/>
      <c r="Q3006" s="217"/>
      <c r="R3006" s="217"/>
      <c r="S3006" s="218"/>
    </row>
    <row r="3007" spans="13:19" ht="15" customHeight="1" x14ac:dyDescent="0.25">
      <c r="M3007"/>
      <c r="N3007"/>
      <c r="O3007"/>
      <c r="P3007" s="216"/>
      <c r="Q3007" s="217"/>
      <c r="R3007" s="217"/>
      <c r="S3007" s="218"/>
    </row>
    <row r="3008" spans="13:19" ht="15" customHeight="1" x14ac:dyDescent="0.25">
      <c r="M3008"/>
      <c r="N3008"/>
      <c r="O3008"/>
      <c r="P3008" s="216"/>
      <c r="Q3008" s="217"/>
      <c r="R3008" s="217"/>
      <c r="S3008" s="218"/>
    </row>
    <row r="3009" spans="13:19" ht="15" customHeight="1" x14ac:dyDescent="0.25">
      <c r="M3009"/>
      <c r="N3009"/>
      <c r="O3009"/>
      <c r="P3009" s="216"/>
      <c r="Q3009" s="217"/>
      <c r="R3009" s="217"/>
      <c r="S3009" s="218"/>
    </row>
    <row r="3010" spans="13:19" ht="15" customHeight="1" x14ac:dyDescent="0.25">
      <c r="M3010"/>
      <c r="N3010"/>
      <c r="O3010"/>
      <c r="P3010" s="216"/>
      <c r="Q3010" s="217"/>
      <c r="R3010" s="217"/>
      <c r="S3010" s="218"/>
    </row>
    <row r="3011" spans="13:19" ht="15" customHeight="1" x14ac:dyDescent="0.25">
      <c r="M3011"/>
      <c r="N3011"/>
      <c r="O3011"/>
      <c r="P3011" s="216"/>
      <c r="Q3011" s="217"/>
      <c r="R3011" s="217"/>
      <c r="S3011" s="218"/>
    </row>
    <row r="3012" spans="13:19" ht="15" customHeight="1" x14ac:dyDescent="0.25">
      <c r="M3012"/>
      <c r="N3012"/>
      <c r="O3012"/>
      <c r="P3012" s="216"/>
      <c r="Q3012" s="217"/>
      <c r="R3012" s="217"/>
      <c r="S3012" s="218"/>
    </row>
    <row r="3013" spans="13:19" ht="15" customHeight="1" x14ac:dyDescent="0.25">
      <c r="M3013"/>
      <c r="N3013"/>
      <c r="O3013"/>
      <c r="P3013" s="216"/>
      <c r="Q3013" s="217"/>
      <c r="R3013" s="217"/>
      <c r="S3013" s="218"/>
    </row>
    <row r="3014" spans="13:19" ht="15" customHeight="1" x14ac:dyDescent="0.25">
      <c r="M3014"/>
      <c r="N3014"/>
      <c r="O3014"/>
      <c r="P3014" s="216"/>
      <c r="Q3014" s="217"/>
      <c r="R3014" s="217"/>
      <c r="S3014" s="218"/>
    </row>
    <row r="3015" spans="13:19" ht="15" customHeight="1" x14ac:dyDescent="0.25">
      <c r="M3015"/>
      <c r="N3015"/>
      <c r="O3015"/>
      <c r="P3015" s="216"/>
      <c r="Q3015" s="217"/>
      <c r="R3015" s="217"/>
      <c r="S3015" s="218"/>
    </row>
    <row r="3016" spans="13:19" ht="15" customHeight="1" x14ac:dyDescent="0.25">
      <c r="M3016"/>
      <c r="N3016"/>
      <c r="O3016"/>
      <c r="P3016" s="216"/>
      <c r="Q3016" s="217"/>
      <c r="R3016" s="217"/>
      <c r="S3016" s="218"/>
    </row>
    <row r="3017" spans="13:19" ht="15" customHeight="1" x14ac:dyDescent="0.25">
      <c r="M3017"/>
      <c r="N3017"/>
      <c r="O3017"/>
      <c r="P3017" s="216"/>
      <c r="Q3017" s="217"/>
      <c r="R3017" s="217"/>
      <c r="S3017" s="218"/>
    </row>
    <row r="3018" spans="13:19" ht="15" customHeight="1" x14ac:dyDescent="0.25">
      <c r="M3018"/>
      <c r="N3018"/>
      <c r="O3018"/>
      <c r="P3018" s="216"/>
      <c r="Q3018" s="217"/>
      <c r="R3018" s="217"/>
      <c r="S3018" s="218"/>
    </row>
    <row r="3019" spans="13:19" ht="15" customHeight="1" x14ac:dyDescent="0.25">
      <c r="M3019"/>
      <c r="N3019"/>
      <c r="O3019"/>
      <c r="P3019" s="216"/>
      <c r="Q3019" s="217"/>
      <c r="R3019" s="217"/>
      <c r="S3019" s="218"/>
    </row>
    <row r="3020" spans="13:19" ht="15" customHeight="1" x14ac:dyDescent="0.25">
      <c r="M3020"/>
      <c r="N3020"/>
      <c r="O3020"/>
      <c r="P3020" s="216"/>
      <c r="Q3020" s="217"/>
      <c r="R3020" s="217"/>
      <c r="S3020" s="218"/>
    </row>
    <row r="3021" spans="13:19" ht="15" customHeight="1" x14ac:dyDescent="0.25">
      <c r="M3021"/>
      <c r="N3021"/>
      <c r="O3021"/>
      <c r="P3021" s="216"/>
      <c r="Q3021" s="217"/>
      <c r="R3021" s="217"/>
      <c r="S3021" s="218"/>
    </row>
    <row r="3022" spans="13:19" ht="15" customHeight="1" x14ac:dyDescent="0.25">
      <c r="M3022"/>
      <c r="N3022"/>
      <c r="O3022"/>
      <c r="P3022" s="216"/>
      <c r="Q3022" s="217"/>
      <c r="R3022" s="217"/>
      <c r="S3022" s="218"/>
    </row>
    <row r="3023" spans="13:19" ht="15" customHeight="1" x14ac:dyDescent="0.25">
      <c r="M3023"/>
      <c r="N3023"/>
      <c r="O3023"/>
      <c r="P3023" s="216"/>
      <c r="Q3023" s="217"/>
      <c r="R3023" s="217"/>
      <c r="S3023" s="218"/>
    </row>
    <row r="3024" spans="13:19" ht="15" customHeight="1" x14ac:dyDescent="0.25">
      <c r="M3024"/>
      <c r="N3024"/>
      <c r="O3024"/>
      <c r="P3024" s="216"/>
      <c r="Q3024" s="217"/>
      <c r="R3024" s="217"/>
      <c r="S3024" s="218"/>
    </row>
    <row r="3025" spans="13:19" ht="15" customHeight="1" x14ac:dyDescent="0.25">
      <c r="M3025"/>
      <c r="N3025"/>
      <c r="O3025"/>
      <c r="P3025" s="216"/>
      <c r="Q3025" s="217"/>
      <c r="R3025" s="217"/>
      <c r="S3025" s="218"/>
    </row>
    <row r="3026" spans="13:19" ht="15" customHeight="1" x14ac:dyDescent="0.25">
      <c r="M3026"/>
      <c r="N3026"/>
      <c r="O3026"/>
      <c r="P3026" s="216"/>
      <c r="Q3026" s="217"/>
      <c r="R3026" s="217"/>
      <c r="S3026" s="218"/>
    </row>
    <row r="3027" spans="13:19" ht="15" customHeight="1" x14ac:dyDescent="0.25">
      <c r="M3027"/>
      <c r="N3027"/>
      <c r="O3027"/>
      <c r="P3027" s="216"/>
      <c r="Q3027" s="217"/>
      <c r="R3027" s="217"/>
      <c r="S3027" s="218"/>
    </row>
    <row r="3028" spans="13:19" ht="15" customHeight="1" x14ac:dyDescent="0.25">
      <c r="M3028"/>
      <c r="N3028"/>
      <c r="O3028"/>
      <c r="P3028" s="216"/>
      <c r="Q3028" s="217"/>
      <c r="R3028" s="217"/>
      <c r="S3028" s="218"/>
    </row>
    <row r="3029" spans="13:19" ht="15" customHeight="1" x14ac:dyDescent="0.25">
      <c r="M3029"/>
      <c r="N3029"/>
      <c r="O3029"/>
      <c r="P3029" s="216"/>
      <c r="Q3029" s="217"/>
      <c r="R3029" s="217"/>
      <c r="S3029" s="218"/>
    </row>
    <row r="3030" spans="13:19" ht="15" customHeight="1" x14ac:dyDescent="0.25">
      <c r="M3030"/>
      <c r="N3030"/>
      <c r="O3030"/>
      <c r="P3030" s="216"/>
      <c r="Q3030" s="217"/>
      <c r="R3030" s="217"/>
      <c r="S3030" s="218"/>
    </row>
    <row r="3031" spans="13:19" ht="15" customHeight="1" x14ac:dyDescent="0.25">
      <c r="M3031"/>
      <c r="N3031"/>
      <c r="O3031"/>
      <c r="P3031" s="216"/>
      <c r="Q3031" s="217"/>
      <c r="R3031" s="217"/>
      <c r="S3031" s="218"/>
    </row>
    <row r="3032" spans="13:19" ht="15" customHeight="1" x14ac:dyDescent="0.25">
      <c r="M3032"/>
      <c r="N3032"/>
      <c r="O3032"/>
      <c r="P3032" s="216"/>
      <c r="Q3032" s="217"/>
      <c r="R3032" s="217"/>
      <c r="S3032" s="218"/>
    </row>
    <row r="3033" spans="13:19" ht="15" customHeight="1" x14ac:dyDescent="0.25">
      <c r="M3033"/>
      <c r="N3033"/>
      <c r="O3033"/>
      <c r="P3033" s="216"/>
      <c r="Q3033" s="217"/>
      <c r="R3033" s="217"/>
      <c r="S3033" s="218"/>
    </row>
    <row r="3034" spans="13:19" ht="15" customHeight="1" x14ac:dyDescent="0.25">
      <c r="M3034"/>
      <c r="N3034"/>
      <c r="O3034"/>
      <c r="P3034" s="216"/>
      <c r="Q3034" s="217"/>
      <c r="R3034" s="217"/>
      <c r="S3034" s="218"/>
    </row>
    <row r="3035" spans="13:19" ht="15" customHeight="1" x14ac:dyDescent="0.25">
      <c r="M3035"/>
      <c r="N3035"/>
      <c r="O3035"/>
      <c r="P3035" s="216"/>
      <c r="Q3035" s="217"/>
      <c r="R3035" s="217"/>
      <c r="S3035" s="218"/>
    </row>
    <row r="3036" spans="13:19" ht="15" customHeight="1" x14ac:dyDescent="0.25">
      <c r="M3036"/>
      <c r="N3036"/>
      <c r="O3036"/>
      <c r="P3036" s="216"/>
      <c r="Q3036" s="217"/>
      <c r="R3036" s="217"/>
      <c r="S3036" s="218"/>
    </row>
    <row r="3037" spans="13:19" ht="15" customHeight="1" x14ac:dyDescent="0.25">
      <c r="M3037"/>
      <c r="N3037"/>
      <c r="O3037"/>
      <c r="P3037" s="216"/>
      <c r="Q3037" s="217"/>
      <c r="R3037" s="217"/>
      <c r="S3037" s="218"/>
    </row>
    <row r="3038" spans="13:19" ht="15" customHeight="1" x14ac:dyDescent="0.25">
      <c r="M3038"/>
      <c r="N3038"/>
      <c r="O3038"/>
      <c r="P3038" s="216"/>
      <c r="Q3038" s="217"/>
      <c r="R3038" s="217"/>
      <c r="S3038" s="218"/>
    </row>
    <row r="3039" spans="13:19" ht="15" customHeight="1" x14ac:dyDescent="0.25">
      <c r="M3039"/>
      <c r="N3039"/>
      <c r="O3039"/>
      <c r="P3039" s="216"/>
      <c r="Q3039" s="217"/>
      <c r="R3039" s="217"/>
      <c r="S3039" s="218"/>
    </row>
    <row r="3040" spans="13:19" ht="15" customHeight="1" x14ac:dyDescent="0.25">
      <c r="M3040"/>
      <c r="N3040"/>
      <c r="O3040"/>
      <c r="P3040" s="216"/>
      <c r="Q3040" s="217"/>
      <c r="R3040" s="217"/>
      <c r="S3040" s="218"/>
    </row>
    <row r="3041" spans="13:19" ht="15" customHeight="1" x14ac:dyDescent="0.25">
      <c r="M3041"/>
      <c r="N3041"/>
      <c r="O3041"/>
      <c r="P3041" s="216"/>
      <c r="Q3041" s="217"/>
      <c r="R3041" s="217"/>
      <c r="S3041" s="218"/>
    </row>
    <row r="3042" spans="13:19" ht="15" customHeight="1" x14ac:dyDescent="0.25">
      <c r="M3042"/>
      <c r="N3042"/>
      <c r="O3042"/>
      <c r="P3042" s="216"/>
      <c r="Q3042" s="217"/>
      <c r="R3042" s="217"/>
      <c r="S3042" s="218"/>
    </row>
    <row r="3043" spans="13:19" ht="15" customHeight="1" x14ac:dyDescent="0.25">
      <c r="M3043"/>
      <c r="N3043"/>
      <c r="O3043"/>
      <c r="P3043" s="216"/>
      <c r="Q3043" s="217"/>
      <c r="R3043" s="217"/>
      <c r="S3043" s="218"/>
    </row>
    <row r="3044" spans="13:19" ht="15" customHeight="1" x14ac:dyDescent="0.25">
      <c r="M3044"/>
      <c r="N3044"/>
      <c r="O3044"/>
      <c r="P3044" s="216"/>
      <c r="Q3044" s="217"/>
      <c r="R3044" s="217"/>
      <c r="S3044" s="218"/>
    </row>
    <row r="3045" spans="13:19" ht="15" customHeight="1" x14ac:dyDescent="0.25">
      <c r="M3045"/>
      <c r="N3045"/>
      <c r="O3045"/>
      <c r="P3045" s="216"/>
      <c r="Q3045" s="217"/>
      <c r="R3045" s="217"/>
      <c r="S3045" s="218"/>
    </row>
    <row r="3046" spans="13:19" ht="15" customHeight="1" x14ac:dyDescent="0.25">
      <c r="M3046"/>
      <c r="N3046"/>
      <c r="O3046"/>
      <c r="P3046" s="216"/>
      <c r="Q3046" s="217"/>
      <c r="R3046" s="217"/>
      <c r="S3046" s="218"/>
    </row>
    <row r="3047" spans="13:19" ht="15" customHeight="1" x14ac:dyDescent="0.25">
      <c r="M3047"/>
      <c r="N3047"/>
      <c r="O3047"/>
      <c r="P3047" s="216"/>
      <c r="Q3047" s="217"/>
      <c r="R3047" s="217"/>
      <c r="S3047" s="218"/>
    </row>
    <row r="3048" spans="13:19" ht="15" customHeight="1" x14ac:dyDescent="0.25">
      <c r="M3048"/>
      <c r="N3048"/>
      <c r="O3048"/>
      <c r="P3048" s="216"/>
      <c r="Q3048" s="217"/>
      <c r="R3048" s="217"/>
      <c r="S3048" s="218"/>
    </row>
    <row r="3049" spans="13:19" ht="15" customHeight="1" x14ac:dyDescent="0.25">
      <c r="M3049"/>
      <c r="N3049"/>
      <c r="O3049"/>
      <c r="P3049" s="216"/>
      <c r="Q3049" s="217"/>
      <c r="R3049" s="217"/>
      <c r="S3049" s="218"/>
    </row>
    <row r="3050" spans="13:19" ht="15" customHeight="1" x14ac:dyDescent="0.25">
      <c r="M3050"/>
      <c r="N3050"/>
      <c r="O3050"/>
      <c r="P3050" s="216"/>
      <c r="Q3050" s="217"/>
      <c r="R3050" s="217"/>
      <c r="S3050" s="218"/>
    </row>
    <row r="3051" spans="13:19" ht="15" customHeight="1" x14ac:dyDescent="0.25">
      <c r="M3051"/>
      <c r="N3051"/>
      <c r="O3051"/>
      <c r="P3051" s="216"/>
      <c r="Q3051" s="217"/>
      <c r="R3051" s="217"/>
      <c r="S3051" s="218"/>
    </row>
    <row r="3052" spans="13:19" ht="15" customHeight="1" x14ac:dyDescent="0.25">
      <c r="M3052"/>
      <c r="N3052"/>
      <c r="O3052"/>
      <c r="P3052" s="216"/>
      <c r="Q3052" s="217"/>
      <c r="R3052" s="217"/>
      <c r="S3052" s="218"/>
    </row>
    <row r="3053" spans="13:19" ht="15" customHeight="1" x14ac:dyDescent="0.25">
      <c r="M3053"/>
      <c r="N3053"/>
      <c r="O3053"/>
      <c r="P3053" s="216"/>
      <c r="Q3053" s="217"/>
      <c r="R3053" s="217"/>
      <c r="S3053" s="218"/>
    </row>
    <row r="3054" spans="13:19" ht="15" customHeight="1" x14ac:dyDescent="0.25">
      <c r="M3054"/>
      <c r="N3054"/>
      <c r="O3054"/>
      <c r="P3054" s="216"/>
      <c r="Q3054" s="217"/>
      <c r="R3054" s="217"/>
      <c r="S3054" s="218"/>
    </row>
    <row r="3055" spans="13:19" ht="15" customHeight="1" x14ac:dyDescent="0.25">
      <c r="M3055"/>
      <c r="N3055"/>
      <c r="O3055"/>
      <c r="P3055" s="216"/>
      <c r="Q3055" s="217"/>
      <c r="R3055" s="217"/>
      <c r="S3055" s="218"/>
    </row>
    <row r="3056" spans="13:19" ht="15" customHeight="1" x14ac:dyDescent="0.25">
      <c r="M3056"/>
      <c r="N3056"/>
      <c r="O3056"/>
      <c r="P3056" s="216"/>
      <c r="Q3056" s="217"/>
      <c r="R3056" s="217"/>
      <c r="S3056" s="218"/>
    </row>
    <row r="3057" spans="13:19" ht="15" customHeight="1" x14ac:dyDescent="0.25">
      <c r="M3057"/>
      <c r="N3057"/>
      <c r="O3057"/>
      <c r="P3057" s="216"/>
      <c r="Q3057" s="217"/>
      <c r="R3057" s="217"/>
      <c r="S3057" s="218"/>
    </row>
    <row r="3058" spans="13:19" ht="15" customHeight="1" x14ac:dyDescent="0.25">
      <c r="M3058"/>
      <c r="N3058"/>
      <c r="O3058"/>
      <c r="P3058" s="216"/>
      <c r="Q3058" s="217"/>
      <c r="R3058" s="217"/>
      <c r="S3058" s="218"/>
    </row>
    <row r="3059" spans="13:19" ht="15" customHeight="1" x14ac:dyDescent="0.25">
      <c r="M3059"/>
      <c r="N3059"/>
      <c r="O3059"/>
      <c r="P3059" s="216"/>
      <c r="Q3059" s="217"/>
      <c r="R3059" s="217"/>
      <c r="S3059" s="218"/>
    </row>
    <row r="3060" spans="13:19" ht="15" customHeight="1" x14ac:dyDescent="0.25">
      <c r="M3060"/>
      <c r="N3060"/>
      <c r="O3060"/>
      <c r="P3060" s="216"/>
      <c r="Q3060" s="217"/>
      <c r="R3060" s="217"/>
      <c r="S3060" s="218"/>
    </row>
    <row r="3061" spans="13:19" ht="15" customHeight="1" x14ac:dyDescent="0.25">
      <c r="M3061"/>
      <c r="N3061"/>
      <c r="O3061"/>
      <c r="P3061" s="216"/>
      <c r="Q3061" s="217"/>
      <c r="R3061" s="217"/>
      <c r="S3061" s="218"/>
    </row>
    <row r="3062" spans="13:19" ht="15" customHeight="1" x14ac:dyDescent="0.25">
      <c r="M3062"/>
      <c r="N3062"/>
      <c r="O3062"/>
      <c r="P3062" s="216"/>
      <c r="Q3062" s="217"/>
      <c r="R3062" s="217"/>
      <c r="S3062" s="218"/>
    </row>
    <row r="3063" spans="13:19" ht="15" customHeight="1" x14ac:dyDescent="0.25">
      <c r="M3063"/>
      <c r="N3063"/>
      <c r="O3063"/>
      <c r="P3063" s="216"/>
      <c r="Q3063" s="217"/>
      <c r="R3063" s="217"/>
      <c r="S3063" s="218"/>
    </row>
    <row r="3064" spans="13:19" ht="15" customHeight="1" x14ac:dyDescent="0.25">
      <c r="M3064"/>
      <c r="N3064"/>
      <c r="O3064"/>
      <c r="P3064" s="216"/>
      <c r="Q3064" s="217"/>
      <c r="R3064" s="217"/>
      <c r="S3064" s="218"/>
    </row>
    <row r="3065" spans="13:19" ht="15" customHeight="1" x14ac:dyDescent="0.25">
      <c r="M3065"/>
      <c r="N3065"/>
      <c r="O3065"/>
      <c r="P3065" s="216"/>
      <c r="Q3065" s="217"/>
      <c r="R3065" s="217"/>
      <c r="S3065" s="218"/>
    </row>
    <row r="3066" spans="13:19" ht="15" customHeight="1" x14ac:dyDescent="0.25">
      <c r="M3066"/>
      <c r="N3066"/>
      <c r="O3066"/>
      <c r="P3066" s="216"/>
      <c r="Q3066" s="217"/>
      <c r="R3066" s="217"/>
      <c r="S3066" s="218"/>
    </row>
    <row r="3067" spans="13:19" ht="15" customHeight="1" x14ac:dyDescent="0.25">
      <c r="M3067"/>
      <c r="N3067"/>
      <c r="O3067"/>
      <c r="P3067" s="216"/>
      <c r="Q3067" s="217"/>
      <c r="R3067" s="217"/>
      <c r="S3067" s="218"/>
    </row>
    <row r="3068" spans="13:19" ht="15" customHeight="1" x14ac:dyDescent="0.25">
      <c r="M3068"/>
      <c r="N3068"/>
      <c r="O3068"/>
      <c r="P3068" s="216"/>
      <c r="Q3068" s="217"/>
      <c r="R3068" s="217"/>
      <c r="S3068" s="218"/>
    </row>
    <row r="3069" spans="13:19" ht="15" customHeight="1" x14ac:dyDescent="0.25">
      <c r="M3069"/>
      <c r="N3069"/>
      <c r="O3069"/>
      <c r="P3069" s="216"/>
      <c r="Q3069" s="217"/>
      <c r="R3069" s="217"/>
      <c r="S3069" s="218"/>
    </row>
    <row r="3070" spans="13:19" ht="15" customHeight="1" x14ac:dyDescent="0.25">
      <c r="M3070"/>
      <c r="N3070"/>
      <c r="O3070"/>
      <c r="P3070" s="216"/>
      <c r="Q3070" s="217"/>
      <c r="R3070" s="217"/>
      <c r="S3070" s="218"/>
    </row>
    <row r="3071" spans="13:19" ht="15" customHeight="1" x14ac:dyDescent="0.25">
      <c r="M3071"/>
      <c r="N3071"/>
      <c r="O3071"/>
      <c r="P3071" s="216"/>
      <c r="Q3071" s="217"/>
      <c r="R3071" s="217"/>
      <c r="S3071" s="218"/>
    </row>
    <row r="3072" spans="13:19" ht="15" customHeight="1" x14ac:dyDescent="0.25">
      <c r="M3072"/>
      <c r="N3072"/>
      <c r="O3072"/>
      <c r="P3072" s="216"/>
      <c r="Q3072" s="217"/>
      <c r="R3072" s="217"/>
      <c r="S3072" s="218"/>
    </row>
    <row r="3073" spans="13:19" ht="15" customHeight="1" x14ac:dyDescent="0.25">
      <c r="M3073"/>
      <c r="N3073"/>
      <c r="O3073"/>
      <c r="P3073" s="216"/>
      <c r="Q3073" s="217"/>
      <c r="R3073" s="217"/>
      <c r="S3073" s="218"/>
    </row>
    <row r="3074" spans="13:19" ht="15" customHeight="1" x14ac:dyDescent="0.25">
      <c r="M3074"/>
      <c r="N3074"/>
      <c r="O3074"/>
      <c r="P3074" s="216"/>
      <c r="Q3074" s="217"/>
      <c r="R3074" s="217"/>
      <c r="S3074" s="218"/>
    </row>
    <row r="3075" spans="13:19" ht="15" customHeight="1" x14ac:dyDescent="0.25">
      <c r="M3075"/>
      <c r="N3075"/>
      <c r="O3075"/>
      <c r="P3075" s="216"/>
      <c r="Q3075" s="217"/>
      <c r="R3075" s="217"/>
      <c r="S3075" s="218"/>
    </row>
    <row r="3076" spans="13:19" ht="15" customHeight="1" x14ac:dyDescent="0.25">
      <c r="M3076"/>
      <c r="N3076"/>
      <c r="O3076"/>
      <c r="P3076" s="216"/>
      <c r="Q3076" s="217"/>
      <c r="R3076" s="217"/>
      <c r="S3076" s="218"/>
    </row>
    <row r="3077" spans="13:19" ht="15" customHeight="1" x14ac:dyDescent="0.25">
      <c r="M3077"/>
      <c r="N3077"/>
      <c r="O3077"/>
      <c r="P3077" s="216"/>
      <c r="Q3077" s="217"/>
      <c r="R3077" s="217"/>
      <c r="S3077" s="218"/>
    </row>
    <row r="3078" spans="13:19" ht="15" customHeight="1" x14ac:dyDescent="0.25">
      <c r="M3078"/>
      <c r="N3078"/>
      <c r="O3078"/>
      <c r="P3078" s="216"/>
      <c r="Q3078" s="217"/>
      <c r="R3078" s="217"/>
      <c r="S3078" s="218"/>
    </row>
    <row r="3079" spans="13:19" ht="15" customHeight="1" x14ac:dyDescent="0.25">
      <c r="M3079"/>
      <c r="N3079"/>
      <c r="O3079"/>
      <c r="P3079" s="216"/>
      <c r="Q3079" s="217"/>
      <c r="R3079" s="217"/>
      <c r="S3079" s="218"/>
    </row>
    <row r="3080" spans="13:19" ht="15" customHeight="1" x14ac:dyDescent="0.25">
      <c r="M3080"/>
      <c r="N3080"/>
      <c r="O3080"/>
      <c r="P3080" s="216"/>
      <c r="Q3080" s="217"/>
      <c r="R3080" s="217"/>
      <c r="S3080" s="218"/>
    </row>
    <row r="3081" spans="13:19" ht="15" customHeight="1" x14ac:dyDescent="0.25">
      <c r="M3081"/>
      <c r="N3081"/>
      <c r="O3081"/>
      <c r="P3081" s="216"/>
      <c r="Q3081" s="217"/>
      <c r="R3081" s="217"/>
      <c r="S3081" s="218"/>
    </row>
    <row r="3082" spans="13:19" ht="15" customHeight="1" x14ac:dyDescent="0.25">
      <c r="M3082"/>
      <c r="N3082"/>
      <c r="O3082"/>
      <c r="P3082" s="216"/>
      <c r="Q3082" s="217"/>
      <c r="R3082" s="217"/>
      <c r="S3082" s="218"/>
    </row>
    <row r="3083" spans="13:19" ht="15" customHeight="1" x14ac:dyDescent="0.25">
      <c r="M3083"/>
      <c r="N3083"/>
      <c r="O3083"/>
      <c r="P3083" s="216"/>
      <c r="Q3083" s="217"/>
      <c r="R3083" s="217"/>
      <c r="S3083" s="218"/>
    </row>
    <row r="3084" spans="13:19" ht="15" customHeight="1" x14ac:dyDescent="0.25">
      <c r="M3084"/>
      <c r="N3084"/>
      <c r="O3084"/>
      <c r="P3084" s="216"/>
      <c r="Q3084" s="217"/>
      <c r="R3084" s="217"/>
      <c r="S3084" s="218"/>
    </row>
    <row r="3085" spans="13:19" ht="15" customHeight="1" x14ac:dyDescent="0.25">
      <c r="M3085"/>
      <c r="N3085"/>
      <c r="O3085"/>
      <c r="P3085" s="216"/>
      <c r="Q3085" s="217"/>
      <c r="R3085" s="217"/>
      <c r="S3085" s="218"/>
    </row>
    <row r="3086" spans="13:19" ht="15" customHeight="1" x14ac:dyDescent="0.25">
      <c r="M3086"/>
      <c r="N3086"/>
      <c r="O3086"/>
      <c r="P3086" s="216"/>
      <c r="Q3086" s="217"/>
      <c r="R3086" s="217"/>
      <c r="S3086" s="218"/>
    </row>
    <row r="3087" spans="13:19" ht="15" customHeight="1" x14ac:dyDescent="0.25">
      <c r="M3087"/>
      <c r="N3087"/>
      <c r="O3087"/>
      <c r="P3087" s="216"/>
      <c r="Q3087" s="217"/>
      <c r="R3087" s="217"/>
      <c r="S3087" s="218"/>
    </row>
    <row r="3088" spans="13:19" ht="15" customHeight="1" x14ac:dyDescent="0.25">
      <c r="M3088"/>
      <c r="N3088"/>
      <c r="O3088"/>
      <c r="P3088" s="216"/>
      <c r="Q3088" s="217"/>
      <c r="R3088" s="217"/>
      <c r="S3088" s="218"/>
    </row>
    <row r="3089" spans="13:19" ht="15" customHeight="1" x14ac:dyDescent="0.25">
      <c r="M3089"/>
      <c r="N3089"/>
      <c r="O3089"/>
      <c r="P3089" s="216"/>
      <c r="Q3089" s="217"/>
      <c r="R3089" s="217"/>
      <c r="S3089" s="218"/>
    </row>
    <row r="3090" spans="13:19" ht="15" customHeight="1" x14ac:dyDescent="0.25">
      <c r="M3090"/>
      <c r="N3090"/>
      <c r="O3090"/>
      <c r="P3090" s="216"/>
      <c r="Q3090" s="217"/>
      <c r="R3090" s="217"/>
      <c r="S3090" s="218"/>
    </row>
    <row r="3091" spans="13:19" ht="15" customHeight="1" x14ac:dyDescent="0.25">
      <c r="M3091"/>
      <c r="N3091"/>
      <c r="O3091"/>
      <c r="P3091" s="216"/>
      <c r="Q3091" s="217"/>
      <c r="R3091" s="217"/>
      <c r="S3091" s="218"/>
    </row>
    <row r="3092" spans="13:19" ht="15" customHeight="1" x14ac:dyDescent="0.25">
      <c r="M3092"/>
      <c r="N3092"/>
      <c r="O3092"/>
      <c r="P3092" s="216"/>
      <c r="Q3092" s="217"/>
      <c r="R3092" s="217"/>
      <c r="S3092" s="218"/>
    </row>
    <row r="3093" spans="13:19" ht="15" customHeight="1" x14ac:dyDescent="0.25">
      <c r="M3093"/>
      <c r="N3093"/>
      <c r="O3093"/>
      <c r="P3093" s="216"/>
      <c r="Q3093" s="217"/>
      <c r="R3093" s="217"/>
      <c r="S3093" s="218"/>
    </row>
    <row r="3094" spans="13:19" ht="15" customHeight="1" x14ac:dyDescent="0.25">
      <c r="M3094"/>
      <c r="N3094"/>
      <c r="O3094"/>
      <c r="P3094" s="216"/>
      <c r="Q3094" s="217"/>
      <c r="R3094" s="217"/>
      <c r="S3094" s="218"/>
    </row>
    <row r="3095" spans="13:19" ht="15" customHeight="1" x14ac:dyDescent="0.25">
      <c r="M3095"/>
      <c r="N3095"/>
      <c r="O3095"/>
      <c r="P3095" s="216"/>
      <c r="Q3095" s="217"/>
      <c r="R3095" s="217"/>
      <c r="S3095" s="218"/>
    </row>
    <row r="3096" spans="13:19" ht="15" customHeight="1" x14ac:dyDescent="0.25">
      <c r="M3096"/>
      <c r="N3096"/>
      <c r="O3096"/>
      <c r="P3096" s="216"/>
      <c r="Q3096" s="217"/>
      <c r="R3096" s="217"/>
      <c r="S3096" s="218"/>
    </row>
    <row r="3097" spans="13:19" ht="15" customHeight="1" x14ac:dyDescent="0.25">
      <c r="M3097"/>
      <c r="N3097"/>
      <c r="O3097"/>
      <c r="P3097" s="216"/>
      <c r="Q3097" s="217"/>
      <c r="R3097" s="217"/>
      <c r="S3097" s="218"/>
    </row>
    <row r="3098" spans="13:19" ht="15" customHeight="1" x14ac:dyDescent="0.25">
      <c r="M3098"/>
      <c r="N3098"/>
      <c r="O3098"/>
      <c r="P3098" s="216"/>
      <c r="Q3098" s="217"/>
      <c r="R3098" s="217"/>
      <c r="S3098" s="218"/>
    </row>
    <row r="3099" spans="13:19" ht="15" customHeight="1" x14ac:dyDescent="0.25">
      <c r="M3099"/>
      <c r="N3099"/>
      <c r="O3099"/>
      <c r="P3099" s="216"/>
      <c r="Q3099" s="217"/>
      <c r="R3099" s="217"/>
      <c r="S3099" s="218"/>
    </row>
    <row r="3100" spans="13:19" ht="15" customHeight="1" x14ac:dyDescent="0.25">
      <c r="M3100"/>
      <c r="N3100"/>
      <c r="O3100"/>
      <c r="P3100" s="216"/>
      <c r="Q3100" s="217"/>
      <c r="R3100" s="217"/>
      <c r="S3100" s="218"/>
    </row>
    <row r="3101" spans="13:19" ht="15" customHeight="1" x14ac:dyDescent="0.25">
      <c r="M3101"/>
      <c r="N3101"/>
      <c r="O3101"/>
      <c r="P3101" s="216"/>
      <c r="Q3101" s="217"/>
      <c r="R3101" s="217"/>
      <c r="S3101" s="218"/>
    </row>
    <row r="3102" spans="13:19" ht="15" customHeight="1" x14ac:dyDescent="0.25">
      <c r="M3102"/>
      <c r="N3102"/>
      <c r="O3102"/>
      <c r="P3102" s="216"/>
      <c r="Q3102" s="217"/>
      <c r="R3102" s="217"/>
      <c r="S3102" s="218"/>
    </row>
    <row r="3103" spans="13:19" ht="15" customHeight="1" x14ac:dyDescent="0.25">
      <c r="M3103"/>
      <c r="N3103"/>
      <c r="O3103"/>
      <c r="P3103" s="216"/>
      <c r="Q3103" s="217"/>
      <c r="R3103" s="217"/>
      <c r="S3103" s="218"/>
    </row>
    <row r="3104" spans="13:19" ht="15" customHeight="1" x14ac:dyDescent="0.25">
      <c r="M3104"/>
      <c r="N3104"/>
      <c r="O3104"/>
      <c r="P3104" s="216"/>
      <c r="Q3104" s="217"/>
      <c r="R3104" s="217"/>
      <c r="S3104" s="218"/>
    </row>
    <row r="3105" spans="13:19" ht="15" customHeight="1" x14ac:dyDescent="0.25">
      <c r="M3105"/>
      <c r="N3105"/>
      <c r="O3105"/>
      <c r="P3105" s="216"/>
      <c r="Q3105" s="217"/>
      <c r="R3105" s="217"/>
      <c r="S3105" s="218"/>
    </row>
    <row r="3106" spans="13:19" ht="15" customHeight="1" x14ac:dyDescent="0.25">
      <c r="M3106"/>
      <c r="N3106"/>
      <c r="O3106"/>
      <c r="P3106" s="216"/>
      <c r="Q3106" s="217"/>
      <c r="R3106" s="217"/>
      <c r="S3106" s="218"/>
    </row>
    <row r="3107" spans="13:19" ht="15" customHeight="1" x14ac:dyDescent="0.25">
      <c r="M3107"/>
      <c r="N3107"/>
      <c r="O3107"/>
      <c r="P3107" s="216"/>
      <c r="Q3107" s="217"/>
      <c r="R3107" s="217"/>
      <c r="S3107" s="218"/>
    </row>
    <row r="3108" spans="13:19" ht="15" customHeight="1" x14ac:dyDescent="0.25">
      <c r="M3108"/>
      <c r="N3108"/>
      <c r="O3108"/>
      <c r="P3108" s="216"/>
      <c r="Q3108" s="217"/>
      <c r="R3108" s="217"/>
      <c r="S3108" s="218"/>
    </row>
    <row r="3109" spans="13:19" ht="15" customHeight="1" x14ac:dyDescent="0.25">
      <c r="M3109"/>
      <c r="N3109"/>
      <c r="O3109"/>
      <c r="P3109" s="216"/>
      <c r="Q3109" s="217"/>
      <c r="R3109" s="217"/>
      <c r="S3109" s="218"/>
    </row>
    <row r="3110" spans="13:19" ht="15" customHeight="1" x14ac:dyDescent="0.25">
      <c r="M3110"/>
      <c r="N3110"/>
      <c r="O3110"/>
      <c r="P3110" s="216"/>
      <c r="Q3110" s="217"/>
      <c r="R3110" s="217"/>
      <c r="S3110" s="218"/>
    </row>
    <row r="3111" spans="13:19" ht="15" customHeight="1" x14ac:dyDescent="0.25">
      <c r="M3111"/>
      <c r="N3111"/>
      <c r="O3111"/>
      <c r="P3111" s="216"/>
      <c r="Q3111" s="217"/>
      <c r="R3111" s="217"/>
      <c r="S3111" s="218"/>
    </row>
    <row r="3112" spans="13:19" ht="15" customHeight="1" x14ac:dyDescent="0.25">
      <c r="M3112"/>
      <c r="N3112"/>
      <c r="O3112"/>
      <c r="P3112" s="216"/>
      <c r="Q3112" s="217"/>
      <c r="R3112" s="217"/>
      <c r="S3112" s="218"/>
    </row>
    <row r="3113" spans="13:19" ht="15" customHeight="1" x14ac:dyDescent="0.25">
      <c r="M3113"/>
      <c r="N3113"/>
      <c r="O3113"/>
      <c r="P3113" s="216"/>
      <c r="Q3113" s="217"/>
      <c r="R3113" s="217"/>
      <c r="S3113" s="218"/>
    </row>
    <row r="3114" spans="13:19" ht="15" customHeight="1" x14ac:dyDescent="0.25">
      <c r="M3114"/>
      <c r="N3114"/>
      <c r="O3114"/>
      <c r="P3114" s="216"/>
      <c r="Q3114" s="217"/>
      <c r="R3114" s="217"/>
      <c r="S3114" s="218"/>
    </row>
    <row r="3115" spans="13:19" ht="15" customHeight="1" x14ac:dyDescent="0.25">
      <c r="M3115"/>
      <c r="N3115"/>
      <c r="O3115"/>
      <c r="P3115" s="216"/>
      <c r="Q3115" s="217"/>
      <c r="R3115" s="217"/>
      <c r="S3115" s="218"/>
    </row>
    <row r="3116" spans="13:19" ht="15" customHeight="1" x14ac:dyDescent="0.25">
      <c r="M3116"/>
      <c r="N3116"/>
      <c r="O3116"/>
      <c r="P3116" s="216"/>
      <c r="Q3116" s="217"/>
      <c r="R3116" s="217"/>
      <c r="S3116" s="218"/>
    </row>
    <row r="3117" spans="13:19" ht="15" customHeight="1" x14ac:dyDescent="0.25">
      <c r="M3117"/>
      <c r="N3117"/>
      <c r="O3117"/>
      <c r="P3117" s="216"/>
      <c r="Q3117" s="217"/>
      <c r="R3117" s="217"/>
      <c r="S3117" s="218"/>
    </row>
    <row r="3118" spans="13:19" ht="15" customHeight="1" x14ac:dyDescent="0.25">
      <c r="M3118"/>
      <c r="N3118"/>
      <c r="O3118"/>
      <c r="P3118" s="216"/>
      <c r="Q3118" s="217"/>
      <c r="R3118" s="217"/>
      <c r="S3118" s="218"/>
    </row>
    <row r="3119" spans="13:19" ht="15" customHeight="1" x14ac:dyDescent="0.25">
      <c r="M3119"/>
      <c r="N3119"/>
      <c r="O3119"/>
      <c r="P3119" s="216"/>
      <c r="Q3119" s="217"/>
      <c r="R3119" s="217"/>
      <c r="S3119" s="218"/>
    </row>
    <row r="3120" spans="13:19" ht="15" customHeight="1" x14ac:dyDescent="0.25">
      <c r="M3120"/>
      <c r="N3120"/>
      <c r="O3120"/>
      <c r="P3120" s="216"/>
      <c r="Q3120" s="217"/>
      <c r="R3120" s="217"/>
      <c r="S3120" s="218"/>
    </row>
    <row r="3121" spans="13:19" ht="15" customHeight="1" x14ac:dyDescent="0.25">
      <c r="M3121"/>
      <c r="N3121"/>
      <c r="O3121"/>
      <c r="P3121" s="216"/>
      <c r="Q3121" s="217"/>
      <c r="R3121" s="217"/>
      <c r="S3121" s="218"/>
    </row>
    <row r="3122" spans="13:19" ht="15" customHeight="1" x14ac:dyDescent="0.25">
      <c r="M3122"/>
      <c r="N3122"/>
      <c r="O3122"/>
      <c r="P3122" s="216"/>
      <c r="Q3122" s="217"/>
      <c r="R3122" s="217"/>
      <c r="S3122" s="218"/>
    </row>
    <row r="3123" spans="13:19" ht="15" customHeight="1" x14ac:dyDescent="0.25">
      <c r="M3123"/>
      <c r="N3123"/>
      <c r="O3123"/>
      <c r="P3123" s="216"/>
      <c r="Q3123" s="217"/>
      <c r="R3123" s="217"/>
      <c r="S3123" s="218"/>
    </row>
    <row r="3124" spans="13:19" ht="15" customHeight="1" x14ac:dyDescent="0.25">
      <c r="M3124"/>
      <c r="N3124"/>
      <c r="O3124"/>
      <c r="P3124" s="216"/>
      <c r="Q3124" s="217"/>
      <c r="R3124" s="217"/>
      <c r="S3124" s="218"/>
    </row>
    <row r="3125" spans="13:19" ht="15" customHeight="1" x14ac:dyDescent="0.25">
      <c r="M3125"/>
      <c r="N3125"/>
      <c r="O3125"/>
      <c r="P3125" s="216"/>
      <c r="Q3125" s="217"/>
      <c r="R3125" s="217"/>
      <c r="S3125" s="218"/>
    </row>
    <row r="3126" spans="13:19" ht="15" customHeight="1" x14ac:dyDescent="0.25">
      <c r="M3126"/>
      <c r="N3126"/>
      <c r="O3126"/>
      <c r="P3126" s="216"/>
      <c r="Q3126" s="217"/>
      <c r="R3126" s="217"/>
      <c r="S3126" s="218"/>
    </row>
    <row r="3127" spans="13:19" ht="15" customHeight="1" x14ac:dyDescent="0.25">
      <c r="M3127"/>
      <c r="N3127"/>
      <c r="O3127"/>
      <c r="P3127" s="216"/>
      <c r="Q3127" s="217"/>
      <c r="R3127" s="217"/>
      <c r="S3127" s="218"/>
    </row>
    <row r="3128" spans="13:19" ht="15" customHeight="1" x14ac:dyDescent="0.25">
      <c r="M3128"/>
      <c r="N3128"/>
      <c r="O3128"/>
      <c r="P3128" s="216"/>
      <c r="Q3128" s="217"/>
      <c r="R3128" s="217"/>
      <c r="S3128" s="218"/>
    </row>
    <row r="3129" spans="13:19" ht="15" customHeight="1" x14ac:dyDescent="0.25">
      <c r="M3129"/>
      <c r="N3129"/>
      <c r="O3129"/>
      <c r="P3129" s="216"/>
      <c r="Q3129" s="217"/>
      <c r="R3129" s="217"/>
      <c r="S3129" s="218"/>
    </row>
    <row r="3130" spans="13:19" ht="15" customHeight="1" x14ac:dyDescent="0.25">
      <c r="M3130"/>
      <c r="N3130"/>
      <c r="O3130"/>
      <c r="P3130" s="216"/>
      <c r="Q3130" s="217"/>
      <c r="R3130" s="217"/>
      <c r="S3130" s="218"/>
    </row>
    <row r="3131" spans="13:19" ht="15" customHeight="1" x14ac:dyDescent="0.25">
      <c r="M3131"/>
      <c r="N3131"/>
      <c r="O3131"/>
      <c r="P3131" s="216"/>
      <c r="Q3131" s="217"/>
      <c r="R3131" s="217"/>
      <c r="S3131" s="218"/>
    </row>
    <row r="3132" spans="13:19" ht="15" customHeight="1" x14ac:dyDescent="0.25">
      <c r="M3132"/>
      <c r="N3132"/>
      <c r="O3132"/>
      <c r="P3132" s="216"/>
      <c r="Q3132" s="217"/>
      <c r="R3132" s="217"/>
      <c r="S3132" s="218"/>
    </row>
    <row r="3133" spans="13:19" ht="15" customHeight="1" x14ac:dyDescent="0.25">
      <c r="M3133"/>
      <c r="N3133"/>
      <c r="O3133"/>
      <c r="P3133" s="216"/>
      <c r="Q3133" s="217"/>
      <c r="R3133" s="217"/>
      <c r="S3133" s="218"/>
    </row>
    <row r="3134" spans="13:19" ht="15" customHeight="1" x14ac:dyDescent="0.25">
      <c r="M3134"/>
      <c r="N3134"/>
      <c r="O3134"/>
      <c r="P3134" s="216"/>
      <c r="Q3134" s="217"/>
      <c r="R3134" s="217"/>
      <c r="S3134" s="218"/>
    </row>
    <row r="3135" spans="13:19" ht="15" customHeight="1" x14ac:dyDescent="0.25">
      <c r="M3135"/>
      <c r="N3135"/>
      <c r="O3135"/>
      <c r="P3135" s="216"/>
      <c r="Q3135" s="217"/>
      <c r="R3135" s="217"/>
      <c r="S3135" s="218"/>
    </row>
    <row r="3136" spans="13:19" ht="15" customHeight="1" x14ac:dyDescent="0.25">
      <c r="M3136"/>
      <c r="N3136"/>
      <c r="O3136"/>
      <c r="P3136" s="216"/>
      <c r="Q3136" s="217"/>
      <c r="R3136" s="217"/>
      <c r="S3136" s="218"/>
    </row>
    <row r="3137" spans="13:19" ht="15" customHeight="1" x14ac:dyDescent="0.25">
      <c r="M3137"/>
      <c r="N3137"/>
      <c r="O3137"/>
      <c r="P3137" s="216"/>
      <c r="Q3137" s="217"/>
      <c r="R3137" s="217"/>
      <c r="S3137" s="218"/>
    </row>
    <row r="3138" spans="13:19" ht="15" customHeight="1" x14ac:dyDescent="0.25">
      <c r="M3138"/>
      <c r="N3138"/>
      <c r="O3138"/>
      <c r="P3138" s="216"/>
      <c r="Q3138" s="217"/>
      <c r="R3138" s="217"/>
      <c r="S3138" s="218"/>
    </row>
    <row r="3139" spans="13:19" ht="15" customHeight="1" x14ac:dyDescent="0.25">
      <c r="M3139"/>
      <c r="N3139"/>
      <c r="O3139"/>
      <c r="P3139" s="216"/>
      <c r="Q3139" s="217"/>
      <c r="R3139" s="217"/>
      <c r="S3139" s="218"/>
    </row>
    <row r="3140" spans="13:19" ht="15" customHeight="1" x14ac:dyDescent="0.25">
      <c r="M3140"/>
      <c r="N3140"/>
      <c r="O3140"/>
      <c r="P3140" s="216"/>
      <c r="Q3140" s="217"/>
      <c r="R3140" s="217"/>
      <c r="S3140" s="218"/>
    </row>
    <row r="3141" spans="13:19" ht="15" customHeight="1" x14ac:dyDescent="0.25">
      <c r="M3141"/>
      <c r="N3141"/>
      <c r="O3141"/>
      <c r="P3141" s="216"/>
      <c r="Q3141" s="217"/>
      <c r="R3141" s="217"/>
      <c r="S3141" s="218"/>
    </row>
    <row r="3142" spans="13:19" ht="15" customHeight="1" x14ac:dyDescent="0.25">
      <c r="M3142"/>
      <c r="N3142"/>
      <c r="O3142"/>
      <c r="P3142" s="216"/>
      <c r="Q3142" s="217"/>
      <c r="R3142" s="217"/>
      <c r="S3142" s="218"/>
    </row>
    <row r="3143" spans="13:19" ht="15" customHeight="1" x14ac:dyDescent="0.25">
      <c r="M3143"/>
      <c r="N3143"/>
      <c r="O3143"/>
      <c r="P3143" s="216"/>
      <c r="Q3143" s="217"/>
      <c r="R3143" s="217"/>
      <c r="S3143" s="218"/>
    </row>
    <row r="3144" spans="13:19" ht="15" customHeight="1" x14ac:dyDescent="0.25">
      <c r="M3144"/>
      <c r="N3144"/>
      <c r="O3144"/>
      <c r="P3144" s="216"/>
      <c r="Q3144" s="217"/>
      <c r="R3144" s="217"/>
      <c r="S3144" s="218"/>
    </row>
    <row r="3145" spans="13:19" ht="15" customHeight="1" x14ac:dyDescent="0.25">
      <c r="M3145"/>
      <c r="N3145"/>
      <c r="O3145"/>
      <c r="P3145" s="216"/>
      <c r="Q3145" s="217"/>
      <c r="R3145" s="217"/>
      <c r="S3145" s="218"/>
    </row>
    <row r="3146" spans="13:19" ht="15" customHeight="1" x14ac:dyDescent="0.25">
      <c r="M3146"/>
      <c r="N3146"/>
      <c r="O3146"/>
      <c r="P3146" s="216"/>
      <c r="Q3146" s="217"/>
      <c r="R3146" s="217"/>
      <c r="S3146" s="218"/>
    </row>
    <row r="3147" spans="13:19" ht="15" customHeight="1" x14ac:dyDescent="0.25">
      <c r="M3147"/>
      <c r="N3147"/>
      <c r="O3147"/>
      <c r="P3147" s="216"/>
      <c r="Q3147" s="217"/>
      <c r="R3147" s="217"/>
      <c r="S3147" s="218"/>
    </row>
    <row r="3148" spans="13:19" ht="15" customHeight="1" x14ac:dyDescent="0.25">
      <c r="M3148"/>
      <c r="N3148"/>
      <c r="O3148"/>
      <c r="P3148" s="216"/>
      <c r="Q3148" s="217"/>
      <c r="R3148" s="217"/>
      <c r="S3148" s="218"/>
    </row>
    <row r="3149" spans="13:19" ht="15" customHeight="1" x14ac:dyDescent="0.25">
      <c r="M3149"/>
      <c r="N3149"/>
      <c r="O3149"/>
      <c r="P3149" s="216"/>
      <c r="Q3149" s="217"/>
      <c r="R3149" s="217"/>
      <c r="S3149" s="218"/>
    </row>
    <row r="3150" spans="13:19" ht="15" customHeight="1" x14ac:dyDescent="0.25">
      <c r="M3150"/>
      <c r="N3150"/>
      <c r="O3150"/>
      <c r="P3150" s="216"/>
      <c r="Q3150" s="217"/>
      <c r="R3150" s="217"/>
      <c r="S3150" s="218"/>
    </row>
    <row r="3151" spans="13:19" ht="15" customHeight="1" x14ac:dyDescent="0.25">
      <c r="M3151"/>
      <c r="N3151"/>
      <c r="O3151"/>
      <c r="P3151" s="216"/>
      <c r="Q3151" s="217"/>
      <c r="R3151" s="217"/>
      <c r="S3151" s="218"/>
    </row>
    <row r="3152" spans="13:19" ht="15" customHeight="1" x14ac:dyDescent="0.25">
      <c r="M3152"/>
      <c r="N3152"/>
      <c r="O3152"/>
      <c r="P3152" s="216"/>
      <c r="Q3152" s="217"/>
      <c r="R3152" s="217"/>
      <c r="S3152" s="218"/>
    </row>
    <row r="3153" spans="13:19" ht="15" customHeight="1" x14ac:dyDescent="0.25">
      <c r="M3153"/>
      <c r="N3153"/>
      <c r="O3153"/>
      <c r="P3153" s="216"/>
      <c r="Q3153" s="217"/>
      <c r="R3153" s="217"/>
      <c r="S3153" s="218"/>
    </row>
    <row r="3154" spans="13:19" ht="15" customHeight="1" x14ac:dyDescent="0.25">
      <c r="M3154"/>
      <c r="N3154"/>
      <c r="O3154"/>
      <c r="P3154" s="216"/>
      <c r="Q3154" s="217"/>
      <c r="R3154" s="217"/>
      <c r="S3154" s="218"/>
    </row>
    <row r="3155" spans="13:19" ht="15" customHeight="1" x14ac:dyDescent="0.25">
      <c r="M3155"/>
      <c r="N3155"/>
      <c r="O3155"/>
      <c r="P3155" s="216"/>
      <c r="Q3155" s="217"/>
      <c r="R3155" s="217"/>
      <c r="S3155" s="218"/>
    </row>
    <row r="3156" spans="13:19" ht="15" customHeight="1" x14ac:dyDescent="0.25">
      <c r="M3156"/>
      <c r="N3156"/>
      <c r="O3156"/>
      <c r="P3156" s="216"/>
      <c r="Q3156" s="217"/>
      <c r="R3156" s="217"/>
      <c r="S3156" s="218"/>
    </row>
    <row r="3157" spans="13:19" ht="15" customHeight="1" x14ac:dyDescent="0.25">
      <c r="M3157"/>
      <c r="N3157"/>
      <c r="O3157"/>
      <c r="P3157" s="216"/>
      <c r="Q3157" s="217"/>
      <c r="R3157" s="217"/>
      <c r="S3157" s="218"/>
    </row>
    <row r="3158" spans="13:19" ht="15" customHeight="1" x14ac:dyDescent="0.25">
      <c r="M3158"/>
      <c r="N3158"/>
      <c r="O3158"/>
      <c r="P3158" s="216"/>
      <c r="Q3158" s="217"/>
      <c r="R3158" s="217"/>
      <c r="S3158" s="218"/>
    </row>
    <row r="3159" spans="13:19" ht="15" customHeight="1" x14ac:dyDescent="0.25">
      <c r="M3159"/>
      <c r="N3159"/>
      <c r="O3159"/>
      <c r="P3159" s="216"/>
      <c r="Q3159" s="217"/>
      <c r="R3159" s="217"/>
      <c r="S3159" s="218"/>
    </row>
    <row r="3160" spans="13:19" ht="15" customHeight="1" x14ac:dyDescent="0.25">
      <c r="M3160"/>
      <c r="N3160"/>
      <c r="O3160"/>
      <c r="P3160" s="216"/>
      <c r="Q3160" s="217"/>
      <c r="R3160" s="217"/>
      <c r="S3160" s="218"/>
    </row>
    <row r="3161" spans="13:19" ht="15" customHeight="1" x14ac:dyDescent="0.25">
      <c r="M3161"/>
      <c r="N3161"/>
      <c r="O3161"/>
      <c r="P3161" s="216"/>
      <c r="Q3161" s="217"/>
      <c r="R3161" s="217"/>
      <c r="S3161" s="218"/>
    </row>
    <row r="3162" spans="13:19" ht="15" customHeight="1" x14ac:dyDescent="0.25">
      <c r="M3162"/>
      <c r="N3162"/>
      <c r="O3162"/>
      <c r="P3162" s="216"/>
      <c r="Q3162" s="217"/>
      <c r="R3162" s="217"/>
      <c r="S3162" s="218"/>
    </row>
    <row r="3163" spans="13:19" ht="15" customHeight="1" x14ac:dyDescent="0.25">
      <c r="M3163"/>
      <c r="N3163"/>
      <c r="O3163"/>
      <c r="P3163" s="216"/>
      <c r="Q3163" s="217"/>
      <c r="R3163" s="217"/>
      <c r="S3163" s="218"/>
    </row>
    <row r="3164" spans="13:19" ht="15" customHeight="1" x14ac:dyDescent="0.25">
      <c r="M3164"/>
      <c r="N3164"/>
      <c r="O3164"/>
      <c r="P3164" s="216"/>
      <c r="Q3164" s="217"/>
      <c r="R3164" s="217"/>
      <c r="S3164" s="218"/>
    </row>
    <row r="3165" spans="13:19" ht="15" customHeight="1" x14ac:dyDescent="0.25">
      <c r="M3165"/>
      <c r="N3165"/>
      <c r="O3165"/>
      <c r="P3165" s="216"/>
      <c r="Q3165" s="217"/>
      <c r="R3165" s="217"/>
      <c r="S3165" s="218"/>
    </row>
    <row r="3166" spans="13:19" ht="15" customHeight="1" x14ac:dyDescent="0.25">
      <c r="M3166"/>
      <c r="N3166"/>
      <c r="O3166"/>
      <c r="P3166" s="216"/>
      <c r="Q3166" s="217"/>
      <c r="R3166" s="217"/>
      <c r="S3166" s="218"/>
    </row>
    <row r="3167" spans="13:19" ht="15" customHeight="1" x14ac:dyDescent="0.25">
      <c r="M3167"/>
      <c r="N3167"/>
      <c r="O3167"/>
      <c r="P3167" s="216"/>
      <c r="Q3167" s="217"/>
      <c r="R3167" s="217"/>
      <c r="S3167" s="218"/>
    </row>
    <row r="3168" spans="13:19" ht="15" customHeight="1" x14ac:dyDescent="0.25">
      <c r="M3168"/>
      <c r="N3168"/>
      <c r="O3168"/>
      <c r="P3168" s="216"/>
      <c r="Q3168" s="217"/>
      <c r="R3168" s="217"/>
      <c r="S3168" s="218"/>
    </row>
    <row r="3169" spans="13:19" ht="15" customHeight="1" x14ac:dyDescent="0.25">
      <c r="M3169"/>
      <c r="N3169"/>
      <c r="O3169"/>
      <c r="P3169" s="216"/>
      <c r="Q3169" s="217"/>
      <c r="R3169" s="217"/>
      <c r="S3169" s="218"/>
    </row>
    <row r="3170" spans="13:19" ht="15" customHeight="1" x14ac:dyDescent="0.25">
      <c r="M3170"/>
      <c r="N3170"/>
      <c r="O3170"/>
      <c r="P3170" s="216"/>
      <c r="Q3170" s="217"/>
      <c r="R3170" s="217"/>
      <c r="S3170" s="218"/>
    </row>
    <row r="3171" spans="13:19" ht="15" customHeight="1" x14ac:dyDescent="0.25">
      <c r="M3171"/>
      <c r="N3171"/>
      <c r="O3171"/>
      <c r="P3171" s="216"/>
      <c r="Q3171" s="217"/>
      <c r="R3171" s="217"/>
      <c r="S3171" s="218"/>
    </row>
    <row r="3172" spans="13:19" ht="15" customHeight="1" x14ac:dyDescent="0.25">
      <c r="M3172"/>
      <c r="N3172"/>
      <c r="O3172"/>
      <c r="P3172" s="216"/>
      <c r="Q3172" s="217"/>
      <c r="R3172" s="217"/>
      <c r="S3172" s="218"/>
    </row>
    <row r="3173" spans="13:19" ht="15" customHeight="1" x14ac:dyDescent="0.25">
      <c r="M3173"/>
      <c r="N3173"/>
      <c r="O3173"/>
      <c r="P3173" s="216"/>
      <c r="Q3173" s="217"/>
      <c r="R3173" s="217"/>
      <c r="S3173" s="218"/>
    </row>
    <row r="3174" spans="13:19" ht="15" customHeight="1" x14ac:dyDescent="0.25">
      <c r="M3174"/>
      <c r="N3174"/>
      <c r="O3174"/>
      <c r="P3174" s="216"/>
      <c r="Q3174" s="217"/>
      <c r="R3174" s="217"/>
      <c r="S3174" s="218"/>
    </row>
    <row r="3175" spans="13:19" ht="15" customHeight="1" x14ac:dyDescent="0.25">
      <c r="M3175"/>
      <c r="N3175"/>
      <c r="O3175"/>
      <c r="P3175" s="216"/>
      <c r="Q3175" s="217"/>
      <c r="R3175" s="217"/>
      <c r="S3175" s="218"/>
    </row>
    <row r="3176" spans="13:19" ht="15" customHeight="1" x14ac:dyDescent="0.25">
      <c r="M3176"/>
      <c r="N3176"/>
      <c r="O3176"/>
      <c r="P3176" s="216"/>
      <c r="Q3176" s="217"/>
      <c r="R3176" s="217"/>
      <c r="S3176" s="218"/>
    </row>
    <row r="3177" spans="13:19" ht="15" customHeight="1" x14ac:dyDescent="0.25">
      <c r="M3177"/>
      <c r="N3177"/>
      <c r="O3177"/>
      <c r="P3177" s="216"/>
      <c r="Q3177" s="217"/>
      <c r="R3177" s="217"/>
      <c r="S3177" s="218"/>
    </row>
    <row r="3178" spans="13:19" ht="15" customHeight="1" x14ac:dyDescent="0.25">
      <c r="M3178"/>
      <c r="N3178"/>
      <c r="O3178"/>
      <c r="P3178" s="216"/>
      <c r="Q3178" s="217"/>
      <c r="R3178" s="217"/>
      <c r="S3178" s="218"/>
    </row>
    <row r="3179" spans="13:19" ht="15" customHeight="1" x14ac:dyDescent="0.25">
      <c r="M3179"/>
      <c r="N3179"/>
      <c r="O3179"/>
      <c r="P3179" s="216"/>
      <c r="Q3179" s="217"/>
      <c r="R3179" s="217"/>
      <c r="S3179" s="218"/>
    </row>
    <row r="3180" spans="13:19" ht="15" customHeight="1" x14ac:dyDescent="0.25">
      <c r="M3180"/>
      <c r="N3180"/>
      <c r="O3180"/>
      <c r="P3180" s="216"/>
      <c r="Q3180" s="217"/>
      <c r="R3180" s="217"/>
      <c r="S3180" s="218"/>
    </row>
    <row r="3181" spans="13:19" ht="15" customHeight="1" x14ac:dyDescent="0.25">
      <c r="M3181"/>
      <c r="N3181"/>
      <c r="O3181"/>
      <c r="P3181" s="216"/>
      <c r="Q3181" s="217"/>
      <c r="R3181" s="217"/>
      <c r="S3181" s="218"/>
    </row>
    <row r="3182" spans="13:19" ht="15" customHeight="1" x14ac:dyDescent="0.25">
      <c r="M3182"/>
      <c r="N3182"/>
      <c r="O3182"/>
      <c r="P3182" s="216"/>
      <c r="Q3182" s="217"/>
      <c r="R3182" s="217"/>
      <c r="S3182" s="218"/>
    </row>
    <row r="3183" spans="13:19" ht="15" customHeight="1" x14ac:dyDescent="0.25">
      <c r="M3183"/>
      <c r="N3183"/>
      <c r="O3183"/>
      <c r="P3183" s="216"/>
      <c r="Q3183" s="217"/>
      <c r="R3183" s="217"/>
      <c r="S3183" s="218"/>
    </row>
    <row r="3184" spans="13:19" ht="15" customHeight="1" x14ac:dyDescent="0.25">
      <c r="M3184"/>
      <c r="N3184"/>
      <c r="O3184"/>
      <c r="P3184" s="216"/>
      <c r="Q3184" s="217"/>
      <c r="R3184" s="217"/>
      <c r="S3184" s="218"/>
    </row>
    <row r="3185" spans="13:19" ht="15" customHeight="1" x14ac:dyDescent="0.25">
      <c r="M3185"/>
      <c r="N3185"/>
      <c r="O3185"/>
      <c r="P3185" s="216"/>
      <c r="Q3185" s="217"/>
      <c r="R3185" s="217"/>
      <c r="S3185" s="218"/>
    </row>
    <row r="3186" spans="13:19" ht="15" customHeight="1" x14ac:dyDescent="0.25">
      <c r="M3186"/>
      <c r="N3186"/>
      <c r="O3186"/>
      <c r="P3186" s="216"/>
      <c r="Q3186" s="217"/>
      <c r="R3186" s="217"/>
      <c r="S3186" s="218"/>
    </row>
    <row r="3187" spans="13:19" ht="15" customHeight="1" x14ac:dyDescent="0.25">
      <c r="M3187"/>
      <c r="N3187"/>
      <c r="O3187"/>
      <c r="P3187" s="216"/>
      <c r="Q3187" s="217"/>
      <c r="R3187" s="217"/>
      <c r="S3187" s="218"/>
    </row>
    <row r="3188" spans="13:19" ht="15" customHeight="1" x14ac:dyDescent="0.25">
      <c r="M3188"/>
      <c r="N3188"/>
      <c r="O3188"/>
      <c r="P3188" s="216"/>
      <c r="Q3188" s="217"/>
      <c r="R3188" s="217"/>
      <c r="S3188" s="218"/>
    </row>
    <row r="3189" spans="13:19" ht="15" customHeight="1" x14ac:dyDescent="0.25">
      <c r="M3189"/>
      <c r="N3189"/>
      <c r="O3189"/>
      <c r="P3189" s="216"/>
      <c r="Q3189" s="217"/>
      <c r="R3189" s="217"/>
      <c r="S3189" s="218"/>
    </row>
    <row r="3190" spans="13:19" ht="15" customHeight="1" x14ac:dyDescent="0.25">
      <c r="M3190"/>
      <c r="N3190"/>
      <c r="O3190"/>
      <c r="P3190" s="216"/>
      <c r="Q3190" s="217"/>
      <c r="R3190" s="217"/>
      <c r="S3190" s="218"/>
    </row>
    <row r="3191" spans="13:19" ht="15" customHeight="1" x14ac:dyDescent="0.25">
      <c r="M3191"/>
      <c r="N3191"/>
      <c r="O3191"/>
      <c r="P3191" s="216"/>
      <c r="Q3191" s="217"/>
      <c r="R3191" s="217"/>
      <c r="S3191" s="218"/>
    </row>
    <row r="3192" spans="13:19" ht="15" customHeight="1" x14ac:dyDescent="0.25">
      <c r="M3192"/>
      <c r="N3192"/>
      <c r="O3192"/>
      <c r="P3192" s="216"/>
      <c r="Q3192" s="217"/>
      <c r="R3192" s="217"/>
      <c r="S3192" s="218"/>
    </row>
    <row r="3193" spans="13:19" ht="15" customHeight="1" x14ac:dyDescent="0.25">
      <c r="M3193"/>
      <c r="N3193"/>
      <c r="O3193"/>
      <c r="P3193" s="216"/>
      <c r="Q3193" s="217"/>
      <c r="R3193" s="217"/>
      <c r="S3193" s="218"/>
    </row>
    <row r="3194" spans="13:19" ht="15" customHeight="1" x14ac:dyDescent="0.25">
      <c r="M3194"/>
      <c r="N3194"/>
      <c r="O3194"/>
      <c r="P3194" s="216"/>
      <c r="Q3194" s="217"/>
      <c r="R3194" s="217"/>
      <c r="S3194" s="218"/>
    </row>
    <row r="3195" spans="13:19" ht="15" customHeight="1" x14ac:dyDescent="0.25">
      <c r="M3195"/>
      <c r="N3195"/>
      <c r="O3195"/>
      <c r="P3195" s="216"/>
      <c r="Q3195" s="217"/>
      <c r="R3195" s="217"/>
      <c r="S3195" s="218"/>
    </row>
    <row r="3196" spans="13:19" ht="15" customHeight="1" x14ac:dyDescent="0.25">
      <c r="M3196"/>
      <c r="N3196"/>
      <c r="O3196"/>
      <c r="P3196" s="216"/>
      <c r="Q3196" s="217"/>
      <c r="R3196" s="217"/>
      <c r="S3196" s="218"/>
    </row>
    <row r="3197" spans="13:19" ht="15" customHeight="1" x14ac:dyDescent="0.25">
      <c r="M3197"/>
      <c r="N3197"/>
      <c r="O3197"/>
      <c r="P3197" s="216"/>
      <c r="Q3197" s="217"/>
      <c r="R3197" s="217"/>
      <c r="S3197" s="218"/>
    </row>
    <row r="3198" spans="13:19" ht="15" customHeight="1" x14ac:dyDescent="0.25">
      <c r="M3198"/>
      <c r="N3198"/>
      <c r="O3198"/>
      <c r="P3198" s="216"/>
      <c r="Q3198" s="217"/>
      <c r="R3198" s="217"/>
      <c r="S3198" s="218"/>
    </row>
    <row r="3199" spans="13:19" ht="15" customHeight="1" x14ac:dyDescent="0.25">
      <c r="M3199"/>
      <c r="N3199"/>
      <c r="O3199"/>
      <c r="P3199" s="216"/>
      <c r="Q3199" s="217"/>
      <c r="R3199" s="217"/>
      <c r="S3199" s="218"/>
    </row>
    <row r="3200" spans="13:19" ht="15" customHeight="1" x14ac:dyDescent="0.25">
      <c r="M3200"/>
      <c r="N3200"/>
      <c r="O3200"/>
      <c r="P3200" s="216"/>
      <c r="Q3200" s="217"/>
      <c r="R3200" s="217"/>
      <c r="S3200" s="218"/>
    </row>
    <row r="3201" spans="13:19" ht="15" customHeight="1" x14ac:dyDescent="0.25">
      <c r="M3201"/>
      <c r="N3201"/>
      <c r="O3201"/>
      <c r="P3201" s="216"/>
      <c r="Q3201" s="217"/>
      <c r="R3201" s="217"/>
      <c r="S3201" s="218"/>
    </row>
    <row r="3202" spans="13:19" ht="15" customHeight="1" x14ac:dyDescent="0.25">
      <c r="M3202"/>
      <c r="N3202"/>
      <c r="O3202"/>
      <c r="P3202" s="216"/>
      <c r="Q3202" s="217"/>
      <c r="R3202" s="217"/>
      <c r="S3202" s="218"/>
    </row>
    <row r="3203" spans="13:19" ht="15" customHeight="1" x14ac:dyDescent="0.25">
      <c r="M3203"/>
      <c r="N3203"/>
      <c r="O3203"/>
      <c r="P3203" s="216"/>
      <c r="Q3203" s="217"/>
      <c r="R3203" s="217"/>
      <c r="S3203" s="218"/>
    </row>
    <row r="3204" spans="13:19" ht="15" customHeight="1" x14ac:dyDescent="0.25">
      <c r="M3204"/>
      <c r="N3204"/>
      <c r="O3204"/>
      <c r="P3204" s="216"/>
      <c r="Q3204" s="217"/>
      <c r="R3204" s="217"/>
      <c r="S3204" s="218"/>
    </row>
    <row r="3205" spans="13:19" ht="15" customHeight="1" x14ac:dyDescent="0.25">
      <c r="M3205"/>
      <c r="N3205"/>
      <c r="O3205"/>
      <c r="P3205" s="216"/>
      <c r="Q3205" s="217"/>
      <c r="R3205" s="217"/>
      <c r="S3205" s="218"/>
    </row>
    <row r="3206" spans="13:19" ht="15" customHeight="1" x14ac:dyDescent="0.25">
      <c r="M3206"/>
      <c r="N3206"/>
      <c r="O3206"/>
      <c r="P3206" s="216"/>
      <c r="Q3206" s="217"/>
      <c r="R3206" s="217"/>
      <c r="S3206" s="218"/>
    </row>
    <row r="3207" spans="13:19" ht="15" customHeight="1" x14ac:dyDescent="0.25">
      <c r="M3207"/>
      <c r="N3207"/>
      <c r="O3207"/>
      <c r="P3207" s="216"/>
      <c r="Q3207" s="217"/>
      <c r="R3207" s="217"/>
      <c r="S3207" s="218"/>
    </row>
    <row r="3208" spans="13:19" ht="15" customHeight="1" x14ac:dyDescent="0.25">
      <c r="M3208"/>
      <c r="N3208"/>
      <c r="O3208"/>
      <c r="P3208" s="216"/>
      <c r="Q3208" s="217"/>
      <c r="R3208" s="217"/>
      <c r="S3208" s="218"/>
    </row>
    <row r="3209" spans="13:19" ht="15" customHeight="1" x14ac:dyDescent="0.25">
      <c r="M3209"/>
      <c r="N3209"/>
      <c r="O3209"/>
      <c r="P3209" s="216"/>
      <c r="Q3209" s="217"/>
      <c r="R3209" s="217"/>
      <c r="S3209" s="218"/>
    </row>
    <row r="3210" spans="13:19" ht="15" customHeight="1" x14ac:dyDescent="0.25">
      <c r="M3210"/>
      <c r="N3210"/>
      <c r="O3210"/>
      <c r="P3210" s="216"/>
      <c r="Q3210" s="217"/>
      <c r="R3210" s="217"/>
      <c r="S3210" s="218"/>
    </row>
    <row r="3211" spans="13:19" ht="15" customHeight="1" x14ac:dyDescent="0.25">
      <c r="M3211"/>
      <c r="N3211"/>
      <c r="O3211"/>
      <c r="P3211" s="216"/>
      <c r="Q3211" s="217"/>
      <c r="R3211" s="217"/>
      <c r="S3211" s="218"/>
    </row>
    <row r="3212" spans="13:19" ht="15" customHeight="1" x14ac:dyDescent="0.25">
      <c r="M3212"/>
      <c r="N3212"/>
      <c r="O3212"/>
      <c r="P3212" s="216"/>
      <c r="Q3212" s="217"/>
      <c r="R3212" s="217"/>
      <c r="S3212" s="218"/>
    </row>
    <row r="3213" spans="13:19" ht="15" customHeight="1" x14ac:dyDescent="0.25">
      <c r="M3213"/>
      <c r="N3213"/>
      <c r="O3213"/>
      <c r="P3213" s="216"/>
      <c r="Q3213" s="217"/>
      <c r="R3213" s="217"/>
      <c r="S3213" s="218"/>
    </row>
    <row r="3214" spans="13:19" ht="15" customHeight="1" x14ac:dyDescent="0.25">
      <c r="M3214"/>
      <c r="N3214"/>
      <c r="O3214"/>
      <c r="P3214" s="216"/>
      <c r="Q3214" s="217"/>
      <c r="R3214" s="217"/>
      <c r="S3214" s="218"/>
    </row>
    <row r="3215" spans="13:19" ht="15" customHeight="1" x14ac:dyDescent="0.25">
      <c r="M3215"/>
      <c r="N3215"/>
      <c r="O3215"/>
      <c r="P3215" s="216"/>
      <c r="Q3215" s="217"/>
      <c r="R3215" s="217"/>
      <c r="S3215" s="218"/>
    </row>
    <row r="3216" spans="13:19" ht="15" customHeight="1" x14ac:dyDescent="0.25">
      <c r="M3216"/>
      <c r="N3216"/>
      <c r="O3216"/>
      <c r="P3216" s="216"/>
      <c r="Q3216" s="217"/>
      <c r="R3216" s="217"/>
      <c r="S3216" s="218"/>
    </row>
    <row r="3217" spans="13:19" ht="15" customHeight="1" x14ac:dyDescent="0.25">
      <c r="M3217"/>
      <c r="N3217"/>
      <c r="O3217"/>
      <c r="P3217" s="216"/>
      <c r="Q3217" s="217"/>
      <c r="R3217" s="217"/>
      <c r="S3217" s="218"/>
    </row>
    <row r="3218" spans="13:19" ht="15" customHeight="1" x14ac:dyDescent="0.25">
      <c r="M3218"/>
      <c r="N3218"/>
      <c r="O3218"/>
      <c r="P3218" s="216"/>
      <c r="Q3218" s="217"/>
      <c r="R3218" s="217"/>
      <c r="S3218" s="218"/>
    </row>
    <row r="3219" spans="13:19" ht="15" customHeight="1" x14ac:dyDescent="0.25">
      <c r="M3219"/>
      <c r="N3219"/>
      <c r="O3219"/>
      <c r="P3219" s="216"/>
      <c r="Q3219" s="217"/>
      <c r="R3219" s="217"/>
      <c r="S3219" s="218"/>
    </row>
    <row r="3220" spans="13:19" ht="15" customHeight="1" x14ac:dyDescent="0.25">
      <c r="M3220"/>
      <c r="N3220"/>
      <c r="O3220"/>
      <c r="P3220" s="216"/>
      <c r="Q3220" s="217"/>
      <c r="R3220" s="217"/>
      <c r="S3220" s="218"/>
    </row>
    <row r="3221" spans="13:19" ht="15" customHeight="1" x14ac:dyDescent="0.25">
      <c r="M3221"/>
      <c r="N3221"/>
      <c r="O3221"/>
      <c r="P3221" s="216"/>
      <c r="Q3221" s="217"/>
      <c r="R3221" s="217"/>
      <c r="S3221" s="218"/>
    </row>
    <row r="3222" spans="13:19" ht="15" customHeight="1" x14ac:dyDescent="0.25">
      <c r="M3222"/>
      <c r="N3222"/>
      <c r="O3222"/>
      <c r="P3222" s="216"/>
      <c r="Q3222" s="217"/>
      <c r="R3222" s="217"/>
      <c r="S3222" s="218"/>
    </row>
    <row r="3223" spans="13:19" ht="15" customHeight="1" x14ac:dyDescent="0.25">
      <c r="M3223"/>
      <c r="N3223"/>
      <c r="O3223"/>
      <c r="P3223" s="216"/>
      <c r="Q3223" s="217"/>
      <c r="R3223" s="217"/>
      <c r="S3223" s="218"/>
    </row>
    <row r="3224" spans="13:19" ht="15" customHeight="1" x14ac:dyDescent="0.25">
      <c r="M3224"/>
      <c r="N3224"/>
      <c r="O3224"/>
      <c r="P3224" s="216"/>
      <c r="Q3224" s="217"/>
      <c r="R3224" s="217"/>
      <c r="S3224" s="218"/>
    </row>
    <row r="3225" spans="13:19" ht="15" customHeight="1" x14ac:dyDescent="0.25">
      <c r="M3225"/>
      <c r="N3225"/>
      <c r="O3225"/>
      <c r="P3225" s="216"/>
      <c r="Q3225" s="217"/>
      <c r="R3225" s="217"/>
      <c r="S3225" s="218"/>
    </row>
    <row r="3226" spans="13:19" ht="15" customHeight="1" x14ac:dyDescent="0.25">
      <c r="M3226"/>
      <c r="N3226"/>
      <c r="O3226"/>
      <c r="P3226" s="216"/>
      <c r="Q3226" s="217"/>
      <c r="R3226" s="217"/>
      <c r="S3226" s="218"/>
    </row>
    <row r="3227" spans="13:19" ht="15" customHeight="1" x14ac:dyDescent="0.25">
      <c r="M3227"/>
      <c r="N3227"/>
      <c r="O3227"/>
      <c r="P3227" s="216"/>
      <c r="Q3227" s="217"/>
      <c r="R3227" s="217"/>
      <c r="S3227" s="218"/>
    </row>
    <row r="3228" spans="13:19" ht="15" customHeight="1" x14ac:dyDescent="0.25">
      <c r="M3228"/>
      <c r="N3228"/>
      <c r="O3228"/>
      <c r="P3228" s="216"/>
      <c r="Q3228" s="217"/>
      <c r="R3228" s="217"/>
      <c r="S3228" s="218"/>
    </row>
    <row r="3229" spans="13:19" ht="15" customHeight="1" x14ac:dyDescent="0.25">
      <c r="M3229"/>
      <c r="N3229"/>
      <c r="O3229"/>
      <c r="P3229" s="216"/>
      <c r="Q3229" s="217"/>
      <c r="R3229" s="217"/>
      <c r="S3229" s="218"/>
    </row>
    <row r="3230" spans="13:19" ht="15" customHeight="1" x14ac:dyDescent="0.25">
      <c r="M3230"/>
      <c r="N3230"/>
      <c r="O3230"/>
      <c r="P3230" s="216"/>
      <c r="Q3230" s="217"/>
      <c r="R3230" s="217"/>
      <c r="S3230" s="218"/>
    </row>
    <row r="3231" spans="13:19" ht="15" customHeight="1" x14ac:dyDescent="0.25">
      <c r="M3231"/>
      <c r="N3231"/>
      <c r="O3231"/>
      <c r="P3231" s="216"/>
      <c r="Q3231" s="217"/>
      <c r="R3231" s="217"/>
      <c r="S3231" s="218"/>
    </row>
    <row r="3232" spans="13:19" ht="15" customHeight="1" x14ac:dyDescent="0.25">
      <c r="M3232"/>
      <c r="N3232"/>
      <c r="O3232"/>
      <c r="P3232" s="216"/>
      <c r="Q3232" s="217"/>
      <c r="R3232" s="217"/>
      <c r="S3232" s="218"/>
    </row>
    <row r="3233" spans="13:19" ht="15" customHeight="1" x14ac:dyDescent="0.25">
      <c r="M3233"/>
      <c r="N3233"/>
      <c r="O3233"/>
      <c r="P3233" s="216"/>
      <c r="Q3233" s="217"/>
      <c r="R3233" s="217"/>
      <c r="S3233" s="218"/>
    </row>
    <row r="3234" spans="13:19" ht="15" customHeight="1" x14ac:dyDescent="0.25">
      <c r="M3234"/>
      <c r="N3234"/>
      <c r="O3234"/>
      <c r="P3234" s="216"/>
      <c r="Q3234" s="217"/>
      <c r="R3234" s="217"/>
      <c r="S3234" s="218"/>
    </row>
    <row r="3235" spans="13:19" ht="15" customHeight="1" x14ac:dyDescent="0.25">
      <c r="M3235"/>
      <c r="N3235"/>
      <c r="O3235"/>
      <c r="P3235" s="216"/>
      <c r="Q3235" s="217"/>
      <c r="R3235" s="217"/>
      <c r="S3235" s="218"/>
    </row>
    <row r="3236" spans="13:19" ht="15" customHeight="1" x14ac:dyDescent="0.25">
      <c r="M3236"/>
      <c r="N3236"/>
      <c r="O3236"/>
      <c r="P3236" s="216"/>
      <c r="Q3236" s="217"/>
      <c r="R3236" s="217"/>
      <c r="S3236" s="218"/>
    </row>
    <row r="3237" spans="13:19" ht="15" customHeight="1" x14ac:dyDescent="0.25">
      <c r="M3237"/>
      <c r="N3237"/>
      <c r="O3237"/>
      <c r="P3237" s="216"/>
      <c r="Q3237" s="217"/>
      <c r="R3237" s="217"/>
      <c r="S3237" s="218"/>
    </row>
    <row r="3238" spans="13:19" ht="15" customHeight="1" x14ac:dyDescent="0.25">
      <c r="M3238"/>
      <c r="N3238"/>
      <c r="O3238"/>
      <c r="P3238" s="216"/>
      <c r="Q3238" s="217"/>
      <c r="R3238" s="217"/>
      <c r="S3238" s="218"/>
    </row>
    <row r="3239" spans="13:19" ht="15" customHeight="1" x14ac:dyDescent="0.25">
      <c r="M3239"/>
      <c r="N3239"/>
      <c r="O3239"/>
      <c r="P3239" s="216"/>
      <c r="Q3239" s="217"/>
      <c r="R3239" s="217"/>
      <c r="S3239" s="218"/>
    </row>
    <row r="3240" spans="13:19" ht="15" customHeight="1" x14ac:dyDescent="0.25">
      <c r="M3240"/>
      <c r="N3240"/>
      <c r="O3240"/>
      <c r="P3240" s="216"/>
      <c r="Q3240" s="217"/>
      <c r="R3240" s="217"/>
      <c r="S3240" s="218"/>
    </row>
    <row r="3241" spans="13:19" ht="15" customHeight="1" x14ac:dyDescent="0.25">
      <c r="M3241"/>
      <c r="N3241"/>
      <c r="O3241"/>
      <c r="P3241" s="216"/>
      <c r="Q3241" s="217"/>
      <c r="R3241" s="217"/>
      <c r="S3241" s="218"/>
    </row>
    <row r="3242" spans="13:19" ht="15" customHeight="1" x14ac:dyDescent="0.25">
      <c r="M3242"/>
      <c r="N3242"/>
      <c r="O3242"/>
      <c r="P3242" s="216"/>
      <c r="Q3242" s="217"/>
      <c r="R3242" s="217"/>
      <c r="S3242" s="218"/>
    </row>
    <row r="3243" spans="13:19" ht="15" customHeight="1" x14ac:dyDescent="0.25">
      <c r="M3243"/>
      <c r="N3243"/>
      <c r="O3243"/>
      <c r="P3243" s="216"/>
      <c r="Q3243" s="217"/>
      <c r="R3243" s="217"/>
      <c r="S3243" s="218"/>
    </row>
    <row r="3244" spans="13:19" ht="15" customHeight="1" x14ac:dyDescent="0.25">
      <c r="M3244"/>
      <c r="N3244"/>
      <c r="O3244"/>
      <c r="P3244" s="216"/>
      <c r="Q3244" s="217"/>
      <c r="R3244" s="217"/>
      <c r="S3244" s="218"/>
    </row>
    <row r="3245" spans="13:19" ht="15" customHeight="1" x14ac:dyDescent="0.25">
      <c r="M3245"/>
      <c r="N3245"/>
      <c r="O3245"/>
      <c r="P3245" s="216"/>
      <c r="Q3245" s="217"/>
      <c r="R3245" s="217"/>
      <c r="S3245" s="218"/>
    </row>
    <row r="3246" spans="13:19" ht="15" customHeight="1" x14ac:dyDescent="0.25">
      <c r="M3246"/>
      <c r="N3246"/>
      <c r="O3246"/>
      <c r="P3246" s="216"/>
      <c r="Q3246" s="217"/>
      <c r="R3246" s="217"/>
      <c r="S3246" s="218"/>
    </row>
    <row r="3247" spans="13:19" ht="15" customHeight="1" x14ac:dyDescent="0.25">
      <c r="M3247"/>
      <c r="N3247"/>
      <c r="O3247"/>
      <c r="P3247" s="216"/>
      <c r="Q3247" s="217"/>
      <c r="R3247" s="217"/>
      <c r="S3247" s="218"/>
    </row>
    <row r="3248" spans="13:19" ht="15" customHeight="1" x14ac:dyDescent="0.25">
      <c r="M3248"/>
      <c r="N3248"/>
      <c r="O3248"/>
      <c r="P3248" s="216"/>
      <c r="Q3248" s="217"/>
      <c r="R3248" s="217"/>
      <c r="S3248" s="218"/>
    </row>
    <row r="3249" spans="13:19" ht="15" customHeight="1" x14ac:dyDescent="0.25">
      <c r="M3249"/>
      <c r="N3249"/>
      <c r="O3249"/>
      <c r="P3249" s="216"/>
      <c r="Q3249" s="217"/>
      <c r="R3249" s="217"/>
      <c r="S3249" s="218"/>
    </row>
    <row r="3250" spans="13:19" ht="15" customHeight="1" x14ac:dyDescent="0.25">
      <c r="M3250"/>
      <c r="N3250"/>
      <c r="O3250"/>
      <c r="P3250" s="216"/>
      <c r="Q3250" s="217"/>
      <c r="R3250" s="217"/>
      <c r="S3250" s="218"/>
    </row>
    <row r="3251" spans="13:19" ht="15" customHeight="1" x14ac:dyDescent="0.25">
      <c r="M3251"/>
      <c r="N3251"/>
      <c r="O3251"/>
      <c r="P3251" s="216"/>
      <c r="Q3251" s="217"/>
      <c r="R3251" s="217"/>
      <c r="S3251" s="218"/>
    </row>
    <row r="3252" spans="13:19" ht="15" customHeight="1" x14ac:dyDescent="0.25">
      <c r="M3252"/>
      <c r="N3252"/>
      <c r="O3252"/>
      <c r="P3252" s="216"/>
      <c r="Q3252" s="217"/>
      <c r="R3252" s="217"/>
      <c r="S3252" s="218"/>
    </row>
    <row r="3253" spans="13:19" ht="15" customHeight="1" x14ac:dyDescent="0.25">
      <c r="M3253"/>
      <c r="N3253"/>
      <c r="O3253"/>
      <c r="P3253" s="216"/>
      <c r="Q3253" s="217"/>
      <c r="R3253" s="217"/>
      <c r="S3253" s="218"/>
    </row>
    <row r="3254" spans="13:19" ht="15" customHeight="1" x14ac:dyDescent="0.25">
      <c r="M3254"/>
      <c r="N3254"/>
      <c r="O3254"/>
      <c r="P3254" s="216"/>
      <c r="Q3254" s="217"/>
      <c r="R3254" s="217"/>
      <c r="S3254" s="218"/>
    </row>
    <row r="3255" spans="13:19" ht="15" customHeight="1" x14ac:dyDescent="0.25">
      <c r="M3255"/>
      <c r="N3255"/>
      <c r="O3255"/>
      <c r="P3255" s="216"/>
      <c r="Q3255" s="217"/>
      <c r="R3255" s="217"/>
      <c r="S3255" s="218"/>
    </row>
    <row r="3256" spans="13:19" ht="15" customHeight="1" x14ac:dyDescent="0.25">
      <c r="M3256"/>
      <c r="N3256"/>
      <c r="O3256"/>
      <c r="P3256" s="216"/>
      <c r="Q3256" s="217"/>
      <c r="R3256" s="217"/>
      <c r="S3256" s="218"/>
    </row>
    <row r="3257" spans="13:19" ht="15" customHeight="1" x14ac:dyDescent="0.25">
      <c r="M3257"/>
      <c r="N3257"/>
      <c r="O3257"/>
      <c r="P3257" s="216"/>
      <c r="Q3257" s="217"/>
      <c r="R3257" s="217"/>
      <c r="S3257" s="218"/>
    </row>
    <row r="3258" spans="13:19" ht="15" customHeight="1" x14ac:dyDescent="0.25">
      <c r="M3258"/>
      <c r="N3258"/>
      <c r="O3258"/>
      <c r="P3258" s="216"/>
      <c r="Q3258" s="217"/>
      <c r="R3258" s="217"/>
      <c r="S3258" s="218"/>
    </row>
    <row r="3259" spans="13:19" ht="15" customHeight="1" x14ac:dyDescent="0.25">
      <c r="M3259"/>
      <c r="N3259"/>
      <c r="O3259"/>
      <c r="P3259" s="216"/>
      <c r="Q3259" s="217"/>
      <c r="R3259" s="217"/>
      <c r="S3259" s="218"/>
    </row>
    <row r="3260" spans="13:19" ht="15" customHeight="1" x14ac:dyDescent="0.25">
      <c r="M3260"/>
      <c r="N3260"/>
      <c r="O3260"/>
      <c r="P3260" s="216"/>
      <c r="Q3260" s="217"/>
      <c r="R3260" s="217"/>
      <c r="S3260" s="218"/>
    </row>
    <row r="3261" spans="13:19" ht="15" customHeight="1" x14ac:dyDescent="0.25">
      <c r="M3261"/>
      <c r="N3261"/>
      <c r="O3261"/>
      <c r="P3261" s="216"/>
      <c r="Q3261" s="217"/>
      <c r="R3261" s="217"/>
      <c r="S3261" s="218"/>
    </row>
    <row r="3262" spans="13:19" ht="15" customHeight="1" x14ac:dyDescent="0.25">
      <c r="M3262"/>
      <c r="N3262"/>
      <c r="O3262"/>
      <c r="P3262" s="216"/>
      <c r="Q3262" s="217"/>
      <c r="R3262" s="217"/>
      <c r="S3262" s="218"/>
    </row>
    <row r="3263" spans="13:19" ht="15" customHeight="1" x14ac:dyDescent="0.25">
      <c r="M3263"/>
      <c r="N3263"/>
      <c r="O3263"/>
      <c r="P3263" s="216"/>
      <c r="Q3263" s="217"/>
      <c r="R3263" s="217"/>
      <c r="S3263" s="218"/>
    </row>
    <row r="3264" spans="13:19" ht="15" customHeight="1" x14ac:dyDescent="0.25">
      <c r="M3264"/>
      <c r="N3264"/>
      <c r="O3264"/>
      <c r="P3264" s="216"/>
      <c r="Q3264" s="217"/>
      <c r="R3264" s="217"/>
      <c r="S3264" s="218"/>
    </row>
    <row r="3265" spans="13:19" ht="15" customHeight="1" x14ac:dyDescent="0.25">
      <c r="M3265"/>
      <c r="N3265"/>
      <c r="O3265"/>
      <c r="P3265" s="216"/>
      <c r="Q3265" s="217"/>
      <c r="R3265" s="217"/>
      <c r="S3265" s="218"/>
    </row>
    <row r="3266" spans="13:19" ht="15" customHeight="1" x14ac:dyDescent="0.25">
      <c r="M3266"/>
      <c r="N3266"/>
      <c r="O3266"/>
      <c r="P3266" s="216"/>
      <c r="Q3266" s="217"/>
      <c r="R3266" s="217"/>
      <c r="S3266" s="218"/>
    </row>
    <row r="3267" spans="13:19" ht="15" customHeight="1" x14ac:dyDescent="0.25">
      <c r="M3267"/>
      <c r="N3267"/>
      <c r="O3267"/>
      <c r="P3267" s="216"/>
      <c r="Q3267" s="217"/>
      <c r="R3267" s="217"/>
      <c r="S3267" s="218"/>
    </row>
    <row r="3268" spans="13:19" ht="15" customHeight="1" x14ac:dyDescent="0.25">
      <c r="M3268"/>
      <c r="N3268"/>
      <c r="O3268"/>
      <c r="P3268" s="216"/>
      <c r="Q3268" s="217"/>
      <c r="R3268" s="217"/>
      <c r="S3268" s="218"/>
    </row>
    <row r="3269" spans="13:19" ht="15" customHeight="1" x14ac:dyDescent="0.25">
      <c r="M3269"/>
      <c r="N3269"/>
      <c r="O3269"/>
      <c r="P3269" s="216"/>
      <c r="Q3269" s="217"/>
      <c r="R3269" s="217"/>
      <c r="S3269" s="218"/>
    </row>
    <row r="3270" spans="13:19" ht="15" customHeight="1" x14ac:dyDescent="0.25">
      <c r="M3270"/>
      <c r="N3270"/>
      <c r="O3270"/>
      <c r="P3270" s="216"/>
      <c r="Q3270" s="217"/>
      <c r="R3270" s="217"/>
      <c r="S3270" s="218"/>
    </row>
    <row r="3271" spans="13:19" ht="15" customHeight="1" x14ac:dyDescent="0.25">
      <c r="M3271"/>
      <c r="N3271"/>
      <c r="O3271"/>
      <c r="P3271" s="216"/>
      <c r="Q3271" s="217"/>
      <c r="R3271" s="217"/>
      <c r="S3271" s="218"/>
    </row>
    <row r="3272" spans="13:19" ht="15" customHeight="1" x14ac:dyDescent="0.25">
      <c r="M3272"/>
      <c r="N3272"/>
      <c r="O3272"/>
      <c r="P3272" s="216"/>
      <c r="Q3272" s="217"/>
      <c r="R3272" s="217"/>
      <c r="S3272" s="218"/>
    </row>
    <row r="3273" spans="13:19" ht="15" customHeight="1" x14ac:dyDescent="0.25">
      <c r="M3273"/>
      <c r="N3273"/>
      <c r="O3273"/>
      <c r="P3273" s="216"/>
      <c r="Q3273" s="217"/>
      <c r="R3273" s="217"/>
      <c r="S3273" s="218"/>
    </row>
    <row r="3274" spans="13:19" ht="15" customHeight="1" x14ac:dyDescent="0.25">
      <c r="M3274"/>
      <c r="N3274"/>
      <c r="O3274"/>
      <c r="P3274" s="216"/>
      <c r="Q3274" s="217"/>
      <c r="R3274" s="217"/>
      <c r="S3274" s="218"/>
    </row>
    <row r="3275" spans="13:19" ht="15" customHeight="1" x14ac:dyDescent="0.25">
      <c r="M3275"/>
      <c r="N3275"/>
      <c r="O3275"/>
      <c r="P3275" s="216"/>
      <c r="Q3275" s="217"/>
      <c r="R3275" s="217"/>
      <c r="S3275" s="218"/>
    </row>
    <row r="3276" spans="13:19" ht="15" customHeight="1" x14ac:dyDescent="0.25">
      <c r="M3276"/>
      <c r="N3276"/>
      <c r="O3276"/>
      <c r="P3276" s="216"/>
      <c r="Q3276" s="217"/>
      <c r="R3276" s="217"/>
      <c r="S3276" s="218"/>
    </row>
    <row r="3277" spans="13:19" ht="15" customHeight="1" x14ac:dyDescent="0.25">
      <c r="M3277"/>
      <c r="N3277"/>
      <c r="O3277"/>
      <c r="P3277" s="216"/>
      <c r="Q3277" s="217"/>
      <c r="R3277" s="217"/>
      <c r="S3277" s="218"/>
    </row>
    <row r="3278" spans="13:19" ht="15" customHeight="1" x14ac:dyDescent="0.25">
      <c r="M3278"/>
      <c r="N3278"/>
      <c r="O3278"/>
      <c r="P3278" s="216"/>
      <c r="Q3278" s="217"/>
      <c r="R3278" s="217"/>
      <c r="S3278" s="218"/>
    </row>
    <row r="3279" spans="13:19" ht="15" customHeight="1" x14ac:dyDescent="0.25">
      <c r="M3279"/>
      <c r="N3279"/>
      <c r="O3279"/>
      <c r="P3279" s="216"/>
      <c r="Q3279" s="217"/>
      <c r="R3279" s="217"/>
      <c r="S3279" s="218"/>
    </row>
    <row r="3280" spans="13:19" ht="15" customHeight="1" x14ac:dyDescent="0.25">
      <c r="M3280"/>
      <c r="N3280"/>
      <c r="O3280"/>
      <c r="P3280" s="216"/>
      <c r="Q3280" s="217"/>
      <c r="R3280" s="217"/>
      <c r="S3280" s="218"/>
    </row>
    <row r="3281" spans="13:19" ht="15" customHeight="1" x14ac:dyDescent="0.25">
      <c r="M3281"/>
      <c r="N3281"/>
      <c r="O3281"/>
      <c r="P3281" s="216"/>
      <c r="Q3281" s="217"/>
      <c r="R3281" s="217"/>
      <c r="S3281" s="218"/>
    </row>
    <row r="3282" spans="13:19" ht="15" customHeight="1" x14ac:dyDescent="0.25">
      <c r="M3282"/>
      <c r="N3282"/>
      <c r="O3282"/>
      <c r="P3282" s="216"/>
      <c r="Q3282" s="217"/>
      <c r="R3282" s="217"/>
      <c r="S3282" s="218"/>
    </row>
    <row r="3283" spans="13:19" ht="15" customHeight="1" x14ac:dyDescent="0.25">
      <c r="M3283"/>
      <c r="N3283"/>
      <c r="O3283"/>
      <c r="P3283" s="216"/>
      <c r="Q3283" s="217"/>
      <c r="R3283" s="217"/>
      <c r="S3283" s="218"/>
    </row>
    <row r="3284" spans="13:19" ht="15" customHeight="1" x14ac:dyDescent="0.25">
      <c r="M3284"/>
      <c r="N3284"/>
      <c r="O3284"/>
      <c r="P3284" s="216"/>
      <c r="Q3284" s="217"/>
      <c r="R3284" s="217"/>
      <c r="S3284" s="218"/>
    </row>
    <row r="3285" spans="13:19" ht="15" customHeight="1" x14ac:dyDescent="0.25">
      <c r="M3285"/>
      <c r="N3285"/>
      <c r="O3285"/>
      <c r="P3285" s="216"/>
      <c r="Q3285" s="217"/>
      <c r="R3285" s="217"/>
      <c r="S3285" s="218"/>
    </row>
    <row r="3286" spans="13:19" ht="15" customHeight="1" x14ac:dyDescent="0.25">
      <c r="M3286"/>
      <c r="N3286"/>
      <c r="O3286"/>
      <c r="P3286" s="216"/>
      <c r="Q3286" s="217"/>
      <c r="R3286" s="217"/>
      <c r="S3286" s="218"/>
    </row>
    <row r="3287" spans="13:19" ht="15" customHeight="1" x14ac:dyDescent="0.25">
      <c r="M3287"/>
      <c r="N3287"/>
      <c r="O3287"/>
      <c r="P3287" s="216"/>
      <c r="Q3287" s="217"/>
      <c r="R3287" s="217"/>
      <c r="S3287" s="218"/>
    </row>
    <row r="3288" spans="13:19" ht="15" customHeight="1" x14ac:dyDescent="0.25">
      <c r="M3288"/>
      <c r="N3288"/>
      <c r="O3288"/>
      <c r="P3288" s="216"/>
      <c r="Q3288" s="217"/>
      <c r="R3288" s="217"/>
      <c r="S3288" s="218"/>
    </row>
    <row r="3289" spans="13:19" ht="15" customHeight="1" x14ac:dyDescent="0.25">
      <c r="M3289"/>
      <c r="N3289"/>
      <c r="O3289"/>
      <c r="P3289" s="216"/>
      <c r="Q3289" s="217"/>
      <c r="R3289" s="217"/>
      <c r="S3289" s="218"/>
    </row>
    <row r="3290" spans="13:19" ht="15" customHeight="1" x14ac:dyDescent="0.25">
      <c r="M3290"/>
      <c r="N3290"/>
      <c r="O3290"/>
      <c r="P3290" s="216"/>
      <c r="Q3290" s="217"/>
      <c r="R3290" s="217"/>
      <c r="S3290" s="218"/>
    </row>
    <row r="3291" spans="13:19" ht="15" customHeight="1" x14ac:dyDescent="0.25">
      <c r="M3291"/>
      <c r="N3291"/>
      <c r="O3291"/>
      <c r="P3291" s="216"/>
      <c r="Q3291" s="217"/>
      <c r="R3291" s="217"/>
      <c r="S3291" s="218"/>
    </row>
    <row r="3292" spans="13:19" ht="15" customHeight="1" x14ac:dyDescent="0.25">
      <c r="M3292"/>
      <c r="N3292"/>
      <c r="O3292"/>
      <c r="P3292" s="216"/>
      <c r="Q3292" s="217"/>
      <c r="R3292" s="217"/>
      <c r="S3292" s="218"/>
    </row>
    <row r="3293" spans="13:19" ht="15" customHeight="1" x14ac:dyDescent="0.25">
      <c r="M3293"/>
      <c r="N3293"/>
      <c r="O3293"/>
      <c r="P3293" s="216"/>
      <c r="Q3293" s="217"/>
      <c r="R3293" s="217"/>
      <c r="S3293" s="218"/>
    </row>
    <row r="3294" spans="13:19" ht="15" customHeight="1" x14ac:dyDescent="0.25">
      <c r="M3294"/>
      <c r="N3294"/>
      <c r="O3294"/>
      <c r="P3294" s="216"/>
      <c r="Q3294" s="217"/>
      <c r="R3294" s="217"/>
      <c r="S3294" s="218"/>
    </row>
    <row r="3295" spans="13:19" ht="15" customHeight="1" x14ac:dyDescent="0.25">
      <c r="M3295"/>
      <c r="N3295"/>
      <c r="O3295"/>
      <c r="P3295" s="216"/>
      <c r="Q3295" s="217"/>
      <c r="R3295" s="217"/>
      <c r="S3295" s="218"/>
    </row>
    <row r="3296" spans="13:19" ht="15" customHeight="1" x14ac:dyDescent="0.25">
      <c r="M3296"/>
      <c r="N3296"/>
      <c r="O3296"/>
      <c r="P3296" s="216"/>
      <c r="Q3296" s="217"/>
      <c r="R3296" s="217"/>
      <c r="S3296" s="218"/>
    </row>
    <row r="3297" spans="13:19" ht="15" customHeight="1" x14ac:dyDescent="0.25">
      <c r="M3297"/>
      <c r="N3297"/>
      <c r="O3297"/>
      <c r="P3297" s="216"/>
      <c r="Q3297" s="217"/>
      <c r="R3297" s="217"/>
      <c r="S3297" s="218"/>
    </row>
    <row r="3298" spans="13:19" ht="15" customHeight="1" x14ac:dyDescent="0.25">
      <c r="M3298"/>
      <c r="N3298"/>
      <c r="O3298"/>
      <c r="P3298" s="216"/>
      <c r="Q3298" s="217"/>
      <c r="R3298" s="217"/>
      <c r="S3298" s="218"/>
    </row>
    <row r="3299" spans="13:19" ht="15" customHeight="1" x14ac:dyDescent="0.25">
      <c r="M3299"/>
      <c r="N3299"/>
      <c r="O3299"/>
      <c r="P3299" s="216"/>
      <c r="Q3299" s="217"/>
      <c r="R3299" s="217"/>
      <c r="S3299" s="218"/>
    </row>
    <row r="3300" spans="13:19" ht="15" customHeight="1" x14ac:dyDescent="0.25">
      <c r="M3300"/>
      <c r="N3300"/>
      <c r="O3300"/>
      <c r="P3300" s="216"/>
      <c r="Q3300" s="217"/>
      <c r="R3300" s="217"/>
      <c r="S3300" s="218"/>
    </row>
    <row r="3301" spans="13:19" ht="15" customHeight="1" x14ac:dyDescent="0.25">
      <c r="M3301"/>
      <c r="N3301"/>
      <c r="O3301"/>
      <c r="P3301" s="216"/>
      <c r="Q3301" s="217"/>
      <c r="R3301" s="217"/>
      <c r="S3301" s="218"/>
    </row>
    <row r="3302" spans="13:19" ht="15" customHeight="1" x14ac:dyDescent="0.25">
      <c r="M3302"/>
      <c r="N3302"/>
      <c r="O3302"/>
      <c r="P3302" s="216"/>
      <c r="Q3302" s="217"/>
      <c r="R3302" s="217"/>
      <c r="S3302" s="218"/>
    </row>
    <row r="3303" spans="13:19" ht="15" customHeight="1" x14ac:dyDescent="0.25">
      <c r="M3303"/>
      <c r="N3303"/>
      <c r="O3303"/>
      <c r="P3303" s="216"/>
      <c r="Q3303" s="217"/>
      <c r="R3303" s="217"/>
      <c r="S3303" s="218"/>
    </row>
    <row r="3304" spans="13:19" ht="15" customHeight="1" x14ac:dyDescent="0.25">
      <c r="M3304"/>
      <c r="N3304"/>
      <c r="O3304"/>
      <c r="P3304" s="216"/>
      <c r="Q3304" s="217"/>
      <c r="R3304" s="217"/>
      <c r="S3304" s="218"/>
    </row>
    <row r="3305" spans="13:19" ht="15" customHeight="1" x14ac:dyDescent="0.25">
      <c r="M3305"/>
      <c r="N3305"/>
      <c r="O3305"/>
      <c r="P3305" s="216"/>
      <c r="Q3305" s="217"/>
      <c r="R3305" s="217"/>
      <c r="S3305" s="218"/>
    </row>
    <row r="3306" spans="13:19" ht="15" customHeight="1" x14ac:dyDescent="0.25">
      <c r="M3306"/>
      <c r="N3306"/>
      <c r="O3306"/>
      <c r="P3306" s="216"/>
      <c r="Q3306" s="217"/>
      <c r="R3306" s="217"/>
      <c r="S3306" s="218"/>
    </row>
    <row r="3307" spans="13:19" ht="15" customHeight="1" x14ac:dyDescent="0.25">
      <c r="M3307"/>
      <c r="N3307"/>
      <c r="O3307"/>
      <c r="P3307" s="216"/>
      <c r="Q3307" s="217"/>
      <c r="R3307" s="217"/>
      <c r="S3307" s="218"/>
    </row>
    <row r="3308" spans="13:19" ht="15" customHeight="1" x14ac:dyDescent="0.25">
      <c r="M3308"/>
      <c r="N3308"/>
      <c r="O3308"/>
      <c r="P3308" s="216"/>
      <c r="Q3308" s="217"/>
      <c r="R3308" s="217"/>
      <c r="S3308" s="218"/>
    </row>
    <row r="3309" spans="13:19" ht="15" customHeight="1" x14ac:dyDescent="0.25">
      <c r="M3309"/>
      <c r="N3309"/>
      <c r="O3309"/>
      <c r="P3309" s="216"/>
      <c r="Q3309" s="217"/>
      <c r="R3309" s="217"/>
      <c r="S3309" s="218"/>
    </row>
    <row r="3310" spans="13:19" ht="15" customHeight="1" x14ac:dyDescent="0.25">
      <c r="M3310"/>
      <c r="N3310"/>
      <c r="O3310"/>
      <c r="P3310" s="216"/>
      <c r="Q3310" s="217"/>
      <c r="R3310" s="217"/>
      <c r="S3310" s="218"/>
    </row>
    <row r="3311" spans="13:19" ht="15" customHeight="1" x14ac:dyDescent="0.25">
      <c r="M3311"/>
      <c r="N3311"/>
      <c r="O3311"/>
      <c r="P3311" s="216"/>
      <c r="Q3311" s="217"/>
      <c r="R3311" s="217"/>
      <c r="S3311" s="218"/>
    </row>
    <row r="3312" spans="13:19" ht="15" customHeight="1" x14ac:dyDescent="0.25">
      <c r="M3312"/>
      <c r="N3312"/>
      <c r="O3312"/>
      <c r="P3312" s="216"/>
      <c r="Q3312" s="217"/>
      <c r="R3312" s="217"/>
      <c r="S3312" s="218"/>
    </row>
    <row r="3313" spans="13:19" ht="15" customHeight="1" x14ac:dyDescent="0.25">
      <c r="M3313"/>
      <c r="N3313"/>
      <c r="O3313"/>
      <c r="P3313" s="216"/>
      <c r="Q3313" s="217"/>
      <c r="R3313" s="217"/>
      <c r="S3313" s="218"/>
    </row>
    <row r="3314" spans="13:19" ht="15" customHeight="1" x14ac:dyDescent="0.25">
      <c r="M3314"/>
      <c r="N3314"/>
      <c r="O3314"/>
      <c r="P3314" s="216"/>
      <c r="Q3314" s="217"/>
      <c r="R3314" s="217"/>
      <c r="S3314" s="218"/>
    </row>
    <row r="3315" spans="13:19" ht="15" customHeight="1" x14ac:dyDescent="0.25">
      <c r="M3315"/>
      <c r="N3315"/>
      <c r="O3315"/>
      <c r="P3315" s="216"/>
      <c r="Q3315" s="217"/>
      <c r="R3315" s="217"/>
      <c r="S3315" s="218"/>
    </row>
    <row r="3316" spans="13:19" ht="15" customHeight="1" x14ac:dyDescent="0.25">
      <c r="M3316"/>
      <c r="N3316"/>
      <c r="O3316"/>
      <c r="P3316" s="216"/>
      <c r="Q3316" s="217"/>
      <c r="R3316" s="217"/>
      <c r="S3316" s="218"/>
    </row>
    <row r="3317" spans="13:19" ht="15" customHeight="1" x14ac:dyDescent="0.25">
      <c r="M3317"/>
      <c r="N3317"/>
      <c r="O3317"/>
      <c r="P3317" s="216"/>
      <c r="Q3317" s="217"/>
      <c r="R3317" s="217"/>
      <c r="S3317" s="218"/>
    </row>
    <row r="3318" spans="13:19" ht="15" customHeight="1" x14ac:dyDescent="0.25">
      <c r="M3318"/>
      <c r="N3318"/>
      <c r="O3318"/>
      <c r="P3318" s="216"/>
      <c r="Q3318" s="217"/>
      <c r="R3318" s="217"/>
      <c r="S3318" s="218"/>
    </row>
    <row r="3319" spans="13:19" ht="15" customHeight="1" x14ac:dyDescent="0.25">
      <c r="M3319"/>
      <c r="N3319"/>
      <c r="O3319"/>
      <c r="P3319" s="216"/>
      <c r="Q3319" s="217"/>
      <c r="R3319" s="217"/>
      <c r="S3319" s="218"/>
    </row>
    <row r="3320" spans="13:19" ht="15" customHeight="1" x14ac:dyDescent="0.25">
      <c r="M3320"/>
      <c r="N3320"/>
      <c r="O3320"/>
      <c r="P3320" s="216"/>
      <c r="Q3320" s="217"/>
      <c r="R3320" s="217"/>
      <c r="S3320" s="218"/>
    </row>
    <row r="3321" spans="13:19" ht="15" customHeight="1" x14ac:dyDescent="0.25">
      <c r="M3321"/>
      <c r="N3321"/>
      <c r="O3321"/>
      <c r="P3321" s="216"/>
      <c r="Q3321" s="217"/>
      <c r="R3321" s="217"/>
      <c r="S3321" s="218"/>
    </row>
    <row r="3322" spans="13:19" ht="15" customHeight="1" x14ac:dyDescent="0.25">
      <c r="M3322"/>
      <c r="N3322"/>
      <c r="O3322"/>
      <c r="P3322" s="216"/>
      <c r="Q3322" s="217"/>
      <c r="R3322" s="217"/>
      <c r="S3322" s="218"/>
    </row>
    <row r="3323" spans="13:19" ht="15" customHeight="1" x14ac:dyDescent="0.25">
      <c r="M3323"/>
      <c r="N3323"/>
      <c r="O3323"/>
      <c r="P3323" s="216"/>
      <c r="Q3323" s="217"/>
      <c r="R3323" s="217"/>
      <c r="S3323" s="218"/>
    </row>
    <row r="3324" spans="13:19" ht="15" customHeight="1" x14ac:dyDescent="0.25">
      <c r="M3324"/>
      <c r="N3324"/>
      <c r="O3324"/>
      <c r="P3324" s="216"/>
      <c r="Q3324" s="217"/>
      <c r="R3324" s="217"/>
      <c r="S3324" s="218"/>
    </row>
    <row r="3325" spans="13:19" ht="15" customHeight="1" x14ac:dyDescent="0.25">
      <c r="M3325"/>
      <c r="N3325"/>
      <c r="O3325"/>
      <c r="P3325" s="216"/>
      <c r="Q3325" s="217"/>
      <c r="R3325" s="217"/>
      <c r="S3325" s="218"/>
    </row>
    <row r="3326" spans="13:19" ht="15" customHeight="1" x14ac:dyDescent="0.25">
      <c r="M3326"/>
      <c r="N3326"/>
      <c r="O3326"/>
      <c r="P3326" s="216"/>
      <c r="Q3326" s="217"/>
      <c r="R3326" s="217"/>
      <c r="S3326" s="218"/>
    </row>
    <row r="3327" spans="13:19" ht="15" customHeight="1" x14ac:dyDescent="0.25">
      <c r="M3327"/>
      <c r="N3327"/>
      <c r="O3327"/>
      <c r="P3327" s="216"/>
      <c r="Q3327" s="217"/>
      <c r="R3327" s="217"/>
      <c r="S3327" s="218"/>
    </row>
    <row r="3328" spans="13:19" ht="15" customHeight="1" x14ac:dyDescent="0.25">
      <c r="M3328"/>
      <c r="N3328"/>
      <c r="O3328"/>
      <c r="P3328" s="216"/>
      <c r="Q3328" s="217"/>
      <c r="R3328" s="217"/>
      <c r="S3328" s="218"/>
    </row>
    <row r="3329" spans="13:19" ht="15" customHeight="1" x14ac:dyDescent="0.25">
      <c r="M3329"/>
      <c r="N3329"/>
      <c r="O3329"/>
      <c r="P3329" s="216"/>
      <c r="Q3329" s="217"/>
      <c r="R3329" s="217"/>
      <c r="S3329" s="218"/>
    </row>
    <row r="3330" spans="13:19" ht="15" customHeight="1" x14ac:dyDescent="0.25">
      <c r="M3330"/>
      <c r="N3330"/>
      <c r="O3330"/>
      <c r="P3330" s="216"/>
      <c r="Q3330" s="217"/>
      <c r="R3330" s="217"/>
      <c r="S3330" s="218"/>
    </row>
    <row r="3331" spans="13:19" ht="15" customHeight="1" x14ac:dyDescent="0.25">
      <c r="M3331"/>
      <c r="N3331"/>
      <c r="O3331"/>
      <c r="P3331" s="216"/>
      <c r="Q3331" s="217"/>
      <c r="R3331" s="217"/>
      <c r="S3331" s="218"/>
    </row>
    <row r="3332" spans="13:19" ht="15" customHeight="1" x14ac:dyDescent="0.25">
      <c r="M3332"/>
      <c r="N3332"/>
      <c r="O3332"/>
      <c r="P3332" s="216"/>
      <c r="Q3332" s="217"/>
      <c r="R3332" s="217"/>
      <c r="S3332" s="218"/>
    </row>
    <row r="3333" spans="13:19" ht="15" customHeight="1" x14ac:dyDescent="0.25">
      <c r="M3333"/>
      <c r="N3333"/>
      <c r="O3333"/>
      <c r="P3333" s="216"/>
      <c r="Q3333" s="217"/>
      <c r="R3333" s="217"/>
      <c r="S3333" s="218"/>
    </row>
    <row r="3334" spans="13:19" ht="15" customHeight="1" x14ac:dyDescent="0.25">
      <c r="M3334"/>
      <c r="N3334"/>
      <c r="O3334"/>
      <c r="P3334" s="216"/>
      <c r="Q3334" s="217"/>
      <c r="R3334" s="217"/>
      <c r="S3334" s="218"/>
    </row>
    <row r="3335" spans="13:19" ht="15" customHeight="1" x14ac:dyDescent="0.25">
      <c r="M3335"/>
      <c r="N3335"/>
      <c r="O3335"/>
      <c r="P3335" s="216"/>
      <c r="Q3335" s="217"/>
      <c r="R3335" s="217"/>
      <c r="S3335" s="218"/>
    </row>
    <row r="3336" spans="13:19" ht="15" customHeight="1" x14ac:dyDescent="0.25">
      <c r="M3336"/>
      <c r="N3336"/>
      <c r="O3336"/>
      <c r="P3336" s="216"/>
      <c r="Q3336" s="217"/>
      <c r="R3336" s="217"/>
      <c r="S3336" s="218"/>
    </row>
    <row r="3337" spans="13:19" ht="15" customHeight="1" x14ac:dyDescent="0.25">
      <c r="M3337"/>
      <c r="N3337"/>
      <c r="O3337"/>
      <c r="P3337" s="216"/>
      <c r="Q3337" s="217"/>
      <c r="R3337" s="217"/>
      <c r="S3337" s="218"/>
    </row>
    <row r="3338" spans="13:19" ht="15" customHeight="1" x14ac:dyDescent="0.25">
      <c r="M3338"/>
      <c r="N3338"/>
      <c r="O3338"/>
      <c r="P3338" s="216"/>
      <c r="Q3338" s="217"/>
      <c r="R3338" s="217"/>
      <c r="S3338" s="218"/>
    </row>
    <row r="3339" spans="13:19" ht="15" customHeight="1" x14ac:dyDescent="0.25">
      <c r="M3339"/>
      <c r="N3339"/>
      <c r="O3339"/>
      <c r="P3339" s="216"/>
      <c r="Q3339" s="217"/>
      <c r="R3339" s="217"/>
      <c r="S3339" s="218"/>
    </row>
    <row r="3340" spans="13:19" ht="15" customHeight="1" x14ac:dyDescent="0.25">
      <c r="M3340"/>
      <c r="N3340"/>
      <c r="O3340"/>
      <c r="P3340" s="216"/>
      <c r="Q3340" s="217"/>
      <c r="R3340" s="217"/>
      <c r="S3340" s="218"/>
    </row>
    <row r="3341" spans="13:19" ht="15" customHeight="1" x14ac:dyDescent="0.25">
      <c r="M3341"/>
      <c r="N3341"/>
      <c r="O3341"/>
      <c r="P3341" s="216"/>
      <c r="Q3341" s="217"/>
      <c r="R3341" s="217"/>
      <c r="S3341" s="218"/>
    </row>
    <row r="3342" spans="13:19" ht="15" customHeight="1" x14ac:dyDescent="0.25">
      <c r="M3342"/>
      <c r="N3342"/>
      <c r="O3342"/>
      <c r="P3342" s="216"/>
      <c r="Q3342" s="217"/>
      <c r="R3342" s="217"/>
      <c r="S3342" s="218"/>
    </row>
    <row r="3343" spans="13:19" ht="15" customHeight="1" x14ac:dyDescent="0.25">
      <c r="M3343"/>
      <c r="N3343"/>
      <c r="O3343"/>
      <c r="P3343" s="216"/>
      <c r="Q3343" s="217"/>
      <c r="R3343" s="217"/>
      <c r="S3343" s="218"/>
    </row>
    <row r="3344" spans="13:19" ht="15" customHeight="1" x14ac:dyDescent="0.25">
      <c r="M3344"/>
      <c r="N3344"/>
      <c r="O3344"/>
      <c r="P3344" s="216"/>
      <c r="Q3344" s="217"/>
      <c r="R3344" s="217"/>
      <c r="S3344" s="218"/>
    </row>
    <row r="3345" spans="13:19" ht="15" customHeight="1" x14ac:dyDescent="0.25">
      <c r="M3345"/>
      <c r="N3345"/>
      <c r="O3345"/>
      <c r="P3345" s="216"/>
      <c r="Q3345" s="217"/>
      <c r="R3345" s="217"/>
      <c r="S3345" s="218"/>
    </row>
    <row r="3346" spans="13:19" ht="15" customHeight="1" x14ac:dyDescent="0.25">
      <c r="M3346"/>
      <c r="N3346"/>
      <c r="O3346"/>
      <c r="P3346" s="216"/>
      <c r="Q3346" s="217"/>
      <c r="R3346" s="217"/>
      <c r="S3346" s="218"/>
    </row>
    <row r="3347" spans="13:19" ht="15" customHeight="1" x14ac:dyDescent="0.25">
      <c r="M3347"/>
      <c r="N3347"/>
      <c r="O3347"/>
      <c r="P3347" s="216"/>
      <c r="Q3347" s="217"/>
      <c r="R3347" s="217"/>
      <c r="S3347" s="218"/>
    </row>
    <row r="3348" spans="13:19" ht="15" customHeight="1" x14ac:dyDescent="0.25">
      <c r="M3348"/>
      <c r="N3348"/>
      <c r="O3348"/>
      <c r="P3348" s="216"/>
      <c r="Q3348" s="217"/>
      <c r="R3348" s="217"/>
      <c r="S3348" s="218"/>
    </row>
    <row r="3349" spans="13:19" ht="15" customHeight="1" x14ac:dyDescent="0.25">
      <c r="M3349"/>
      <c r="N3349"/>
      <c r="O3349"/>
      <c r="P3349" s="216"/>
      <c r="Q3349" s="217"/>
      <c r="R3349" s="217"/>
      <c r="S3349" s="218"/>
    </row>
    <row r="3350" spans="13:19" ht="15" customHeight="1" x14ac:dyDescent="0.25">
      <c r="M3350"/>
      <c r="N3350"/>
      <c r="O3350"/>
      <c r="P3350" s="216"/>
      <c r="Q3350" s="217"/>
      <c r="R3350" s="217"/>
      <c r="S3350" s="218"/>
    </row>
    <row r="3351" spans="13:19" ht="15" customHeight="1" x14ac:dyDescent="0.25">
      <c r="M3351"/>
      <c r="N3351"/>
      <c r="O3351"/>
      <c r="P3351" s="216"/>
      <c r="Q3351" s="217"/>
      <c r="R3351" s="217"/>
      <c r="S3351" s="218"/>
    </row>
    <row r="3352" spans="13:19" ht="15" customHeight="1" x14ac:dyDescent="0.25">
      <c r="M3352"/>
      <c r="N3352"/>
      <c r="O3352"/>
      <c r="P3352" s="216"/>
      <c r="Q3352" s="217"/>
      <c r="R3352" s="217"/>
      <c r="S3352" s="218"/>
    </row>
    <row r="3353" spans="13:19" ht="15" customHeight="1" x14ac:dyDescent="0.25">
      <c r="M3353"/>
      <c r="N3353"/>
      <c r="O3353"/>
      <c r="P3353" s="216"/>
      <c r="Q3353" s="217"/>
      <c r="R3353" s="217"/>
      <c r="S3353" s="218"/>
    </row>
    <row r="3354" spans="13:19" ht="15" customHeight="1" x14ac:dyDescent="0.25">
      <c r="M3354"/>
      <c r="N3354"/>
      <c r="O3354"/>
      <c r="P3354" s="216"/>
      <c r="Q3354" s="217"/>
      <c r="R3354" s="217"/>
      <c r="S3354" s="218"/>
    </row>
    <row r="3355" spans="13:19" ht="15" customHeight="1" x14ac:dyDescent="0.25">
      <c r="M3355"/>
      <c r="N3355"/>
      <c r="O3355"/>
      <c r="P3355" s="216"/>
      <c r="Q3355" s="217"/>
      <c r="R3355" s="217"/>
      <c r="S3355" s="218"/>
    </row>
    <row r="3356" spans="13:19" ht="15" customHeight="1" x14ac:dyDescent="0.25">
      <c r="M3356"/>
      <c r="N3356"/>
      <c r="O3356"/>
      <c r="P3356" s="216"/>
      <c r="Q3356" s="217"/>
      <c r="R3356" s="217"/>
      <c r="S3356" s="218"/>
    </row>
    <row r="3357" spans="13:19" ht="15" customHeight="1" x14ac:dyDescent="0.25">
      <c r="M3357"/>
      <c r="N3357"/>
      <c r="O3357"/>
      <c r="P3357" s="216"/>
      <c r="Q3357" s="217"/>
      <c r="R3357" s="217"/>
      <c r="S3357" s="218"/>
    </row>
    <row r="3358" spans="13:19" ht="15" customHeight="1" x14ac:dyDescent="0.25">
      <c r="M3358"/>
      <c r="N3358"/>
      <c r="O3358"/>
      <c r="P3358" s="216"/>
      <c r="Q3358" s="217"/>
      <c r="R3358" s="217"/>
      <c r="S3358" s="218"/>
    </row>
    <row r="3359" spans="13:19" ht="15" customHeight="1" x14ac:dyDescent="0.25">
      <c r="M3359"/>
      <c r="N3359"/>
      <c r="O3359"/>
      <c r="P3359" s="216"/>
      <c r="Q3359" s="217"/>
      <c r="R3359" s="217"/>
      <c r="S3359" s="218"/>
    </row>
    <row r="3360" spans="13:19" ht="15" customHeight="1" x14ac:dyDescent="0.25">
      <c r="M3360"/>
      <c r="N3360"/>
      <c r="O3360"/>
      <c r="P3360" s="216"/>
      <c r="Q3360" s="217"/>
      <c r="R3360" s="217"/>
      <c r="S3360" s="218"/>
    </row>
    <row r="3361" spans="13:19" ht="15" customHeight="1" x14ac:dyDescent="0.25">
      <c r="M3361"/>
      <c r="N3361"/>
      <c r="O3361"/>
      <c r="P3361" s="216"/>
      <c r="Q3361" s="217"/>
      <c r="R3361" s="217"/>
      <c r="S3361" s="218"/>
    </row>
    <row r="3362" spans="13:19" ht="15" customHeight="1" x14ac:dyDescent="0.25">
      <c r="M3362"/>
      <c r="N3362"/>
      <c r="O3362"/>
      <c r="P3362" s="216"/>
      <c r="Q3362" s="217"/>
      <c r="R3362" s="217"/>
      <c r="S3362" s="218"/>
    </row>
    <row r="3363" spans="13:19" ht="15" customHeight="1" x14ac:dyDescent="0.25">
      <c r="M3363"/>
      <c r="N3363"/>
      <c r="O3363"/>
      <c r="P3363" s="216"/>
      <c r="Q3363" s="217"/>
      <c r="R3363" s="217"/>
      <c r="S3363" s="218"/>
    </row>
    <row r="3364" spans="13:19" ht="15" customHeight="1" x14ac:dyDescent="0.25">
      <c r="M3364"/>
      <c r="N3364"/>
      <c r="O3364"/>
      <c r="P3364" s="216"/>
      <c r="Q3364" s="217"/>
      <c r="R3364" s="217"/>
      <c r="S3364" s="218"/>
    </row>
    <row r="3365" spans="13:19" ht="15" customHeight="1" x14ac:dyDescent="0.25">
      <c r="M3365"/>
      <c r="N3365"/>
      <c r="O3365"/>
      <c r="P3365" s="216"/>
      <c r="Q3365" s="217"/>
      <c r="R3365" s="217"/>
      <c r="S3365" s="218"/>
    </row>
    <row r="3366" spans="13:19" ht="15" customHeight="1" x14ac:dyDescent="0.25">
      <c r="M3366"/>
      <c r="N3366"/>
      <c r="O3366"/>
      <c r="P3366" s="216"/>
      <c r="Q3366" s="217"/>
      <c r="R3366" s="217"/>
      <c r="S3366" s="218"/>
    </row>
    <row r="3367" spans="13:19" ht="15" customHeight="1" x14ac:dyDescent="0.25">
      <c r="M3367"/>
      <c r="N3367"/>
      <c r="O3367"/>
      <c r="P3367" s="216"/>
      <c r="Q3367" s="217"/>
      <c r="R3367" s="217"/>
      <c r="S3367" s="218"/>
    </row>
    <row r="3368" spans="13:19" ht="15" customHeight="1" x14ac:dyDescent="0.25">
      <c r="M3368"/>
      <c r="N3368"/>
      <c r="O3368"/>
      <c r="P3368" s="216"/>
      <c r="Q3368" s="217"/>
      <c r="R3368" s="217"/>
      <c r="S3368" s="218"/>
    </row>
    <row r="3369" spans="13:19" ht="15" customHeight="1" x14ac:dyDescent="0.25">
      <c r="M3369"/>
      <c r="N3369"/>
      <c r="O3369"/>
      <c r="P3369" s="216"/>
      <c r="Q3369" s="217"/>
      <c r="R3369" s="217"/>
      <c r="S3369" s="218"/>
    </row>
    <row r="3370" spans="13:19" ht="15" customHeight="1" x14ac:dyDescent="0.25">
      <c r="M3370"/>
      <c r="N3370"/>
      <c r="O3370"/>
      <c r="P3370" s="216"/>
      <c r="Q3370" s="217"/>
      <c r="R3370" s="217"/>
      <c r="S3370" s="218"/>
    </row>
    <row r="3371" spans="13:19" ht="15" customHeight="1" x14ac:dyDescent="0.25">
      <c r="M3371"/>
      <c r="N3371"/>
      <c r="O3371"/>
      <c r="P3371" s="216"/>
      <c r="Q3371" s="217"/>
      <c r="R3371" s="217"/>
      <c r="S3371" s="218"/>
    </row>
    <row r="3372" spans="13:19" ht="15" customHeight="1" x14ac:dyDescent="0.25">
      <c r="M3372"/>
      <c r="N3372"/>
      <c r="O3372"/>
      <c r="P3372" s="216"/>
      <c r="Q3372" s="217"/>
      <c r="R3372" s="217"/>
      <c r="S3372" s="218"/>
    </row>
    <row r="3373" spans="13:19" ht="15" customHeight="1" x14ac:dyDescent="0.25">
      <c r="M3373"/>
      <c r="N3373"/>
      <c r="O3373"/>
      <c r="P3373" s="216"/>
      <c r="Q3373" s="217"/>
      <c r="R3373" s="217"/>
      <c r="S3373" s="218"/>
    </row>
    <row r="3374" spans="13:19" ht="15" customHeight="1" x14ac:dyDescent="0.25">
      <c r="M3374"/>
      <c r="N3374"/>
      <c r="O3374"/>
      <c r="P3374" s="216"/>
      <c r="Q3374" s="217"/>
      <c r="R3374" s="217"/>
      <c r="S3374" s="218"/>
    </row>
    <row r="3375" spans="13:19" ht="15" customHeight="1" x14ac:dyDescent="0.25">
      <c r="M3375"/>
      <c r="N3375"/>
      <c r="O3375"/>
      <c r="P3375" s="216"/>
      <c r="Q3375" s="217"/>
      <c r="R3375" s="217"/>
      <c r="S3375" s="218"/>
    </row>
    <row r="3376" spans="13:19" ht="15" customHeight="1" x14ac:dyDescent="0.25">
      <c r="M3376"/>
      <c r="N3376"/>
      <c r="O3376"/>
      <c r="P3376" s="216"/>
      <c r="Q3376" s="217"/>
      <c r="R3376" s="217"/>
      <c r="S3376" s="218"/>
    </row>
    <row r="3377" spans="13:19" ht="15" customHeight="1" x14ac:dyDescent="0.25">
      <c r="M3377"/>
      <c r="N3377"/>
      <c r="O3377"/>
      <c r="P3377" s="216"/>
      <c r="Q3377" s="217"/>
      <c r="R3377" s="217"/>
      <c r="S3377" s="218"/>
    </row>
    <row r="3378" spans="13:19" ht="15" customHeight="1" x14ac:dyDescent="0.25">
      <c r="M3378"/>
      <c r="N3378"/>
      <c r="O3378"/>
      <c r="P3378" s="216"/>
      <c r="Q3378" s="217"/>
      <c r="R3378" s="217"/>
      <c r="S3378" s="218"/>
    </row>
    <row r="3379" spans="13:19" ht="15" customHeight="1" x14ac:dyDescent="0.25">
      <c r="M3379"/>
      <c r="N3379"/>
      <c r="O3379"/>
      <c r="P3379" s="216"/>
      <c r="Q3379" s="217"/>
      <c r="R3379" s="217"/>
      <c r="S3379" s="218"/>
    </row>
    <row r="3380" spans="13:19" ht="15" customHeight="1" x14ac:dyDescent="0.25">
      <c r="M3380"/>
      <c r="N3380"/>
      <c r="O3380"/>
      <c r="P3380" s="216"/>
      <c r="Q3380" s="217"/>
      <c r="R3380" s="217"/>
      <c r="S3380" s="218"/>
    </row>
    <row r="3381" spans="13:19" ht="15" customHeight="1" x14ac:dyDescent="0.25">
      <c r="M3381"/>
      <c r="N3381"/>
      <c r="O3381"/>
      <c r="P3381" s="216"/>
      <c r="Q3381" s="217"/>
      <c r="R3381" s="217"/>
      <c r="S3381" s="218"/>
    </row>
    <row r="3382" spans="13:19" ht="15" customHeight="1" x14ac:dyDescent="0.25">
      <c r="M3382"/>
      <c r="N3382"/>
      <c r="O3382"/>
      <c r="P3382" s="216"/>
      <c r="Q3382" s="217"/>
      <c r="R3382" s="217"/>
      <c r="S3382" s="218"/>
    </row>
    <row r="3383" spans="13:19" ht="15" customHeight="1" x14ac:dyDescent="0.25">
      <c r="M3383"/>
      <c r="N3383"/>
      <c r="O3383"/>
      <c r="P3383" s="216"/>
      <c r="Q3383" s="217"/>
      <c r="R3383" s="217"/>
      <c r="S3383" s="218"/>
    </row>
    <row r="3384" spans="13:19" ht="15" customHeight="1" x14ac:dyDescent="0.25">
      <c r="M3384"/>
      <c r="N3384"/>
      <c r="O3384"/>
      <c r="P3384" s="216"/>
      <c r="Q3384" s="217"/>
      <c r="R3384" s="217"/>
      <c r="S3384" s="218"/>
    </row>
    <row r="3385" spans="13:19" ht="15" customHeight="1" x14ac:dyDescent="0.25">
      <c r="M3385"/>
      <c r="N3385"/>
      <c r="O3385"/>
      <c r="P3385" s="216"/>
      <c r="Q3385" s="217"/>
      <c r="R3385" s="217"/>
      <c r="S3385" s="218"/>
    </row>
    <row r="3386" spans="13:19" ht="15" customHeight="1" x14ac:dyDescent="0.25">
      <c r="M3386"/>
      <c r="N3386"/>
      <c r="O3386"/>
      <c r="P3386" s="216"/>
      <c r="Q3386" s="217"/>
      <c r="R3386" s="217"/>
      <c r="S3386" s="218"/>
    </row>
    <row r="3387" spans="13:19" ht="15" customHeight="1" x14ac:dyDescent="0.25">
      <c r="M3387"/>
      <c r="N3387"/>
      <c r="O3387"/>
      <c r="P3387" s="216"/>
      <c r="Q3387" s="217"/>
      <c r="R3387" s="217"/>
      <c r="S3387" s="218"/>
    </row>
    <row r="3388" spans="13:19" ht="15" customHeight="1" x14ac:dyDescent="0.25">
      <c r="M3388"/>
      <c r="N3388"/>
      <c r="O3388"/>
      <c r="P3388" s="216"/>
      <c r="Q3388" s="217"/>
      <c r="R3388" s="217"/>
      <c r="S3388" s="218"/>
    </row>
    <row r="3389" spans="13:19" ht="15" customHeight="1" x14ac:dyDescent="0.25">
      <c r="M3389"/>
      <c r="N3389"/>
      <c r="O3389"/>
      <c r="P3389" s="216"/>
      <c r="Q3389" s="217"/>
      <c r="R3389" s="217"/>
      <c r="S3389" s="218"/>
    </row>
    <row r="3390" spans="13:19" ht="15" customHeight="1" x14ac:dyDescent="0.25">
      <c r="M3390"/>
      <c r="N3390"/>
      <c r="O3390"/>
      <c r="P3390" s="216"/>
      <c r="Q3390" s="217"/>
      <c r="R3390" s="217"/>
      <c r="S3390" s="218"/>
    </row>
    <row r="3391" spans="13:19" ht="15" customHeight="1" x14ac:dyDescent="0.25">
      <c r="M3391"/>
      <c r="N3391"/>
      <c r="O3391"/>
      <c r="P3391" s="216"/>
      <c r="Q3391" s="217"/>
      <c r="R3391" s="217"/>
      <c r="S3391" s="218"/>
    </row>
    <row r="3392" spans="13:19" ht="15" customHeight="1" x14ac:dyDescent="0.25">
      <c r="M3392"/>
      <c r="N3392"/>
      <c r="O3392"/>
      <c r="P3392" s="216"/>
      <c r="Q3392" s="217"/>
      <c r="R3392" s="217"/>
      <c r="S3392" s="218"/>
    </row>
    <row r="3393" spans="13:19" ht="15" customHeight="1" x14ac:dyDescent="0.25">
      <c r="M3393"/>
      <c r="N3393"/>
      <c r="O3393"/>
      <c r="P3393" s="216"/>
      <c r="Q3393" s="217"/>
      <c r="R3393" s="217"/>
      <c r="S3393" s="218"/>
    </row>
    <row r="3394" spans="13:19" ht="15" customHeight="1" x14ac:dyDescent="0.25">
      <c r="M3394"/>
      <c r="N3394"/>
      <c r="O3394"/>
      <c r="P3394" s="216"/>
      <c r="Q3394" s="217"/>
      <c r="R3394" s="217"/>
      <c r="S3394" s="218"/>
    </row>
    <row r="3395" spans="13:19" ht="15" customHeight="1" x14ac:dyDescent="0.25">
      <c r="M3395"/>
      <c r="N3395"/>
      <c r="O3395"/>
      <c r="P3395" s="216"/>
      <c r="Q3395" s="217"/>
      <c r="R3395" s="217"/>
      <c r="S3395" s="218"/>
    </row>
    <row r="3396" spans="13:19" ht="15" customHeight="1" x14ac:dyDescent="0.25">
      <c r="M3396"/>
      <c r="N3396"/>
      <c r="O3396"/>
      <c r="P3396" s="216"/>
      <c r="Q3396" s="217"/>
      <c r="R3396" s="217"/>
      <c r="S3396" s="218"/>
    </row>
    <row r="3397" spans="13:19" ht="15" customHeight="1" x14ac:dyDescent="0.25">
      <c r="M3397"/>
      <c r="N3397"/>
      <c r="O3397"/>
      <c r="P3397" s="216"/>
      <c r="Q3397" s="217"/>
      <c r="R3397" s="217"/>
      <c r="S3397" s="218"/>
    </row>
    <row r="3398" spans="13:19" ht="15" customHeight="1" x14ac:dyDescent="0.25">
      <c r="M3398"/>
      <c r="N3398"/>
      <c r="O3398"/>
      <c r="P3398" s="216"/>
      <c r="Q3398" s="217"/>
      <c r="R3398" s="217"/>
      <c r="S3398" s="218"/>
    </row>
    <row r="3399" spans="13:19" ht="15" customHeight="1" x14ac:dyDescent="0.25">
      <c r="M3399"/>
      <c r="N3399"/>
      <c r="O3399"/>
      <c r="P3399" s="216"/>
      <c r="Q3399" s="217"/>
      <c r="R3399" s="217"/>
      <c r="S3399" s="218"/>
    </row>
    <row r="3400" spans="13:19" ht="15" customHeight="1" x14ac:dyDescent="0.25">
      <c r="M3400"/>
      <c r="N3400"/>
      <c r="O3400"/>
      <c r="P3400" s="216"/>
      <c r="Q3400" s="217"/>
      <c r="R3400" s="217"/>
      <c r="S3400" s="218"/>
    </row>
    <row r="3401" spans="13:19" ht="15" customHeight="1" x14ac:dyDescent="0.25">
      <c r="M3401"/>
      <c r="N3401"/>
      <c r="O3401"/>
      <c r="P3401" s="216"/>
      <c r="Q3401" s="217"/>
      <c r="R3401" s="217"/>
      <c r="S3401" s="218"/>
    </row>
    <row r="3402" spans="13:19" ht="15" customHeight="1" x14ac:dyDescent="0.25">
      <c r="M3402"/>
      <c r="N3402"/>
      <c r="O3402"/>
      <c r="P3402" s="216"/>
      <c r="Q3402" s="217"/>
      <c r="R3402" s="217"/>
      <c r="S3402" s="218"/>
    </row>
    <row r="3403" spans="13:19" ht="15" customHeight="1" x14ac:dyDescent="0.25">
      <c r="M3403"/>
      <c r="N3403"/>
      <c r="O3403"/>
      <c r="P3403" s="216"/>
      <c r="Q3403" s="217"/>
      <c r="R3403" s="217"/>
      <c r="S3403" s="218"/>
    </row>
    <row r="3404" spans="13:19" ht="15" customHeight="1" x14ac:dyDescent="0.25">
      <c r="M3404"/>
      <c r="N3404"/>
      <c r="O3404"/>
      <c r="P3404" s="216"/>
      <c r="Q3404" s="217"/>
      <c r="R3404" s="217"/>
      <c r="S3404" s="218"/>
    </row>
    <row r="3405" spans="13:19" ht="15" customHeight="1" x14ac:dyDescent="0.25">
      <c r="M3405"/>
      <c r="N3405"/>
      <c r="O3405"/>
      <c r="P3405" s="216"/>
      <c r="Q3405" s="217"/>
      <c r="R3405" s="217"/>
      <c r="S3405" s="218"/>
    </row>
    <row r="3406" spans="13:19" ht="15" customHeight="1" x14ac:dyDescent="0.25">
      <c r="M3406"/>
      <c r="N3406"/>
      <c r="O3406"/>
      <c r="P3406" s="216"/>
      <c r="Q3406" s="217"/>
      <c r="R3406" s="217"/>
      <c r="S3406" s="218"/>
    </row>
    <row r="3407" spans="13:19" ht="15" customHeight="1" x14ac:dyDescent="0.25">
      <c r="M3407"/>
      <c r="N3407"/>
      <c r="O3407"/>
      <c r="P3407" s="216"/>
      <c r="Q3407" s="217"/>
      <c r="R3407" s="217"/>
      <c r="S3407" s="218"/>
    </row>
    <row r="3408" spans="13:19" ht="15" customHeight="1" x14ac:dyDescent="0.25">
      <c r="M3408"/>
      <c r="N3408"/>
      <c r="O3408"/>
      <c r="P3408" s="216"/>
      <c r="Q3408" s="217"/>
      <c r="R3408" s="217"/>
      <c r="S3408" s="218"/>
    </row>
    <row r="3409" spans="13:19" ht="15" customHeight="1" x14ac:dyDescent="0.25">
      <c r="M3409"/>
      <c r="N3409"/>
      <c r="O3409"/>
      <c r="P3409" s="216"/>
      <c r="Q3409" s="217"/>
      <c r="R3409" s="217"/>
      <c r="S3409" s="218"/>
    </row>
    <row r="3410" spans="13:19" ht="15" customHeight="1" x14ac:dyDescent="0.25">
      <c r="M3410"/>
      <c r="N3410"/>
      <c r="O3410"/>
      <c r="P3410" s="216"/>
      <c r="Q3410" s="217"/>
      <c r="R3410" s="217"/>
      <c r="S3410" s="218"/>
    </row>
    <row r="3411" spans="13:19" ht="15" customHeight="1" x14ac:dyDescent="0.25">
      <c r="M3411"/>
      <c r="N3411"/>
      <c r="O3411"/>
      <c r="P3411" s="216"/>
      <c r="Q3411" s="217"/>
      <c r="R3411" s="217"/>
      <c r="S3411" s="218"/>
    </row>
    <row r="3412" spans="13:19" ht="15" customHeight="1" x14ac:dyDescent="0.25">
      <c r="M3412"/>
      <c r="N3412"/>
      <c r="O3412"/>
      <c r="P3412" s="216"/>
      <c r="Q3412" s="217"/>
      <c r="R3412" s="217"/>
      <c r="S3412" s="218"/>
    </row>
    <row r="3413" spans="13:19" ht="15" customHeight="1" x14ac:dyDescent="0.25">
      <c r="M3413"/>
      <c r="N3413"/>
      <c r="O3413"/>
      <c r="P3413" s="216"/>
      <c r="Q3413" s="217"/>
      <c r="R3413" s="217"/>
      <c r="S3413" s="218"/>
    </row>
    <row r="3414" spans="13:19" ht="15" customHeight="1" x14ac:dyDescent="0.25">
      <c r="M3414"/>
      <c r="N3414"/>
      <c r="O3414"/>
      <c r="P3414" s="216"/>
      <c r="Q3414" s="217"/>
      <c r="R3414" s="217"/>
      <c r="S3414" s="218"/>
    </row>
    <row r="3415" spans="13:19" ht="15" customHeight="1" x14ac:dyDescent="0.25">
      <c r="M3415"/>
      <c r="N3415"/>
      <c r="O3415"/>
      <c r="P3415" s="216"/>
      <c r="Q3415" s="217"/>
      <c r="R3415" s="217"/>
      <c r="S3415" s="218"/>
    </row>
    <row r="3416" spans="13:19" ht="15" customHeight="1" x14ac:dyDescent="0.25">
      <c r="M3416"/>
      <c r="N3416"/>
      <c r="O3416"/>
      <c r="P3416" s="216"/>
      <c r="Q3416" s="217"/>
      <c r="R3416" s="217"/>
      <c r="S3416" s="218"/>
    </row>
    <row r="3417" spans="13:19" ht="15" customHeight="1" x14ac:dyDescent="0.25">
      <c r="M3417"/>
      <c r="N3417"/>
      <c r="O3417"/>
      <c r="P3417" s="216"/>
      <c r="Q3417" s="217"/>
      <c r="R3417" s="217"/>
      <c r="S3417" s="218"/>
    </row>
    <row r="3418" spans="13:19" ht="15" customHeight="1" x14ac:dyDescent="0.25">
      <c r="M3418"/>
      <c r="N3418"/>
      <c r="O3418"/>
      <c r="P3418" s="216"/>
      <c r="Q3418" s="217"/>
      <c r="R3418" s="217"/>
      <c r="S3418" s="218"/>
    </row>
    <row r="3419" spans="13:19" ht="15" customHeight="1" x14ac:dyDescent="0.25">
      <c r="M3419"/>
      <c r="N3419"/>
      <c r="O3419"/>
      <c r="P3419" s="216"/>
      <c r="Q3419" s="217"/>
      <c r="R3419" s="217"/>
      <c r="S3419" s="218"/>
    </row>
    <row r="3420" spans="13:19" ht="15" customHeight="1" x14ac:dyDescent="0.25">
      <c r="M3420"/>
      <c r="N3420"/>
      <c r="O3420"/>
      <c r="P3420" s="216"/>
      <c r="Q3420" s="217"/>
      <c r="R3420" s="217"/>
      <c r="S3420" s="218"/>
    </row>
    <row r="3421" spans="13:19" ht="15" customHeight="1" x14ac:dyDescent="0.25">
      <c r="M3421"/>
      <c r="N3421"/>
      <c r="O3421"/>
      <c r="P3421" s="216"/>
      <c r="Q3421" s="217"/>
      <c r="R3421" s="217"/>
      <c r="S3421" s="218"/>
    </row>
    <row r="3422" spans="13:19" ht="15" customHeight="1" x14ac:dyDescent="0.25">
      <c r="M3422"/>
      <c r="N3422"/>
      <c r="O3422"/>
      <c r="P3422" s="216"/>
      <c r="Q3422" s="217"/>
      <c r="R3422" s="217"/>
      <c r="S3422" s="218"/>
    </row>
    <row r="3423" spans="13:19" ht="15" customHeight="1" x14ac:dyDescent="0.25">
      <c r="M3423"/>
      <c r="N3423"/>
      <c r="O3423"/>
      <c r="P3423" s="216"/>
      <c r="Q3423" s="217"/>
      <c r="R3423" s="217"/>
      <c r="S3423" s="218"/>
    </row>
    <row r="3424" spans="13:19" ht="15" customHeight="1" x14ac:dyDescent="0.25">
      <c r="M3424"/>
      <c r="N3424"/>
      <c r="O3424"/>
      <c r="P3424" s="216"/>
      <c r="Q3424" s="217"/>
      <c r="R3424" s="217"/>
      <c r="S3424" s="218"/>
    </row>
    <row r="3425" spans="13:19" ht="15" customHeight="1" x14ac:dyDescent="0.25">
      <c r="M3425"/>
      <c r="N3425"/>
      <c r="O3425"/>
      <c r="P3425" s="216"/>
      <c r="Q3425" s="217"/>
      <c r="R3425" s="217"/>
      <c r="S3425" s="218"/>
    </row>
    <row r="3426" spans="13:19" ht="15" customHeight="1" x14ac:dyDescent="0.25">
      <c r="M3426"/>
      <c r="N3426"/>
      <c r="O3426"/>
      <c r="P3426" s="216"/>
      <c r="Q3426" s="217"/>
      <c r="R3426" s="217"/>
      <c r="S3426" s="218"/>
    </row>
    <row r="3427" spans="13:19" ht="15" customHeight="1" x14ac:dyDescent="0.25">
      <c r="M3427"/>
      <c r="N3427"/>
      <c r="O3427"/>
      <c r="P3427" s="216"/>
      <c r="Q3427" s="217"/>
      <c r="R3427" s="217"/>
      <c r="S3427" s="218"/>
    </row>
    <row r="3428" spans="13:19" ht="15" customHeight="1" x14ac:dyDescent="0.25">
      <c r="M3428"/>
      <c r="N3428"/>
      <c r="O3428"/>
      <c r="P3428" s="216"/>
      <c r="Q3428" s="217"/>
      <c r="R3428" s="217"/>
      <c r="S3428" s="218"/>
    </row>
    <row r="3429" spans="13:19" ht="15" customHeight="1" x14ac:dyDescent="0.25">
      <c r="M3429"/>
      <c r="N3429"/>
      <c r="O3429"/>
      <c r="P3429" s="216"/>
      <c r="Q3429" s="217"/>
      <c r="R3429" s="217"/>
      <c r="S3429" s="218"/>
    </row>
    <row r="3430" spans="13:19" ht="15" customHeight="1" x14ac:dyDescent="0.25">
      <c r="M3430"/>
      <c r="N3430"/>
      <c r="O3430"/>
      <c r="P3430" s="216"/>
      <c r="Q3430" s="217"/>
      <c r="R3430" s="217"/>
      <c r="S3430" s="218"/>
    </row>
    <row r="3431" spans="13:19" ht="15" customHeight="1" x14ac:dyDescent="0.25">
      <c r="M3431"/>
      <c r="N3431"/>
      <c r="O3431"/>
      <c r="P3431" s="216"/>
      <c r="Q3431" s="217"/>
      <c r="R3431" s="217"/>
      <c r="S3431" s="218"/>
    </row>
    <row r="3432" spans="13:19" ht="15" customHeight="1" x14ac:dyDescent="0.25">
      <c r="M3432"/>
      <c r="N3432"/>
      <c r="O3432"/>
      <c r="P3432" s="216"/>
      <c r="Q3432" s="217"/>
      <c r="R3432" s="217"/>
      <c r="S3432" s="218"/>
    </row>
    <row r="3433" spans="13:19" ht="15" customHeight="1" x14ac:dyDescent="0.25">
      <c r="M3433"/>
      <c r="N3433"/>
      <c r="O3433"/>
      <c r="P3433" s="216"/>
      <c r="Q3433" s="217"/>
      <c r="R3433" s="217"/>
      <c r="S3433" s="218"/>
    </row>
    <row r="3434" spans="13:19" ht="15" customHeight="1" x14ac:dyDescent="0.25">
      <c r="M3434"/>
      <c r="N3434"/>
      <c r="O3434"/>
      <c r="P3434" s="216"/>
      <c r="Q3434" s="217"/>
      <c r="R3434" s="217"/>
      <c r="S3434" s="218"/>
    </row>
    <row r="3435" spans="13:19" ht="15" customHeight="1" x14ac:dyDescent="0.25">
      <c r="M3435"/>
      <c r="N3435"/>
      <c r="O3435"/>
      <c r="P3435" s="216"/>
      <c r="Q3435" s="217"/>
      <c r="R3435" s="217"/>
      <c r="S3435" s="218"/>
    </row>
    <row r="3436" spans="13:19" ht="15" customHeight="1" x14ac:dyDescent="0.25">
      <c r="M3436"/>
      <c r="N3436"/>
      <c r="O3436"/>
      <c r="P3436" s="216"/>
      <c r="Q3436" s="217"/>
      <c r="R3436" s="217"/>
      <c r="S3436" s="218"/>
    </row>
    <row r="3437" spans="13:19" ht="15" customHeight="1" x14ac:dyDescent="0.25">
      <c r="M3437"/>
      <c r="N3437"/>
      <c r="O3437"/>
      <c r="P3437" s="216"/>
      <c r="Q3437" s="217"/>
      <c r="R3437" s="217"/>
      <c r="S3437" s="218"/>
    </row>
    <row r="3438" spans="13:19" ht="15" customHeight="1" x14ac:dyDescent="0.25">
      <c r="M3438"/>
      <c r="N3438"/>
      <c r="O3438"/>
      <c r="P3438" s="216"/>
      <c r="Q3438" s="217"/>
      <c r="R3438" s="217"/>
      <c r="S3438" s="218"/>
    </row>
    <row r="3439" spans="13:19" ht="15" customHeight="1" x14ac:dyDescent="0.25">
      <c r="M3439"/>
      <c r="N3439"/>
      <c r="O3439"/>
      <c r="P3439" s="216"/>
      <c r="Q3439" s="217"/>
      <c r="R3439" s="217"/>
      <c r="S3439" s="218"/>
    </row>
    <row r="3440" spans="13:19" ht="15" customHeight="1" x14ac:dyDescent="0.25">
      <c r="M3440"/>
      <c r="N3440"/>
      <c r="O3440"/>
      <c r="P3440" s="216"/>
      <c r="Q3440" s="217"/>
      <c r="R3440" s="217"/>
      <c r="S3440" s="218"/>
    </row>
    <row r="3441" spans="13:19" ht="15" customHeight="1" x14ac:dyDescent="0.25">
      <c r="M3441"/>
      <c r="N3441"/>
      <c r="O3441"/>
      <c r="P3441" s="216"/>
      <c r="Q3441" s="217"/>
      <c r="R3441" s="217"/>
      <c r="S3441" s="218"/>
    </row>
    <row r="3442" spans="13:19" ht="15" customHeight="1" x14ac:dyDescent="0.25">
      <c r="M3442"/>
      <c r="N3442"/>
      <c r="O3442"/>
      <c r="P3442" s="216"/>
      <c r="Q3442" s="217"/>
      <c r="R3442" s="217"/>
      <c r="S3442" s="218"/>
    </row>
    <row r="3443" spans="13:19" ht="15" customHeight="1" x14ac:dyDescent="0.25">
      <c r="M3443"/>
      <c r="N3443"/>
      <c r="O3443"/>
      <c r="P3443" s="216"/>
      <c r="Q3443" s="217"/>
      <c r="R3443" s="217"/>
      <c r="S3443" s="218"/>
    </row>
    <row r="3444" spans="13:19" ht="15" customHeight="1" x14ac:dyDescent="0.25">
      <c r="M3444"/>
      <c r="N3444"/>
      <c r="O3444"/>
      <c r="P3444" s="216"/>
      <c r="Q3444" s="217"/>
      <c r="R3444" s="217"/>
      <c r="S3444" s="218"/>
    </row>
    <row r="3445" spans="13:19" ht="15" customHeight="1" x14ac:dyDescent="0.25">
      <c r="M3445"/>
      <c r="N3445"/>
      <c r="O3445"/>
      <c r="P3445" s="216"/>
      <c r="Q3445" s="217"/>
      <c r="R3445" s="217"/>
      <c r="S3445" s="218"/>
    </row>
    <row r="3446" spans="13:19" ht="15" customHeight="1" x14ac:dyDescent="0.25">
      <c r="M3446"/>
      <c r="N3446"/>
      <c r="O3446"/>
      <c r="P3446" s="216"/>
      <c r="Q3446" s="217"/>
      <c r="R3446" s="217"/>
      <c r="S3446" s="218"/>
    </row>
    <row r="3447" spans="13:19" ht="15" customHeight="1" x14ac:dyDescent="0.25">
      <c r="M3447"/>
      <c r="N3447"/>
      <c r="O3447"/>
      <c r="P3447" s="216"/>
      <c r="Q3447" s="217"/>
      <c r="R3447" s="217"/>
      <c r="S3447" s="218"/>
    </row>
    <row r="3448" spans="13:19" ht="15" customHeight="1" x14ac:dyDescent="0.25">
      <c r="M3448"/>
      <c r="N3448"/>
      <c r="O3448"/>
      <c r="P3448" s="216"/>
      <c r="Q3448" s="217"/>
      <c r="R3448" s="217"/>
      <c r="S3448" s="218"/>
    </row>
    <row r="3449" spans="13:19" ht="15" customHeight="1" x14ac:dyDescent="0.25">
      <c r="M3449"/>
      <c r="N3449"/>
      <c r="O3449"/>
      <c r="P3449" s="216"/>
      <c r="Q3449" s="217"/>
      <c r="R3449" s="217"/>
      <c r="S3449" s="218"/>
    </row>
    <row r="3450" spans="13:19" ht="15" customHeight="1" x14ac:dyDescent="0.25">
      <c r="M3450"/>
      <c r="N3450"/>
      <c r="O3450"/>
      <c r="P3450" s="216"/>
      <c r="Q3450" s="217"/>
      <c r="R3450" s="217"/>
      <c r="S3450" s="218"/>
    </row>
    <row r="3451" spans="13:19" ht="15" customHeight="1" x14ac:dyDescent="0.25">
      <c r="M3451"/>
      <c r="N3451"/>
      <c r="O3451"/>
      <c r="P3451" s="216"/>
      <c r="Q3451" s="217"/>
      <c r="R3451" s="217"/>
      <c r="S3451" s="218"/>
    </row>
    <row r="3452" spans="13:19" ht="15" customHeight="1" x14ac:dyDescent="0.25">
      <c r="M3452"/>
      <c r="N3452"/>
      <c r="O3452"/>
      <c r="P3452" s="216"/>
      <c r="Q3452" s="217"/>
      <c r="R3452" s="217"/>
      <c r="S3452" s="218"/>
    </row>
    <row r="3453" spans="13:19" ht="15" customHeight="1" x14ac:dyDescent="0.25">
      <c r="M3453"/>
      <c r="N3453"/>
      <c r="O3453"/>
      <c r="P3453" s="216"/>
      <c r="Q3453" s="217"/>
      <c r="R3453" s="217"/>
      <c r="S3453" s="218"/>
    </row>
    <row r="3454" spans="13:19" ht="15" customHeight="1" x14ac:dyDescent="0.25">
      <c r="M3454"/>
      <c r="N3454"/>
      <c r="O3454"/>
      <c r="P3454" s="216"/>
      <c r="Q3454" s="217"/>
      <c r="R3454" s="217"/>
      <c r="S3454" s="218"/>
    </row>
    <row r="3455" spans="13:19" ht="15" customHeight="1" x14ac:dyDescent="0.25">
      <c r="M3455"/>
      <c r="N3455"/>
      <c r="O3455"/>
      <c r="P3455" s="216"/>
      <c r="Q3455" s="217"/>
      <c r="R3455" s="217"/>
      <c r="S3455" s="218"/>
    </row>
    <row r="3456" spans="13:19" ht="15" customHeight="1" x14ac:dyDescent="0.25">
      <c r="M3456"/>
      <c r="N3456"/>
      <c r="O3456"/>
      <c r="P3456" s="216"/>
      <c r="Q3456" s="217"/>
      <c r="R3456" s="217"/>
      <c r="S3456" s="218"/>
    </row>
    <row r="3457" spans="13:19" ht="15" customHeight="1" x14ac:dyDescent="0.25">
      <c r="M3457"/>
      <c r="N3457"/>
      <c r="O3457"/>
      <c r="P3457" s="216"/>
      <c r="Q3457" s="217"/>
      <c r="R3457" s="217"/>
      <c r="S3457" s="218"/>
    </row>
    <row r="3458" spans="13:19" ht="15" customHeight="1" x14ac:dyDescent="0.25">
      <c r="M3458"/>
      <c r="N3458"/>
      <c r="O3458"/>
      <c r="P3458" s="216"/>
      <c r="Q3458" s="217"/>
      <c r="R3458" s="217"/>
      <c r="S3458" s="218"/>
    </row>
    <row r="3459" spans="13:19" ht="15" customHeight="1" x14ac:dyDescent="0.25">
      <c r="M3459"/>
      <c r="N3459"/>
      <c r="O3459"/>
      <c r="P3459" s="216"/>
      <c r="Q3459" s="217"/>
      <c r="R3459" s="217"/>
      <c r="S3459" s="218"/>
    </row>
    <row r="3460" spans="13:19" ht="15" customHeight="1" x14ac:dyDescent="0.25">
      <c r="M3460"/>
      <c r="N3460"/>
      <c r="O3460"/>
      <c r="P3460" s="216"/>
      <c r="Q3460" s="217"/>
      <c r="R3460" s="217"/>
      <c r="S3460" s="218"/>
    </row>
    <row r="3461" spans="13:19" ht="15" customHeight="1" x14ac:dyDescent="0.25">
      <c r="M3461"/>
      <c r="N3461"/>
      <c r="O3461"/>
      <c r="P3461" s="216"/>
      <c r="Q3461" s="217"/>
      <c r="R3461" s="217"/>
      <c r="S3461" s="218"/>
    </row>
    <row r="3462" spans="13:19" ht="15" customHeight="1" x14ac:dyDescent="0.25">
      <c r="M3462"/>
      <c r="N3462"/>
      <c r="O3462"/>
      <c r="P3462" s="216"/>
      <c r="Q3462" s="217"/>
      <c r="R3462" s="217"/>
      <c r="S3462" s="218"/>
    </row>
    <row r="3463" spans="13:19" ht="15" customHeight="1" x14ac:dyDescent="0.25">
      <c r="M3463"/>
      <c r="N3463"/>
      <c r="O3463"/>
      <c r="P3463" s="216"/>
      <c r="Q3463" s="217"/>
      <c r="R3463" s="217"/>
      <c r="S3463" s="218"/>
    </row>
    <row r="3464" spans="13:19" ht="15" customHeight="1" x14ac:dyDescent="0.25">
      <c r="M3464"/>
      <c r="N3464"/>
      <c r="O3464"/>
      <c r="P3464" s="216"/>
      <c r="Q3464" s="217"/>
      <c r="R3464" s="217"/>
      <c r="S3464" s="218"/>
    </row>
    <row r="3465" spans="13:19" ht="15" customHeight="1" x14ac:dyDescent="0.25">
      <c r="M3465"/>
      <c r="N3465"/>
      <c r="O3465"/>
      <c r="P3465" s="216"/>
      <c r="Q3465" s="217"/>
      <c r="R3465" s="217"/>
      <c r="S3465" s="218"/>
    </row>
    <row r="3466" spans="13:19" ht="15" customHeight="1" x14ac:dyDescent="0.25">
      <c r="M3466"/>
      <c r="N3466"/>
      <c r="O3466"/>
      <c r="P3466" s="216"/>
      <c r="Q3466" s="217"/>
      <c r="R3466" s="217"/>
      <c r="S3466" s="218"/>
    </row>
    <row r="3467" spans="13:19" ht="15" customHeight="1" x14ac:dyDescent="0.25">
      <c r="M3467"/>
      <c r="N3467"/>
      <c r="O3467"/>
      <c r="P3467" s="216"/>
      <c r="Q3467" s="217"/>
      <c r="R3467" s="217"/>
      <c r="S3467" s="218"/>
    </row>
    <row r="3468" spans="13:19" ht="15" customHeight="1" x14ac:dyDescent="0.25">
      <c r="M3468"/>
      <c r="N3468"/>
      <c r="O3468"/>
      <c r="P3468" s="216"/>
      <c r="Q3468" s="217"/>
      <c r="R3468" s="217"/>
      <c r="S3468" s="218"/>
    </row>
    <row r="3469" spans="13:19" ht="15" customHeight="1" x14ac:dyDescent="0.25">
      <c r="M3469"/>
      <c r="N3469"/>
      <c r="O3469"/>
      <c r="P3469" s="216"/>
      <c r="Q3469" s="217"/>
      <c r="R3469" s="217"/>
      <c r="S3469" s="218"/>
    </row>
    <row r="3470" spans="13:19" ht="15" customHeight="1" x14ac:dyDescent="0.25">
      <c r="M3470"/>
      <c r="N3470"/>
      <c r="O3470"/>
      <c r="P3470" s="216"/>
      <c r="Q3470" s="217"/>
      <c r="R3470" s="217"/>
      <c r="S3470" s="218"/>
    </row>
    <row r="3471" spans="13:19" ht="15" customHeight="1" x14ac:dyDescent="0.25">
      <c r="M3471"/>
      <c r="N3471"/>
      <c r="O3471"/>
      <c r="P3471" s="216"/>
      <c r="Q3471" s="217"/>
      <c r="R3471" s="217"/>
      <c r="S3471" s="218"/>
    </row>
    <row r="3472" spans="13:19" ht="15" customHeight="1" x14ac:dyDescent="0.25">
      <c r="M3472"/>
      <c r="N3472"/>
      <c r="O3472"/>
      <c r="P3472" s="216"/>
      <c r="Q3472" s="217"/>
      <c r="R3472" s="217"/>
      <c r="S3472" s="218"/>
    </row>
    <row r="3473" spans="13:19" ht="15" customHeight="1" x14ac:dyDescent="0.25">
      <c r="M3473"/>
      <c r="N3473"/>
      <c r="O3473"/>
      <c r="P3473" s="216"/>
      <c r="Q3473" s="217"/>
      <c r="R3473" s="217"/>
      <c r="S3473" s="218"/>
    </row>
    <row r="3474" spans="13:19" ht="15" customHeight="1" x14ac:dyDescent="0.25">
      <c r="M3474"/>
      <c r="N3474"/>
      <c r="O3474"/>
      <c r="P3474" s="216"/>
      <c r="Q3474" s="217"/>
      <c r="R3474" s="217"/>
      <c r="S3474" s="218"/>
    </row>
    <row r="3475" spans="13:19" ht="15" customHeight="1" x14ac:dyDescent="0.25">
      <c r="M3475"/>
      <c r="N3475"/>
      <c r="O3475"/>
      <c r="P3475" s="216"/>
      <c r="Q3475" s="217"/>
      <c r="R3475" s="217"/>
      <c r="S3475" s="218"/>
    </row>
    <row r="3476" spans="13:19" ht="15" customHeight="1" x14ac:dyDescent="0.25">
      <c r="M3476"/>
      <c r="N3476"/>
      <c r="O3476"/>
      <c r="P3476" s="216"/>
      <c r="Q3476" s="217"/>
      <c r="R3476" s="217"/>
      <c r="S3476" s="218"/>
    </row>
    <row r="3477" spans="13:19" ht="15" customHeight="1" x14ac:dyDescent="0.25">
      <c r="M3477"/>
      <c r="N3477"/>
      <c r="O3477"/>
      <c r="P3477" s="216"/>
      <c r="Q3477" s="217"/>
      <c r="R3477" s="217"/>
      <c r="S3477" s="218"/>
    </row>
    <row r="3478" spans="13:19" ht="15" customHeight="1" x14ac:dyDescent="0.25">
      <c r="M3478"/>
      <c r="N3478"/>
      <c r="O3478"/>
      <c r="P3478" s="216"/>
      <c r="Q3478" s="217"/>
      <c r="R3478" s="217"/>
      <c r="S3478" s="218"/>
    </row>
    <row r="3479" spans="13:19" ht="15" customHeight="1" x14ac:dyDescent="0.25">
      <c r="M3479"/>
      <c r="N3479"/>
      <c r="O3479"/>
      <c r="P3479" s="216"/>
      <c r="Q3479" s="217"/>
      <c r="R3479" s="217"/>
      <c r="S3479" s="218"/>
    </row>
    <row r="3480" spans="13:19" ht="15" customHeight="1" x14ac:dyDescent="0.25">
      <c r="M3480"/>
      <c r="N3480"/>
      <c r="O3480"/>
      <c r="P3480" s="216"/>
      <c r="Q3480" s="217"/>
      <c r="R3480" s="217"/>
      <c r="S3480" s="218"/>
    </row>
    <row r="3481" spans="13:19" ht="15" customHeight="1" x14ac:dyDescent="0.25">
      <c r="M3481"/>
      <c r="N3481"/>
      <c r="O3481"/>
      <c r="P3481" s="216"/>
      <c r="Q3481" s="217"/>
      <c r="R3481" s="217"/>
      <c r="S3481" s="218"/>
    </row>
    <row r="3482" spans="13:19" ht="15" customHeight="1" x14ac:dyDescent="0.25">
      <c r="M3482"/>
      <c r="N3482"/>
      <c r="O3482"/>
      <c r="P3482" s="216"/>
      <c r="Q3482" s="217"/>
      <c r="R3482" s="217"/>
      <c r="S3482" s="218"/>
    </row>
    <row r="3483" spans="13:19" ht="15" customHeight="1" x14ac:dyDescent="0.25">
      <c r="M3483"/>
      <c r="N3483"/>
      <c r="O3483"/>
      <c r="P3483" s="216"/>
      <c r="Q3483" s="217"/>
      <c r="R3483" s="217"/>
      <c r="S3483" s="218"/>
    </row>
    <row r="3484" spans="13:19" ht="15" customHeight="1" x14ac:dyDescent="0.25">
      <c r="M3484"/>
      <c r="N3484"/>
      <c r="O3484"/>
      <c r="P3484" s="216"/>
      <c r="Q3484" s="217"/>
      <c r="R3484" s="217"/>
      <c r="S3484" s="218"/>
    </row>
    <row r="3485" spans="13:19" ht="15" customHeight="1" x14ac:dyDescent="0.25">
      <c r="M3485"/>
      <c r="N3485"/>
      <c r="O3485"/>
      <c r="P3485" s="216"/>
      <c r="Q3485" s="217"/>
      <c r="R3485" s="217"/>
      <c r="S3485" s="218"/>
    </row>
    <row r="3486" spans="13:19" ht="15" customHeight="1" x14ac:dyDescent="0.25">
      <c r="M3486"/>
      <c r="N3486"/>
      <c r="O3486"/>
      <c r="P3486" s="216"/>
      <c r="Q3486" s="217"/>
      <c r="R3486" s="217"/>
      <c r="S3486" s="218"/>
    </row>
    <row r="3487" spans="13:19" ht="15" customHeight="1" x14ac:dyDescent="0.25">
      <c r="M3487"/>
      <c r="N3487"/>
      <c r="O3487"/>
      <c r="P3487" s="216"/>
      <c r="Q3487" s="217"/>
      <c r="R3487" s="217"/>
      <c r="S3487" s="218"/>
    </row>
    <row r="3488" spans="13:19" ht="15" customHeight="1" x14ac:dyDescent="0.25">
      <c r="M3488"/>
      <c r="N3488"/>
      <c r="O3488"/>
      <c r="P3488" s="216"/>
      <c r="Q3488" s="217"/>
      <c r="R3488" s="217"/>
      <c r="S3488" s="218"/>
    </row>
    <row r="3489" spans="13:19" ht="15" customHeight="1" x14ac:dyDescent="0.25">
      <c r="M3489"/>
      <c r="N3489"/>
      <c r="O3489"/>
      <c r="P3489" s="216"/>
      <c r="Q3489" s="217"/>
      <c r="R3489" s="217"/>
      <c r="S3489" s="218"/>
    </row>
    <row r="3490" spans="13:19" ht="15" customHeight="1" x14ac:dyDescent="0.25">
      <c r="M3490"/>
      <c r="N3490"/>
      <c r="O3490"/>
      <c r="P3490" s="216"/>
      <c r="Q3490" s="217"/>
      <c r="R3490" s="217"/>
      <c r="S3490" s="218"/>
    </row>
    <row r="3491" spans="13:19" ht="15" customHeight="1" x14ac:dyDescent="0.25">
      <c r="M3491"/>
      <c r="N3491"/>
      <c r="O3491"/>
      <c r="P3491" s="216"/>
      <c r="Q3491" s="217"/>
      <c r="R3491" s="217"/>
      <c r="S3491" s="218"/>
    </row>
    <row r="3492" spans="13:19" ht="15" customHeight="1" x14ac:dyDescent="0.25">
      <c r="M3492"/>
      <c r="N3492"/>
      <c r="O3492"/>
      <c r="P3492" s="216"/>
      <c r="Q3492" s="217"/>
      <c r="R3492" s="217"/>
      <c r="S3492" s="218"/>
    </row>
    <row r="3493" spans="13:19" ht="15" customHeight="1" x14ac:dyDescent="0.25">
      <c r="M3493"/>
      <c r="N3493"/>
      <c r="O3493"/>
      <c r="P3493" s="216"/>
      <c r="Q3493" s="217"/>
      <c r="R3493" s="217"/>
      <c r="S3493" s="218"/>
    </row>
    <row r="3494" spans="13:19" ht="15" customHeight="1" x14ac:dyDescent="0.25">
      <c r="M3494"/>
      <c r="N3494"/>
      <c r="O3494"/>
      <c r="P3494" s="216"/>
      <c r="Q3494" s="217"/>
      <c r="R3494" s="217"/>
      <c r="S3494" s="218"/>
    </row>
    <row r="3495" spans="13:19" ht="15" customHeight="1" x14ac:dyDescent="0.25">
      <c r="M3495"/>
      <c r="N3495"/>
      <c r="O3495"/>
      <c r="P3495" s="216"/>
      <c r="Q3495" s="217"/>
      <c r="R3495" s="217"/>
      <c r="S3495" s="218"/>
    </row>
    <row r="3496" spans="13:19" ht="15" customHeight="1" x14ac:dyDescent="0.25">
      <c r="M3496"/>
      <c r="N3496"/>
      <c r="O3496"/>
      <c r="P3496" s="216"/>
      <c r="Q3496" s="217"/>
      <c r="R3496" s="217"/>
      <c r="S3496" s="218"/>
    </row>
    <row r="3497" spans="13:19" ht="15" customHeight="1" x14ac:dyDescent="0.25">
      <c r="M3497"/>
      <c r="N3497"/>
      <c r="O3497"/>
      <c r="P3497" s="216"/>
      <c r="Q3497" s="217"/>
      <c r="R3497" s="217"/>
      <c r="S3497" s="218"/>
    </row>
    <row r="3498" spans="13:19" ht="15" customHeight="1" x14ac:dyDescent="0.25">
      <c r="M3498"/>
      <c r="N3498"/>
      <c r="O3498"/>
      <c r="P3498" s="216"/>
      <c r="Q3498" s="217"/>
      <c r="R3498" s="217"/>
      <c r="S3498" s="218"/>
    </row>
    <row r="3499" spans="13:19" ht="15" customHeight="1" x14ac:dyDescent="0.25">
      <c r="M3499"/>
      <c r="N3499"/>
      <c r="O3499"/>
      <c r="P3499" s="216"/>
      <c r="Q3499" s="217"/>
      <c r="R3499" s="217"/>
      <c r="S3499" s="218"/>
    </row>
    <row r="3500" spans="13:19" ht="15" customHeight="1" x14ac:dyDescent="0.25">
      <c r="M3500"/>
      <c r="N3500"/>
      <c r="O3500"/>
      <c r="P3500" s="216"/>
      <c r="Q3500" s="217"/>
      <c r="R3500" s="217"/>
      <c r="S3500" s="218"/>
    </row>
    <row r="3501" spans="13:19" ht="15" customHeight="1" x14ac:dyDescent="0.25">
      <c r="M3501"/>
      <c r="N3501"/>
      <c r="O3501"/>
      <c r="P3501" s="216"/>
      <c r="Q3501" s="217"/>
      <c r="R3501" s="217"/>
      <c r="S3501" s="218"/>
    </row>
    <row r="3502" spans="13:19" ht="15" customHeight="1" x14ac:dyDescent="0.25">
      <c r="M3502"/>
      <c r="N3502"/>
      <c r="O3502"/>
      <c r="P3502" s="216"/>
      <c r="Q3502" s="217"/>
      <c r="R3502" s="217"/>
      <c r="S3502" s="218"/>
    </row>
    <row r="3503" spans="13:19" ht="15" customHeight="1" x14ac:dyDescent="0.25">
      <c r="M3503"/>
      <c r="N3503"/>
      <c r="O3503"/>
      <c r="P3503" s="216"/>
      <c r="Q3503" s="217"/>
      <c r="R3503" s="217"/>
      <c r="S3503" s="218"/>
    </row>
    <row r="3504" spans="13:19" ht="15" customHeight="1" x14ac:dyDescent="0.25">
      <c r="M3504"/>
      <c r="N3504"/>
      <c r="O3504"/>
      <c r="P3504" s="216"/>
      <c r="Q3504" s="217"/>
      <c r="R3504" s="217"/>
      <c r="S3504" s="218"/>
    </row>
    <row r="3505" spans="13:19" ht="15" customHeight="1" x14ac:dyDescent="0.25">
      <c r="M3505"/>
      <c r="N3505"/>
      <c r="O3505"/>
      <c r="P3505" s="216"/>
      <c r="Q3505" s="217"/>
      <c r="R3505" s="217"/>
      <c r="S3505" s="218"/>
    </row>
    <row r="3506" spans="13:19" ht="15" customHeight="1" x14ac:dyDescent="0.25">
      <c r="M3506"/>
      <c r="N3506"/>
      <c r="O3506"/>
      <c r="P3506" s="216"/>
      <c r="Q3506" s="217"/>
      <c r="R3506" s="217"/>
      <c r="S3506" s="218"/>
    </row>
    <row r="3507" spans="13:19" ht="15" customHeight="1" x14ac:dyDescent="0.25">
      <c r="M3507"/>
      <c r="N3507"/>
      <c r="O3507"/>
      <c r="P3507" s="216"/>
      <c r="Q3507" s="217"/>
      <c r="R3507" s="217"/>
      <c r="S3507" s="218"/>
    </row>
    <row r="3508" spans="13:19" ht="15" customHeight="1" x14ac:dyDescent="0.25">
      <c r="M3508"/>
      <c r="N3508"/>
      <c r="O3508"/>
      <c r="P3508" s="216"/>
      <c r="Q3508" s="217"/>
      <c r="R3508" s="217"/>
      <c r="S3508" s="218"/>
    </row>
    <row r="3509" spans="13:19" ht="15" customHeight="1" x14ac:dyDescent="0.25">
      <c r="M3509"/>
      <c r="N3509"/>
      <c r="O3509"/>
      <c r="P3509" s="216"/>
      <c r="Q3509" s="217"/>
      <c r="R3509" s="217"/>
      <c r="S3509" s="218"/>
    </row>
    <row r="3510" spans="13:19" ht="15" customHeight="1" x14ac:dyDescent="0.25">
      <c r="M3510"/>
      <c r="N3510"/>
      <c r="O3510"/>
      <c r="P3510" s="216"/>
      <c r="Q3510" s="217"/>
      <c r="R3510" s="217"/>
      <c r="S3510" s="218"/>
    </row>
    <row r="3511" spans="13:19" ht="15" customHeight="1" x14ac:dyDescent="0.25">
      <c r="M3511"/>
      <c r="N3511"/>
      <c r="O3511"/>
      <c r="P3511" s="216"/>
      <c r="Q3511" s="217"/>
      <c r="R3511" s="217"/>
      <c r="S3511" s="218"/>
    </row>
    <row r="3512" spans="13:19" ht="15" customHeight="1" x14ac:dyDescent="0.25">
      <c r="M3512"/>
      <c r="N3512"/>
      <c r="O3512"/>
      <c r="P3512" s="216"/>
      <c r="Q3512" s="217"/>
      <c r="R3512" s="217"/>
      <c r="S3512" s="218"/>
    </row>
    <row r="3513" spans="13:19" ht="15" customHeight="1" x14ac:dyDescent="0.25">
      <c r="M3513"/>
      <c r="N3513"/>
      <c r="O3513"/>
      <c r="P3513" s="216"/>
      <c r="Q3513" s="217"/>
      <c r="R3513" s="217"/>
      <c r="S3513" s="218"/>
    </row>
    <row r="3514" spans="13:19" ht="15" customHeight="1" x14ac:dyDescent="0.25">
      <c r="M3514"/>
      <c r="N3514"/>
      <c r="O3514"/>
      <c r="P3514" s="216"/>
      <c r="Q3514" s="217"/>
      <c r="R3514" s="217"/>
      <c r="S3514" s="218"/>
    </row>
    <row r="3515" spans="13:19" ht="15" customHeight="1" x14ac:dyDescent="0.25">
      <c r="M3515"/>
      <c r="N3515"/>
      <c r="O3515"/>
      <c r="P3515" s="216"/>
      <c r="Q3515" s="217"/>
      <c r="R3515" s="217"/>
      <c r="S3515" s="218"/>
    </row>
    <row r="3516" spans="13:19" ht="15" customHeight="1" x14ac:dyDescent="0.25">
      <c r="M3516"/>
      <c r="N3516"/>
      <c r="O3516"/>
      <c r="P3516" s="216"/>
      <c r="Q3516" s="217"/>
      <c r="R3516" s="217"/>
      <c r="S3516" s="218"/>
    </row>
    <row r="3517" spans="13:19" ht="15" customHeight="1" x14ac:dyDescent="0.25">
      <c r="M3517"/>
      <c r="N3517"/>
      <c r="O3517"/>
      <c r="P3517" s="216"/>
      <c r="Q3517" s="217"/>
      <c r="R3517" s="217"/>
      <c r="S3517" s="218"/>
    </row>
    <row r="3518" spans="13:19" ht="15" customHeight="1" x14ac:dyDescent="0.25">
      <c r="M3518"/>
      <c r="N3518"/>
      <c r="O3518"/>
      <c r="P3518" s="216"/>
      <c r="Q3518" s="217"/>
      <c r="R3518" s="217"/>
      <c r="S3518" s="218"/>
    </row>
    <row r="3519" spans="13:19" ht="15" customHeight="1" x14ac:dyDescent="0.25">
      <c r="M3519"/>
      <c r="N3519"/>
      <c r="O3519"/>
      <c r="P3519" s="216"/>
      <c r="Q3519" s="217"/>
      <c r="R3519" s="217"/>
      <c r="S3519" s="218"/>
    </row>
    <row r="3520" spans="13:19" ht="15" customHeight="1" x14ac:dyDescent="0.25">
      <c r="M3520"/>
      <c r="N3520"/>
      <c r="O3520"/>
      <c r="P3520" s="216"/>
      <c r="Q3520" s="217"/>
      <c r="R3520" s="217"/>
      <c r="S3520" s="218"/>
    </row>
    <row r="3521" spans="13:19" ht="15" customHeight="1" x14ac:dyDescent="0.25">
      <c r="M3521"/>
      <c r="N3521"/>
      <c r="O3521"/>
      <c r="P3521" s="216"/>
      <c r="Q3521" s="217"/>
      <c r="R3521" s="217"/>
      <c r="S3521" s="218"/>
    </row>
    <row r="3522" spans="13:19" ht="15" customHeight="1" x14ac:dyDescent="0.25">
      <c r="M3522"/>
      <c r="N3522"/>
      <c r="O3522"/>
      <c r="P3522" s="216"/>
      <c r="Q3522" s="217"/>
      <c r="R3522" s="217"/>
      <c r="S3522" s="218"/>
    </row>
    <row r="3523" spans="13:19" ht="15" customHeight="1" x14ac:dyDescent="0.25">
      <c r="M3523"/>
      <c r="N3523"/>
      <c r="O3523"/>
      <c r="P3523" s="216"/>
      <c r="Q3523" s="217"/>
      <c r="R3523" s="217"/>
      <c r="S3523" s="218"/>
    </row>
    <row r="3524" spans="13:19" ht="15" customHeight="1" x14ac:dyDescent="0.25">
      <c r="M3524"/>
      <c r="N3524"/>
      <c r="O3524"/>
      <c r="P3524" s="216"/>
      <c r="Q3524" s="217"/>
      <c r="R3524" s="217"/>
      <c r="S3524" s="218"/>
    </row>
    <row r="3525" spans="13:19" ht="15" customHeight="1" x14ac:dyDescent="0.25">
      <c r="M3525"/>
      <c r="N3525"/>
      <c r="O3525"/>
      <c r="P3525" s="216"/>
      <c r="Q3525" s="217"/>
      <c r="R3525" s="217"/>
      <c r="S3525" s="218"/>
    </row>
    <row r="3526" spans="13:19" ht="15" customHeight="1" x14ac:dyDescent="0.25">
      <c r="M3526"/>
      <c r="N3526"/>
      <c r="O3526"/>
      <c r="P3526" s="216"/>
      <c r="Q3526" s="217"/>
      <c r="R3526" s="217"/>
      <c r="S3526" s="218"/>
    </row>
    <row r="3527" spans="13:19" ht="15" customHeight="1" x14ac:dyDescent="0.25">
      <c r="M3527"/>
      <c r="N3527"/>
      <c r="O3527"/>
      <c r="P3527" s="216"/>
      <c r="Q3527" s="217"/>
      <c r="R3527" s="217"/>
      <c r="S3527" s="218"/>
    </row>
    <row r="3528" spans="13:19" ht="15" customHeight="1" x14ac:dyDescent="0.25">
      <c r="M3528"/>
      <c r="N3528"/>
      <c r="O3528"/>
      <c r="P3528" s="216"/>
      <c r="Q3528" s="217"/>
      <c r="R3528" s="217"/>
      <c r="S3528" s="218"/>
    </row>
    <row r="3529" spans="13:19" ht="15" customHeight="1" x14ac:dyDescent="0.25">
      <c r="M3529"/>
      <c r="N3529"/>
      <c r="O3529"/>
      <c r="P3529" s="216"/>
      <c r="Q3529" s="217"/>
      <c r="R3529" s="217"/>
      <c r="S3529" s="218"/>
    </row>
    <row r="3530" spans="13:19" ht="15" customHeight="1" x14ac:dyDescent="0.25">
      <c r="M3530"/>
      <c r="N3530"/>
      <c r="O3530"/>
      <c r="P3530" s="216"/>
      <c r="Q3530" s="217"/>
      <c r="R3530" s="217"/>
      <c r="S3530" s="218"/>
    </row>
    <row r="3531" spans="13:19" ht="15" customHeight="1" x14ac:dyDescent="0.25">
      <c r="M3531"/>
      <c r="N3531"/>
      <c r="O3531"/>
      <c r="P3531" s="216"/>
      <c r="Q3531" s="217"/>
      <c r="R3531" s="217"/>
      <c r="S3531" s="218"/>
    </row>
    <row r="3532" spans="13:19" ht="15" customHeight="1" x14ac:dyDescent="0.25">
      <c r="M3532"/>
      <c r="N3532"/>
      <c r="O3532"/>
      <c r="P3532" s="216"/>
      <c r="Q3532" s="217"/>
      <c r="R3532" s="217"/>
      <c r="S3532" s="218"/>
    </row>
    <row r="3533" spans="13:19" ht="15" customHeight="1" x14ac:dyDescent="0.25">
      <c r="M3533"/>
      <c r="N3533"/>
      <c r="O3533"/>
      <c r="P3533" s="216"/>
      <c r="Q3533" s="217"/>
      <c r="R3533" s="217"/>
      <c r="S3533" s="218"/>
    </row>
    <row r="3534" spans="13:19" ht="15" customHeight="1" x14ac:dyDescent="0.25">
      <c r="M3534"/>
      <c r="N3534"/>
      <c r="O3534"/>
      <c r="P3534" s="216"/>
      <c r="Q3534" s="217"/>
      <c r="R3534" s="217"/>
      <c r="S3534" s="218"/>
    </row>
    <row r="3535" spans="13:19" ht="15" customHeight="1" x14ac:dyDescent="0.25">
      <c r="M3535"/>
      <c r="N3535"/>
      <c r="O3535"/>
      <c r="P3535" s="216"/>
      <c r="Q3535" s="217"/>
      <c r="R3535" s="217"/>
      <c r="S3535" s="218"/>
    </row>
    <row r="3536" spans="13:19" ht="15" customHeight="1" x14ac:dyDescent="0.25">
      <c r="M3536"/>
      <c r="N3536"/>
      <c r="O3536"/>
      <c r="P3536" s="216"/>
      <c r="Q3536" s="217"/>
      <c r="R3536" s="217"/>
      <c r="S3536" s="218"/>
    </row>
    <row r="3537" spans="13:19" ht="15" customHeight="1" x14ac:dyDescent="0.25">
      <c r="M3537"/>
      <c r="N3537"/>
      <c r="O3537"/>
      <c r="P3537" s="216"/>
      <c r="Q3537" s="217"/>
      <c r="R3537" s="217"/>
      <c r="S3537" s="218"/>
    </row>
    <row r="3538" spans="13:19" ht="15" customHeight="1" x14ac:dyDescent="0.25">
      <c r="M3538"/>
      <c r="N3538"/>
      <c r="O3538"/>
      <c r="P3538" s="216"/>
      <c r="Q3538" s="217"/>
      <c r="R3538" s="217"/>
      <c r="S3538" s="218"/>
    </row>
    <row r="3539" spans="13:19" ht="15" customHeight="1" x14ac:dyDescent="0.25">
      <c r="M3539"/>
      <c r="N3539"/>
      <c r="O3539"/>
      <c r="P3539" s="216"/>
      <c r="Q3539" s="217"/>
      <c r="R3539" s="217"/>
      <c r="S3539" s="218"/>
    </row>
    <row r="3540" spans="13:19" ht="15" customHeight="1" x14ac:dyDescent="0.25">
      <c r="M3540"/>
      <c r="N3540"/>
      <c r="O3540"/>
      <c r="P3540" s="216"/>
      <c r="Q3540" s="217"/>
      <c r="R3540" s="217"/>
      <c r="S3540" s="218"/>
    </row>
    <row r="3541" spans="13:19" ht="15" customHeight="1" x14ac:dyDescent="0.25">
      <c r="M3541"/>
      <c r="N3541"/>
      <c r="O3541"/>
      <c r="P3541" s="216"/>
      <c r="Q3541" s="217"/>
      <c r="R3541" s="217"/>
      <c r="S3541" s="218"/>
    </row>
    <row r="3542" spans="13:19" ht="15" customHeight="1" x14ac:dyDescent="0.25">
      <c r="M3542"/>
      <c r="N3542"/>
      <c r="O3542"/>
      <c r="P3542" s="216"/>
      <c r="Q3542" s="217"/>
      <c r="R3542" s="217"/>
      <c r="S3542" s="218"/>
    </row>
    <row r="3543" spans="13:19" ht="15" customHeight="1" x14ac:dyDescent="0.25">
      <c r="M3543"/>
      <c r="N3543"/>
      <c r="O3543"/>
      <c r="P3543" s="216"/>
      <c r="Q3543" s="217"/>
      <c r="R3543" s="217"/>
      <c r="S3543" s="218"/>
    </row>
    <row r="3544" spans="13:19" ht="15" customHeight="1" x14ac:dyDescent="0.25">
      <c r="M3544"/>
      <c r="N3544"/>
      <c r="O3544"/>
      <c r="P3544" s="216"/>
      <c r="Q3544" s="217"/>
      <c r="R3544" s="217"/>
      <c r="S3544" s="218"/>
    </row>
    <row r="3545" spans="13:19" ht="15" customHeight="1" x14ac:dyDescent="0.25">
      <c r="M3545"/>
      <c r="N3545"/>
      <c r="O3545"/>
      <c r="P3545" s="216"/>
      <c r="Q3545" s="217"/>
      <c r="R3545" s="217"/>
      <c r="S3545" s="218"/>
    </row>
    <row r="3546" spans="13:19" ht="15" customHeight="1" x14ac:dyDescent="0.25">
      <c r="M3546"/>
      <c r="N3546"/>
      <c r="O3546"/>
      <c r="P3546" s="216"/>
      <c r="Q3546" s="217"/>
      <c r="R3546" s="217"/>
      <c r="S3546" s="218"/>
    </row>
    <row r="3547" spans="13:19" ht="15" customHeight="1" x14ac:dyDescent="0.25">
      <c r="M3547"/>
      <c r="N3547"/>
      <c r="O3547"/>
      <c r="P3547" s="216"/>
      <c r="Q3547" s="217"/>
      <c r="R3547" s="217"/>
      <c r="S3547" s="218"/>
    </row>
    <row r="3548" spans="13:19" ht="15" customHeight="1" x14ac:dyDescent="0.25">
      <c r="M3548"/>
      <c r="N3548"/>
      <c r="O3548"/>
      <c r="P3548" s="216"/>
      <c r="Q3548" s="217"/>
      <c r="R3548" s="217"/>
      <c r="S3548" s="218"/>
    </row>
    <row r="3549" spans="13:19" ht="15" customHeight="1" x14ac:dyDescent="0.25">
      <c r="M3549"/>
      <c r="N3549"/>
      <c r="O3549"/>
      <c r="P3549" s="216"/>
      <c r="Q3549" s="217"/>
      <c r="R3549" s="217"/>
      <c r="S3549" s="218"/>
    </row>
    <row r="3550" spans="13:19" ht="15" customHeight="1" x14ac:dyDescent="0.25">
      <c r="M3550"/>
      <c r="N3550"/>
      <c r="O3550"/>
      <c r="P3550" s="216"/>
      <c r="Q3550" s="217"/>
      <c r="R3550" s="217"/>
      <c r="S3550" s="218"/>
    </row>
    <row r="3551" spans="13:19" ht="15" customHeight="1" x14ac:dyDescent="0.25">
      <c r="M3551"/>
      <c r="N3551"/>
      <c r="O3551"/>
      <c r="P3551" s="216"/>
      <c r="Q3551" s="217"/>
      <c r="R3551" s="217"/>
      <c r="S3551" s="218"/>
    </row>
    <row r="3552" spans="13:19" ht="15" customHeight="1" x14ac:dyDescent="0.25">
      <c r="M3552"/>
      <c r="N3552"/>
      <c r="O3552"/>
      <c r="P3552" s="216"/>
      <c r="Q3552" s="217"/>
      <c r="R3552" s="217"/>
      <c r="S3552" s="218"/>
    </row>
    <row r="3553" spans="13:19" ht="15" customHeight="1" x14ac:dyDescent="0.25">
      <c r="M3553"/>
      <c r="N3553"/>
      <c r="O3553"/>
      <c r="P3553" s="216"/>
      <c r="Q3553" s="217"/>
      <c r="R3553" s="217"/>
      <c r="S3553" s="218"/>
    </row>
    <row r="3554" spans="13:19" ht="15" customHeight="1" x14ac:dyDescent="0.25">
      <c r="M3554"/>
      <c r="N3554"/>
      <c r="O3554"/>
      <c r="P3554" s="216"/>
      <c r="Q3554" s="217"/>
      <c r="R3554" s="217"/>
      <c r="S3554" s="218"/>
    </row>
    <row r="3555" spans="13:19" ht="15" customHeight="1" x14ac:dyDescent="0.25">
      <c r="M3555"/>
      <c r="N3555"/>
      <c r="O3555"/>
      <c r="P3555" s="216"/>
      <c r="Q3555" s="217"/>
      <c r="R3555" s="217"/>
      <c r="S3555" s="218"/>
    </row>
    <row r="3556" spans="13:19" ht="15" customHeight="1" x14ac:dyDescent="0.25">
      <c r="M3556"/>
      <c r="N3556"/>
      <c r="O3556"/>
      <c r="P3556" s="216"/>
      <c r="Q3556" s="217"/>
      <c r="R3556" s="217"/>
      <c r="S3556" s="218"/>
    </row>
    <row r="3557" spans="13:19" ht="15" customHeight="1" x14ac:dyDescent="0.25">
      <c r="M3557"/>
      <c r="N3557"/>
      <c r="O3557"/>
      <c r="P3557" s="216"/>
      <c r="Q3557" s="217"/>
      <c r="R3557" s="217"/>
      <c r="S3557" s="218"/>
    </row>
    <row r="3558" spans="13:19" ht="15" customHeight="1" x14ac:dyDescent="0.25">
      <c r="M3558"/>
      <c r="N3558"/>
      <c r="O3558"/>
      <c r="P3558" s="216"/>
      <c r="Q3558" s="217"/>
      <c r="R3558" s="217"/>
      <c r="S3558" s="218"/>
    </row>
    <row r="3559" spans="13:19" ht="15" customHeight="1" x14ac:dyDescent="0.25">
      <c r="M3559"/>
      <c r="N3559"/>
      <c r="O3559"/>
      <c r="P3559" s="216"/>
      <c r="Q3559" s="217"/>
      <c r="R3559" s="217"/>
      <c r="S3559" s="218"/>
    </row>
    <row r="3560" spans="13:19" ht="15" customHeight="1" x14ac:dyDescent="0.25">
      <c r="M3560"/>
      <c r="N3560"/>
      <c r="O3560"/>
      <c r="P3560" s="216"/>
      <c r="Q3560" s="217"/>
      <c r="R3560" s="217"/>
      <c r="S3560" s="218"/>
    </row>
    <row r="3561" spans="13:19" ht="15" customHeight="1" x14ac:dyDescent="0.25">
      <c r="M3561"/>
      <c r="N3561"/>
      <c r="O3561"/>
      <c r="P3561" s="216"/>
      <c r="Q3561" s="217"/>
      <c r="R3561" s="217"/>
      <c r="S3561" s="218"/>
    </row>
    <row r="3562" spans="13:19" ht="15" customHeight="1" x14ac:dyDescent="0.25">
      <c r="M3562"/>
      <c r="N3562"/>
      <c r="O3562"/>
      <c r="P3562" s="216"/>
      <c r="Q3562" s="217"/>
      <c r="R3562" s="217"/>
      <c r="S3562" s="218"/>
    </row>
    <row r="3563" spans="13:19" ht="15" customHeight="1" x14ac:dyDescent="0.25">
      <c r="M3563"/>
      <c r="N3563"/>
      <c r="O3563"/>
      <c r="P3563" s="216"/>
      <c r="Q3563" s="217"/>
      <c r="R3563" s="217"/>
      <c r="S3563" s="218"/>
    </row>
    <row r="3564" spans="13:19" ht="15" customHeight="1" x14ac:dyDescent="0.25">
      <c r="M3564"/>
      <c r="N3564"/>
      <c r="O3564"/>
      <c r="P3564" s="216"/>
      <c r="Q3564" s="217"/>
      <c r="R3564" s="217"/>
      <c r="S3564" s="218"/>
    </row>
    <row r="3565" spans="13:19" ht="15" customHeight="1" x14ac:dyDescent="0.25">
      <c r="M3565"/>
      <c r="N3565"/>
      <c r="O3565"/>
      <c r="P3565" s="216"/>
      <c r="Q3565" s="217"/>
      <c r="R3565" s="217"/>
      <c r="S3565" s="218"/>
    </row>
    <row r="3566" spans="13:19" ht="15" customHeight="1" x14ac:dyDescent="0.25">
      <c r="M3566"/>
      <c r="N3566"/>
      <c r="O3566"/>
      <c r="P3566" s="216"/>
      <c r="Q3566" s="217"/>
      <c r="R3566" s="217"/>
      <c r="S3566" s="218"/>
    </row>
    <row r="3567" spans="13:19" ht="15" customHeight="1" x14ac:dyDescent="0.25">
      <c r="M3567"/>
      <c r="N3567"/>
      <c r="O3567"/>
      <c r="P3567" s="216"/>
      <c r="Q3567" s="217"/>
      <c r="R3567" s="217"/>
      <c r="S3567" s="218"/>
    </row>
    <row r="3568" spans="13:19" ht="15" customHeight="1" x14ac:dyDescent="0.25">
      <c r="M3568"/>
      <c r="N3568"/>
      <c r="O3568"/>
      <c r="P3568" s="216"/>
      <c r="Q3568" s="217"/>
      <c r="R3568" s="217"/>
      <c r="S3568" s="218"/>
    </row>
    <row r="3569" spans="13:19" ht="15" customHeight="1" x14ac:dyDescent="0.25">
      <c r="M3569"/>
      <c r="N3569"/>
      <c r="O3569"/>
      <c r="P3569" s="216"/>
      <c r="Q3569" s="217"/>
      <c r="R3569" s="217"/>
      <c r="S3569" s="218"/>
    </row>
    <row r="3570" spans="13:19" ht="15" customHeight="1" x14ac:dyDescent="0.25">
      <c r="M3570"/>
      <c r="N3570"/>
      <c r="O3570"/>
      <c r="P3570" s="216"/>
      <c r="Q3570" s="217"/>
      <c r="R3570" s="217"/>
      <c r="S3570" s="218"/>
    </row>
    <row r="3571" spans="13:19" ht="15" customHeight="1" x14ac:dyDescent="0.25">
      <c r="M3571"/>
      <c r="N3571"/>
      <c r="O3571"/>
      <c r="P3571" s="216"/>
      <c r="Q3571" s="217"/>
      <c r="R3571" s="217"/>
      <c r="S3571" s="218"/>
    </row>
    <row r="3572" spans="13:19" ht="15" customHeight="1" x14ac:dyDescent="0.25">
      <c r="M3572"/>
      <c r="N3572"/>
      <c r="O3572"/>
      <c r="P3572" s="216"/>
      <c r="Q3572" s="217"/>
      <c r="R3572" s="217"/>
      <c r="S3572" s="218"/>
    </row>
    <row r="3573" spans="13:19" ht="15" customHeight="1" x14ac:dyDescent="0.25">
      <c r="M3573"/>
      <c r="N3573"/>
      <c r="O3573"/>
      <c r="P3573" s="216"/>
      <c r="Q3573" s="217"/>
      <c r="R3573" s="217"/>
      <c r="S3573" s="218"/>
    </row>
    <row r="3574" spans="13:19" ht="15" customHeight="1" x14ac:dyDescent="0.25">
      <c r="M3574"/>
      <c r="N3574"/>
      <c r="O3574"/>
      <c r="P3574" s="216"/>
      <c r="Q3574" s="217"/>
      <c r="R3574" s="217"/>
      <c r="S3574" s="218"/>
    </row>
    <row r="3575" spans="13:19" ht="15" customHeight="1" x14ac:dyDescent="0.25">
      <c r="M3575"/>
      <c r="N3575"/>
      <c r="O3575"/>
      <c r="P3575" s="216"/>
      <c r="Q3575" s="217"/>
      <c r="R3575" s="217"/>
      <c r="S3575" s="218"/>
    </row>
    <row r="3576" spans="13:19" ht="15" customHeight="1" x14ac:dyDescent="0.25">
      <c r="M3576"/>
      <c r="N3576"/>
      <c r="O3576"/>
      <c r="P3576" s="216"/>
      <c r="Q3576" s="217"/>
      <c r="R3576" s="217"/>
      <c r="S3576" s="218"/>
    </row>
    <row r="3577" spans="13:19" ht="15" customHeight="1" x14ac:dyDescent="0.25">
      <c r="M3577"/>
      <c r="N3577"/>
      <c r="O3577"/>
      <c r="P3577" s="216"/>
      <c r="Q3577" s="217"/>
      <c r="R3577" s="217"/>
      <c r="S3577" s="218"/>
    </row>
    <row r="3578" spans="13:19" ht="15" customHeight="1" x14ac:dyDescent="0.25">
      <c r="M3578"/>
      <c r="N3578"/>
      <c r="O3578"/>
      <c r="P3578" s="216"/>
      <c r="Q3578" s="217"/>
      <c r="R3578" s="217"/>
      <c r="S3578" s="218"/>
    </row>
    <row r="3579" spans="13:19" ht="15" customHeight="1" x14ac:dyDescent="0.25">
      <c r="M3579"/>
      <c r="N3579"/>
      <c r="O3579"/>
      <c r="P3579" s="216"/>
      <c r="Q3579" s="217"/>
      <c r="R3579" s="217"/>
      <c r="S3579" s="218"/>
    </row>
    <row r="3580" spans="13:19" ht="15" customHeight="1" x14ac:dyDescent="0.25">
      <c r="M3580"/>
      <c r="N3580"/>
      <c r="O3580"/>
      <c r="P3580" s="216"/>
      <c r="Q3580" s="217"/>
      <c r="R3580" s="217"/>
      <c r="S3580" s="218"/>
    </row>
    <row r="3581" spans="13:19" ht="15" customHeight="1" x14ac:dyDescent="0.25">
      <c r="M3581"/>
      <c r="N3581"/>
      <c r="O3581"/>
      <c r="P3581" s="216"/>
      <c r="Q3581" s="217"/>
      <c r="R3581" s="217"/>
      <c r="S3581" s="218"/>
    </row>
    <row r="3582" spans="13:19" ht="15" customHeight="1" x14ac:dyDescent="0.25">
      <c r="M3582"/>
      <c r="N3582"/>
      <c r="O3582"/>
      <c r="P3582" s="216"/>
      <c r="Q3582" s="217"/>
      <c r="R3582" s="217"/>
      <c r="S3582" s="218"/>
    </row>
    <row r="3583" spans="13:19" ht="15" customHeight="1" x14ac:dyDescent="0.25">
      <c r="M3583"/>
      <c r="N3583"/>
      <c r="O3583"/>
      <c r="P3583" s="216"/>
      <c r="Q3583" s="217"/>
      <c r="R3583" s="217"/>
      <c r="S3583" s="218"/>
    </row>
    <row r="3584" spans="13:19" ht="15" customHeight="1" x14ac:dyDescent="0.25">
      <c r="M3584"/>
      <c r="N3584"/>
      <c r="O3584"/>
      <c r="P3584" s="216"/>
      <c r="Q3584" s="217"/>
      <c r="R3584" s="217"/>
      <c r="S3584" s="218"/>
    </row>
    <row r="3585" spans="13:19" ht="15" customHeight="1" x14ac:dyDescent="0.25">
      <c r="M3585"/>
      <c r="N3585"/>
      <c r="O3585"/>
      <c r="P3585" s="216"/>
      <c r="Q3585" s="217"/>
      <c r="R3585" s="217"/>
      <c r="S3585" s="218"/>
    </row>
    <row r="3586" spans="13:19" ht="15" customHeight="1" x14ac:dyDescent="0.25">
      <c r="M3586"/>
      <c r="N3586"/>
      <c r="O3586"/>
      <c r="P3586" s="216"/>
      <c r="Q3586" s="217"/>
      <c r="R3586" s="217"/>
      <c r="S3586" s="218"/>
    </row>
    <row r="3587" spans="13:19" ht="15" customHeight="1" x14ac:dyDescent="0.25">
      <c r="M3587"/>
      <c r="N3587"/>
      <c r="O3587"/>
      <c r="P3587" s="216"/>
      <c r="Q3587" s="217"/>
      <c r="R3587" s="217"/>
      <c r="S3587" s="218"/>
    </row>
    <row r="3588" spans="13:19" ht="15" customHeight="1" x14ac:dyDescent="0.25">
      <c r="M3588"/>
      <c r="N3588"/>
      <c r="O3588"/>
      <c r="P3588" s="216"/>
      <c r="Q3588" s="217"/>
      <c r="R3588" s="217"/>
      <c r="S3588" s="218"/>
    </row>
    <row r="3589" spans="13:19" ht="15" customHeight="1" x14ac:dyDescent="0.25">
      <c r="M3589"/>
      <c r="N3589"/>
      <c r="O3589"/>
      <c r="P3589" s="216"/>
      <c r="Q3589" s="217"/>
      <c r="R3589" s="217"/>
      <c r="S3589" s="218"/>
    </row>
    <row r="3590" spans="13:19" ht="15" customHeight="1" x14ac:dyDescent="0.25">
      <c r="M3590"/>
      <c r="N3590"/>
      <c r="O3590"/>
      <c r="P3590" s="216"/>
      <c r="Q3590" s="217"/>
      <c r="R3590" s="217"/>
      <c r="S3590" s="218"/>
    </row>
    <row r="3591" spans="13:19" ht="15" customHeight="1" x14ac:dyDescent="0.25">
      <c r="M3591"/>
      <c r="N3591"/>
      <c r="O3591"/>
      <c r="P3591" s="216"/>
      <c r="Q3591" s="217"/>
      <c r="R3591" s="217"/>
      <c r="S3591" s="218"/>
    </row>
    <row r="3592" spans="13:19" ht="15" customHeight="1" x14ac:dyDescent="0.25">
      <c r="M3592"/>
      <c r="N3592"/>
      <c r="O3592"/>
      <c r="P3592" s="216"/>
      <c r="Q3592" s="217"/>
      <c r="R3592" s="217"/>
      <c r="S3592" s="218"/>
    </row>
    <row r="3593" spans="13:19" ht="15" customHeight="1" x14ac:dyDescent="0.25">
      <c r="M3593"/>
      <c r="N3593"/>
      <c r="O3593"/>
      <c r="P3593" s="216"/>
      <c r="Q3593" s="217"/>
      <c r="R3593" s="217"/>
      <c r="S3593" s="218"/>
    </row>
    <row r="3594" spans="13:19" ht="15" customHeight="1" x14ac:dyDescent="0.25">
      <c r="M3594"/>
      <c r="N3594"/>
      <c r="O3594"/>
      <c r="P3594" s="216"/>
      <c r="Q3594" s="217"/>
      <c r="R3594" s="217"/>
      <c r="S3594" s="218"/>
    </row>
    <row r="3595" spans="13:19" ht="15" customHeight="1" x14ac:dyDescent="0.25">
      <c r="M3595"/>
      <c r="N3595"/>
      <c r="O3595"/>
      <c r="P3595" s="216"/>
      <c r="Q3595" s="217"/>
      <c r="R3595" s="217"/>
      <c r="S3595" s="218"/>
    </row>
    <row r="3596" spans="13:19" ht="15" customHeight="1" x14ac:dyDescent="0.25">
      <c r="M3596"/>
      <c r="N3596"/>
      <c r="O3596"/>
      <c r="P3596" s="216"/>
      <c r="Q3596" s="217"/>
      <c r="R3596" s="217"/>
      <c r="S3596" s="218"/>
    </row>
    <row r="3597" spans="13:19" ht="15" customHeight="1" x14ac:dyDescent="0.25">
      <c r="M3597"/>
      <c r="N3597"/>
      <c r="O3597"/>
      <c r="P3597" s="216"/>
      <c r="Q3597" s="217"/>
      <c r="R3597" s="217"/>
      <c r="S3597" s="218"/>
    </row>
    <row r="3598" spans="13:19" ht="15" customHeight="1" x14ac:dyDescent="0.25">
      <c r="M3598"/>
      <c r="N3598"/>
      <c r="O3598"/>
      <c r="P3598" s="216"/>
      <c r="Q3598" s="217"/>
      <c r="R3598" s="217"/>
      <c r="S3598" s="218"/>
    </row>
    <row r="3599" spans="13:19" ht="15" customHeight="1" x14ac:dyDescent="0.25">
      <c r="M3599"/>
      <c r="N3599"/>
      <c r="O3599"/>
      <c r="P3599" s="216"/>
      <c r="Q3599" s="217"/>
      <c r="R3599" s="217"/>
      <c r="S3599" s="218"/>
    </row>
    <row r="3600" spans="13:19" ht="15" customHeight="1" x14ac:dyDescent="0.25">
      <c r="M3600"/>
      <c r="N3600"/>
      <c r="O3600"/>
      <c r="P3600" s="216"/>
      <c r="Q3600" s="217"/>
      <c r="R3600" s="217"/>
      <c r="S3600" s="218"/>
    </row>
    <row r="3601" spans="13:19" ht="15" customHeight="1" x14ac:dyDescent="0.25">
      <c r="M3601"/>
      <c r="N3601"/>
      <c r="O3601"/>
      <c r="P3601" s="216"/>
      <c r="Q3601" s="217"/>
      <c r="R3601" s="217"/>
      <c r="S3601" s="218"/>
    </row>
    <row r="3602" spans="13:19" ht="15" customHeight="1" x14ac:dyDescent="0.25">
      <c r="M3602"/>
      <c r="N3602"/>
      <c r="O3602"/>
      <c r="P3602" s="216"/>
      <c r="Q3602" s="217"/>
      <c r="R3602" s="217"/>
      <c r="S3602" s="218"/>
    </row>
    <row r="3603" spans="13:19" ht="15" customHeight="1" x14ac:dyDescent="0.25">
      <c r="M3603"/>
      <c r="N3603"/>
      <c r="O3603"/>
      <c r="P3603" s="216"/>
      <c r="Q3603" s="217"/>
      <c r="R3603" s="217"/>
      <c r="S3603" s="218"/>
    </row>
    <row r="3604" spans="13:19" ht="15" customHeight="1" x14ac:dyDescent="0.25">
      <c r="M3604"/>
      <c r="N3604"/>
      <c r="O3604"/>
      <c r="P3604" s="216"/>
      <c r="Q3604" s="217"/>
      <c r="R3604" s="217"/>
      <c r="S3604" s="218"/>
    </row>
    <row r="3605" spans="13:19" ht="15" customHeight="1" x14ac:dyDescent="0.25">
      <c r="M3605"/>
      <c r="N3605"/>
      <c r="O3605"/>
      <c r="P3605" s="216"/>
      <c r="Q3605" s="217"/>
      <c r="R3605" s="217"/>
      <c r="S3605" s="218"/>
    </row>
    <row r="3606" spans="13:19" ht="15" customHeight="1" x14ac:dyDescent="0.25">
      <c r="M3606"/>
      <c r="N3606"/>
      <c r="O3606"/>
      <c r="P3606" s="216"/>
      <c r="Q3606" s="217"/>
      <c r="R3606" s="217"/>
      <c r="S3606" s="218"/>
    </row>
    <row r="3607" spans="13:19" ht="15" customHeight="1" x14ac:dyDescent="0.25">
      <c r="M3607"/>
      <c r="N3607"/>
      <c r="O3607"/>
      <c r="P3607" s="216"/>
      <c r="Q3607" s="217"/>
      <c r="R3607" s="217"/>
      <c r="S3607" s="218"/>
    </row>
    <row r="3608" spans="13:19" ht="15" customHeight="1" x14ac:dyDescent="0.25">
      <c r="M3608"/>
      <c r="N3608"/>
      <c r="O3608"/>
      <c r="P3608" s="216"/>
      <c r="Q3608" s="217"/>
      <c r="R3608" s="217"/>
      <c r="S3608" s="218"/>
    </row>
    <row r="3609" spans="13:19" ht="15" customHeight="1" x14ac:dyDescent="0.25">
      <c r="M3609"/>
      <c r="N3609"/>
      <c r="O3609"/>
      <c r="P3609" s="216"/>
      <c r="Q3609" s="217"/>
      <c r="R3609" s="217"/>
      <c r="S3609" s="218"/>
    </row>
    <row r="3610" spans="13:19" ht="15" customHeight="1" x14ac:dyDescent="0.25">
      <c r="M3610"/>
      <c r="N3610"/>
      <c r="O3610"/>
      <c r="P3610" s="216"/>
      <c r="Q3610" s="217"/>
      <c r="R3610" s="217"/>
      <c r="S3610" s="218"/>
    </row>
    <row r="3611" spans="13:19" ht="15" customHeight="1" x14ac:dyDescent="0.25">
      <c r="M3611"/>
      <c r="N3611"/>
      <c r="O3611"/>
      <c r="P3611" s="216"/>
      <c r="Q3611" s="217"/>
      <c r="R3611" s="217"/>
      <c r="S3611" s="218"/>
    </row>
    <row r="3612" spans="13:19" ht="15" customHeight="1" x14ac:dyDescent="0.25">
      <c r="M3612"/>
      <c r="N3612"/>
      <c r="O3612"/>
      <c r="P3612" s="216"/>
      <c r="Q3612" s="217"/>
      <c r="R3612" s="217"/>
      <c r="S3612" s="218"/>
    </row>
    <row r="3613" spans="13:19" ht="15" customHeight="1" x14ac:dyDescent="0.25">
      <c r="M3613"/>
      <c r="N3613"/>
      <c r="O3613"/>
      <c r="P3613" s="216"/>
      <c r="Q3613" s="217"/>
      <c r="R3613" s="217"/>
      <c r="S3613" s="218"/>
    </row>
    <row r="3614" spans="13:19" ht="15" customHeight="1" x14ac:dyDescent="0.25">
      <c r="M3614"/>
      <c r="N3614"/>
      <c r="O3614"/>
      <c r="P3614" s="216"/>
      <c r="Q3614" s="217"/>
      <c r="R3614" s="217"/>
      <c r="S3614" s="218"/>
    </row>
    <row r="3615" spans="13:19" ht="15" customHeight="1" x14ac:dyDescent="0.25">
      <c r="M3615"/>
      <c r="N3615"/>
      <c r="O3615"/>
      <c r="P3615" s="216"/>
      <c r="Q3615" s="217"/>
      <c r="R3615" s="217"/>
      <c r="S3615" s="218"/>
    </row>
    <row r="3616" spans="13:19" ht="15" customHeight="1" x14ac:dyDescent="0.25">
      <c r="M3616"/>
      <c r="N3616"/>
      <c r="O3616"/>
      <c r="P3616" s="216"/>
      <c r="Q3616" s="217"/>
      <c r="R3616" s="217"/>
      <c r="S3616" s="218"/>
    </row>
    <row r="3617" spans="13:19" ht="15" customHeight="1" x14ac:dyDescent="0.25">
      <c r="M3617"/>
      <c r="N3617"/>
      <c r="O3617"/>
      <c r="P3617" s="216"/>
      <c r="Q3617" s="217"/>
      <c r="R3617" s="217"/>
      <c r="S3617" s="218"/>
    </row>
    <row r="3618" spans="13:19" ht="15" customHeight="1" x14ac:dyDescent="0.25">
      <c r="M3618"/>
      <c r="N3618"/>
      <c r="O3618"/>
      <c r="P3618" s="216"/>
      <c r="Q3618" s="217"/>
      <c r="R3618" s="217"/>
      <c r="S3618" s="218"/>
    </row>
    <row r="3619" spans="13:19" ht="15" customHeight="1" x14ac:dyDescent="0.25">
      <c r="M3619"/>
      <c r="N3619"/>
      <c r="O3619"/>
      <c r="P3619" s="216"/>
      <c r="Q3619" s="217"/>
      <c r="R3619" s="217"/>
      <c r="S3619" s="218"/>
    </row>
    <row r="3620" spans="13:19" ht="15" customHeight="1" x14ac:dyDescent="0.25">
      <c r="M3620"/>
      <c r="N3620"/>
      <c r="O3620"/>
      <c r="P3620" s="216"/>
      <c r="Q3620" s="217"/>
      <c r="R3620" s="217"/>
      <c r="S3620" s="218"/>
    </row>
    <row r="3621" spans="13:19" ht="15" customHeight="1" x14ac:dyDescent="0.25">
      <c r="M3621"/>
      <c r="N3621"/>
      <c r="O3621"/>
      <c r="P3621" s="216"/>
      <c r="Q3621" s="217"/>
      <c r="R3621" s="217"/>
      <c r="S3621" s="218"/>
    </row>
    <row r="3622" spans="13:19" ht="15" customHeight="1" x14ac:dyDescent="0.25">
      <c r="M3622"/>
      <c r="N3622"/>
      <c r="O3622"/>
      <c r="P3622" s="216"/>
      <c r="Q3622" s="217"/>
      <c r="R3622" s="217"/>
      <c r="S3622" s="218"/>
    </row>
    <row r="3623" spans="13:19" ht="15" customHeight="1" x14ac:dyDescent="0.25">
      <c r="M3623"/>
      <c r="N3623"/>
      <c r="O3623"/>
      <c r="P3623" s="216"/>
      <c r="Q3623" s="217"/>
      <c r="R3623" s="217"/>
      <c r="S3623" s="218"/>
    </row>
    <row r="3624" spans="13:19" ht="15" customHeight="1" x14ac:dyDescent="0.25">
      <c r="M3624"/>
      <c r="N3624"/>
      <c r="O3624"/>
      <c r="P3624" s="216"/>
      <c r="Q3624" s="217"/>
      <c r="R3624" s="217"/>
      <c r="S3624" s="218"/>
    </row>
    <row r="3625" spans="13:19" ht="15" customHeight="1" x14ac:dyDescent="0.25">
      <c r="M3625"/>
      <c r="N3625"/>
      <c r="O3625"/>
      <c r="P3625" s="216"/>
      <c r="Q3625" s="217"/>
      <c r="R3625" s="217"/>
      <c r="S3625" s="218"/>
    </row>
    <row r="3626" spans="13:19" ht="15" customHeight="1" x14ac:dyDescent="0.25">
      <c r="M3626"/>
      <c r="N3626"/>
      <c r="O3626"/>
      <c r="P3626" s="216"/>
      <c r="Q3626" s="217"/>
      <c r="R3626" s="217"/>
      <c r="S3626" s="218"/>
    </row>
    <row r="3627" spans="13:19" ht="15" customHeight="1" x14ac:dyDescent="0.25">
      <c r="M3627"/>
      <c r="N3627"/>
      <c r="O3627"/>
      <c r="P3627" s="216"/>
      <c r="Q3627" s="217"/>
      <c r="R3627" s="217"/>
      <c r="S3627" s="218"/>
    </row>
    <row r="3628" spans="13:19" ht="15" customHeight="1" x14ac:dyDescent="0.25">
      <c r="M3628"/>
      <c r="N3628"/>
      <c r="O3628"/>
      <c r="P3628" s="216"/>
      <c r="Q3628" s="217"/>
      <c r="R3628" s="217"/>
      <c r="S3628" s="218"/>
    </row>
    <row r="3629" spans="13:19" ht="15" customHeight="1" x14ac:dyDescent="0.25">
      <c r="M3629"/>
      <c r="N3629"/>
      <c r="O3629"/>
      <c r="P3629" s="216"/>
      <c r="Q3629" s="217"/>
      <c r="R3629" s="217"/>
      <c r="S3629" s="218"/>
    </row>
    <row r="3630" spans="13:19" ht="15" customHeight="1" x14ac:dyDescent="0.25">
      <c r="M3630"/>
      <c r="N3630"/>
      <c r="O3630"/>
      <c r="P3630" s="216"/>
      <c r="Q3630" s="217"/>
      <c r="R3630" s="217"/>
      <c r="S3630" s="218"/>
    </row>
    <row r="3631" spans="13:19" ht="15" customHeight="1" x14ac:dyDescent="0.25">
      <c r="M3631"/>
      <c r="N3631"/>
      <c r="O3631"/>
      <c r="P3631" s="216"/>
      <c r="Q3631" s="217"/>
      <c r="R3631" s="217"/>
      <c r="S3631" s="218"/>
    </row>
    <row r="3632" spans="13:19" ht="15" customHeight="1" x14ac:dyDescent="0.25">
      <c r="M3632"/>
      <c r="N3632"/>
      <c r="O3632"/>
      <c r="P3632" s="216"/>
      <c r="Q3632" s="217"/>
      <c r="R3632" s="217"/>
      <c r="S3632" s="218"/>
    </row>
    <row r="3633" spans="13:19" ht="15" customHeight="1" x14ac:dyDescent="0.25">
      <c r="M3633"/>
      <c r="N3633"/>
      <c r="O3633"/>
      <c r="P3633" s="216"/>
      <c r="Q3633" s="217"/>
      <c r="R3633" s="217"/>
      <c r="S3633" s="218"/>
    </row>
    <row r="3634" spans="13:19" ht="15" customHeight="1" x14ac:dyDescent="0.25">
      <c r="M3634"/>
      <c r="N3634"/>
      <c r="O3634"/>
      <c r="P3634" s="216"/>
      <c r="Q3634" s="217"/>
      <c r="R3634" s="217"/>
      <c r="S3634" s="218"/>
    </row>
    <row r="3635" spans="13:19" ht="15" customHeight="1" x14ac:dyDescent="0.25">
      <c r="M3635"/>
      <c r="N3635"/>
      <c r="O3635"/>
      <c r="P3635" s="216"/>
      <c r="Q3635" s="217"/>
      <c r="R3635" s="217"/>
      <c r="S3635" s="218"/>
    </row>
    <row r="3636" spans="13:19" ht="15" customHeight="1" x14ac:dyDescent="0.25">
      <c r="M3636"/>
      <c r="N3636"/>
      <c r="O3636"/>
      <c r="P3636" s="216"/>
      <c r="Q3636" s="217"/>
      <c r="R3636" s="217"/>
      <c r="S3636" s="218"/>
    </row>
    <row r="3637" spans="13:19" ht="15" customHeight="1" x14ac:dyDescent="0.25">
      <c r="M3637"/>
      <c r="N3637"/>
      <c r="O3637"/>
      <c r="P3637" s="216"/>
      <c r="Q3637" s="217"/>
      <c r="R3637" s="217"/>
      <c r="S3637" s="218"/>
    </row>
    <row r="3638" spans="13:19" ht="15" customHeight="1" x14ac:dyDescent="0.25">
      <c r="M3638"/>
      <c r="N3638"/>
      <c r="O3638"/>
      <c r="P3638" s="216"/>
      <c r="Q3638" s="217"/>
      <c r="R3638" s="217"/>
      <c r="S3638" s="218"/>
    </row>
    <row r="3639" spans="13:19" ht="15" customHeight="1" x14ac:dyDescent="0.25">
      <c r="M3639"/>
      <c r="N3639"/>
      <c r="O3639"/>
      <c r="P3639" s="216"/>
      <c r="Q3639" s="217"/>
      <c r="R3639" s="217"/>
      <c r="S3639" s="218"/>
    </row>
    <row r="3640" spans="13:19" ht="15" customHeight="1" x14ac:dyDescent="0.25">
      <c r="M3640"/>
      <c r="N3640"/>
      <c r="O3640"/>
      <c r="P3640" s="216"/>
      <c r="Q3640" s="217"/>
      <c r="R3640" s="217"/>
      <c r="S3640" s="218"/>
    </row>
    <row r="3641" spans="13:19" ht="15" customHeight="1" x14ac:dyDescent="0.25">
      <c r="M3641"/>
      <c r="N3641"/>
      <c r="O3641"/>
      <c r="P3641" s="216"/>
      <c r="Q3641" s="217"/>
      <c r="R3641" s="217"/>
      <c r="S3641" s="218"/>
    </row>
    <row r="3642" spans="13:19" ht="15" customHeight="1" x14ac:dyDescent="0.25">
      <c r="M3642"/>
      <c r="N3642"/>
      <c r="O3642"/>
      <c r="P3642" s="216"/>
      <c r="Q3642" s="217"/>
      <c r="R3642" s="217"/>
      <c r="S3642" s="218"/>
    </row>
    <row r="3643" spans="13:19" ht="15" customHeight="1" x14ac:dyDescent="0.25">
      <c r="M3643"/>
      <c r="N3643"/>
      <c r="O3643"/>
      <c r="P3643" s="216"/>
      <c r="Q3643" s="217"/>
      <c r="R3643" s="217"/>
      <c r="S3643" s="218"/>
    </row>
    <row r="3644" spans="13:19" ht="15" customHeight="1" x14ac:dyDescent="0.25">
      <c r="M3644"/>
      <c r="N3644"/>
      <c r="O3644"/>
      <c r="P3644" s="216"/>
      <c r="Q3644" s="217"/>
      <c r="R3644" s="217"/>
      <c r="S3644" s="218"/>
    </row>
    <row r="3645" spans="13:19" ht="15" customHeight="1" x14ac:dyDescent="0.25">
      <c r="M3645"/>
      <c r="N3645"/>
      <c r="O3645"/>
      <c r="P3645" s="216"/>
      <c r="Q3645" s="217"/>
      <c r="R3645" s="217"/>
      <c r="S3645" s="218"/>
    </row>
    <row r="3646" spans="13:19" ht="15" customHeight="1" x14ac:dyDescent="0.25">
      <c r="M3646"/>
      <c r="N3646"/>
      <c r="O3646"/>
      <c r="P3646" s="216"/>
      <c r="Q3646" s="217"/>
      <c r="R3646" s="217"/>
      <c r="S3646" s="218"/>
    </row>
    <row r="3647" spans="13:19" ht="15" customHeight="1" x14ac:dyDescent="0.25">
      <c r="M3647"/>
      <c r="N3647"/>
      <c r="O3647"/>
      <c r="P3647" s="216"/>
      <c r="Q3647" s="217"/>
      <c r="R3647" s="217"/>
      <c r="S3647" s="218"/>
    </row>
    <row r="3648" spans="13:19" ht="15" customHeight="1" x14ac:dyDescent="0.25">
      <c r="M3648"/>
      <c r="N3648"/>
      <c r="O3648"/>
      <c r="P3648" s="216"/>
      <c r="Q3648" s="217"/>
      <c r="R3648" s="217"/>
      <c r="S3648" s="218"/>
    </row>
    <row r="3649" spans="13:19" ht="15" customHeight="1" x14ac:dyDescent="0.25">
      <c r="M3649"/>
      <c r="N3649"/>
      <c r="O3649"/>
      <c r="P3649" s="216"/>
      <c r="Q3649" s="217"/>
      <c r="R3649" s="217"/>
      <c r="S3649" s="218"/>
    </row>
    <row r="3650" spans="13:19" ht="15" customHeight="1" x14ac:dyDescent="0.25">
      <c r="M3650"/>
      <c r="N3650"/>
      <c r="O3650"/>
      <c r="P3650" s="216"/>
      <c r="Q3650" s="217"/>
      <c r="R3650" s="217"/>
      <c r="S3650" s="218"/>
    </row>
    <row r="3651" spans="13:19" ht="15" customHeight="1" x14ac:dyDescent="0.25">
      <c r="M3651"/>
      <c r="N3651"/>
      <c r="O3651"/>
      <c r="P3651" s="216"/>
      <c r="Q3651" s="217"/>
      <c r="R3651" s="217"/>
      <c r="S3651" s="218"/>
    </row>
    <row r="3652" spans="13:19" ht="15" customHeight="1" x14ac:dyDescent="0.25">
      <c r="M3652"/>
      <c r="N3652"/>
      <c r="O3652"/>
      <c r="P3652" s="216"/>
      <c r="Q3652" s="217"/>
      <c r="R3652" s="217"/>
      <c r="S3652" s="218"/>
    </row>
    <row r="3653" spans="13:19" ht="15" customHeight="1" x14ac:dyDescent="0.25">
      <c r="M3653"/>
      <c r="N3653"/>
      <c r="O3653"/>
      <c r="P3653" s="216"/>
      <c r="Q3653" s="217"/>
      <c r="R3653" s="217"/>
      <c r="S3653" s="218"/>
    </row>
    <row r="3654" spans="13:19" ht="15" customHeight="1" x14ac:dyDescent="0.25">
      <c r="M3654"/>
      <c r="N3654"/>
      <c r="O3654"/>
      <c r="P3654" s="216"/>
      <c r="Q3654" s="217"/>
      <c r="R3654" s="217"/>
      <c r="S3654" s="218"/>
    </row>
    <row r="3655" spans="13:19" ht="15" customHeight="1" x14ac:dyDescent="0.25">
      <c r="M3655"/>
      <c r="N3655"/>
      <c r="O3655"/>
      <c r="P3655" s="216"/>
      <c r="Q3655" s="217"/>
      <c r="R3655" s="217"/>
      <c r="S3655" s="218"/>
    </row>
    <row r="3656" spans="13:19" ht="15" customHeight="1" x14ac:dyDescent="0.25">
      <c r="M3656"/>
      <c r="N3656"/>
      <c r="O3656"/>
      <c r="P3656" s="216"/>
      <c r="Q3656" s="217"/>
      <c r="R3656" s="217"/>
      <c r="S3656" s="218"/>
    </row>
    <row r="3657" spans="13:19" ht="15" customHeight="1" x14ac:dyDescent="0.25">
      <c r="M3657"/>
      <c r="N3657"/>
      <c r="O3657"/>
      <c r="P3657" s="216"/>
      <c r="Q3657" s="217"/>
      <c r="R3657" s="217"/>
      <c r="S3657" s="218"/>
    </row>
    <row r="3658" spans="13:19" ht="15" customHeight="1" x14ac:dyDescent="0.25">
      <c r="M3658"/>
      <c r="N3658"/>
      <c r="O3658"/>
      <c r="P3658" s="216"/>
      <c r="Q3658" s="217"/>
      <c r="R3658" s="217"/>
      <c r="S3658" s="218"/>
    </row>
    <row r="3659" spans="13:19" ht="15" customHeight="1" x14ac:dyDescent="0.25">
      <c r="M3659"/>
      <c r="N3659"/>
      <c r="O3659"/>
      <c r="P3659" s="216"/>
      <c r="Q3659" s="217"/>
      <c r="R3659" s="217"/>
      <c r="S3659" s="218"/>
    </row>
    <row r="3660" spans="13:19" ht="15" customHeight="1" x14ac:dyDescent="0.25">
      <c r="M3660"/>
      <c r="N3660"/>
      <c r="O3660"/>
      <c r="P3660" s="216"/>
      <c r="Q3660" s="217"/>
      <c r="R3660" s="217"/>
      <c r="S3660" s="218"/>
    </row>
    <row r="3661" spans="13:19" ht="15" customHeight="1" x14ac:dyDescent="0.25">
      <c r="M3661"/>
      <c r="N3661"/>
      <c r="O3661"/>
      <c r="P3661" s="216"/>
      <c r="Q3661" s="217"/>
      <c r="R3661" s="217"/>
      <c r="S3661" s="218"/>
    </row>
    <row r="3662" spans="13:19" ht="15" customHeight="1" x14ac:dyDescent="0.25">
      <c r="M3662"/>
      <c r="N3662"/>
      <c r="O3662"/>
      <c r="P3662" s="216"/>
      <c r="Q3662" s="217"/>
      <c r="R3662" s="217"/>
      <c r="S3662" s="218"/>
    </row>
    <row r="3663" spans="13:19" ht="15" customHeight="1" x14ac:dyDescent="0.25">
      <c r="M3663"/>
      <c r="N3663"/>
      <c r="O3663"/>
      <c r="P3663" s="216"/>
      <c r="Q3663" s="217"/>
      <c r="R3663" s="217"/>
      <c r="S3663" s="218"/>
    </row>
    <row r="3664" spans="13:19" ht="15" customHeight="1" x14ac:dyDescent="0.25">
      <c r="M3664"/>
      <c r="N3664"/>
      <c r="O3664"/>
      <c r="P3664" s="216"/>
      <c r="Q3664" s="217"/>
      <c r="R3664" s="217"/>
      <c r="S3664" s="218"/>
    </row>
    <row r="3665" spans="13:19" ht="15" customHeight="1" x14ac:dyDescent="0.25">
      <c r="M3665"/>
      <c r="N3665"/>
      <c r="O3665"/>
      <c r="P3665" s="216"/>
      <c r="Q3665" s="217"/>
      <c r="R3665" s="217"/>
      <c r="S3665" s="218"/>
    </row>
    <row r="3666" spans="13:19" ht="15" customHeight="1" x14ac:dyDescent="0.25">
      <c r="M3666"/>
      <c r="N3666"/>
      <c r="O3666"/>
      <c r="P3666" s="216"/>
      <c r="Q3666" s="217"/>
      <c r="R3666" s="217"/>
      <c r="S3666" s="218"/>
    </row>
    <row r="3667" spans="13:19" ht="15" customHeight="1" x14ac:dyDescent="0.25">
      <c r="M3667"/>
      <c r="N3667"/>
      <c r="O3667"/>
      <c r="P3667" s="216"/>
      <c r="Q3667" s="217"/>
      <c r="R3667" s="217"/>
      <c r="S3667" s="218"/>
    </row>
    <row r="3668" spans="13:19" ht="15" customHeight="1" x14ac:dyDescent="0.25">
      <c r="M3668"/>
      <c r="N3668"/>
      <c r="O3668"/>
      <c r="P3668" s="216"/>
      <c r="Q3668" s="217"/>
      <c r="R3668" s="217"/>
      <c r="S3668" s="218"/>
    </row>
    <row r="3669" spans="13:19" ht="15" customHeight="1" x14ac:dyDescent="0.25">
      <c r="M3669"/>
      <c r="N3669"/>
      <c r="O3669"/>
      <c r="P3669" s="216"/>
      <c r="Q3669" s="217"/>
      <c r="R3669" s="217"/>
      <c r="S3669" s="218"/>
    </row>
    <row r="3670" spans="13:19" ht="15" customHeight="1" x14ac:dyDescent="0.25">
      <c r="M3670"/>
      <c r="N3670"/>
      <c r="O3670"/>
      <c r="P3670" s="216"/>
      <c r="Q3670" s="217"/>
      <c r="R3670" s="217"/>
      <c r="S3670" s="218"/>
    </row>
    <row r="3671" spans="13:19" ht="15" customHeight="1" x14ac:dyDescent="0.25">
      <c r="M3671"/>
      <c r="N3671"/>
      <c r="O3671"/>
      <c r="P3671" s="216"/>
      <c r="Q3671" s="217"/>
      <c r="R3671" s="217"/>
      <c r="S3671" s="218"/>
    </row>
    <row r="3672" spans="13:19" ht="15" customHeight="1" x14ac:dyDescent="0.25">
      <c r="M3672"/>
      <c r="N3672"/>
      <c r="O3672"/>
      <c r="P3672" s="216"/>
      <c r="Q3672" s="217"/>
      <c r="R3672" s="217"/>
      <c r="S3672" s="218"/>
    </row>
    <row r="3673" spans="13:19" ht="15" customHeight="1" x14ac:dyDescent="0.25">
      <c r="M3673"/>
      <c r="N3673"/>
      <c r="O3673"/>
      <c r="P3673" s="216"/>
      <c r="Q3673" s="217"/>
      <c r="R3673" s="217"/>
      <c r="S3673" s="218"/>
    </row>
    <row r="3674" spans="13:19" ht="15" customHeight="1" x14ac:dyDescent="0.25">
      <c r="M3674"/>
      <c r="N3674"/>
      <c r="O3674"/>
      <c r="P3674" s="216"/>
      <c r="Q3674" s="217"/>
      <c r="R3674" s="217"/>
      <c r="S3674" s="218"/>
    </row>
    <row r="3675" spans="13:19" ht="15" customHeight="1" x14ac:dyDescent="0.25">
      <c r="M3675"/>
      <c r="N3675"/>
      <c r="O3675"/>
      <c r="P3675" s="216"/>
      <c r="Q3675" s="217"/>
      <c r="R3675" s="217"/>
      <c r="S3675" s="218"/>
    </row>
    <row r="3676" spans="13:19" ht="15" customHeight="1" x14ac:dyDescent="0.25">
      <c r="M3676"/>
      <c r="N3676"/>
      <c r="O3676"/>
      <c r="P3676" s="216"/>
      <c r="Q3676" s="217"/>
      <c r="R3676" s="217"/>
      <c r="S3676" s="218"/>
    </row>
    <row r="3677" spans="13:19" ht="15" customHeight="1" x14ac:dyDescent="0.25">
      <c r="M3677"/>
      <c r="N3677"/>
      <c r="O3677"/>
      <c r="P3677" s="216"/>
      <c r="Q3677" s="217"/>
      <c r="R3677" s="217"/>
      <c r="S3677" s="218"/>
    </row>
    <row r="3678" spans="13:19" ht="15" customHeight="1" x14ac:dyDescent="0.25">
      <c r="M3678"/>
      <c r="N3678"/>
      <c r="O3678"/>
      <c r="P3678" s="216"/>
      <c r="Q3678" s="217"/>
      <c r="R3678" s="217"/>
      <c r="S3678" s="218"/>
    </row>
    <row r="3679" spans="13:19" ht="15" customHeight="1" x14ac:dyDescent="0.25">
      <c r="M3679"/>
      <c r="N3679"/>
      <c r="O3679"/>
      <c r="P3679" s="216"/>
      <c r="Q3679" s="217"/>
      <c r="R3679" s="217"/>
      <c r="S3679" s="218"/>
    </row>
    <row r="3680" spans="13:19" ht="15" customHeight="1" x14ac:dyDescent="0.25">
      <c r="M3680"/>
      <c r="N3680"/>
      <c r="O3680"/>
      <c r="P3680" s="216"/>
      <c r="Q3680" s="217"/>
      <c r="R3680" s="217"/>
      <c r="S3680" s="218"/>
    </row>
    <row r="3681" spans="13:19" ht="15" customHeight="1" x14ac:dyDescent="0.25">
      <c r="M3681"/>
      <c r="N3681"/>
      <c r="O3681"/>
      <c r="P3681" s="216"/>
      <c r="Q3681" s="217"/>
      <c r="R3681" s="217"/>
      <c r="S3681" s="218"/>
    </row>
    <row r="3682" spans="13:19" ht="15" customHeight="1" x14ac:dyDescent="0.25">
      <c r="M3682"/>
      <c r="N3682"/>
      <c r="O3682"/>
      <c r="P3682" s="216"/>
      <c r="Q3682" s="217"/>
      <c r="R3682" s="217"/>
      <c r="S3682" s="218"/>
    </row>
    <row r="3683" spans="13:19" ht="15" customHeight="1" x14ac:dyDescent="0.25">
      <c r="M3683"/>
      <c r="N3683"/>
      <c r="O3683"/>
      <c r="P3683" s="216"/>
      <c r="Q3683" s="217"/>
      <c r="R3683" s="217"/>
      <c r="S3683" s="218"/>
    </row>
    <row r="3684" spans="13:19" ht="15" customHeight="1" x14ac:dyDescent="0.25">
      <c r="M3684"/>
      <c r="N3684"/>
      <c r="O3684"/>
      <c r="P3684" s="216"/>
      <c r="Q3684" s="217"/>
      <c r="R3684" s="217"/>
      <c r="S3684" s="218"/>
    </row>
    <row r="3685" spans="13:19" ht="15" customHeight="1" x14ac:dyDescent="0.25">
      <c r="M3685"/>
      <c r="N3685"/>
      <c r="O3685"/>
      <c r="P3685" s="216"/>
      <c r="Q3685" s="217"/>
      <c r="R3685" s="217"/>
      <c r="S3685" s="218"/>
    </row>
    <row r="3686" spans="13:19" ht="15" customHeight="1" x14ac:dyDescent="0.25">
      <c r="M3686"/>
      <c r="N3686"/>
      <c r="O3686"/>
      <c r="P3686" s="216"/>
      <c r="Q3686" s="217"/>
      <c r="R3686" s="217"/>
      <c r="S3686" s="218"/>
    </row>
    <row r="3687" spans="13:19" ht="15" customHeight="1" x14ac:dyDescent="0.25">
      <c r="M3687"/>
      <c r="N3687"/>
      <c r="O3687"/>
      <c r="P3687" s="216"/>
      <c r="Q3687" s="217"/>
      <c r="R3687" s="217"/>
      <c r="S3687" s="218"/>
    </row>
    <row r="3688" spans="13:19" ht="15" customHeight="1" x14ac:dyDescent="0.25">
      <c r="M3688"/>
      <c r="N3688"/>
      <c r="O3688"/>
      <c r="P3688" s="216"/>
      <c r="Q3688" s="217"/>
      <c r="R3688" s="217"/>
      <c r="S3688" s="218"/>
    </row>
    <row r="3689" spans="13:19" ht="15" customHeight="1" x14ac:dyDescent="0.25">
      <c r="M3689"/>
      <c r="N3689"/>
      <c r="O3689"/>
      <c r="P3689" s="216"/>
      <c r="Q3689" s="217"/>
      <c r="R3689" s="217"/>
      <c r="S3689" s="218"/>
    </row>
    <row r="3690" spans="13:19" ht="15" customHeight="1" x14ac:dyDescent="0.25">
      <c r="M3690"/>
      <c r="N3690"/>
      <c r="O3690"/>
      <c r="P3690" s="216"/>
      <c r="Q3690" s="217"/>
      <c r="R3690" s="217"/>
      <c r="S3690" s="218"/>
    </row>
    <row r="3691" spans="13:19" ht="15" customHeight="1" x14ac:dyDescent="0.25">
      <c r="M3691"/>
      <c r="N3691"/>
      <c r="O3691"/>
      <c r="P3691" s="216"/>
      <c r="Q3691" s="217"/>
      <c r="R3691" s="217"/>
      <c r="S3691" s="218"/>
    </row>
    <row r="3692" spans="13:19" ht="15" customHeight="1" x14ac:dyDescent="0.25">
      <c r="M3692"/>
      <c r="N3692"/>
      <c r="O3692"/>
      <c r="P3692" s="216"/>
      <c r="Q3692" s="217"/>
      <c r="R3692" s="217"/>
      <c r="S3692" s="218"/>
    </row>
    <row r="3693" spans="13:19" ht="15" customHeight="1" x14ac:dyDescent="0.25">
      <c r="M3693"/>
      <c r="N3693"/>
      <c r="O3693"/>
      <c r="P3693" s="216"/>
      <c r="Q3693" s="217"/>
      <c r="R3693" s="217"/>
      <c r="S3693" s="218"/>
    </row>
    <row r="3694" spans="13:19" ht="15" customHeight="1" x14ac:dyDescent="0.25">
      <c r="M3694"/>
      <c r="N3694"/>
      <c r="O3694"/>
      <c r="P3694" s="216"/>
      <c r="Q3694" s="217"/>
      <c r="R3694" s="217"/>
      <c r="S3694" s="218"/>
    </row>
    <row r="3695" spans="13:19" ht="15" customHeight="1" x14ac:dyDescent="0.25">
      <c r="M3695"/>
      <c r="N3695"/>
      <c r="O3695"/>
      <c r="P3695" s="216"/>
      <c r="Q3695" s="217"/>
      <c r="R3695" s="217"/>
      <c r="S3695" s="218"/>
    </row>
    <row r="3696" spans="13:19" ht="15" customHeight="1" x14ac:dyDescent="0.25">
      <c r="M3696"/>
      <c r="N3696"/>
      <c r="O3696"/>
      <c r="P3696" s="216"/>
      <c r="Q3696" s="217"/>
      <c r="R3696" s="217"/>
      <c r="S3696" s="218"/>
    </row>
    <row r="3697" spans="13:19" ht="15" customHeight="1" x14ac:dyDescent="0.25">
      <c r="M3697"/>
      <c r="N3697"/>
      <c r="O3697"/>
      <c r="P3697" s="216"/>
      <c r="Q3697" s="217"/>
      <c r="R3697" s="217"/>
      <c r="S3697" s="218"/>
    </row>
    <row r="3698" spans="13:19" ht="15" customHeight="1" x14ac:dyDescent="0.25">
      <c r="M3698"/>
      <c r="N3698"/>
      <c r="O3698"/>
      <c r="P3698" s="216"/>
      <c r="Q3698" s="217"/>
      <c r="R3698" s="217"/>
      <c r="S3698" s="218"/>
    </row>
    <row r="3699" spans="13:19" ht="15" customHeight="1" x14ac:dyDescent="0.25">
      <c r="M3699"/>
      <c r="N3699"/>
      <c r="O3699"/>
      <c r="P3699" s="216"/>
      <c r="Q3699" s="217"/>
      <c r="R3699" s="217"/>
      <c r="S3699" s="218"/>
    </row>
    <row r="3700" spans="13:19" ht="15" customHeight="1" x14ac:dyDescent="0.25">
      <c r="M3700"/>
      <c r="N3700"/>
      <c r="O3700"/>
      <c r="P3700" s="216"/>
      <c r="Q3700" s="217"/>
      <c r="R3700" s="217"/>
      <c r="S3700" s="218"/>
    </row>
    <row r="3701" spans="13:19" ht="15" customHeight="1" x14ac:dyDescent="0.25">
      <c r="M3701"/>
      <c r="N3701"/>
      <c r="O3701"/>
      <c r="P3701" s="216"/>
      <c r="Q3701" s="217"/>
      <c r="R3701" s="217"/>
      <c r="S3701" s="218"/>
    </row>
    <row r="3702" spans="13:19" ht="15" customHeight="1" x14ac:dyDescent="0.25">
      <c r="M3702"/>
      <c r="N3702"/>
      <c r="O3702"/>
      <c r="P3702" s="216"/>
      <c r="Q3702" s="217"/>
      <c r="R3702" s="217"/>
      <c r="S3702" s="218"/>
    </row>
    <row r="3703" spans="13:19" ht="15" customHeight="1" x14ac:dyDescent="0.25">
      <c r="M3703"/>
      <c r="N3703"/>
      <c r="O3703"/>
      <c r="P3703" s="216"/>
      <c r="Q3703" s="217"/>
      <c r="R3703" s="217"/>
      <c r="S3703" s="218"/>
    </row>
    <row r="3704" spans="13:19" ht="15" customHeight="1" x14ac:dyDescent="0.25">
      <c r="M3704"/>
      <c r="N3704"/>
      <c r="O3704"/>
      <c r="P3704" s="216"/>
      <c r="Q3704" s="217"/>
      <c r="R3704" s="217"/>
      <c r="S3704" s="218"/>
    </row>
    <row r="3705" spans="13:19" ht="15" customHeight="1" x14ac:dyDescent="0.25">
      <c r="M3705"/>
      <c r="N3705"/>
      <c r="O3705"/>
      <c r="P3705" s="216"/>
      <c r="Q3705" s="217"/>
      <c r="R3705" s="217"/>
      <c r="S3705" s="218"/>
    </row>
    <row r="3706" spans="13:19" ht="15" customHeight="1" x14ac:dyDescent="0.25">
      <c r="M3706"/>
      <c r="N3706"/>
      <c r="O3706"/>
      <c r="P3706" s="216"/>
      <c r="Q3706" s="217"/>
      <c r="R3706" s="217"/>
      <c r="S3706" s="218"/>
    </row>
    <row r="3707" spans="13:19" ht="15" customHeight="1" x14ac:dyDescent="0.25">
      <c r="M3707"/>
      <c r="N3707"/>
      <c r="O3707"/>
      <c r="P3707" s="216"/>
      <c r="Q3707" s="217"/>
      <c r="R3707" s="217"/>
      <c r="S3707" s="218"/>
    </row>
    <row r="3708" spans="13:19" ht="15" customHeight="1" x14ac:dyDescent="0.25">
      <c r="M3708"/>
      <c r="N3708"/>
      <c r="O3708"/>
      <c r="P3708" s="216"/>
      <c r="Q3708" s="217"/>
      <c r="R3708" s="217"/>
      <c r="S3708" s="218"/>
    </row>
    <row r="3709" spans="13:19" ht="15" customHeight="1" x14ac:dyDescent="0.25">
      <c r="M3709"/>
      <c r="N3709"/>
      <c r="O3709"/>
      <c r="P3709" s="216"/>
      <c r="Q3709" s="217"/>
      <c r="R3709" s="217"/>
      <c r="S3709" s="218"/>
    </row>
    <row r="3710" spans="13:19" ht="15" customHeight="1" x14ac:dyDescent="0.25">
      <c r="M3710"/>
      <c r="N3710"/>
      <c r="O3710"/>
      <c r="P3710" s="216"/>
      <c r="Q3710" s="217"/>
      <c r="R3710" s="217"/>
      <c r="S3710" s="218"/>
    </row>
    <row r="3711" spans="13:19" ht="15" customHeight="1" x14ac:dyDescent="0.25">
      <c r="M3711"/>
      <c r="N3711"/>
      <c r="O3711"/>
      <c r="P3711" s="216"/>
      <c r="Q3711" s="217"/>
      <c r="R3711" s="217"/>
      <c r="S3711" s="218"/>
    </row>
    <row r="3712" spans="13:19" ht="15" customHeight="1" x14ac:dyDescent="0.25">
      <c r="M3712"/>
      <c r="N3712"/>
      <c r="O3712"/>
      <c r="P3712" s="216"/>
      <c r="Q3712" s="217"/>
      <c r="R3712" s="217"/>
      <c r="S3712" s="218"/>
    </row>
    <row r="3713" spans="13:19" ht="15" customHeight="1" x14ac:dyDescent="0.25">
      <c r="M3713"/>
      <c r="N3713"/>
      <c r="O3713"/>
      <c r="P3713" s="216"/>
      <c r="Q3713" s="217"/>
      <c r="R3713" s="217"/>
      <c r="S3713" s="218"/>
    </row>
    <row r="3714" spans="13:19" ht="15" customHeight="1" x14ac:dyDescent="0.25">
      <c r="M3714"/>
      <c r="N3714"/>
      <c r="O3714"/>
      <c r="P3714" s="216"/>
      <c r="Q3714" s="217"/>
      <c r="R3714" s="217"/>
      <c r="S3714" s="218"/>
    </row>
    <row r="3715" spans="13:19" ht="15" customHeight="1" x14ac:dyDescent="0.25">
      <c r="M3715"/>
      <c r="N3715"/>
      <c r="O3715"/>
      <c r="P3715" s="216"/>
      <c r="Q3715" s="217"/>
      <c r="R3715" s="217"/>
      <c r="S3715" s="218"/>
    </row>
    <row r="3716" spans="13:19" ht="15" customHeight="1" x14ac:dyDescent="0.25">
      <c r="M3716"/>
      <c r="N3716"/>
      <c r="O3716"/>
      <c r="P3716" s="216"/>
      <c r="Q3716" s="217"/>
      <c r="R3716" s="217"/>
      <c r="S3716" s="218"/>
    </row>
    <row r="3717" spans="13:19" ht="15" customHeight="1" x14ac:dyDescent="0.25">
      <c r="M3717"/>
      <c r="N3717"/>
      <c r="O3717"/>
      <c r="P3717" s="216"/>
      <c r="Q3717" s="217"/>
      <c r="R3717" s="217"/>
      <c r="S3717" s="218"/>
    </row>
    <row r="3718" spans="13:19" ht="15" customHeight="1" x14ac:dyDescent="0.25">
      <c r="M3718"/>
      <c r="N3718"/>
      <c r="O3718"/>
      <c r="P3718" s="216"/>
      <c r="Q3718" s="217"/>
      <c r="R3718" s="217"/>
      <c r="S3718" s="218"/>
    </row>
    <row r="3719" spans="13:19" ht="15" customHeight="1" x14ac:dyDescent="0.25">
      <c r="M3719"/>
      <c r="N3719"/>
      <c r="O3719"/>
      <c r="P3719" s="216"/>
      <c r="Q3719" s="217"/>
      <c r="R3719" s="217"/>
      <c r="S3719" s="218"/>
    </row>
    <row r="3720" spans="13:19" ht="15" customHeight="1" x14ac:dyDescent="0.25">
      <c r="M3720"/>
      <c r="N3720"/>
      <c r="O3720"/>
      <c r="P3720" s="216"/>
      <c r="Q3720" s="217"/>
      <c r="R3720" s="217"/>
      <c r="S3720" s="218"/>
    </row>
    <row r="3721" spans="13:19" ht="15" customHeight="1" x14ac:dyDescent="0.25">
      <c r="M3721"/>
      <c r="N3721"/>
      <c r="O3721"/>
      <c r="P3721" s="216"/>
      <c r="Q3721" s="217"/>
      <c r="R3721" s="217"/>
      <c r="S3721" s="218"/>
    </row>
    <row r="3722" spans="13:19" ht="15" customHeight="1" x14ac:dyDescent="0.25">
      <c r="M3722"/>
      <c r="N3722"/>
      <c r="O3722"/>
      <c r="P3722" s="216"/>
      <c r="Q3722" s="217"/>
      <c r="R3722" s="217"/>
      <c r="S3722" s="218"/>
    </row>
    <row r="3723" spans="13:19" ht="15" customHeight="1" x14ac:dyDescent="0.25">
      <c r="M3723"/>
      <c r="N3723"/>
      <c r="O3723"/>
      <c r="P3723" s="216"/>
      <c r="Q3723" s="217"/>
      <c r="R3723" s="217"/>
      <c r="S3723" s="218"/>
    </row>
    <row r="3724" spans="13:19" ht="15" customHeight="1" x14ac:dyDescent="0.25">
      <c r="M3724"/>
      <c r="N3724"/>
      <c r="O3724"/>
      <c r="P3724" s="216"/>
      <c r="Q3724" s="217"/>
      <c r="R3724" s="217"/>
      <c r="S3724" s="218"/>
    </row>
    <row r="3725" spans="13:19" ht="15" customHeight="1" x14ac:dyDescent="0.25">
      <c r="M3725"/>
      <c r="N3725"/>
      <c r="O3725"/>
      <c r="P3725" s="216"/>
      <c r="Q3725" s="217"/>
      <c r="R3725" s="217"/>
      <c r="S3725" s="218"/>
    </row>
    <row r="3726" spans="13:19" ht="15" customHeight="1" x14ac:dyDescent="0.25">
      <c r="M3726"/>
      <c r="N3726"/>
      <c r="O3726"/>
      <c r="P3726" s="216"/>
      <c r="Q3726" s="217"/>
      <c r="R3726" s="217"/>
      <c r="S3726" s="218"/>
    </row>
    <row r="3727" spans="13:19" ht="15" customHeight="1" x14ac:dyDescent="0.25">
      <c r="M3727"/>
      <c r="N3727"/>
      <c r="O3727"/>
      <c r="P3727" s="216"/>
      <c r="Q3727" s="217"/>
      <c r="R3727" s="217"/>
      <c r="S3727" s="218"/>
    </row>
    <row r="3728" spans="13:19" ht="15" customHeight="1" x14ac:dyDescent="0.25">
      <c r="M3728"/>
      <c r="N3728"/>
      <c r="O3728"/>
      <c r="P3728" s="216"/>
      <c r="Q3728" s="217"/>
      <c r="R3728" s="217"/>
      <c r="S3728" s="218"/>
    </row>
    <row r="3729" spans="13:19" ht="15" customHeight="1" x14ac:dyDescent="0.25">
      <c r="M3729"/>
      <c r="N3729"/>
      <c r="O3729"/>
      <c r="P3729" s="216"/>
      <c r="Q3729" s="217"/>
      <c r="R3729" s="217"/>
      <c r="S3729" s="218"/>
    </row>
    <row r="3730" spans="13:19" ht="15" customHeight="1" x14ac:dyDescent="0.25">
      <c r="M3730"/>
      <c r="N3730"/>
      <c r="O3730"/>
      <c r="P3730" s="216"/>
      <c r="Q3730" s="217"/>
      <c r="R3730" s="217"/>
      <c r="S3730" s="218"/>
    </row>
    <row r="3731" spans="13:19" ht="15" customHeight="1" x14ac:dyDescent="0.25">
      <c r="M3731"/>
      <c r="N3731"/>
      <c r="O3731"/>
      <c r="P3731" s="216"/>
      <c r="Q3731" s="217"/>
      <c r="R3731" s="217"/>
      <c r="S3731" s="218"/>
    </row>
    <row r="3732" spans="13:19" ht="15" customHeight="1" x14ac:dyDescent="0.25">
      <c r="M3732"/>
      <c r="N3732"/>
      <c r="O3732"/>
      <c r="P3732" s="216"/>
      <c r="Q3732" s="217"/>
      <c r="R3732" s="217"/>
      <c r="S3732" s="218"/>
    </row>
    <row r="3733" spans="13:19" ht="15" customHeight="1" x14ac:dyDescent="0.25">
      <c r="M3733"/>
      <c r="N3733"/>
      <c r="O3733"/>
      <c r="P3733" s="216"/>
      <c r="Q3733" s="217"/>
      <c r="R3733" s="217"/>
      <c r="S3733" s="218"/>
    </row>
    <row r="3734" spans="13:19" ht="15" customHeight="1" x14ac:dyDescent="0.25">
      <c r="M3734"/>
      <c r="N3734"/>
      <c r="O3734"/>
      <c r="P3734" s="216"/>
      <c r="Q3734" s="217"/>
      <c r="R3734" s="217"/>
      <c r="S3734" s="218"/>
    </row>
    <row r="3735" spans="13:19" ht="15" customHeight="1" x14ac:dyDescent="0.25">
      <c r="M3735"/>
      <c r="N3735"/>
      <c r="O3735"/>
      <c r="P3735" s="216"/>
      <c r="Q3735" s="217"/>
      <c r="R3735" s="217"/>
      <c r="S3735" s="218"/>
    </row>
    <row r="3736" spans="13:19" ht="15" customHeight="1" x14ac:dyDescent="0.25">
      <c r="M3736"/>
      <c r="N3736"/>
      <c r="O3736"/>
      <c r="P3736" s="216"/>
      <c r="Q3736" s="217"/>
      <c r="R3736" s="217"/>
      <c r="S3736" s="218"/>
    </row>
    <row r="3737" spans="13:19" ht="15" customHeight="1" x14ac:dyDescent="0.25">
      <c r="M3737"/>
      <c r="N3737"/>
      <c r="O3737"/>
      <c r="P3737" s="216"/>
      <c r="Q3737" s="217"/>
      <c r="R3737" s="217"/>
      <c r="S3737" s="218"/>
    </row>
    <row r="3738" spans="13:19" ht="15" customHeight="1" x14ac:dyDescent="0.25">
      <c r="M3738"/>
      <c r="N3738"/>
      <c r="O3738"/>
      <c r="P3738" s="216"/>
      <c r="Q3738" s="217"/>
      <c r="R3738" s="217"/>
      <c r="S3738" s="218"/>
    </row>
    <row r="3739" spans="13:19" ht="15" customHeight="1" x14ac:dyDescent="0.25">
      <c r="M3739"/>
      <c r="N3739"/>
      <c r="O3739"/>
      <c r="P3739" s="216"/>
      <c r="Q3739" s="217"/>
      <c r="R3739" s="217"/>
      <c r="S3739" s="218"/>
    </row>
    <row r="3740" spans="13:19" ht="15" customHeight="1" x14ac:dyDescent="0.25">
      <c r="M3740"/>
      <c r="N3740"/>
      <c r="O3740"/>
      <c r="P3740" s="216"/>
      <c r="Q3740" s="217"/>
      <c r="R3740" s="217"/>
      <c r="S3740" s="218"/>
    </row>
    <row r="3741" spans="13:19" ht="15" customHeight="1" x14ac:dyDescent="0.25">
      <c r="M3741"/>
      <c r="N3741"/>
      <c r="O3741"/>
      <c r="P3741" s="216"/>
      <c r="Q3741" s="217"/>
      <c r="R3741" s="217"/>
      <c r="S3741" s="218"/>
    </row>
    <row r="3742" spans="13:19" ht="15" customHeight="1" x14ac:dyDescent="0.25">
      <c r="M3742"/>
      <c r="N3742"/>
      <c r="O3742"/>
      <c r="P3742" s="216"/>
      <c r="Q3742" s="217"/>
      <c r="R3742" s="217"/>
      <c r="S3742" s="218"/>
    </row>
    <row r="3743" spans="13:19" ht="15" customHeight="1" x14ac:dyDescent="0.25">
      <c r="M3743"/>
      <c r="N3743"/>
      <c r="O3743"/>
      <c r="P3743" s="216"/>
      <c r="Q3743" s="217"/>
      <c r="R3743" s="217"/>
      <c r="S3743" s="218"/>
    </row>
    <row r="3744" spans="13:19" ht="15" customHeight="1" x14ac:dyDescent="0.25">
      <c r="M3744"/>
      <c r="N3744"/>
      <c r="O3744"/>
      <c r="P3744" s="216"/>
      <c r="Q3744" s="217"/>
      <c r="R3744" s="217"/>
      <c r="S3744" s="218"/>
    </row>
    <row r="3745" spans="13:19" ht="15" customHeight="1" x14ac:dyDescent="0.25">
      <c r="M3745"/>
      <c r="N3745"/>
      <c r="O3745"/>
      <c r="P3745" s="216"/>
      <c r="Q3745" s="217"/>
      <c r="R3745" s="217"/>
      <c r="S3745" s="218"/>
    </row>
    <row r="3746" spans="13:19" ht="15" customHeight="1" x14ac:dyDescent="0.25">
      <c r="M3746"/>
      <c r="N3746"/>
      <c r="O3746"/>
      <c r="P3746" s="216"/>
      <c r="Q3746" s="217"/>
      <c r="R3746" s="217"/>
      <c r="S3746" s="218"/>
    </row>
    <row r="3747" spans="13:19" ht="15" customHeight="1" x14ac:dyDescent="0.25">
      <c r="M3747"/>
      <c r="N3747"/>
      <c r="O3747"/>
      <c r="P3747" s="216"/>
      <c r="Q3747" s="217"/>
      <c r="R3747" s="217"/>
      <c r="S3747" s="218"/>
    </row>
    <row r="3748" spans="13:19" ht="15" customHeight="1" x14ac:dyDescent="0.25">
      <c r="M3748"/>
      <c r="N3748"/>
      <c r="O3748"/>
      <c r="P3748" s="216"/>
      <c r="Q3748" s="217"/>
      <c r="R3748" s="217"/>
      <c r="S3748" s="218"/>
    </row>
    <row r="3749" spans="13:19" ht="15" customHeight="1" x14ac:dyDescent="0.25">
      <c r="M3749"/>
      <c r="N3749"/>
      <c r="O3749"/>
      <c r="P3749" s="216"/>
      <c r="Q3749" s="217"/>
      <c r="R3749" s="217"/>
      <c r="S3749" s="218"/>
    </row>
    <row r="3750" spans="13:19" ht="15" customHeight="1" x14ac:dyDescent="0.25">
      <c r="M3750"/>
      <c r="N3750"/>
      <c r="O3750"/>
      <c r="P3750" s="216"/>
      <c r="Q3750" s="217"/>
      <c r="R3750" s="217"/>
      <c r="S3750" s="218"/>
    </row>
    <row r="3751" spans="13:19" ht="15" customHeight="1" x14ac:dyDescent="0.25">
      <c r="M3751"/>
      <c r="N3751"/>
      <c r="O3751"/>
      <c r="P3751" s="216"/>
      <c r="Q3751" s="217"/>
      <c r="R3751" s="217"/>
      <c r="S3751" s="218"/>
    </row>
    <row r="3752" spans="13:19" ht="15" customHeight="1" x14ac:dyDescent="0.25">
      <c r="M3752"/>
      <c r="N3752"/>
      <c r="O3752"/>
      <c r="P3752" s="216"/>
      <c r="Q3752" s="217"/>
      <c r="R3752" s="217"/>
      <c r="S3752" s="218"/>
    </row>
    <row r="3753" spans="13:19" ht="15" customHeight="1" x14ac:dyDescent="0.25">
      <c r="M3753"/>
      <c r="N3753"/>
      <c r="O3753"/>
      <c r="P3753" s="216"/>
      <c r="Q3753" s="217"/>
      <c r="R3753" s="217"/>
      <c r="S3753" s="218"/>
    </row>
    <row r="3754" spans="13:19" ht="15" customHeight="1" x14ac:dyDescent="0.25">
      <c r="M3754"/>
      <c r="N3754"/>
      <c r="O3754"/>
      <c r="P3754" s="216"/>
      <c r="Q3754" s="217"/>
      <c r="R3754" s="217"/>
      <c r="S3754" s="218"/>
    </row>
    <row r="3755" spans="13:19" ht="15" customHeight="1" x14ac:dyDescent="0.25">
      <c r="M3755"/>
      <c r="N3755"/>
      <c r="O3755"/>
      <c r="P3755" s="216"/>
      <c r="Q3755" s="217"/>
      <c r="R3755" s="217"/>
      <c r="S3755" s="218"/>
    </row>
    <row r="3756" spans="13:19" ht="15" customHeight="1" x14ac:dyDescent="0.25">
      <c r="M3756"/>
      <c r="N3756"/>
      <c r="O3756"/>
      <c r="P3756" s="216"/>
      <c r="Q3756" s="217"/>
      <c r="R3756" s="217"/>
      <c r="S3756" s="218"/>
    </row>
    <row r="3757" spans="13:19" ht="15" customHeight="1" x14ac:dyDescent="0.25">
      <c r="M3757"/>
      <c r="N3757"/>
      <c r="O3757"/>
      <c r="P3757" s="216"/>
      <c r="Q3757" s="217"/>
      <c r="R3757" s="217"/>
      <c r="S3757" s="218"/>
    </row>
    <row r="3758" spans="13:19" ht="15" customHeight="1" x14ac:dyDescent="0.25">
      <c r="M3758"/>
      <c r="N3758"/>
      <c r="O3758"/>
      <c r="P3758" s="216"/>
      <c r="Q3758" s="217"/>
      <c r="R3758" s="217"/>
      <c r="S3758" s="218"/>
    </row>
    <row r="3759" spans="13:19" ht="15" customHeight="1" x14ac:dyDescent="0.25">
      <c r="M3759"/>
      <c r="N3759"/>
      <c r="O3759"/>
      <c r="P3759" s="216"/>
      <c r="Q3759" s="217"/>
      <c r="R3759" s="217"/>
      <c r="S3759" s="218"/>
    </row>
    <row r="3760" spans="13:19" ht="15" customHeight="1" x14ac:dyDescent="0.25">
      <c r="M3760"/>
      <c r="N3760"/>
      <c r="O3760"/>
      <c r="P3760" s="216"/>
      <c r="Q3760" s="217"/>
      <c r="R3760" s="217"/>
      <c r="S3760" s="218"/>
    </row>
    <row r="3761" spans="13:19" ht="15" customHeight="1" x14ac:dyDescent="0.25">
      <c r="M3761"/>
      <c r="N3761"/>
      <c r="O3761"/>
      <c r="P3761" s="216"/>
      <c r="Q3761" s="217"/>
      <c r="R3761" s="217"/>
      <c r="S3761" s="218"/>
    </row>
    <row r="3762" spans="13:19" ht="15" customHeight="1" x14ac:dyDescent="0.25">
      <c r="M3762"/>
      <c r="N3762"/>
      <c r="O3762"/>
      <c r="P3762" s="216"/>
      <c r="Q3762" s="217"/>
      <c r="R3762" s="217"/>
      <c r="S3762" s="218"/>
    </row>
    <row r="3763" spans="13:19" ht="15" customHeight="1" x14ac:dyDescent="0.25">
      <c r="M3763"/>
      <c r="N3763"/>
      <c r="O3763"/>
      <c r="P3763" s="216"/>
      <c r="Q3763" s="217"/>
      <c r="R3763" s="217"/>
      <c r="S3763" s="218"/>
    </row>
    <row r="3764" spans="13:19" ht="15" customHeight="1" x14ac:dyDescent="0.25">
      <c r="M3764"/>
      <c r="N3764"/>
      <c r="O3764"/>
      <c r="P3764" s="216"/>
      <c r="Q3764" s="217"/>
      <c r="R3764" s="217"/>
      <c r="S3764" s="218"/>
    </row>
    <row r="3765" spans="13:19" ht="15" customHeight="1" x14ac:dyDescent="0.25">
      <c r="M3765"/>
      <c r="N3765"/>
      <c r="O3765"/>
      <c r="P3765" s="216"/>
      <c r="Q3765" s="217"/>
      <c r="R3765" s="217"/>
      <c r="S3765" s="218"/>
    </row>
    <row r="3766" spans="13:19" ht="15" customHeight="1" x14ac:dyDescent="0.25">
      <c r="M3766"/>
      <c r="N3766"/>
      <c r="O3766"/>
      <c r="P3766" s="216"/>
      <c r="Q3766" s="217"/>
      <c r="R3766" s="217"/>
      <c r="S3766" s="218"/>
    </row>
    <row r="3767" spans="13:19" ht="15" customHeight="1" x14ac:dyDescent="0.25">
      <c r="M3767"/>
      <c r="N3767"/>
      <c r="O3767"/>
      <c r="P3767" s="216"/>
      <c r="Q3767" s="217"/>
      <c r="R3767" s="217"/>
      <c r="S3767" s="218"/>
    </row>
    <row r="3768" spans="13:19" ht="15" customHeight="1" x14ac:dyDescent="0.25">
      <c r="M3768"/>
      <c r="N3768"/>
      <c r="O3768"/>
      <c r="P3768" s="216"/>
      <c r="Q3768" s="217"/>
      <c r="R3768" s="217"/>
      <c r="S3768" s="218"/>
    </row>
    <row r="3769" spans="13:19" ht="15" customHeight="1" x14ac:dyDescent="0.25">
      <c r="M3769"/>
      <c r="N3769"/>
      <c r="O3769"/>
      <c r="P3769" s="216"/>
      <c r="Q3769" s="217"/>
      <c r="R3769" s="217"/>
      <c r="S3769" s="218"/>
    </row>
    <row r="3770" spans="13:19" ht="15" customHeight="1" x14ac:dyDescent="0.25">
      <c r="M3770"/>
      <c r="N3770"/>
      <c r="O3770"/>
      <c r="P3770" s="216"/>
      <c r="Q3770" s="217"/>
      <c r="R3770" s="217"/>
      <c r="S3770" s="218"/>
    </row>
    <row r="3771" spans="13:19" ht="15" customHeight="1" x14ac:dyDescent="0.25">
      <c r="M3771"/>
      <c r="N3771"/>
      <c r="O3771"/>
      <c r="P3771" s="216"/>
      <c r="Q3771" s="217"/>
      <c r="R3771" s="217"/>
      <c r="S3771" s="218"/>
    </row>
    <row r="3772" spans="13:19" ht="15" customHeight="1" x14ac:dyDescent="0.25">
      <c r="M3772"/>
      <c r="N3772"/>
      <c r="O3772"/>
      <c r="P3772" s="216"/>
      <c r="Q3772" s="217"/>
      <c r="R3772" s="217"/>
      <c r="S3772" s="218"/>
    </row>
    <row r="3773" spans="13:19" ht="15" customHeight="1" x14ac:dyDescent="0.25">
      <c r="M3773"/>
      <c r="N3773"/>
      <c r="O3773"/>
      <c r="P3773" s="216"/>
      <c r="Q3773" s="217"/>
      <c r="R3773" s="217"/>
      <c r="S3773" s="218"/>
    </row>
    <row r="3774" spans="13:19" ht="15" customHeight="1" x14ac:dyDescent="0.25">
      <c r="M3774"/>
      <c r="N3774"/>
      <c r="O3774"/>
      <c r="P3774" s="216"/>
      <c r="Q3774" s="217"/>
      <c r="R3774" s="217"/>
      <c r="S3774" s="218"/>
    </row>
    <row r="3775" spans="13:19" ht="15" customHeight="1" x14ac:dyDescent="0.25">
      <c r="M3775"/>
      <c r="N3775"/>
      <c r="O3775"/>
      <c r="P3775" s="216"/>
      <c r="Q3775" s="217"/>
      <c r="R3775" s="217"/>
      <c r="S3775" s="218"/>
    </row>
    <row r="3776" spans="13:19" ht="15" customHeight="1" x14ac:dyDescent="0.25">
      <c r="M3776"/>
      <c r="N3776"/>
      <c r="O3776"/>
      <c r="P3776" s="216"/>
      <c r="Q3776" s="217"/>
      <c r="R3776" s="217"/>
      <c r="S3776" s="218"/>
    </row>
    <row r="3777" spans="13:19" ht="15" customHeight="1" x14ac:dyDescent="0.25">
      <c r="M3777"/>
      <c r="N3777"/>
      <c r="O3777"/>
      <c r="P3777" s="216"/>
      <c r="Q3777" s="217"/>
      <c r="R3777" s="217"/>
      <c r="S3777" s="218"/>
    </row>
    <row r="3778" spans="13:19" ht="15" customHeight="1" x14ac:dyDescent="0.25">
      <c r="M3778"/>
      <c r="N3778"/>
      <c r="O3778"/>
      <c r="P3778" s="216"/>
      <c r="Q3778" s="217"/>
      <c r="R3778" s="217"/>
      <c r="S3778" s="218"/>
    </row>
    <row r="3779" spans="13:19" ht="15" customHeight="1" x14ac:dyDescent="0.25">
      <c r="M3779"/>
      <c r="N3779"/>
      <c r="O3779"/>
      <c r="P3779" s="216"/>
      <c r="Q3779" s="217"/>
      <c r="R3779" s="217"/>
      <c r="S3779" s="218"/>
    </row>
    <row r="3780" spans="13:19" ht="15" customHeight="1" x14ac:dyDescent="0.25">
      <c r="M3780"/>
      <c r="N3780"/>
      <c r="O3780"/>
      <c r="P3780" s="216"/>
      <c r="Q3780" s="217"/>
      <c r="R3780" s="217"/>
      <c r="S3780" s="218"/>
    </row>
    <row r="3781" spans="13:19" ht="15" customHeight="1" x14ac:dyDescent="0.25">
      <c r="M3781"/>
      <c r="N3781"/>
      <c r="O3781"/>
      <c r="P3781" s="216"/>
      <c r="Q3781" s="217"/>
      <c r="R3781" s="217"/>
      <c r="S3781" s="218"/>
    </row>
    <row r="3782" spans="13:19" ht="15" customHeight="1" x14ac:dyDescent="0.25">
      <c r="M3782"/>
      <c r="N3782"/>
      <c r="O3782"/>
      <c r="P3782" s="216"/>
      <c r="Q3782" s="217"/>
      <c r="R3782" s="217"/>
      <c r="S3782" s="218"/>
    </row>
    <row r="3783" spans="13:19" ht="15" customHeight="1" x14ac:dyDescent="0.25">
      <c r="M3783"/>
      <c r="N3783"/>
      <c r="O3783"/>
      <c r="P3783" s="216"/>
      <c r="Q3783" s="217"/>
      <c r="R3783" s="217"/>
      <c r="S3783" s="218"/>
    </row>
    <row r="3784" spans="13:19" ht="15" customHeight="1" x14ac:dyDescent="0.25">
      <c r="M3784"/>
      <c r="N3784"/>
      <c r="O3784"/>
      <c r="P3784" s="216"/>
      <c r="Q3784" s="217"/>
      <c r="R3784" s="217"/>
      <c r="S3784" s="218"/>
    </row>
    <row r="3785" spans="13:19" ht="15" customHeight="1" x14ac:dyDescent="0.25">
      <c r="M3785"/>
      <c r="N3785"/>
      <c r="O3785"/>
      <c r="P3785" s="216"/>
      <c r="Q3785" s="217"/>
      <c r="R3785" s="217"/>
      <c r="S3785" s="218"/>
    </row>
    <row r="3786" spans="13:19" ht="15" customHeight="1" x14ac:dyDescent="0.25">
      <c r="M3786"/>
      <c r="N3786"/>
      <c r="O3786"/>
      <c r="P3786" s="216"/>
      <c r="Q3786" s="217"/>
      <c r="R3786" s="217"/>
      <c r="S3786" s="218"/>
    </row>
    <row r="3787" spans="13:19" ht="15" customHeight="1" x14ac:dyDescent="0.25">
      <c r="M3787"/>
      <c r="N3787"/>
      <c r="O3787"/>
      <c r="P3787" s="216"/>
      <c r="Q3787" s="217"/>
      <c r="R3787" s="217"/>
      <c r="S3787" s="218"/>
    </row>
    <row r="3788" spans="13:19" ht="15" customHeight="1" x14ac:dyDescent="0.25">
      <c r="M3788"/>
      <c r="N3788"/>
      <c r="O3788"/>
      <c r="P3788" s="216"/>
      <c r="Q3788" s="217"/>
      <c r="R3788" s="217"/>
      <c r="S3788" s="218"/>
    </row>
    <row r="3789" spans="13:19" ht="15" customHeight="1" x14ac:dyDescent="0.25">
      <c r="M3789"/>
      <c r="N3789"/>
      <c r="O3789"/>
      <c r="P3789" s="216"/>
      <c r="Q3789" s="217"/>
      <c r="R3789" s="217"/>
      <c r="S3789" s="218"/>
    </row>
    <row r="3790" spans="13:19" ht="15" customHeight="1" x14ac:dyDescent="0.25">
      <c r="M3790"/>
      <c r="N3790"/>
      <c r="O3790"/>
      <c r="P3790" s="216"/>
      <c r="Q3790" s="217"/>
      <c r="R3790" s="217"/>
      <c r="S3790" s="218"/>
    </row>
    <row r="3791" spans="13:19" ht="15" customHeight="1" x14ac:dyDescent="0.25">
      <c r="M3791"/>
      <c r="N3791"/>
      <c r="O3791"/>
      <c r="P3791" s="216"/>
      <c r="Q3791" s="217"/>
      <c r="R3791" s="217"/>
      <c r="S3791" s="218"/>
    </row>
    <row r="3792" spans="13:19" ht="15" customHeight="1" x14ac:dyDescent="0.25">
      <c r="M3792"/>
      <c r="N3792"/>
      <c r="O3792"/>
      <c r="P3792" s="216"/>
      <c r="Q3792" s="217"/>
      <c r="R3792" s="217"/>
      <c r="S3792" s="218"/>
    </row>
    <row r="3793" spans="13:19" ht="15" customHeight="1" x14ac:dyDescent="0.25">
      <c r="M3793"/>
      <c r="N3793"/>
      <c r="O3793"/>
      <c r="P3793" s="216"/>
      <c r="Q3793" s="217"/>
      <c r="R3793" s="217"/>
      <c r="S3793" s="218"/>
    </row>
    <row r="3794" spans="13:19" ht="15" customHeight="1" x14ac:dyDescent="0.25">
      <c r="M3794"/>
      <c r="N3794"/>
      <c r="O3794"/>
      <c r="P3794" s="216"/>
      <c r="Q3794" s="217"/>
      <c r="R3794" s="217"/>
      <c r="S3794" s="218"/>
    </row>
    <row r="3795" spans="13:19" ht="15" customHeight="1" x14ac:dyDescent="0.25">
      <c r="M3795"/>
      <c r="N3795"/>
      <c r="O3795"/>
      <c r="P3795" s="216"/>
      <c r="Q3795" s="217"/>
      <c r="R3795" s="217"/>
      <c r="S3795" s="218"/>
    </row>
    <row r="3796" spans="13:19" ht="15" customHeight="1" x14ac:dyDescent="0.25">
      <c r="M3796"/>
      <c r="N3796"/>
      <c r="O3796"/>
      <c r="P3796" s="216"/>
      <c r="Q3796" s="217"/>
      <c r="R3796" s="217"/>
      <c r="S3796" s="218"/>
    </row>
    <row r="3797" spans="13:19" ht="15" customHeight="1" x14ac:dyDescent="0.25">
      <c r="M3797"/>
      <c r="N3797"/>
      <c r="O3797"/>
      <c r="P3797" s="216"/>
      <c r="Q3797" s="217"/>
      <c r="R3797" s="217"/>
      <c r="S3797" s="218"/>
    </row>
    <row r="3798" spans="13:19" ht="15" customHeight="1" x14ac:dyDescent="0.25">
      <c r="M3798"/>
      <c r="N3798"/>
      <c r="O3798"/>
      <c r="P3798" s="216"/>
      <c r="Q3798" s="217"/>
      <c r="R3798" s="217"/>
      <c r="S3798" s="218"/>
    </row>
    <row r="3799" spans="13:19" ht="15" customHeight="1" x14ac:dyDescent="0.25">
      <c r="M3799"/>
      <c r="N3799"/>
      <c r="O3799"/>
      <c r="P3799" s="216"/>
      <c r="Q3799" s="217"/>
      <c r="R3799" s="217"/>
      <c r="S3799" s="218"/>
    </row>
    <row r="3800" spans="13:19" ht="15" customHeight="1" x14ac:dyDescent="0.25">
      <c r="M3800"/>
      <c r="N3800"/>
      <c r="O3800"/>
      <c r="P3800" s="216"/>
      <c r="Q3800" s="217"/>
      <c r="R3800" s="217"/>
      <c r="S3800" s="218"/>
    </row>
    <row r="3801" spans="13:19" ht="15" customHeight="1" x14ac:dyDescent="0.25">
      <c r="M3801"/>
      <c r="N3801"/>
      <c r="O3801"/>
      <c r="P3801" s="216"/>
      <c r="Q3801" s="217"/>
      <c r="R3801" s="217"/>
      <c r="S3801" s="218"/>
    </row>
    <row r="3802" spans="13:19" ht="15" customHeight="1" x14ac:dyDescent="0.25">
      <c r="M3802"/>
      <c r="N3802"/>
      <c r="O3802"/>
      <c r="P3802" s="216"/>
      <c r="Q3802" s="217"/>
      <c r="R3802" s="217"/>
      <c r="S3802" s="218"/>
    </row>
    <row r="3803" spans="13:19" ht="15" customHeight="1" x14ac:dyDescent="0.25">
      <c r="M3803"/>
      <c r="N3803"/>
      <c r="O3803"/>
      <c r="P3803" s="216"/>
      <c r="Q3803" s="217"/>
      <c r="R3803" s="217"/>
      <c r="S3803" s="218"/>
    </row>
    <row r="3804" spans="13:19" ht="15" customHeight="1" x14ac:dyDescent="0.25">
      <c r="M3804"/>
      <c r="N3804"/>
      <c r="O3804"/>
      <c r="P3804" s="216"/>
      <c r="Q3804" s="217"/>
      <c r="R3804" s="217"/>
      <c r="S3804" s="218"/>
    </row>
    <row r="3805" spans="13:19" ht="15" customHeight="1" x14ac:dyDescent="0.25">
      <c r="M3805"/>
      <c r="N3805"/>
      <c r="O3805"/>
      <c r="P3805" s="216"/>
      <c r="Q3805" s="217"/>
      <c r="R3805" s="217"/>
      <c r="S3805" s="218"/>
    </row>
    <row r="3806" spans="13:19" ht="15" customHeight="1" x14ac:dyDescent="0.25">
      <c r="M3806"/>
      <c r="N3806"/>
      <c r="O3806"/>
      <c r="P3806" s="216"/>
      <c r="Q3806" s="217"/>
      <c r="R3806" s="217"/>
      <c r="S3806" s="218"/>
    </row>
    <row r="3807" spans="13:19" ht="15" customHeight="1" x14ac:dyDescent="0.25">
      <c r="M3807"/>
      <c r="N3807"/>
      <c r="O3807"/>
      <c r="P3807" s="216"/>
      <c r="Q3807" s="217"/>
      <c r="R3807" s="217"/>
      <c r="S3807" s="218"/>
    </row>
    <row r="3808" spans="13:19" ht="15" customHeight="1" x14ac:dyDescent="0.25">
      <c r="M3808"/>
      <c r="N3808"/>
      <c r="O3808"/>
      <c r="P3808" s="216"/>
      <c r="Q3808" s="217"/>
      <c r="R3808" s="217"/>
      <c r="S3808" s="218"/>
    </row>
    <row r="3809" spans="13:19" ht="15" customHeight="1" x14ac:dyDescent="0.25">
      <c r="M3809"/>
      <c r="N3809"/>
      <c r="O3809"/>
      <c r="P3809" s="216"/>
      <c r="Q3809" s="217"/>
      <c r="R3809" s="217"/>
      <c r="S3809" s="218"/>
    </row>
    <row r="3810" spans="13:19" ht="15" customHeight="1" x14ac:dyDescent="0.25">
      <c r="M3810"/>
      <c r="N3810"/>
      <c r="O3810"/>
      <c r="P3810" s="216"/>
      <c r="Q3810" s="217"/>
      <c r="R3810" s="217"/>
      <c r="S3810" s="218"/>
    </row>
    <row r="3811" spans="13:19" ht="15" customHeight="1" x14ac:dyDescent="0.25">
      <c r="M3811"/>
      <c r="N3811"/>
      <c r="O3811"/>
      <c r="P3811" s="216"/>
      <c r="Q3811" s="217"/>
      <c r="R3811" s="217"/>
      <c r="S3811" s="218"/>
    </row>
    <row r="3812" spans="13:19" ht="15" customHeight="1" x14ac:dyDescent="0.25">
      <c r="M3812"/>
      <c r="N3812"/>
      <c r="O3812"/>
      <c r="P3812" s="216"/>
      <c r="Q3812" s="217"/>
      <c r="R3812" s="217"/>
      <c r="S3812" s="218"/>
    </row>
    <row r="3813" spans="13:19" ht="15" customHeight="1" x14ac:dyDescent="0.25">
      <c r="M3813"/>
      <c r="N3813"/>
      <c r="O3813"/>
      <c r="P3813" s="216"/>
      <c r="Q3813" s="217"/>
      <c r="R3813" s="217"/>
      <c r="S3813" s="218"/>
    </row>
    <row r="3814" spans="13:19" ht="15" customHeight="1" x14ac:dyDescent="0.25">
      <c r="M3814"/>
      <c r="N3814"/>
      <c r="O3814"/>
      <c r="P3814" s="216"/>
      <c r="Q3814" s="217"/>
      <c r="R3814" s="217"/>
      <c r="S3814" s="218"/>
    </row>
    <row r="3815" spans="13:19" ht="15" customHeight="1" x14ac:dyDescent="0.25">
      <c r="M3815"/>
      <c r="N3815"/>
      <c r="O3815"/>
      <c r="P3815" s="216"/>
      <c r="Q3815" s="217"/>
      <c r="R3815" s="217"/>
      <c r="S3815" s="218"/>
    </row>
    <row r="3816" spans="13:19" ht="15" customHeight="1" x14ac:dyDescent="0.25">
      <c r="M3816"/>
      <c r="N3816"/>
      <c r="O3816"/>
      <c r="P3816" s="216"/>
      <c r="Q3816" s="217"/>
      <c r="R3816" s="217"/>
      <c r="S3816" s="218"/>
    </row>
    <row r="3817" spans="13:19" ht="15" customHeight="1" x14ac:dyDescent="0.25">
      <c r="M3817"/>
      <c r="N3817"/>
      <c r="O3817"/>
      <c r="P3817" s="216"/>
      <c r="Q3817" s="217"/>
      <c r="R3817" s="217"/>
      <c r="S3817" s="218"/>
    </row>
    <row r="3818" spans="13:19" ht="15" customHeight="1" x14ac:dyDescent="0.25">
      <c r="M3818"/>
      <c r="N3818"/>
      <c r="O3818"/>
      <c r="P3818" s="216"/>
      <c r="Q3818" s="217"/>
      <c r="R3818" s="217"/>
      <c r="S3818" s="218"/>
    </row>
    <row r="3819" spans="13:19" ht="15" customHeight="1" x14ac:dyDescent="0.25">
      <c r="M3819"/>
      <c r="N3819"/>
      <c r="O3819"/>
      <c r="P3819" s="216"/>
      <c r="Q3819" s="217"/>
      <c r="R3819" s="217"/>
      <c r="S3819" s="218"/>
    </row>
    <row r="3820" spans="13:19" ht="15" customHeight="1" x14ac:dyDescent="0.25">
      <c r="M3820"/>
      <c r="N3820"/>
      <c r="O3820"/>
      <c r="P3820" s="216"/>
      <c r="Q3820" s="217"/>
      <c r="R3820" s="217"/>
      <c r="S3820" s="218"/>
    </row>
    <row r="3821" spans="13:19" ht="15" customHeight="1" x14ac:dyDescent="0.25">
      <c r="M3821"/>
      <c r="N3821"/>
      <c r="O3821"/>
      <c r="P3821" s="216"/>
      <c r="Q3821" s="217"/>
      <c r="R3821" s="217"/>
      <c r="S3821" s="218"/>
    </row>
    <row r="3822" spans="13:19" ht="15" customHeight="1" x14ac:dyDescent="0.25">
      <c r="M3822"/>
      <c r="N3822"/>
      <c r="O3822"/>
      <c r="P3822" s="216"/>
      <c r="Q3822" s="217"/>
      <c r="R3822" s="217"/>
      <c r="S3822" s="218"/>
    </row>
    <row r="3823" spans="13:19" ht="15" customHeight="1" x14ac:dyDescent="0.25">
      <c r="M3823"/>
      <c r="N3823"/>
      <c r="O3823"/>
      <c r="P3823" s="216"/>
      <c r="Q3823" s="217"/>
      <c r="R3823" s="217"/>
      <c r="S3823" s="218"/>
    </row>
    <row r="3824" spans="13:19" ht="15" customHeight="1" x14ac:dyDescent="0.25">
      <c r="M3824"/>
      <c r="N3824"/>
      <c r="O3824"/>
      <c r="P3824" s="216"/>
      <c r="Q3824" s="217"/>
      <c r="R3824" s="217"/>
      <c r="S3824" s="218"/>
    </row>
    <row r="3825" spans="13:19" ht="15" customHeight="1" x14ac:dyDescent="0.25">
      <c r="M3825"/>
      <c r="N3825"/>
      <c r="O3825"/>
      <c r="P3825" s="216"/>
      <c r="Q3825" s="217"/>
      <c r="R3825" s="217"/>
      <c r="S3825" s="218"/>
    </row>
    <row r="3826" spans="13:19" ht="15" customHeight="1" x14ac:dyDescent="0.25">
      <c r="M3826"/>
      <c r="N3826"/>
      <c r="O3826"/>
      <c r="P3826" s="216"/>
      <c r="Q3826" s="217"/>
      <c r="R3826" s="217"/>
      <c r="S3826" s="218"/>
    </row>
    <row r="3827" spans="13:19" ht="15" customHeight="1" x14ac:dyDescent="0.25">
      <c r="M3827"/>
      <c r="N3827"/>
      <c r="O3827"/>
      <c r="P3827" s="216"/>
      <c r="Q3827" s="217"/>
      <c r="R3827" s="217"/>
      <c r="S3827" s="218"/>
    </row>
    <row r="3828" spans="13:19" ht="15" customHeight="1" x14ac:dyDescent="0.25">
      <c r="M3828"/>
      <c r="N3828"/>
      <c r="O3828"/>
      <c r="P3828" s="216"/>
      <c r="Q3828" s="217"/>
      <c r="R3828" s="217"/>
      <c r="S3828" s="218"/>
    </row>
    <row r="3829" spans="13:19" ht="15" customHeight="1" x14ac:dyDescent="0.25">
      <c r="M3829"/>
      <c r="N3829"/>
      <c r="O3829"/>
      <c r="P3829" s="216"/>
      <c r="Q3829" s="217"/>
      <c r="R3829" s="217"/>
      <c r="S3829" s="218"/>
    </row>
    <row r="3830" spans="13:19" ht="15" customHeight="1" x14ac:dyDescent="0.25">
      <c r="M3830"/>
      <c r="N3830"/>
      <c r="O3830"/>
      <c r="P3830" s="216"/>
      <c r="Q3830" s="217"/>
      <c r="R3830" s="217"/>
      <c r="S3830" s="218"/>
    </row>
    <row r="3831" spans="13:19" ht="15" customHeight="1" x14ac:dyDescent="0.25">
      <c r="M3831"/>
      <c r="N3831"/>
      <c r="O3831"/>
      <c r="P3831" s="216"/>
      <c r="Q3831" s="217"/>
      <c r="R3831" s="217"/>
      <c r="S3831" s="218"/>
    </row>
    <row r="3832" spans="13:19" ht="15" customHeight="1" x14ac:dyDescent="0.25">
      <c r="M3832"/>
      <c r="N3832"/>
      <c r="O3832"/>
      <c r="P3832" s="216"/>
      <c r="Q3832" s="217"/>
      <c r="R3832" s="217"/>
      <c r="S3832" s="218"/>
    </row>
    <row r="3833" spans="13:19" ht="15" customHeight="1" x14ac:dyDescent="0.25">
      <c r="M3833"/>
      <c r="N3833"/>
      <c r="O3833"/>
      <c r="P3833" s="216"/>
      <c r="Q3833" s="217"/>
      <c r="R3833" s="217"/>
      <c r="S3833" s="218"/>
    </row>
    <row r="3834" spans="13:19" ht="15" customHeight="1" x14ac:dyDescent="0.25">
      <c r="M3834"/>
      <c r="N3834"/>
      <c r="O3834"/>
      <c r="P3834" s="216"/>
      <c r="Q3834" s="217"/>
      <c r="R3834" s="217"/>
      <c r="S3834" s="218"/>
    </row>
    <row r="3835" spans="13:19" ht="15" customHeight="1" x14ac:dyDescent="0.25">
      <c r="M3835"/>
      <c r="N3835"/>
      <c r="O3835"/>
      <c r="P3835" s="216"/>
      <c r="Q3835" s="217"/>
      <c r="R3835" s="217"/>
      <c r="S3835" s="218"/>
    </row>
    <row r="3836" spans="13:19" ht="15" customHeight="1" x14ac:dyDescent="0.25">
      <c r="M3836"/>
      <c r="N3836"/>
      <c r="O3836"/>
      <c r="P3836" s="216"/>
      <c r="Q3836" s="217"/>
      <c r="R3836" s="217"/>
      <c r="S3836" s="218"/>
    </row>
    <row r="3837" spans="13:19" ht="15" customHeight="1" x14ac:dyDescent="0.25">
      <c r="M3837"/>
      <c r="N3837"/>
      <c r="O3837"/>
      <c r="P3837" s="216"/>
      <c r="Q3837" s="217"/>
      <c r="R3837" s="217"/>
      <c r="S3837" s="218"/>
    </row>
    <row r="3838" spans="13:19" ht="15" customHeight="1" x14ac:dyDescent="0.25">
      <c r="M3838"/>
      <c r="N3838"/>
      <c r="O3838"/>
      <c r="P3838" s="216"/>
      <c r="Q3838" s="217"/>
      <c r="R3838" s="217"/>
      <c r="S3838" s="218"/>
    </row>
    <row r="3839" spans="13:19" ht="15" customHeight="1" x14ac:dyDescent="0.25">
      <c r="M3839"/>
      <c r="N3839"/>
      <c r="O3839"/>
      <c r="P3839" s="216"/>
      <c r="Q3839" s="217"/>
      <c r="R3839" s="217"/>
      <c r="S3839" s="218"/>
    </row>
    <row r="3840" spans="13:19" ht="15" customHeight="1" x14ac:dyDescent="0.25">
      <c r="M3840"/>
      <c r="N3840"/>
      <c r="O3840"/>
      <c r="P3840" s="216"/>
      <c r="Q3840" s="217"/>
      <c r="R3840" s="217"/>
      <c r="S3840" s="218"/>
    </row>
    <row r="3841" spans="13:19" ht="15" customHeight="1" x14ac:dyDescent="0.25">
      <c r="M3841"/>
      <c r="N3841"/>
      <c r="O3841"/>
      <c r="P3841" s="216"/>
      <c r="Q3841" s="217"/>
      <c r="R3841" s="217"/>
      <c r="S3841" s="218"/>
    </row>
    <row r="3842" spans="13:19" ht="15" customHeight="1" x14ac:dyDescent="0.25">
      <c r="M3842"/>
      <c r="N3842"/>
      <c r="O3842"/>
      <c r="P3842" s="216"/>
      <c r="Q3842" s="217"/>
      <c r="R3842" s="217"/>
      <c r="S3842" s="218"/>
    </row>
    <row r="3843" spans="13:19" ht="15" customHeight="1" x14ac:dyDescent="0.25">
      <c r="M3843"/>
      <c r="N3843"/>
      <c r="O3843"/>
      <c r="P3843" s="216"/>
      <c r="Q3843" s="217"/>
      <c r="R3843" s="217"/>
      <c r="S3843" s="218"/>
    </row>
    <row r="3844" spans="13:19" ht="15" customHeight="1" x14ac:dyDescent="0.25">
      <c r="M3844"/>
      <c r="N3844"/>
      <c r="O3844"/>
      <c r="P3844" s="216"/>
      <c r="Q3844" s="217"/>
      <c r="R3844" s="217"/>
      <c r="S3844" s="218"/>
    </row>
    <row r="3845" spans="13:19" ht="15" customHeight="1" x14ac:dyDescent="0.25">
      <c r="M3845"/>
      <c r="N3845"/>
      <c r="O3845"/>
      <c r="P3845" s="216"/>
      <c r="Q3845" s="217"/>
      <c r="R3845" s="217"/>
      <c r="S3845" s="218"/>
    </row>
    <row r="3846" spans="13:19" ht="15" customHeight="1" x14ac:dyDescent="0.25">
      <c r="M3846"/>
      <c r="N3846"/>
      <c r="O3846"/>
      <c r="P3846" s="216"/>
      <c r="Q3846" s="217"/>
      <c r="R3846" s="217"/>
      <c r="S3846" s="218"/>
    </row>
    <row r="3847" spans="13:19" ht="15" customHeight="1" x14ac:dyDescent="0.25">
      <c r="M3847"/>
      <c r="N3847"/>
      <c r="O3847"/>
      <c r="P3847" s="216"/>
      <c r="Q3847" s="217"/>
      <c r="R3847" s="217"/>
      <c r="S3847" s="218"/>
    </row>
    <row r="3848" spans="13:19" ht="15" customHeight="1" x14ac:dyDescent="0.25">
      <c r="M3848"/>
      <c r="N3848"/>
      <c r="O3848"/>
      <c r="P3848" s="216"/>
      <c r="Q3848" s="217"/>
      <c r="R3848" s="217"/>
      <c r="S3848" s="218"/>
    </row>
    <row r="3849" spans="13:19" ht="15" customHeight="1" x14ac:dyDescent="0.25">
      <c r="M3849"/>
      <c r="N3849"/>
      <c r="O3849"/>
      <c r="P3849" s="216"/>
      <c r="Q3849" s="217"/>
      <c r="R3849" s="217"/>
      <c r="S3849" s="218"/>
    </row>
    <row r="3850" spans="13:19" ht="15" customHeight="1" x14ac:dyDescent="0.25">
      <c r="M3850"/>
      <c r="N3850"/>
      <c r="O3850"/>
      <c r="P3850" s="216"/>
      <c r="Q3850" s="217"/>
      <c r="R3850" s="217"/>
      <c r="S3850" s="218"/>
    </row>
    <row r="3851" spans="13:19" ht="15" customHeight="1" x14ac:dyDescent="0.25">
      <c r="M3851"/>
      <c r="N3851"/>
      <c r="O3851"/>
      <c r="P3851" s="216"/>
      <c r="Q3851" s="217"/>
      <c r="R3851" s="217"/>
      <c r="S3851" s="218"/>
    </row>
    <row r="3852" spans="13:19" ht="15" customHeight="1" x14ac:dyDescent="0.25">
      <c r="M3852"/>
      <c r="N3852"/>
      <c r="O3852"/>
      <c r="P3852" s="216"/>
      <c r="Q3852" s="217"/>
      <c r="R3852" s="217"/>
      <c r="S3852" s="218"/>
    </row>
    <row r="3853" spans="13:19" ht="15" customHeight="1" x14ac:dyDescent="0.25">
      <c r="M3853"/>
      <c r="N3853"/>
      <c r="O3853"/>
      <c r="P3853" s="216"/>
      <c r="Q3853" s="217"/>
      <c r="R3853" s="217"/>
      <c r="S3853" s="218"/>
    </row>
    <row r="3854" spans="13:19" ht="15" customHeight="1" x14ac:dyDescent="0.25">
      <c r="M3854"/>
      <c r="N3854"/>
      <c r="O3854"/>
      <c r="P3854" s="216"/>
      <c r="Q3854" s="217"/>
      <c r="R3854" s="217"/>
      <c r="S3854" s="218"/>
    </row>
    <row r="3855" spans="13:19" ht="15" customHeight="1" x14ac:dyDescent="0.25">
      <c r="M3855"/>
      <c r="N3855"/>
      <c r="O3855"/>
      <c r="P3855" s="216"/>
      <c r="Q3855" s="217"/>
      <c r="R3855" s="217"/>
      <c r="S3855" s="218"/>
    </row>
    <row r="3856" spans="13:19" ht="15" customHeight="1" x14ac:dyDescent="0.25">
      <c r="M3856"/>
      <c r="N3856"/>
      <c r="O3856"/>
      <c r="P3856" s="216"/>
      <c r="Q3856" s="217"/>
      <c r="R3856" s="217"/>
      <c r="S3856" s="218"/>
    </row>
    <row r="3857" spans="13:19" ht="15" customHeight="1" x14ac:dyDescent="0.25">
      <c r="M3857"/>
      <c r="N3857"/>
      <c r="O3857"/>
      <c r="P3857" s="216"/>
      <c r="Q3857" s="217"/>
      <c r="R3857" s="217"/>
      <c r="S3857" s="218"/>
    </row>
    <row r="3858" spans="13:19" ht="15" customHeight="1" x14ac:dyDescent="0.25">
      <c r="M3858"/>
      <c r="N3858"/>
      <c r="O3858"/>
      <c r="P3858" s="216"/>
      <c r="Q3858" s="217"/>
      <c r="R3858" s="217"/>
      <c r="S3858" s="218"/>
    </row>
    <row r="3859" spans="13:19" ht="15" customHeight="1" x14ac:dyDescent="0.25">
      <c r="M3859"/>
      <c r="N3859"/>
      <c r="O3859"/>
      <c r="P3859" s="216"/>
      <c r="Q3859" s="217"/>
      <c r="R3859" s="217"/>
      <c r="S3859" s="218"/>
    </row>
    <row r="3860" spans="13:19" ht="15" customHeight="1" x14ac:dyDescent="0.25">
      <c r="M3860"/>
      <c r="N3860"/>
      <c r="O3860"/>
      <c r="P3860" s="216"/>
      <c r="Q3860" s="217"/>
      <c r="R3860" s="217"/>
      <c r="S3860" s="218"/>
    </row>
    <row r="3861" spans="13:19" ht="15" customHeight="1" x14ac:dyDescent="0.25">
      <c r="M3861"/>
      <c r="N3861"/>
      <c r="O3861"/>
      <c r="P3861" s="216"/>
      <c r="Q3861" s="217"/>
      <c r="R3861" s="217"/>
      <c r="S3861" s="218"/>
    </row>
    <row r="3862" spans="13:19" ht="15" customHeight="1" x14ac:dyDescent="0.25">
      <c r="M3862"/>
      <c r="N3862"/>
      <c r="O3862"/>
      <c r="P3862" s="216"/>
      <c r="Q3862" s="217"/>
      <c r="R3862" s="217"/>
      <c r="S3862" s="218"/>
    </row>
    <row r="3863" spans="13:19" ht="15" customHeight="1" x14ac:dyDescent="0.25">
      <c r="M3863"/>
      <c r="N3863"/>
      <c r="O3863"/>
      <c r="P3863" s="216"/>
      <c r="Q3863" s="217"/>
      <c r="R3863" s="217"/>
      <c r="S3863" s="218"/>
    </row>
    <row r="3864" spans="13:19" ht="15" customHeight="1" x14ac:dyDescent="0.25">
      <c r="M3864"/>
      <c r="N3864"/>
      <c r="O3864"/>
      <c r="P3864" s="216"/>
      <c r="Q3864" s="217"/>
      <c r="R3864" s="217"/>
      <c r="S3864" s="218"/>
    </row>
    <row r="3865" spans="13:19" ht="15" customHeight="1" x14ac:dyDescent="0.25">
      <c r="M3865"/>
      <c r="N3865"/>
      <c r="O3865"/>
      <c r="P3865" s="216"/>
      <c r="Q3865" s="217"/>
      <c r="R3865" s="217"/>
      <c r="S3865" s="218"/>
    </row>
    <row r="3866" spans="13:19" ht="15" customHeight="1" x14ac:dyDescent="0.25">
      <c r="M3866"/>
      <c r="N3866"/>
      <c r="O3866"/>
      <c r="P3866" s="216"/>
      <c r="Q3866" s="217"/>
      <c r="R3866" s="217"/>
      <c r="S3866" s="218"/>
    </row>
    <row r="3867" spans="13:19" ht="15" customHeight="1" x14ac:dyDescent="0.25">
      <c r="M3867"/>
      <c r="N3867"/>
      <c r="O3867"/>
      <c r="P3867" s="216"/>
      <c r="Q3867" s="217"/>
      <c r="R3867" s="217"/>
      <c r="S3867" s="218"/>
    </row>
    <row r="3868" spans="13:19" ht="15" customHeight="1" x14ac:dyDescent="0.25">
      <c r="M3868"/>
      <c r="N3868"/>
      <c r="O3868"/>
      <c r="P3868" s="216"/>
      <c r="Q3868" s="217"/>
      <c r="R3868" s="217"/>
      <c r="S3868" s="218"/>
    </row>
    <row r="3869" spans="13:19" ht="15" customHeight="1" x14ac:dyDescent="0.25">
      <c r="M3869"/>
      <c r="N3869"/>
      <c r="O3869"/>
      <c r="P3869" s="216"/>
      <c r="Q3869" s="217"/>
      <c r="R3869" s="217"/>
      <c r="S3869" s="218"/>
    </row>
    <row r="3870" spans="13:19" ht="15" customHeight="1" x14ac:dyDescent="0.25">
      <c r="M3870"/>
      <c r="N3870"/>
      <c r="O3870"/>
      <c r="P3870" s="216"/>
      <c r="Q3870" s="217"/>
      <c r="R3870" s="217"/>
      <c r="S3870" s="218"/>
    </row>
    <row r="3871" spans="13:19" ht="15" customHeight="1" x14ac:dyDescent="0.25">
      <c r="M3871"/>
      <c r="N3871"/>
      <c r="O3871"/>
      <c r="P3871" s="216"/>
      <c r="Q3871" s="217"/>
      <c r="R3871" s="217"/>
      <c r="S3871" s="218"/>
    </row>
    <row r="3872" spans="13:19" ht="15" customHeight="1" x14ac:dyDescent="0.25">
      <c r="M3872"/>
      <c r="N3872"/>
      <c r="O3872"/>
      <c r="P3872" s="216"/>
      <c r="Q3872" s="217"/>
      <c r="R3872" s="217"/>
      <c r="S3872" s="218"/>
    </row>
    <row r="3873" spans="13:19" ht="15" customHeight="1" x14ac:dyDescent="0.25">
      <c r="M3873"/>
      <c r="N3873"/>
      <c r="O3873"/>
      <c r="P3873" s="216"/>
      <c r="Q3873" s="217"/>
      <c r="R3873" s="217"/>
      <c r="S3873" s="218"/>
    </row>
    <row r="3874" spans="13:19" ht="15" customHeight="1" x14ac:dyDescent="0.25">
      <c r="M3874"/>
      <c r="N3874"/>
      <c r="O3874"/>
      <c r="P3874" s="216"/>
      <c r="Q3874" s="217"/>
      <c r="R3874" s="217"/>
      <c r="S3874" s="218"/>
    </row>
    <row r="3875" spans="13:19" ht="15" customHeight="1" x14ac:dyDescent="0.25">
      <c r="M3875"/>
      <c r="N3875"/>
      <c r="O3875"/>
      <c r="P3875" s="216"/>
      <c r="Q3875" s="217"/>
      <c r="R3875" s="217"/>
      <c r="S3875" s="218"/>
    </row>
    <row r="3876" spans="13:19" ht="15" customHeight="1" x14ac:dyDescent="0.25">
      <c r="M3876"/>
      <c r="N3876"/>
      <c r="O3876"/>
      <c r="P3876" s="216"/>
      <c r="Q3876" s="217"/>
      <c r="R3876" s="217"/>
      <c r="S3876" s="218"/>
    </row>
    <row r="3877" spans="13:19" ht="15" customHeight="1" x14ac:dyDescent="0.25">
      <c r="M3877"/>
      <c r="N3877"/>
      <c r="O3877"/>
      <c r="P3877" s="216"/>
      <c r="Q3877" s="217"/>
      <c r="R3877" s="217"/>
      <c r="S3877" s="218"/>
    </row>
    <row r="3878" spans="13:19" ht="15" customHeight="1" x14ac:dyDescent="0.25">
      <c r="M3878"/>
      <c r="N3878"/>
      <c r="O3878"/>
      <c r="P3878" s="216"/>
      <c r="Q3878" s="217"/>
      <c r="R3878" s="217"/>
      <c r="S3878" s="218"/>
    </row>
    <row r="3879" spans="13:19" ht="15" customHeight="1" x14ac:dyDescent="0.25">
      <c r="M3879"/>
      <c r="N3879"/>
      <c r="O3879"/>
      <c r="P3879" s="216"/>
      <c r="Q3879" s="217"/>
      <c r="R3879" s="217"/>
      <c r="S3879" s="218"/>
    </row>
    <row r="3880" spans="13:19" ht="15" customHeight="1" x14ac:dyDescent="0.25">
      <c r="M3880"/>
      <c r="N3880"/>
      <c r="O3880"/>
      <c r="P3880" s="216"/>
      <c r="Q3880" s="217"/>
      <c r="R3880" s="217"/>
      <c r="S3880" s="218"/>
    </row>
    <row r="3881" spans="13:19" ht="15" customHeight="1" x14ac:dyDescent="0.25">
      <c r="M3881"/>
      <c r="N3881"/>
      <c r="O3881"/>
      <c r="P3881" s="216"/>
      <c r="Q3881" s="217"/>
      <c r="R3881" s="217"/>
      <c r="S3881" s="218"/>
    </row>
    <row r="3882" spans="13:19" ht="15" customHeight="1" x14ac:dyDescent="0.25">
      <c r="M3882"/>
      <c r="N3882"/>
      <c r="O3882"/>
      <c r="P3882" s="216"/>
      <c r="Q3882" s="217"/>
      <c r="R3882" s="217"/>
      <c r="S3882" s="218"/>
    </row>
    <row r="3883" spans="13:19" ht="15" customHeight="1" x14ac:dyDescent="0.25">
      <c r="M3883"/>
      <c r="N3883"/>
      <c r="O3883"/>
      <c r="P3883" s="216"/>
      <c r="Q3883" s="217"/>
      <c r="R3883" s="217"/>
      <c r="S3883" s="218"/>
    </row>
    <row r="3884" spans="13:19" ht="15" customHeight="1" x14ac:dyDescent="0.25">
      <c r="M3884"/>
      <c r="N3884"/>
      <c r="O3884"/>
      <c r="P3884" s="216"/>
      <c r="Q3884" s="217"/>
      <c r="R3884" s="217"/>
      <c r="S3884" s="218"/>
    </row>
    <row r="3885" spans="13:19" ht="15" customHeight="1" x14ac:dyDescent="0.25">
      <c r="M3885"/>
      <c r="N3885"/>
      <c r="O3885"/>
      <c r="P3885" s="216"/>
      <c r="Q3885" s="217"/>
      <c r="R3885" s="217"/>
      <c r="S3885" s="218"/>
    </row>
    <row r="3886" spans="13:19" ht="15" customHeight="1" x14ac:dyDescent="0.25">
      <c r="M3886"/>
      <c r="N3886"/>
      <c r="O3886"/>
      <c r="P3886" s="216"/>
      <c r="Q3886" s="217"/>
      <c r="R3886" s="217"/>
      <c r="S3886" s="218"/>
    </row>
    <row r="3887" spans="13:19" ht="15" customHeight="1" x14ac:dyDescent="0.25">
      <c r="M3887"/>
      <c r="N3887"/>
      <c r="O3887"/>
      <c r="P3887" s="216"/>
      <c r="Q3887" s="217"/>
      <c r="R3887" s="217"/>
      <c r="S3887" s="218"/>
    </row>
    <row r="3888" spans="13:19" ht="15" customHeight="1" x14ac:dyDescent="0.25">
      <c r="M3888"/>
      <c r="N3888"/>
      <c r="O3888"/>
      <c r="P3888" s="216"/>
      <c r="Q3888" s="217"/>
      <c r="R3888" s="217"/>
      <c r="S3888" s="218"/>
    </row>
    <row r="3889" spans="13:19" ht="15" customHeight="1" x14ac:dyDescent="0.25">
      <c r="M3889"/>
      <c r="N3889"/>
      <c r="O3889"/>
      <c r="P3889" s="216"/>
      <c r="Q3889" s="217"/>
      <c r="R3889" s="217"/>
      <c r="S3889" s="218"/>
    </row>
    <row r="3890" spans="13:19" ht="15" customHeight="1" x14ac:dyDescent="0.25">
      <c r="M3890"/>
      <c r="N3890"/>
      <c r="O3890"/>
      <c r="P3890" s="216"/>
      <c r="Q3890" s="217"/>
      <c r="R3890" s="217"/>
      <c r="S3890" s="218"/>
    </row>
    <row r="3891" spans="13:19" ht="15" customHeight="1" x14ac:dyDescent="0.25">
      <c r="M3891"/>
      <c r="N3891"/>
      <c r="O3891"/>
      <c r="P3891" s="216"/>
      <c r="Q3891" s="217"/>
      <c r="R3891" s="217"/>
      <c r="S3891" s="218"/>
    </row>
    <row r="3892" spans="13:19" ht="15" customHeight="1" x14ac:dyDescent="0.25">
      <c r="M3892"/>
      <c r="N3892"/>
      <c r="O3892"/>
      <c r="P3892" s="216"/>
      <c r="Q3892" s="217"/>
      <c r="R3892" s="217"/>
      <c r="S3892" s="218"/>
    </row>
    <row r="3893" spans="13:19" ht="15" customHeight="1" x14ac:dyDescent="0.25">
      <c r="M3893"/>
      <c r="N3893"/>
      <c r="O3893"/>
      <c r="P3893" s="216"/>
      <c r="Q3893" s="217"/>
      <c r="R3893" s="217"/>
      <c r="S3893" s="218"/>
    </row>
    <row r="3894" spans="13:19" ht="15" customHeight="1" x14ac:dyDescent="0.25">
      <c r="M3894"/>
      <c r="N3894"/>
      <c r="O3894"/>
      <c r="P3894" s="216"/>
      <c r="Q3894" s="217"/>
      <c r="R3894" s="217"/>
      <c r="S3894" s="218"/>
    </row>
    <row r="3895" spans="13:19" ht="15" customHeight="1" x14ac:dyDescent="0.25">
      <c r="M3895"/>
      <c r="N3895"/>
      <c r="O3895"/>
      <c r="P3895" s="216"/>
      <c r="Q3895" s="217"/>
      <c r="R3895" s="217"/>
      <c r="S3895" s="218"/>
    </row>
    <row r="3896" spans="13:19" ht="15" customHeight="1" x14ac:dyDescent="0.25">
      <c r="M3896"/>
      <c r="N3896"/>
      <c r="O3896"/>
      <c r="P3896" s="216"/>
      <c r="Q3896" s="217"/>
      <c r="R3896" s="217"/>
      <c r="S3896" s="218"/>
    </row>
    <row r="3897" spans="13:19" ht="15" customHeight="1" x14ac:dyDescent="0.25">
      <c r="M3897"/>
      <c r="N3897"/>
      <c r="O3897"/>
      <c r="P3897" s="216"/>
      <c r="Q3897" s="217"/>
      <c r="R3897" s="217"/>
      <c r="S3897" s="218"/>
    </row>
    <row r="3898" spans="13:19" ht="15" customHeight="1" x14ac:dyDescent="0.25">
      <c r="M3898"/>
      <c r="N3898"/>
      <c r="O3898"/>
      <c r="P3898" s="216"/>
      <c r="Q3898" s="217"/>
      <c r="R3898" s="217"/>
      <c r="S3898" s="218"/>
    </row>
    <row r="3899" spans="13:19" ht="15" customHeight="1" x14ac:dyDescent="0.25">
      <c r="M3899"/>
      <c r="N3899"/>
      <c r="O3899"/>
      <c r="P3899" s="216"/>
      <c r="Q3899" s="217"/>
      <c r="R3899" s="217"/>
      <c r="S3899" s="218"/>
    </row>
    <row r="3900" spans="13:19" ht="15" customHeight="1" x14ac:dyDescent="0.25">
      <c r="M3900"/>
      <c r="N3900"/>
      <c r="O3900"/>
      <c r="P3900" s="216"/>
      <c r="Q3900" s="217"/>
      <c r="R3900" s="217"/>
      <c r="S3900" s="218"/>
    </row>
    <row r="3901" spans="13:19" ht="15" customHeight="1" x14ac:dyDescent="0.25">
      <c r="M3901"/>
      <c r="N3901"/>
      <c r="O3901"/>
      <c r="P3901" s="216"/>
      <c r="Q3901" s="217"/>
      <c r="R3901" s="217"/>
      <c r="S3901" s="218"/>
    </row>
    <row r="3902" spans="13:19" ht="15" customHeight="1" x14ac:dyDescent="0.25">
      <c r="M3902"/>
      <c r="N3902"/>
      <c r="O3902"/>
      <c r="P3902" s="216"/>
      <c r="Q3902" s="217"/>
      <c r="R3902" s="217"/>
      <c r="S3902" s="218"/>
    </row>
    <row r="3903" spans="13:19" ht="15" customHeight="1" x14ac:dyDescent="0.25">
      <c r="M3903"/>
      <c r="N3903"/>
      <c r="O3903"/>
      <c r="P3903" s="216"/>
      <c r="Q3903" s="217"/>
      <c r="R3903" s="217"/>
      <c r="S3903" s="218"/>
    </row>
    <row r="3904" spans="13:19" ht="15" customHeight="1" x14ac:dyDescent="0.25">
      <c r="M3904"/>
      <c r="N3904"/>
      <c r="O3904"/>
      <c r="P3904" s="216"/>
      <c r="Q3904" s="217"/>
      <c r="R3904" s="217"/>
      <c r="S3904" s="218"/>
    </row>
    <row r="3905" spans="13:19" ht="15" customHeight="1" x14ac:dyDescent="0.25">
      <c r="M3905"/>
      <c r="N3905"/>
      <c r="O3905"/>
      <c r="P3905" s="216"/>
      <c r="Q3905" s="217"/>
      <c r="R3905" s="217"/>
      <c r="S3905" s="218"/>
    </row>
    <row r="3906" spans="13:19" ht="15" customHeight="1" x14ac:dyDescent="0.25">
      <c r="M3906"/>
      <c r="N3906"/>
      <c r="O3906"/>
      <c r="P3906" s="216"/>
      <c r="Q3906" s="217"/>
      <c r="R3906" s="217"/>
      <c r="S3906" s="218"/>
    </row>
    <row r="3907" spans="13:19" ht="15" customHeight="1" x14ac:dyDescent="0.25">
      <c r="M3907"/>
      <c r="N3907"/>
      <c r="O3907"/>
      <c r="P3907" s="216"/>
      <c r="Q3907" s="217"/>
      <c r="R3907" s="217"/>
      <c r="S3907" s="218"/>
    </row>
    <row r="3908" spans="13:19" ht="15" customHeight="1" x14ac:dyDescent="0.25">
      <c r="M3908"/>
      <c r="N3908"/>
      <c r="O3908"/>
      <c r="P3908" s="216"/>
      <c r="Q3908" s="217"/>
      <c r="R3908" s="217"/>
      <c r="S3908" s="218"/>
    </row>
    <row r="3909" spans="13:19" ht="15" customHeight="1" x14ac:dyDescent="0.25">
      <c r="M3909"/>
      <c r="N3909"/>
      <c r="O3909"/>
      <c r="P3909" s="216"/>
      <c r="Q3909" s="217"/>
      <c r="R3909" s="217"/>
      <c r="S3909" s="218"/>
    </row>
    <row r="3910" spans="13:19" ht="15" customHeight="1" x14ac:dyDescent="0.25">
      <c r="M3910"/>
      <c r="N3910"/>
      <c r="O3910"/>
      <c r="P3910" s="216"/>
      <c r="Q3910" s="217"/>
      <c r="R3910" s="217"/>
      <c r="S3910" s="218"/>
    </row>
    <row r="3911" spans="13:19" ht="15" customHeight="1" x14ac:dyDescent="0.25">
      <c r="M3911"/>
      <c r="N3911"/>
      <c r="O3911"/>
      <c r="P3911" s="216"/>
      <c r="Q3911" s="217"/>
      <c r="R3911" s="217"/>
      <c r="S3911" s="218"/>
    </row>
    <row r="3912" spans="13:19" ht="15" customHeight="1" x14ac:dyDescent="0.25">
      <c r="M3912"/>
      <c r="N3912"/>
      <c r="O3912"/>
      <c r="P3912" s="216"/>
      <c r="Q3912" s="217"/>
      <c r="R3912" s="217"/>
      <c r="S3912" s="218"/>
    </row>
    <row r="3913" spans="13:19" ht="15" customHeight="1" x14ac:dyDescent="0.25">
      <c r="M3913"/>
      <c r="N3913"/>
      <c r="O3913"/>
      <c r="P3913" s="216"/>
      <c r="Q3913" s="217"/>
      <c r="R3913" s="217"/>
      <c r="S3913" s="218"/>
    </row>
    <row r="3914" spans="13:19" ht="15" customHeight="1" x14ac:dyDescent="0.25">
      <c r="M3914"/>
      <c r="N3914"/>
      <c r="O3914"/>
      <c r="P3914" s="216"/>
      <c r="Q3914" s="217"/>
      <c r="R3914" s="217"/>
      <c r="S3914" s="218"/>
    </row>
    <row r="3915" spans="13:19" ht="15" customHeight="1" x14ac:dyDescent="0.25">
      <c r="M3915"/>
      <c r="N3915"/>
      <c r="O3915"/>
      <c r="P3915" s="216"/>
      <c r="Q3915" s="217"/>
      <c r="R3915" s="217"/>
      <c r="S3915" s="218"/>
    </row>
    <row r="3916" spans="13:19" ht="15" customHeight="1" x14ac:dyDescent="0.25">
      <c r="M3916"/>
      <c r="N3916"/>
      <c r="O3916"/>
      <c r="P3916" s="216"/>
      <c r="Q3916" s="217"/>
      <c r="R3916" s="217"/>
      <c r="S3916" s="218"/>
    </row>
    <row r="3917" spans="13:19" ht="15" customHeight="1" x14ac:dyDescent="0.25">
      <c r="M3917"/>
      <c r="N3917"/>
      <c r="O3917"/>
      <c r="P3917" s="216"/>
      <c r="Q3917" s="217"/>
      <c r="R3917" s="217"/>
      <c r="S3917" s="218"/>
    </row>
    <row r="3918" spans="13:19" ht="15" customHeight="1" x14ac:dyDescent="0.25">
      <c r="M3918"/>
      <c r="N3918"/>
      <c r="O3918"/>
      <c r="P3918" s="216"/>
      <c r="Q3918" s="217"/>
      <c r="R3918" s="217"/>
      <c r="S3918" s="218"/>
    </row>
    <row r="3919" spans="13:19" ht="15" customHeight="1" x14ac:dyDescent="0.25">
      <c r="M3919"/>
      <c r="N3919"/>
      <c r="O3919"/>
      <c r="P3919" s="216"/>
      <c r="Q3919" s="217"/>
      <c r="R3919" s="217"/>
      <c r="S3919" s="218"/>
    </row>
    <row r="3920" spans="13:19" ht="15" customHeight="1" x14ac:dyDescent="0.25">
      <c r="M3920"/>
      <c r="N3920"/>
      <c r="O3920"/>
      <c r="P3920" s="216"/>
      <c r="Q3920" s="217"/>
      <c r="R3920" s="217"/>
      <c r="S3920" s="218"/>
    </row>
    <row r="3921" spans="13:19" ht="15" customHeight="1" x14ac:dyDescent="0.25">
      <c r="M3921"/>
      <c r="N3921"/>
      <c r="O3921"/>
      <c r="P3921" s="216"/>
      <c r="Q3921" s="217"/>
      <c r="R3921" s="217"/>
      <c r="S3921" s="218"/>
    </row>
    <row r="3922" spans="13:19" ht="15" customHeight="1" x14ac:dyDescent="0.25">
      <c r="M3922"/>
      <c r="N3922"/>
      <c r="O3922"/>
      <c r="P3922" s="216"/>
      <c r="Q3922" s="217"/>
      <c r="R3922" s="217"/>
      <c r="S3922" s="218"/>
    </row>
    <row r="3923" spans="13:19" ht="15" customHeight="1" x14ac:dyDescent="0.25">
      <c r="M3923"/>
      <c r="N3923"/>
      <c r="O3923"/>
      <c r="P3923" s="216"/>
      <c r="Q3923" s="217"/>
      <c r="R3923" s="217"/>
      <c r="S3923" s="218"/>
    </row>
    <row r="3924" spans="13:19" ht="15" customHeight="1" x14ac:dyDescent="0.25">
      <c r="M3924"/>
      <c r="N3924"/>
      <c r="O3924"/>
      <c r="P3924" s="216"/>
      <c r="Q3924" s="217"/>
      <c r="R3924" s="217"/>
      <c r="S3924" s="218"/>
    </row>
    <row r="3925" spans="13:19" ht="15" customHeight="1" x14ac:dyDescent="0.25">
      <c r="M3925"/>
      <c r="N3925"/>
      <c r="O3925"/>
      <c r="P3925" s="216"/>
      <c r="Q3925" s="217"/>
      <c r="R3925" s="217"/>
      <c r="S3925" s="218"/>
    </row>
    <row r="3926" spans="13:19" ht="15" customHeight="1" x14ac:dyDescent="0.25">
      <c r="M3926"/>
      <c r="N3926"/>
      <c r="O3926"/>
      <c r="P3926" s="216"/>
      <c r="Q3926" s="217"/>
      <c r="R3926" s="217"/>
      <c r="S3926" s="218"/>
    </row>
    <row r="3927" spans="13:19" ht="15" customHeight="1" x14ac:dyDescent="0.25">
      <c r="M3927"/>
      <c r="N3927"/>
      <c r="O3927"/>
      <c r="P3927" s="216"/>
      <c r="Q3927" s="217"/>
      <c r="R3927" s="217"/>
      <c r="S3927" s="218"/>
    </row>
    <row r="3928" spans="13:19" ht="15" customHeight="1" x14ac:dyDescent="0.25">
      <c r="M3928"/>
      <c r="N3928"/>
      <c r="O3928"/>
      <c r="P3928" s="216"/>
      <c r="Q3928" s="217"/>
      <c r="R3928" s="217"/>
      <c r="S3928" s="218"/>
    </row>
    <row r="3929" spans="13:19" ht="15" customHeight="1" x14ac:dyDescent="0.25">
      <c r="M3929"/>
      <c r="N3929"/>
      <c r="O3929"/>
      <c r="P3929" s="216"/>
      <c r="Q3929" s="217"/>
      <c r="R3929" s="217"/>
      <c r="S3929" s="218"/>
    </row>
    <row r="3930" spans="13:19" ht="15" customHeight="1" x14ac:dyDescent="0.25">
      <c r="M3930"/>
      <c r="N3930"/>
      <c r="O3930"/>
      <c r="P3930" s="216"/>
      <c r="Q3930" s="217"/>
      <c r="R3930" s="217"/>
      <c r="S3930" s="218"/>
    </row>
    <row r="3931" spans="13:19" ht="15" customHeight="1" x14ac:dyDescent="0.25">
      <c r="M3931"/>
      <c r="N3931"/>
      <c r="O3931"/>
      <c r="P3931" s="216"/>
      <c r="Q3931" s="217"/>
      <c r="R3931" s="217"/>
      <c r="S3931" s="218"/>
    </row>
    <row r="3932" spans="13:19" ht="15" customHeight="1" x14ac:dyDescent="0.25">
      <c r="M3932"/>
      <c r="N3932"/>
      <c r="O3932"/>
      <c r="P3932" s="216"/>
      <c r="Q3932" s="217"/>
      <c r="R3932" s="217"/>
      <c r="S3932" s="218"/>
    </row>
    <row r="3933" spans="13:19" ht="15" customHeight="1" x14ac:dyDescent="0.25">
      <c r="M3933"/>
      <c r="N3933"/>
      <c r="O3933"/>
      <c r="P3933" s="216"/>
      <c r="Q3933" s="217"/>
      <c r="R3933" s="217"/>
      <c r="S3933" s="218"/>
    </row>
    <row r="3934" spans="13:19" ht="15" customHeight="1" x14ac:dyDescent="0.25">
      <c r="M3934"/>
      <c r="N3934"/>
      <c r="O3934"/>
      <c r="P3934" s="216"/>
      <c r="Q3934" s="217"/>
      <c r="R3934" s="217"/>
      <c r="S3934" s="218"/>
    </row>
    <row r="3935" spans="13:19" ht="15" customHeight="1" x14ac:dyDescent="0.25">
      <c r="M3935"/>
      <c r="N3935"/>
      <c r="O3935"/>
      <c r="P3935" s="216"/>
      <c r="Q3935" s="217"/>
      <c r="R3935" s="217"/>
      <c r="S3935" s="218"/>
    </row>
    <row r="3936" spans="13:19" ht="15" customHeight="1" x14ac:dyDescent="0.25">
      <c r="M3936"/>
      <c r="N3936"/>
      <c r="O3936"/>
      <c r="P3936" s="216"/>
      <c r="Q3936" s="217"/>
      <c r="R3936" s="217"/>
      <c r="S3936" s="218"/>
    </row>
    <row r="3937" spans="13:19" ht="15" customHeight="1" x14ac:dyDescent="0.25">
      <c r="M3937"/>
      <c r="N3937"/>
      <c r="O3937"/>
      <c r="P3937" s="216"/>
      <c r="Q3937" s="217"/>
      <c r="R3937" s="217"/>
      <c r="S3937" s="218"/>
    </row>
    <row r="3938" spans="13:19" ht="15" customHeight="1" x14ac:dyDescent="0.25">
      <c r="M3938"/>
      <c r="N3938"/>
      <c r="O3938"/>
      <c r="P3938" s="216"/>
      <c r="Q3938" s="217"/>
      <c r="R3938" s="217"/>
      <c r="S3938" s="218"/>
    </row>
    <row r="3939" spans="13:19" ht="15" customHeight="1" x14ac:dyDescent="0.25">
      <c r="M3939"/>
      <c r="N3939"/>
      <c r="O3939"/>
      <c r="P3939" s="216"/>
      <c r="Q3939" s="217"/>
      <c r="R3939" s="217"/>
      <c r="S3939" s="218"/>
    </row>
    <row r="3940" spans="13:19" ht="15" customHeight="1" x14ac:dyDescent="0.25">
      <c r="M3940"/>
      <c r="N3940"/>
      <c r="O3940"/>
      <c r="P3940" s="216"/>
      <c r="Q3940" s="217"/>
      <c r="R3940" s="217"/>
      <c r="S3940" s="218"/>
    </row>
    <row r="3941" spans="13:19" ht="15" customHeight="1" x14ac:dyDescent="0.25">
      <c r="M3941"/>
      <c r="N3941"/>
      <c r="O3941"/>
      <c r="P3941" s="216"/>
      <c r="Q3941" s="217"/>
      <c r="R3941" s="217"/>
      <c r="S3941" s="218"/>
    </row>
    <row r="3942" spans="13:19" ht="15" customHeight="1" x14ac:dyDescent="0.25">
      <c r="M3942"/>
      <c r="N3942"/>
      <c r="O3942"/>
      <c r="P3942" s="216"/>
      <c r="Q3942" s="217"/>
      <c r="R3942" s="217"/>
      <c r="S3942" s="218"/>
    </row>
    <row r="3943" spans="13:19" ht="15" customHeight="1" x14ac:dyDescent="0.25">
      <c r="M3943"/>
      <c r="N3943"/>
      <c r="O3943"/>
      <c r="P3943" s="216"/>
      <c r="Q3943" s="217"/>
      <c r="R3943" s="217"/>
      <c r="S3943" s="218"/>
    </row>
    <row r="3944" spans="13:19" ht="15" customHeight="1" x14ac:dyDescent="0.25">
      <c r="M3944"/>
      <c r="N3944"/>
      <c r="O3944"/>
      <c r="P3944" s="216"/>
      <c r="Q3944" s="217"/>
      <c r="R3944" s="217"/>
      <c r="S3944" s="218"/>
    </row>
    <row r="3945" spans="13:19" ht="15" customHeight="1" x14ac:dyDescent="0.25">
      <c r="M3945"/>
      <c r="N3945"/>
      <c r="O3945"/>
      <c r="P3945" s="216"/>
      <c r="Q3945" s="217"/>
      <c r="R3945" s="217"/>
      <c r="S3945" s="218"/>
    </row>
    <row r="3946" spans="13:19" ht="15" customHeight="1" x14ac:dyDescent="0.25">
      <c r="M3946"/>
      <c r="N3946"/>
      <c r="O3946"/>
      <c r="P3946" s="216"/>
      <c r="Q3946" s="217"/>
      <c r="R3946" s="217"/>
      <c r="S3946" s="218"/>
    </row>
    <row r="3947" spans="13:19" ht="15" customHeight="1" x14ac:dyDescent="0.25">
      <c r="M3947"/>
      <c r="N3947"/>
      <c r="O3947"/>
      <c r="P3947" s="216"/>
      <c r="Q3947" s="217"/>
      <c r="R3947" s="217"/>
      <c r="S3947" s="218"/>
    </row>
    <row r="3948" spans="13:19" ht="15" customHeight="1" x14ac:dyDescent="0.25">
      <c r="M3948"/>
      <c r="N3948"/>
      <c r="O3948"/>
      <c r="P3948" s="216"/>
      <c r="Q3948" s="217"/>
      <c r="R3948" s="217"/>
      <c r="S3948" s="218"/>
    </row>
    <row r="3949" spans="13:19" ht="15" customHeight="1" x14ac:dyDescent="0.25">
      <c r="M3949"/>
      <c r="N3949"/>
      <c r="O3949"/>
      <c r="P3949" s="216"/>
      <c r="Q3949" s="217"/>
      <c r="R3949" s="217"/>
      <c r="S3949" s="218"/>
    </row>
    <row r="3950" spans="13:19" ht="15" customHeight="1" x14ac:dyDescent="0.25">
      <c r="M3950"/>
      <c r="N3950"/>
      <c r="O3950"/>
      <c r="P3950" s="216"/>
      <c r="Q3950" s="217"/>
      <c r="R3950" s="217"/>
      <c r="S3950" s="218"/>
    </row>
    <row r="3951" spans="13:19" ht="15" customHeight="1" x14ac:dyDescent="0.25">
      <c r="M3951"/>
      <c r="N3951"/>
      <c r="O3951"/>
      <c r="P3951" s="216"/>
      <c r="Q3951" s="217"/>
      <c r="R3951" s="217"/>
      <c r="S3951" s="218"/>
    </row>
    <row r="3952" spans="13:19" ht="15" customHeight="1" x14ac:dyDescent="0.25">
      <c r="M3952"/>
      <c r="N3952"/>
      <c r="O3952"/>
      <c r="P3952" s="216"/>
      <c r="Q3952" s="217"/>
      <c r="R3952" s="217"/>
      <c r="S3952" s="218"/>
    </row>
    <row r="3953" spans="13:19" ht="15" customHeight="1" x14ac:dyDescent="0.25">
      <c r="M3953"/>
      <c r="N3953"/>
      <c r="O3953"/>
      <c r="P3953" s="216"/>
      <c r="Q3953" s="217"/>
      <c r="R3953" s="217"/>
      <c r="S3953" s="218"/>
    </row>
    <row r="3954" spans="13:19" ht="15" customHeight="1" x14ac:dyDescent="0.25">
      <c r="M3954"/>
      <c r="N3954"/>
      <c r="O3954"/>
      <c r="P3954" s="216"/>
      <c r="Q3954" s="217"/>
      <c r="R3954" s="217"/>
      <c r="S3954" s="218"/>
    </row>
    <row r="3955" spans="13:19" ht="15" customHeight="1" x14ac:dyDescent="0.25">
      <c r="M3955"/>
      <c r="N3955"/>
      <c r="O3955"/>
      <c r="P3955" s="216"/>
      <c r="Q3955" s="217"/>
      <c r="R3955" s="217"/>
      <c r="S3955" s="218"/>
    </row>
    <row r="3956" spans="13:19" ht="15" customHeight="1" x14ac:dyDescent="0.25">
      <c r="M3956"/>
      <c r="N3956"/>
      <c r="O3956"/>
      <c r="P3956" s="216"/>
      <c r="Q3956" s="217"/>
      <c r="R3956" s="217"/>
      <c r="S3956" s="218"/>
    </row>
    <row r="3957" spans="13:19" ht="15" customHeight="1" x14ac:dyDescent="0.25">
      <c r="M3957"/>
      <c r="N3957"/>
      <c r="O3957"/>
      <c r="P3957" s="216"/>
      <c r="Q3957" s="217"/>
      <c r="R3957" s="217"/>
      <c r="S3957" s="218"/>
    </row>
    <row r="3958" spans="13:19" ht="15" customHeight="1" x14ac:dyDescent="0.25">
      <c r="M3958"/>
      <c r="N3958"/>
      <c r="O3958"/>
      <c r="P3958" s="216"/>
      <c r="Q3958" s="217"/>
      <c r="R3958" s="217"/>
      <c r="S3958" s="218"/>
    </row>
    <row r="3959" spans="13:19" ht="15" customHeight="1" x14ac:dyDescent="0.25">
      <c r="M3959"/>
      <c r="N3959"/>
      <c r="O3959"/>
      <c r="P3959" s="216"/>
      <c r="Q3959" s="217"/>
      <c r="R3959" s="217"/>
      <c r="S3959" s="218"/>
    </row>
    <row r="3960" spans="13:19" ht="15" customHeight="1" x14ac:dyDescent="0.25">
      <c r="M3960"/>
      <c r="N3960"/>
      <c r="O3960"/>
      <c r="P3960" s="216"/>
      <c r="Q3960" s="217"/>
      <c r="R3960" s="217"/>
      <c r="S3960" s="218"/>
    </row>
    <row r="3961" spans="13:19" ht="15" customHeight="1" x14ac:dyDescent="0.25">
      <c r="M3961"/>
      <c r="N3961"/>
      <c r="O3961"/>
      <c r="P3961" s="216"/>
      <c r="Q3961" s="217"/>
      <c r="R3961" s="217"/>
      <c r="S3961" s="218"/>
    </row>
    <row r="3962" spans="13:19" ht="15" customHeight="1" x14ac:dyDescent="0.25">
      <c r="M3962"/>
      <c r="N3962"/>
      <c r="O3962"/>
      <c r="P3962" s="216"/>
      <c r="Q3962" s="217"/>
      <c r="R3962" s="217"/>
      <c r="S3962" s="218"/>
    </row>
    <row r="3963" spans="13:19" ht="15" customHeight="1" x14ac:dyDescent="0.25">
      <c r="M3963"/>
      <c r="N3963"/>
      <c r="O3963"/>
      <c r="P3963" s="216"/>
      <c r="Q3963" s="217"/>
      <c r="R3963" s="217"/>
      <c r="S3963" s="218"/>
    </row>
    <row r="3964" spans="13:19" ht="15" customHeight="1" x14ac:dyDescent="0.25">
      <c r="M3964"/>
      <c r="N3964"/>
      <c r="O3964"/>
      <c r="P3964" s="216"/>
      <c r="Q3964" s="217"/>
      <c r="R3964" s="217"/>
      <c r="S3964" s="218"/>
    </row>
    <row r="3965" spans="13:19" ht="15" customHeight="1" x14ac:dyDescent="0.25">
      <c r="M3965"/>
      <c r="N3965"/>
      <c r="O3965"/>
      <c r="P3965" s="216"/>
      <c r="Q3965" s="217"/>
      <c r="R3965" s="217"/>
      <c r="S3965" s="218"/>
    </row>
    <row r="3966" spans="13:19" ht="15" customHeight="1" x14ac:dyDescent="0.25">
      <c r="M3966"/>
      <c r="N3966"/>
      <c r="O3966"/>
      <c r="P3966" s="216"/>
      <c r="Q3966" s="217"/>
      <c r="R3966" s="217"/>
      <c r="S3966" s="218"/>
    </row>
    <row r="3967" spans="13:19" ht="15" customHeight="1" x14ac:dyDescent="0.25">
      <c r="M3967"/>
      <c r="N3967"/>
      <c r="O3967"/>
      <c r="P3967" s="216"/>
      <c r="Q3967" s="217"/>
      <c r="R3967" s="217"/>
      <c r="S3967" s="218"/>
    </row>
    <row r="3968" spans="13:19" ht="15" customHeight="1" x14ac:dyDescent="0.25">
      <c r="M3968"/>
      <c r="N3968"/>
      <c r="O3968"/>
      <c r="P3968" s="216"/>
      <c r="Q3968" s="217"/>
      <c r="R3968" s="217"/>
      <c r="S3968" s="218"/>
    </row>
    <row r="3969" spans="13:19" ht="15" customHeight="1" x14ac:dyDescent="0.25">
      <c r="M3969"/>
      <c r="N3969"/>
      <c r="O3969"/>
      <c r="P3969" s="216"/>
      <c r="Q3969" s="217"/>
      <c r="R3969" s="217"/>
      <c r="S3969" s="218"/>
    </row>
    <row r="3970" spans="13:19" ht="15" customHeight="1" x14ac:dyDescent="0.25">
      <c r="M3970"/>
      <c r="N3970"/>
      <c r="O3970"/>
      <c r="P3970" s="216"/>
      <c r="Q3970" s="217"/>
      <c r="R3970" s="217"/>
      <c r="S3970" s="218"/>
    </row>
    <row r="3971" spans="13:19" ht="15" customHeight="1" x14ac:dyDescent="0.25">
      <c r="M3971"/>
      <c r="N3971"/>
      <c r="O3971"/>
      <c r="P3971" s="216"/>
      <c r="Q3971" s="217"/>
      <c r="R3971" s="217"/>
      <c r="S3971" s="218"/>
    </row>
    <row r="3972" spans="13:19" ht="15" customHeight="1" x14ac:dyDescent="0.25">
      <c r="M3972"/>
      <c r="N3972"/>
      <c r="O3972"/>
      <c r="P3972" s="216"/>
      <c r="Q3972" s="217"/>
      <c r="R3972" s="217"/>
      <c r="S3972" s="218"/>
    </row>
    <row r="3973" spans="13:19" ht="15" customHeight="1" x14ac:dyDescent="0.25">
      <c r="M3973"/>
      <c r="N3973"/>
      <c r="O3973"/>
      <c r="P3973" s="216"/>
      <c r="Q3973" s="217"/>
      <c r="R3973" s="217"/>
      <c r="S3973" s="218"/>
    </row>
    <row r="3974" spans="13:19" ht="15" customHeight="1" x14ac:dyDescent="0.25">
      <c r="M3974"/>
      <c r="N3974"/>
      <c r="O3974"/>
      <c r="P3974" s="216"/>
      <c r="Q3974" s="217"/>
      <c r="R3974" s="217"/>
      <c r="S3974" s="218"/>
    </row>
    <row r="3975" spans="13:19" ht="15" customHeight="1" x14ac:dyDescent="0.25">
      <c r="M3975"/>
      <c r="N3975"/>
      <c r="O3975"/>
      <c r="P3975" s="216"/>
      <c r="Q3975" s="217"/>
      <c r="R3975" s="217"/>
      <c r="S3975" s="218"/>
    </row>
    <row r="3976" spans="13:19" ht="15" customHeight="1" x14ac:dyDescent="0.25">
      <c r="M3976"/>
      <c r="N3976"/>
      <c r="O3976"/>
      <c r="P3976" s="216"/>
      <c r="Q3976" s="217"/>
      <c r="R3976" s="217"/>
      <c r="S3976" s="218"/>
    </row>
    <row r="3977" spans="13:19" ht="15" customHeight="1" x14ac:dyDescent="0.25">
      <c r="M3977"/>
      <c r="N3977"/>
      <c r="O3977"/>
      <c r="P3977" s="216"/>
      <c r="Q3977" s="217"/>
      <c r="R3977" s="217"/>
      <c r="S3977" s="218"/>
    </row>
    <row r="3978" spans="13:19" ht="15" customHeight="1" x14ac:dyDescent="0.25">
      <c r="M3978"/>
      <c r="N3978"/>
      <c r="O3978"/>
      <c r="P3978" s="216"/>
      <c r="Q3978" s="217"/>
      <c r="R3978" s="217"/>
      <c r="S3978" s="218"/>
    </row>
    <row r="3979" spans="13:19" ht="15" customHeight="1" x14ac:dyDescent="0.25">
      <c r="M3979"/>
      <c r="N3979"/>
      <c r="O3979"/>
      <c r="P3979" s="216"/>
      <c r="Q3979" s="217"/>
      <c r="R3979" s="217"/>
      <c r="S3979" s="218"/>
    </row>
    <row r="3980" spans="13:19" ht="15" customHeight="1" x14ac:dyDescent="0.25">
      <c r="M3980"/>
      <c r="N3980"/>
      <c r="O3980"/>
      <c r="P3980" s="216"/>
      <c r="Q3980" s="217"/>
      <c r="R3980" s="217"/>
      <c r="S3980" s="218"/>
    </row>
    <row r="3981" spans="13:19" ht="15" customHeight="1" x14ac:dyDescent="0.25">
      <c r="M3981"/>
      <c r="N3981"/>
      <c r="O3981"/>
      <c r="P3981" s="216"/>
      <c r="Q3981" s="217"/>
      <c r="R3981" s="217"/>
      <c r="S3981" s="218"/>
    </row>
    <row r="3982" spans="13:19" ht="15" customHeight="1" x14ac:dyDescent="0.25">
      <c r="M3982"/>
      <c r="N3982"/>
      <c r="O3982"/>
      <c r="P3982" s="216"/>
      <c r="Q3982" s="217"/>
      <c r="R3982" s="217"/>
      <c r="S3982" s="218"/>
    </row>
    <row r="3983" spans="13:19" ht="15" customHeight="1" x14ac:dyDescent="0.25">
      <c r="M3983"/>
      <c r="N3983"/>
      <c r="O3983"/>
      <c r="P3983" s="216"/>
      <c r="Q3983" s="217"/>
      <c r="R3983" s="217"/>
      <c r="S3983" s="218"/>
    </row>
    <row r="3984" spans="13:19" ht="15" customHeight="1" x14ac:dyDescent="0.25">
      <c r="M3984"/>
      <c r="N3984"/>
      <c r="O3984"/>
      <c r="P3984" s="216"/>
      <c r="Q3984" s="217"/>
      <c r="R3984" s="217"/>
      <c r="S3984" s="218"/>
    </row>
    <row r="3985" spans="13:19" ht="15" customHeight="1" x14ac:dyDescent="0.25">
      <c r="M3985"/>
      <c r="N3985"/>
      <c r="O3985"/>
      <c r="P3985" s="216"/>
      <c r="Q3985" s="217"/>
      <c r="R3985" s="217"/>
      <c r="S3985" s="218"/>
    </row>
    <row r="3986" spans="13:19" ht="15" customHeight="1" x14ac:dyDescent="0.25">
      <c r="M3986"/>
      <c r="N3986"/>
      <c r="O3986"/>
      <c r="P3986" s="216"/>
      <c r="Q3986" s="217"/>
      <c r="R3986" s="217"/>
      <c r="S3986" s="218"/>
    </row>
    <row r="3987" spans="13:19" ht="15" customHeight="1" x14ac:dyDescent="0.25">
      <c r="M3987"/>
      <c r="N3987"/>
      <c r="O3987"/>
      <c r="P3987" s="216"/>
      <c r="Q3987" s="217"/>
      <c r="R3987" s="217"/>
      <c r="S3987" s="218"/>
    </row>
    <row r="3988" spans="13:19" ht="15" customHeight="1" x14ac:dyDescent="0.25">
      <c r="M3988"/>
      <c r="N3988"/>
      <c r="O3988"/>
      <c r="P3988" s="216"/>
      <c r="Q3988" s="217"/>
      <c r="R3988" s="217"/>
      <c r="S3988" s="218"/>
    </row>
    <row r="3989" spans="13:19" ht="15" customHeight="1" x14ac:dyDescent="0.25">
      <c r="M3989"/>
      <c r="N3989"/>
      <c r="O3989"/>
      <c r="P3989" s="216"/>
      <c r="Q3989" s="217"/>
      <c r="R3989" s="217"/>
      <c r="S3989" s="218"/>
    </row>
    <row r="3990" spans="13:19" ht="15" customHeight="1" x14ac:dyDescent="0.25">
      <c r="M3990"/>
      <c r="N3990"/>
      <c r="O3990"/>
      <c r="P3990" s="216"/>
      <c r="Q3990" s="217"/>
      <c r="R3990" s="217"/>
      <c r="S3990" s="218"/>
    </row>
    <row r="3991" spans="13:19" ht="15" customHeight="1" x14ac:dyDescent="0.25">
      <c r="M3991"/>
      <c r="N3991"/>
      <c r="O3991"/>
      <c r="P3991" s="216"/>
      <c r="Q3991" s="217"/>
      <c r="R3991" s="217"/>
      <c r="S3991" s="218"/>
    </row>
    <row r="3992" spans="13:19" ht="15" customHeight="1" x14ac:dyDescent="0.25">
      <c r="M3992"/>
      <c r="N3992"/>
      <c r="O3992"/>
      <c r="P3992" s="216"/>
      <c r="Q3992" s="217"/>
      <c r="R3992" s="217"/>
      <c r="S3992" s="218"/>
    </row>
    <row r="3993" spans="13:19" ht="15" customHeight="1" x14ac:dyDescent="0.25">
      <c r="M3993"/>
      <c r="N3993"/>
      <c r="O3993"/>
      <c r="P3993" s="216"/>
      <c r="Q3993" s="217"/>
      <c r="R3993" s="217"/>
      <c r="S3993" s="218"/>
    </row>
    <row r="3994" spans="13:19" ht="15" customHeight="1" x14ac:dyDescent="0.25">
      <c r="M3994"/>
      <c r="N3994"/>
      <c r="O3994"/>
      <c r="P3994" s="216"/>
      <c r="Q3994" s="217"/>
      <c r="R3994" s="217"/>
      <c r="S3994" s="218"/>
    </row>
    <row r="3995" spans="13:19" ht="15" customHeight="1" x14ac:dyDescent="0.25">
      <c r="M3995"/>
      <c r="N3995"/>
      <c r="O3995"/>
      <c r="P3995" s="216"/>
      <c r="Q3995" s="217"/>
      <c r="R3995" s="217"/>
      <c r="S3995" s="218"/>
    </row>
    <row r="3996" spans="13:19" ht="15" customHeight="1" x14ac:dyDescent="0.25">
      <c r="M3996"/>
      <c r="N3996"/>
      <c r="O3996"/>
      <c r="P3996" s="216"/>
      <c r="Q3996" s="217"/>
      <c r="R3996" s="217"/>
      <c r="S3996" s="218"/>
    </row>
    <row r="3997" spans="13:19" ht="15" customHeight="1" x14ac:dyDescent="0.25">
      <c r="M3997"/>
      <c r="N3997"/>
      <c r="O3997"/>
      <c r="P3997" s="216"/>
      <c r="Q3997" s="217"/>
      <c r="R3997" s="217"/>
      <c r="S3997" s="218"/>
    </row>
    <row r="3998" spans="13:19" ht="15" customHeight="1" x14ac:dyDescent="0.25">
      <c r="M3998"/>
      <c r="N3998"/>
      <c r="O3998"/>
      <c r="P3998" s="216"/>
      <c r="Q3998" s="217"/>
      <c r="R3998" s="217"/>
      <c r="S3998" s="218"/>
    </row>
    <row r="3999" spans="13:19" ht="15" customHeight="1" x14ac:dyDescent="0.25">
      <c r="M3999"/>
      <c r="N3999"/>
      <c r="O3999"/>
      <c r="P3999" s="216"/>
      <c r="Q3999" s="217"/>
      <c r="R3999" s="217"/>
      <c r="S3999" s="218"/>
    </row>
    <row r="4000" spans="13:19" ht="15" customHeight="1" x14ac:dyDescent="0.25">
      <c r="M4000"/>
      <c r="N4000"/>
      <c r="O4000"/>
      <c r="P4000" s="216"/>
      <c r="Q4000" s="217"/>
      <c r="R4000" s="217"/>
      <c r="S4000" s="218"/>
    </row>
    <row r="4001" spans="13:19" ht="15" customHeight="1" x14ac:dyDescent="0.25">
      <c r="M4001"/>
      <c r="N4001"/>
      <c r="O4001"/>
      <c r="P4001" s="216"/>
      <c r="Q4001" s="217"/>
      <c r="R4001" s="217"/>
      <c r="S4001" s="218"/>
    </row>
    <row r="4002" spans="13:19" ht="15" customHeight="1" x14ac:dyDescent="0.25">
      <c r="M4002"/>
      <c r="N4002"/>
      <c r="O4002"/>
      <c r="P4002" s="216"/>
      <c r="Q4002" s="217"/>
      <c r="R4002" s="217"/>
      <c r="S4002" s="218"/>
    </row>
    <row r="4003" spans="13:19" ht="15" customHeight="1" x14ac:dyDescent="0.25">
      <c r="M4003"/>
      <c r="N4003"/>
      <c r="O4003"/>
      <c r="P4003" s="216"/>
      <c r="Q4003" s="217"/>
      <c r="R4003" s="217"/>
      <c r="S4003" s="218"/>
    </row>
    <row r="4004" spans="13:19" ht="15" customHeight="1" x14ac:dyDescent="0.25">
      <c r="M4004"/>
      <c r="N4004"/>
      <c r="O4004"/>
      <c r="P4004" s="216"/>
      <c r="Q4004" s="217"/>
      <c r="R4004" s="217"/>
      <c r="S4004" s="218"/>
    </row>
    <row r="4005" spans="13:19" ht="15" customHeight="1" x14ac:dyDescent="0.25">
      <c r="M4005"/>
      <c r="N4005"/>
      <c r="O4005"/>
      <c r="P4005" s="216"/>
      <c r="Q4005" s="217"/>
      <c r="R4005" s="217"/>
      <c r="S4005" s="218"/>
    </row>
    <row r="4006" spans="13:19" ht="15" customHeight="1" x14ac:dyDescent="0.25">
      <c r="M4006"/>
      <c r="N4006"/>
      <c r="O4006"/>
      <c r="P4006" s="216"/>
      <c r="Q4006" s="217"/>
      <c r="R4006" s="217"/>
      <c r="S4006" s="218"/>
    </row>
    <row r="4007" spans="13:19" ht="15" customHeight="1" x14ac:dyDescent="0.25">
      <c r="M4007"/>
      <c r="N4007"/>
      <c r="O4007"/>
      <c r="P4007" s="216"/>
      <c r="Q4007" s="217"/>
      <c r="R4007" s="217"/>
      <c r="S4007" s="218"/>
    </row>
    <row r="4008" spans="13:19" ht="15" customHeight="1" x14ac:dyDescent="0.25">
      <c r="M4008"/>
      <c r="N4008"/>
      <c r="O4008"/>
      <c r="P4008" s="216"/>
      <c r="Q4008" s="217"/>
      <c r="R4008" s="217"/>
      <c r="S4008" s="218"/>
    </row>
    <row r="4009" spans="13:19" ht="15" customHeight="1" x14ac:dyDescent="0.25">
      <c r="M4009"/>
      <c r="N4009"/>
      <c r="O4009"/>
      <c r="P4009" s="216"/>
      <c r="Q4009" s="217"/>
      <c r="R4009" s="217"/>
      <c r="S4009" s="218"/>
    </row>
    <row r="4010" spans="13:19" ht="15" customHeight="1" x14ac:dyDescent="0.25">
      <c r="M4010"/>
      <c r="N4010"/>
      <c r="O4010"/>
      <c r="P4010" s="216"/>
      <c r="Q4010" s="217"/>
      <c r="R4010" s="217"/>
      <c r="S4010" s="218"/>
    </row>
    <row r="4011" spans="13:19" ht="15" customHeight="1" x14ac:dyDescent="0.25">
      <c r="M4011"/>
      <c r="N4011"/>
      <c r="O4011"/>
      <c r="P4011" s="216"/>
      <c r="Q4011" s="217"/>
      <c r="R4011" s="217"/>
      <c r="S4011" s="218"/>
    </row>
    <row r="4012" spans="13:19" ht="15" customHeight="1" x14ac:dyDescent="0.25">
      <c r="M4012"/>
      <c r="N4012"/>
      <c r="O4012"/>
      <c r="P4012" s="216"/>
      <c r="Q4012" s="217"/>
      <c r="R4012" s="217"/>
      <c r="S4012" s="218"/>
    </row>
    <row r="4013" spans="13:19" ht="15" customHeight="1" x14ac:dyDescent="0.25">
      <c r="M4013"/>
      <c r="N4013"/>
      <c r="O4013"/>
      <c r="P4013" s="216"/>
      <c r="Q4013" s="217"/>
      <c r="R4013" s="217"/>
      <c r="S4013" s="218"/>
    </row>
    <row r="4014" spans="13:19" ht="15" customHeight="1" x14ac:dyDescent="0.25">
      <c r="M4014"/>
      <c r="N4014"/>
      <c r="O4014"/>
      <c r="P4014" s="216"/>
      <c r="Q4014" s="217"/>
      <c r="R4014" s="217"/>
      <c r="S4014" s="218"/>
    </row>
    <row r="4015" spans="13:19" ht="15" customHeight="1" x14ac:dyDescent="0.25">
      <c r="M4015"/>
      <c r="N4015"/>
      <c r="O4015"/>
      <c r="P4015" s="216"/>
      <c r="Q4015" s="217"/>
      <c r="R4015" s="217"/>
      <c r="S4015" s="218"/>
    </row>
    <row r="4016" spans="13:19" ht="15" customHeight="1" x14ac:dyDescent="0.25">
      <c r="M4016"/>
      <c r="N4016"/>
      <c r="O4016"/>
      <c r="P4016" s="216"/>
      <c r="Q4016" s="217"/>
      <c r="R4016" s="217"/>
      <c r="S4016" s="218"/>
    </row>
    <row r="4017" spans="13:19" ht="15" customHeight="1" x14ac:dyDescent="0.25">
      <c r="M4017"/>
      <c r="N4017"/>
      <c r="O4017"/>
      <c r="P4017" s="216"/>
      <c r="Q4017" s="217"/>
      <c r="R4017" s="217"/>
      <c r="S4017" s="218"/>
    </row>
    <row r="4018" spans="13:19" ht="15" customHeight="1" x14ac:dyDescent="0.25">
      <c r="M4018"/>
      <c r="N4018"/>
      <c r="O4018"/>
      <c r="P4018" s="216"/>
      <c r="Q4018" s="217"/>
      <c r="R4018" s="217"/>
      <c r="S4018" s="218"/>
    </row>
    <row r="4019" spans="13:19" ht="15" customHeight="1" x14ac:dyDescent="0.25">
      <c r="M4019"/>
      <c r="N4019"/>
      <c r="O4019"/>
      <c r="P4019" s="216"/>
      <c r="Q4019" s="217"/>
      <c r="R4019" s="217"/>
      <c r="S4019" s="218"/>
    </row>
    <row r="4020" spans="13:19" ht="15" customHeight="1" x14ac:dyDescent="0.25">
      <c r="M4020"/>
      <c r="N4020"/>
      <c r="O4020"/>
      <c r="P4020" s="216"/>
      <c r="Q4020" s="217"/>
      <c r="R4020" s="217"/>
      <c r="S4020" s="218"/>
    </row>
    <row r="4021" spans="13:19" ht="15" customHeight="1" x14ac:dyDescent="0.25">
      <c r="M4021"/>
      <c r="N4021"/>
      <c r="O4021"/>
      <c r="P4021" s="216"/>
      <c r="Q4021" s="217"/>
      <c r="R4021" s="217"/>
      <c r="S4021" s="218"/>
    </row>
    <row r="4022" spans="13:19" ht="15" customHeight="1" x14ac:dyDescent="0.25">
      <c r="M4022"/>
      <c r="N4022"/>
      <c r="O4022"/>
      <c r="P4022" s="216"/>
      <c r="Q4022" s="217"/>
      <c r="R4022" s="217"/>
      <c r="S4022" s="218"/>
    </row>
    <row r="4023" spans="13:19" ht="15" customHeight="1" x14ac:dyDescent="0.25">
      <c r="M4023"/>
      <c r="N4023"/>
      <c r="O4023"/>
      <c r="P4023" s="216"/>
      <c r="Q4023" s="217"/>
      <c r="R4023" s="217"/>
      <c r="S4023" s="218"/>
    </row>
    <row r="4024" spans="13:19" ht="15" customHeight="1" x14ac:dyDescent="0.25">
      <c r="M4024"/>
      <c r="N4024"/>
      <c r="O4024"/>
      <c r="P4024" s="216"/>
      <c r="Q4024" s="217"/>
      <c r="R4024" s="217"/>
      <c r="S4024" s="218"/>
    </row>
    <row r="4025" spans="13:19" ht="15" customHeight="1" x14ac:dyDescent="0.25">
      <c r="M4025"/>
      <c r="N4025"/>
      <c r="O4025"/>
      <c r="P4025" s="216"/>
      <c r="Q4025" s="217"/>
      <c r="R4025" s="217"/>
      <c r="S4025" s="218"/>
    </row>
    <row r="4026" spans="13:19" ht="15" customHeight="1" x14ac:dyDescent="0.25">
      <c r="M4026"/>
      <c r="N4026"/>
      <c r="O4026"/>
      <c r="P4026" s="216"/>
      <c r="Q4026" s="217"/>
      <c r="R4026" s="217"/>
      <c r="S4026" s="218"/>
    </row>
    <row r="4027" spans="13:19" ht="15" customHeight="1" x14ac:dyDescent="0.25">
      <c r="M4027"/>
      <c r="N4027"/>
      <c r="O4027"/>
      <c r="P4027" s="216"/>
      <c r="Q4027" s="217"/>
      <c r="R4027" s="217"/>
      <c r="S4027" s="218"/>
    </row>
    <row r="4028" spans="13:19" ht="15" customHeight="1" x14ac:dyDescent="0.25">
      <c r="M4028"/>
      <c r="N4028"/>
      <c r="O4028"/>
      <c r="P4028" s="216"/>
      <c r="Q4028" s="217"/>
      <c r="R4028" s="217"/>
      <c r="S4028" s="218"/>
    </row>
    <row r="4029" spans="13:19" ht="15" customHeight="1" x14ac:dyDescent="0.25">
      <c r="M4029"/>
      <c r="N4029"/>
      <c r="O4029"/>
      <c r="P4029" s="216"/>
      <c r="Q4029" s="217"/>
      <c r="R4029" s="217"/>
      <c r="S4029" s="218"/>
    </row>
    <row r="4030" spans="13:19" ht="15" customHeight="1" x14ac:dyDescent="0.25">
      <c r="M4030"/>
      <c r="N4030"/>
      <c r="O4030"/>
      <c r="P4030" s="216"/>
      <c r="Q4030" s="217"/>
      <c r="R4030" s="217"/>
      <c r="S4030" s="218"/>
    </row>
    <row r="4031" spans="13:19" ht="15" customHeight="1" x14ac:dyDescent="0.25">
      <c r="M4031"/>
      <c r="N4031"/>
      <c r="O4031"/>
      <c r="P4031" s="216"/>
      <c r="Q4031" s="217"/>
      <c r="R4031" s="217"/>
      <c r="S4031" s="218"/>
    </row>
    <row r="4032" spans="13:19" ht="15" customHeight="1" x14ac:dyDescent="0.25">
      <c r="M4032"/>
      <c r="N4032"/>
      <c r="O4032"/>
      <c r="P4032" s="216"/>
      <c r="Q4032" s="217"/>
      <c r="R4032" s="217"/>
      <c r="S4032" s="218"/>
    </row>
    <row r="4033" spans="13:19" ht="15" customHeight="1" x14ac:dyDescent="0.25">
      <c r="M4033"/>
      <c r="N4033"/>
      <c r="O4033"/>
      <c r="P4033" s="216"/>
      <c r="Q4033" s="217"/>
      <c r="R4033" s="217"/>
      <c r="S4033" s="218"/>
    </row>
    <row r="4034" spans="13:19" ht="15" customHeight="1" x14ac:dyDescent="0.25">
      <c r="M4034"/>
      <c r="N4034"/>
      <c r="O4034"/>
      <c r="P4034" s="216"/>
      <c r="Q4034" s="217"/>
      <c r="R4034" s="217"/>
      <c r="S4034" s="218"/>
    </row>
    <row r="4035" spans="13:19" ht="15" customHeight="1" x14ac:dyDescent="0.25">
      <c r="M4035"/>
      <c r="N4035"/>
      <c r="O4035"/>
      <c r="P4035" s="216"/>
      <c r="Q4035" s="217"/>
      <c r="R4035" s="217"/>
      <c r="S4035" s="218"/>
    </row>
    <row r="4036" spans="13:19" ht="15" customHeight="1" x14ac:dyDescent="0.25">
      <c r="M4036"/>
      <c r="N4036"/>
      <c r="O4036"/>
      <c r="P4036" s="216"/>
      <c r="Q4036" s="217"/>
      <c r="R4036" s="217"/>
      <c r="S4036" s="218"/>
    </row>
    <row r="4037" spans="13:19" ht="15" customHeight="1" x14ac:dyDescent="0.25">
      <c r="M4037"/>
      <c r="N4037"/>
      <c r="O4037"/>
      <c r="P4037" s="216"/>
      <c r="Q4037" s="217"/>
      <c r="R4037" s="217"/>
      <c r="S4037" s="218"/>
    </row>
    <row r="4038" spans="13:19" ht="15" customHeight="1" x14ac:dyDescent="0.25">
      <c r="M4038"/>
      <c r="N4038"/>
      <c r="O4038"/>
      <c r="P4038" s="216"/>
      <c r="Q4038" s="217"/>
      <c r="R4038" s="217"/>
      <c r="S4038" s="218"/>
    </row>
    <row r="4039" spans="13:19" ht="15" customHeight="1" x14ac:dyDescent="0.25">
      <c r="M4039"/>
      <c r="N4039"/>
      <c r="O4039"/>
      <c r="P4039" s="216"/>
      <c r="Q4039" s="217"/>
      <c r="R4039" s="217"/>
      <c r="S4039" s="218"/>
    </row>
    <row r="4040" spans="13:19" ht="15" customHeight="1" x14ac:dyDescent="0.25">
      <c r="M4040"/>
      <c r="N4040"/>
      <c r="O4040"/>
      <c r="P4040" s="216"/>
      <c r="Q4040" s="217"/>
      <c r="R4040" s="217"/>
      <c r="S4040" s="218"/>
    </row>
    <row r="4041" spans="13:19" ht="15" customHeight="1" x14ac:dyDescent="0.25">
      <c r="M4041"/>
      <c r="N4041"/>
      <c r="O4041"/>
      <c r="P4041" s="216"/>
      <c r="Q4041" s="217"/>
      <c r="R4041" s="217"/>
      <c r="S4041" s="218"/>
    </row>
    <row r="4042" spans="13:19" ht="15" customHeight="1" x14ac:dyDescent="0.25">
      <c r="M4042"/>
      <c r="N4042"/>
      <c r="O4042"/>
      <c r="P4042" s="216"/>
      <c r="Q4042" s="217"/>
      <c r="R4042" s="217"/>
      <c r="S4042" s="218"/>
    </row>
    <row r="4043" spans="13:19" ht="15" customHeight="1" x14ac:dyDescent="0.25">
      <c r="M4043"/>
      <c r="N4043"/>
      <c r="O4043"/>
      <c r="P4043" s="216"/>
      <c r="Q4043" s="217"/>
      <c r="R4043" s="217"/>
      <c r="S4043" s="218"/>
    </row>
    <row r="4044" spans="13:19" ht="15" customHeight="1" x14ac:dyDescent="0.25">
      <c r="M4044"/>
      <c r="N4044"/>
      <c r="O4044"/>
      <c r="P4044" s="216"/>
      <c r="Q4044" s="217"/>
      <c r="R4044" s="217"/>
      <c r="S4044" s="218"/>
    </row>
    <row r="4045" spans="13:19" ht="15" customHeight="1" x14ac:dyDescent="0.25">
      <c r="M4045"/>
      <c r="N4045"/>
      <c r="O4045"/>
      <c r="P4045" s="216"/>
      <c r="Q4045" s="217"/>
      <c r="R4045" s="217"/>
      <c r="S4045" s="218"/>
    </row>
    <row r="4046" spans="13:19" ht="15" customHeight="1" x14ac:dyDescent="0.25">
      <c r="M4046"/>
      <c r="N4046"/>
      <c r="O4046"/>
      <c r="P4046" s="216"/>
      <c r="Q4046" s="217"/>
      <c r="R4046" s="217"/>
      <c r="S4046" s="218"/>
    </row>
    <row r="4047" spans="13:19" ht="15" customHeight="1" x14ac:dyDescent="0.25">
      <c r="M4047"/>
      <c r="N4047"/>
      <c r="O4047"/>
      <c r="P4047" s="216"/>
      <c r="Q4047" s="217"/>
      <c r="R4047" s="217"/>
      <c r="S4047" s="218"/>
    </row>
    <row r="4048" spans="13:19" ht="15" customHeight="1" x14ac:dyDescent="0.25">
      <c r="M4048"/>
      <c r="N4048"/>
      <c r="O4048"/>
      <c r="P4048" s="216"/>
      <c r="Q4048" s="217"/>
      <c r="R4048" s="217"/>
      <c r="S4048" s="218"/>
    </row>
    <row r="4049" spans="13:19" ht="15" customHeight="1" x14ac:dyDescent="0.25">
      <c r="M4049"/>
      <c r="N4049"/>
      <c r="O4049"/>
      <c r="P4049" s="216"/>
      <c r="Q4049" s="217"/>
      <c r="R4049" s="217"/>
      <c r="S4049" s="218"/>
    </row>
    <row r="4050" spans="13:19" ht="15" customHeight="1" x14ac:dyDescent="0.25">
      <c r="M4050"/>
      <c r="N4050"/>
      <c r="O4050"/>
      <c r="P4050" s="216"/>
      <c r="Q4050" s="217"/>
      <c r="R4050" s="217"/>
      <c r="S4050" s="218"/>
    </row>
    <row r="4051" spans="13:19" ht="15" customHeight="1" x14ac:dyDescent="0.25">
      <c r="M4051"/>
      <c r="N4051"/>
      <c r="O4051"/>
      <c r="P4051" s="216"/>
      <c r="Q4051" s="217"/>
      <c r="R4051" s="217"/>
      <c r="S4051" s="218"/>
    </row>
    <row r="4052" spans="13:19" ht="15" customHeight="1" x14ac:dyDescent="0.25">
      <c r="M4052"/>
      <c r="N4052"/>
      <c r="O4052"/>
      <c r="P4052" s="216"/>
      <c r="Q4052" s="217"/>
      <c r="R4052" s="217"/>
      <c r="S4052" s="218"/>
    </row>
    <row r="4053" spans="13:19" ht="15" customHeight="1" x14ac:dyDescent="0.25">
      <c r="M4053"/>
      <c r="N4053"/>
      <c r="O4053"/>
      <c r="P4053" s="216"/>
      <c r="Q4053" s="217"/>
      <c r="R4053" s="217"/>
      <c r="S4053" s="218"/>
    </row>
    <row r="4054" spans="13:19" ht="15" customHeight="1" x14ac:dyDescent="0.25">
      <c r="M4054"/>
      <c r="N4054"/>
      <c r="O4054"/>
      <c r="P4054" s="216"/>
      <c r="Q4054" s="217"/>
      <c r="R4054" s="217"/>
      <c r="S4054" s="218"/>
    </row>
    <row r="4055" spans="13:19" ht="15" customHeight="1" x14ac:dyDescent="0.25">
      <c r="M4055"/>
      <c r="N4055"/>
      <c r="O4055"/>
      <c r="P4055" s="216"/>
      <c r="Q4055" s="217"/>
      <c r="R4055" s="217"/>
      <c r="S4055" s="218"/>
    </row>
    <row r="4056" spans="13:19" ht="15" customHeight="1" x14ac:dyDescent="0.25">
      <c r="M4056"/>
      <c r="N4056"/>
      <c r="O4056"/>
      <c r="P4056" s="216"/>
      <c r="Q4056" s="217"/>
      <c r="R4056" s="217"/>
      <c r="S4056" s="218"/>
    </row>
    <row r="4057" spans="13:19" ht="15" customHeight="1" x14ac:dyDescent="0.25">
      <c r="M4057"/>
      <c r="N4057"/>
      <c r="O4057"/>
      <c r="P4057" s="216"/>
      <c r="Q4057" s="217"/>
      <c r="R4057" s="217"/>
      <c r="S4057" s="218"/>
    </row>
    <row r="4058" spans="13:19" ht="15" customHeight="1" x14ac:dyDescent="0.25">
      <c r="M4058"/>
      <c r="N4058"/>
      <c r="O4058"/>
      <c r="P4058" s="216"/>
      <c r="Q4058" s="217"/>
      <c r="R4058" s="217"/>
      <c r="S4058" s="218"/>
    </row>
    <row r="4059" spans="13:19" ht="15" customHeight="1" x14ac:dyDescent="0.25">
      <c r="M4059"/>
      <c r="N4059"/>
      <c r="O4059"/>
      <c r="P4059" s="216"/>
      <c r="Q4059" s="217"/>
      <c r="R4059" s="217"/>
      <c r="S4059" s="218"/>
    </row>
    <row r="4060" spans="13:19" ht="15" customHeight="1" x14ac:dyDescent="0.25">
      <c r="M4060"/>
      <c r="N4060"/>
      <c r="O4060"/>
      <c r="P4060" s="216"/>
      <c r="Q4060" s="217"/>
      <c r="R4060" s="217"/>
      <c r="S4060" s="218"/>
    </row>
    <row r="4061" spans="13:19" ht="15" customHeight="1" x14ac:dyDescent="0.25">
      <c r="M4061"/>
      <c r="N4061"/>
      <c r="O4061"/>
      <c r="P4061" s="216"/>
      <c r="Q4061" s="217"/>
      <c r="R4061" s="217"/>
      <c r="S4061" s="218"/>
    </row>
    <row r="4062" spans="13:19" ht="15" customHeight="1" x14ac:dyDescent="0.25">
      <c r="M4062"/>
      <c r="N4062"/>
      <c r="O4062"/>
      <c r="P4062" s="216"/>
      <c r="Q4062" s="217"/>
      <c r="R4062" s="217"/>
      <c r="S4062" s="218"/>
    </row>
    <row r="4063" spans="13:19" ht="15" customHeight="1" x14ac:dyDescent="0.25">
      <c r="M4063"/>
      <c r="N4063"/>
      <c r="O4063"/>
      <c r="P4063" s="216"/>
      <c r="Q4063" s="217"/>
      <c r="R4063" s="217"/>
      <c r="S4063" s="218"/>
    </row>
    <row r="4064" spans="13:19" ht="15" customHeight="1" x14ac:dyDescent="0.25">
      <c r="M4064"/>
      <c r="N4064"/>
      <c r="O4064"/>
      <c r="P4064" s="216"/>
      <c r="Q4064" s="217"/>
      <c r="R4064" s="217"/>
      <c r="S4064" s="218"/>
    </row>
    <row r="4065" spans="13:19" ht="15" customHeight="1" x14ac:dyDescent="0.25">
      <c r="M4065"/>
      <c r="N4065"/>
      <c r="O4065"/>
      <c r="P4065" s="216"/>
      <c r="Q4065" s="217"/>
      <c r="R4065" s="217"/>
      <c r="S4065" s="218"/>
    </row>
    <row r="4066" spans="13:19" ht="15" customHeight="1" x14ac:dyDescent="0.25">
      <c r="M4066"/>
      <c r="N4066"/>
      <c r="O4066"/>
      <c r="P4066" s="216"/>
      <c r="Q4066" s="217"/>
      <c r="R4066" s="217"/>
      <c r="S4066" s="218"/>
    </row>
    <row r="4067" spans="13:19" ht="15" customHeight="1" x14ac:dyDescent="0.25">
      <c r="M4067"/>
      <c r="N4067"/>
      <c r="O4067"/>
      <c r="P4067" s="216"/>
      <c r="Q4067" s="217"/>
      <c r="R4067" s="217"/>
      <c r="S4067" s="218"/>
    </row>
    <row r="4068" spans="13:19" ht="15" customHeight="1" x14ac:dyDescent="0.25">
      <c r="M4068"/>
      <c r="N4068"/>
      <c r="O4068"/>
      <c r="P4068" s="216"/>
      <c r="Q4068" s="217"/>
      <c r="R4068" s="217"/>
      <c r="S4068" s="218"/>
    </row>
    <row r="4069" spans="13:19" ht="15" customHeight="1" x14ac:dyDescent="0.25">
      <c r="M4069"/>
      <c r="N4069"/>
      <c r="O4069"/>
      <c r="P4069" s="216"/>
      <c r="Q4069" s="217"/>
      <c r="R4069" s="217"/>
      <c r="S4069" s="218"/>
    </row>
    <row r="4070" spans="13:19" ht="15" customHeight="1" x14ac:dyDescent="0.25">
      <c r="M4070"/>
      <c r="N4070"/>
      <c r="O4070"/>
      <c r="P4070" s="216"/>
      <c r="Q4070" s="217"/>
      <c r="R4070" s="217"/>
      <c r="S4070" s="218"/>
    </row>
    <row r="4071" spans="13:19" ht="15" customHeight="1" x14ac:dyDescent="0.25">
      <c r="M4071"/>
      <c r="N4071"/>
      <c r="O4071"/>
      <c r="P4071" s="216"/>
      <c r="Q4071" s="217"/>
      <c r="R4071" s="217"/>
      <c r="S4071" s="218"/>
    </row>
    <row r="4072" spans="13:19" ht="15" customHeight="1" x14ac:dyDescent="0.25">
      <c r="M4072"/>
      <c r="N4072"/>
      <c r="O4072"/>
      <c r="P4072" s="216"/>
      <c r="Q4072" s="217"/>
      <c r="R4072" s="217"/>
      <c r="S4072" s="218"/>
    </row>
    <row r="4073" spans="13:19" ht="15" customHeight="1" x14ac:dyDescent="0.25">
      <c r="M4073"/>
      <c r="N4073"/>
      <c r="O4073"/>
      <c r="P4073" s="216"/>
      <c r="Q4073" s="217"/>
      <c r="R4073" s="217"/>
      <c r="S4073" s="218"/>
    </row>
    <row r="4074" spans="13:19" ht="15" customHeight="1" x14ac:dyDescent="0.25">
      <c r="M4074"/>
      <c r="N4074"/>
      <c r="O4074"/>
      <c r="P4074" s="216"/>
      <c r="Q4074" s="217"/>
      <c r="R4074" s="217"/>
      <c r="S4074" s="218"/>
    </row>
    <row r="4075" spans="13:19" ht="15" customHeight="1" x14ac:dyDescent="0.25">
      <c r="M4075"/>
      <c r="N4075"/>
      <c r="O4075"/>
      <c r="P4075" s="216"/>
      <c r="Q4075" s="217"/>
      <c r="R4075" s="217"/>
      <c r="S4075" s="218"/>
    </row>
    <row r="4076" spans="13:19" ht="15" customHeight="1" x14ac:dyDescent="0.25">
      <c r="M4076"/>
      <c r="N4076"/>
      <c r="O4076"/>
      <c r="P4076" s="216"/>
      <c r="Q4076" s="217"/>
      <c r="R4076" s="217"/>
      <c r="S4076" s="218"/>
    </row>
    <row r="4077" spans="13:19" ht="15" customHeight="1" x14ac:dyDescent="0.25">
      <c r="M4077"/>
      <c r="N4077"/>
      <c r="O4077"/>
      <c r="P4077" s="216"/>
      <c r="Q4077" s="217"/>
      <c r="R4077" s="217"/>
      <c r="S4077" s="218"/>
    </row>
    <row r="4078" spans="13:19" ht="15" customHeight="1" x14ac:dyDescent="0.25">
      <c r="M4078"/>
      <c r="N4078"/>
      <c r="O4078"/>
      <c r="P4078" s="216"/>
      <c r="Q4078" s="217"/>
      <c r="R4078" s="217"/>
      <c r="S4078" s="218"/>
    </row>
    <row r="4079" spans="13:19" ht="15" customHeight="1" x14ac:dyDescent="0.25">
      <c r="M4079"/>
      <c r="N4079"/>
      <c r="O4079"/>
      <c r="P4079" s="216"/>
      <c r="Q4079" s="217"/>
      <c r="R4079" s="217"/>
      <c r="S4079" s="218"/>
    </row>
    <row r="4080" spans="13:19" ht="15" customHeight="1" x14ac:dyDescent="0.25">
      <c r="M4080"/>
      <c r="N4080"/>
      <c r="O4080"/>
      <c r="P4080" s="216"/>
      <c r="Q4080" s="217"/>
      <c r="R4080" s="217"/>
      <c r="S4080" s="218"/>
    </row>
    <row r="4081" spans="13:19" ht="15" customHeight="1" x14ac:dyDescent="0.25">
      <c r="M4081"/>
      <c r="N4081"/>
      <c r="O4081"/>
      <c r="P4081" s="216"/>
      <c r="Q4081" s="217"/>
      <c r="R4081" s="217"/>
      <c r="S4081" s="218"/>
    </row>
    <row r="4082" spans="13:19" ht="15" customHeight="1" x14ac:dyDescent="0.25">
      <c r="M4082"/>
      <c r="N4082"/>
      <c r="O4082"/>
      <c r="P4082" s="216"/>
      <c r="Q4082" s="217"/>
      <c r="R4082" s="217"/>
      <c r="S4082" s="218"/>
    </row>
    <row r="4083" spans="13:19" ht="15" customHeight="1" x14ac:dyDescent="0.25">
      <c r="M4083"/>
      <c r="N4083"/>
      <c r="O4083"/>
      <c r="P4083" s="216"/>
      <c r="Q4083" s="217"/>
      <c r="R4083" s="217"/>
      <c r="S4083" s="218"/>
    </row>
    <row r="4084" spans="13:19" ht="15" customHeight="1" x14ac:dyDescent="0.25">
      <c r="M4084"/>
      <c r="N4084"/>
      <c r="O4084"/>
      <c r="P4084" s="216"/>
      <c r="Q4084" s="217"/>
      <c r="R4084" s="217"/>
      <c r="S4084" s="218"/>
    </row>
    <row r="4085" spans="13:19" ht="15" customHeight="1" x14ac:dyDescent="0.25">
      <c r="M4085"/>
      <c r="N4085"/>
      <c r="O4085"/>
      <c r="P4085" s="216"/>
      <c r="Q4085" s="217"/>
      <c r="R4085" s="217"/>
      <c r="S4085" s="218"/>
    </row>
    <row r="4086" spans="13:19" ht="15" customHeight="1" x14ac:dyDescent="0.25">
      <c r="M4086"/>
      <c r="N4086"/>
      <c r="O4086"/>
      <c r="P4086" s="216"/>
      <c r="Q4086" s="217"/>
      <c r="R4086" s="217"/>
      <c r="S4086" s="218"/>
    </row>
    <row r="4087" spans="13:19" ht="15" customHeight="1" x14ac:dyDescent="0.25">
      <c r="M4087"/>
      <c r="N4087"/>
      <c r="O4087"/>
      <c r="P4087" s="216"/>
      <c r="Q4087" s="217"/>
      <c r="R4087" s="217"/>
      <c r="S4087" s="218"/>
    </row>
    <row r="4088" spans="13:19" ht="15" customHeight="1" x14ac:dyDescent="0.25">
      <c r="M4088"/>
      <c r="N4088"/>
      <c r="O4088"/>
      <c r="P4088" s="216"/>
      <c r="Q4088" s="217"/>
      <c r="R4088" s="217"/>
      <c r="S4088" s="218"/>
    </row>
    <row r="4089" spans="13:19" ht="15" customHeight="1" x14ac:dyDescent="0.25">
      <c r="M4089"/>
      <c r="N4089"/>
      <c r="O4089"/>
      <c r="P4089" s="216"/>
      <c r="Q4089" s="217"/>
      <c r="R4089" s="217"/>
      <c r="S4089" s="218"/>
    </row>
    <row r="4090" spans="13:19" ht="15" customHeight="1" x14ac:dyDescent="0.25">
      <c r="M4090"/>
      <c r="N4090"/>
      <c r="O4090"/>
      <c r="P4090" s="216"/>
      <c r="Q4090" s="217"/>
      <c r="R4090" s="217"/>
      <c r="S4090" s="218"/>
    </row>
    <row r="4091" spans="13:19" ht="15" customHeight="1" x14ac:dyDescent="0.25">
      <c r="M4091"/>
      <c r="N4091"/>
      <c r="O4091"/>
      <c r="P4091" s="216"/>
      <c r="Q4091" s="217"/>
      <c r="R4091" s="217"/>
      <c r="S4091" s="218"/>
    </row>
    <row r="4092" spans="13:19" ht="15" customHeight="1" x14ac:dyDescent="0.25">
      <c r="M4092"/>
      <c r="N4092"/>
      <c r="O4092"/>
      <c r="P4092" s="216"/>
      <c r="Q4092" s="217"/>
      <c r="R4092" s="217"/>
      <c r="S4092" s="218"/>
    </row>
    <row r="4093" spans="13:19" ht="15" customHeight="1" x14ac:dyDescent="0.25">
      <c r="M4093"/>
      <c r="N4093"/>
      <c r="O4093"/>
      <c r="P4093" s="216"/>
      <c r="Q4093" s="217"/>
      <c r="R4093" s="217"/>
      <c r="S4093" s="218"/>
    </row>
    <row r="4094" spans="13:19" ht="15" customHeight="1" x14ac:dyDescent="0.25">
      <c r="M4094"/>
      <c r="N4094"/>
      <c r="O4094"/>
      <c r="P4094" s="216"/>
      <c r="Q4094" s="217"/>
      <c r="R4094" s="217"/>
      <c r="S4094" s="218"/>
    </row>
    <row r="4095" spans="13:19" ht="15" customHeight="1" x14ac:dyDescent="0.25">
      <c r="M4095"/>
      <c r="N4095"/>
      <c r="O4095"/>
      <c r="P4095" s="216"/>
      <c r="Q4095" s="217"/>
      <c r="R4095" s="217"/>
      <c r="S4095" s="218"/>
    </row>
    <row r="4096" spans="13:19" ht="15" customHeight="1" x14ac:dyDescent="0.25">
      <c r="M4096"/>
      <c r="N4096"/>
      <c r="O4096"/>
      <c r="P4096" s="216"/>
      <c r="Q4096" s="217"/>
      <c r="R4096" s="217"/>
      <c r="S4096" s="218"/>
    </row>
    <row r="4097" spans="13:19" ht="15" customHeight="1" x14ac:dyDescent="0.25">
      <c r="M4097"/>
      <c r="N4097"/>
      <c r="O4097"/>
      <c r="P4097" s="216"/>
      <c r="Q4097" s="217"/>
      <c r="R4097" s="217"/>
      <c r="S4097" s="218"/>
    </row>
    <row r="4098" spans="13:19" ht="15" customHeight="1" x14ac:dyDescent="0.25">
      <c r="M4098"/>
      <c r="N4098"/>
      <c r="O4098"/>
      <c r="P4098" s="216"/>
      <c r="Q4098" s="217"/>
      <c r="R4098" s="217"/>
      <c r="S4098" s="218"/>
    </row>
    <row r="4099" spans="13:19" ht="15" customHeight="1" x14ac:dyDescent="0.25">
      <c r="M4099"/>
      <c r="N4099"/>
      <c r="O4099"/>
      <c r="P4099" s="216"/>
      <c r="Q4099" s="217"/>
      <c r="R4099" s="217"/>
      <c r="S4099" s="218"/>
    </row>
    <row r="4100" spans="13:19" ht="15" customHeight="1" x14ac:dyDescent="0.25">
      <c r="M4100"/>
      <c r="N4100"/>
      <c r="O4100"/>
      <c r="P4100" s="216"/>
      <c r="Q4100" s="217"/>
      <c r="R4100" s="217"/>
      <c r="S4100" s="218"/>
    </row>
    <row r="4101" spans="13:19" ht="15" customHeight="1" x14ac:dyDescent="0.25">
      <c r="M4101"/>
      <c r="N4101"/>
      <c r="O4101"/>
      <c r="P4101" s="216"/>
      <c r="Q4101" s="217"/>
      <c r="R4101" s="217"/>
      <c r="S4101" s="218"/>
    </row>
    <row r="4102" spans="13:19" ht="15" customHeight="1" x14ac:dyDescent="0.25">
      <c r="M4102"/>
      <c r="N4102"/>
      <c r="O4102"/>
      <c r="P4102" s="216"/>
      <c r="Q4102" s="217"/>
      <c r="R4102" s="217"/>
      <c r="S4102" s="218"/>
    </row>
    <row r="4103" spans="13:19" ht="15" customHeight="1" x14ac:dyDescent="0.25">
      <c r="M4103"/>
      <c r="N4103"/>
      <c r="O4103"/>
      <c r="P4103" s="216"/>
      <c r="Q4103" s="217"/>
      <c r="R4103" s="217"/>
      <c r="S4103" s="218"/>
    </row>
    <row r="4104" spans="13:19" ht="15" customHeight="1" x14ac:dyDescent="0.25">
      <c r="M4104"/>
      <c r="N4104"/>
      <c r="O4104"/>
      <c r="P4104" s="216"/>
      <c r="Q4104" s="217"/>
      <c r="R4104" s="217"/>
      <c r="S4104" s="218"/>
    </row>
    <row r="4105" spans="13:19" ht="15" customHeight="1" x14ac:dyDescent="0.25">
      <c r="M4105"/>
      <c r="N4105"/>
      <c r="O4105"/>
      <c r="P4105" s="216"/>
      <c r="Q4105" s="217"/>
      <c r="R4105" s="217"/>
      <c r="S4105" s="218"/>
    </row>
    <row r="4106" spans="13:19" ht="15" customHeight="1" x14ac:dyDescent="0.25">
      <c r="M4106"/>
      <c r="N4106"/>
      <c r="O4106"/>
      <c r="P4106" s="216"/>
      <c r="Q4106" s="217"/>
      <c r="R4106" s="217"/>
      <c r="S4106" s="218"/>
    </row>
    <row r="4107" spans="13:19" ht="15" customHeight="1" x14ac:dyDescent="0.25">
      <c r="M4107"/>
      <c r="N4107"/>
      <c r="O4107"/>
      <c r="P4107" s="216"/>
      <c r="Q4107" s="217"/>
      <c r="R4107" s="217"/>
      <c r="S4107" s="218"/>
    </row>
    <row r="4108" spans="13:19" ht="15" customHeight="1" x14ac:dyDescent="0.25">
      <c r="M4108"/>
      <c r="N4108"/>
      <c r="O4108"/>
      <c r="P4108" s="216"/>
      <c r="Q4108" s="217"/>
      <c r="R4108" s="217"/>
      <c r="S4108" s="218"/>
    </row>
    <row r="4109" spans="13:19" ht="15" customHeight="1" x14ac:dyDescent="0.25">
      <c r="M4109"/>
      <c r="N4109"/>
      <c r="O4109"/>
      <c r="P4109" s="216"/>
      <c r="Q4109" s="217"/>
      <c r="R4109" s="217"/>
      <c r="S4109" s="218"/>
    </row>
    <row r="4110" spans="13:19" ht="15" customHeight="1" x14ac:dyDescent="0.25">
      <c r="M4110"/>
      <c r="N4110"/>
      <c r="O4110"/>
      <c r="P4110" s="216"/>
      <c r="Q4110" s="217"/>
      <c r="R4110" s="217"/>
      <c r="S4110" s="218"/>
    </row>
    <row r="4111" spans="13:19" ht="15" customHeight="1" x14ac:dyDescent="0.25">
      <c r="M4111"/>
      <c r="N4111"/>
      <c r="O4111"/>
      <c r="P4111" s="216"/>
      <c r="Q4111" s="217"/>
      <c r="R4111" s="217"/>
      <c r="S4111" s="218"/>
    </row>
    <row r="4112" spans="13:19" ht="15" customHeight="1" x14ac:dyDescent="0.25">
      <c r="M4112"/>
      <c r="N4112"/>
      <c r="O4112"/>
      <c r="P4112" s="216"/>
      <c r="Q4112" s="217"/>
      <c r="R4112" s="217"/>
      <c r="S4112" s="218"/>
    </row>
    <row r="4113" spans="13:19" ht="15" customHeight="1" x14ac:dyDescent="0.25">
      <c r="M4113"/>
      <c r="N4113"/>
      <c r="O4113"/>
      <c r="P4113" s="216"/>
      <c r="Q4113" s="217"/>
      <c r="R4113" s="217"/>
      <c r="S4113" s="218"/>
    </row>
    <row r="4114" spans="13:19" ht="15" customHeight="1" x14ac:dyDescent="0.25">
      <c r="M4114"/>
      <c r="N4114"/>
      <c r="O4114"/>
      <c r="P4114" s="216"/>
      <c r="Q4114" s="217"/>
      <c r="R4114" s="217"/>
      <c r="S4114" s="218"/>
    </row>
    <row r="4115" spans="13:19" ht="15" customHeight="1" x14ac:dyDescent="0.25">
      <c r="M4115"/>
      <c r="N4115"/>
      <c r="O4115"/>
      <c r="P4115" s="216"/>
      <c r="Q4115" s="217"/>
      <c r="R4115" s="217"/>
      <c r="S4115" s="218"/>
    </row>
    <row r="4116" spans="13:19" ht="15" customHeight="1" x14ac:dyDescent="0.25">
      <c r="M4116"/>
      <c r="N4116"/>
      <c r="O4116"/>
      <c r="P4116" s="216"/>
      <c r="Q4116" s="217"/>
      <c r="R4116" s="217"/>
      <c r="S4116" s="218"/>
    </row>
    <row r="4117" spans="13:19" ht="15" customHeight="1" x14ac:dyDescent="0.25">
      <c r="M4117"/>
      <c r="N4117"/>
      <c r="O4117"/>
      <c r="P4117" s="216"/>
      <c r="Q4117" s="217"/>
      <c r="R4117" s="217"/>
      <c r="S4117" s="218"/>
    </row>
    <row r="4118" spans="13:19" ht="15" customHeight="1" x14ac:dyDescent="0.25">
      <c r="M4118"/>
      <c r="N4118"/>
      <c r="O4118"/>
      <c r="P4118" s="216"/>
      <c r="Q4118" s="217"/>
      <c r="R4118" s="217"/>
      <c r="S4118" s="218"/>
    </row>
    <row r="4119" spans="13:19" ht="15" customHeight="1" x14ac:dyDescent="0.25">
      <c r="M4119"/>
      <c r="N4119"/>
      <c r="O4119"/>
      <c r="P4119" s="216"/>
      <c r="Q4119" s="217"/>
      <c r="R4119" s="217"/>
      <c r="S4119" s="218"/>
    </row>
    <row r="4120" spans="13:19" ht="15" customHeight="1" x14ac:dyDescent="0.25">
      <c r="M4120"/>
      <c r="N4120"/>
      <c r="O4120"/>
      <c r="P4120" s="216"/>
      <c r="Q4120" s="217"/>
      <c r="R4120" s="217"/>
      <c r="S4120" s="218"/>
    </row>
    <row r="4121" spans="13:19" ht="15" customHeight="1" x14ac:dyDescent="0.25">
      <c r="M4121"/>
      <c r="N4121"/>
      <c r="O4121"/>
      <c r="P4121" s="216"/>
      <c r="Q4121" s="217"/>
      <c r="R4121" s="217"/>
      <c r="S4121" s="218"/>
    </row>
    <row r="4122" spans="13:19" ht="15" customHeight="1" x14ac:dyDescent="0.25">
      <c r="M4122"/>
      <c r="N4122"/>
      <c r="O4122"/>
      <c r="P4122" s="216"/>
      <c r="Q4122" s="217"/>
      <c r="R4122" s="217"/>
      <c r="S4122" s="218"/>
    </row>
    <row r="4123" spans="13:19" ht="15" customHeight="1" x14ac:dyDescent="0.25">
      <c r="M4123"/>
      <c r="N4123"/>
      <c r="O4123"/>
      <c r="P4123" s="216"/>
      <c r="Q4123" s="217"/>
      <c r="R4123" s="217"/>
      <c r="S4123" s="218"/>
    </row>
    <row r="4124" spans="13:19" ht="15" customHeight="1" x14ac:dyDescent="0.25">
      <c r="M4124"/>
      <c r="N4124"/>
      <c r="O4124"/>
      <c r="P4124" s="216"/>
      <c r="Q4124" s="217"/>
      <c r="R4124" s="217"/>
      <c r="S4124" s="218"/>
    </row>
    <row r="4125" spans="13:19" ht="15" customHeight="1" x14ac:dyDescent="0.25">
      <c r="M4125"/>
      <c r="N4125"/>
      <c r="O4125"/>
      <c r="P4125" s="216"/>
      <c r="Q4125" s="217"/>
      <c r="R4125" s="217"/>
      <c r="S4125" s="218"/>
    </row>
    <row r="4126" spans="13:19" ht="15" customHeight="1" x14ac:dyDescent="0.25">
      <c r="M4126"/>
      <c r="N4126"/>
      <c r="O4126"/>
      <c r="P4126" s="216"/>
      <c r="Q4126" s="217"/>
      <c r="R4126" s="217"/>
      <c r="S4126" s="218"/>
    </row>
    <row r="4127" spans="13:19" ht="15" customHeight="1" x14ac:dyDescent="0.25">
      <c r="M4127"/>
      <c r="N4127"/>
      <c r="O4127"/>
      <c r="P4127" s="216"/>
      <c r="Q4127" s="217"/>
      <c r="R4127" s="217"/>
      <c r="S4127" s="218"/>
    </row>
    <row r="4128" spans="13:19" ht="15" customHeight="1" x14ac:dyDescent="0.25">
      <c r="M4128"/>
      <c r="N4128"/>
      <c r="O4128"/>
      <c r="P4128" s="216"/>
      <c r="Q4128" s="217"/>
      <c r="R4128" s="217"/>
      <c r="S4128" s="218"/>
    </row>
    <row r="4129" spans="13:19" ht="15" customHeight="1" x14ac:dyDescent="0.25">
      <c r="M4129"/>
      <c r="N4129"/>
      <c r="O4129"/>
      <c r="P4129" s="216"/>
      <c r="Q4129" s="217"/>
      <c r="R4129" s="217"/>
      <c r="S4129" s="218"/>
    </row>
    <row r="4130" spans="13:19" ht="15" customHeight="1" x14ac:dyDescent="0.25">
      <c r="M4130"/>
      <c r="N4130"/>
      <c r="O4130"/>
      <c r="P4130" s="216"/>
      <c r="Q4130" s="217"/>
      <c r="R4130" s="217"/>
      <c r="S4130" s="218"/>
    </row>
    <row r="4131" spans="13:19" ht="15" customHeight="1" x14ac:dyDescent="0.25">
      <c r="M4131"/>
      <c r="N4131"/>
      <c r="O4131"/>
      <c r="P4131" s="216"/>
      <c r="Q4131" s="217"/>
      <c r="R4131" s="217"/>
      <c r="S4131" s="218"/>
    </row>
    <row r="4132" spans="13:19" ht="15" customHeight="1" x14ac:dyDescent="0.25">
      <c r="M4132"/>
      <c r="N4132"/>
      <c r="O4132"/>
      <c r="P4132" s="216"/>
      <c r="Q4132" s="217"/>
      <c r="R4132" s="217"/>
      <c r="S4132" s="218"/>
    </row>
    <row r="4133" spans="13:19" ht="15" customHeight="1" x14ac:dyDescent="0.25">
      <c r="M4133"/>
      <c r="N4133"/>
      <c r="O4133"/>
      <c r="P4133" s="216"/>
      <c r="Q4133" s="217"/>
      <c r="R4133" s="217"/>
      <c r="S4133" s="218"/>
    </row>
    <row r="4134" spans="13:19" ht="15" customHeight="1" x14ac:dyDescent="0.25">
      <c r="M4134"/>
      <c r="N4134"/>
      <c r="O4134"/>
      <c r="P4134" s="216"/>
      <c r="Q4134" s="217"/>
      <c r="R4134" s="217"/>
      <c r="S4134" s="218"/>
    </row>
    <row r="4135" spans="13:19" ht="15" customHeight="1" x14ac:dyDescent="0.25">
      <c r="M4135"/>
      <c r="N4135"/>
      <c r="O4135"/>
      <c r="P4135" s="216"/>
      <c r="Q4135" s="217"/>
      <c r="R4135" s="217"/>
      <c r="S4135" s="218"/>
    </row>
    <row r="4136" spans="13:19" ht="15" customHeight="1" x14ac:dyDescent="0.25">
      <c r="M4136"/>
      <c r="N4136"/>
      <c r="O4136"/>
      <c r="P4136" s="216"/>
      <c r="Q4136" s="217"/>
      <c r="R4136" s="217"/>
      <c r="S4136" s="218"/>
    </row>
    <row r="4137" spans="13:19" ht="15" customHeight="1" x14ac:dyDescent="0.25">
      <c r="M4137"/>
      <c r="N4137"/>
      <c r="O4137"/>
      <c r="P4137" s="216"/>
      <c r="Q4137" s="217"/>
      <c r="R4137" s="217"/>
      <c r="S4137" s="218"/>
    </row>
    <row r="4138" spans="13:19" ht="15" customHeight="1" x14ac:dyDescent="0.25">
      <c r="M4138"/>
      <c r="N4138"/>
      <c r="O4138"/>
      <c r="P4138" s="216"/>
      <c r="Q4138" s="217"/>
      <c r="R4138" s="217"/>
      <c r="S4138" s="218"/>
    </row>
    <row r="4139" spans="13:19" ht="15" customHeight="1" x14ac:dyDescent="0.25">
      <c r="M4139"/>
      <c r="N4139"/>
      <c r="O4139"/>
      <c r="P4139" s="216"/>
      <c r="Q4139" s="217"/>
      <c r="R4139" s="217"/>
      <c r="S4139" s="218"/>
    </row>
    <row r="4140" spans="13:19" ht="15" customHeight="1" x14ac:dyDescent="0.25">
      <c r="M4140"/>
      <c r="N4140"/>
      <c r="O4140"/>
      <c r="P4140" s="216"/>
      <c r="Q4140" s="217"/>
      <c r="R4140" s="217"/>
      <c r="S4140" s="218"/>
    </row>
    <row r="4141" spans="13:19" ht="15" customHeight="1" x14ac:dyDescent="0.25">
      <c r="M4141"/>
      <c r="N4141"/>
      <c r="O4141"/>
      <c r="P4141" s="216"/>
      <c r="Q4141" s="217"/>
      <c r="R4141" s="217"/>
      <c r="S4141" s="218"/>
    </row>
    <row r="4142" spans="13:19" ht="15" customHeight="1" x14ac:dyDescent="0.25">
      <c r="M4142"/>
      <c r="N4142"/>
      <c r="O4142"/>
      <c r="P4142" s="216"/>
      <c r="Q4142" s="217"/>
      <c r="R4142" s="217"/>
      <c r="S4142" s="218"/>
    </row>
    <row r="4143" spans="13:19" ht="15" customHeight="1" x14ac:dyDescent="0.25">
      <c r="M4143"/>
      <c r="N4143"/>
      <c r="O4143"/>
      <c r="P4143" s="216"/>
      <c r="Q4143" s="217"/>
      <c r="R4143" s="217"/>
      <c r="S4143" s="218"/>
    </row>
    <row r="4144" spans="13:19" ht="15" customHeight="1" x14ac:dyDescent="0.25">
      <c r="M4144"/>
      <c r="N4144"/>
      <c r="O4144"/>
      <c r="P4144" s="216"/>
      <c r="Q4144" s="217"/>
      <c r="R4144" s="217"/>
      <c r="S4144" s="218"/>
    </row>
    <row r="4145" spans="13:19" ht="15" customHeight="1" x14ac:dyDescent="0.25">
      <c r="M4145"/>
      <c r="N4145"/>
      <c r="O4145"/>
      <c r="P4145" s="216"/>
      <c r="Q4145" s="217"/>
      <c r="R4145" s="217"/>
      <c r="S4145" s="218"/>
    </row>
    <row r="4146" spans="13:19" ht="15" customHeight="1" x14ac:dyDescent="0.25">
      <c r="M4146"/>
      <c r="N4146"/>
      <c r="O4146"/>
      <c r="P4146" s="216"/>
      <c r="Q4146" s="217"/>
      <c r="R4146" s="217"/>
      <c r="S4146" s="218"/>
    </row>
    <row r="4147" spans="13:19" ht="15" customHeight="1" x14ac:dyDescent="0.25">
      <c r="M4147"/>
      <c r="N4147"/>
      <c r="O4147"/>
      <c r="P4147" s="216"/>
      <c r="Q4147" s="217"/>
      <c r="R4147" s="217"/>
      <c r="S4147" s="218"/>
    </row>
    <row r="4148" spans="13:19" ht="15" customHeight="1" x14ac:dyDescent="0.25">
      <c r="M4148"/>
      <c r="N4148"/>
      <c r="O4148"/>
      <c r="P4148" s="216"/>
      <c r="Q4148" s="217"/>
      <c r="R4148" s="217"/>
      <c r="S4148" s="218"/>
    </row>
    <row r="4149" spans="13:19" ht="15" customHeight="1" x14ac:dyDescent="0.25">
      <c r="M4149"/>
      <c r="N4149"/>
      <c r="O4149"/>
      <c r="P4149" s="216"/>
      <c r="Q4149" s="217"/>
      <c r="R4149" s="217"/>
      <c r="S4149" s="218"/>
    </row>
    <row r="4150" spans="13:19" ht="15" customHeight="1" x14ac:dyDescent="0.25">
      <c r="M4150"/>
      <c r="N4150"/>
      <c r="O4150"/>
      <c r="P4150" s="216"/>
      <c r="Q4150" s="217"/>
      <c r="R4150" s="217"/>
      <c r="S4150" s="218"/>
    </row>
    <row r="4151" spans="13:19" ht="15" customHeight="1" x14ac:dyDescent="0.25">
      <c r="M4151"/>
      <c r="N4151"/>
      <c r="O4151"/>
      <c r="P4151" s="216"/>
      <c r="Q4151" s="217"/>
      <c r="R4151" s="217"/>
      <c r="S4151" s="218"/>
    </row>
    <row r="4152" spans="13:19" ht="15" customHeight="1" x14ac:dyDescent="0.25">
      <c r="M4152"/>
      <c r="N4152"/>
      <c r="O4152"/>
      <c r="P4152" s="216"/>
      <c r="Q4152" s="217"/>
      <c r="R4152" s="217"/>
      <c r="S4152" s="218"/>
    </row>
    <row r="4153" spans="13:19" ht="15" customHeight="1" x14ac:dyDescent="0.25">
      <c r="M4153"/>
      <c r="N4153"/>
      <c r="O4153"/>
      <c r="P4153" s="216"/>
      <c r="Q4153" s="217"/>
      <c r="R4153" s="217"/>
      <c r="S4153" s="218"/>
    </row>
    <row r="4154" spans="13:19" ht="15" customHeight="1" x14ac:dyDescent="0.25">
      <c r="M4154"/>
      <c r="N4154"/>
      <c r="O4154"/>
      <c r="P4154" s="216"/>
      <c r="Q4154" s="217"/>
      <c r="R4154" s="217"/>
      <c r="S4154" s="218"/>
    </row>
    <row r="4155" spans="13:19" ht="15" customHeight="1" x14ac:dyDescent="0.25">
      <c r="M4155"/>
      <c r="N4155"/>
      <c r="O4155"/>
      <c r="P4155" s="216"/>
      <c r="Q4155" s="217"/>
      <c r="R4155" s="217"/>
      <c r="S4155" s="218"/>
    </row>
    <row r="4156" spans="13:19" ht="15" customHeight="1" x14ac:dyDescent="0.25">
      <c r="M4156"/>
      <c r="N4156"/>
      <c r="O4156"/>
      <c r="P4156" s="216"/>
      <c r="Q4156" s="217"/>
      <c r="R4156" s="217"/>
      <c r="S4156" s="218"/>
    </row>
    <row r="4157" spans="13:19" ht="15" customHeight="1" x14ac:dyDescent="0.25">
      <c r="M4157"/>
      <c r="N4157"/>
      <c r="O4157"/>
      <c r="P4157" s="216"/>
      <c r="Q4157" s="217"/>
      <c r="R4157" s="217"/>
      <c r="S4157" s="218"/>
    </row>
    <row r="4158" spans="13:19" ht="15" customHeight="1" x14ac:dyDescent="0.25">
      <c r="M4158"/>
      <c r="N4158"/>
      <c r="O4158"/>
      <c r="P4158" s="216"/>
      <c r="Q4158" s="217"/>
      <c r="R4158" s="217"/>
      <c r="S4158" s="218"/>
    </row>
    <row r="4159" spans="13:19" ht="15" customHeight="1" x14ac:dyDescent="0.25">
      <c r="M4159"/>
      <c r="N4159"/>
      <c r="O4159"/>
      <c r="P4159" s="216"/>
      <c r="Q4159" s="217"/>
      <c r="R4159" s="217"/>
      <c r="S4159" s="218"/>
    </row>
    <row r="4160" spans="13:19" ht="15" customHeight="1" x14ac:dyDescent="0.25">
      <c r="M4160"/>
      <c r="N4160"/>
      <c r="O4160"/>
      <c r="P4160" s="216"/>
      <c r="Q4160" s="217"/>
      <c r="R4160" s="217"/>
      <c r="S4160" s="218"/>
    </row>
    <row r="4161" spans="13:19" ht="15" customHeight="1" x14ac:dyDescent="0.25">
      <c r="M4161"/>
      <c r="N4161"/>
      <c r="O4161"/>
      <c r="P4161" s="216"/>
      <c r="Q4161" s="217"/>
      <c r="R4161" s="217"/>
      <c r="S4161" s="218"/>
    </row>
    <row r="4162" spans="13:19" ht="15" customHeight="1" x14ac:dyDescent="0.25">
      <c r="M4162"/>
      <c r="N4162"/>
      <c r="O4162"/>
      <c r="P4162" s="216"/>
      <c r="Q4162" s="217"/>
      <c r="R4162" s="217"/>
      <c r="S4162" s="218"/>
    </row>
    <row r="4163" spans="13:19" ht="15" customHeight="1" x14ac:dyDescent="0.25">
      <c r="M4163"/>
      <c r="N4163"/>
      <c r="O4163"/>
      <c r="P4163" s="216"/>
      <c r="Q4163" s="217"/>
      <c r="R4163" s="217"/>
      <c r="S4163" s="218"/>
    </row>
    <row r="4164" spans="13:19" ht="15" customHeight="1" x14ac:dyDescent="0.25">
      <c r="M4164"/>
      <c r="N4164"/>
      <c r="O4164"/>
      <c r="P4164" s="216"/>
      <c r="Q4164" s="217"/>
      <c r="R4164" s="217"/>
      <c r="S4164" s="218"/>
    </row>
    <row r="4165" spans="13:19" ht="15" customHeight="1" x14ac:dyDescent="0.25">
      <c r="M4165"/>
      <c r="N4165"/>
      <c r="O4165"/>
      <c r="P4165" s="216"/>
      <c r="Q4165" s="217"/>
      <c r="R4165" s="217"/>
      <c r="S4165" s="218"/>
    </row>
    <row r="4166" spans="13:19" ht="15" customHeight="1" x14ac:dyDescent="0.25">
      <c r="M4166"/>
      <c r="N4166"/>
      <c r="O4166"/>
      <c r="P4166" s="216"/>
      <c r="Q4166" s="217"/>
      <c r="R4166" s="217"/>
      <c r="S4166" s="218"/>
    </row>
    <row r="4167" spans="13:19" ht="15" customHeight="1" x14ac:dyDescent="0.25">
      <c r="M4167"/>
      <c r="N4167"/>
      <c r="O4167"/>
      <c r="P4167" s="216"/>
      <c r="Q4167" s="217"/>
      <c r="R4167" s="217"/>
      <c r="S4167" s="218"/>
    </row>
    <row r="4168" spans="13:19" ht="15" customHeight="1" x14ac:dyDescent="0.25">
      <c r="M4168"/>
      <c r="N4168"/>
      <c r="O4168"/>
      <c r="P4168" s="216"/>
      <c r="Q4168" s="217"/>
      <c r="R4168" s="217"/>
      <c r="S4168" s="218"/>
    </row>
    <row r="4169" spans="13:19" ht="15" customHeight="1" x14ac:dyDescent="0.25">
      <c r="M4169"/>
      <c r="N4169"/>
      <c r="O4169"/>
      <c r="P4169" s="216"/>
      <c r="Q4169" s="217"/>
      <c r="R4169" s="217"/>
      <c r="S4169" s="218"/>
    </row>
    <row r="4170" spans="13:19" ht="15" customHeight="1" x14ac:dyDescent="0.25">
      <c r="M4170"/>
      <c r="N4170"/>
      <c r="O4170"/>
      <c r="P4170" s="216"/>
      <c r="Q4170" s="217"/>
      <c r="R4170" s="217"/>
      <c r="S4170" s="218"/>
    </row>
    <row r="4171" spans="13:19" ht="15" customHeight="1" x14ac:dyDescent="0.25">
      <c r="M4171"/>
      <c r="N4171"/>
      <c r="O4171"/>
      <c r="P4171" s="216"/>
      <c r="Q4171" s="217"/>
      <c r="R4171" s="217"/>
      <c r="S4171" s="218"/>
    </row>
    <row r="4172" spans="13:19" ht="15" customHeight="1" x14ac:dyDescent="0.25">
      <c r="M4172"/>
      <c r="N4172"/>
      <c r="O4172"/>
      <c r="P4172" s="216"/>
      <c r="Q4172" s="217"/>
      <c r="R4172" s="217"/>
      <c r="S4172" s="218"/>
    </row>
    <row r="4173" spans="13:19" ht="15" customHeight="1" x14ac:dyDescent="0.25">
      <c r="M4173"/>
      <c r="N4173"/>
      <c r="O4173"/>
      <c r="P4173" s="216"/>
      <c r="Q4173" s="217"/>
      <c r="R4173" s="217"/>
      <c r="S4173" s="218"/>
    </row>
    <row r="4174" spans="13:19" ht="15" customHeight="1" x14ac:dyDescent="0.25">
      <c r="M4174"/>
      <c r="N4174"/>
      <c r="O4174"/>
      <c r="P4174" s="216"/>
      <c r="Q4174" s="217"/>
      <c r="R4174" s="217"/>
      <c r="S4174" s="218"/>
    </row>
    <row r="4175" spans="13:19" ht="15" customHeight="1" x14ac:dyDescent="0.25">
      <c r="M4175"/>
      <c r="N4175"/>
      <c r="O4175"/>
      <c r="P4175" s="216"/>
      <c r="Q4175" s="217"/>
      <c r="R4175" s="217"/>
      <c r="S4175" s="218"/>
    </row>
    <row r="4176" spans="13:19" ht="15" customHeight="1" x14ac:dyDescent="0.25">
      <c r="M4176"/>
      <c r="N4176"/>
      <c r="O4176"/>
      <c r="P4176" s="216"/>
      <c r="Q4176" s="217"/>
      <c r="R4176" s="217"/>
      <c r="S4176" s="218"/>
    </row>
    <row r="4177" spans="13:19" ht="15" customHeight="1" x14ac:dyDescent="0.25">
      <c r="M4177"/>
      <c r="N4177"/>
      <c r="O4177"/>
      <c r="P4177" s="216"/>
      <c r="Q4177" s="217"/>
      <c r="R4177" s="217"/>
      <c r="S4177" s="218"/>
    </row>
    <row r="4178" spans="13:19" ht="15" customHeight="1" x14ac:dyDescent="0.25">
      <c r="M4178"/>
      <c r="N4178"/>
      <c r="O4178"/>
      <c r="P4178" s="216"/>
      <c r="Q4178" s="217"/>
      <c r="R4178" s="217"/>
      <c r="S4178" s="218"/>
    </row>
    <row r="4179" spans="13:19" ht="15" customHeight="1" x14ac:dyDescent="0.25">
      <c r="M4179"/>
      <c r="N4179"/>
      <c r="O4179"/>
      <c r="P4179" s="216"/>
      <c r="Q4179" s="217"/>
      <c r="R4179" s="217"/>
      <c r="S4179" s="218"/>
    </row>
    <row r="4180" spans="13:19" ht="15" customHeight="1" x14ac:dyDescent="0.25">
      <c r="M4180"/>
      <c r="N4180"/>
      <c r="O4180"/>
      <c r="P4180" s="216"/>
      <c r="Q4180" s="217"/>
      <c r="R4180" s="217"/>
      <c r="S4180" s="218"/>
    </row>
    <row r="4181" spans="13:19" ht="15" customHeight="1" x14ac:dyDescent="0.25">
      <c r="M4181"/>
      <c r="N4181"/>
      <c r="O4181"/>
      <c r="P4181" s="216"/>
      <c r="Q4181" s="217"/>
      <c r="R4181" s="217"/>
      <c r="S4181" s="218"/>
    </row>
    <row r="4182" spans="13:19" ht="15" customHeight="1" x14ac:dyDescent="0.25">
      <c r="M4182"/>
      <c r="N4182"/>
      <c r="O4182"/>
      <c r="P4182" s="216"/>
      <c r="Q4182" s="217"/>
      <c r="R4182" s="217"/>
      <c r="S4182" s="218"/>
    </row>
    <row r="4183" spans="13:19" ht="15" customHeight="1" x14ac:dyDescent="0.25">
      <c r="M4183"/>
      <c r="N4183"/>
      <c r="O4183"/>
      <c r="P4183" s="216"/>
      <c r="Q4183" s="217"/>
      <c r="R4183" s="217"/>
      <c r="S4183" s="218"/>
    </row>
    <row r="4184" spans="13:19" ht="15" customHeight="1" x14ac:dyDescent="0.25">
      <c r="M4184"/>
      <c r="N4184"/>
      <c r="O4184"/>
      <c r="P4184" s="216"/>
      <c r="Q4184" s="217"/>
      <c r="R4184" s="217"/>
      <c r="S4184" s="218"/>
    </row>
    <row r="4185" spans="13:19" ht="15" customHeight="1" x14ac:dyDescent="0.25">
      <c r="M4185"/>
      <c r="N4185"/>
      <c r="O4185"/>
      <c r="P4185" s="216"/>
      <c r="Q4185" s="217"/>
      <c r="R4185" s="217"/>
      <c r="S4185" s="218"/>
    </row>
    <row r="4186" spans="13:19" ht="15" customHeight="1" x14ac:dyDescent="0.25">
      <c r="M4186"/>
      <c r="N4186"/>
      <c r="O4186"/>
      <c r="P4186" s="216"/>
      <c r="Q4186" s="217"/>
      <c r="R4186" s="217"/>
      <c r="S4186" s="218"/>
    </row>
    <row r="4187" spans="13:19" ht="15" customHeight="1" x14ac:dyDescent="0.25">
      <c r="M4187"/>
      <c r="N4187"/>
      <c r="O4187"/>
      <c r="P4187" s="216"/>
      <c r="Q4187" s="217"/>
      <c r="R4187" s="217"/>
      <c r="S4187" s="218"/>
    </row>
    <row r="4188" spans="13:19" ht="15" customHeight="1" x14ac:dyDescent="0.25">
      <c r="M4188"/>
      <c r="N4188"/>
      <c r="O4188"/>
      <c r="P4188" s="216"/>
      <c r="Q4188" s="217"/>
      <c r="R4188" s="217"/>
      <c r="S4188" s="218"/>
    </row>
    <row r="4189" spans="13:19" ht="15" customHeight="1" x14ac:dyDescent="0.25">
      <c r="M4189"/>
      <c r="N4189"/>
      <c r="O4189"/>
      <c r="P4189" s="216"/>
      <c r="Q4189" s="217"/>
      <c r="R4189" s="217"/>
      <c r="S4189" s="218"/>
    </row>
    <row r="4190" spans="13:19" ht="15" customHeight="1" x14ac:dyDescent="0.25">
      <c r="M4190"/>
      <c r="N4190"/>
      <c r="O4190"/>
      <c r="P4190" s="216"/>
      <c r="Q4190" s="217"/>
      <c r="R4190" s="217"/>
      <c r="S4190" s="218"/>
    </row>
    <row r="4191" spans="13:19" ht="15" customHeight="1" x14ac:dyDescent="0.25">
      <c r="M4191"/>
      <c r="N4191"/>
      <c r="O4191"/>
      <c r="P4191" s="216"/>
      <c r="Q4191" s="217"/>
      <c r="R4191" s="217"/>
      <c r="S4191" s="218"/>
    </row>
    <row r="4192" spans="13:19" ht="15" customHeight="1" x14ac:dyDescent="0.25">
      <c r="M4192"/>
      <c r="N4192"/>
      <c r="O4192"/>
      <c r="P4192" s="216"/>
      <c r="Q4192" s="217"/>
      <c r="R4192" s="217"/>
      <c r="S4192" s="218"/>
    </row>
    <row r="4193" spans="13:19" ht="15" customHeight="1" x14ac:dyDescent="0.25">
      <c r="M4193"/>
      <c r="N4193"/>
      <c r="O4193"/>
      <c r="P4193" s="216"/>
      <c r="Q4193" s="217"/>
      <c r="R4193" s="217"/>
      <c r="S4193" s="218"/>
    </row>
    <row r="4194" spans="13:19" ht="15" customHeight="1" x14ac:dyDescent="0.25">
      <c r="M4194"/>
      <c r="N4194"/>
      <c r="O4194"/>
      <c r="P4194" s="216"/>
      <c r="Q4194" s="217"/>
      <c r="R4194" s="217"/>
      <c r="S4194" s="218"/>
    </row>
    <row r="4195" spans="13:19" ht="15" customHeight="1" x14ac:dyDescent="0.25">
      <c r="M4195"/>
      <c r="N4195"/>
      <c r="O4195"/>
      <c r="P4195" s="216"/>
      <c r="Q4195" s="217"/>
      <c r="R4195" s="217"/>
      <c r="S4195" s="218"/>
    </row>
    <row r="4196" spans="13:19" ht="15" customHeight="1" x14ac:dyDescent="0.25">
      <c r="M4196"/>
      <c r="N4196"/>
      <c r="O4196"/>
      <c r="P4196" s="216"/>
      <c r="Q4196" s="217"/>
      <c r="R4196" s="217"/>
      <c r="S4196" s="218"/>
    </row>
    <row r="4197" spans="13:19" ht="15" customHeight="1" x14ac:dyDescent="0.25">
      <c r="M4197"/>
      <c r="N4197"/>
      <c r="O4197"/>
      <c r="P4197" s="216"/>
      <c r="Q4197" s="217"/>
      <c r="R4197" s="217"/>
      <c r="S4197" s="218"/>
    </row>
    <row r="4198" spans="13:19" ht="15" customHeight="1" x14ac:dyDescent="0.25">
      <c r="M4198"/>
      <c r="N4198"/>
      <c r="O4198"/>
      <c r="P4198" s="216"/>
      <c r="Q4198" s="217"/>
      <c r="R4198" s="217"/>
      <c r="S4198" s="218"/>
    </row>
    <row r="4199" spans="13:19" ht="15" customHeight="1" x14ac:dyDescent="0.25">
      <c r="M4199"/>
      <c r="N4199"/>
      <c r="O4199"/>
      <c r="P4199" s="216"/>
      <c r="Q4199" s="217"/>
      <c r="R4199" s="217"/>
      <c r="S4199" s="218"/>
    </row>
    <row r="4200" spans="13:19" ht="15" customHeight="1" x14ac:dyDescent="0.25">
      <c r="M4200"/>
      <c r="N4200"/>
      <c r="O4200"/>
      <c r="P4200" s="216"/>
      <c r="Q4200" s="217"/>
      <c r="R4200" s="217"/>
      <c r="S4200" s="218"/>
    </row>
    <row r="4201" spans="13:19" ht="15" customHeight="1" x14ac:dyDescent="0.25">
      <c r="M4201"/>
      <c r="N4201"/>
      <c r="O4201"/>
      <c r="P4201" s="216"/>
      <c r="Q4201" s="217"/>
      <c r="R4201" s="217"/>
      <c r="S4201" s="218"/>
    </row>
    <row r="4202" spans="13:19" ht="15" customHeight="1" x14ac:dyDescent="0.25">
      <c r="M4202"/>
      <c r="N4202"/>
      <c r="O4202"/>
      <c r="P4202" s="216"/>
      <c r="Q4202" s="217"/>
      <c r="R4202" s="217"/>
      <c r="S4202" s="218"/>
    </row>
    <row r="4203" spans="13:19" ht="15" customHeight="1" x14ac:dyDescent="0.25">
      <c r="M4203"/>
      <c r="N4203"/>
      <c r="O4203"/>
      <c r="P4203" s="216"/>
      <c r="Q4203" s="217"/>
      <c r="R4203" s="217"/>
      <c r="S4203" s="218"/>
    </row>
    <row r="4204" spans="13:19" ht="15" customHeight="1" x14ac:dyDescent="0.25">
      <c r="M4204"/>
      <c r="N4204"/>
      <c r="O4204"/>
      <c r="P4204" s="216"/>
      <c r="Q4204" s="217"/>
      <c r="R4204" s="217"/>
      <c r="S4204" s="218"/>
    </row>
    <row r="4205" spans="13:19" ht="15" customHeight="1" x14ac:dyDescent="0.25">
      <c r="M4205"/>
      <c r="N4205"/>
      <c r="O4205"/>
      <c r="P4205" s="216"/>
      <c r="Q4205" s="217"/>
      <c r="R4205" s="217"/>
      <c r="S4205" s="218"/>
    </row>
    <row r="4206" spans="13:19" ht="15" customHeight="1" x14ac:dyDescent="0.25">
      <c r="M4206"/>
      <c r="N4206"/>
      <c r="O4206"/>
      <c r="P4206" s="216"/>
      <c r="Q4206" s="217"/>
      <c r="R4206" s="217"/>
      <c r="S4206" s="218"/>
    </row>
    <row r="4207" spans="13:19" ht="15" customHeight="1" x14ac:dyDescent="0.25">
      <c r="M4207"/>
      <c r="N4207"/>
      <c r="O4207"/>
      <c r="P4207" s="216"/>
      <c r="Q4207" s="217"/>
      <c r="R4207" s="217"/>
      <c r="S4207" s="218"/>
    </row>
    <row r="4208" spans="13:19" ht="15" customHeight="1" x14ac:dyDescent="0.25">
      <c r="M4208"/>
      <c r="N4208"/>
      <c r="O4208"/>
      <c r="P4208" s="216"/>
      <c r="Q4208" s="217"/>
      <c r="R4208" s="217"/>
      <c r="S4208" s="218"/>
    </row>
    <row r="4209" spans="13:19" ht="15" customHeight="1" x14ac:dyDescent="0.25">
      <c r="M4209"/>
      <c r="N4209"/>
      <c r="O4209"/>
      <c r="P4209" s="216"/>
      <c r="Q4209" s="217"/>
      <c r="R4209" s="217"/>
      <c r="S4209" s="218"/>
    </row>
    <row r="4210" spans="13:19" ht="15" customHeight="1" x14ac:dyDescent="0.25">
      <c r="M4210"/>
      <c r="N4210"/>
      <c r="O4210"/>
      <c r="P4210" s="216"/>
      <c r="Q4210" s="217"/>
      <c r="R4210" s="217"/>
      <c r="S4210" s="218"/>
    </row>
    <row r="4211" spans="13:19" ht="15" customHeight="1" x14ac:dyDescent="0.25">
      <c r="M4211"/>
      <c r="N4211"/>
      <c r="O4211"/>
      <c r="P4211" s="216"/>
      <c r="Q4211" s="217"/>
      <c r="R4211" s="217"/>
      <c r="S4211" s="218"/>
    </row>
    <row r="4212" spans="13:19" ht="15" customHeight="1" x14ac:dyDescent="0.25">
      <c r="M4212"/>
      <c r="N4212"/>
      <c r="O4212"/>
      <c r="P4212" s="216"/>
      <c r="Q4212" s="217"/>
      <c r="R4212" s="217"/>
      <c r="S4212" s="218"/>
    </row>
    <row r="4213" spans="13:19" ht="15" customHeight="1" x14ac:dyDescent="0.25">
      <c r="M4213"/>
      <c r="N4213"/>
      <c r="O4213"/>
      <c r="P4213" s="216"/>
      <c r="Q4213" s="217"/>
      <c r="R4213" s="217"/>
      <c r="S4213" s="218"/>
    </row>
    <row r="4214" spans="13:19" ht="15" customHeight="1" x14ac:dyDescent="0.25">
      <c r="M4214"/>
      <c r="N4214"/>
      <c r="O4214"/>
      <c r="P4214" s="216"/>
      <c r="Q4214" s="217"/>
      <c r="R4214" s="217"/>
      <c r="S4214" s="218"/>
    </row>
    <row r="4215" spans="13:19" ht="15" customHeight="1" x14ac:dyDescent="0.25">
      <c r="M4215"/>
      <c r="N4215"/>
      <c r="O4215"/>
      <c r="P4215" s="216"/>
      <c r="Q4215" s="217"/>
      <c r="R4215" s="217"/>
      <c r="S4215" s="218"/>
    </row>
    <row r="4216" spans="13:19" ht="15" customHeight="1" x14ac:dyDescent="0.25">
      <c r="M4216"/>
      <c r="N4216"/>
      <c r="O4216"/>
      <c r="P4216" s="216"/>
      <c r="Q4216" s="217"/>
      <c r="R4216" s="217"/>
      <c r="S4216" s="218"/>
    </row>
    <row r="4217" spans="13:19" ht="15" customHeight="1" x14ac:dyDescent="0.25">
      <c r="M4217"/>
      <c r="N4217"/>
      <c r="O4217"/>
      <c r="P4217" s="216"/>
      <c r="Q4217" s="217"/>
      <c r="R4217" s="217"/>
      <c r="S4217" s="218"/>
    </row>
    <row r="4218" spans="13:19" ht="15" customHeight="1" x14ac:dyDescent="0.25">
      <c r="M4218"/>
      <c r="N4218"/>
      <c r="O4218"/>
      <c r="P4218" s="216"/>
      <c r="Q4218" s="217"/>
      <c r="R4218" s="217"/>
      <c r="S4218" s="218"/>
    </row>
    <row r="4219" spans="13:19" ht="15" customHeight="1" x14ac:dyDescent="0.25">
      <c r="M4219"/>
      <c r="N4219"/>
      <c r="O4219"/>
      <c r="P4219" s="216"/>
      <c r="Q4219" s="217"/>
      <c r="R4219" s="217"/>
      <c r="S4219" s="218"/>
    </row>
    <row r="4220" spans="13:19" ht="15" customHeight="1" x14ac:dyDescent="0.25">
      <c r="M4220"/>
      <c r="N4220"/>
      <c r="O4220"/>
      <c r="P4220" s="216"/>
      <c r="Q4220" s="217"/>
      <c r="R4220" s="217"/>
      <c r="S4220" s="218"/>
    </row>
    <row r="4221" spans="13:19" ht="15" customHeight="1" x14ac:dyDescent="0.25">
      <c r="M4221"/>
      <c r="N4221"/>
      <c r="O4221"/>
      <c r="P4221" s="216"/>
      <c r="Q4221" s="217"/>
      <c r="R4221" s="217"/>
      <c r="S4221" s="218"/>
    </row>
    <row r="4222" spans="13:19" ht="15" customHeight="1" x14ac:dyDescent="0.25">
      <c r="M4222"/>
      <c r="N4222"/>
      <c r="O4222"/>
      <c r="P4222" s="216"/>
      <c r="Q4222" s="217"/>
      <c r="R4222" s="217"/>
      <c r="S4222" s="218"/>
    </row>
    <row r="4223" spans="13:19" ht="15" customHeight="1" x14ac:dyDescent="0.25">
      <c r="M4223"/>
      <c r="N4223"/>
      <c r="O4223"/>
      <c r="P4223" s="216"/>
      <c r="Q4223" s="217"/>
      <c r="R4223" s="217"/>
      <c r="S4223" s="218"/>
    </row>
    <row r="4224" spans="13:19" ht="15" customHeight="1" x14ac:dyDescent="0.25">
      <c r="M4224"/>
      <c r="N4224"/>
      <c r="O4224"/>
      <c r="P4224" s="216"/>
      <c r="Q4224" s="217"/>
      <c r="R4224" s="217"/>
      <c r="S4224" s="218"/>
    </row>
    <row r="4225" spans="13:19" ht="15" customHeight="1" x14ac:dyDescent="0.25">
      <c r="M4225"/>
      <c r="N4225"/>
      <c r="O4225"/>
      <c r="P4225" s="216"/>
      <c r="Q4225" s="217"/>
      <c r="R4225" s="217"/>
      <c r="S4225" s="218"/>
    </row>
    <row r="4226" spans="13:19" ht="15" customHeight="1" x14ac:dyDescent="0.25">
      <c r="M4226"/>
      <c r="N4226"/>
      <c r="O4226"/>
      <c r="P4226" s="216"/>
      <c r="Q4226" s="217"/>
      <c r="R4226" s="217"/>
      <c r="S4226" s="218"/>
    </row>
    <row r="4227" spans="13:19" ht="15" customHeight="1" x14ac:dyDescent="0.25">
      <c r="M4227"/>
      <c r="N4227"/>
      <c r="O4227"/>
      <c r="P4227" s="216"/>
      <c r="Q4227" s="217"/>
      <c r="R4227" s="217"/>
      <c r="S4227" s="218"/>
    </row>
    <row r="4228" spans="13:19" ht="15" customHeight="1" x14ac:dyDescent="0.25">
      <c r="M4228"/>
      <c r="N4228"/>
      <c r="O4228"/>
      <c r="P4228" s="216"/>
      <c r="Q4228" s="217"/>
      <c r="R4228" s="217"/>
      <c r="S4228" s="218"/>
    </row>
    <row r="4229" spans="13:19" ht="15" customHeight="1" x14ac:dyDescent="0.25">
      <c r="M4229"/>
      <c r="N4229"/>
      <c r="O4229"/>
      <c r="P4229" s="216"/>
      <c r="Q4229" s="217"/>
      <c r="R4229" s="217"/>
      <c r="S4229" s="218"/>
    </row>
    <row r="4230" spans="13:19" ht="15" customHeight="1" x14ac:dyDescent="0.25">
      <c r="M4230"/>
      <c r="N4230"/>
      <c r="O4230"/>
      <c r="P4230" s="216"/>
      <c r="Q4230" s="217"/>
      <c r="R4230" s="217"/>
      <c r="S4230" s="218"/>
    </row>
    <row r="4231" spans="13:19" ht="15" customHeight="1" x14ac:dyDescent="0.25">
      <c r="M4231"/>
      <c r="N4231"/>
      <c r="O4231"/>
      <c r="P4231" s="216"/>
      <c r="Q4231" s="217"/>
      <c r="R4231" s="217"/>
      <c r="S4231" s="218"/>
    </row>
    <row r="4232" spans="13:19" ht="15" customHeight="1" x14ac:dyDescent="0.25">
      <c r="M4232"/>
      <c r="N4232"/>
      <c r="O4232"/>
      <c r="P4232" s="216"/>
      <c r="Q4232" s="217"/>
      <c r="R4232" s="217"/>
      <c r="S4232" s="218"/>
    </row>
    <row r="4233" spans="13:19" ht="15" customHeight="1" x14ac:dyDescent="0.25">
      <c r="M4233"/>
      <c r="N4233"/>
      <c r="O4233"/>
      <c r="P4233" s="216"/>
      <c r="Q4233" s="217"/>
      <c r="R4233" s="217"/>
      <c r="S4233" s="218"/>
    </row>
    <row r="4234" spans="13:19" ht="15" customHeight="1" x14ac:dyDescent="0.25">
      <c r="M4234"/>
      <c r="N4234"/>
      <c r="O4234"/>
      <c r="P4234" s="216"/>
      <c r="Q4234" s="217"/>
      <c r="R4234" s="217"/>
      <c r="S4234" s="218"/>
    </row>
    <row r="4235" spans="13:19" ht="15" customHeight="1" x14ac:dyDescent="0.25">
      <c r="M4235"/>
      <c r="N4235"/>
      <c r="O4235"/>
      <c r="P4235" s="216"/>
      <c r="Q4235" s="217"/>
      <c r="R4235" s="217"/>
      <c r="S4235" s="218"/>
    </row>
    <row r="4236" spans="13:19" ht="15" customHeight="1" x14ac:dyDescent="0.25">
      <c r="M4236"/>
      <c r="N4236"/>
      <c r="O4236"/>
      <c r="P4236" s="216"/>
      <c r="Q4236" s="217"/>
      <c r="R4236" s="217"/>
      <c r="S4236" s="218"/>
    </row>
    <row r="4237" spans="13:19" ht="15" customHeight="1" x14ac:dyDescent="0.25">
      <c r="M4237"/>
      <c r="N4237"/>
      <c r="O4237"/>
      <c r="P4237" s="216"/>
      <c r="Q4237" s="217"/>
      <c r="R4237" s="217"/>
      <c r="S4237" s="218"/>
    </row>
    <row r="4238" spans="13:19" ht="15" customHeight="1" x14ac:dyDescent="0.25">
      <c r="M4238"/>
      <c r="N4238"/>
      <c r="O4238"/>
      <c r="P4238" s="216"/>
      <c r="Q4238" s="217"/>
      <c r="R4238" s="217"/>
      <c r="S4238" s="218"/>
    </row>
    <row r="4239" spans="13:19" ht="15" customHeight="1" x14ac:dyDescent="0.25">
      <c r="M4239"/>
      <c r="N4239"/>
      <c r="O4239"/>
      <c r="P4239" s="216"/>
      <c r="Q4239" s="217"/>
      <c r="R4239" s="217"/>
      <c r="S4239" s="218"/>
    </row>
    <row r="4240" spans="13:19" ht="15" customHeight="1" x14ac:dyDescent="0.25">
      <c r="M4240"/>
      <c r="N4240"/>
      <c r="O4240"/>
      <c r="P4240" s="216"/>
      <c r="Q4240" s="217"/>
      <c r="R4240" s="217"/>
      <c r="S4240" s="218"/>
    </row>
    <row r="4241" spans="13:19" ht="15" customHeight="1" x14ac:dyDescent="0.25">
      <c r="M4241"/>
      <c r="N4241"/>
      <c r="O4241"/>
      <c r="P4241" s="216"/>
      <c r="Q4241" s="217"/>
      <c r="R4241" s="217"/>
      <c r="S4241" s="218"/>
    </row>
    <row r="4242" spans="13:19" ht="15" customHeight="1" x14ac:dyDescent="0.25">
      <c r="M4242"/>
      <c r="N4242"/>
      <c r="O4242"/>
      <c r="P4242" s="216"/>
      <c r="Q4242" s="217"/>
      <c r="R4242" s="217"/>
      <c r="S4242" s="218"/>
    </row>
    <row r="4243" spans="13:19" ht="15" customHeight="1" x14ac:dyDescent="0.25">
      <c r="M4243"/>
      <c r="N4243"/>
      <c r="O4243"/>
      <c r="P4243" s="216"/>
      <c r="Q4243" s="217"/>
      <c r="R4243" s="217"/>
      <c r="S4243" s="218"/>
    </row>
    <row r="4244" spans="13:19" ht="15" customHeight="1" x14ac:dyDescent="0.25">
      <c r="M4244"/>
      <c r="N4244"/>
      <c r="O4244"/>
      <c r="P4244" s="216"/>
      <c r="Q4244" s="217"/>
      <c r="R4244" s="217"/>
      <c r="S4244" s="218"/>
    </row>
    <row r="4245" spans="13:19" ht="15" customHeight="1" x14ac:dyDescent="0.25">
      <c r="M4245"/>
      <c r="N4245"/>
      <c r="O4245"/>
      <c r="P4245" s="216"/>
      <c r="Q4245" s="217"/>
      <c r="R4245" s="217"/>
      <c r="S4245" s="218"/>
    </row>
    <row r="4246" spans="13:19" ht="15" customHeight="1" x14ac:dyDescent="0.25">
      <c r="M4246"/>
      <c r="N4246"/>
      <c r="O4246"/>
      <c r="P4246" s="216"/>
      <c r="Q4246" s="217"/>
      <c r="R4246" s="217"/>
      <c r="S4246" s="218"/>
    </row>
    <row r="4247" spans="13:19" ht="15" customHeight="1" x14ac:dyDescent="0.25">
      <c r="M4247"/>
      <c r="N4247"/>
      <c r="O4247"/>
      <c r="P4247" s="216"/>
      <c r="Q4247" s="217"/>
      <c r="R4247" s="217"/>
      <c r="S4247" s="218"/>
    </row>
    <row r="4248" spans="13:19" ht="15" customHeight="1" x14ac:dyDescent="0.25">
      <c r="M4248"/>
      <c r="N4248"/>
      <c r="O4248"/>
      <c r="P4248" s="216"/>
      <c r="Q4248" s="217"/>
      <c r="R4248" s="217"/>
      <c r="S4248" s="218"/>
    </row>
    <row r="4249" spans="13:19" ht="15" customHeight="1" x14ac:dyDescent="0.25">
      <c r="M4249"/>
      <c r="N4249"/>
      <c r="O4249"/>
      <c r="P4249" s="216"/>
      <c r="Q4249" s="217"/>
      <c r="R4249" s="217"/>
      <c r="S4249" s="218"/>
    </row>
    <row r="4250" spans="13:19" ht="15" customHeight="1" x14ac:dyDescent="0.25">
      <c r="M4250"/>
      <c r="N4250"/>
      <c r="O4250"/>
      <c r="P4250" s="216"/>
      <c r="Q4250" s="217"/>
      <c r="R4250" s="217"/>
      <c r="S4250" s="218"/>
    </row>
    <row r="4251" spans="13:19" ht="15" customHeight="1" x14ac:dyDescent="0.25">
      <c r="M4251"/>
      <c r="N4251"/>
      <c r="O4251"/>
      <c r="P4251" s="216"/>
      <c r="Q4251" s="217"/>
      <c r="R4251" s="217"/>
      <c r="S4251" s="218"/>
    </row>
    <row r="4252" spans="13:19" ht="15" customHeight="1" x14ac:dyDescent="0.25">
      <c r="M4252"/>
      <c r="N4252"/>
      <c r="O4252"/>
      <c r="P4252" s="216"/>
      <c r="Q4252" s="217"/>
      <c r="R4252" s="217"/>
      <c r="S4252" s="218"/>
    </row>
    <row r="4253" spans="13:19" ht="15" customHeight="1" x14ac:dyDescent="0.25">
      <c r="M4253"/>
      <c r="N4253"/>
      <c r="O4253"/>
      <c r="P4253" s="216"/>
      <c r="Q4253" s="217"/>
      <c r="R4253" s="217"/>
      <c r="S4253" s="218"/>
    </row>
    <row r="4254" spans="13:19" ht="15" customHeight="1" x14ac:dyDescent="0.25">
      <c r="M4254"/>
      <c r="N4254"/>
      <c r="O4254"/>
      <c r="P4254" s="216"/>
      <c r="Q4254" s="217"/>
      <c r="R4254" s="217"/>
      <c r="S4254" s="218"/>
    </row>
    <row r="4255" spans="13:19" ht="15" customHeight="1" x14ac:dyDescent="0.25">
      <c r="M4255"/>
      <c r="N4255"/>
      <c r="O4255"/>
      <c r="P4255" s="216"/>
      <c r="Q4255" s="217"/>
      <c r="R4255" s="217"/>
      <c r="S4255" s="218"/>
    </row>
    <row r="4256" spans="13:19" ht="15" customHeight="1" x14ac:dyDescent="0.25">
      <c r="M4256"/>
      <c r="N4256"/>
      <c r="O4256"/>
      <c r="P4256" s="216"/>
      <c r="Q4256" s="217"/>
      <c r="R4256" s="217"/>
      <c r="S4256" s="218"/>
    </row>
    <row r="4257" spans="13:19" ht="15" customHeight="1" x14ac:dyDescent="0.25">
      <c r="M4257"/>
      <c r="N4257"/>
      <c r="O4257"/>
      <c r="P4257" s="216"/>
      <c r="Q4257" s="217"/>
      <c r="R4257" s="217"/>
      <c r="S4257" s="218"/>
    </row>
    <row r="4258" spans="13:19" ht="15" customHeight="1" x14ac:dyDescent="0.25">
      <c r="M4258"/>
      <c r="N4258"/>
      <c r="O4258"/>
      <c r="P4258" s="216"/>
      <c r="Q4258" s="217"/>
      <c r="R4258" s="217"/>
      <c r="S4258" s="218"/>
    </row>
    <row r="4259" spans="13:19" ht="15" customHeight="1" x14ac:dyDescent="0.25">
      <c r="M4259"/>
      <c r="N4259"/>
      <c r="O4259"/>
      <c r="P4259" s="216"/>
      <c r="Q4259" s="217"/>
      <c r="R4259" s="217"/>
      <c r="S4259" s="218"/>
    </row>
    <row r="4260" spans="13:19" ht="15" customHeight="1" x14ac:dyDescent="0.25">
      <c r="M4260"/>
      <c r="N4260"/>
      <c r="O4260"/>
      <c r="P4260" s="216"/>
      <c r="Q4260" s="217"/>
      <c r="R4260" s="217"/>
      <c r="S4260" s="218"/>
    </row>
    <row r="4261" spans="13:19" ht="15" customHeight="1" x14ac:dyDescent="0.25">
      <c r="M4261"/>
      <c r="N4261"/>
      <c r="O4261"/>
      <c r="P4261" s="216"/>
      <c r="Q4261" s="217"/>
      <c r="R4261" s="217"/>
      <c r="S4261" s="218"/>
    </row>
    <row r="4262" spans="13:19" ht="15" customHeight="1" x14ac:dyDescent="0.25">
      <c r="M4262"/>
      <c r="N4262"/>
      <c r="O4262"/>
      <c r="P4262" s="216"/>
      <c r="Q4262" s="217"/>
      <c r="R4262" s="217"/>
      <c r="S4262" s="218"/>
    </row>
    <row r="4263" spans="13:19" ht="15" customHeight="1" x14ac:dyDescent="0.25">
      <c r="M4263"/>
      <c r="N4263"/>
      <c r="O4263"/>
      <c r="P4263" s="216"/>
      <c r="Q4263" s="217"/>
      <c r="R4263" s="217"/>
      <c r="S4263" s="218"/>
    </row>
    <row r="4264" spans="13:19" ht="15" customHeight="1" x14ac:dyDescent="0.25">
      <c r="M4264"/>
      <c r="N4264"/>
      <c r="O4264"/>
      <c r="P4264" s="216"/>
      <c r="Q4264" s="217"/>
      <c r="R4264" s="217"/>
      <c r="S4264" s="218"/>
    </row>
    <row r="4265" spans="13:19" ht="15" customHeight="1" x14ac:dyDescent="0.25">
      <c r="M4265"/>
      <c r="N4265"/>
      <c r="O4265"/>
      <c r="P4265" s="216"/>
      <c r="Q4265" s="217"/>
      <c r="R4265" s="217"/>
      <c r="S4265" s="218"/>
    </row>
    <row r="4266" spans="13:19" ht="15" customHeight="1" x14ac:dyDescent="0.25">
      <c r="M4266"/>
      <c r="N4266"/>
      <c r="O4266"/>
      <c r="P4266" s="216"/>
      <c r="Q4266" s="217"/>
      <c r="R4266" s="217"/>
      <c r="S4266" s="218"/>
    </row>
    <row r="4267" spans="13:19" ht="15" customHeight="1" x14ac:dyDescent="0.25">
      <c r="M4267"/>
      <c r="N4267"/>
      <c r="O4267"/>
      <c r="P4267" s="216"/>
      <c r="Q4267" s="217"/>
      <c r="R4267" s="217"/>
      <c r="S4267" s="218"/>
    </row>
    <row r="4268" spans="13:19" ht="15" customHeight="1" x14ac:dyDescent="0.25">
      <c r="M4268"/>
      <c r="N4268"/>
      <c r="O4268"/>
      <c r="P4268" s="216"/>
      <c r="Q4268" s="217"/>
      <c r="R4268" s="217"/>
      <c r="S4268" s="218"/>
    </row>
    <row r="4269" spans="13:19" ht="15" customHeight="1" x14ac:dyDescent="0.25">
      <c r="M4269"/>
      <c r="N4269"/>
      <c r="O4269"/>
      <c r="P4269" s="216"/>
      <c r="Q4269" s="217"/>
      <c r="R4269" s="217"/>
      <c r="S4269" s="218"/>
    </row>
    <row r="4270" spans="13:19" ht="15" customHeight="1" x14ac:dyDescent="0.25">
      <c r="M4270"/>
      <c r="N4270"/>
      <c r="O4270"/>
      <c r="P4270" s="216"/>
      <c r="Q4270" s="217"/>
      <c r="R4270" s="217"/>
      <c r="S4270" s="218"/>
    </row>
    <row r="4271" spans="13:19" ht="15" customHeight="1" x14ac:dyDescent="0.25">
      <c r="M4271"/>
      <c r="N4271"/>
      <c r="O4271"/>
      <c r="P4271" s="216"/>
      <c r="Q4271" s="217"/>
      <c r="R4271" s="217"/>
      <c r="S4271" s="218"/>
    </row>
    <row r="4272" spans="13:19" ht="15" customHeight="1" x14ac:dyDescent="0.25">
      <c r="M4272"/>
      <c r="N4272"/>
      <c r="O4272"/>
      <c r="P4272" s="216"/>
      <c r="Q4272" s="217"/>
      <c r="R4272" s="217"/>
      <c r="S4272" s="218"/>
    </row>
    <row r="4273" spans="13:19" ht="15" customHeight="1" x14ac:dyDescent="0.25">
      <c r="M4273"/>
      <c r="N4273"/>
      <c r="O4273"/>
      <c r="P4273" s="216"/>
      <c r="Q4273" s="217"/>
      <c r="R4273" s="217"/>
      <c r="S4273" s="218"/>
    </row>
    <row r="4274" spans="13:19" ht="15" customHeight="1" x14ac:dyDescent="0.25">
      <c r="M4274"/>
      <c r="N4274"/>
      <c r="O4274"/>
      <c r="P4274" s="216"/>
      <c r="Q4274" s="217"/>
      <c r="R4274" s="217"/>
      <c r="S4274" s="218"/>
    </row>
    <row r="4275" spans="13:19" ht="15" customHeight="1" x14ac:dyDescent="0.25">
      <c r="M4275"/>
      <c r="N4275"/>
      <c r="O4275"/>
      <c r="P4275" s="216"/>
      <c r="Q4275" s="217"/>
      <c r="R4275" s="217"/>
      <c r="S4275" s="218"/>
    </row>
    <row r="4276" spans="13:19" ht="15" customHeight="1" x14ac:dyDescent="0.25">
      <c r="M4276"/>
      <c r="N4276"/>
      <c r="O4276"/>
      <c r="P4276" s="216"/>
      <c r="Q4276" s="217"/>
      <c r="R4276" s="217"/>
      <c r="S4276" s="218"/>
    </row>
    <row r="4277" spans="13:19" ht="15" customHeight="1" x14ac:dyDescent="0.25">
      <c r="M4277"/>
      <c r="N4277"/>
      <c r="O4277"/>
      <c r="P4277" s="216"/>
      <c r="Q4277" s="217"/>
      <c r="R4277" s="217"/>
      <c r="S4277" s="218"/>
    </row>
    <row r="4278" spans="13:19" ht="15" customHeight="1" x14ac:dyDescent="0.25">
      <c r="M4278"/>
      <c r="N4278"/>
      <c r="O4278"/>
      <c r="P4278" s="216"/>
      <c r="Q4278" s="217"/>
      <c r="R4278" s="217"/>
      <c r="S4278" s="218"/>
    </row>
    <row r="4279" spans="13:19" ht="15" customHeight="1" x14ac:dyDescent="0.25">
      <c r="M4279"/>
      <c r="N4279"/>
      <c r="O4279"/>
      <c r="P4279" s="216"/>
      <c r="Q4279" s="217"/>
      <c r="R4279" s="217"/>
      <c r="S4279" s="218"/>
    </row>
    <row r="4280" spans="13:19" ht="15" customHeight="1" x14ac:dyDescent="0.25">
      <c r="M4280"/>
      <c r="N4280"/>
      <c r="O4280"/>
      <c r="P4280" s="216"/>
      <c r="Q4280" s="217"/>
      <c r="R4280" s="217"/>
      <c r="S4280" s="218"/>
    </row>
    <row r="4281" spans="13:19" ht="15" customHeight="1" x14ac:dyDescent="0.25">
      <c r="M4281"/>
      <c r="N4281"/>
      <c r="O4281"/>
      <c r="P4281" s="216"/>
      <c r="Q4281" s="217"/>
      <c r="R4281" s="217"/>
      <c r="S4281" s="218"/>
    </row>
    <row r="4282" spans="13:19" ht="15" customHeight="1" x14ac:dyDescent="0.25">
      <c r="M4282"/>
      <c r="N4282"/>
      <c r="O4282"/>
      <c r="P4282" s="216"/>
      <c r="Q4282" s="217"/>
      <c r="R4282" s="217"/>
      <c r="S4282" s="218"/>
    </row>
    <row r="4283" spans="13:19" ht="15" customHeight="1" x14ac:dyDescent="0.25">
      <c r="M4283"/>
      <c r="N4283"/>
      <c r="O4283"/>
      <c r="P4283" s="216"/>
      <c r="Q4283" s="217"/>
      <c r="R4283" s="217"/>
      <c r="S4283" s="218"/>
    </row>
    <row r="4284" spans="13:19" ht="15" customHeight="1" x14ac:dyDescent="0.25">
      <c r="M4284"/>
      <c r="N4284"/>
      <c r="O4284"/>
      <c r="P4284" s="216"/>
      <c r="Q4284" s="217"/>
      <c r="R4284" s="217"/>
      <c r="S4284" s="218"/>
    </row>
    <row r="4285" spans="13:19" ht="15" customHeight="1" x14ac:dyDescent="0.25">
      <c r="M4285"/>
      <c r="N4285"/>
      <c r="O4285"/>
      <c r="P4285" s="216"/>
      <c r="Q4285" s="217"/>
      <c r="R4285" s="217"/>
      <c r="S4285" s="218"/>
    </row>
    <row r="4286" spans="13:19" ht="15" customHeight="1" x14ac:dyDescent="0.25">
      <c r="M4286"/>
      <c r="N4286"/>
      <c r="O4286"/>
      <c r="P4286" s="216"/>
      <c r="Q4286" s="217"/>
      <c r="R4286" s="217"/>
      <c r="S4286" s="218"/>
    </row>
    <row r="4287" spans="13:19" ht="15" customHeight="1" x14ac:dyDescent="0.25">
      <c r="M4287"/>
      <c r="N4287"/>
      <c r="O4287"/>
      <c r="P4287" s="216"/>
      <c r="Q4287" s="217"/>
      <c r="R4287" s="217"/>
      <c r="S4287" s="218"/>
    </row>
    <row r="4288" spans="13:19" ht="15" customHeight="1" x14ac:dyDescent="0.25">
      <c r="M4288"/>
      <c r="N4288"/>
      <c r="O4288"/>
      <c r="P4288" s="216"/>
      <c r="Q4288" s="217"/>
      <c r="R4288" s="217"/>
      <c r="S4288" s="218"/>
    </row>
    <row r="4289" spans="13:19" ht="15" customHeight="1" x14ac:dyDescent="0.25">
      <c r="M4289"/>
      <c r="N4289"/>
      <c r="O4289"/>
      <c r="P4289" s="216"/>
      <c r="Q4289" s="217"/>
      <c r="R4289" s="217"/>
      <c r="S4289" s="218"/>
    </row>
    <row r="4290" spans="13:19" ht="15" customHeight="1" x14ac:dyDescent="0.25">
      <c r="M4290"/>
      <c r="N4290"/>
      <c r="O4290"/>
      <c r="P4290" s="216"/>
      <c r="Q4290" s="217"/>
      <c r="R4290" s="217"/>
      <c r="S4290" s="218"/>
    </row>
    <row r="4291" spans="13:19" ht="15" customHeight="1" x14ac:dyDescent="0.25">
      <c r="M4291"/>
      <c r="N4291"/>
      <c r="O4291"/>
      <c r="P4291" s="216"/>
      <c r="Q4291" s="217"/>
      <c r="R4291" s="217"/>
      <c r="S4291" s="218"/>
    </row>
    <row r="4292" spans="13:19" ht="15" customHeight="1" x14ac:dyDescent="0.25">
      <c r="M4292"/>
      <c r="N4292"/>
      <c r="O4292"/>
      <c r="P4292" s="216"/>
      <c r="Q4292" s="217"/>
      <c r="R4292" s="217"/>
      <c r="S4292" s="218"/>
    </row>
    <row r="4293" spans="13:19" ht="15" customHeight="1" x14ac:dyDescent="0.25">
      <c r="M4293"/>
      <c r="N4293"/>
      <c r="O4293"/>
      <c r="P4293" s="216"/>
      <c r="Q4293" s="217"/>
      <c r="R4293" s="217"/>
      <c r="S4293" s="218"/>
    </row>
    <row r="4294" spans="13:19" ht="15" customHeight="1" x14ac:dyDescent="0.25">
      <c r="M4294"/>
      <c r="N4294"/>
      <c r="O4294"/>
      <c r="P4294" s="216"/>
      <c r="Q4294" s="217"/>
      <c r="R4294" s="217"/>
      <c r="S4294" s="218"/>
    </row>
    <row r="4295" spans="13:19" ht="15" customHeight="1" x14ac:dyDescent="0.25">
      <c r="M4295"/>
      <c r="N4295"/>
      <c r="O4295"/>
      <c r="P4295" s="216"/>
      <c r="Q4295" s="217"/>
      <c r="R4295" s="217"/>
      <c r="S4295" s="218"/>
    </row>
    <row r="4296" spans="13:19" ht="15" customHeight="1" x14ac:dyDescent="0.25">
      <c r="M4296"/>
      <c r="N4296"/>
      <c r="O4296"/>
      <c r="P4296" s="216"/>
      <c r="Q4296" s="217"/>
      <c r="R4296" s="217"/>
      <c r="S4296" s="218"/>
    </row>
    <row r="4297" spans="13:19" ht="15" customHeight="1" x14ac:dyDescent="0.25">
      <c r="M4297"/>
      <c r="N4297"/>
      <c r="O4297"/>
      <c r="P4297" s="216"/>
      <c r="Q4297" s="217"/>
      <c r="R4297" s="217"/>
      <c r="S4297" s="218"/>
    </row>
    <row r="4298" spans="13:19" ht="15" customHeight="1" x14ac:dyDescent="0.25">
      <c r="M4298"/>
      <c r="N4298"/>
      <c r="O4298"/>
      <c r="P4298" s="216"/>
      <c r="Q4298" s="217"/>
      <c r="R4298" s="217"/>
      <c r="S4298" s="218"/>
    </row>
    <row r="4299" spans="13:19" ht="15" customHeight="1" x14ac:dyDescent="0.25">
      <c r="M4299"/>
      <c r="N4299"/>
      <c r="O4299"/>
      <c r="P4299" s="216"/>
      <c r="Q4299" s="217"/>
      <c r="R4299" s="217"/>
      <c r="S4299" s="218"/>
    </row>
    <row r="4300" spans="13:19" ht="15" customHeight="1" x14ac:dyDescent="0.25">
      <c r="M4300"/>
      <c r="N4300"/>
      <c r="O4300"/>
      <c r="P4300" s="216"/>
      <c r="Q4300" s="217"/>
      <c r="R4300" s="217"/>
      <c r="S4300" s="218"/>
    </row>
    <row r="4301" spans="13:19" ht="15" customHeight="1" x14ac:dyDescent="0.25">
      <c r="M4301"/>
      <c r="N4301"/>
      <c r="O4301"/>
      <c r="P4301" s="216"/>
      <c r="Q4301" s="217"/>
      <c r="R4301" s="217"/>
      <c r="S4301" s="218"/>
    </row>
    <row r="4302" spans="13:19" ht="15" customHeight="1" x14ac:dyDescent="0.25">
      <c r="M4302"/>
      <c r="N4302"/>
      <c r="O4302"/>
      <c r="P4302" s="216"/>
      <c r="Q4302" s="217"/>
      <c r="R4302" s="217"/>
      <c r="S4302" s="218"/>
    </row>
    <row r="4303" spans="13:19" ht="15" customHeight="1" x14ac:dyDescent="0.25">
      <c r="M4303"/>
      <c r="N4303"/>
      <c r="O4303"/>
      <c r="P4303" s="216"/>
      <c r="Q4303" s="217"/>
      <c r="R4303" s="217"/>
      <c r="S4303" s="218"/>
    </row>
    <row r="4304" spans="13:19" ht="15" customHeight="1" x14ac:dyDescent="0.25">
      <c r="M4304"/>
      <c r="N4304"/>
      <c r="O4304"/>
      <c r="P4304" s="216"/>
      <c r="Q4304" s="217"/>
      <c r="R4304" s="217"/>
      <c r="S4304" s="218"/>
    </row>
    <row r="4305" spans="13:19" ht="15" customHeight="1" x14ac:dyDescent="0.25">
      <c r="M4305"/>
      <c r="N4305"/>
      <c r="O4305"/>
      <c r="P4305" s="216"/>
      <c r="Q4305" s="217"/>
      <c r="R4305" s="217"/>
      <c r="S4305" s="218"/>
    </row>
    <row r="4306" spans="13:19" ht="15" customHeight="1" x14ac:dyDescent="0.25">
      <c r="M4306"/>
      <c r="N4306"/>
      <c r="O4306"/>
      <c r="P4306" s="216"/>
      <c r="Q4306" s="217"/>
      <c r="R4306" s="217"/>
      <c r="S4306" s="218"/>
    </row>
    <row r="4307" spans="13:19" ht="15" customHeight="1" x14ac:dyDescent="0.25">
      <c r="M4307"/>
      <c r="N4307"/>
      <c r="O4307"/>
      <c r="P4307" s="216"/>
      <c r="Q4307" s="217"/>
      <c r="R4307" s="217"/>
      <c r="S4307" s="218"/>
    </row>
    <row r="4308" spans="13:19" ht="15" customHeight="1" x14ac:dyDescent="0.25">
      <c r="M4308"/>
      <c r="N4308"/>
      <c r="O4308"/>
      <c r="P4308" s="216"/>
      <c r="Q4308" s="217"/>
      <c r="R4308" s="217"/>
      <c r="S4308" s="218"/>
    </row>
    <row r="4309" spans="13:19" ht="15" customHeight="1" x14ac:dyDescent="0.25">
      <c r="M4309"/>
      <c r="N4309"/>
      <c r="O4309"/>
      <c r="P4309" s="216"/>
      <c r="Q4309" s="217"/>
      <c r="R4309" s="217"/>
      <c r="S4309" s="218"/>
    </row>
    <row r="4310" spans="13:19" ht="15" customHeight="1" x14ac:dyDescent="0.25">
      <c r="M4310"/>
      <c r="N4310"/>
      <c r="O4310"/>
      <c r="P4310" s="216"/>
      <c r="Q4310" s="217"/>
      <c r="R4310" s="217"/>
      <c r="S4310" s="218"/>
    </row>
    <row r="4311" spans="13:19" ht="15" customHeight="1" x14ac:dyDescent="0.25">
      <c r="M4311"/>
      <c r="N4311"/>
      <c r="O4311"/>
      <c r="P4311" s="216"/>
      <c r="Q4311" s="217"/>
      <c r="R4311" s="217"/>
      <c r="S4311" s="218"/>
    </row>
    <row r="4312" spans="13:19" ht="15" customHeight="1" x14ac:dyDescent="0.25">
      <c r="M4312"/>
      <c r="N4312"/>
      <c r="O4312"/>
      <c r="P4312" s="216"/>
      <c r="Q4312" s="217"/>
      <c r="R4312" s="217"/>
      <c r="S4312" s="218"/>
    </row>
    <row r="4313" spans="13:19" ht="15" customHeight="1" x14ac:dyDescent="0.25">
      <c r="M4313"/>
      <c r="N4313"/>
      <c r="O4313"/>
      <c r="P4313" s="216"/>
      <c r="Q4313" s="217"/>
      <c r="R4313" s="217"/>
      <c r="S4313" s="218"/>
    </row>
    <row r="4314" spans="13:19" ht="15" customHeight="1" x14ac:dyDescent="0.25">
      <c r="M4314"/>
      <c r="N4314"/>
      <c r="O4314"/>
      <c r="P4314" s="216"/>
      <c r="Q4314" s="217"/>
      <c r="R4314" s="217"/>
      <c r="S4314" s="218"/>
    </row>
    <row r="4315" spans="13:19" ht="15" customHeight="1" x14ac:dyDescent="0.25">
      <c r="M4315"/>
      <c r="N4315"/>
      <c r="O4315"/>
      <c r="P4315" s="216"/>
      <c r="Q4315" s="217"/>
      <c r="R4315" s="217"/>
      <c r="S4315" s="218"/>
    </row>
    <row r="4316" spans="13:19" ht="15" customHeight="1" x14ac:dyDescent="0.25">
      <c r="M4316"/>
      <c r="N4316"/>
      <c r="O4316"/>
      <c r="P4316" s="216"/>
      <c r="Q4316" s="217"/>
      <c r="R4316" s="217"/>
      <c r="S4316" s="218"/>
    </row>
    <row r="4317" spans="13:19" ht="15" customHeight="1" x14ac:dyDescent="0.25">
      <c r="M4317"/>
      <c r="N4317"/>
      <c r="O4317"/>
      <c r="P4317" s="216"/>
      <c r="Q4317" s="217"/>
      <c r="R4317" s="217"/>
      <c r="S4317" s="218"/>
    </row>
    <row r="4318" spans="13:19" ht="15" customHeight="1" x14ac:dyDescent="0.25">
      <c r="M4318"/>
      <c r="N4318"/>
      <c r="O4318"/>
      <c r="P4318" s="216"/>
      <c r="Q4318" s="217"/>
      <c r="R4318" s="217"/>
      <c r="S4318" s="218"/>
    </row>
    <row r="4319" spans="13:19" ht="15" customHeight="1" x14ac:dyDescent="0.25">
      <c r="M4319"/>
      <c r="N4319"/>
      <c r="O4319"/>
      <c r="P4319" s="216"/>
      <c r="Q4319" s="217"/>
      <c r="R4319" s="217"/>
      <c r="S4319" s="218"/>
    </row>
    <row r="4320" spans="13:19" ht="15" customHeight="1" x14ac:dyDescent="0.25">
      <c r="M4320"/>
      <c r="N4320"/>
      <c r="O4320"/>
      <c r="P4320" s="216"/>
      <c r="Q4320" s="217"/>
      <c r="R4320" s="217"/>
      <c r="S4320" s="218"/>
    </row>
    <row r="4321" spans="13:19" ht="15" customHeight="1" x14ac:dyDescent="0.25">
      <c r="M4321"/>
      <c r="N4321"/>
      <c r="O4321"/>
      <c r="P4321" s="216"/>
      <c r="Q4321" s="217"/>
      <c r="R4321" s="217"/>
      <c r="S4321" s="218"/>
    </row>
    <row r="4322" spans="13:19" ht="15" customHeight="1" x14ac:dyDescent="0.25">
      <c r="M4322"/>
      <c r="N4322"/>
      <c r="O4322"/>
      <c r="P4322" s="216"/>
      <c r="Q4322" s="217"/>
      <c r="R4322" s="217"/>
      <c r="S4322" s="218"/>
    </row>
    <row r="4323" spans="13:19" ht="15" customHeight="1" x14ac:dyDescent="0.25">
      <c r="M4323"/>
      <c r="N4323"/>
      <c r="O4323"/>
      <c r="P4323" s="216"/>
      <c r="Q4323" s="217"/>
      <c r="R4323" s="217"/>
      <c r="S4323" s="218"/>
    </row>
    <row r="4324" spans="13:19" ht="15" customHeight="1" x14ac:dyDescent="0.25">
      <c r="M4324"/>
      <c r="N4324"/>
      <c r="O4324"/>
      <c r="P4324" s="216"/>
      <c r="Q4324" s="217"/>
      <c r="R4324" s="217"/>
      <c r="S4324" s="218"/>
    </row>
    <row r="4325" spans="13:19" ht="15" customHeight="1" x14ac:dyDescent="0.25">
      <c r="M4325"/>
      <c r="N4325"/>
      <c r="O4325"/>
      <c r="P4325" s="216"/>
      <c r="Q4325" s="217"/>
      <c r="R4325" s="217"/>
      <c r="S4325" s="218"/>
    </row>
    <row r="4326" spans="13:19" ht="15" customHeight="1" x14ac:dyDescent="0.25">
      <c r="M4326"/>
      <c r="N4326"/>
      <c r="O4326"/>
      <c r="P4326" s="216"/>
      <c r="Q4326" s="217"/>
      <c r="R4326" s="217"/>
      <c r="S4326" s="218"/>
    </row>
    <row r="4327" spans="13:19" ht="15" customHeight="1" x14ac:dyDescent="0.25">
      <c r="M4327"/>
      <c r="N4327"/>
      <c r="O4327"/>
      <c r="P4327" s="216"/>
      <c r="Q4327" s="217"/>
      <c r="R4327" s="217"/>
      <c r="S4327" s="218"/>
    </row>
    <row r="4328" spans="13:19" ht="15" customHeight="1" x14ac:dyDescent="0.25">
      <c r="M4328"/>
      <c r="N4328"/>
      <c r="O4328"/>
      <c r="P4328" s="216"/>
      <c r="Q4328" s="217"/>
      <c r="R4328" s="217"/>
      <c r="S4328" s="218"/>
    </row>
    <row r="4329" spans="13:19" ht="15" customHeight="1" x14ac:dyDescent="0.25">
      <c r="M4329"/>
      <c r="N4329"/>
      <c r="O4329"/>
      <c r="P4329" s="216"/>
      <c r="Q4329" s="217"/>
      <c r="R4329" s="217"/>
      <c r="S4329" s="218"/>
    </row>
    <row r="4330" spans="13:19" ht="15" customHeight="1" x14ac:dyDescent="0.25">
      <c r="M4330"/>
      <c r="N4330"/>
      <c r="O4330"/>
      <c r="P4330" s="216"/>
      <c r="Q4330" s="217"/>
      <c r="R4330" s="217"/>
      <c r="S4330" s="218"/>
    </row>
    <row r="4331" spans="13:19" ht="15" customHeight="1" x14ac:dyDescent="0.25">
      <c r="M4331"/>
      <c r="N4331"/>
      <c r="O4331"/>
      <c r="P4331" s="216"/>
      <c r="Q4331" s="217"/>
      <c r="R4331" s="217"/>
      <c r="S4331" s="218"/>
    </row>
    <row r="4332" spans="13:19" ht="15" customHeight="1" x14ac:dyDescent="0.25">
      <c r="M4332"/>
      <c r="N4332"/>
      <c r="O4332"/>
      <c r="P4332" s="216"/>
      <c r="Q4332" s="217"/>
      <c r="R4332" s="217"/>
      <c r="S4332" s="218"/>
    </row>
    <row r="4333" spans="13:19" ht="15" customHeight="1" x14ac:dyDescent="0.25">
      <c r="M4333"/>
      <c r="N4333"/>
      <c r="O4333"/>
      <c r="P4333" s="216"/>
      <c r="Q4333" s="217"/>
      <c r="R4333" s="217"/>
      <c r="S4333" s="218"/>
    </row>
    <row r="4334" spans="13:19" ht="15" customHeight="1" x14ac:dyDescent="0.25">
      <c r="M4334"/>
      <c r="N4334"/>
      <c r="O4334"/>
      <c r="P4334" s="216"/>
      <c r="Q4334" s="217"/>
      <c r="R4334" s="217"/>
      <c r="S4334" s="218"/>
    </row>
    <row r="4335" spans="13:19" ht="15" customHeight="1" x14ac:dyDescent="0.25">
      <c r="M4335"/>
      <c r="N4335"/>
      <c r="O4335"/>
      <c r="P4335" s="216"/>
      <c r="Q4335" s="217"/>
      <c r="R4335" s="217"/>
      <c r="S4335" s="218"/>
    </row>
    <row r="4336" spans="13:19" ht="15" customHeight="1" x14ac:dyDescent="0.25">
      <c r="M4336"/>
      <c r="N4336"/>
      <c r="O4336"/>
      <c r="P4336" s="216"/>
      <c r="Q4336" s="217"/>
      <c r="R4336" s="217"/>
      <c r="S4336" s="218"/>
    </row>
    <row r="4337" spans="13:19" ht="15" customHeight="1" x14ac:dyDescent="0.25">
      <c r="M4337"/>
      <c r="N4337"/>
      <c r="O4337"/>
      <c r="P4337" s="216"/>
      <c r="Q4337" s="217"/>
      <c r="R4337" s="217"/>
      <c r="S4337" s="218"/>
    </row>
    <row r="4338" spans="13:19" ht="15" customHeight="1" x14ac:dyDescent="0.25">
      <c r="M4338"/>
      <c r="N4338"/>
      <c r="O4338"/>
      <c r="P4338" s="216"/>
      <c r="Q4338" s="217"/>
      <c r="R4338" s="217"/>
      <c r="S4338" s="218"/>
    </row>
    <row r="4339" spans="13:19" ht="15" customHeight="1" x14ac:dyDescent="0.25">
      <c r="M4339"/>
      <c r="N4339"/>
      <c r="O4339"/>
      <c r="P4339" s="216"/>
      <c r="Q4339" s="217"/>
      <c r="R4339" s="217"/>
      <c r="S4339" s="218"/>
    </row>
    <row r="4340" spans="13:19" ht="15" customHeight="1" x14ac:dyDescent="0.25">
      <c r="M4340"/>
      <c r="N4340"/>
      <c r="O4340"/>
      <c r="P4340" s="216"/>
      <c r="Q4340" s="217"/>
      <c r="R4340" s="217"/>
      <c r="S4340" s="218"/>
    </row>
    <row r="4341" spans="13:19" ht="15" customHeight="1" x14ac:dyDescent="0.25">
      <c r="M4341"/>
      <c r="N4341"/>
      <c r="O4341"/>
      <c r="P4341" s="216"/>
      <c r="Q4341" s="217"/>
      <c r="R4341" s="217"/>
      <c r="S4341" s="218"/>
    </row>
    <row r="4342" spans="13:19" ht="15" customHeight="1" x14ac:dyDescent="0.25">
      <c r="M4342"/>
      <c r="N4342"/>
      <c r="O4342"/>
      <c r="P4342" s="216"/>
      <c r="Q4342" s="217"/>
      <c r="R4342" s="217"/>
      <c r="S4342" s="218"/>
    </row>
    <row r="4343" spans="13:19" ht="15" customHeight="1" x14ac:dyDescent="0.25">
      <c r="M4343"/>
      <c r="N4343"/>
      <c r="O4343"/>
      <c r="P4343" s="216"/>
      <c r="Q4343" s="217"/>
      <c r="R4343" s="217"/>
      <c r="S4343" s="218"/>
    </row>
    <row r="4344" spans="13:19" ht="15" customHeight="1" x14ac:dyDescent="0.25">
      <c r="M4344"/>
      <c r="N4344"/>
      <c r="O4344"/>
      <c r="P4344" s="216"/>
      <c r="Q4344" s="217"/>
      <c r="R4344" s="217"/>
      <c r="S4344" s="218"/>
    </row>
    <row r="4345" spans="13:19" ht="15" customHeight="1" x14ac:dyDescent="0.25">
      <c r="M4345"/>
      <c r="N4345"/>
      <c r="O4345"/>
      <c r="P4345" s="216"/>
      <c r="Q4345" s="217"/>
      <c r="R4345" s="217"/>
      <c r="S4345" s="218"/>
    </row>
    <row r="4346" spans="13:19" ht="15" customHeight="1" x14ac:dyDescent="0.25">
      <c r="M4346"/>
      <c r="N4346"/>
      <c r="O4346"/>
      <c r="P4346" s="216"/>
      <c r="Q4346" s="217"/>
      <c r="R4346" s="217"/>
      <c r="S4346" s="218"/>
    </row>
    <row r="4347" spans="13:19" ht="15" customHeight="1" x14ac:dyDescent="0.25">
      <c r="M4347"/>
      <c r="N4347"/>
      <c r="O4347"/>
      <c r="P4347" s="216"/>
      <c r="Q4347" s="217"/>
      <c r="R4347" s="217"/>
      <c r="S4347" s="218"/>
    </row>
    <row r="4348" spans="13:19" ht="15" customHeight="1" x14ac:dyDescent="0.25">
      <c r="M4348"/>
      <c r="N4348"/>
      <c r="O4348"/>
      <c r="P4348" s="216"/>
      <c r="Q4348" s="217"/>
      <c r="R4348" s="217"/>
      <c r="S4348" s="218"/>
    </row>
    <row r="4349" spans="13:19" ht="15" customHeight="1" x14ac:dyDescent="0.25">
      <c r="M4349"/>
      <c r="N4349"/>
      <c r="O4349"/>
      <c r="P4349" s="216"/>
      <c r="Q4349" s="217"/>
      <c r="R4349" s="217"/>
      <c r="S4349" s="218"/>
    </row>
    <row r="4350" spans="13:19" ht="15" customHeight="1" x14ac:dyDescent="0.25">
      <c r="M4350"/>
      <c r="N4350"/>
      <c r="O4350"/>
      <c r="P4350" s="216"/>
      <c r="Q4350" s="217"/>
      <c r="R4350" s="217"/>
      <c r="S4350" s="218"/>
    </row>
    <row r="4351" spans="13:19" ht="15" customHeight="1" x14ac:dyDescent="0.25">
      <c r="M4351"/>
      <c r="N4351"/>
      <c r="O4351"/>
      <c r="P4351" s="216"/>
      <c r="Q4351" s="217"/>
      <c r="R4351" s="217"/>
      <c r="S4351" s="218"/>
    </row>
    <row r="4352" spans="13:19" ht="15" customHeight="1" x14ac:dyDescent="0.25">
      <c r="M4352"/>
      <c r="N4352"/>
      <c r="O4352"/>
      <c r="P4352" s="216"/>
      <c r="Q4352" s="217"/>
      <c r="R4352" s="217"/>
      <c r="S4352" s="218"/>
    </row>
    <row r="4353" spans="13:19" ht="15" customHeight="1" x14ac:dyDescent="0.25">
      <c r="M4353"/>
      <c r="N4353"/>
      <c r="O4353"/>
      <c r="P4353" s="216"/>
      <c r="Q4353" s="217"/>
      <c r="R4353" s="217"/>
      <c r="S4353" s="218"/>
    </row>
    <row r="4354" spans="13:19" ht="15" customHeight="1" x14ac:dyDescent="0.25">
      <c r="M4354"/>
      <c r="N4354"/>
      <c r="O4354"/>
      <c r="P4354" s="216"/>
      <c r="Q4354" s="217"/>
      <c r="R4354" s="217"/>
      <c r="S4354" s="218"/>
    </row>
    <row r="4355" spans="13:19" ht="15" customHeight="1" x14ac:dyDescent="0.25">
      <c r="M4355"/>
      <c r="N4355"/>
      <c r="O4355"/>
      <c r="P4355" s="216"/>
      <c r="Q4355" s="217"/>
      <c r="R4355" s="217"/>
      <c r="S4355" s="218"/>
    </row>
    <row r="4356" spans="13:19" ht="15" customHeight="1" x14ac:dyDescent="0.25">
      <c r="M4356"/>
      <c r="N4356"/>
      <c r="O4356"/>
      <c r="P4356" s="216"/>
      <c r="Q4356" s="217"/>
      <c r="R4356" s="217"/>
      <c r="S4356" s="218"/>
    </row>
    <row r="4357" spans="13:19" ht="15" customHeight="1" x14ac:dyDescent="0.25">
      <c r="M4357"/>
      <c r="N4357"/>
      <c r="O4357"/>
      <c r="P4357" s="216"/>
      <c r="Q4357" s="217"/>
      <c r="R4357" s="217"/>
      <c r="S4357" s="218"/>
    </row>
    <row r="4358" spans="13:19" ht="15" customHeight="1" x14ac:dyDescent="0.25">
      <c r="M4358"/>
      <c r="N4358"/>
      <c r="O4358"/>
      <c r="P4358" s="216"/>
      <c r="Q4358" s="217"/>
      <c r="R4358" s="217"/>
      <c r="S4358" s="218"/>
    </row>
    <row r="4359" spans="13:19" ht="15" customHeight="1" x14ac:dyDescent="0.25">
      <c r="M4359"/>
      <c r="N4359"/>
      <c r="O4359"/>
      <c r="P4359" s="216"/>
      <c r="Q4359" s="217"/>
      <c r="R4359" s="217"/>
      <c r="S4359" s="218"/>
    </row>
    <row r="4360" spans="13:19" ht="15" customHeight="1" x14ac:dyDescent="0.25">
      <c r="M4360"/>
      <c r="N4360"/>
      <c r="O4360"/>
      <c r="P4360" s="216"/>
      <c r="Q4360" s="217"/>
      <c r="R4360" s="217"/>
      <c r="S4360" s="218"/>
    </row>
    <row r="4361" spans="13:19" ht="15" customHeight="1" x14ac:dyDescent="0.25">
      <c r="M4361"/>
      <c r="N4361"/>
      <c r="O4361"/>
      <c r="P4361" s="216"/>
      <c r="Q4361" s="217"/>
      <c r="R4361" s="217"/>
      <c r="S4361" s="218"/>
    </row>
    <row r="4362" spans="13:19" ht="15" customHeight="1" x14ac:dyDescent="0.25">
      <c r="M4362"/>
      <c r="N4362"/>
      <c r="O4362"/>
      <c r="P4362" s="216"/>
      <c r="Q4362" s="217"/>
      <c r="R4362" s="217"/>
      <c r="S4362" s="218"/>
    </row>
    <row r="4363" spans="13:19" ht="15" customHeight="1" x14ac:dyDescent="0.25">
      <c r="M4363"/>
      <c r="N4363"/>
      <c r="O4363"/>
      <c r="P4363" s="216"/>
      <c r="Q4363" s="217"/>
      <c r="R4363" s="217"/>
      <c r="S4363" s="218"/>
    </row>
    <row r="4364" spans="13:19" ht="15" customHeight="1" x14ac:dyDescent="0.25">
      <c r="M4364"/>
      <c r="N4364"/>
      <c r="O4364"/>
      <c r="P4364" s="216"/>
      <c r="Q4364" s="217"/>
      <c r="R4364" s="217"/>
      <c r="S4364" s="218"/>
    </row>
    <row r="4365" spans="13:19" ht="15" customHeight="1" x14ac:dyDescent="0.25">
      <c r="M4365"/>
      <c r="N4365"/>
      <c r="O4365"/>
      <c r="P4365" s="216"/>
      <c r="Q4365" s="217"/>
      <c r="R4365" s="217"/>
      <c r="S4365" s="218"/>
    </row>
    <row r="4366" spans="13:19" ht="15" customHeight="1" x14ac:dyDescent="0.25">
      <c r="M4366"/>
      <c r="N4366"/>
      <c r="O4366"/>
      <c r="P4366" s="216"/>
      <c r="Q4366" s="217"/>
      <c r="R4366" s="217"/>
      <c r="S4366" s="218"/>
    </row>
    <row r="4367" spans="13:19" ht="15" customHeight="1" x14ac:dyDescent="0.25">
      <c r="M4367"/>
      <c r="N4367"/>
      <c r="O4367"/>
      <c r="P4367" s="216"/>
      <c r="Q4367" s="217"/>
      <c r="R4367" s="217"/>
      <c r="S4367" s="218"/>
    </row>
    <row r="4368" spans="13:19" ht="15" customHeight="1" x14ac:dyDescent="0.25">
      <c r="M4368"/>
      <c r="N4368"/>
      <c r="O4368"/>
      <c r="P4368" s="216"/>
      <c r="Q4368" s="217"/>
      <c r="R4368" s="217"/>
      <c r="S4368" s="218"/>
    </row>
    <row r="4369" spans="13:19" ht="15" customHeight="1" x14ac:dyDescent="0.25">
      <c r="M4369"/>
      <c r="N4369"/>
      <c r="O4369"/>
      <c r="P4369" s="216"/>
      <c r="Q4369" s="217"/>
      <c r="R4369" s="217"/>
      <c r="S4369" s="218"/>
    </row>
    <row r="4370" spans="13:19" ht="15" customHeight="1" x14ac:dyDescent="0.25">
      <c r="M4370"/>
      <c r="N4370"/>
      <c r="O4370"/>
      <c r="P4370" s="216"/>
      <c r="Q4370" s="217"/>
      <c r="R4370" s="217"/>
      <c r="S4370" s="218"/>
    </row>
    <row r="4371" spans="13:19" ht="15" customHeight="1" x14ac:dyDescent="0.25">
      <c r="M4371"/>
      <c r="N4371"/>
      <c r="O4371"/>
      <c r="P4371" s="216"/>
      <c r="Q4371" s="217"/>
      <c r="R4371" s="217"/>
      <c r="S4371" s="218"/>
    </row>
    <row r="4372" spans="13:19" ht="15" customHeight="1" x14ac:dyDescent="0.25">
      <c r="M4372"/>
      <c r="N4372"/>
      <c r="O4372"/>
      <c r="P4372" s="216"/>
      <c r="Q4372" s="217"/>
      <c r="R4372" s="217"/>
      <c r="S4372" s="218"/>
    </row>
    <row r="4373" spans="13:19" ht="15" customHeight="1" x14ac:dyDescent="0.25">
      <c r="M4373"/>
      <c r="N4373"/>
      <c r="O4373"/>
      <c r="P4373" s="216"/>
      <c r="Q4373" s="217"/>
      <c r="R4373" s="217"/>
      <c r="S4373" s="218"/>
    </row>
    <row r="4374" spans="13:19" ht="15" customHeight="1" x14ac:dyDescent="0.25">
      <c r="M4374"/>
      <c r="N4374"/>
      <c r="O4374"/>
      <c r="P4374" s="216"/>
      <c r="Q4374" s="217"/>
      <c r="R4374" s="217"/>
      <c r="S4374" s="218"/>
    </row>
    <row r="4375" spans="13:19" ht="15" customHeight="1" x14ac:dyDescent="0.25">
      <c r="M4375"/>
      <c r="N4375"/>
      <c r="O4375"/>
      <c r="P4375" s="216"/>
      <c r="Q4375" s="217"/>
      <c r="R4375" s="217"/>
      <c r="S4375" s="218"/>
    </row>
    <row r="4376" spans="13:19" ht="15" customHeight="1" x14ac:dyDescent="0.25">
      <c r="M4376"/>
      <c r="N4376"/>
      <c r="O4376"/>
      <c r="P4376" s="216"/>
      <c r="Q4376" s="217"/>
      <c r="R4376" s="217"/>
      <c r="S4376" s="218"/>
    </row>
    <row r="4377" spans="13:19" ht="15" customHeight="1" x14ac:dyDescent="0.25">
      <c r="M4377"/>
      <c r="N4377"/>
      <c r="O4377"/>
      <c r="P4377" s="216"/>
      <c r="Q4377" s="217"/>
      <c r="R4377" s="217"/>
      <c r="S4377" s="218"/>
    </row>
    <row r="4378" spans="13:19" ht="15" customHeight="1" x14ac:dyDescent="0.25">
      <c r="M4378"/>
      <c r="N4378"/>
      <c r="O4378"/>
      <c r="P4378" s="216"/>
      <c r="Q4378" s="217"/>
      <c r="R4378" s="217"/>
      <c r="S4378" s="218"/>
    </row>
    <row r="4379" spans="13:19" ht="15" customHeight="1" x14ac:dyDescent="0.25">
      <c r="M4379"/>
      <c r="N4379"/>
      <c r="O4379"/>
      <c r="P4379" s="216"/>
      <c r="Q4379" s="217"/>
      <c r="R4379" s="217"/>
      <c r="S4379" s="218"/>
    </row>
    <row r="4380" spans="13:19" ht="15" customHeight="1" x14ac:dyDescent="0.25">
      <c r="M4380"/>
      <c r="N4380"/>
      <c r="O4380"/>
      <c r="P4380" s="216"/>
      <c r="Q4380" s="217"/>
      <c r="R4380" s="217"/>
      <c r="S4380" s="218"/>
    </row>
    <row r="4381" spans="13:19" ht="15" customHeight="1" x14ac:dyDescent="0.25">
      <c r="M4381"/>
      <c r="N4381"/>
      <c r="O4381"/>
      <c r="P4381" s="216"/>
      <c r="Q4381" s="217"/>
      <c r="R4381" s="217"/>
      <c r="S4381" s="218"/>
    </row>
    <row r="4382" spans="13:19" ht="15" customHeight="1" x14ac:dyDescent="0.25">
      <c r="M4382"/>
      <c r="N4382"/>
      <c r="O4382"/>
      <c r="P4382" s="216"/>
      <c r="Q4382" s="217"/>
      <c r="R4382" s="217"/>
      <c r="S4382" s="218"/>
    </row>
    <row r="4383" spans="13:19" ht="15" customHeight="1" x14ac:dyDescent="0.25">
      <c r="M4383"/>
      <c r="N4383"/>
      <c r="O4383"/>
      <c r="P4383" s="216"/>
      <c r="Q4383" s="217"/>
      <c r="R4383" s="217"/>
      <c r="S4383" s="218"/>
    </row>
    <row r="4384" spans="13:19" ht="15" customHeight="1" x14ac:dyDescent="0.25">
      <c r="M4384"/>
      <c r="N4384"/>
      <c r="O4384"/>
      <c r="P4384" s="216"/>
      <c r="Q4384" s="217"/>
      <c r="R4384" s="217"/>
      <c r="S4384" s="218"/>
    </row>
    <row r="4385" spans="13:19" ht="15" customHeight="1" x14ac:dyDescent="0.25">
      <c r="M4385"/>
      <c r="N4385"/>
      <c r="O4385"/>
      <c r="P4385" s="216"/>
      <c r="Q4385" s="217"/>
      <c r="R4385" s="217"/>
      <c r="S4385" s="218"/>
    </row>
    <row r="4386" spans="13:19" ht="15" customHeight="1" x14ac:dyDescent="0.25">
      <c r="M4386"/>
      <c r="N4386"/>
      <c r="O4386"/>
      <c r="P4386" s="216"/>
      <c r="Q4386" s="217"/>
      <c r="R4386" s="217"/>
      <c r="S4386" s="218"/>
    </row>
    <row r="4387" spans="13:19" ht="15" customHeight="1" x14ac:dyDescent="0.25">
      <c r="M4387"/>
      <c r="N4387"/>
      <c r="O4387"/>
      <c r="P4387" s="216"/>
      <c r="Q4387" s="217"/>
      <c r="R4387" s="217"/>
      <c r="S4387" s="218"/>
    </row>
    <row r="4388" spans="13:19" ht="15" customHeight="1" x14ac:dyDescent="0.25">
      <c r="M4388"/>
      <c r="N4388"/>
      <c r="O4388"/>
      <c r="P4388" s="216"/>
      <c r="Q4388" s="217"/>
      <c r="R4388" s="217"/>
      <c r="S4388" s="218"/>
    </row>
    <row r="4389" spans="13:19" ht="15" customHeight="1" x14ac:dyDescent="0.25">
      <c r="M4389"/>
      <c r="N4389"/>
      <c r="O4389"/>
      <c r="P4389" s="216"/>
      <c r="Q4389" s="217"/>
      <c r="R4389" s="217"/>
      <c r="S4389" s="218"/>
    </row>
    <row r="4390" spans="13:19" ht="15" customHeight="1" x14ac:dyDescent="0.25">
      <c r="M4390"/>
      <c r="N4390"/>
      <c r="O4390"/>
      <c r="P4390" s="216"/>
      <c r="Q4390" s="217"/>
      <c r="R4390" s="217"/>
      <c r="S4390" s="218"/>
    </row>
    <row r="4391" spans="13:19" ht="15" customHeight="1" x14ac:dyDescent="0.25">
      <c r="M4391"/>
      <c r="N4391"/>
      <c r="O4391"/>
      <c r="P4391" s="216"/>
      <c r="Q4391" s="217"/>
      <c r="R4391" s="217"/>
      <c r="S4391" s="218"/>
    </row>
    <row r="4392" spans="13:19" ht="15" customHeight="1" x14ac:dyDescent="0.25">
      <c r="M4392"/>
      <c r="N4392"/>
      <c r="O4392"/>
      <c r="P4392" s="216"/>
      <c r="Q4392" s="217"/>
      <c r="R4392" s="217"/>
      <c r="S4392" s="218"/>
    </row>
    <row r="4393" spans="13:19" ht="15" customHeight="1" x14ac:dyDescent="0.25">
      <c r="M4393"/>
      <c r="N4393"/>
      <c r="O4393"/>
      <c r="P4393" s="216"/>
      <c r="Q4393" s="217"/>
      <c r="R4393" s="217"/>
      <c r="S4393" s="218"/>
    </row>
    <row r="4394" spans="13:19" ht="15" customHeight="1" x14ac:dyDescent="0.25">
      <c r="M4394"/>
      <c r="N4394"/>
      <c r="O4394"/>
      <c r="P4394" s="216"/>
      <c r="Q4394" s="217"/>
      <c r="R4394" s="217"/>
      <c r="S4394" s="218"/>
    </row>
    <row r="4395" spans="13:19" ht="15" customHeight="1" x14ac:dyDescent="0.25">
      <c r="M4395"/>
      <c r="N4395"/>
      <c r="O4395"/>
      <c r="P4395" s="216"/>
      <c r="Q4395" s="217"/>
      <c r="R4395" s="217"/>
      <c r="S4395" s="218"/>
    </row>
    <row r="4396" spans="13:19" ht="15" customHeight="1" x14ac:dyDescent="0.25">
      <c r="M4396"/>
      <c r="N4396"/>
      <c r="O4396"/>
      <c r="P4396" s="216"/>
      <c r="Q4396" s="217"/>
      <c r="R4396" s="217"/>
      <c r="S4396" s="218"/>
    </row>
    <row r="4397" spans="13:19" ht="15" customHeight="1" x14ac:dyDescent="0.25">
      <c r="M4397"/>
      <c r="N4397"/>
      <c r="O4397"/>
      <c r="P4397" s="216"/>
      <c r="Q4397" s="217"/>
      <c r="R4397" s="217"/>
      <c r="S4397" s="218"/>
    </row>
    <row r="4398" spans="13:19" ht="15" customHeight="1" x14ac:dyDescent="0.25">
      <c r="M4398"/>
      <c r="N4398"/>
      <c r="O4398"/>
      <c r="P4398" s="216"/>
      <c r="Q4398" s="217"/>
      <c r="R4398" s="217"/>
      <c r="S4398" s="218"/>
    </row>
    <row r="4399" spans="13:19" ht="15" customHeight="1" x14ac:dyDescent="0.25">
      <c r="M4399"/>
      <c r="N4399"/>
      <c r="O4399"/>
      <c r="P4399" s="216"/>
      <c r="Q4399" s="217"/>
      <c r="R4399" s="217"/>
      <c r="S4399" s="218"/>
    </row>
    <row r="4400" spans="13:19" ht="15" customHeight="1" x14ac:dyDescent="0.25">
      <c r="M4400"/>
      <c r="N4400"/>
      <c r="O4400"/>
      <c r="P4400" s="216"/>
      <c r="Q4400" s="217"/>
      <c r="R4400" s="217"/>
      <c r="S4400" s="218"/>
    </row>
    <row r="4401" spans="13:19" ht="15" customHeight="1" x14ac:dyDescent="0.25">
      <c r="M4401"/>
      <c r="N4401"/>
      <c r="O4401"/>
      <c r="P4401" s="216"/>
      <c r="Q4401" s="217"/>
      <c r="R4401" s="217"/>
      <c r="S4401" s="218"/>
    </row>
    <row r="4402" spans="13:19" ht="15" customHeight="1" x14ac:dyDescent="0.25">
      <c r="M4402"/>
      <c r="N4402"/>
      <c r="O4402"/>
      <c r="P4402" s="216"/>
      <c r="Q4402" s="217"/>
      <c r="R4402" s="217"/>
      <c r="S4402" s="218"/>
    </row>
    <row r="4403" spans="13:19" ht="15" customHeight="1" x14ac:dyDescent="0.25">
      <c r="M4403"/>
      <c r="N4403"/>
      <c r="O4403"/>
      <c r="P4403" s="216"/>
      <c r="Q4403" s="217"/>
      <c r="R4403" s="217"/>
      <c r="S4403" s="218"/>
    </row>
    <row r="4404" spans="13:19" ht="15" customHeight="1" x14ac:dyDescent="0.25">
      <c r="M4404"/>
      <c r="N4404"/>
      <c r="O4404"/>
      <c r="P4404" s="216"/>
      <c r="Q4404" s="217"/>
      <c r="R4404" s="217"/>
      <c r="S4404" s="218"/>
    </row>
    <row r="4405" spans="13:19" ht="15" customHeight="1" x14ac:dyDescent="0.25">
      <c r="M4405"/>
      <c r="N4405"/>
      <c r="O4405"/>
      <c r="P4405" s="216"/>
      <c r="Q4405" s="217"/>
      <c r="R4405" s="217"/>
      <c r="S4405" s="218"/>
    </row>
    <row r="4406" spans="13:19" ht="15" customHeight="1" x14ac:dyDescent="0.25">
      <c r="M4406"/>
      <c r="N4406"/>
      <c r="O4406"/>
      <c r="P4406" s="216"/>
      <c r="Q4406" s="217"/>
      <c r="R4406" s="217"/>
      <c r="S4406" s="218"/>
    </row>
    <row r="4407" spans="13:19" ht="15" customHeight="1" x14ac:dyDescent="0.25">
      <c r="M4407"/>
      <c r="N4407"/>
      <c r="O4407"/>
      <c r="P4407" s="216"/>
      <c r="Q4407" s="217"/>
      <c r="R4407" s="217"/>
      <c r="S4407" s="218"/>
    </row>
    <row r="4408" spans="13:19" ht="15" customHeight="1" x14ac:dyDescent="0.25">
      <c r="M4408"/>
      <c r="N4408"/>
      <c r="O4408"/>
      <c r="P4408" s="216"/>
      <c r="Q4408" s="217"/>
      <c r="R4408" s="217"/>
      <c r="S4408" s="218"/>
    </row>
    <row r="4409" spans="13:19" ht="15" customHeight="1" x14ac:dyDescent="0.25">
      <c r="M4409"/>
      <c r="N4409"/>
      <c r="O4409"/>
      <c r="P4409" s="216"/>
      <c r="Q4409" s="217"/>
      <c r="R4409" s="217"/>
      <c r="S4409" s="218"/>
    </row>
    <row r="4410" spans="13:19" ht="15" customHeight="1" x14ac:dyDescent="0.25">
      <c r="M4410"/>
      <c r="N4410"/>
      <c r="O4410"/>
      <c r="P4410" s="216"/>
      <c r="Q4410" s="217"/>
      <c r="R4410" s="217"/>
      <c r="S4410" s="218"/>
    </row>
    <row r="4411" spans="13:19" ht="15" customHeight="1" x14ac:dyDescent="0.25">
      <c r="M4411"/>
      <c r="N4411"/>
      <c r="O4411"/>
      <c r="P4411" s="216"/>
      <c r="Q4411" s="217"/>
      <c r="R4411" s="217"/>
      <c r="S4411" s="218"/>
    </row>
    <row r="4412" spans="13:19" ht="15" customHeight="1" x14ac:dyDescent="0.25">
      <c r="M4412"/>
      <c r="N4412"/>
      <c r="O4412"/>
      <c r="P4412" s="216"/>
      <c r="Q4412" s="217"/>
      <c r="R4412" s="217"/>
      <c r="S4412" s="218"/>
    </row>
    <row r="4413" spans="13:19" ht="15" customHeight="1" x14ac:dyDescent="0.25">
      <c r="M4413"/>
      <c r="N4413"/>
      <c r="O4413"/>
      <c r="P4413" s="216"/>
      <c r="Q4413" s="217"/>
      <c r="R4413" s="217"/>
      <c r="S4413" s="218"/>
    </row>
    <row r="4414" spans="13:19" ht="15" customHeight="1" x14ac:dyDescent="0.25">
      <c r="M4414"/>
      <c r="N4414"/>
      <c r="O4414"/>
      <c r="P4414" s="216"/>
      <c r="Q4414" s="217"/>
      <c r="R4414" s="217"/>
      <c r="S4414" s="218"/>
    </row>
    <row r="4415" spans="13:19" ht="15" customHeight="1" x14ac:dyDescent="0.25">
      <c r="M4415"/>
      <c r="N4415"/>
      <c r="O4415"/>
      <c r="P4415" s="216"/>
      <c r="Q4415" s="217"/>
      <c r="R4415" s="217"/>
      <c r="S4415" s="218"/>
    </row>
    <row r="4416" spans="13:19" ht="15" customHeight="1" x14ac:dyDescent="0.25">
      <c r="M4416"/>
      <c r="N4416"/>
      <c r="O4416"/>
      <c r="P4416" s="216"/>
      <c r="Q4416" s="217"/>
      <c r="R4416" s="217"/>
      <c r="S4416" s="218"/>
    </row>
    <row r="4417" spans="13:19" ht="15" customHeight="1" x14ac:dyDescent="0.25">
      <c r="M4417"/>
      <c r="N4417"/>
      <c r="O4417"/>
      <c r="P4417" s="216"/>
      <c r="Q4417" s="217"/>
      <c r="R4417" s="217"/>
      <c r="S4417" s="218"/>
    </row>
    <row r="4418" spans="13:19" ht="15" customHeight="1" x14ac:dyDescent="0.25">
      <c r="M4418"/>
      <c r="N4418"/>
      <c r="O4418"/>
      <c r="P4418" s="216"/>
      <c r="Q4418" s="217"/>
      <c r="R4418" s="217"/>
      <c r="S4418" s="218"/>
    </row>
    <row r="4419" spans="13:19" ht="15" customHeight="1" x14ac:dyDescent="0.25">
      <c r="M4419"/>
      <c r="N4419"/>
      <c r="O4419"/>
      <c r="P4419" s="216"/>
      <c r="Q4419" s="217"/>
      <c r="R4419" s="217"/>
      <c r="S4419" s="218"/>
    </row>
    <row r="4420" spans="13:19" ht="15" customHeight="1" x14ac:dyDescent="0.25">
      <c r="M4420"/>
      <c r="N4420"/>
      <c r="O4420"/>
      <c r="P4420" s="216"/>
      <c r="Q4420" s="217"/>
      <c r="R4420" s="217"/>
      <c r="S4420" s="218"/>
    </row>
    <row r="4421" spans="13:19" ht="15" customHeight="1" x14ac:dyDescent="0.25">
      <c r="M4421"/>
      <c r="N4421"/>
      <c r="O4421"/>
      <c r="P4421" s="216"/>
      <c r="Q4421" s="217"/>
      <c r="R4421" s="217"/>
      <c r="S4421" s="218"/>
    </row>
    <row r="4422" spans="13:19" ht="15" customHeight="1" x14ac:dyDescent="0.25">
      <c r="M4422"/>
      <c r="N4422"/>
      <c r="O4422"/>
      <c r="P4422" s="216"/>
      <c r="Q4422" s="217"/>
      <c r="R4422" s="217"/>
      <c r="S4422" s="218"/>
    </row>
    <row r="4423" spans="13:19" ht="15" customHeight="1" x14ac:dyDescent="0.25">
      <c r="M4423"/>
      <c r="N4423"/>
      <c r="O4423"/>
      <c r="P4423" s="216"/>
      <c r="Q4423" s="217"/>
      <c r="R4423" s="217"/>
      <c r="S4423" s="218"/>
    </row>
    <row r="4424" spans="13:19" ht="15" customHeight="1" x14ac:dyDescent="0.25">
      <c r="M4424"/>
      <c r="N4424"/>
      <c r="O4424"/>
      <c r="P4424" s="216"/>
      <c r="Q4424" s="217"/>
      <c r="R4424" s="217"/>
      <c r="S4424" s="218"/>
    </row>
    <row r="4425" spans="13:19" ht="15" customHeight="1" x14ac:dyDescent="0.25">
      <c r="M4425"/>
      <c r="N4425"/>
      <c r="O4425"/>
      <c r="P4425" s="216"/>
      <c r="Q4425" s="217"/>
      <c r="R4425" s="217"/>
      <c r="S4425" s="218"/>
    </row>
    <row r="4426" spans="13:19" ht="15" customHeight="1" x14ac:dyDescent="0.25">
      <c r="M4426"/>
      <c r="N4426"/>
      <c r="O4426"/>
      <c r="P4426" s="216"/>
      <c r="Q4426" s="217"/>
      <c r="R4426" s="217"/>
      <c r="S4426" s="218"/>
    </row>
    <row r="4427" spans="13:19" ht="15" customHeight="1" x14ac:dyDescent="0.25">
      <c r="M4427"/>
      <c r="N4427"/>
      <c r="O4427"/>
      <c r="P4427" s="216"/>
      <c r="Q4427" s="217"/>
      <c r="R4427" s="217"/>
      <c r="S4427" s="218"/>
    </row>
    <row r="4428" spans="13:19" ht="15" customHeight="1" x14ac:dyDescent="0.25">
      <c r="M4428"/>
      <c r="N4428"/>
      <c r="O4428"/>
      <c r="P4428" s="216"/>
      <c r="Q4428" s="217"/>
      <c r="R4428" s="217"/>
      <c r="S4428" s="218"/>
    </row>
    <row r="4429" spans="13:19" ht="15" customHeight="1" x14ac:dyDescent="0.25">
      <c r="M4429"/>
      <c r="N4429"/>
      <c r="O4429"/>
      <c r="P4429" s="216"/>
      <c r="Q4429" s="217"/>
      <c r="R4429" s="217"/>
      <c r="S4429" s="218"/>
    </row>
    <row r="4430" spans="13:19" ht="15" customHeight="1" x14ac:dyDescent="0.25">
      <c r="M4430"/>
      <c r="N4430"/>
      <c r="O4430"/>
      <c r="P4430" s="216"/>
      <c r="Q4430" s="217"/>
      <c r="R4430" s="217"/>
      <c r="S4430" s="218"/>
    </row>
    <row r="4431" spans="13:19" ht="15" customHeight="1" x14ac:dyDescent="0.25">
      <c r="M4431"/>
      <c r="N4431"/>
      <c r="O4431"/>
      <c r="P4431" s="216"/>
      <c r="Q4431" s="217"/>
      <c r="R4431" s="217"/>
      <c r="S4431" s="218"/>
    </row>
    <row r="4432" spans="13:19" ht="15" customHeight="1" x14ac:dyDescent="0.25">
      <c r="M4432"/>
      <c r="N4432"/>
      <c r="O4432"/>
      <c r="P4432" s="216"/>
      <c r="Q4432" s="217"/>
      <c r="R4432" s="217"/>
      <c r="S4432" s="218"/>
    </row>
    <row r="4433" spans="13:19" ht="15" customHeight="1" x14ac:dyDescent="0.25">
      <c r="M4433"/>
      <c r="N4433"/>
      <c r="O4433"/>
      <c r="P4433" s="216"/>
      <c r="Q4433" s="217"/>
      <c r="R4433" s="217"/>
      <c r="S4433" s="218"/>
    </row>
    <row r="4434" spans="13:19" ht="15" customHeight="1" x14ac:dyDescent="0.25">
      <c r="M4434"/>
      <c r="N4434"/>
      <c r="O4434"/>
      <c r="P4434" s="216"/>
      <c r="Q4434" s="217"/>
      <c r="R4434" s="217"/>
      <c r="S4434" s="218"/>
    </row>
    <row r="4435" spans="13:19" ht="15" customHeight="1" x14ac:dyDescent="0.25">
      <c r="M4435"/>
      <c r="N4435"/>
      <c r="O4435"/>
      <c r="P4435" s="216"/>
      <c r="Q4435" s="217"/>
      <c r="R4435" s="217"/>
      <c r="S4435" s="218"/>
    </row>
    <row r="4436" spans="13:19" ht="15" customHeight="1" x14ac:dyDescent="0.25">
      <c r="M4436"/>
      <c r="N4436"/>
      <c r="O4436"/>
      <c r="P4436" s="216"/>
      <c r="Q4436" s="217"/>
      <c r="R4436" s="217"/>
      <c r="S4436" s="218"/>
    </row>
    <row r="4437" spans="13:19" ht="15" customHeight="1" x14ac:dyDescent="0.25">
      <c r="M4437"/>
      <c r="N4437"/>
      <c r="O4437"/>
      <c r="P4437" s="216"/>
      <c r="Q4437" s="217"/>
      <c r="R4437" s="217"/>
      <c r="S4437" s="218"/>
    </row>
    <row r="4438" spans="13:19" ht="15" customHeight="1" x14ac:dyDescent="0.25">
      <c r="M4438"/>
      <c r="N4438"/>
      <c r="O4438"/>
      <c r="P4438" s="216"/>
      <c r="Q4438" s="217"/>
      <c r="R4438" s="217"/>
      <c r="S4438" s="218"/>
    </row>
    <row r="4439" spans="13:19" ht="15" customHeight="1" x14ac:dyDescent="0.25">
      <c r="M4439"/>
      <c r="N4439"/>
      <c r="O4439"/>
      <c r="P4439" s="216"/>
      <c r="Q4439" s="217"/>
      <c r="R4439" s="217"/>
      <c r="S4439" s="218"/>
    </row>
    <row r="4440" spans="13:19" ht="15" customHeight="1" x14ac:dyDescent="0.25">
      <c r="M4440"/>
      <c r="N4440"/>
      <c r="O4440"/>
      <c r="P4440" s="216"/>
      <c r="Q4440" s="217"/>
      <c r="R4440" s="217"/>
      <c r="S4440" s="218"/>
    </row>
    <row r="4441" spans="13:19" ht="15" customHeight="1" x14ac:dyDescent="0.25">
      <c r="M4441"/>
      <c r="N4441"/>
      <c r="O4441"/>
      <c r="P4441" s="216"/>
      <c r="Q4441" s="217"/>
      <c r="R4441" s="217"/>
      <c r="S4441" s="218"/>
    </row>
    <row r="4442" spans="13:19" ht="15" customHeight="1" x14ac:dyDescent="0.25">
      <c r="M4442"/>
      <c r="N4442"/>
      <c r="O4442"/>
      <c r="P4442" s="216"/>
      <c r="Q4442" s="217"/>
      <c r="R4442" s="217"/>
      <c r="S4442" s="218"/>
    </row>
    <row r="4443" spans="13:19" ht="15" customHeight="1" x14ac:dyDescent="0.25">
      <c r="M4443"/>
      <c r="N4443"/>
      <c r="O4443"/>
      <c r="P4443" s="216"/>
      <c r="Q4443" s="217"/>
      <c r="R4443" s="217"/>
      <c r="S4443" s="218"/>
    </row>
    <row r="4444" spans="13:19" ht="15" customHeight="1" x14ac:dyDescent="0.25">
      <c r="M4444"/>
      <c r="N4444"/>
      <c r="O4444"/>
      <c r="P4444" s="216"/>
      <c r="Q4444" s="217"/>
      <c r="R4444" s="217"/>
      <c r="S4444" s="218"/>
    </row>
    <row r="4445" spans="13:19" ht="15" customHeight="1" x14ac:dyDescent="0.25">
      <c r="M4445"/>
      <c r="N4445"/>
      <c r="O4445"/>
      <c r="P4445" s="216"/>
      <c r="Q4445" s="217"/>
      <c r="R4445" s="217"/>
      <c r="S4445" s="218"/>
    </row>
    <row r="4446" spans="13:19" ht="15" customHeight="1" x14ac:dyDescent="0.25">
      <c r="M4446"/>
      <c r="N4446"/>
      <c r="O4446"/>
      <c r="P4446" s="216"/>
      <c r="Q4446" s="217"/>
      <c r="R4446" s="217"/>
      <c r="S4446" s="218"/>
    </row>
    <row r="4447" spans="13:19" ht="15" customHeight="1" x14ac:dyDescent="0.25">
      <c r="M4447"/>
      <c r="N4447"/>
      <c r="O4447"/>
      <c r="P4447" s="216"/>
      <c r="Q4447" s="217"/>
      <c r="R4447" s="217"/>
      <c r="S4447" s="218"/>
    </row>
    <row r="4448" spans="13:19" ht="15" customHeight="1" x14ac:dyDescent="0.25">
      <c r="M4448"/>
      <c r="N4448"/>
      <c r="O4448"/>
      <c r="P4448" s="216"/>
      <c r="Q4448" s="217"/>
      <c r="R4448" s="217"/>
      <c r="S4448" s="218"/>
    </row>
    <row r="4449" spans="13:19" ht="15" customHeight="1" x14ac:dyDescent="0.25">
      <c r="M4449"/>
      <c r="N4449"/>
      <c r="O4449"/>
      <c r="P4449" s="216"/>
      <c r="Q4449" s="217"/>
      <c r="R4449" s="217"/>
      <c r="S4449" s="218"/>
    </row>
    <row r="4450" spans="13:19" ht="15" customHeight="1" x14ac:dyDescent="0.25">
      <c r="M4450"/>
      <c r="N4450"/>
      <c r="O4450"/>
      <c r="P4450" s="216"/>
      <c r="Q4450" s="217"/>
      <c r="R4450" s="217"/>
      <c r="S4450" s="218"/>
    </row>
    <row r="4451" spans="13:19" ht="15" customHeight="1" x14ac:dyDescent="0.25">
      <c r="M4451"/>
      <c r="N4451"/>
      <c r="O4451"/>
      <c r="P4451" s="216"/>
      <c r="Q4451" s="217"/>
      <c r="R4451" s="217"/>
      <c r="S4451" s="218"/>
    </row>
    <row r="4452" spans="13:19" ht="15" customHeight="1" x14ac:dyDescent="0.25">
      <c r="M4452"/>
      <c r="N4452"/>
      <c r="O4452"/>
      <c r="P4452" s="216"/>
      <c r="Q4452" s="217"/>
      <c r="R4452" s="217"/>
      <c r="S4452" s="218"/>
    </row>
    <row r="4453" spans="13:19" ht="15" customHeight="1" x14ac:dyDescent="0.25">
      <c r="M4453"/>
      <c r="N4453"/>
      <c r="O4453"/>
      <c r="P4453" s="216"/>
      <c r="Q4453" s="217"/>
      <c r="R4453" s="217"/>
      <c r="S4453" s="218"/>
    </row>
    <row r="4454" spans="13:19" ht="15" customHeight="1" x14ac:dyDescent="0.25">
      <c r="M4454"/>
      <c r="N4454"/>
      <c r="O4454"/>
      <c r="P4454" s="216"/>
      <c r="Q4454" s="217"/>
      <c r="R4454" s="217"/>
      <c r="S4454" s="218"/>
    </row>
    <row r="4455" spans="13:19" ht="15" customHeight="1" x14ac:dyDescent="0.25">
      <c r="M4455"/>
      <c r="N4455"/>
      <c r="O4455"/>
      <c r="P4455" s="216"/>
      <c r="Q4455" s="217"/>
      <c r="R4455" s="217"/>
      <c r="S4455" s="218"/>
    </row>
    <row r="4456" spans="13:19" ht="15" customHeight="1" x14ac:dyDescent="0.25">
      <c r="M4456"/>
      <c r="N4456"/>
      <c r="O4456"/>
      <c r="P4456" s="216"/>
      <c r="Q4456" s="217"/>
      <c r="R4456" s="217"/>
      <c r="S4456" s="218"/>
    </row>
    <row r="4457" spans="13:19" ht="15" customHeight="1" x14ac:dyDescent="0.25">
      <c r="M4457"/>
      <c r="N4457"/>
      <c r="O4457"/>
      <c r="P4457" s="216"/>
      <c r="Q4457" s="217"/>
      <c r="R4457" s="217"/>
      <c r="S4457" s="218"/>
    </row>
    <row r="4458" spans="13:19" ht="15" customHeight="1" x14ac:dyDescent="0.25">
      <c r="M4458"/>
      <c r="N4458"/>
      <c r="O4458"/>
      <c r="P4458" s="216"/>
      <c r="Q4458" s="217"/>
      <c r="R4458" s="217"/>
      <c r="S4458" s="218"/>
    </row>
    <row r="4459" spans="13:19" ht="15" customHeight="1" x14ac:dyDescent="0.25">
      <c r="M4459"/>
      <c r="N4459"/>
      <c r="O4459"/>
      <c r="P4459" s="216"/>
      <c r="Q4459" s="217"/>
      <c r="R4459" s="217"/>
      <c r="S4459" s="218"/>
    </row>
    <row r="4460" spans="13:19" ht="15" customHeight="1" x14ac:dyDescent="0.25">
      <c r="M4460"/>
      <c r="N4460"/>
      <c r="O4460"/>
      <c r="P4460" s="216"/>
      <c r="Q4460" s="217"/>
      <c r="R4460" s="217"/>
      <c r="S4460" s="218"/>
    </row>
    <row r="4461" spans="13:19" ht="15" customHeight="1" x14ac:dyDescent="0.25">
      <c r="M4461"/>
      <c r="N4461"/>
      <c r="O4461"/>
      <c r="P4461" s="216"/>
      <c r="Q4461" s="217"/>
      <c r="R4461" s="217"/>
      <c r="S4461" s="218"/>
    </row>
    <row r="4462" spans="13:19" ht="15" customHeight="1" x14ac:dyDescent="0.25">
      <c r="M4462"/>
      <c r="N4462"/>
      <c r="O4462"/>
      <c r="P4462" s="216"/>
      <c r="Q4462" s="217"/>
      <c r="R4462" s="217"/>
      <c r="S4462" s="218"/>
    </row>
    <row r="4463" spans="13:19" ht="15" customHeight="1" x14ac:dyDescent="0.25">
      <c r="M4463"/>
      <c r="N4463"/>
      <c r="O4463"/>
      <c r="P4463" s="216"/>
      <c r="Q4463" s="217"/>
      <c r="R4463" s="217"/>
      <c r="S4463" s="218"/>
    </row>
    <row r="4464" spans="13:19" ht="15" customHeight="1" x14ac:dyDescent="0.25">
      <c r="M4464"/>
      <c r="N4464"/>
      <c r="O4464"/>
      <c r="P4464" s="216"/>
      <c r="Q4464" s="217"/>
      <c r="R4464" s="217"/>
      <c r="S4464" s="218"/>
    </row>
    <row r="4465" spans="13:19" ht="15" customHeight="1" x14ac:dyDescent="0.25">
      <c r="M4465"/>
      <c r="N4465"/>
      <c r="O4465"/>
      <c r="P4465" s="216"/>
      <c r="Q4465" s="217"/>
      <c r="R4465" s="217"/>
      <c r="S4465" s="218"/>
    </row>
    <row r="4466" spans="13:19" ht="15" customHeight="1" x14ac:dyDescent="0.25">
      <c r="M4466"/>
      <c r="N4466"/>
      <c r="O4466"/>
      <c r="P4466" s="216"/>
      <c r="Q4466" s="217"/>
      <c r="R4466" s="217"/>
      <c r="S4466" s="218"/>
    </row>
    <row r="4467" spans="13:19" ht="15" customHeight="1" x14ac:dyDescent="0.25">
      <c r="M4467"/>
      <c r="N4467"/>
      <c r="O4467"/>
      <c r="P4467" s="216"/>
      <c r="Q4467" s="217"/>
      <c r="R4467" s="217"/>
      <c r="S4467" s="218"/>
    </row>
    <row r="4468" spans="13:19" ht="15" customHeight="1" x14ac:dyDescent="0.25">
      <c r="M4468"/>
      <c r="N4468"/>
      <c r="O4468"/>
      <c r="P4468" s="216"/>
      <c r="Q4468" s="217"/>
      <c r="R4468" s="217"/>
      <c r="S4468" s="218"/>
    </row>
    <row r="4469" spans="13:19" ht="15" customHeight="1" x14ac:dyDescent="0.25">
      <c r="M4469"/>
      <c r="N4469"/>
      <c r="O4469"/>
      <c r="P4469" s="216"/>
      <c r="Q4469" s="217"/>
      <c r="R4469" s="217"/>
      <c r="S4469" s="218"/>
    </row>
    <row r="4470" spans="13:19" ht="15" customHeight="1" x14ac:dyDescent="0.25">
      <c r="M4470"/>
      <c r="N4470"/>
      <c r="O4470"/>
      <c r="P4470" s="216"/>
      <c r="Q4470" s="217"/>
      <c r="R4470" s="217"/>
      <c r="S4470" s="218"/>
    </row>
    <row r="4471" spans="13:19" ht="15" customHeight="1" x14ac:dyDescent="0.25">
      <c r="M4471"/>
      <c r="N4471"/>
      <c r="O4471"/>
      <c r="P4471" s="216"/>
      <c r="Q4471" s="217"/>
      <c r="R4471" s="217"/>
      <c r="S4471" s="218"/>
    </row>
    <row r="4472" spans="13:19" ht="15" customHeight="1" x14ac:dyDescent="0.25">
      <c r="M4472"/>
      <c r="N4472"/>
      <c r="O4472"/>
      <c r="P4472" s="216"/>
      <c r="Q4472" s="217"/>
      <c r="R4472" s="217"/>
      <c r="S4472" s="218"/>
    </row>
    <row r="4473" spans="13:19" ht="15" customHeight="1" x14ac:dyDescent="0.25">
      <c r="M4473"/>
      <c r="N4473"/>
      <c r="O4473"/>
      <c r="P4473" s="216"/>
      <c r="Q4473" s="217"/>
      <c r="R4473" s="217"/>
      <c r="S4473" s="218"/>
    </row>
    <row r="4474" spans="13:19" ht="15" customHeight="1" x14ac:dyDescent="0.25">
      <c r="M4474"/>
      <c r="N4474"/>
      <c r="O4474"/>
      <c r="P4474" s="216"/>
      <c r="Q4474" s="217"/>
      <c r="R4474" s="217"/>
      <c r="S4474" s="218"/>
    </row>
    <row r="4475" spans="13:19" ht="15" customHeight="1" x14ac:dyDescent="0.25">
      <c r="M4475"/>
      <c r="N4475"/>
      <c r="O4475"/>
      <c r="P4475" s="216"/>
      <c r="Q4475" s="217"/>
      <c r="R4475" s="217"/>
      <c r="S4475" s="218"/>
    </row>
    <row r="4476" spans="13:19" ht="15" customHeight="1" x14ac:dyDescent="0.25">
      <c r="M4476"/>
      <c r="N4476"/>
      <c r="O4476"/>
      <c r="P4476" s="216"/>
      <c r="Q4476" s="217"/>
      <c r="R4476" s="217"/>
      <c r="S4476" s="218"/>
    </row>
    <row r="4477" spans="13:19" ht="15" customHeight="1" x14ac:dyDescent="0.25">
      <c r="M4477"/>
      <c r="N4477"/>
      <c r="O4477"/>
      <c r="P4477" s="216"/>
      <c r="Q4477" s="217"/>
      <c r="R4477" s="217"/>
      <c r="S4477" s="218"/>
    </row>
    <row r="4478" spans="13:19" ht="15" customHeight="1" x14ac:dyDescent="0.25">
      <c r="M4478"/>
      <c r="N4478"/>
      <c r="O4478"/>
      <c r="P4478" s="216"/>
      <c r="Q4478" s="217"/>
      <c r="R4478" s="217"/>
      <c r="S4478" s="218"/>
    </row>
    <row r="4479" spans="13:19" ht="15" customHeight="1" x14ac:dyDescent="0.25">
      <c r="M4479"/>
      <c r="N4479"/>
      <c r="O4479"/>
      <c r="P4479" s="216"/>
      <c r="Q4479" s="217"/>
      <c r="R4479" s="217"/>
      <c r="S4479" s="218"/>
    </row>
    <row r="4480" spans="13:19" ht="15" customHeight="1" x14ac:dyDescent="0.25">
      <c r="M4480"/>
      <c r="N4480"/>
      <c r="O4480"/>
      <c r="P4480" s="216"/>
      <c r="Q4480" s="217"/>
      <c r="R4480" s="217"/>
      <c r="S4480" s="218"/>
    </row>
    <row r="4481" spans="13:19" ht="15" customHeight="1" x14ac:dyDescent="0.25">
      <c r="M4481"/>
      <c r="N4481"/>
      <c r="O4481"/>
      <c r="P4481" s="216"/>
      <c r="Q4481" s="217"/>
      <c r="R4481" s="217"/>
      <c r="S4481" s="218"/>
    </row>
    <row r="4482" spans="13:19" ht="15" customHeight="1" x14ac:dyDescent="0.25">
      <c r="M4482"/>
      <c r="N4482"/>
      <c r="O4482"/>
      <c r="P4482" s="216"/>
      <c r="Q4482" s="217"/>
      <c r="R4482" s="217"/>
      <c r="S4482" s="218"/>
    </row>
    <row r="4483" spans="13:19" ht="15" customHeight="1" x14ac:dyDescent="0.25">
      <c r="M4483"/>
      <c r="N4483"/>
      <c r="O4483"/>
      <c r="P4483" s="216"/>
      <c r="Q4483" s="217"/>
      <c r="R4483" s="217"/>
      <c r="S4483" s="218"/>
    </row>
    <row r="4484" spans="13:19" ht="15" customHeight="1" x14ac:dyDescent="0.25">
      <c r="M4484"/>
      <c r="N4484"/>
      <c r="O4484"/>
      <c r="P4484" s="216"/>
      <c r="Q4484" s="217"/>
      <c r="R4484" s="217"/>
      <c r="S4484" s="218"/>
    </row>
    <row r="4485" spans="13:19" ht="15" customHeight="1" x14ac:dyDescent="0.25">
      <c r="M4485"/>
      <c r="N4485"/>
      <c r="O4485"/>
      <c r="P4485" s="216"/>
      <c r="Q4485" s="217"/>
      <c r="R4485" s="217"/>
      <c r="S4485" s="218"/>
    </row>
    <row r="4486" spans="13:19" ht="15" customHeight="1" x14ac:dyDescent="0.25">
      <c r="M4486"/>
      <c r="N4486"/>
      <c r="O4486"/>
      <c r="P4486" s="216"/>
      <c r="Q4486" s="217"/>
      <c r="R4486" s="217"/>
      <c r="S4486" s="218"/>
    </row>
    <row r="4487" spans="13:19" ht="15" customHeight="1" x14ac:dyDescent="0.25">
      <c r="M4487"/>
      <c r="N4487"/>
      <c r="O4487"/>
      <c r="P4487" s="216"/>
      <c r="Q4487" s="217"/>
      <c r="R4487" s="217"/>
      <c r="S4487" s="218"/>
    </row>
    <row r="4488" spans="13:19" ht="15" customHeight="1" x14ac:dyDescent="0.25">
      <c r="M4488"/>
      <c r="N4488"/>
      <c r="O4488"/>
      <c r="P4488" s="216"/>
      <c r="Q4488" s="217"/>
      <c r="R4488" s="217"/>
      <c r="S4488" s="218"/>
    </row>
    <row r="4489" spans="13:19" ht="15" customHeight="1" x14ac:dyDescent="0.25">
      <c r="M4489"/>
      <c r="N4489"/>
      <c r="O4489"/>
      <c r="P4489" s="216"/>
      <c r="Q4489" s="217"/>
      <c r="R4489" s="217"/>
      <c r="S4489" s="218"/>
    </row>
    <row r="4490" spans="13:19" ht="15" customHeight="1" x14ac:dyDescent="0.25">
      <c r="M4490"/>
      <c r="N4490"/>
      <c r="O4490"/>
      <c r="P4490" s="216"/>
      <c r="Q4490" s="217"/>
      <c r="R4490" s="217"/>
      <c r="S4490" s="218"/>
    </row>
    <row r="4491" spans="13:19" ht="15" customHeight="1" x14ac:dyDescent="0.25">
      <c r="M4491"/>
      <c r="N4491"/>
      <c r="O4491"/>
      <c r="P4491" s="216"/>
      <c r="Q4491" s="217"/>
      <c r="R4491" s="217"/>
      <c r="S4491" s="218"/>
    </row>
    <row r="4492" spans="13:19" ht="15" customHeight="1" x14ac:dyDescent="0.25">
      <c r="M4492"/>
      <c r="N4492"/>
      <c r="O4492"/>
      <c r="P4492" s="216"/>
      <c r="Q4492" s="217"/>
      <c r="R4492" s="217"/>
      <c r="S4492" s="218"/>
    </row>
    <row r="4493" spans="13:19" ht="15" customHeight="1" x14ac:dyDescent="0.25">
      <c r="M4493"/>
      <c r="N4493"/>
      <c r="O4493"/>
      <c r="P4493" s="216"/>
      <c r="Q4493" s="217"/>
      <c r="R4493" s="217"/>
      <c r="S4493" s="218"/>
    </row>
    <row r="4494" spans="13:19" ht="15" customHeight="1" x14ac:dyDescent="0.25">
      <c r="M4494"/>
      <c r="N4494"/>
      <c r="O4494"/>
      <c r="P4494" s="216"/>
      <c r="Q4494" s="217"/>
      <c r="R4494" s="217"/>
      <c r="S4494" s="218"/>
    </row>
    <row r="4495" spans="13:19" ht="15" customHeight="1" x14ac:dyDescent="0.25">
      <c r="M4495"/>
      <c r="N4495"/>
      <c r="O4495"/>
      <c r="P4495" s="216"/>
      <c r="Q4495" s="217"/>
      <c r="R4495" s="217"/>
      <c r="S4495" s="218"/>
    </row>
    <row r="4496" spans="13:19" ht="15" customHeight="1" x14ac:dyDescent="0.25">
      <c r="M4496"/>
      <c r="N4496"/>
      <c r="O4496"/>
      <c r="P4496" s="216"/>
      <c r="Q4496" s="217"/>
      <c r="R4496" s="217"/>
      <c r="S4496" s="218"/>
    </row>
    <row r="4497" spans="13:19" ht="15" customHeight="1" x14ac:dyDescent="0.25">
      <c r="M4497"/>
      <c r="N4497"/>
      <c r="O4497"/>
      <c r="P4497" s="216"/>
      <c r="Q4497" s="217"/>
      <c r="R4497" s="217"/>
      <c r="S4497" s="218"/>
    </row>
    <row r="4498" spans="13:19" ht="15" customHeight="1" x14ac:dyDescent="0.25">
      <c r="M4498"/>
      <c r="N4498"/>
      <c r="O4498"/>
      <c r="P4498" s="216"/>
      <c r="Q4498" s="217"/>
      <c r="R4498" s="217"/>
      <c r="S4498" s="218"/>
    </row>
    <row r="4499" spans="13:19" ht="15" customHeight="1" x14ac:dyDescent="0.25">
      <c r="M4499"/>
      <c r="N4499"/>
      <c r="O4499"/>
      <c r="P4499" s="216"/>
      <c r="Q4499" s="217"/>
      <c r="R4499" s="217"/>
      <c r="S4499" s="218"/>
    </row>
    <row r="4500" spans="13:19" ht="15" customHeight="1" x14ac:dyDescent="0.25">
      <c r="M4500"/>
      <c r="N4500"/>
      <c r="O4500"/>
      <c r="P4500" s="216"/>
      <c r="Q4500" s="217"/>
      <c r="R4500" s="217"/>
      <c r="S4500" s="218"/>
    </row>
    <row r="4501" spans="13:19" ht="15" customHeight="1" x14ac:dyDescent="0.25">
      <c r="M4501"/>
      <c r="N4501"/>
      <c r="O4501"/>
      <c r="P4501" s="216"/>
      <c r="Q4501" s="217"/>
      <c r="R4501" s="217"/>
      <c r="S4501" s="218"/>
    </row>
    <row r="4502" spans="13:19" ht="15" customHeight="1" x14ac:dyDescent="0.25">
      <c r="M4502"/>
      <c r="N4502"/>
      <c r="O4502"/>
      <c r="P4502" s="216"/>
      <c r="Q4502" s="217"/>
      <c r="R4502" s="217"/>
      <c r="S4502" s="218"/>
    </row>
    <row r="4503" spans="13:19" ht="15" customHeight="1" x14ac:dyDescent="0.25">
      <c r="M4503"/>
      <c r="N4503"/>
      <c r="O4503"/>
      <c r="P4503" s="216"/>
      <c r="Q4503" s="217"/>
      <c r="R4503" s="217"/>
      <c r="S4503" s="218"/>
    </row>
    <row r="4504" spans="13:19" ht="15" customHeight="1" x14ac:dyDescent="0.25">
      <c r="M4504"/>
      <c r="N4504"/>
      <c r="O4504"/>
      <c r="P4504" s="216"/>
      <c r="Q4504" s="217"/>
      <c r="R4504" s="217"/>
      <c r="S4504" s="218"/>
    </row>
    <row r="4505" spans="13:19" ht="15" customHeight="1" x14ac:dyDescent="0.25">
      <c r="M4505"/>
      <c r="N4505"/>
      <c r="O4505"/>
      <c r="P4505" s="216"/>
      <c r="Q4505" s="217"/>
      <c r="R4505" s="217"/>
      <c r="S4505" s="218"/>
    </row>
    <row r="4506" spans="13:19" ht="15" customHeight="1" x14ac:dyDescent="0.25">
      <c r="M4506"/>
      <c r="N4506"/>
      <c r="O4506"/>
      <c r="P4506" s="216"/>
      <c r="Q4506" s="217"/>
      <c r="R4506" s="217"/>
      <c r="S4506" s="218"/>
    </row>
    <row r="4507" spans="13:19" ht="15" customHeight="1" x14ac:dyDescent="0.25">
      <c r="M4507"/>
      <c r="N4507"/>
      <c r="O4507"/>
      <c r="P4507" s="216"/>
      <c r="Q4507" s="217"/>
      <c r="R4507" s="217"/>
      <c r="S4507" s="218"/>
    </row>
    <row r="4508" spans="13:19" ht="15" customHeight="1" x14ac:dyDescent="0.25">
      <c r="M4508"/>
      <c r="N4508"/>
      <c r="O4508"/>
      <c r="P4508" s="216"/>
      <c r="Q4508" s="217"/>
      <c r="R4508" s="217"/>
      <c r="S4508" s="218"/>
    </row>
    <row r="4509" spans="13:19" ht="15" customHeight="1" x14ac:dyDescent="0.25">
      <c r="M4509"/>
      <c r="N4509"/>
      <c r="O4509"/>
      <c r="P4509" s="216"/>
      <c r="Q4509" s="217"/>
      <c r="R4509" s="217"/>
      <c r="S4509" s="218"/>
    </row>
    <row r="4510" spans="13:19" ht="15" customHeight="1" x14ac:dyDescent="0.25">
      <c r="M4510"/>
      <c r="N4510"/>
      <c r="O4510"/>
      <c r="P4510" s="216"/>
      <c r="Q4510" s="217"/>
      <c r="R4510" s="217"/>
      <c r="S4510" s="218"/>
    </row>
    <row r="4511" spans="13:19" ht="15" customHeight="1" x14ac:dyDescent="0.25">
      <c r="M4511"/>
      <c r="N4511"/>
      <c r="O4511"/>
      <c r="P4511" s="216"/>
      <c r="Q4511" s="217"/>
      <c r="R4511" s="217"/>
      <c r="S4511" s="218"/>
    </row>
    <row r="4512" spans="13:19" ht="15" customHeight="1" x14ac:dyDescent="0.25">
      <c r="M4512"/>
      <c r="N4512"/>
      <c r="O4512"/>
      <c r="P4512" s="216"/>
      <c r="Q4512" s="217"/>
      <c r="R4512" s="217"/>
      <c r="S4512" s="218"/>
    </row>
    <row r="4513" spans="13:19" ht="15" customHeight="1" x14ac:dyDescent="0.25">
      <c r="M4513"/>
      <c r="N4513"/>
      <c r="O4513"/>
      <c r="P4513" s="216"/>
      <c r="Q4513" s="217"/>
      <c r="R4513" s="217"/>
      <c r="S4513" s="218"/>
    </row>
    <row r="4514" spans="13:19" ht="15" customHeight="1" x14ac:dyDescent="0.25">
      <c r="M4514"/>
      <c r="N4514"/>
      <c r="O4514"/>
      <c r="P4514" s="216"/>
      <c r="Q4514" s="217"/>
      <c r="R4514" s="217"/>
      <c r="S4514" s="218"/>
    </row>
    <row r="4515" spans="13:19" ht="15" customHeight="1" x14ac:dyDescent="0.25">
      <c r="M4515"/>
      <c r="N4515"/>
      <c r="O4515"/>
      <c r="P4515" s="216"/>
      <c r="Q4515" s="217"/>
      <c r="R4515" s="217"/>
      <c r="S4515" s="218"/>
    </row>
    <row r="4516" spans="13:19" ht="15" customHeight="1" x14ac:dyDescent="0.25">
      <c r="M4516"/>
      <c r="N4516"/>
      <c r="O4516"/>
      <c r="P4516" s="216"/>
      <c r="Q4516" s="217"/>
      <c r="R4516" s="217"/>
      <c r="S4516" s="218"/>
    </row>
    <row r="4517" spans="13:19" ht="15" customHeight="1" x14ac:dyDescent="0.25">
      <c r="M4517"/>
      <c r="N4517"/>
      <c r="O4517"/>
      <c r="P4517" s="216"/>
      <c r="Q4517" s="217"/>
      <c r="R4517" s="217"/>
      <c r="S4517" s="218"/>
    </row>
    <row r="4518" spans="13:19" ht="15" customHeight="1" x14ac:dyDescent="0.25">
      <c r="M4518"/>
      <c r="N4518"/>
      <c r="O4518"/>
      <c r="P4518" s="216"/>
      <c r="Q4518" s="217"/>
      <c r="R4518" s="217"/>
      <c r="S4518" s="218"/>
    </row>
    <row r="4519" spans="13:19" ht="15" customHeight="1" x14ac:dyDescent="0.25">
      <c r="M4519"/>
      <c r="N4519"/>
      <c r="O4519"/>
      <c r="P4519" s="216"/>
      <c r="Q4519" s="217"/>
      <c r="R4519" s="217"/>
      <c r="S4519" s="218"/>
    </row>
    <row r="4520" spans="13:19" ht="15" customHeight="1" x14ac:dyDescent="0.25">
      <c r="M4520"/>
      <c r="N4520"/>
      <c r="O4520"/>
      <c r="P4520" s="216"/>
      <c r="Q4520" s="217"/>
      <c r="R4520" s="217"/>
      <c r="S4520" s="218"/>
    </row>
    <row r="4521" spans="13:19" ht="15" customHeight="1" x14ac:dyDescent="0.25">
      <c r="M4521"/>
      <c r="N4521"/>
      <c r="O4521"/>
      <c r="P4521" s="216"/>
      <c r="Q4521" s="217"/>
      <c r="R4521" s="217"/>
      <c r="S4521" s="218"/>
    </row>
    <row r="4522" spans="13:19" ht="15" customHeight="1" x14ac:dyDescent="0.25">
      <c r="M4522"/>
      <c r="N4522"/>
      <c r="O4522"/>
      <c r="P4522" s="216"/>
      <c r="Q4522" s="217"/>
      <c r="R4522" s="217"/>
      <c r="S4522" s="218"/>
    </row>
    <row r="4523" spans="13:19" ht="15" customHeight="1" x14ac:dyDescent="0.25">
      <c r="M4523"/>
      <c r="N4523"/>
      <c r="O4523"/>
      <c r="P4523" s="216"/>
      <c r="Q4523" s="217"/>
      <c r="R4523" s="217"/>
      <c r="S4523" s="218"/>
    </row>
    <row r="4524" spans="13:19" ht="15" customHeight="1" x14ac:dyDescent="0.25">
      <c r="M4524"/>
      <c r="N4524"/>
      <c r="O4524"/>
      <c r="P4524" s="216"/>
      <c r="Q4524" s="217"/>
      <c r="R4524" s="217"/>
      <c r="S4524" s="218"/>
    </row>
    <row r="4525" spans="13:19" ht="15" customHeight="1" x14ac:dyDescent="0.25">
      <c r="M4525"/>
      <c r="N4525"/>
      <c r="O4525"/>
      <c r="P4525" s="216"/>
      <c r="Q4525" s="217"/>
      <c r="R4525" s="217"/>
      <c r="S4525" s="218"/>
    </row>
    <row r="4526" spans="13:19" ht="15" customHeight="1" x14ac:dyDescent="0.25">
      <c r="M4526"/>
      <c r="N4526"/>
      <c r="O4526"/>
      <c r="P4526" s="216"/>
      <c r="Q4526" s="217"/>
      <c r="R4526" s="217"/>
      <c r="S4526" s="218"/>
    </row>
    <row r="4527" spans="13:19" ht="15" customHeight="1" x14ac:dyDescent="0.25">
      <c r="M4527"/>
      <c r="N4527"/>
      <c r="O4527"/>
      <c r="P4527" s="216"/>
      <c r="Q4527" s="217"/>
      <c r="R4527" s="217"/>
      <c r="S4527" s="218"/>
    </row>
    <row r="4528" spans="13:19" ht="15" customHeight="1" x14ac:dyDescent="0.25">
      <c r="M4528"/>
      <c r="N4528"/>
      <c r="O4528"/>
      <c r="P4528" s="216"/>
      <c r="Q4528" s="217"/>
      <c r="R4528" s="217"/>
      <c r="S4528" s="218"/>
    </row>
    <row r="4529" spans="13:19" ht="15" customHeight="1" x14ac:dyDescent="0.25">
      <c r="M4529"/>
      <c r="N4529"/>
      <c r="O4529"/>
      <c r="P4529" s="216"/>
      <c r="Q4529" s="217"/>
      <c r="R4529" s="217"/>
      <c r="S4529" s="218"/>
    </row>
    <row r="4530" spans="13:19" ht="15" customHeight="1" x14ac:dyDescent="0.25">
      <c r="M4530"/>
      <c r="N4530"/>
      <c r="O4530"/>
      <c r="P4530" s="216"/>
      <c r="Q4530" s="217"/>
      <c r="R4530" s="217"/>
      <c r="S4530" s="218"/>
    </row>
    <row r="4531" spans="13:19" ht="15" customHeight="1" x14ac:dyDescent="0.25">
      <c r="M4531"/>
      <c r="N4531"/>
      <c r="O4531"/>
      <c r="P4531" s="216"/>
      <c r="Q4531" s="217"/>
      <c r="R4531" s="217"/>
      <c r="S4531" s="218"/>
    </row>
    <row r="4532" spans="13:19" ht="15" customHeight="1" x14ac:dyDescent="0.25">
      <c r="M4532"/>
      <c r="N4532"/>
      <c r="O4532"/>
      <c r="P4532" s="216"/>
      <c r="Q4532" s="217"/>
      <c r="R4532" s="217"/>
      <c r="S4532" s="218"/>
    </row>
    <row r="4533" spans="13:19" ht="15" customHeight="1" x14ac:dyDescent="0.25">
      <c r="M4533"/>
      <c r="N4533"/>
      <c r="O4533"/>
      <c r="P4533" s="216"/>
      <c r="Q4533" s="217"/>
      <c r="R4533" s="217"/>
      <c r="S4533" s="218"/>
    </row>
    <row r="4534" spans="13:19" ht="15" customHeight="1" x14ac:dyDescent="0.25">
      <c r="M4534"/>
      <c r="N4534"/>
      <c r="O4534"/>
      <c r="P4534" s="216"/>
      <c r="Q4534" s="217"/>
      <c r="R4534" s="217"/>
      <c r="S4534" s="218"/>
    </row>
    <row r="4535" spans="13:19" ht="15" customHeight="1" x14ac:dyDescent="0.25">
      <c r="M4535"/>
      <c r="N4535"/>
      <c r="O4535"/>
      <c r="P4535" s="216"/>
      <c r="Q4535" s="217"/>
      <c r="R4535" s="217"/>
      <c r="S4535" s="218"/>
    </row>
    <row r="4536" spans="13:19" ht="15" customHeight="1" x14ac:dyDescent="0.25">
      <c r="M4536"/>
      <c r="N4536"/>
      <c r="O4536"/>
      <c r="P4536" s="216"/>
      <c r="Q4536" s="217"/>
      <c r="R4536" s="217"/>
      <c r="S4536" s="218"/>
    </row>
    <row r="4537" spans="13:19" ht="15" customHeight="1" x14ac:dyDescent="0.25">
      <c r="M4537"/>
      <c r="N4537"/>
      <c r="O4537"/>
      <c r="P4537" s="216"/>
      <c r="Q4537" s="217"/>
      <c r="R4537" s="217"/>
      <c r="S4537" s="218"/>
    </row>
    <row r="4538" spans="13:19" ht="15" customHeight="1" x14ac:dyDescent="0.25">
      <c r="M4538"/>
      <c r="N4538"/>
      <c r="O4538"/>
      <c r="P4538" s="216"/>
      <c r="Q4538" s="217"/>
      <c r="R4538" s="217"/>
      <c r="S4538" s="218"/>
    </row>
    <row r="4539" spans="13:19" ht="15" customHeight="1" x14ac:dyDescent="0.25">
      <c r="M4539"/>
      <c r="N4539"/>
      <c r="O4539"/>
      <c r="P4539" s="216"/>
      <c r="Q4539" s="217"/>
      <c r="R4539" s="217"/>
      <c r="S4539" s="218"/>
    </row>
    <row r="4540" spans="13:19" ht="15" customHeight="1" x14ac:dyDescent="0.25">
      <c r="M4540"/>
      <c r="N4540"/>
      <c r="O4540"/>
      <c r="P4540" s="216"/>
      <c r="Q4540" s="217"/>
      <c r="R4540" s="217"/>
      <c r="S4540" s="218"/>
    </row>
    <row r="4541" spans="13:19" ht="15" customHeight="1" x14ac:dyDescent="0.25">
      <c r="M4541"/>
      <c r="N4541"/>
      <c r="O4541"/>
      <c r="P4541" s="216"/>
      <c r="Q4541" s="217"/>
      <c r="R4541" s="217"/>
      <c r="S4541" s="218"/>
    </row>
    <row r="4542" spans="13:19" ht="15" customHeight="1" x14ac:dyDescent="0.25">
      <c r="M4542"/>
      <c r="N4542"/>
      <c r="O4542"/>
      <c r="P4542" s="216"/>
      <c r="Q4542" s="217"/>
      <c r="R4542" s="217"/>
      <c r="S4542" s="218"/>
    </row>
    <row r="4543" spans="13:19" ht="15" customHeight="1" x14ac:dyDescent="0.25">
      <c r="M4543"/>
      <c r="N4543"/>
      <c r="O4543"/>
      <c r="P4543" s="216"/>
      <c r="Q4543" s="217"/>
      <c r="R4543" s="217"/>
      <c r="S4543" s="218"/>
    </row>
    <row r="4544" spans="13:19" ht="15" customHeight="1" x14ac:dyDescent="0.25">
      <c r="M4544"/>
      <c r="N4544"/>
      <c r="O4544"/>
      <c r="P4544" s="216"/>
      <c r="Q4544" s="217"/>
      <c r="R4544" s="217"/>
      <c r="S4544" s="218"/>
    </row>
    <row r="4545" spans="13:19" ht="15" customHeight="1" x14ac:dyDescent="0.25">
      <c r="M4545"/>
      <c r="N4545"/>
      <c r="O4545"/>
      <c r="P4545" s="216"/>
      <c r="Q4545" s="217"/>
      <c r="R4545" s="217"/>
      <c r="S4545" s="218"/>
    </row>
    <row r="4546" spans="13:19" ht="15" customHeight="1" x14ac:dyDescent="0.25">
      <c r="M4546"/>
      <c r="N4546"/>
      <c r="O4546"/>
      <c r="P4546" s="216"/>
      <c r="Q4546" s="217"/>
      <c r="R4546" s="217"/>
      <c r="S4546" s="218"/>
    </row>
    <row r="4547" spans="13:19" ht="15" customHeight="1" x14ac:dyDescent="0.25">
      <c r="M4547"/>
      <c r="N4547"/>
      <c r="O4547"/>
      <c r="P4547" s="216"/>
      <c r="Q4547" s="217"/>
      <c r="R4547" s="217"/>
      <c r="S4547" s="218"/>
    </row>
    <row r="4548" spans="13:19" ht="15" customHeight="1" x14ac:dyDescent="0.25">
      <c r="M4548"/>
      <c r="N4548"/>
      <c r="O4548"/>
      <c r="P4548" s="216"/>
      <c r="Q4548" s="217"/>
      <c r="R4548" s="217"/>
      <c r="S4548" s="218"/>
    </row>
    <row r="4549" spans="13:19" ht="15" customHeight="1" x14ac:dyDescent="0.25">
      <c r="M4549"/>
      <c r="N4549"/>
      <c r="O4549"/>
      <c r="P4549" s="216"/>
      <c r="Q4549" s="217"/>
      <c r="R4549" s="217"/>
      <c r="S4549" s="218"/>
    </row>
    <row r="4550" spans="13:19" ht="15" customHeight="1" x14ac:dyDescent="0.25">
      <c r="M4550"/>
      <c r="N4550"/>
      <c r="O4550"/>
      <c r="P4550" s="216"/>
      <c r="Q4550" s="217"/>
      <c r="R4550" s="217"/>
      <c r="S4550" s="218"/>
    </row>
    <row r="4551" spans="13:19" ht="15" customHeight="1" x14ac:dyDescent="0.25">
      <c r="M4551"/>
      <c r="N4551"/>
      <c r="O4551"/>
      <c r="P4551" s="216"/>
      <c r="Q4551" s="217"/>
      <c r="R4551" s="217"/>
      <c r="S4551" s="218"/>
    </row>
    <row r="4552" spans="13:19" ht="15" customHeight="1" x14ac:dyDescent="0.25">
      <c r="M4552"/>
      <c r="N4552"/>
      <c r="O4552"/>
      <c r="P4552" s="216"/>
      <c r="Q4552" s="217"/>
      <c r="R4552" s="217"/>
      <c r="S4552" s="218"/>
    </row>
    <row r="4553" spans="13:19" ht="15" customHeight="1" x14ac:dyDescent="0.25">
      <c r="M4553"/>
      <c r="N4553"/>
      <c r="O4553"/>
      <c r="P4553" s="216"/>
      <c r="Q4553" s="217"/>
      <c r="R4553" s="217"/>
      <c r="S4553" s="218"/>
    </row>
    <row r="4554" spans="13:19" ht="15" customHeight="1" x14ac:dyDescent="0.25">
      <c r="M4554"/>
      <c r="N4554"/>
      <c r="O4554"/>
      <c r="P4554" s="216"/>
      <c r="Q4554" s="217"/>
      <c r="R4554" s="217"/>
      <c r="S4554" s="218"/>
    </row>
    <row r="4555" spans="13:19" ht="15" customHeight="1" x14ac:dyDescent="0.25">
      <c r="M4555"/>
      <c r="N4555"/>
      <c r="O4555"/>
      <c r="P4555" s="216"/>
      <c r="Q4555" s="217"/>
      <c r="R4555" s="217"/>
      <c r="S4555" s="218"/>
    </row>
    <row r="4556" spans="13:19" ht="15" customHeight="1" x14ac:dyDescent="0.25">
      <c r="M4556"/>
      <c r="N4556"/>
      <c r="O4556"/>
      <c r="P4556" s="216"/>
      <c r="Q4556" s="217"/>
      <c r="R4556" s="217"/>
      <c r="S4556" s="218"/>
    </row>
    <row r="4557" spans="13:19" ht="15" customHeight="1" x14ac:dyDescent="0.25">
      <c r="M4557"/>
      <c r="N4557"/>
      <c r="O4557"/>
      <c r="P4557" s="216"/>
      <c r="Q4557" s="217"/>
      <c r="R4557" s="217"/>
      <c r="S4557" s="218"/>
    </row>
    <row r="4558" spans="13:19" ht="15" customHeight="1" x14ac:dyDescent="0.25">
      <c r="M4558"/>
      <c r="N4558"/>
      <c r="O4558"/>
      <c r="P4558" s="216"/>
      <c r="Q4558" s="217"/>
      <c r="R4558" s="217"/>
      <c r="S4558" s="218"/>
    </row>
    <row r="4559" spans="13:19" ht="15" customHeight="1" x14ac:dyDescent="0.25">
      <c r="M4559"/>
      <c r="N4559"/>
      <c r="O4559"/>
      <c r="P4559" s="216"/>
      <c r="Q4559" s="217"/>
      <c r="R4559" s="217"/>
      <c r="S4559" s="218"/>
    </row>
    <row r="4560" spans="13:19" ht="15" customHeight="1" x14ac:dyDescent="0.25">
      <c r="M4560"/>
      <c r="N4560"/>
      <c r="O4560"/>
      <c r="P4560" s="216"/>
      <c r="Q4560" s="217"/>
      <c r="R4560" s="217"/>
      <c r="S4560" s="218"/>
    </row>
    <row r="4561" spans="13:19" ht="15" customHeight="1" x14ac:dyDescent="0.25">
      <c r="M4561"/>
      <c r="N4561"/>
      <c r="O4561"/>
      <c r="P4561" s="216"/>
      <c r="Q4561" s="217"/>
      <c r="R4561" s="217"/>
      <c r="S4561" s="218"/>
    </row>
    <row r="4562" spans="13:19" ht="15" customHeight="1" x14ac:dyDescent="0.25">
      <c r="M4562"/>
      <c r="N4562"/>
      <c r="O4562"/>
      <c r="P4562" s="216"/>
      <c r="Q4562" s="217"/>
      <c r="R4562" s="217"/>
      <c r="S4562" s="218"/>
    </row>
    <row r="4563" spans="13:19" ht="15" customHeight="1" x14ac:dyDescent="0.25">
      <c r="M4563"/>
      <c r="N4563"/>
      <c r="O4563"/>
      <c r="P4563" s="216"/>
      <c r="Q4563" s="217"/>
      <c r="R4563" s="217"/>
      <c r="S4563" s="218"/>
    </row>
    <row r="4564" spans="13:19" ht="15" customHeight="1" x14ac:dyDescent="0.25">
      <c r="M4564"/>
      <c r="N4564"/>
      <c r="O4564"/>
      <c r="P4564" s="216"/>
      <c r="Q4564" s="217"/>
      <c r="R4564" s="217"/>
      <c r="S4564" s="218"/>
    </row>
    <row r="4565" spans="13:19" ht="15" customHeight="1" x14ac:dyDescent="0.25">
      <c r="M4565"/>
      <c r="N4565"/>
      <c r="O4565"/>
      <c r="P4565" s="216"/>
      <c r="Q4565" s="217"/>
      <c r="R4565" s="217"/>
      <c r="S4565" s="218"/>
    </row>
    <row r="4566" spans="13:19" ht="15" customHeight="1" x14ac:dyDescent="0.25">
      <c r="M4566"/>
      <c r="N4566"/>
      <c r="O4566"/>
      <c r="P4566" s="216"/>
      <c r="Q4566" s="217"/>
      <c r="R4566" s="217"/>
      <c r="S4566" s="218"/>
    </row>
    <row r="4567" spans="13:19" ht="15" customHeight="1" x14ac:dyDescent="0.25">
      <c r="M4567"/>
      <c r="N4567"/>
      <c r="O4567"/>
      <c r="P4567" s="216"/>
      <c r="Q4567" s="217"/>
      <c r="R4567" s="217"/>
      <c r="S4567" s="218"/>
    </row>
    <row r="4568" spans="13:19" ht="15" customHeight="1" x14ac:dyDescent="0.25">
      <c r="M4568"/>
      <c r="N4568"/>
      <c r="O4568"/>
      <c r="P4568" s="216"/>
      <c r="Q4568" s="217"/>
      <c r="R4568" s="217"/>
      <c r="S4568" s="218"/>
    </row>
    <row r="4569" spans="13:19" ht="15" customHeight="1" x14ac:dyDescent="0.25">
      <c r="M4569"/>
      <c r="N4569"/>
      <c r="O4569"/>
      <c r="P4569" s="216"/>
      <c r="Q4569" s="217"/>
      <c r="R4569" s="217"/>
      <c r="S4569" s="218"/>
    </row>
    <row r="4570" spans="13:19" ht="15" customHeight="1" x14ac:dyDescent="0.25">
      <c r="M4570"/>
      <c r="N4570"/>
      <c r="O4570"/>
      <c r="P4570" s="216"/>
      <c r="Q4570" s="217"/>
      <c r="R4570" s="217"/>
      <c r="S4570" s="218"/>
    </row>
    <row r="4571" spans="13:19" ht="15" customHeight="1" x14ac:dyDescent="0.25">
      <c r="M4571"/>
      <c r="N4571"/>
      <c r="O4571"/>
      <c r="P4571" s="216"/>
      <c r="Q4571" s="217"/>
      <c r="R4571" s="217"/>
      <c r="S4571" s="218"/>
    </row>
    <row r="4572" spans="13:19" ht="15" customHeight="1" x14ac:dyDescent="0.25">
      <c r="M4572"/>
      <c r="N4572"/>
      <c r="O4572"/>
      <c r="P4572" s="216"/>
      <c r="Q4572" s="217"/>
      <c r="R4572" s="217"/>
      <c r="S4572" s="218"/>
    </row>
    <row r="4573" spans="13:19" ht="15" customHeight="1" x14ac:dyDescent="0.25">
      <c r="M4573"/>
      <c r="N4573"/>
      <c r="O4573"/>
      <c r="P4573" s="216"/>
      <c r="Q4573" s="217"/>
      <c r="R4573" s="217"/>
      <c r="S4573" s="218"/>
    </row>
    <row r="4574" spans="13:19" ht="15" customHeight="1" x14ac:dyDescent="0.25">
      <c r="M4574"/>
      <c r="N4574"/>
      <c r="O4574"/>
      <c r="P4574" s="216"/>
      <c r="Q4574" s="217"/>
      <c r="R4574" s="217"/>
      <c r="S4574" s="218"/>
    </row>
    <row r="4575" spans="13:19" ht="15" customHeight="1" x14ac:dyDescent="0.25">
      <c r="M4575"/>
      <c r="N4575"/>
      <c r="O4575"/>
      <c r="P4575" s="216"/>
      <c r="Q4575" s="217"/>
      <c r="R4575" s="217"/>
      <c r="S4575" s="218"/>
    </row>
    <row r="4576" spans="13:19" ht="15" customHeight="1" x14ac:dyDescent="0.25">
      <c r="M4576"/>
      <c r="N4576"/>
      <c r="O4576"/>
      <c r="P4576" s="216"/>
      <c r="Q4576" s="217"/>
      <c r="R4576" s="217"/>
      <c r="S4576" s="218"/>
    </row>
    <row r="4577" spans="13:19" ht="15" customHeight="1" x14ac:dyDescent="0.25">
      <c r="M4577"/>
      <c r="N4577"/>
      <c r="O4577"/>
      <c r="P4577" s="216"/>
      <c r="Q4577" s="217"/>
      <c r="R4577" s="217"/>
      <c r="S4577" s="218"/>
    </row>
    <row r="4578" spans="13:19" ht="15" customHeight="1" x14ac:dyDescent="0.25">
      <c r="M4578"/>
      <c r="N4578"/>
      <c r="O4578"/>
      <c r="P4578" s="216"/>
      <c r="Q4578" s="217"/>
      <c r="R4578" s="217"/>
      <c r="S4578" s="218"/>
    </row>
    <row r="4579" spans="13:19" ht="15" customHeight="1" x14ac:dyDescent="0.25">
      <c r="M4579"/>
      <c r="N4579"/>
      <c r="O4579"/>
      <c r="P4579" s="216"/>
      <c r="Q4579" s="217"/>
      <c r="R4579" s="217"/>
      <c r="S4579" s="218"/>
    </row>
    <row r="4580" spans="13:19" ht="15" customHeight="1" x14ac:dyDescent="0.25">
      <c r="M4580"/>
      <c r="N4580"/>
      <c r="O4580"/>
      <c r="P4580" s="216"/>
      <c r="Q4580" s="217"/>
      <c r="R4580" s="217"/>
      <c r="S4580" s="218"/>
    </row>
    <row r="4581" spans="13:19" ht="15" customHeight="1" x14ac:dyDescent="0.25">
      <c r="M4581"/>
      <c r="N4581"/>
      <c r="O4581"/>
      <c r="P4581" s="216"/>
      <c r="Q4581" s="217"/>
      <c r="R4581" s="217"/>
      <c r="S4581" s="218"/>
    </row>
    <row r="4582" spans="13:19" ht="15" customHeight="1" x14ac:dyDescent="0.25">
      <c r="M4582"/>
      <c r="N4582"/>
      <c r="O4582"/>
      <c r="P4582" s="216"/>
      <c r="Q4582" s="217"/>
      <c r="R4582" s="217"/>
      <c r="S4582" s="218"/>
    </row>
    <row r="4583" spans="13:19" ht="15" customHeight="1" x14ac:dyDescent="0.25">
      <c r="M4583"/>
      <c r="N4583"/>
      <c r="O4583"/>
      <c r="P4583" s="216"/>
      <c r="Q4583" s="217"/>
      <c r="R4583" s="217"/>
      <c r="S4583" s="218"/>
    </row>
    <row r="4584" spans="13:19" ht="15" customHeight="1" x14ac:dyDescent="0.25">
      <c r="M4584"/>
      <c r="N4584"/>
      <c r="O4584"/>
      <c r="P4584" s="216"/>
      <c r="Q4584" s="217"/>
      <c r="R4584" s="217"/>
      <c r="S4584" s="218"/>
    </row>
    <row r="4585" spans="13:19" ht="15" customHeight="1" x14ac:dyDescent="0.25">
      <c r="M4585"/>
      <c r="N4585"/>
      <c r="O4585"/>
      <c r="P4585" s="216"/>
      <c r="Q4585" s="217"/>
      <c r="R4585" s="217"/>
      <c r="S4585" s="218"/>
    </row>
    <row r="4586" spans="13:19" ht="15" customHeight="1" x14ac:dyDescent="0.25">
      <c r="M4586"/>
      <c r="N4586"/>
      <c r="O4586"/>
      <c r="P4586" s="216"/>
      <c r="Q4586" s="217"/>
      <c r="R4586" s="217"/>
      <c r="S4586" s="218"/>
    </row>
    <row r="4587" spans="13:19" ht="15" customHeight="1" x14ac:dyDescent="0.25">
      <c r="M4587"/>
      <c r="N4587"/>
      <c r="O4587"/>
      <c r="P4587" s="216"/>
      <c r="Q4587" s="217"/>
      <c r="R4587" s="217"/>
      <c r="S4587" s="218"/>
    </row>
    <row r="4588" spans="13:19" ht="15" customHeight="1" x14ac:dyDescent="0.25">
      <c r="M4588"/>
      <c r="N4588"/>
      <c r="O4588"/>
      <c r="P4588" s="216"/>
      <c r="Q4588" s="217"/>
      <c r="R4588" s="217"/>
      <c r="S4588" s="218"/>
    </row>
    <row r="4589" spans="13:19" ht="15" customHeight="1" x14ac:dyDescent="0.25">
      <c r="M4589"/>
      <c r="N4589"/>
      <c r="O4589"/>
      <c r="P4589" s="216"/>
      <c r="Q4589" s="217"/>
      <c r="R4589" s="217"/>
      <c r="S4589" s="218"/>
    </row>
    <row r="4590" spans="13:19" ht="15" customHeight="1" x14ac:dyDescent="0.25">
      <c r="M4590"/>
      <c r="N4590"/>
      <c r="O4590"/>
      <c r="P4590" s="216"/>
      <c r="Q4590" s="217"/>
      <c r="R4590" s="217"/>
      <c r="S4590" s="218"/>
    </row>
    <row r="4591" spans="13:19" ht="15" customHeight="1" x14ac:dyDescent="0.25">
      <c r="M4591"/>
      <c r="N4591"/>
      <c r="O4591"/>
      <c r="P4591" s="216"/>
      <c r="Q4591" s="217"/>
      <c r="R4591" s="217"/>
      <c r="S4591" s="218"/>
    </row>
    <row r="4592" spans="13:19" ht="15" customHeight="1" x14ac:dyDescent="0.25">
      <c r="M4592"/>
      <c r="N4592"/>
      <c r="O4592"/>
      <c r="P4592" s="216"/>
      <c r="Q4592" s="217"/>
      <c r="R4592" s="217"/>
      <c r="S4592" s="218"/>
    </row>
    <row r="4593" spans="13:19" ht="15" customHeight="1" x14ac:dyDescent="0.25">
      <c r="M4593"/>
      <c r="N4593"/>
      <c r="O4593"/>
      <c r="P4593" s="216"/>
      <c r="Q4593" s="217"/>
      <c r="R4593" s="217"/>
      <c r="S4593" s="218"/>
    </row>
    <row r="4594" spans="13:19" ht="15" customHeight="1" x14ac:dyDescent="0.25">
      <c r="M4594"/>
      <c r="N4594"/>
      <c r="O4594"/>
      <c r="P4594" s="216"/>
      <c r="Q4594" s="217"/>
      <c r="R4594" s="217"/>
      <c r="S4594" s="218"/>
    </row>
    <row r="4595" spans="13:19" ht="15" customHeight="1" x14ac:dyDescent="0.25">
      <c r="M4595"/>
      <c r="N4595"/>
      <c r="O4595"/>
      <c r="P4595" s="216"/>
      <c r="Q4595" s="217"/>
      <c r="R4595" s="217"/>
      <c r="S4595" s="218"/>
    </row>
    <row r="4596" spans="13:19" ht="15" customHeight="1" x14ac:dyDescent="0.25">
      <c r="M4596"/>
      <c r="N4596"/>
      <c r="O4596"/>
      <c r="P4596" s="216"/>
      <c r="Q4596" s="217"/>
      <c r="R4596" s="217"/>
      <c r="S4596" s="218"/>
    </row>
    <row r="4597" spans="13:19" ht="15" customHeight="1" x14ac:dyDescent="0.25">
      <c r="M4597"/>
      <c r="N4597"/>
      <c r="O4597"/>
      <c r="P4597" s="216"/>
      <c r="Q4597" s="217"/>
      <c r="R4597" s="217"/>
      <c r="S4597" s="218"/>
    </row>
    <row r="4598" spans="13:19" ht="15" customHeight="1" x14ac:dyDescent="0.25">
      <c r="M4598"/>
      <c r="N4598"/>
      <c r="O4598"/>
      <c r="P4598" s="216"/>
      <c r="Q4598" s="217"/>
      <c r="R4598" s="217"/>
      <c r="S4598" s="218"/>
    </row>
    <row r="4599" spans="13:19" ht="15" customHeight="1" x14ac:dyDescent="0.25">
      <c r="M4599"/>
      <c r="N4599"/>
      <c r="O4599"/>
      <c r="P4599" s="216"/>
      <c r="Q4599" s="217"/>
      <c r="R4599" s="217"/>
      <c r="S4599" s="218"/>
    </row>
    <row r="4600" spans="13:19" ht="15" customHeight="1" x14ac:dyDescent="0.25">
      <c r="M4600"/>
      <c r="N4600"/>
      <c r="O4600"/>
      <c r="P4600" s="216"/>
      <c r="Q4600" s="217"/>
      <c r="R4600" s="217"/>
      <c r="S4600" s="218"/>
    </row>
    <row r="4601" spans="13:19" ht="15" customHeight="1" x14ac:dyDescent="0.25">
      <c r="M4601"/>
      <c r="N4601"/>
      <c r="O4601"/>
      <c r="P4601" s="216"/>
      <c r="Q4601" s="217"/>
      <c r="R4601" s="217"/>
      <c r="S4601" s="218"/>
    </row>
    <row r="4602" spans="13:19" ht="15" customHeight="1" x14ac:dyDescent="0.25">
      <c r="M4602"/>
      <c r="N4602"/>
      <c r="O4602"/>
      <c r="P4602" s="216"/>
      <c r="Q4602" s="217"/>
      <c r="R4602" s="217"/>
      <c r="S4602" s="218"/>
    </row>
    <row r="4603" spans="13:19" ht="15" customHeight="1" x14ac:dyDescent="0.25">
      <c r="M4603"/>
      <c r="N4603"/>
      <c r="O4603"/>
      <c r="P4603" s="216"/>
      <c r="Q4603" s="217"/>
      <c r="R4603" s="217"/>
      <c r="S4603" s="218"/>
    </row>
    <row r="4604" spans="13:19" ht="15" customHeight="1" x14ac:dyDescent="0.25">
      <c r="M4604"/>
      <c r="N4604"/>
      <c r="O4604"/>
      <c r="P4604" s="216"/>
      <c r="Q4604" s="217"/>
      <c r="R4604" s="217"/>
      <c r="S4604" s="218"/>
    </row>
    <row r="4605" spans="13:19" ht="15" customHeight="1" x14ac:dyDescent="0.25">
      <c r="M4605"/>
      <c r="N4605"/>
      <c r="O4605"/>
      <c r="P4605" s="216"/>
      <c r="Q4605" s="217"/>
      <c r="R4605" s="217"/>
      <c r="S4605" s="218"/>
    </row>
    <row r="4606" spans="13:19" ht="15" customHeight="1" x14ac:dyDescent="0.25">
      <c r="M4606"/>
      <c r="N4606"/>
      <c r="O4606"/>
      <c r="P4606" s="216"/>
      <c r="Q4606" s="217"/>
      <c r="R4606" s="217"/>
      <c r="S4606" s="218"/>
    </row>
    <row r="4607" spans="13:19" ht="15" customHeight="1" x14ac:dyDescent="0.25">
      <c r="M4607"/>
      <c r="N4607"/>
      <c r="O4607"/>
      <c r="P4607" s="216"/>
      <c r="Q4607" s="217"/>
      <c r="R4607" s="217"/>
      <c r="S4607" s="218"/>
    </row>
    <row r="4608" spans="13:19" ht="15" customHeight="1" x14ac:dyDescent="0.25">
      <c r="M4608"/>
      <c r="N4608"/>
      <c r="O4608"/>
      <c r="P4608" s="216"/>
      <c r="Q4608" s="217"/>
      <c r="R4608" s="217"/>
      <c r="S4608" s="218"/>
    </row>
    <row r="4609" spans="13:19" ht="15" customHeight="1" x14ac:dyDescent="0.25">
      <c r="M4609"/>
      <c r="N4609"/>
      <c r="O4609"/>
      <c r="P4609" s="216"/>
      <c r="Q4609" s="217"/>
      <c r="R4609" s="217"/>
      <c r="S4609" s="218"/>
    </row>
    <row r="4610" spans="13:19" ht="15" customHeight="1" x14ac:dyDescent="0.25">
      <c r="M4610"/>
      <c r="N4610"/>
      <c r="O4610"/>
      <c r="P4610" s="216"/>
      <c r="Q4610" s="217"/>
      <c r="R4610" s="217"/>
      <c r="S4610" s="218"/>
    </row>
    <row r="4611" spans="13:19" ht="15" customHeight="1" x14ac:dyDescent="0.25">
      <c r="M4611"/>
      <c r="N4611"/>
      <c r="O4611"/>
      <c r="P4611" s="216"/>
      <c r="Q4611" s="217"/>
      <c r="R4611" s="217"/>
      <c r="S4611" s="218"/>
    </row>
    <row r="4612" spans="13:19" ht="15" customHeight="1" x14ac:dyDescent="0.25">
      <c r="M4612"/>
      <c r="N4612"/>
      <c r="O4612"/>
      <c r="P4612" s="216"/>
      <c r="Q4612" s="217"/>
      <c r="R4612" s="217"/>
      <c r="S4612" s="218"/>
    </row>
    <row r="4613" spans="13:19" ht="15" customHeight="1" x14ac:dyDescent="0.25">
      <c r="M4613"/>
      <c r="N4613"/>
      <c r="O4613"/>
      <c r="P4613" s="216"/>
      <c r="Q4613" s="217"/>
      <c r="R4613" s="217"/>
      <c r="S4613" s="218"/>
    </row>
    <row r="4614" spans="13:19" ht="15" customHeight="1" x14ac:dyDescent="0.25">
      <c r="M4614"/>
      <c r="N4614"/>
      <c r="O4614"/>
      <c r="P4614" s="216"/>
      <c r="Q4614" s="217"/>
      <c r="R4614" s="217"/>
      <c r="S4614" s="218"/>
    </row>
    <row r="4615" spans="13:19" ht="15" customHeight="1" x14ac:dyDescent="0.25">
      <c r="M4615"/>
      <c r="N4615"/>
      <c r="O4615"/>
      <c r="P4615" s="216"/>
      <c r="Q4615" s="217"/>
      <c r="R4615" s="217"/>
      <c r="S4615" s="218"/>
    </row>
    <row r="4616" spans="13:19" ht="15" customHeight="1" x14ac:dyDescent="0.25">
      <c r="M4616"/>
      <c r="N4616"/>
      <c r="O4616"/>
      <c r="P4616" s="216"/>
      <c r="Q4616" s="217"/>
      <c r="R4616" s="217"/>
      <c r="S4616" s="218"/>
    </row>
    <row r="4617" spans="13:19" ht="15" customHeight="1" x14ac:dyDescent="0.25">
      <c r="M4617"/>
      <c r="N4617"/>
      <c r="O4617"/>
      <c r="P4617" s="216"/>
      <c r="Q4617" s="217"/>
      <c r="R4617" s="217"/>
      <c r="S4617" s="218"/>
    </row>
    <row r="4618" spans="13:19" ht="15" customHeight="1" x14ac:dyDescent="0.25">
      <c r="M4618"/>
      <c r="N4618"/>
      <c r="O4618"/>
      <c r="P4618" s="216"/>
      <c r="Q4618" s="217"/>
      <c r="R4618" s="217"/>
      <c r="S4618" s="218"/>
    </row>
    <row r="4619" spans="13:19" ht="15" customHeight="1" x14ac:dyDescent="0.25">
      <c r="M4619"/>
      <c r="N4619"/>
      <c r="O4619"/>
      <c r="P4619" s="216"/>
      <c r="Q4619" s="217"/>
      <c r="R4619" s="217"/>
      <c r="S4619" s="218"/>
    </row>
    <row r="4620" spans="13:19" ht="15" customHeight="1" x14ac:dyDescent="0.25">
      <c r="M4620"/>
      <c r="N4620"/>
      <c r="O4620"/>
      <c r="P4620" s="216"/>
      <c r="Q4620" s="217"/>
      <c r="R4620" s="217"/>
      <c r="S4620" s="218"/>
    </row>
    <row r="4621" spans="13:19" ht="15" customHeight="1" x14ac:dyDescent="0.25">
      <c r="M4621"/>
      <c r="N4621"/>
      <c r="O4621"/>
      <c r="P4621" s="216"/>
      <c r="Q4621" s="217"/>
      <c r="R4621" s="217"/>
      <c r="S4621" s="218"/>
    </row>
    <row r="4622" spans="13:19" ht="15" customHeight="1" x14ac:dyDescent="0.25">
      <c r="M4622"/>
      <c r="N4622"/>
      <c r="O4622"/>
      <c r="P4622" s="216"/>
      <c r="Q4622" s="217"/>
      <c r="R4622" s="217"/>
      <c r="S4622" s="218"/>
    </row>
    <row r="4623" spans="13:19" ht="15" customHeight="1" x14ac:dyDescent="0.25">
      <c r="M4623"/>
      <c r="N4623"/>
      <c r="O4623"/>
      <c r="P4623" s="216"/>
      <c r="Q4623" s="217"/>
      <c r="R4623" s="217"/>
      <c r="S4623" s="218"/>
    </row>
    <row r="4624" spans="13:19" ht="15" customHeight="1" x14ac:dyDescent="0.25">
      <c r="M4624"/>
      <c r="N4624"/>
      <c r="O4624"/>
      <c r="P4624" s="216"/>
      <c r="Q4624" s="217"/>
      <c r="R4624" s="217"/>
      <c r="S4624" s="218"/>
    </row>
    <row r="4625" spans="13:19" ht="15" customHeight="1" x14ac:dyDescent="0.25">
      <c r="M4625"/>
      <c r="N4625"/>
      <c r="O4625"/>
      <c r="P4625" s="216"/>
      <c r="Q4625" s="217"/>
      <c r="R4625" s="217"/>
      <c r="S4625" s="218"/>
    </row>
    <row r="4626" spans="13:19" ht="15" customHeight="1" x14ac:dyDescent="0.25">
      <c r="M4626"/>
      <c r="N4626"/>
      <c r="O4626"/>
      <c r="P4626" s="216"/>
      <c r="Q4626" s="217"/>
      <c r="R4626" s="217"/>
      <c r="S4626" s="218"/>
    </row>
    <row r="4627" spans="13:19" ht="15" customHeight="1" x14ac:dyDescent="0.25">
      <c r="M4627"/>
      <c r="N4627"/>
      <c r="O4627"/>
      <c r="P4627" s="216"/>
      <c r="Q4627" s="217"/>
      <c r="R4627" s="217"/>
      <c r="S4627" s="218"/>
    </row>
    <row r="4628" spans="13:19" ht="15" customHeight="1" x14ac:dyDescent="0.25">
      <c r="M4628"/>
      <c r="N4628"/>
      <c r="O4628"/>
      <c r="P4628" s="216"/>
      <c r="Q4628" s="217"/>
      <c r="R4628" s="217"/>
      <c r="S4628" s="218"/>
    </row>
    <row r="4629" spans="13:19" ht="15" customHeight="1" x14ac:dyDescent="0.25">
      <c r="M4629"/>
      <c r="N4629"/>
      <c r="O4629"/>
      <c r="P4629" s="216"/>
      <c r="Q4629" s="217"/>
      <c r="R4629" s="217"/>
      <c r="S4629" s="218"/>
    </row>
    <row r="4630" spans="13:19" ht="15" customHeight="1" x14ac:dyDescent="0.25">
      <c r="M4630"/>
      <c r="N4630"/>
      <c r="O4630"/>
      <c r="P4630" s="216"/>
      <c r="Q4630" s="217"/>
      <c r="R4630" s="217"/>
      <c r="S4630" s="218"/>
    </row>
    <row r="4631" spans="13:19" ht="15" customHeight="1" x14ac:dyDescent="0.25">
      <c r="M4631"/>
      <c r="N4631"/>
      <c r="O4631"/>
      <c r="P4631" s="216"/>
      <c r="Q4631" s="217"/>
      <c r="R4631" s="217"/>
      <c r="S4631" s="218"/>
    </row>
    <row r="4632" spans="13:19" ht="15" customHeight="1" x14ac:dyDescent="0.25">
      <c r="M4632"/>
      <c r="N4632"/>
      <c r="O4632"/>
      <c r="P4632" s="216"/>
      <c r="Q4632" s="217"/>
      <c r="R4632" s="217"/>
      <c r="S4632" s="218"/>
    </row>
    <row r="4633" spans="13:19" ht="15" customHeight="1" x14ac:dyDescent="0.25">
      <c r="M4633"/>
      <c r="N4633"/>
      <c r="O4633"/>
      <c r="P4633" s="216"/>
      <c r="Q4633" s="217"/>
      <c r="R4633" s="217"/>
      <c r="S4633" s="218"/>
    </row>
    <row r="4634" spans="13:19" ht="15" customHeight="1" x14ac:dyDescent="0.25">
      <c r="M4634"/>
      <c r="N4634"/>
      <c r="O4634"/>
      <c r="P4634" s="216"/>
      <c r="Q4634" s="217"/>
      <c r="R4634" s="217"/>
      <c r="S4634" s="218"/>
    </row>
    <row r="4635" spans="13:19" ht="15" customHeight="1" x14ac:dyDescent="0.25">
      <c r="M4635"/>
      <c r="N4635"/>
      <c r="O4635"/>
      <c r="P4635" s="216"/>
      <c r="Q4635" s="217"/>
      <c r="R4635" s="217"/>
      <c r="S4635" s="218"/>
    </row>
    <row r="4636" spans="13:19" ht="15" customHeight="1" x14ac:dyDescent="0.25">
      <c r="M4636"/>
      <c r="N4636"/>
      <c r="O4636"/>
      <c r="P4636" s="216"/>
      <c r="Q4636" s="217"/>
      <c r="R4636" s="217"/>
      <c r="S4636" s="218"/>
    </row>
    <row r="4637" spans="13:19" ht="15" customHeight="1" x14ac:dyDescent="0.25">
      <c r="M4637"/>
      <c r="N4637"/>
      <c r="O4637"/>
      <c r="P4637" s="216"/>
      <c r="Q4637" s="217"/>
      <c r="R4637" s="217"/>
      <c r="S4637" s="218"/>
    </row>
    <row r="4638" spans="13:19" ht="15" customHeight="1" x14ac:dyDescent="0.25">
      <c r="M4638"/>
      <c r="N4638"/>
      <c r="O4638"/>
      <c r="P4638" s="216"/>
      <c r="Q4638" s="217"/>
      <c r="R4638" s="217"/>
      <c r="S4638" s="218"/>
    </row>
    <row r="4639" spans="13:19" ht="15" customHeight="1" x14ac:dyDescent="0.25">
      <c r="M4639"/>
      <c r="N4639"/>
      <c r="O4639"/>
      <c r="P4639" s="216"/>
      <c r="Q4639" s="217"/>
      <c r="R4639" s="217"/>
      <c r="S4639" s="218"/>
    </row>
    <row r="4640" spans="13:19" ht="15" customHeight="1" x14ac:dyDescent="0.25">
      <c r="M4640"/>
      <c r="N4640"/>
      <c r="O4640"/>
      <c r="P4640" s="216"/>
      <c r="Q4640" s="217"/>
      <c r="R4640" s="217"/>
      <c r="S4640" s="218"/>
    </row>
    <row r="4641" spans="13:19" ht="15" customHeight="1" x14ac:dyDescent="0.25">
      <c r="M4641"/>
      <c r="N4641"/>
      <c r="O4641"/>
      <c r="P4641" s="216"/>
      <c r="Q4641" s="217"/>
      <c r="R4641" s="217"/>
      <c r="S4641" s="218"/>
    </row>
    <row r="4642" spans="13:19" ht="15" customHeight="1" x14ac:dyDescent="0.25">
      <c r="M4642"/>
      <c r="N4642"/>
      <c r="O4642"/>
      <c r="P4642" s="216"/>
      <c r="Q4642" s="217"/>
      <c r="R4642" s="217"/>
      <c r="S4642" s="218"/>
    </row>
    <row r="4643" spans="13:19" ht="15" customHeight="1" x14ac:dyDescent="0.25">
      <c r="M4643"/>
      <c r="N4643"/>
      <c r="O4643"/>
      <c r="P4643" s="216"/>
      <c r="Q4643" s="217"/>
      <c r="R4643" s="217"/>
      <c r="S4643" s="218"/>
    </row>
    <row r="4644" spans="13:19" ht="15" customHeight="1" x14ac:dyDescent="0.25">
      <c r="M4644"/>
      <c r="N4644"/>
      <c r="O4644"/>
      <c r="P4644" s="216"/>
      <c r="Q4644" s="217"/>
      <c r="R4644" s="217"/>
      <c r="S4644" s="218"/>
    </row>
    <row r="4645" spans="13:19" ht="15" customHeight="1" x14ac:dyDescent="0.25">
      <c r="M4645"/>
      <c r="N4645"/>
      <c r="O4645"/>
      <c r="P4645" s="216"/>
      <c r="Q4645" s="217"/>
      <c r="R4645" s="217"/>
      <c r="S4645" s="218"/>
    </row>
    <row r="4646" spans="13:19" ht="15" customHeight="1" x14ac:dyDescent="0.25">
      <c r="M4646"/>
      <c r="N4646"/>
      <c r="O4646"/>
      <c r="P4646" s="216"/>
      <c r="Q4646" s="217"/>
      <c r="R4646" s="217"/>
      <c r="S4646" s="218"/>
    </row>
    <row r="4647" spans="13:19" ht="15" customHeight="1" x14ac:dyDescent="0.25">
      <c r="M4647"/>
      <c r="N4647"/>
      <c r="O4647"/>
      <c r="P4647" s="216"/>
      <c r="Q4647" s="217"/>
      <c r="R4647" s="217"/>
      <c r="S4647" s="218"/>
    </row>
    <row r="4648" spans="13:19" ht="15" customHeight="1" x14ac:dyDescent="0.25">
      <c r="M4648"/>
      <c r="N4648"/>
      <c r="O4648"/>
      <c r="P4648" s="216"/>
      <c r="Q4648" s="217"/>
      <c r="R4648" s="217"/>
      <c r="S4648" s="218"/>
    </row>
    <row r="4649" spans="13:19" ht="15" customHeight="1" x14ac:dyDescent="0.25">
      <c r="M4649"/>
      <c r="N4649"/>
      <c r="O4649"/>
      <c r="P4649" s="216"/>
      <c r="Q4649" s="217"/>
      <c r="R4649" s="217"/>
      <c r="S4649" s="218"/>
    </row>
    <row r="4650" spans="13:19" ht="15" customHeight="1" x14ac:dyDescent="0.25">
      <c r="M4650"/>
      <c r="N4650"/>
      <c r="O4650"/>
      <c r="P4650" s="216"/>
      <c r="Q4650" s="217"/>
      <c r="R4650" s="217"/>
      <c r="S4650" s="218"/>
    </row>
    <row r="4651" spans="13:19" ht="15" customHeight="1" x14ac:dyDescent="0.25">
      <c r="M4651"/>
      <c r="N4651"/>
      <c r="O4651"/>
      <c r="P4651" s="216"/>
      <c r="Q4651" s="217"/>
      <c r="R4651" s="217"/>
      <c r="S4651" s="218"/>
    </row>
    <row r="4652" spans="13:19" ht="15" customHeight="1" x14ac:dyDescent="0.25">
      <c r="M4652"/>
      <c r="N4652"/>
      <c r="O4652"/>
      <c r="P4652" s="216"/>
      <c r="Q4652" s="217"/>
      <c r="R4652" s="217"/>
      <c r="S4652" s="218"/>
    </row>
    <row r="4653" spans="13:19" ht="15" customHeight="1" x14ac:dyDescent="0.25">
      <c r="M4653"/>
      <c r="N4653"/>
      <c r="O4653"/>
      <c r="P4653" s="216"/>
      <c r="Q4653" s="217"/>
      <c r="R4653" s="217"/>
      <c r="S4653" s="218"/>
    </row>
    <row r="4654" spans="13:19" ht="15" customHeight="1" x14ac:dyDescent="0.25">
      <c r="M4654"/>
      <c r="N4654"/>
      <c r="O4654"/>
      <c r="P4654" s="216"/>
      <c r="Q4654" s="217"/>
      <c r="R4654" s="217"/>
      <c r="S4654" s="218"/>
    </row>
    <row r="4655" spans="13:19" ht="15" customHeight="1" x14ac:dyDescent="0.25">
      <c r="M4655"/>
      <c r="N4655"/>
      <c r="O4655"/>
      <c r="P4655" s="216"/>
      <c r="Q4655" s="217"/>
      <c r="R4655" s="217"/>
      <c r="S4655" s="218"/>
    </row>
    <row r="4656" spans="13:19" ht="15" customHeight="1" x14ac:dyDescent="0.25">
      <c r="M4656"/>
      <c r="N4656"/>
      <c r="O4656"/>
      <c r="P4656" s="216"/>
      <c r="Q4656" s="217"/>
      <c r="R4656" s="217"/>
      <c r="S4656" s="218"/>
    </row>
    <row r="4657" spans="13:19" ht="15" customHeight="1" x14ac:dyDescent="0.25">
      <c r="M4657"/>
      <c r="N4657"/>
      <c r="O4657"/>
      <c r="P4657" s="216"/>
      <c r="Q4657" s="217"/>
      <c r="R4657" s="217"/>
      <c r="S4657" s="218"/>
    </row>
    <row r="4658" spans="13:19" ht="15" customHeight="1" x14ac:dyDescent="0.25">
      <c r="M4658"/>
      <c r="N4658"/>
      <c r="O4658"/>
      <c r="P4658" s="216"/>
      <c r="Q4658" s="217"/>
      <c r="R4658" s="217"/>
      <c r="S4658" s="218"/>
    </row>
    <row r="4659" spans="13:19" ht="15" customHeight="1" x14ac:dyDescent="0.25">
      <c r="M4659"/>
      <c r="N4659"/>
      <c r="O4659"/>
      <c r="P4659" s="216"/>
      <c r="Q4659" s="217"/>
      <c r="R4659" s="217"/>
      <c r="S4659" s="218"/>
    </row>
    <row r="4660" spans="13:19" ht="15" customHeight="1" x14ac:dyDescent="0.25">
      <c r="M4660"/>
      <c r="N4660"/>
      <c r="O4660"/>
      <c r="P4660" s="216"/>
      <c r="Q4660" s="217"/>
      <c r="R4660" s="217"/>
      <c r="S4660" s="218"/>
    </row>
    <row r="4661" spans="13:19" ht="15" customHeight="1" x14ac:dyDescent="0.25">
      <c r="M4661"/>
      <c r="N4661"/>
      <c r="O4661"/>
      <c r="P4661" s="216"/>
      <c r="Q4661" s="217"/>
      <c r="R4661" s="217"/>
      <c r="S4661" s="218"/>
    </row>
    <row r="4662" spans="13:19" ht="15" customHeight="1" x14ac:dyDescent="0.25">
      <c r="M4662"/>
      <c r="N4662"/>
      <c r="O4662"/>
      <c r="P4662" s="216"/>
      <c r="Q4662" s="217"/>
      <c r="R4662" s="217"/>
      <c r="S4662" s="218"/>
    </row>
    <row r="4663" spans="13:19" ht="15" customHeight="1" x14ac:dyDescent="0.25">
      <c r="M4663"/>
      <c r="N4663"/>
      <c r="O4663"/>
      <c r="P4663" s="216"/>
      <c r="Q4663" s="217"/>
      <c r="R4663" s="217"/>
      <c r="S4663" s="218"/>
    </row>
    <row r="4664" spans="13:19" ht="15" customHeight="1" x14ac:dyDescent="0.25">
      <c r="M4664"/>
      <c r="N4664"/>
      <c r="O4664"/>
      <c r="P4664" s="216"/>
      <c r="Q4664" s="217"/>
      <c r="R4664" s="217"/>
      <c r="S4664" s="218"/>
    </row>
    <row r="4665" spans="13:19" ht="15" customHeight="1" x14ac:dyDescent="0.25">
      <c r="M4665"/>
      <c r="N4665"/>
      <c r="O4665"/>
      <c r="P4665" s="216"/>
      <c r="Q4665" s="217"/>
      <c r="R4665" s="217"/>
      <c r="S4665" s="218"/>
    </row>
    <row r="4666" spans="13:19" ht="15" customHeight="1" x14ac:dyDescent="0.25">
      <c r="M4666"/>
      <c r="N4666"/>
      <c r="O4666"/>
      <c r="P4666" s="216"/>
      <c r="Q4666" s="217"/>
      <c r="R4666" s="217"/>
      <c r="S4666" s="218"/>
    </row>
    <row r="4667" spans="13:19" ht="15" customHeight="1" x14ac:dyDescent="0.25">
      <c r="M4667"/>
      <c r="N4667"/>
      <c r="O4667"/>
      <c r="P4667" s="216"/>
      <c r="Q4667" s="217"/>
      <c r="R4667" s="217"/>
      <c r="S4667" s="218"/>
    </row>
    <row r="4668" spans="13:19" ht="15" customHeight="1" x14ac:dyDescent="0.25">
      <c r="M4668"/>
      <c r="N4668"/>
      <c r="O4668"/>
      <c r="P4668" s="216"/>
      <c r="Q4668" s="217"/>
      <c r="R4668" s="217"/>
      <c r="S4668" s="218"/>
    </row>
    <row r="4669" spans="13:19" ht="15" customHeight="1" x14ac:dyDescent="0.25">
      <c r="M4669"/>
      <c r="N4669"/>
      <c r="O4669"/>
      <c r="P4669" s="216"/>
      <c r="Q4669" s="217"/>
      <c r="R4669" s="217"/>
      <c r="S4669" s="218"/>
    </row>
    <row r="4670" spans="13:19" ht="15" customHeight="1" x14ac:dyDescent="0.25">
      <c r="M4670"/>
      <c r="N4670"/>
      <c r="O4670"/>
      <c r="P4670" s="216"/>
      <c r="Q4670" s="217"/>
      <c r="R4670" s="217"/>
      <c r="S4670" s="218"/>
    </row>
    <row r="4671" spans="13:19" ht="15" customHeight="1" x14ac:dyDescent="0.25">
      <c r="M4671"/>
      <c r="N4671"/>
      <c r="O4671"/>
      <c r="P4671" s="216"/>
      <c r="Q4671" s="217"/>
      <c r="R4671" s="217"/>
      <c r="S4671" s="218"/>
    </row>
    <row r="4672" spans="13:19" ht="15" customHeight="1" x14ac:dyDescent="0.25">
      <c r="M4672"/>
      <c r="N4672"/>
      <c r="O4672"/>
      <c r="P4672" s="216"/>
      <c r="Q4672" s="217"/>
      <c r="R4672" s="217"/>
      <c r="S4672" s="218"/>
    </row>
    <row r="4673" spans="13:19" ht="15" customHeight="1" x14ac:dyDescent="0.25">
      <c r="M4673"/>
      <c r="N4673"/>
      <c r="O4673"/>
      <c r="P4673" s="216"/>
      <c r="Q4673" s="217"/>
      <c r="R4673" s="217"/>
      <c r="S4673" s="218"/>
    </row>
    <row r="4674" spans="13:19" ht="15" customHeight="1" x14ac:dyDescent="0.25">
      <c r="M4674"/>
      <c r="N4674"/>
      <c r="O4674"/>
      <c r="P4674" s="216"/>
      <c r="Q4674" s="217"/>
      <c r="R4674" s="217"/>
      <c r="S4674" s="218"/>
    </row>
    <row r="4675" spans="13:19" ht="15" customHeight="1" x14ac:dyDescent="0.25">
      <c r="M4675"/>
      <c r="N4675"/>
      <c r="O4675"/>
      <c r="P4675" s="216"/>
      <c r="Q4675" s="217"/>
      <c r="R4675" s="217"/>
      <c r="S4675" s="218"/>
    </row>
    <row r="4676" spans="13:19" ht="15" customHeight="1" x14ac:dyDescent="0.25">
      <c r="M4676"/>
      <c r="N4676"/>
      <c r="O4676"/>
      <c r="P4676" s="216"/>
      <c r="Q4676" s="217"/>
      <c r="R4676" s="217"/>
      <c r="S4676" s="218"/>
    </row>
    <row r="4677" spans="13:19" ht="15" customHeight="1" x14ac:dyDescent="0.25">
      <c r="M4677"/>
      <c r="N4677"/>
      <c r="O4677"/>
      <c r="P4677" s="216"/>
      <c r="Q4677" s="217"/>
      <c r="R4677" s="217"/>
      <c r="S4677" s="218"/>
    </row>
    <row r="4678" spans="13:19" ht="15" customHeight="1" x14ac:dyDescent="0.25">
      <c r="M4678"/>
      <c r="N4678"/>
      <c r="O4678"/>
      <c r="P4678" s="216"/>
      <c r="Q4678" s="217"/>
      <c r="R4678" s="217"/>
      <c r="S4678" s="218"/>
    </row>
    <row r="4679" spans="13:19" ht="15" customHeight="1" x14ac:dyDescent="0.25">
      <c r="M4679"/>
      <c r="N4679"/>
      <c r="O4679"/>
      <c r="P4679" s="216"/>
      <c r="Q4679" s="217"/>
      <c r="R4679" s="217"/>
      <c r="S4679" s="218"/>
    </row>
    <row r="4680" spans="13:19" ht="15" customHeight="1" x14ac:dyDescent="0.25">
      <c r="M4680"/>
      <c r="N4680"/>
      <c r="O4680"/>
      <c r="P4680" s="216"/>
      <c r="Q4680" s="217"/>
      <c r="R4680" s="217"/>
      <c r="S4680" s="218"/>
    </row>
    <row r="4681" spans="13:19" ht="15" customHeight="1" x14ac:dyDescent="0.25">
      <c r="M4681"/>
      <c r="N4681"/>
      <c r="O4681"/>
      <c r="P4681" s="216"/>
      <c r="Q4681" s="217"/>
      <c r="R4681" s="217"/>
      <c r="S4681" s="218"/>
    </row>
    <row r="4682" spans="13:19" ht="15" customHeight="1" x14ac:dyDescent="0.25">
      <c r="M4682"/>
      <c r="N4682"/>
      <c r="O4682"/>
      <c r="P4682" s="216"/>
      <c r="Q4682" s="217"/>
      <c r="R4682" s="217"/>
      <c r="S4682" s="218"/>
    </row>
    <row r="4683" spans="13:19" ht="15" customHeight="1" x14ac:dyDescent="0.25">
      <c r="M4683"/>
      <c r="N4683"/>
      <c r="O4683"/>
      <c r="P4683" s="216"/>
      <c r="Q4683" s="217"/>
      <c r="R4683" s="217"/>
      <c r="S4683" s="218"/>
    </row>
    <row r="4684" spans="13:19" ht="15" customHeight="1" x14ac:dyDescent="0.25">
      <c r="M4684"/>
      <c r="N4684"/>
      <c r="O4684"/>
      <c r="P4684" s="216"/>
      <c r="Q4684" s="217"/>
      <c r="R4684" s="217"/>
      <c r="S4684" s="218"/>
    </row>
    <row r="4685" spans="13:19" ht="15" customHeight="1" x14ac:dyDescent="0.25">
      <c r="M4685"/>
      <c r="N4685"/>
      <c r="O4685"/>
      <c r="P4685" s="216"/>
      <c r="Q4685" s="217"/>
      <c r="R4685" s="217"/>
      <c r="S4685" s="218"/>
    </row>
    <row r="4686" spans="13:19" ht="15" customHeight="1" x14ac:dyDescent="0.25">
      <c r="M4686"/>
      <c r="N4686"/>
      <c r="O4686"/>
      <c r="P4686" s="216"/>
      <c r="Q4686" s="217"/>
      <c r="R4686" s="217"/>
      <c r="S4686" s="218"/>
    </row>
    <row r="4687" spans="13:19" ht="15" customHeight="1" x14ac:dyDescent="0.25">
      <c r="M4687"/>
      <c r="N4687"/>
      <c r="O4687"/>
      <c r="P4687" s="216"/>
      <c r="Q4687" s="217"/>
      <c r="R4687" s="217"/>
      <c r="S4687" s="218"/>
    </row>
    <row r="4688" spans="13:19" ht="15" customHeight="1" x14ac:dyDescent="0.25">
      <c r="M4688"/>
      <c r="N4688"/>
      <c r="O4688"/>
      <c r="P4688" s="216"/>
      <c r="Q4688" s="217"/>
      <c r="R4688" s="217"/>
      <c r="S4688" s="218"/>
    </row>
    <row r="4689" spans="13:19" ht="15" customHeight="1" x14ac:dyDescent="0.25">
      <c r="M4689"/>
      <c r="N4689"/>
      <c r="O4689"/>
      <c r="P4689" s="216"/>
      <c r="Q4689" s="217"/>
      <c r="R4689" s="217"/>
      <c r="S4689" s="218"/>
    </row>
    <row r="4690" spans="13:19" ht="15" customHeight="1" x14ac:dyDescent="0.25">
      <c r="M4690"/>
      <c r="N4690"/>
      <c r="O4690"/>
      <c r="P4690" s="216"/>
      <c r="Q4690" s="217"/>
      <c r="R4690" s="217"/>
      <c r="S4690" s="218"/>
    </row>
    <row r="4691" spans="13:19" ht="15" customHeight="1" x14ac:dyDescent="0.25">
      <c r="M4691"/>
      <c r="N4691"/>
      <c r="O4691"/>
      <c r="P4691" s="216"/>
      <c r="Q4691" s="217"/>
      <c r="R4691" s="217"/>
      <c r="S4691" s="218"/>
    </row>
    <row r="4692" spans="13:19" ht="15" customHeight="1" x14ac:dyDescent="0.25">
      <c r="M4692"/>
      <c r="N4692"/>
      <c r="O4692"/>
      <c r="P4692" s="216"/>
      <c r="Q4692" s="217"/>
      <c r="R4692" s="217"/>
      <c r="S4692" s="218"/>
    </row>
    <row r="4693" spans="13:19" ht="15" customHeight="1" x14ac:dyDescent="0.25">
      <c r="M4693"/>
      <c r="N4693"/>
      <c r="O4693"/>
      <c r="P4693" s="216"/>
      <c r="Q4693" s="217"/>
      <c r="R4693" s="217"/>
      <c r="S4693" s="218"/>
    </row>
    <row r="4694" spans="13:19" ht="15" customHeight="1" x14ac:dyDescent="0.25">
      <c r="M4694"/>
      <c r="N4694"/>
      <c r="O4694"/>
      <c r="P4694" s="216"/>
      <c r="Q4694" s="217"/>
      <c r="R4694" s="217"/>
      <c r="S4694" s="218"/>
    </row>
    <row r="4695" spans="13:19" ht="15" customHeight="1" x14ac:dyDescent="0.25">
      <c r="M4695"/>
      <c r="N4695"/>
      <c r="O4695"/>
      <c r="P4695" s="216"/>
      <c r="Q4695" s="217"/>
      <c r="R4695" s="217"/>
      <c r="S4695" s="218"/>
    </row>
    <row r="4696" spans="13:19" ht="15" customHeight="1" x14ac:dyDescent="0.25">
      <c r="M4696"/>
      <c r="N4696"/>
      <c r="O4696"/>
      <c r="P4696" s="216"/>
      <c r="Q4696" s="217"/>
      <c r="R4696" s="217"/>
      <c r="S4696" s="218"/>
    </row>
    <row r="4697" spans="13:19" ht="15" customHeight="1" x14ac:dyDescent="0.25">
      <c r="M4697"/>
      <c r="N4697"/>
      <c r="O4697"/>
      <c r="P4697" s="216"/>
      <c r="Q4697" s="217"/>
      <c r="R4697" s="217"/>
      <c r="S4697" s="218"/>
    </row>
    <row r="4698" spans="13:19" ht="15" customHeight="1" x14ac:dyDescent="0.25">
      <c r="M4698"/>
      <c r="N4698"/>
      <c r="O4698"/>
      <c r="P4698" s="216"/>
      <c r="Q4698" s="217"/>
      <c r="R4698" s="217"/>
      <c r="S4698" s="218"/>
    </row>
    <row r="4699" spans="13:19" ht="15" customHeight="1" x14ac:dyDescent="0.25">
      <c r="M4699"/>
      <c r="N4699"/>
      <c r="O4699"/>
      <c r="P4699" s="216"/>
      <c r="Q4699" s="217"/>
      <c r="R4699" s="217"/>
      <c r="S4699" s="218"/>
    </row>
    <row r="4700" spans="13:19" ht="15" customHeight="1" x14ac:dyDescent="0.25">
      <c r="M4700"/>
      <c r="N4700"/>
      <c r="O4700"/>
      <c r="P4700" s="216"/>
      <c r="Q4700" s="217"/>
      <c r="R4700" s="217"/>
      <c r="S4700" s="218"/>
    </row>
    <row r="4701" spans="13:19" ht="15" customHeight="1" x14ac:dyDescent="0.25">
      <c r="M4701"/>
      <c r="N4701"/>
      <c r="O4701"/>
      <c r="P4701" s="216"/>
      <c r="Q4701" s="217"/>
      <c r="R4701" s="217"/>
      <c r="S4701" s="218"/>
    </row>
    <row r="4702" spans="13:19" ht="15" customHeight="1" x14ac:dyDescent="0.25">
      <c r="M4702"/>
      <c r="N4702"/>
      <c r="O4702"/>
      <c r="P4702" s="216"/>
      <c r="Q4702" s="217"/>
      <c r="R4702" s="217"/>
      <c r="S4702" s="218"/>
    </row>
    <row r="4703" spans="13:19" ht="15" customHeight="1" x14ac:dyDescent="0.25">
      <c r="M4703"/>
      <c r="N4703"/>
      <c r="O4703"/>
      <c r="P4703" s="216"/>
      <c r="Q4703" s="217"/>
      <c r="R4703" s="217"/>
      <c r="S4703" s="218"/>
    </row>
    <row r="4704" spans="13:19" ht="15" customHeight="1" x14ac:dyDescent="0.25">
      <c r="M4704"/>
      <c r="N4704"/>
      <c r="O4704"/>
      <c r="P4704" s="216"/>
      <c r="Q4704" s="217"/>
      <c r="R4704" s="217"/>
      <c r="S4704" s="218"/>
    </row>
    <row r="4705" spans="13:19" ht="15" customHeight="1" x14ac:dyDescent="0.25">
      <c r="M4705"/>
      <c r="N4705"/>
      <c r="O4705"/>
      <c r="P4705" s="216"/>
      <c r="Q4705" s="217"/>
      <c r="R4705" s="217"/>
      <c r="S4705" s="218"/>
    </row>
    <row r="4706" spans="13:19" ht="15" customHeight="1" x14ac:dyDescent="0.25">
      <c r="M4706"/>
      <c r="N4706"/>
      <c r="O4706"/>
      <c r="P4706" s="216"/>
      <c r="Q4706" s="217"/>
      <c r="R4706" s="217"/>
      <c r="S4706" s="218"/>
    </row>
    <row r="4707" spans="13:19" ht="15" customHeight="1" x14ac:dyDescent="0.25">
      <c r="M4707"/>
      <c r="N4707"/>
      <c r="O4707"/>
      <c r="P4707" s="216"/>
      <c r="Q4707" s="217"/>
      <c r="R4707" s="217"/>
      <c r="S4707" s="218"/>
    </row>
    <row r="4708" spans="13:19" ht="15" customHeight="1" x14ac:dyDescent="0.25">
      <c r="M4708"/>
      <c r="N4708"/>
      <c r="O4708"/>
      <c r="P4708" s="216"/>
      <c r="Q4708" s="217"/>
      <c r="R4708" s="217"/>
      <c r="S4708" s="218"/>
    </row>
    <row r="4709" spans="13:19" ht="15" customHeight="1" x14ac:dyDescent="0.25">
      <c r="M4709"/>
      <c r="N4709"/>
      <c r="O4709"/>
      <c r="P4709" s="216"/>
      <c r="Q4709" s="217"/>
      <c r="R4709" s="217"/>
      <c r="S4709" s="218"/>
    </row>
    <row r="4710" spans="13:19" ht="15" customHeight="1" x14ac:dyDescent="0.25">
      <c r="M4710"/>
      <c r="N4710"/>
      <c r="O4710"/>
      <c r="P4710" s="216"/>
      <c r="Q4710" s="217"/>
      <c r="R4710" s="217"/>
      <c r="S4710" s="218"/>
    </row>
    <row r="4711" spans="13:19" ht="15" customHeight="1" x14ac:dyDescent="0.25">
      <c r="M4711"/>
      <c r="N4711"/>
      <c r="O4711"/>
      <c r="P4711" s="216"/>
      <c r="Q4711" s="217"/>
      <c r="R4711" s="217"/>
      <c r="S4711" s="218"/>
    </row>
    <row r="4712" spans="13:19" ht="15" customHeight="1" x14ac:dyDescent="0.25">
      <c r="M4712"/>
      <c r="N4712"/>
      <c r="O4712"/>
      <c r="P4712" s="216"/>
      <c r="Q4712" s="217"/>
      <c r="R4712" s="217"/>
      <c r="S4712" s="218"/>
    </row>
    <row r="4713" spans="13:19" ht="15" customHeight="1" x14ac:dyDescent="0.25">
      <c r="M4713"/>
      <c r="N4713"/>
      <c r="O4713"/>
      <c r="P4713" s="216"/>
      <c r="Q4713" s="217"/>
      <c r="R4713" s="217"/>
      <c r="S4713" s="218"/>
    </row>
    <row r="4714" spans="13:19" ht="15" customHeight="1" x14ac:dyDescent="0.25">
      <c r="M4714"/>
      <c r="N4714"/>
      <c r="O4714"/>
      <c r="P4714" s="216"/>
      <c r="Q4714" s="217"/>
      <c r="R4714" s="217"/>
      <c r="S4714" s="218"/>
    </row>
    <row r="4715" spans="13:19" ht="15" customHeight="1" x14ac:dyDescent="0.25">
      <c r="M4715"/>
      <c r="N4715"/>
      <c r="O4715"/>
      <c r="P4715" s="216"/>
      <c r="Q4715" s="217"/>
      <c r="R4715" s="217"/>
      <c r="S4715" s="218"/>
    </row>
    <row r="4716" spans="13:19" ht="15" customHeight="1" x14ac:dyDescent="0.25">
      <c r="M4716"/>
      <c r="N4716"/>
      <c r="O4716"/>
      <c r="P4716" s="216"/>
      <c r="Q4716" s="217"/>
      <c r="R4716" s="217"/>
      <c r="S4716" s="218"/>
    </row>
    <row r="4717" spans="13:19" ht="15" customHeight="1" x14ac:dyDescent="0.25">
      <c r="M4717"/>
      <c r="N4717"/>
      <c r="O4717"/>
      <c r="P4717" s="216"/>
      <c r="Q4717" s="217"/>
      <c r="R4717" s="217"/>
      <c r="S4717" s="218"/>
    </row>
    <row r="4718" spans="13:19" ht="15" customHeight="1" x14ac:dyDescent="0.25">
      <c r="M4718"/>
      <c r="N4718"/>
      <c r="O4718"/>
      <c r="P4718" s="216"/>
      <c r="Q4718" s="217"/>
      <c r="R4718" s="217"/>
      <c r="S4718" s="218"/>
    </row>
    <row r="4719" spans="13:19" ht="15" customHeight="1" x14ac:dyDescent="0.25">
      <c r="M4719"/>
      <c r="N4719"/>
      <c r="O4719"/>
      <c r="P4719" s="216"/>
      <c r="Q4719" s="217"/>
      <c r="R4719" s="217"/>
      <c r="S4719" s="218"/>
    </row>
    <row r="4720" spans="13:19" ht="15" customHeight="1" x14ac:dyDescent="0.25">
      <c r="M4720"/>
      <c r="N4720"/>
      <c r="O4720"/>
      <c r="P4720" s="216"/>
      <c r="Q4720" s="217"/>
      <c r="R4720" s="217"/>
      <c r="S4720" s="218"/>
    </row>
    <row r="4721" spans="13:19" ht="15" customHeight="1" x14ac:dyDescent="0.25">
      <c r="M4721"/>
      <c r="N4721"/>
      <c r="O4721"/>
      <c r="P4721" s="216"/>
      <c r="Q4721" s="217"/>
      <c r="R4721" s="217"/>
      <c r="S4721" s="218"/>
    </row>
    <row r="4722" spans="13:19" ht="15" customHeight="1" x14ac:dyDescent="0.25">
      <c r="M4722"/>
      <c r="N4722"/>
      <c r="O4722"/>
      <c r="P4722" s="216"/>
      <c r="Q4722" s="217"/>
      <c r="R4722" s="217"/>
      <c r="S4722" s="218"/>
    </row>
    <row r="4723" spans="13:19" ht="15" customHeight="1" x14ac:dyDescent="0.25">
      <c r="M4723"/>
      <c r="N4723"/>
      <c r="O4723"/>
      <c r="P4723" s="216"/>
      <c r="Q4723" s="217"/>
      <c r="R4723" s="217"/>
      <c r="S4723" s="218"/>
    </row>
    <row r="4724" spans="13:19" ht="15" customHeight="1" x14ac:dyDescent="0.25">
      <c r="M4724"/>
      <c r="N4724"/>
      <c r="O4724"/>
      <c r="P4724" s="216"/>
      <c r="Q4724" s="217"/>
      <c r="R4724" s="217"/>
      <c r="S4724" s="218"/>
    </row>
    <row r="4725" spans="13:19" ht="15" customHeight="1" x14ac:dyDescent="0.25">
      <c r="M4725"/>
      <c r="N4725"/>
      <c r="O4725"/>
      <c r="P4725" s="216"/>
      <c r="Q4725" s="217"/>
      <c r="R4725" s="217"/>
      <c r="S4725" s="218"/>
    </row>
    <row r="4726" spans="13:19" ht="15" customHeight="1" x14ac:dyDescent="0.25">
      <c r="M4726"/>
      <c r="N4726"/>
      <c r="O4726"/>
      <c r="P4726" s="216"/>
      <c r="Q4726" s="217"/>
      <c r="R4726" s="217"/>
      <c r="S4726" s="218"/>
    </row>
    <row r="4727" spans="13:19" ht="15" customHeight="1" x14ac:dyDescent="0.25">
      <c r="M4727"/>
      <c r="N4727"/>
      <c r="O4727"/>
      <c r="P4727" s="216"/>
      <c r="Q4727" s="217"/>
      <c r="R4727" s="217"/>
      <c r="S4727" s="218"/>
    </row>
    <row r="4728" spans="13:19" ht="15" customHeight="1" x14ac:dyDescent="0.25">
      <c r="M4728"/>
      <c r="N4728"/>
      <c r="O4728"/>
      <c r="P4728" s="216"/>
      <c r="Q4728" s="217"/>
      <c r="R4728" s="217"/>
      <c r="S4728" s="218"/>
    </row>
    <row r="4729" spans="13:19" ht="15" customHeight="1" x14ac:dyDescent="0.25">
      <c r="M4729"/>
      <c r="N4729"/>
      <c r="O4729"/>
      <c r="P4729" s="216"/>
      <c r="Q4729" s="217"/>
      <c r="R4729" s="217"/>
      <c r="S4729" s="218"/>
    </row>
    <row r="4730" spans="13:19" ht="15" customHeight="1" x14ac:dyDescent="0.25">
      <c r="M4730"/>
      <c r="N4730"/>
      <c r="O4730"/>
      <c r="P4730" s="216"/>
      <c r="Q4730" s="217"/>
      <c r="R4730" s="217"/>
      <c r="S4730" s="218"/>
    </row>
    <row r="4731" spans="13:19" ht="15" customHeight="1" x14ac:dyDescent="0.25">
      <c r="M4731"/>
      <c r="N4731"/>
      <c r="O4731"/>
      <c r="P4731" s="216"/>
      <c r="Q4731" s="217"/>
      <c r="R4731" s="217"/>
      <c r="S4731" s="218"/>
    </row>
    <row r="4732" spans="13:19" ht="15" customHeight="1" x14ac:dyDescent="0.25">
      <c r="M4732"/>
      <c r="N4732"/>
      <c r="O4732"/>
      <c r="P4732" s="216"/>
      <c r="Q4732" s="217"/>
      <c r="R4732" s="217"/>
      <c r="S4732" s="218"/>
    </row>
    <row r="4733" spans="13:19" ht="15" customHeight="1" x14ac:dyDescent="0.25">
      <c r="M4733"/>
      <c r="N4733"/>
      <c r="O4733"/>
      <c r="P4733" s="216"/>
      <c r="Q4733" s="217"/>
      <c r="R4733" s="217"/>
      <c r="S4733" s="218"/>
    </row>
    <row r="4734" spans="13:19" ht="15" customHeight="1" x14ac:dyDescent="0.25">
      <c r="M4734"/>
      <c r="N4734"/>
      <c r="O4734"/>
      <c r="P4734" s="216"/>
      <c r="Q4734" s="217"/>
      <c r="R4734" s="217"/>
      <c r="S4734" s="218"/>
    </row>
    <row r="4735" spans="13:19" ht="15" customHeight="1" x14ac:dyDescent="0.25">
      <c r="M4735"/>
      <c r="N4735"/>
      <c r="O4735"/>
      <c r="P4735" s="216"/>
      <c r="Q4735" s="217"/>
      <c r="R4735" s="217"/>
      <c r="S4735" s="218"/>
    </row>
    <row r="4736" spans="13:19" ht="15" customHeight="1" x14ac:dyDescent="0.25">
      <c r="M4736"/>
      <c r="N4736"/>
      <c r="O4736"/>
      <c r="P4736" s="216"/>
      <c r="Q4736" s="217"/>
      <c r="R4736" s="217"/>
      <c r="S4736" s="218"/>
    </row>
    <row r="4737" spans="13:19" ht="15" customHeight="1" x14ac:dyDescent="0.25">
      <c r="M4737"/>
      <c r="N4737"/>
      <c r="O4737"/>
      <c r="P4737" s="216"/>
      <c r="Q4737" s="217"/>
      <c r="R4737" s="217"/>
      <c r="S4737" s="218"/>
    </row>
    <row r="4738" spans="13:19" ht="15" customHeight="1" x14ac:dyDescent="0.25">
      <c r="M4738"/>
      <c r="N4738"/>
      <c r="O4738"/>
      <c r="P4738" s="216"/>
      <c r="Q4738" s="217"/>
      <c r="R4738" s="217"/>
      <c r="S4738" s="218"/>
    </row>
    <row r="4739" spans="13:19" ht="15" customHeight="1" x14ac:dyDescent="0.25">
      <c r="M4739"/>
      <c r="N4739"/>
      <c r="O4739"/>
      <c r="P4739" s="216"/>
      <c r="Q4739" s="217"/>
      <c r="R4739" s="217"/>
      <c r="S4739" s="218"/>
    </row>
    <row r="4740" spans="13:19" ht="15" customHeight="1" x14ac:dyDescent="0.25">
      <c r="M4740"/>
      <c r="N4740"/>
      <c r="O4740"/>
      <c r="P4740" s="216"/>
      <c r="Q4740" s="217"/>
      <c r="R4740" s="217"/>
      <c r="S4740" s="218"/>
    </row>
    <row r="4741" spans="13:19" ht="15" customHeight="1" x14ac:dyDescent="0.25">
      <c r="M4741"/>
      <c r="N4741"/>
      <c r="O4741"/>
      <c r="P4741" s="216"/>
      <c r="Q4741" s="217"/>
      <c r="R4741" s="217"/>
      <c r="S4741" s="218"/>
    </row>
    <row r="4742" spans="13:19" ht="15" customHeight="1" x14ac:dyDescent="0.25">
      <c r="M4742"/>
      <c r="N4742"/>
      <c r="O4742"/>
      <c r="P4742" s="216"/>
      <c r="Q4742" s="217"/>
      <c r="R4742" s="217"/>
      <c r="S4742" s="218"/>
    </row>
    <row r="4743" spans="13:19" ht="15" customHeight="1" x14ac:dyDescent="0.25">
      <c r="M4743"/>
      <c r="N4743"/>
      <c r="O4743"/>
      <c r="P4743" s="216"/>
      <c r="Q4743" s="217"/>
      <c r="R4743" s="217"/>
      <c r="S4743" s="218"/>
    </row>
    <row r="4744" spans="13:19" ht="15" customHeight="1" x14ac:dyDescent="0.25">
      <c r="M4744"/>
      <c r="N4744"/>
      <c r="O4744"/>
      <c r="P4744" s="216"/>
      <c r="Q4744" s="217"/>
      <c r="R4744" s="217"/>
      <c r="S4744" s="218"/>
    </row>
    <row r="4745" spans="13:19" ht="15" customHeight="1" x14ac:dyDescent="0.25">
      <c r="M4745"/>
      <c r="N4745"/>
      <c r="O4745"/>
      <c r="P4745" s="216"/>
      <c r="Q4745" s="217"/>
      <c r="R4745" s="217"/>
      <c r="S4745" s="218"/>
    </row>
    <row r="4746" spans="13:19" ht="15" customHeight="1" x14ac:dyDescent="0.25">
      <c r="M4746"/>
      <c r="N4746"/>
      <c r="O4746"/>
      <c r="P4746" s="216"/>
      <c r="Q4746" s="217"/>
      <c r="R4746" s="217"/>
      <c r="S4746" s="218"/>
    </row>
    <row r="4747" spans="13:19" ht="15" customHeight="1" x14ac:dyDescent="0.25">
      <c r="M4747"/>
      <c r="N4747"/>
      <c r="O4747"/>
      <c r="P4747" s="216"/>
      <c r="Q4747" s="217"/>
      <c r="R4747" s="217"/>
      <c r="S4747" s="218"/>
    </row>
    <row r="4748" spans="13:19" ht="15" customHeight="1" x14ac:dyDescent="0.25">
      <c r="M4748"/>
      <c r="N4748"/>
      <c r="O4748"/>
      <c r="P4748" s="216"/>
      <c r="Q4748" s="217"/>
      <c r="R4748" s="217"/>
      <c r="S4748" s="218"/>
    </row>
    <row r="4749" spans="13:19" ht="15" customHeight="1" x14ac:dyDescent="0.25">
      <c r="M4749"/>
      <c r="N4749"/>
      <c r="O4749"/>
      <c r="P4749" s="216"/>
      <c r="Q4749" s="217"/>
      <c r="R4749" s="217"/>
      <c r="S4749" s="218"/>
    </row>
    <row r="4750" spans="13:19" ht="15" customHeight="1" x14ac:dyDescent="0.25">
      <c r="M4750"/>
      <c r="N4750"/>
      <c r="O4750"/>
      <c r="P4750" s="216"/>
      <c r="Q4750" s="217"/>
      <c r="R4750" s="217"/>
      <c r="S4750" s="218"/>
    </row>
    <row r="4751" spans="13:19" ht="15" customHeight="1" x14ac:dyDescent="0.25">
      <c r="M4751"/>
      <c r="N4751"/>
      <c r="O4751"/>
      <c r="P4751" s="216"/>
      <c r="Q4751" s="217"/>
      <c r="R4751" s="217"/>
      <c r="S4751" s="218"/>
    </row>
    <row r="4752" spans="13:19" ht="15" customHeight="1" x14ac:dyDescent="0.25">
      <c r="M4752"/>
      <c r="N4752"/>
      <c r="O4752"/>
      <c r="P4752" s="216"/>
      <c r="Q4752" s="217"/>
      <c r="R4752" s="217"/>
      <c r="S4752" s="218"/>
    </row>
    <row r="4753" spans="13:19" ht="15" customHeight="1" x14ac:dyDescent="0.25">
      <c r="M4753"/>
      <c r="N4753"/>
      <c r="O4753"/>
      <c r="P4753" s="216"/>
      <c r="Q4753" s="217"/>
      <c r="R4753" s="217"/>
      <c r="S4753" s="218"/>
    </row>
    <row r="4754" spans="13:19" ht="15" customHeight="1" x14ac:dyDescent="0.25">
      <c r="M4754"/>
      <c r="N4754"/>
      <c r="O4754"/>
      <c r="P4754" s="216"/>
      <c r="Q4754" s="217"/>
      <c r="R4754" s="217"/>
      <c r="S4754" s="218"/>
    </row>
    <row r="4755" spans="13:19" ht="15" customHeight="1" x14ac:dyDescent="0.25">
      <c r="M4755"/>
      <c r="N4755"/>
      <c r="O4755"/>
      <c r="P4755" s="216"/>
      <c r="Q4755" s="217"/>
      <c r="R4755" s="217"/>
      <c r="S4755" s="218"/>
    </row>
    <row r="4756" spans="13:19" ht="15" customHeight="1" x14ac:dyDescent="0.25">
      <c r="M4756"/>
      <c r="N4756"/>
      <c r="O4756"/>
      <c r="P4756" s="216"/>
      <c r="Q4756" s="217"/>
      <c r="R4756" s="217"/>
      <c r="S4756" s="218"/>
    </row>
    <row r="4757" spans="13:19" ht="15" customHeight="1" x14ac:dyDescent="0.25">
      <c r="M4757"/>
      <c r="N4757"/>
      <c r="O4757"/>
      <c r="P4757" s="216"/>
      <c r="Q4757" s="217"/>
      <c r="R4757" s="217"/>
      <c r="S4757" s="218"/>
    </row>
    <row r="4758" spans="13:19" ht="15" customHeight="1" x14ac:dyDescent="0.25">
      <c r="M4758"/>
      <c r="N4758"/>
      <c r="O4758"/>
      <c r="P4758" s="216"/>
      <c r="Q4758" s="217"/>
      <c r="R4758" s="217"/>
      <c r="S4758" s="218"/>
    </row>
    <row r="4759" spans="13:19" ht="15" customHeight="1" x14ac:dyDescent="0.25">
      <c r="M4759"/>
      <c r="N4759"/>
      <c r="O4759"/>
      <c r="P4759" s="216"/>
      <c r="Q4759" s="217"/>
      <c r="R4759" s="217"/>
      <c r="S4759" s="218"/>
    </row>
    <row r="4760" spans="13:19" ht="15" customHeight="1" x14ac:dyDescent="0.25">
      <c r="M4760"/>
      <c r="N4760"/>
      <c r="O4760"/>
      <c r="P4760" s="216"/>
      <c r="Q4760" s="217"/>
      <c r="R4760" s="217"/>
      <c r="S4760" s="218"/>
    </row>
    <row r="4761" spans="13:19" ht="15" customHeight="1" x14ac:dyDescent="0.25">
      <c r="M4761"/>
      <c r="N4761"/>
      <c r="O4761"/>
      <c r="P4761" s="216"/>
      <c r="Q4761" s="217"/>
      <c r="R4761" s="217"/>
      <c r="S4761" s="218"/>
    </row>
    <row r="4762" spans="13:19" ht="15" customHeight="1" x14ac:dyDescent="0.25">
      <c r="M4762"/>
      <c r="N4762"/>
      <c r="O4762"/>
      <c r="P4762" s="216"/>
      <c r="Q4762" s="217"/>
      <c r="R4762" s="217"/>
      <c r="S4762" s="218"/>
    </row>
    <row r="4763" spans="13:19" ht="15" customHeight="1" x14ac:dyDescent="0.25">
      <c r="M4763"/>
      <c r="N4763"/>
      <c r="O4763"/>
      <c r="P4763" s="216"/>
      <c r="Q4763" s="217"/>
      <c r="R4763" s="217"/>
      <c r="S4763" s="218"/>
    </row>
    <row r="4764" spans="13:19" ht="15" customHeight="1" x14ac:dyDescent="0.25">
      <c r="M4764"/>
      <c r="N4764"/>
      <c r="O4764"/>
      <c r="P4764" s="216"/>
      <c r="Q4764" s="217"/>
      <c r="R4764" s="217"/>
      <c r="S4764" s="218"/>
    </row>
    <row r="4765" spans="13:19" ht="15" customHeight="1" x14ac:dyDescent="0.25">
      <c r="M4765"/>
      <c r="N4765"/>
      <c r="O4765"/>
      <c r="P4765" s="216"/>
      <c r="Q4765" s="217"/>
      <c r="R4765" s="217"/>
      <c r="S4765" s="218"/>
    </row>
    <row r="4766" spans="13:19" ht="15" customHeight="1" x14ac:dyDescent="0.25">
      <c r="M4766"/>
      <c r="N4766"/>
      <c r="O4766"/>
      <c r="P4766" s="216"/>
      <c r="Q4766" s="217"/>
      <c r="R4766" s="217"/>
      <c r="S4766" s="218"/>
    </row>
    <row r="4767" spans="13:19" ht="15" customHeight="1" x14ac:dyDescent="0.25">
      <c r="M4767"/>
      <c r="N4767"/>
      <c r="O4767"/>
      <c r="P4767" s="216"/>
      <c r="Q4767" s="217"/>
      <c r="R4767" s="217"/>
      <c r="S4767" s="218"/>
    </row>
    <row r="4768" spans="13:19" ht="15" customHeight="1" x14ac:dyDescent="0.25">
      <c r="M4768"/>
      <c r="N4768"/>
      <c r="O4768"/>
      <c r="P4768" s="216"/>
      <c r="Q4768" s="217"/>
      <c r="R4768" s="217"/>
      <c r="S4768" s="218"/>
    </row>
    <row r="4769" spans="13:19" ht="15" customHeight="1" x14ac:dyDescent="0.25">
      <c r="M4769"/>
      <c r="N4769"/>
      <c r="O4769"/>
      <c r="P4769" s="216"/>
      <c r="Q4769" s="217"/>
      <c r="R4769" s="217"/>
      <c r="S4769" s="218"/>
    </row>
    <row r="4770" spans="13:19" ht="15" customHeight="1" x14ac:dyDescent="0.25">
      <c r="M4770"/>
      <c r="N4770"/>
      <c r="O4770"/>
      <c r="P4770" s="216"/>
      <c r="Q4770" s="217"/>
      <c r="R4770" s="217"/>
      <c r="S4770" s="218"/>
    </row>
    <row r="4771" spans="13:19" ht="15" customHeight="1" x14ac:dyDescent="0.25">
      <c r="M4771"/>
      <c r="N4771"/>
      <c r="O4771"/>
      <c r="P4771" s="216"/>
      <c r="Q4771" s="217"/>
      <c r="R4771" s="217"/>
      <c r="S4771" s="218"/>
    </row>
    <row r="4772" spans="13:19" ht="15" customHeight="1" x14ac:dyDescent="0.25">
      <c r="M4772"/>
      <c r="N4772"/>
      <c r="O4772"/>
      <c r="P4772" s="216"/>
      <c r="Q4772" s="217"/>
      <c r="R4772" s="217"/>
      <c r="S4772" s="218"/>
    </row>
    <row r="4773" spans="13:19" ht="15" customHeight="1" x14ac:dyDescent="0.25">
      <c r="M4773"/>
      <c r="N4773"/>
      <c r="O4773"/>
      <c r="P4773" s="216"/>
      <c r="Q4773" s="217"/>
      <c r="R4773" s="217"/>
      <c r="S4773" s="218"/>
    </row>
    <row r="4774" spans="13:19" ht="15" customHeight="1" x14ac:dyDescent="0.25">
      <c r="M4774"/>
      <c r="N4774"/>
      <c r="O4774"/>
      <c r="P4774" s="216"/>
      <c r="Q4774" s="217"/>
      <c r="R4774" s="217"/>
      <c r="S4774" s="218"/>
    </row>
    <row r="4775" spans="13:19" ht="15" customHeight="1" x14ac:dyDescent="0.25">
      <c r="M4775"/>
      <c r="N4775"/>
      <c r="O4775"/>
      <c r="P4775" s="216"/>
      <c r="Q4775" s="217"/>
      <c r="R4775" s="217"/>
      <c r="S4775" s="218"/>
    </row>
    <row r="4776" spans="13:19" ht="15" customHeight="1" x14ac:dyDescent="0.25">
      <c r="M4776"/>
      <c r="N4776"/>
      <c r="O4776"/>
      <c r="P4776" s="216"/>
      <c r="Q4776" s="217"/>
      <c r="R4776" s="217"/>
      <c r="S4776" s="218"/>
    </row>
    <row r="4777" spans="13:19" ht="15" customHeight="1" x14ac:dyDescent="0.25">
      <c r="M4777"/>
      <c r="N4777"/>
      <c r="O4777"/>
      <c r="P4777" s="216"/>
      <c r="Q4777" s="217"/>
      <c r="R4777" s="217"/>
      <c r="S4777" s="218"/>
    </row>
    <row r="4778" spans="13:19" ht="15" customHeight="1" x14ac:dyDescent="0.25">
      <c r="M4778"/>
      <c r="N4778"/>
      <c r="O4778"/>
      <c r="P4778" s="216"/>
      <c r="Q4778" s="217"/>
      <c r="R4778" s="217"/>
      <c r="S4778" s="218"/>
    </row>
    <row r="4779" spans="13:19" ht="15" customHeight="1" x14ac:dyDescent="0.25">
      <c r="M4779"/>
      <c r="N4779"/>
      <c r="O4779"/>
      <c r="P4779" s="216"/>
      <c r="Q4779" s="217"/>
      <c r="R4779" s="217"/>
      <c r="S4779" s="218"/>
    </row>
    <row r="4780" spans="13:19" ht="15" customHeight="1" x14ac:dyDescent="0.25">
      <c r="M4780"/>
      <c r="N4780"/>
      <c r="O4780"/>
      <c r="P4780" s="216"/>
      <c r="Q4780" s="217"/>
      <c r="R4780" s="217"/>
      <c r="S4780" s="218"/>
    </row>
    <row r="4781" spans="13:19" ht="15" customHeight="1" x14ac:dyDescent="0.25">
      <c r="M4781"/>
      <c r="N4781"/>
      <c r="O4781"/>
      <c r="P4781" s="216"/>
      <c r="Q4781" s="217"/>
      <c r="R4781" s="217"/>
      <c r="S4781" s="218"/>
    </row>
    <row r="4782" spans="13:19" ht="15" customHeight="1" x14ac:dyDescent="0.25">
      <c r="M4782"/>
      <c r="N4782"/>
      <c r="O4782"/>
      <c r="P4782" s="216"/>
      <c r="Q4782" s="217"/>
      <c r="R4782" s="217"/>
      <c r="S4782" s="218"/>
    </row>
    <row r="4783" spans="13:19" ht="15" customHeight="1" x14ac:dyDescent="0.25">
      <c r="M4783"/>
      <c r="N4783"/>
      <c r="O4783"/>
      <c r="P4783" s="216"/>
      <c r="Q4783" s="217"/>
      <c r="R4783" s="217"/>
      <c r="S4783" s="218"/>
    </row>
    <row r="4784" spans="13:19" ht="15" customHeight="1" x14ac:dyDescent="0.25">
      <c r="M4784"/>
      <c r="N4784"/>
      <c r="O4784"/>
      <c r="P4784" s="216"/>
      <c r="Q4784" s="217"/>
      <c r="R4784" s="217"/>
      <c r="S4784" s="218"/>
    </row>
    <row r="4785" spans="13:19" ht="15" customHeight="1" x14ac:dyDescent="0.25">
      <c r="M4785"/>
      <c r="N4785"/>
      <c r="O4785"/>
      <c r="P4785" s="216"/>
      <c r="Q4785" s="217"/>
      <c r="R4785" s="217"/>
      <c r="S4785" s="218"/>
    </row>
    <row r="4786" spans="13:19" ht="15" customHeight="1" x14ac:dyDescent="0.25">
      <c r="M4786"/>
      <c r="N4786"/>
      <c r="O4786"/>
      <c r="P4786" s="216"/>
      <c r="Q4786" s="217"/>
      <c r="R4786" s="217"/>
      <c r="S4786" s="218"/>
    </row>
    <row r="4787" spans="13:19" ht="15" customHeight="1" x14ac:dyDescent="0.25">
      <c r="M4787"/>
      <c r="N4787"/>
      <c r="O4787"/>
      <c r="P4787" s="216"/>
      <c r="Q4787" s="217"/>
      <c r="R4787" s="217"/>
      <c r="S4787" s="218"/>
    </row>
    <row r="4788" spans="13:19" ht="15" customHeight="1" x14ac:dyDescent="0.25">
      <c r="M4788"/>
      <c r="N4788"/>
      <c r="O4788"/>
      <c r="P4788" s="216"/>
      <c r="Q4788" s="217"/>
      <c r="R4788" s="217"/>
      <c r="S4788" s="218"/>
    </row>
    <row r="4789" spans="13:19" ht="15" customHeight="1" x14ac:dyDescent="0.25">
      <c r="M4789"/>
      <c r="N4789"/>
      <c r="O4789"/>
      <c r="P4789" s="216"/>
      <c r="Q4789" s="217"/>
      <c r="R4789" s="217"/>
      <c r="S4789" s="218"/>
    </row>
    <row r="4790" spans="13:19" ht="15" customHeight="1" x14ac:dyDescent="0.25">
      <c r="M4790"/>
      <c r="N4790"/>
      <c r="O4790"/>
      <c r="P4790" s="216"/>
      <c r="Q4790" s="217"/>
      <c r="R4790" s="217"/>
      <c r="S4790" s="218"/>
    </row>
    <row r="4791" spans="13:19" ht="15" customHeight="1" x14ac:dyDescent="0.25">
      <c r="M4791"/>
      <c r="N4791"/>
      <c r="O4791"/>
      <c r="P4791" s="216"/>
      <c r="Q4791" s="217"/>
      <c r="R4791" s="217"/>
      <c r="S4791" s="218"/>
    </row>
    <row r="4792" spans="13:19" ht="15" customHeight="1" x14ac:dyDescent="0.25">
      <c r="M4792"/>
      <c r="N4792"/>
      <c r="O4792"/>
      <c r="P4792" s="216"/>
      <c r="Q4792" s="217"/>
      <c r="R4792" s="217"/>
      <c r="S4792" s="218"/>
    </row>
    <row r="4793" spans="13:19" ht="15" customHeight="1" x14ac:dyDescent="0.25">
      <c r="M4793"/>
      <c r="N4793"/>
      <c r="O4793"/>
      <c r="P4793" s="216"/>
      <c r="Q4793" s="217"/>
      <c r="R4793" s="217"/>
      <c r="S4793" s="218"/>
    </row>
    <row r="4794" spans="13:19" ht="15" customHeight="1" x14ac:dyDescent="0.25">
      <c r="M4794"/>
      <c r="N4794"/>
      <c r="O4794"/>
      <c r="P4794" s="216"/>
      <c r="Q4794" s="217"/>
      <c r="R4794" s="217"/>
      <c r="S4794" s="218"/>
    </row>
    <row r="4795" spans="13:19" ht="15" customHeight="1" x14ac:dyDescent="0.25">
      <c r="M4795"/>
      <c r="N4795"/>
      <c r="O4795"/>
      <c r="P4795" s="216"/>
      <c r="Q4795" s="217"/>
      <c r="R4795" s="217"/>
      <c r="S4795" s="218"/>
    </row>
    <row r="4796" spans="13:19" ht="15" customHeight="1" x14ac:dyDescent="0.25">
      <c r="M4796"/>
      <c r="N4796"/>
      <c r="O4796"/>
      <c r="P4796" s="216"/>
      <c r="Q4796" s="217"/>
      <c r="R4796" s="217"/>
      <c r="S4796" s="218"/>
    </row>
    <row r="4797" spans="13:19" ht="15" customHeight="1" x14ac:dyDescent="0.25">
      <c r="M4797"/>
      <c r="N4797"/>
      <c r="O4797"/>
      <c r="P4797" s="216"/>
      <c r="Q4797" s="217"/>
      <c r="R4797" s="217"/>
      <c r="S4797" s="218"/>
    </row>
    <row r="4798" spans="13:19" ht="15" customHeight="1" x14ac:dyDescent="0.25">
      <c r="M4798"/>
      <c r="N4798"/>
      <c r="O4798"/>
      <c r="P4798" s="216"/>
      <c r="Q4798" s="217"/>
      <c r="R4798" s="217"/>
      <c r="S4798" s="218"/>
    </row>
    <row r="4799" spans="13:19" ht="15" customHeight="1" x14ac:dyDescent="0.25">
      <c r="M4799"/>
      <c r="N4799"/>
      <c r="O4799"/>
      <c r="P4799" s="216"/>
      <c r="Q4799" s="217"/>
      <c r="R4799" s="217"/>
      <c r="S4799" s="218"/>
    </row>
    <row r="4800" spans="13:19" ht="15" customHeight="1" x14ac:dyDescent="0.25">
      <c r="M4800"/>
      <c r="N4800"/>
      <c r="O4800"/>
      <c r="P4800" s="216"/>
      <c r="Q4800" s="217"/>
      <c r="R4800" s="217"/>
      <c r="S4800" s="218"/>
    </row>
    <row r="4801" spans="13:19" ht="15" customHeight="1" x14ac:dyDescent="0.25">
      <c r="M4801"/>
      <c r="N4801"/>
      <c r="O4801"/>
      <c r="P4801" s="216"/>
      <c r="Q4801" s="217"/>
      <c r="R4801" s="217"/>
      <c r="S4801" s="218"/>
    </row>
    <row r="4802" spans="13:19" ht="15" customHeight="1" x14ac:dyDescent="0.25">
      <c r="M4802"/>
      <c r="N4802"/>
      <c r="O4802"/>
      <c r="P4802" s="216"/>
      <c r="Q4802" s="217"/>
      <c r="R4802" s="217"/>
      <c r="S4802" s="218"/>
    </row>
    <row r="4803" spans="13:19" ht="15" customHeight="1" x14ac:dyDescent="0.25">
      <c r="M4803"/>
      <c r="N4803"/>
      <c r="O4803"/>
      <c r="P4803" s="216"/>
      <c r="Q4803" s="217"/>
      <c r="R4803" s="217"/>
      <c r="S4803" s="218"/>
    </row>
    <row r="4804" spans="13:19" ht="15" customHeight="1" x14ac:dyDescent="0.25">
      <c r="M4804"/>
      <c r="N4804"/>
      <c r="O4804"/>
      <c r="P4804" s="216"/>
      <c r="Q4804" s="217"/>
      <c r="R4804" s="217"/>
      <c r="S4804" s="218"/>
    </row>
    <row r="4805" spans="13:19" ht="15" customHeight="1" x14ac:dyDescent="0.25">
      <c r="M4805"/>
      <c r="N4805"/>
      <c r="O4805"/>
      <c r="P4805" s="216"/>
      <c r="Q4805" s="217"/>
      <c r="R4805" s="217"/>
      <c r="S4805" s="218"/>
    </row>
    <row r="4806" spans="13:19" ht="15" customHeight="1" x14ac:dyDescent="0.25">
      <c r="M4806"/>
      <c r="N4806"/>
      <c r="O4806"/>
      <c r="P4806" s="216"/>
      <c r="Q4806" s="217"/>
      <c r="R4806" s="217"/>
      <c r="S4806" s="218"/>
    </row>
    <row r="4807" spans="13:19" ht="15" customHeight="1" x14ac:dyDescent="0.25">
      <c r="M4807"/>
      <c r="N4807"/>
      <c r="O4807"/>
      <c r="P4807" s="216"/>
      <c r="Q4807" s="217"/>
      <c r="R4807" s="217"/>
      <c r="S4807" s="218"/>
    </row>
    <row r="4808" spans="13:19" ht="15" customHeight="1" x14ac:dyDescent="0.25">
      <c r="M4808"/>
      <c r="N4808"/>
      <c r="O4808"/>
      <c r="P4808" s="216"/>
      <c r="Q4808" s="217"/>
      <c r="R4808" s="217"/>
      <c r="S4808" s="218"/>
    </row>
    <row r="4809" spans="13:19" ht="15" customHeight="1" x14ac:dyDescent="0.25">
      <c r="M4809"/>
      <c r="N4809"/>
      <c r="O4809"/>
      <c r="P4809" s="216"/>
      <c r="Q4809" s="217"/>
      <c r="R4809" s="217"/>
      <c r="S4809" s="218"/>
    </row>
    <row r="4810" spans="13:19" ht="15" customHeight="1" x14ac:dyDescent="0.25">
      <c r="M4810"/>
      <c r="N4810"/>
      <c r="O4810"/>
      <c r="P4810" s="216"/>
      <c r="Q4810" s="217"/>
      <c r="R4810" s="217"/>
      <c r="S4810" s="218"/>
    </row>
    <row r="4811" spans="13:19" ht="15" customHeight="1" x14ac:dyDescent="0.25">
      <c r="M4811"/>
      <c r="N4811"/>
      <c r="O4811"/>
      <c r="P4811" s="216"/>
      <c r="Q4811" s="217"/>
      <c r="R4811" s="217"/>
      <c r="S4811" s="218"/>
    </row>
    <row r="4812" spans="13:19" ht="15" customHeight="1" x14ac:dyDescent="0.25">
      <c r="M4812"/>
      <c r="N4812"/>
      <c r="O4812"/>
      <c r="P4812" s="216"/>
      <c r="Q4812" s="217"/>
      <c r="R4812" s="217"/>
      <c r="S4812" s="218"/>
    </row>
    <row r="4813" spans="13:19" ht="15" customHeight="1" x14ac:dyDescent="0.25">
      <c r="M4813"/>
      <c r="N4813"/>
      <c r="O4813"/>
      <c r="P4813" s="216"/>
      <c r="Q4813" s="217"/>
      <c r="R4813" s="217"/>
      <c r="S4813" s="218"/>
    </row>
    <row r="4814" spans="13:19" ht="15" customHeight="1" x14ac:dyDescent="0.25">
      <c r="M4814"/>
      <c r="N4814"/>
      <c r="O4814"/>
      <c r="P4814" s="216"/>
      <c r="Q4814" s="217"/>
      <c r="R4814" s="217"/>
      <c r="S4814" s="218"/>
    </row>
    <row r="4815" spans="13:19" ht="15" customHeight="1" x14ac:dyDescent="0.25">
      <c r="M4815"/>
      <c r="N4815"/>
      <c r="O4815"/>
      <c r="P4815" s="216"/>
      <c r="Q4815" s="217"/>
      <c r="R4815" s="217"/>
      <c r="S4815" s="218"/>
    </row>
    <row r="4816" spans="13:19" ht="15" customHeight="1" x14ac:dyDescent="0.25">
      <c r="M4816"/>
      <c r="N4816"/>
      <c r="O4816"/>
      <c r="P4816" s="216"/>
      <c r="Q4816" s="217"/>
      <c r="R4816" s="217"/>
      <c r="S4816" s="218"/>
    </row>
    <row r="4817" spans="13:19" ht="15" customHeight="1" x14ac:dyDescent="0.25">
      <c r="M4817"/>
      <c r="N4817"/>
      <c r="O4817"/>
      <c r="P4817" s="216"/>
      <c r="Q4817" s="217"/>
      <c r="R4817" s="217"/>
      <c r="S4817" s="218"/>
    </row>
    <row r="4818" spans="13:19" ht="15" customHeight="1" x14ac:dyDescent="0.25">
      <c r="M4818"/>
      <c r="N4818"/>
      <c r="O4818"/>
      <c r="P4818" s="216"/>
      <c r="Q4818" s="217"/>
      <c r="R4818" s="217"/>
      <c r="S4818" s="218"/>
    </row>
    <row r="4819" spans="13:19" ht="15" customHeight="1" x14ac:dyDescent="0.25">
      <c r="M4819"/>
      <c r="N4819"/>
      <c r="O4819"/>
      <c r="P4819" s="216"/>
      <c r="Q4819" s="217"/>
      <c r="R4819" s="217"/>
      <c r="S4819" s="218"/>
    </row>
    <row r="4820" spans="13:19" ht="15" customHeight="1" x14ac:dyDescent="0.25">
      <c r="M4820"/>
      <c r="N4820"/>
      <c r="O4820"/>
      <c r="P4820" s="216"/>
      <c r="Q4820" s="217"/>
      <c r="R4820" s="217"/>
      <c r="S4820" s="218"/>
    </row>
    <row r="4821" spans="13:19" ht="15" customHeight="1" x14ac:dyDescent="0.25">
      <c r="M4821"/>
      <c r="N4821"/>
      <c r="O4821"/>
      <c r="P4821" s="216"/>
      <c r="Q4821" s="217"/>
      <c r="R4821" s="217"/>
      <c r="S4821" s="218"/>
    </row>
    <row r="4822" spans="13:19" ht="15" customHeight="1" x14ac:dyDescent="0.25">
      <c r="M4822"/>
      <c r="N4822"/>
      <c r="O4822"/>
      <c r="P4822" s="216"/>
      <c r="Q4822" s="217"/>
      <c r="R4822" s="217"/>
      <c r="S4822" s="218"/>
    </row>
    <row r="4823" spans="13:19" ht="15" customHeight="1" x14ac:dyDescent="0.25">
      <c r="M4823"/>
      <c r="N4823"/>
      <c r="O4823"/>
      <c r="P4823" s="216"/>
      <c r="Q4823" s="217"/>
      <c r="R4823" s="217"/>
      <c r="S4823" s="218"/>
    </row>
    <row r="4824" spans="13:19" ht="15" customHeight="1" x14ac:dyDescent="0.25">
      <c r="M4824"/>
      <c r="N4824"/>
      <c r="O4824"/>
      <c r="P4824" s="216"/>
      <c r="Q4824" s="217"/>
      <c r="R4824" s="217"/>
      <c r="S4824" s="218"/>
    </row>
    <row r="4825" spans="13:19" ht="15" customHeight="1" x14ac:dyDescent="0.25">
      <c r="M4825"/>
      <c r="N4825"/>
      <c r="O4825"/>
      <c r="P4825" s="216"/>
      <c r="Q4825" s="217"/>
      <c r="R4825" s="217"/>
      <c r="S4825" s="218"/>
    </row>
    <row r="4826" spans="13:19" ht="15" customHeight="1" x14ac:dyDescent="0.25">
      <c r="M4826"/>
      <c r="N4826"/>
      <c r="O4826"/>
      <c r="P4826" s="216"/>
      <c r="Q4826" s="217"/>
      <c r="R4826" s="217"/>
      <c r="S4826" s="218"/>
    </row>
    <row r="4827" spans="13:19" ht="15" customHeight="1" x14ac:dyDescent="0.25">
      <c r="M4827"/>
      <c r="N4827"/>
      <c r="O4827"/>
      <c r="P4827" s="216"/>
      <c r="Q4827" s="217"/>
      <c r="R4827" s="217"/>
      <c r="S4827" s="218"/>
    </row>
    <row r="4828" spans="13:19" ht="15" customHeight="1" x14ac:dyDescent="0.25">
      <c r="M4828"/>
      <c r="N4828"/>
      <c r="O4828"/>
      <c r="P4828" s="216"/>
      <c r="Q4828" s="217"/>
      <c r="R4828" s="217"/>
      <c r="S4828" s="218"/>
    </row>
    <row r="4829" spans="13:19" ht="15" customHeight="1" x14ac:dyDescent="0.25">
      <c r="M4829"/>
      <c r="N4829"/>
      <c r="O4829"/>
      <c r="P4829" s="216"/>
      <c r="Q4829" s="217"/>
      <c r="R4829" s="217"/>
      <c r="S4829" s="218"/>
    </row>
    <row r="4830" spans="13:19" ht="15" customHeight="1" x14ac:dyDescent="0.25">
      <c r="M4830"/>
      <c r="N4830"/>
      <c r="O4830"/>
      <c r="P4830" s="216"/>
      <c r="Q4830" s="217"/>
      <c r="R4830" s="217"/>
      <c r="S4830" s="218"/>
    </row>
    <row r="4831" spans="13:19" ht="15" customHeight="1" x14ac:dyDescent="0.25">
      <c r="M4831"/>
      <c r="N4831"/>
      <c r="O4831"/>
      <c r="P4831" s="216"/>
      <c r="Q4831" s="217"/>
      <c r="R4831" s="217"/>
      <c r="S4831" s="218"/>
    </row>
    <row r="4832" spans="13:19" ht="15" customHeight="1" x14ac:dyDescent="0.25">
      <c r="M4832"/>
      <c r="N4832"/>
      <c r="O4832"/>
      <c r="P4832" s="216"/>
      <c r="Q4832" s="217"/>
      <c r="R4832" s="217"/>
      <c r="S4832" s="218"/>
    </row>
    <row r="4833" spans="13:19" ht="15" customHeight="1" x14ac:dyDescent="0.25">
      <c r="M4833"/>
      <c r="N4833"/>
      <c r="O4833"/>
      <c r="P4833" s="216"/>
      <c r="Q4833" s="217"/>
      <c r="R4833" s="217"/>
      <c r="S4833" s="218"/>
    </row>
    <row r="4834" spans="13:19" ht="15" customHeight="1" x14ac:dyDescent="0.25">
      <c r="M4834"/>
      <c r="N4834"/>
      <c r="O4834"/>
      <c r="P4834" s="216"/>
      <c r="Q4834" s="217"/>
      <c r="R4834" s="217"/>
      <c r="S4834" s="218"/>
    </row>
    <row r="4835" spans="13:19" ht="15" customHeight="1" x14ac:dyDescent="0.25">
      <c r="M4835"/>
      <c r="N4835"/>
      <c r="O4835"/>
      <c r="P4835" s="216"/>
      <c r="Q4835" s="217"/>
      <c r="R4835" s="217"/>
      <c r="S4835" s="218"/>
    </row>
    <row r="4836" spans="13:19" ht="15" customHeight="1" x14ac:dyDescent="0.25">
      <c r="M4836"/>
      <c r="N4836"/>
      <c r="O4836"/>
      <c r="P4836" s="216"/>
      <c r="Q4836" s="217"/>
      <c r="R4836" s="217"/>
      <c r="S4836" s="218"/>
    </row>
    <row r="4837" spans="13:19" ht="15" customHeight="1" x14ac:dyDescent="0.25">
      <c r="M4837"/>
      <c r="N4837"/>
      <c r="O4837"/>
      <c r="P4837" s="216"/>
      <c r="Q4837" s="217"/>
      <c r="R4837" s="217"/>
      <c r="S4837" s="218"/>
    </row>
    <row r="4838" spans="13:19" ht="15" customHeight="1" x14ac:dyDescent="0.25">
      <c r="M4838"/>
      <c r="N4838"/>
      <c r="O4838"/>
      <c r="P4838" s="216"/>
      <c r="Q4838" s="217"/>
      <c r="R4838" s="217"/>
      <c r="S4838" s="218"/>
    </row>
    <row r="4839" spans="13:19" ht="15" customHeight="1" x14ac:dyDescent="0.25">
      <c r="M4839"/>
      <c r="N4839"/>
      <c r="O4839"/>
      <c r="P4839" s="216"/>
      <c r="Q4839" s="217"/>
      <c r="R4839" s="217"/>
      <c r="S4839" s="218"/>
    </row>
    <row r="4840" spans="13:19" ht="15" customHeight="1" x14ac:dyDescent="0.25">
      <c r="M4840"/>
      <c r="N4840"/>
      <c r="O4840"/>
      <c r="P4840" s="216"/>
      <c r="Q4840" s="217"/>
      <c r="R4840" s="217"/>
      <c r="S4840" s="218"/>
    </row>
    <row r="4841" spans="13:19" ht="15" customHeight="1" x14ac:dyDescent="0.25">
      <c r="M4841"/>
      <c r="N4841"/>
      <c r="O4841"/>
      <c r="P4841" s="216"/>
      <c r="Q4841" s="217"/>
      <c r="R4841" s="217"/>
      <c r="S4841" s="218"/>
    </row>
    <row r="4842" spans="13:19" ht="15" customHeight="1" x14ac:dyDescent="0.25">
      <c r="M4842"/>
      <c r="N4842"/>
      <c r="O4842"/>
      <c r="P4842" s="216"/>
      <c r="Q4842" s="217"/>
      <c r="R4842" s="217"/>
      <c r="S4842" s="218"/>
    </row>
    <row r="4843" spans="13:19" ht="15" customHeight="1" x14ac:dyDescent="0.25">
      <c r="M4843"/>
      <c r="N4843"/>
      <c r="O4843"/>
      <c r="P4843" s="216"/>
      <c r="Q4843" s="217"/>
      <c r="R4843" s="217"/>
      <c r="S4843" s="218"/>
    </row>
    <row r="4844" spans="13:19" ht="15" customHeight="1" x14ac:dyDescent="0.25">
      <c r="M4844"/>
      <c r="N4844"/>
      <c r="O4844"/>
      <c r="P4844" s="216"/>
      <c r="Q4844" s="217"/>
      <c r="R4844" s="217"/>
      <c r="S4844" s="218"/>
    </row>
    <row r="4845" spans="13:19" ht="15" customHeight="1" x14ac:dyDescent="0.25">
      <c r="M4845"/>
      <c r="N4845"/>
      <c r="O4845"/>
      <c r="P4845" s="216"/>
      <c r="Q4845" s="217"/>
      <c r="R4845" s="217"/>
      <c r="S4845" s="218"/>
    </row>
    <row r="4846" spans="13:19" ht="15" customHeight="1" x14ac:dyDescent="0.25">
      <c r="M4846"/>
      <c r="N4846"/>
      <c r="O4846"/>
      <c r="P4846" s="216"/>
      <c r="Q4846" s="217"/>
      <c r="R4846" s="217"/>
      <c r="S4846" s="218"/>
    </row>
    <row r="4847" spans="13:19" ht="15" customHeight="1" x14ac:dyDescent="0.25">
      <c r="M4847"/>
      <c r="N4847"/>
      <c r="O4847"/>
      <c r="P4847" s="216"/>
      <c r="Q4847" s="217"/>
      <c r="R4847" s="217"/>
      <c r="S4847" s="218"/>
    </row>
    <row r="4848" spans="13:19" ht="15" customHeight="1" x14ac:dyDescent="0.25">
      <c r="M4848"/>
      <c r="N4848"/>
      <c r="O4848"/>
      <c r="P4848" s="216"/>
      <c r="Q4848" s="217"/>
      <c r="R4848" s="217"/>
      <c r="S4848" s="218"/>
    </row>
    <row r="4849" spans="13:19" ht="15" customHeight="1" x14ac:dyDescent="0.25">
      <c r="M4849"/>
      <c r="N4849"/>
      <c r="O4849"/>
      <c r="P4849" s="216"/>
      <c r="Q4849" s="217"/>
      <c r="R4849" s="217"/>
      <c r="S4849" s="218"/>
    </row>
    <row r="4850" spans="13:19" ht="15" customHeight="1" x14ac:dyDescent="0.25">
      <c r="M4850"/>
      <c r="N4850"/>
      <c r="O4850"/>
      <c r="P4850" s="216"/>
      <c r="Q4850" s="217"/>
      <c r="R4850" s="217"/>
      <c r="S4850" s="218"/>
    </row>
    <row r="4851" spans="13:19" ht="15" customHeight="1" x14ac:dyDescent="0.25">
      <c r="M4851"/>
      <c r="N4851"/>
      <c r="O4851"/>
      <c r="P4851" s="216"/>
      <c r="Q4851" s="217"/>
      <c r="R4851" s="217"/>
      <c r="S4851" s="218"/>
    </row>
    <row r="4852" spans="13:19" ht="15" customHeight="1" x14ac:dyDescent="0.25">
      <c r="M4852"/>
      <c r="N4852"/>
      <c r="O4852"/>
      <c r="P4852" s="216"/>
      <c r="Q4852" s="217"/>
      <c r="R4852" s="217"/>
      <c r="S4852" s="218"/>
    </row>
    <row r="4853" spans="13:19" ht="15" customHeight="1" x14ac:dyDescent="0.25">
      <c r="M4853"/>
      <c r="N4853"/>
      <c r="O4853"/>
      <c r="P4853" s="216"/>
      <c r="Q4853" s="217"/>
      <c r="R4853" s="217"/>
      <c r="S4853" s="218"/>
    </row>
    <row r="4854" spans="13:19" ht="15" customHeight="1" x14ac:dyDescent="0.25">
      <c r="M4854"/>
      <c r="N4854"/>
      <c r="O4854"/>
      <c r="P4854" s="216"/>
      <c r="Q4854" s="217"/>
      <c r="R4854" s="217"/>
      <c r="S4854" s="218"/>
    </row>
    <row r="4855" spans="13:19" ht="15" customHeight="1" x14ac:dyDescent="0.25">
      <c r="M4855"/>
      <c r="N4855"/>
      <c r="O4855"/>
      <c r="P4855" s="216"/>
      <c r="Q4855" s="217"/>
      <c r="R4855" s="217"/>
      <c r="S4855" s="218"/>
    </row>
    <row r="4856" spans="13:19" ht="15" customHeight="1" x14ac:dyDescent="0.25">
      <c r="M4856"/>
      <c r="N4856"/>
      <c r="O4856"/>
      <c r="P4856" s="216"/>
      <c r="Q4856" s="217"/>
      <c r="R4856" s="217"/>
      <c r="S4856" s="218"/>
    </row>
    <row r="4857" spans="13:19" ht="15" customHeight="1" x14ac:dyDescent="0.25">
      <c r="M4857"/>
      <c r="N4857"/>
      <c r="O4857"/>
      <c r="P4857" s="216"/>
      <c r="Q4857" s="217"/>
      <c r="R4857" s="217"/>
      <c r="S4857" s="218"/>
    </row>
    <row r="4858" spans="13:19" ht="15" customHeight="1" x14ac:dyDescent="0.25">
      <c r="M4858"/>
      <c r="N4858"/>
      <c r="O4858"/>
      <c r="P4858" s="216"/>
      <c r="Q4858" s="217"/>
      <c r="R4858" s="217"/>
      <c r="S4858" s="218"/>
    </row>
    <row r="4859" spans="13:19" ht="15" customHeight="1" x14ac:dyDescent="0.25">
      <c r="M4859"/>
      <c r="N4859"/>
      <c r="O4859"/>
      <c r="P4859" s="216"/>
      <c r="Q4859" s="217"/>
      <c r="R4859" s="217"/>
      <c r="S4859" s="218"/>
    </row>
    <row r="4860" spans="13:19" ht="15" customHeight="1" x14ac:dyDescent="0.25">
      <c r="M4860"/>
      <c r="N4860"/>
      <c r="O4860"/>
      <c r="P4860" s="216"/>
      <c r="Q4860" s="217"/>
      <c r="R4860" s="217"/>
      <c r="S4860" s="218"/>
    </row>
    <row r="4861" spans="13:19" ht="15" customHeight="1" x14ac:dyDescent="0.25">
      <c r="M4861"/>
      <c r="N4861"/>
      <c r="O4861"/>
      <c r="P4861" s="216"/>
      <c r="Q4861" s="217"/>
      <c r="R4861" s="217"/>
      <c r="S4861" s="218"/>
    </row>
    <row r="4862" spans="13:19" ht="15" customHeight="1" x14ac:dyDescent="0.25">
      <c r="M4862"/>
      <c r="N4862"/>
      <c r="O4862"/>
      <c r="P4862" s="216"/>
      <c r="Q4862" s="217"/>
      <c r="R4862" s="217"/>
      <c r="S4862" s="218"/>
    </row>
    <row r="4863" spans="13:19" ht="15" customHeight="1" x14ac:dyDescent="0.25">
      <c r="M4863"/>
      <c r="N4863"/>
      <c r="O4863"/>
      <c r="P4863" s="216"/>
      <c r="Q4863" s="217"/>
      <c r="R4863" s="217"/>
      <c r="S4863" s="218"/>
    </row>
    <row r="4864" spans="13:19" ht="15" customHeight="1" x14ac:dyDescent="0.25">
      <c r="M4864"/>
      <c r="N4864"/>
      <c r="O4864"/>
      <c r="P4864" s="216"/>
      <c r="Q4864" s="217"/>
      <c r="R4864" s="217"/>
      <c r="S4864" s="218"/>
    </row>
    <row r="4865" spans="13:19" ht="15" customHeight="1" x14ac:dyDescent="0.25">
      <c r="M4865"/>
      <c r="N4865"/>
      <c r="O4865"/>
      <c r="P4865" s="216"/>
      <c r="Q4865" s="217"/>
      <c r="R4865" s="217"/>
      <c r="S4865" s="218"/>
    </row>
    <row r="4866" spans="13:19" ht="15" customHeight="1" x14ac:dyDescent="0.25">
      <c r="M4866"/>
      <c r="N4866"/>
      <c r="O4866"/>
      <c r="P4866" s="216"/>
      <c r="Q4866" s="217"/>
      <c r="R4866" s="217"/>
      <c r="S4866" s="218"/>
    </row>
    <row r="4867" spans="13:19" ht="15" customHeight="1" x14ac:dyDescent="0.25">
      <c r="M4867"/>
      <c r="N4867"/>
      <c r="O4867"/>
      <c r="P4867" s="216"/>
      <c r="Q4867" s="217"/>
      <c r="R4867" s="217"/>
      <c r="S4867" s="218"/>
    </row>
    <row r="4868" spans="13:19" ht="15" customHeight="1" x14ac:dyDescent="0.25">
      <c r="M4868"/>
      <c r="N4868"/>
      <c r="O4868"/>
      <c r="P4868" s="216"/>
      <c r="Q4868" s="217"/>
      <c r="R4868" s="217"/>
      <c r="S4868" s="218"/>
    </row>
    <row r="4869" spans="13:19" ht="15" customHeight="1" x14ac:dyDescent="0.25">
      <c r="M4869"/>
      <c r="N4869"/>
      <c r="O4869"/>
      <c r="P4869" s="216"/>
      <c r="Q4869" s="217"/>
      <c r="R4869" s="217"/>
      <c r="S4869" s="218"/>
    </row>
    <row r="4870" spans="13:19" ht="15" customHeight="1" x14ac:dyDescent="0.25">
      <c r="M4870"/>
      <c r="N4870"/>
      <c r="O4870"/>
      <c r="P4870" s="216"/>
      <c r="Q4870" s="217"/>
      <c r="R4870" s="217"/>
      <c r="S4870" s="218"/>
    </row>
    <row r="4871" spans="13:19" ht="15" customHeight="1" x14ac:dyDescent="0.25">
      <c r="M4871"/>
      <c r="N4871"/>
      <c r="O4871"/>
      <c r="P4871" s="216"/>
      <c r="Q4871" s="217"/>
      <c r="R4871" s="217"/>
      <c r="S4871" s="218"/>
    </row>
    <row r="4872" spans="13:19" ht="15" customHeight="1" x14ac:dyDescent="0.25">
      <c r="M4872"/>
      <c r="N4872"/>
      <c r="O4872"/>
      <c r="P4872" s="216"/>
      <c r="Q4872" s="217"/>
      <c r="R4872" s="217"/>
      <c r="S4872" s="218"/>
    </row>
    <row r="4873" spans="13:19" ht="15" customHeight="1" x14ac:dyDescent="0.25">
      <c r="M4873"/>
      <c r="N4873"/>
      <c r="O4873"/>
      <c r="P4873" s="216"/>
      <c r="Q4873" s="217"/>
      <c r="R4873" s="217"/>
      <c r="S4873" s="218"/>
    </row>
    <row r="4874" spans="13:19" ht="15" customHeight="1" x14ac:dyDescent="0.25">
      <c r="M4874"/>
      <c r="N4874"/>
      <c r="O4874"/>
      <c r="P4874" s="216"/>
      <c r="Q4874" s="217"/>
      <c r="R4874" s="217"/>
      <c r="S4874" s="218"/>
    </row>
    <row r="4875" spans="13:19" ht="15" customHeight="1" x14ac:dyDescent="0.25">
      <c r="M4875"/>
      <c r="N4875"/>
      <c r="O4875"/>
      <c r="P4875" s="216"/>
      <c r="Q4875" s="217"/>
      <c r="R4875" s="217"/>
      <c r="S4875" s="218"/>
    </row>
    <row r="4876" spans="13:19" ht="15" customHeight="1" x14ac:dyDescent="0.25">
      <c r="M4876"/>
      <c r="N4876"/>
      <c r="O4876"/>
      <c r="P4876" s="216"/>
      <c r="Q4876" s="217"/>
      <c r="R4876" s="217"/>
      <c r="S4876" s="218"/>
    </row>
    <row r="4877" spans="13:19" ht="15" customHeight="1" x14ac:dyDescent="0.25">
      <c r="M4877"/>
      <c r="N4877"/>
      <c r="O4877"/>
      <c r="P4877" s="216"/>
      <c r="Q4877" s="217"/>
      <c r="R4877" s="217"/>
      <c r="S4877" s="218"/>
    </row>
    <row r="4878" spans="13:19" ht="15" customHeight="1" x14ac:dyDescent="0.25">
      <c r="M4878"/>
      <c r="N4878"/>
      <c r="O4878"/>
      <c r="P4878" s="216"/>
      <c r="Q4878" s="217"/>
      <c r="R4878" s="217"/>
      <c r="S4878" s="218"/>
    </row>
    <row r="4879" spans="13:19" ht="15" customHeight="1" x14ac:dyDescent="0.25">
      <c r="M4879"/>
      <c r="N4879"/>
      <c r="O4879"/>
      <c r="P4879" s="216"/>
      <c r="Q4879" s="217"/>
      <c r="R4879" s="217"/>
      <c r="S4879" s="218"/>
    </row>
    <row r="4880" spans="13:19" ht="15" customHeight="1" x14ac:dyDescent="0.25">
      <c r="M4880"/>
      <c r="N4880"/>
      <c r="O4880"/>
      <c r="P4880" s="216"/>
      <c r="Q4880" s="217"/>
      <c r="R4880" s="217"/>
      <c r="S4880" s="218"/>
    </row>
    <row r="4881" spans="13:19" ht="15" customHeight="1" x14ac:dyDescent="0.25">
      <c r="M4881"/>
      <c r="N4881"/>
      <c r="O4881"/>
      <c r="P4881" s="216"/>
      <c r="Q4881" s="217"/>
      <c r="R4881" s="217"/>
      <c r="S4881" s="218"/>
    </row>
    <row r="4882" spans="13:19" ht="15" customHeight="1" x14ac:dyDescent="0.25">
      <c r="M4882"/>
      <c r="N4882"/>
      <c r="O4882"/>
      <c r="P4882" s="216"/>
      <c r="Q4882" s="217"/>
      <c r="R4882" s="217"/>
      <c r="S4882" s="218"/>
    </row>
    <row r="4883" spans="13:19" ht="15" customHeight="1" x14ac:dyDescent="0.25">
      <c r="M4883"/>
      <c r="N4883"/>
      <c r="O4883"/>
      <c r="P4883" s="216"/>
      <c r="Q4883" s="217"/>
      <c r="R4883" s="217"/>
      <c r="S4883" s="218"/>
    </row>
    <row r="4884" spans="13:19" ht="15" customHeight="1" x14ac:dyDescent="0.25">
      <c r="M4884"/>
      <c r="N4884"/>
      <c r="O4884"/>
      <c r="P4884" s="216"/>
      <c r="Q4884" s="217"/>
      <c r="R4884" s="217"/>
      <c r="S4884" s="218"/>
    </row>
    <row r="4885" spans="13:19" ht="15" customHeight="1" x14ac:dyDescent="0.25">
      <c r="M4885"/>
      <c r="N4885"/>
      <c r="O4885"/>
      <c r="P4885" s="216"/>
      <c r="Q4885" s="217"/>
      <c r="R4885" s="217"/>
      <c r="S4885" s="218"/>
    </row>
    <row r="4886" spans="13:19" ht="15" customHeight="1" x14ac:dyDescent="0.25">
      <c r="M4886"/>
      <c r="N4886"/>
      <c r="O4886"/>
      <c r="P4886" s="216"/>
      <c r="Q4886" s="217"/>
      <c r="R4886" s="217"/>
      <c r="S4886" s="218"/>
    </row>
    <row r="4887" spans="13:19" ht="15" customHeight="1" x14ac:dyDescent="0.25">
      <c r="M4887"/>
      <c r="N4887"/>
      <c r="O4887"/>
      <c r="P4887" s="216"/>
      <c r="Q4887" s="217"/>
      <c r="R4887" s="217"/>
      <c r="S4887" s="218"/>
    </row>
    <row r="4888" spans="13:19" ht="15" customHeight="1" x14ac:dyDescent="0.25">
      <c r="M4888"/>
      <c r="N4888"/>
      <c r="O4888"/>
      <c r="P4888" s="216"/>
      <c r="Q4888" s="217"/>
      <c r="R4888" s="217"/>
      <c r="S4888" s="218"/>
    </row>
    <row r="4889" spans="13:19" ht="15" customHeight="1" x14ac:dyDescent="0.25">
      <c r="M4889"/>
      <c r="N4889"/>
      <c r="O4889"/>
      <c r="P4889" s="216"/>
      <c r="Q4889" s="217"/>
      <c r="R4889" s="217"/>
      <c r="S4889" s="218"/>
    </row>
    <row r="4890" spans="13:19" ht="15" customHeight="1" x14ac:dyDescent="0.25">
      <c r="M4890"/>
      <c r="N4890"/>
      <c r="O4890"/>
      <c r="P4890" s="216"/>
      <c r="Q4890" s="217"/>
      <c r="R4890" s="217"/>
      <c r="S4890" s="218"/>
    </row>
    <row r="4891" spans="13:19" ht="15" customHeight="1" x14ac:dyDescent="0.25">
      <c r="M4891"/>
      <c r="N4891"/>
      <c r="O4891"/>
      <c r="P4891" s="216"/>
      <c r="Q4891" s="217"/>
      <c r="R4891" s="217"/>
      <c r="S4891" s="218"/>
    </row>
    <row r="4892" spans="13:19" ht="15" customHeight="1" x14ac:dyDescent="0.25">
      <c r="M4892"/>
      <c r="N4892"/>
      <c r="O4892"/>
      <c r="P4892" s="216"/>
      <c r="Q4892" s="217"/>
      <c r="R4892" s="217"/>
      <c r="S4892" s="218"/>
    </row>
    <row r="4893" spans="13:19" ht="15" customHeight="1" x14ac:dyDescent="0.25">
      <c r="M4893"/>
      <c r="N4893"/>
      <c r="O4893"/>
      <c r="P4893" s="216"/>
      <c r="Q4893" s="217"/>
      <c r="R4893" s="217"/>
      <c r="S4893" s="218"/>
    </row>
    <row r="4894" spans="13:19" ht="15" customHeight="1" x14ac:dyDescent="0.25">
      <c r="M4894"/>
      <c r="N4894"/>
      <c r="O4894"/>
      <c r="P4894" s="216"/>
      <c r="Q4894" s="217"/>
      <c r="R4894" s="217"/>
      <c r="S4894" s="218"/>
    </row>
    <row r="4895" spans="13:19" ht="15" customHeight="1" x14ac:dyDescent="0.25">
      <c r="M4895"/>
      <c r="N4895"/>
      <c r="O4895"/>
      <c r="P4895" s="216"/>
      <c r="Q4895" s="217"/>
      <c r="R4895" s="217"/>
      <c r="S4895" s="218"/>
    </row>
    <row r="4896" spans="13:19" ht="15" customHeight="1" x14ac:dyDescent="0.25">
      <c r="M4896"/>
      <c r="N4896"/>
      <c r="O4896"/>
      <c r="P4896" s="216"/>
      <c r="Q4896" s="217"/>
      <c r="R4896" s="217"/>
      <c r="S4896" s="218"/>
    </row>
    <row r="4897" spans="13:19" ht="15" customHeight="1" x14ac:dyDescent="0.25">
      <c r="M4897"/>
      <c r="N4897"/>
      <c r="O4897"/>
      <c r="P4897" s="216"/>
      <c r="Q4897" s="217"/>
      <c r="R4897" s="217"/>
      <c r="S4897" s="218"/>
    </row>
    <row r="4898" spans="13:19" ht="15" customHeight="1" x14ac:dyDescent="0.25">
      <c r="M4898"/>
      <c r="N4898"/>
      <c r="O4898"/>
      <c r="P4898" s="216"/>
      <c r="Q4898" s="217"/>
      <c r="R4898" s="217"/>
      <c r="S4898" s="218"/>
    </row>
    <row r="4899" spans="13:19" ht="15" customHeight="1" x14ac:dyDescent="0.25">
      <c r="M4899"/>
      <c r="N4899"/>
      <c r="O4899"/>
      <c r="P4899" s="216"/>
      <c r="Q4899" s="217"/>
      <c r="R4899" s="217"/>
      <c r="S4899" s="218"/>
    </row>
    <row r="4900" spans="13:19" ht="15" customHeight="1" x14ac:dyDescent="0.25">
      <c r="M4900"/>
      <c r="N4900"/>
      <c r="O4900"/>
      <c r="P4900" s="216"/>
      <c r="Q4900" s="217"/>
      <c r="R4900" s="217"/>
      <c r="S4900" s="218"/>
    </row>
    <row r="4901" spans="13:19" ht="15" customHeight="1" x14ac:dyDescent="0.25">
      <c r="M4901"/>
      <c r="N4901"/>
      <c r="O4901"/>
      <c r="P4901" s="216"/>
      <c r="Q4901" s="217"/>
      <c r="R4901" s="217"/>
      <c r="S4901" s="218"/>
    </row>
    <row r="4902" spans="13:19" ht="15" customHeight="1" x14ac:dyDescent="0.25">
      <c r="M4902"/>
      <c r="N4902"/>
      <c r="O4902"/>
      <c r="P4902" s="216"/>
      <c r="Q4902" s="217"/>
      <c r="R4902" s="217"/>
      <c r="S4902" s="218"/>
    </row>
    <row r="4903" spans="13:19" ht="15" customHeight="1" x14ac:dyDescent="0.25">
      <c r="M4903"/>
      <c r="N4903"/>
      <c r="O4903"/>
      <c r="P4903" s="216"/>
      <c r="Q4903" s="217"/>
      <c r="R4903" s="217"/>
      <c r="S4903" s="218"/>
    </row>
    <row r="4904" spans="13:19" ht="15" customHeight="1" x14ac:dyDescent="0.25">
      <c r="M4904"/>
      <c r="N4904"/>
      <c r="O4904"/>
      <c r="P4904" s="216"/>
      <c r="Q4904" s="217"/>
      <c r="R4904" s="217"/>
      <c r="S4904" s="218"/>
    </row>
    <row r="4905" spans="13:19" ht="15" customHeight="1" x14ac:dyDescent="0.25">
      <c r="M4905"/>
      <c r="N4905"/>
      <c r="O4905"/>
      <c r="P4905" s="216"/>
      <c r="Q4905" s="217"/>
      <c r="R4905" s="217"/>
      <c r="S4905" s="218"/>
    </row>
    <row r="4906" spans="13:19" ht="15" customHeight="1" x14ac:dyDescent="0.25">
      <c r="M4906"/>
      <c r="N4906"/>
      <c r="O4906"/>
      <c r="P4906" s="216"/>
      <c r="Q4906" s="217"/>
      <c r="R4906" s="217"/>
      <c r="S4906" s="218"/>
    </row>
    <row r="4907" spans="13:19" ht="15" customHeight="1" x14ac:dyDescent="0.25">
      <c r="M4907"/>
      <c r="N4907"/>
      <c r="O4907"/>
      <c r="P4907" s="216"/>
      <c r="Q4907" s="217"/>
      <c r="R4907" s="217"/>
      <c r="S4907" s="218"/>
    </row>
    <row r="4908" spans="13:19" ht="15" customHeight="1" x14ac:dyDescent="0.25">
      <c r="M4908"/>
      <c r="N4908"/>
      <c r="O4908"/>
      <c r="P4908" s="216"/>
      <c r="Q4908" s="217"/>
      <c r="R4908" s="217"/>
      <c r="S4908" s="218"/>
    </row>
    <row r="4909" spans="13:19" ht="15" customHeight="1" x14ac:dyDescent="0.25">
      <c r="M4909"/>
      <c r="N4909"/>
      <c r="O4909"/>
      <c r="P4909" s="216"/>
      <c r="Q4909" s="217"/>
      <c r="R4909" s="217"/>
      <c r="S4909" s="218"/>
    </row>
    <row r="4910" spans="13:19" ht="15" customHeight="1" x14ac:dyDescent="0.25">
      <c r="M4910"/>
      <c r="N4910"/>
      <c r="O4910"/>
      <c r="P4910" s="216"/>
      <c r="Q4910" s="217"/>
      <c r="R4910" s="217"/>
      <c r="S4910" s="218"/>
    </row>
    <row r="4911" spans="13:19" ht="15" customHeight="1" x14ac:dyDescent="0.25">
      <c r="M4911"/>
      <c r="N4911"/>
      <c r="O4911"/>
      <c r="P4911" s="216"/>
      <c r="Q4911" s="217"/>
      <c r="R4911" s="217"/>
      <c r="S4911" s="218"/>
    </row>
    <row r="4912" spans="13:19" ht="15" customHeight="1" x14ac:dyDescent="0.25">
      <c r="M4912"/>
      <c r="N4912"/>
      <c r="O4912"/>
      <c r="P4912" s="216"/>
      <c r="Q4912" s="217"/>
      <c r="R4912" s="217"/>
      <c r="S4912" s="218"/>
    </row>
    <row r="4913" spans="13:19" ht="15" customHeight="1" x14ac:dyDescent="0.25">
      <c r="M4913"/>
      <c r="N4913"/>
      <c r="O4913"/>
      <c r="P4913" s="216"/>
      <c r="Q4913" s="217"/>
      <c r="R4913" s="217"/>
      <c r="S4913" s="218"/>
    </row>
    <row r="4914" spans="13:19" ht="15" customHeight="1" x14ac:dyDescent="0.25">
      <c r="M4914"/>
      <c r="N4914"/>
      <c r="O4914"/>
      <c r="P4914" s="216"/>
      <c r="Q4914" s="217"/>
      <c r="R4914" s="217"/>
      <c r="S4914" s="218"/>
    </row>
    <row r="4915" spans="13:19" ht="15" customHeight="1" x14ac:dyDescent="0.25">
      <c r="M4915"/>
      <c r="N4915"/>
      <c r="O4915"/>
      <c r="P4915" s="216"/>
      <c r="Q4915" s="217"/>
      <c r="R4915" s="217"/>
      <c r="S4915" s="218"/>
    </row>
    <row r="4916" spans="13:19" ht="15" customHeight="1" x14ac:dyDescent="0.25">
      <c r="M4916"/>
      <c r="N4916"/>
      <c r="O4916"/>
      <c r="P4916" s="216"/>
      <c r="Q4916" s="217"/>
      <c r="R4916" s="217"/>
      <c r="S4916" s="218"/>
    </row>
    <row r="4917" spans="13:19" ht="15" customHeight="1" x14ac:dyDescent="0.25">
      <c r="M4917"/>
      <c r="N4917"/>
      <c r="O4917"/>
      <c r="P4917" s="216"/>
      <c r="Q4917" s="217"/>
      <c r="R4917" s="217"/>
      <c r="S4917" s="218"/>
    </row>
    <row r="4918" spans="13:19" ht="15" customHeight="1" x14ac:dyDescent="0.25">
      <c r="M4918"/>
      <c r="N4918"/>
      <c r="O4918"/>
      <c r="P4918" s="216"/>
      <c r="Q4918" s="217"/>
      <c r="R4918" s="217"/>
      <c r="S4918" s="218"/>
    </row>
    <row r="4919" spans="13:19" ht="15" customHeight="1" x14ac:dyDescent="0.25">
      <c r="M4919"/>
      <c r="N4919"/>
      <c r="O4919"/>
      <c r="P4919" s="216"/>
      <c r="Q4919" s="217"/>
      <c r="R4919" s="217"/>
      <c r="S4919" s="218"/>
    </row>
    <row r="4920" spans="13:19" ht="15" customHeight="1" x14ac:dyDescent="0.25">
      <c r="M4920"/>
      <c r="N4920"/>
      <c r="O4920"/>
      <c r="P4920" s="216"/>
      <c r="Q4920" s="217"/>
      <c r="R4920" s="217"/>
      <c r="S4920" s="218"/>
    </row>
    <row r="4921" spans="13:19" ht="15" customHeight="1" x14ac:dyDescent="0.25">
      <c r="M4921"/>
      <c r="N4921"/>
      <c r="O4921"/>
      <c r="P4921" s="216"/>
      <c r="Q4921" s="217"/>
      <c r="R4921" s="217"/>
      <c r="S4921" s="218"/>
    </row>
    <row r="4922" spans="13:19" ht="15" customHeight="1" x14ac:dyDescent="0.25">
      <c r="M4922"/>
      <c r="N4922"/>
      <c r="O4922"/>
      <c r="P4922" s="216"/>
      <c r="Q4922" s="217"/>
      <c r="R4922" s="217"/>
      <c r="S4922" s="218"/>
    </row>
    <row r="4923" spans="13:19" ht="15" customHeight="1" x14ac:dyDescent="0.25">
      <c r="M4923"/>
      <c r="N4923"/>
      <c r="O4923"/>
      <c r="P4923" s="216"/>
      <c r="Q4923" s="217"/>
      <c r="R4923" s="217"/>
      <c r="S4923" s="218"/>
    </row>
    <row r="4924" spans="13:19" ht="15" customHeight="1" x14ac:dyDescent="0.25">
      <c r="M4924"/>
      <c r="N4924"/>
      <c r="O4924"/>
      <c r="P4924" s="216"/>
      <c r="Q4924" s="217"/>
      <c r="R4924" s="217"/>
      <c r="S4924" s="218"/>
    </row>
    <row r="4925" spans="13:19" ht="15" customHeight="1" x14ac:dyDescent="0.25">
      <c r="M4925"/>
      <c r="N4925"/>
      <c r="O4925"/>
      <c r="P4925" s="216"/>
      <c r="Q4925" s="217"/>
      <c r="R4925" s="217"/>
      <c r="S4925" s="218"/>
    </row>
    <row r="4926" spans="13:19" ht="15" customHeight="1" x14ac:dyDescent="0.25">
      <c r="M4926"/>
      <c r="N4926"/>
      <c r="O4926"/>
      <c r="P4926" s="216"/>
      <c r="Q4926" s="217"/>
      <c r="R4926" s="217"/>
      <c r="S4926" s="218"/>
    </row>
    <row r="4927" spans="13:19" ht="15" customHeight="1" x14ac:dyDescent="0.25">
      <c r="M4927"/>
      <c r="N4927"/>
      <c r="O4927"/>
      <c r="P4927" s="216"/>
      <c r="Q4927" s="217"/>
      <c r="R4927" s="217"/>
      <c r="S4927" s="218"/>
    </row>
    <row r="4928" spans="13:19" ht="15" customHeight="1" x14ac:dyDescent="0.25">
      <c r="M4928"/>
      <c r="N4928"/>
      <c r="O4928"/>
      <c r="P4928" s="216"/>
      <c r="Q4928" s="217"/>
      <c r="R4928" s="217"/>
      <c r="S4928" s="218"/>
    </row>
    <row r="4929" spans="13:19" ht="15" customHeight="1" x14ac:dyDescent="0.25">
      <c r="M4929"/>
      <c r="N4929"/>
      <c r="O4929"/>
      <c r="P4929" s="216"/>
      <c r="Q4929" s="217"/>
      <c r="R4929" s="217"/>
      <c r="S4929" s="218"/>
    </row>
    <row r="4930" spans="13:19" ht="15" customHeight="1" x14ac:dyDescent="0.25">
      <c r="M4930"/>
      <c r="N4930"/>
      <c r="O4930"/>
      <c r="P4930" s="216"/>
      <c r="Q4930" s="217"/>
      <c r="R4930" s="217"/>
      <c r="S4930" s="218"/>
    </row>
    <row r="4931" spans="13:19" ht="15" customHeight="1" x14ac:dyDescent="0.25">
      <c r="M4931"/>
      <c r="N4931"/>
      <c r="O4931"/>
      <c r="P4931" s="216"/>
      <c r="Q4931" s="217"/>
      <c r="R4931" s="217"/>
      <c r="S4931" s="218"/>
    </row>
    <row r="4932" spans="13:19" ht="15" customHeight="1" x14ac:dyDescent="0.25">
      <c r="M4932"/>
      <c r="N4932"/>
      <c r="O4932"/>
      <c r="P4932" s="216"/>
      <c r="Q4932" s="217"/>
      <c r="R4932" s="217"/>
      <c r="S4932" s="218"/>
    </row>
    <row r="4933" spans="13:19" ht="15" customHeight="1" x14ac:dyDescent="0.25">
      <c r="M4933"/>
      <c r="N4933"/>
      <c r="O4933"/>
      <c r="P4933" s="216"/>
      <c r="Q4933" s="217"/>
      <c r="R4933" s="217"/>
      <c r="S4933" s="218"/>
    </row>
    <row r="4934" spans="13:19" ht="15" customHeight="1" x14ac:dyDescent="0.25">
      <c r="M4934"/>
      <c r="N4934"/>
      <c r="O4934"/>
      <c r="P4934" s="216"/>
      <c r="Q4934" s="217"/>
      <c r="R4934" s="217"/>
      <c r="S4934" s="218"/>
    </row>
    <row r="4935" spans="13:19" ht="15" customHeight="1" x14ac:dyDescent="0.25">
      <c r="M4935"/>
      <c r="N4935"/>
      <c r="O4935"/>
      <c r="P4935" s="216"/>
      <c r="Q4935" s="217"/>
      <c r="R4935" s="217"/>
      <c r="S4935" s="218"/>
    </row>
    <row r="4936" spans="13:19" ht="15" customHeight="1" x14ac:dyDescent="0.25">
      <c r="M4936"/>
      <c r="N4936"/>
      <c r="O4936"/>
      <c r="P4936" s="216"/>
      <c r="Q4936" s="217"/>
      <c r="R4936" s="217"/>
      <c r="S4936" s="218"/>
    </row>
    <row r="4937" spans="13:19" ht="15" customHeight="1" x14ac:dyDescent="0.25">
      <c r="M4937"/>
      <c r="N4937"/>
      <c r="O4937"/>
      <c r="P4937" s="216"/>
      <c r="Q4937" s="217"/>
      <c r="R4937" s="217"/>
      <c r="S4937" s="218"/>
    </row>
    <row r="4938" spans="13:19" ht="15" customHeight="1" x14ac:dyDescent="0.25">
      <c r="M4938"/>
      <c r="N4938"/>
      <c r="O4938"/>
      <c r="P4938" s="216"/>
      <c r="Q4938" s="217"/>
      <c r="R4938" s="217"/>
      <c r="S4938" s="218"/>
    </row>
    <row r="4939" spans="13:19" ht="15" customHeight="1" x14ac:dyDescent="0.25">
      <c r="M4939"/>
      <c r="N4939"/>
      <c r="O4939"/>
      <c r="P4939" s="216"/>
      <c r="Q4939" s="217"/>
      <c r="R4939" s="217"/>
      <c r="S4939" s="218"/>
    </row>
    <row r="4940" spans="13:19" ht="15" customHeight="1" x14ac:dyDescent="0.25">
      <c r="M4940"/>
      <c r="N4940"/>
      <c r="O4940"/>
      <c r="P4940" s="216"/>
      <c r="Q4940" s="217"/>
      <c r="R4940" s="217"/>
      <c r="S4940" s="218"/>
    </row>
    <row r="4941" spans="13:19" ht="15" customHeight="1" x14ac:dyDescent="0.25">
      <c r="M4941"/>
      <c r="N4941"/>
      <c r="O4941"/>
      <c r="P4941" s="216"/>
      <c r="Q4941" s="217"/>
      <c r="R4941" s="217"/>
      <c r="S4941" s="218"/>
    </row>
    <row r="4942" spans="13:19" ht="15" customHeight="1" x14ac:dyDescent="0.25">
      <c r="M4942"/>
      <c r="N4942"/>
      <c r="O4942"/>
      <c r="P4942" s="216"/>
      <c r="Q4942" s="217"/>
      <c r="R4942" s="217"/>
      <c r="S4942" s="218"/>
    </row>
    <row r="4943" spans="13:19" ht="15" customHeight="1" x14ac:dyDescent="0.25">
      <c r="M4943"/>
      <c r="N4943"/>
      <c r="O4943"/>
      <c r="P4943" s="216"/>
      <c r="Q4943" s="217"/>
      <c r="R4943" s="217"/>
      <c r="S4943" s="218"/>
    </row>
    <row r="4944" spans="13:19" ht="15" customHeight="1" x14ac:dyDescent="0.25">
      <c r="M4944"/>
      <c r="N4944"/>
      <c r="O4944"/>
      <c r="P4944" s="216"/>
      <c r="Q4944" s="217"/>
      <c r="R4944" s="217"/>
      <c r="S4944" s="218"/>
    </row>
    <row r="4945" spans="13:19" ht="15" customHeight="1" x14ac:dyDescent="0.25">
      <c r="M4945"/>
      <c r="N4945"/>
      <c r="O4945"/>
      <c r="P4945" s="216"/>
      <c r="Q4945" s="217"/>
      <c r="R4945" s="217"/>
      <c r="S4945" s="218"/>
    </row>
    <row r="4946" spans="13:19" ht="15" customHeight="1" x14ac:dyDescent="0.25">
      <c r="M4946"/>
      <c r="N4946"/>
      <c r="O4946"/>
      <c r="P4946" s="216"/>
      <c r="Q4946" s="217"/>
      <c r="R4946" s="217"/>
      <c r="S4946" s="218"/>
    </row>
    <row r="4947" spans="13:19" ht="15" customHeight="1" x14ac:dyDescent="0.25">
      <c r="M4947"/>
      <c r="N4947"/>
      <c r="O4947"/>
      <c r="P4947" s="216"/>
      <c r="Q4947" s="217"/>
      <c r="R4947" s="217"/>
      <c r="S4947" s="218"/>
    </row>
    <row r="4948" spans="13:19" ht="15" customHeight="1" x14ac:dyDescent="0.25">
      <c r="M4948"/>
      <c r="N4948"/>
      <c r="O4948"/>
      <c r="P4948" s="216"/>
      <c r="Q4948" s="217"/>
      <c r="R4948" s="217"/>
      <c r="S4948" s="218"/>
    </row>
    <row r="4949" spans="13:19" ht="15" customHeight="1" x14ac:dyDescent="0.25">
      <c r="M4949"/>
      <c r="N4949"/>
      <c r="O4949"/>
      <c r="P4949" s="216"/>
      <c r="Q4949" s="217"/>
      <c r="R4949" s="217"/>
      <c r="S4949" s="218"/>
    </row>
    <row r="4950" spans="13:19" ht="15" customHeight="1" x14ac:dyDescent="0.25">
      <c r="M4950"/>
      <c r="N4950"/>
      <c r="O4950"/>
      <c r="P4950" s="216"/>
      <c r="Q4950" s="217"/>
      <c r="R4950" s="217"/>
      <c r="S4950" s="218"/>
    </row>
    <row r="4951" spans="13:19" ht="15" customHeight="1" x14ac:dyDescent="0.25">
      <c r="M4951"/>
      <c r="N4951"/>
      <c r="O4951"/>
      <c r="P4951" s="216"/>
      <c r="Q4951" s="217"/>
      <c r="R4951" s="217"/>
      <c r="S4951" s="218"/>
    </row>
    <row r="4952" spans="13:19" ht="15" customHeight="1" x14ac:dyDescent="0.25">
      <c r="M4952"/>
      <c r="N4952"/>
      <c r="O4952"/>
      <c r="P4952" s="216"/>
      <c r="Q4952" s="217"/>
      <c r="R4952" s="217"/>
      <c r="S4952" s="218"/>
    </row>
    <row r="4953" spans="13:19" ht="15" customHeight="1" x14ac:dyDescent="0.25">
      <c r="M4953"/>
      <c r="N4953"/>
      <c r="O4953"/>
      <c r="P4953" s="216"/>
      <c r="Q4953" s="217"/>
      <c r="R4953" s="217"/>
      <c r="S4953" s="218"/>
    </row>
    <row r="4954" spans="13:19" ht="15" customHeight="1" x14ac:dyDescent="0.25">
      <c r="M4954"/>
      <c r="N4954"/>
      <c r="O4954"/>
      <c r="P4954" s="216"/>
      <c r="Q4954" s="217"/>
      <c r="R4954" s="217"/>
      <c r="S4954" s="218"/>
    </row>
    <row r="4955" spans="13:19" ht="15" customHeight="1" x14ac:dyDescent="0.25">
      <c r="M4955"/>
      <c r="N4955"/>
      <c r="O4955"/>
      <c r="P4955" s="216"/>
      <c r="Q4955" s="217"/>
      <c r="R4955" s="217"/>
      <c r="S4955" s="218"/>
    </row>
    <row r="4956" spans="13:19" ht="15" customHeight="1" x14ac:dyDescent="0.25">
      <c r="M4956"/>
      <c r="N4956"/>
      <c r="O4956"/>
      <c r="P4956" s="216"/>
      <c r="Q4956" s="217"/>
      <c r="R4956" s="217"/>
      <c r="S4956" s="218"/>
    </row>
    <row r="4957" spans="13:19" ht="15" customHeight="1" x14ac:dyDescent="0.25">
      <c r="M4957"/>
      <c r="N4957"/>
      <c r="O4957"/>
      <c r="P4957" s="216"/>
      <c r="Q4957" s="217"/>
      <c r="R4957" s="217"/>
      <c r="S4957" s="218"/>
    </row>
    <row r="4958" spans="13:19" ht="15" customHeight="1" x14ac:dyDescent="0.25">
      <c r="M4958"/>
      <c r="N4958"/>
      <c r="O4958"/>
      <c r="P4958" s="216"/>
      <c r="Q4958" s="217"/>
      <c r="R4958" s="217"/>
      <c r="S4958" s="218"/>
    </row>
    <row r="4959" spans="13:19" ht="15" customHeight="1" x14ac:dyDescent="0.25">
      <c r="M4959"/>
      <c r="N4959"/>
      <c r="O4959"/>
      <c r="P4959" s="216"/>
      <c r="Q4959" s="217"/>
      <c r="R4959" s="217"/>
      <c r="S4959" s="218"/>
    </row>
    <row r="4960" spans="13:19" ht="15" customHeight="1" x14ac:dyDescent="0.25">
      <c r="M4960"/>
      <c r="N4960"/>
      <c r="O4960"/>
      <c r="P4960" s="216"/>
      <c r="Q4960" s="217"/>
      <c r="R4960" s="217"/>
      <c r="S4960" s="218"/>
    </row>
    <row r="4961" spans="13:19" ht="15" customHeight="1" x14ac:dyDescent="0.25">
      <c r="M4961"/>
      <c r="N4961"/>
      <c r="O4961"/>
      <c r="P4961" s="216"/>
      <c r="Q4961" s="217"/>
      <c r="R4961" s="217"/>
      <c r="S4961" s="218"/>
    </row>
    <row r="4962" spans="13:19" ht="15" customHeight="1" x14ac:dyDescent="0.25">
      <c r="M4962"/>
      <c r="N4962"/>
      <c r="O4962"/>
      <c r="P4962" s="216"/>
      <c r="Q4962" s="217"/>
      <c r="R4962" s="217"/>
      <c r="S4962" s="218"/>
    </row>
    <row r="4963" spans="13:19" ht="15" customHeight="1" x14ac:dyDescent="0.25">
      <c r="M4963"/>
      <c r="N4963"/>
      <c r="O4963"/>
      <c r="P4963" s="216"/>
      <c r="Q4963" s="217"/>
      <c r="R4963" s="217"/>
      <c r="S4963" s="218"/>
    </row>
    <row r="4964" spans="13:19" ht="15" customHeight="1" x14ac:dyDescent="0.25">
      <c r="M4964"/>
      <c r="N4964"/>
      <c r="O4964"/>
      <c r="P4964" s="216"/>
      <c r="Q4964" s="217"/>
      <c r="R4964" s="217"/>
      <c r="S4964" s="218"/>
    </row>
    <row r="4965" spans="13:19" ht="15" customHeight="1" x14ac:dyDescent="0.25">
      <c r="M4965"/>
      <c r="N4965"/>
      <c r="O4965"/>
      <c r="P4965" s="216"/>
      <c r="Q4965" s="217"/>
      <c r="R4965" s="217"/>
      <c r="S4965" s="218"/>
    </row>
    <row r="4966" spans="13:19" ht="15" customHeight="1" x14ac:dyDescent="0.25">
      <c r="M4966"/>
      <c r="N4966"/>
      <c r="O4966"/>
      <c r="P4966" s="216"/>
      <c r="Q4966" s="217"/>
      <c r="R4966" s="217"/>
      <c r="S4966" s="218"/>
    </row>
    <row r="4967" spans="13:19" ht="15" customHeight="1" x14ac:dyDescent="0.25">
      <c r="M4967"/>
      <c r="N4967"/>
      <c r="O4967"/>
      <c r="P4967" s="216"/>
      <c r="Q4967" s="217"/>
      <c r="R4967" s="217"/>
      <c r="S4967" s="218"/>
    </row>
    <row r="4968" spans="13:19" ht="15" customHeight="1" x14ac:dyDescent="0.25">
      <c r="M4968"/>
      <c r="N4968"/>
      <c r="O4968"/>
      <c r="P4968" s="216"/>
      <c r="Q4968" s="217"/>
      <c r="R4968" s="217"/>
      <c r="S4968" s="218"/>
    </row>
    <row r="4969" spans="13:19" ht="15" customHeight="1" x14ac:dyDescent="0.25">
      <c r="M4969"/>
      <c r="N4969"/>
      <c r="O4969"/>
      <c r="P4969" s="216"/>
      <c r="Q4969" s="217"/>
      <c r="R4969" s="217"/>
      <c r="S4969" s="218"/>
    </row>
    <row r="4970" spans="13:19" ht="15" customHeight="1" x14ac:dyDescent="0.25">
      <c r="M4970"/>
      <c r="N4970"/>
      <c r="O4970"/>
      <c r="P4970" s="216"/>
      <c r="Q4970" s="217"/>
      <c r="R4970" s="217"/>
      <c r="S4970" s="218"/>
    </row>
    <row r="4971" spans="13:19" ht="15" customHeight="1" x14ac:dyDescent="0.25">
      <c r="M4971"/>
      <c r="N4971"/>
      <c r="O4971"/>
      <c r="P4971" s="216"/>
      <c r="Q4971" s="217"/>
      <c r="R4971" s="217"/>
      <c r="S4971" s="218"/>
    </row>
    <row r="4972" spans="13:19" ht="15" customHeight="1" x14ac:dyDescent="0.25">
      <c r="M4972"/>
      <c r="N4972"/>
      <c r="O4972"/>
      <c r="P4972" s="216"/>
      <c r="Q4972" s="217"/>
      <c r="R4972" s="217"/>
      <c r="S4972" s="218"/>
    </row>
    <row r="4973" spans="13:19" ht="15" customHeight="1" x14ac:dyDescent="0.25">
      <c r="M4973"/>
      <c r="N4973"/>
      <c r="O4973"/>
      <c r="P4973" s="216"/>
      <c r="Q4973" s="217"/>
      <c r="R4973" s="217"/>
      <c r="S4973" s="218"/>
    </row>
    <row r="4974" spans="13:19" ht="15" customHeight="1" x14ac:dyDescent="0.25">
      <c r="M4974"/>
      <c r="N4974"/>
      <c r="O4974"/>
      <c r="P4974" s="216"/>
      <c r="Q4974" s="217"/>
      <c r="R4974" s="217"/>
      <c r="S4974" s="218"/>
    </row>
    <row r="4975" spans="13:19" ht="15" customHeight="1" x14ac:dyDescent="0.25">
      <c r="M4975"/>
      <c r="N4975"/>
      <c r="O4975"/>
      <c r="P4975" s="216"/>
      <c r="Q4975" s="217"/>
      <c r="R4975" s="217"/>
      <c r="S4975" s="218"/>
    </row>
    <row r="4976" spans="13:19" ht="15" customHeight="1" x14ac:dyDescent="0.25">
      <c r="M4976"/>
      <c r="N4976"/>
      <c r="O4976"/>
      <c r="P4976" s="216"/>
      <c r="Q4976" s="217"/>
      <c r="R4976" s="217"/>
      <c r="S4976" s="218"/>
    </row>
    <row r="4977" spans="13:19" ht="15" customHeight="1" x14ac:dyDescent="0.25">
      <c r="M4977"/>
      <c r="N4977"/>
      <c r="O4977"/>
      <c r="P4977" s="216"/>
      <c r="Q4977" s="217"/>
      <c r="R4977" s="217"/>
      <c r="S4977" s="218"/>
    </row>
    <row r="4978" spans="13:19" ht="15" customHeight="1" x14ac:dyDescent="0.25">
      <c r="M4978"/>
      <c r="N4978"/>
      <c r="O4978"/>
      <c r="P4978" s="216"/>
      <c r="Q4978" s="217"/>
      <c r="R4978" s="217"/>
      <c r="S4978" s="218"/>
    </row>
    <row r="4979" spans="13:19" ht="15" customHeight="1" x14ac:dyDescent="0.25">
      <c r="M4979"/>
      <c r="N4979"/>
      <c r="O4979"/>
      <c r="P4979" s="216"/>
      <c r="Q4979" s="217"/>
      <c r="R4979" s="217"/>
      <c r="S4979" s="218"/>
    </row>
    <row r="4980" spans="13:19" ht="15" customHeight="1" x14ac:dyDescent="0.25">
      <c r="M4980"/>
      <c r="N4980"/>
      <c r="O4980"/>
      <c r="P4980" s="216"/>
      <c r="Q4980" s="217"/>
      <c r="R4980" s="217"/>
      <c r="S4980" s="218"/>
    </row>
    <row r="4981" spans="13:19" ht="15" customHeight="1" x14ac:dyDescent="0.25">
      <c r="M4981"/>
      <c r="N4981"/>
      <c r="O4981"/>
      <c r="P4981" s="216"/>
      <c r="Q4981" s="217"/>
      <c r="R4981" s="217"/>
      <c r="S4981" s="218"/>
    </row>
    <row r="4982" spans="13:19" ht="15" customHeight="1" x14ac:dyDescent="0.25">
      <c r="M4982"/>
      <c r="N4982"/>
      <c r="O4982"/>
      <c r="P4982" s="216"/>
      <c r="Q4982" s="217"/>
      <c r="R4982" s="217"/>
      <c r="S4982" s="218"/>
    </row>
    <row r="4983" spans="13:19" ht="15" customHeight="1" x14ac:dyDescent="0.25">
      <c r="M4983"/>
      <c r="N4983"/>
      <c r="O4983"/>
      <c r="P4983" s="216"/>
      <c r="Q4983" s="217"/>
      <c r="R4983" s="217"/>
      <c r="S4983" s="218"/>
    </row>
    <row r="4984" spans="13:19" ht="15" customHeight="1" x14ac:dyDescent="0.25">
      <c r="M4984"/>
      <c r="N4984"/>
      <c r="O4984"/>
      <c r="P4984" s="216"/>
      <c r="Q4984" s="217"/>
      <c r="R4984" s="217"/>
      <c r="S4984" s="218"/>
    </row>
    <row r="4985" spans="13:19" ht="15" customHeight="1" x14ac:dyDescent="0.25">
      <c r="M4985"/>
      <c r="N4985"/>
      <c r="O4985"/>
      <c r="P4985" s="216"/>
      <c r="Q4985" s="217"/>
      <c r="R4985" s="217"/>
      <c r="S4985" s="218"/>
    </row>
    <row r="4986" spans="13:19" ht="15" customHeight="1" x14ac:dyDescent="0.25">
      <c r="M4986"/>
      <c r="N4986"/>
      <c r="O4986"/>
      <c r="P4986" s="216"/>
      <c r="Q4986" s="217"/>
      <c r="R4986" s="217"/>
      <c r="S4986" s="218"/>
    </row>
    <row r="4987" spans="13:19" ht="15" customHeight="1" x14ac:dyDescent="0.25">
      <c r="M4987"/>
      <c r="N4987"/>
      <c r="O4987"/>
      <c r="P4987" s="216"/>
      <c r="Q4987" s="217"/>
      <c r="R4987" s="217"/>
      <c r="S4987" s="218"/>
    </row>
    <row r="4988" spans="13:19" ht="15" customHeight="1" x14ac:dyDescent="0.25">
      <c r="M4988"/>
      <c r="N4988"/>
      <c r="O4988"/>
      <c r="P4988" s="216"/>
      <c r="Q4988" s="217"/>
      <c r="R4988" s="217"/>
      <c r="S4988" s="218"/>
    </row>
    <row r="4989" spans="13:19" ht="15" customHeight="1" x14ac:dyDescent="0.25">
      <c r="M4989"/>
      <c r="N4989"/>
      <c r="O4989"/>
      <c r="P4989" s="216"/>
      <c r="Q4989" s="217"/>
      <c r="R4989" s="217"/>
      <c r="S4989" s="218"/>
    </row>
    <row r="4990" spans="13:19" ht="15" customHeight="1" x14ac:dyDescent="0.25">
      <c r="M4990"/>
      <c r="N4990"/>
      <c r="O4990"/>
      <c r="P4990" s="216"/>
      <c r="Q4990" s="217"/>
      <c r="R4990" s="217"/>
      <c r="S4990" s="218"/>
    </row>
    <row r="4991" spans="13:19" ht="15" customHeight="1" x14ac:dyDescent="0.25">
      <c r="M4991"/>
      <c r="N4991"/>
      <c r="O4991"/>
      <c r="P4991" s="216"/>
      <c r="Q4991" s="217"/>
      <c r="R4991" s="217"/>
      <c r="S4991" s="218"/>
    </row>
    <row r="4992" spans="13:19" ht="15" customHeight="1" x14ac:dyDescent="0.25">
      <c r="M4992"/>
      <c r="N4992"/>
      <c r="O4992"/>
      <c r="P4992" s="216"/>
      <c r="Q4992" s="217"/>
      <c r="R4992" s="217"/>
      <c r="S4992" s="218"/>
    </row>
    <row r="4993" spans="13:19" ht="15" customHeight="1" x14ac:dyDescent="0.25">
      <c r="M4993"/>
      <c r="N4993"/>
      <c r="O4993"/>
      <c r="P4993" s="216"/>
      <c r="Q4993" s="217"/>
      <c r="R4993" s="217"/>
      <c r="S4993" s="218"/>
    </row>
    <row r="4994" spans="13:19" ht="15" customHeight="1" x14ac:dyDescent="0.25">
      <c r="M4994"/>
      <c r="N4994"/>
      <c r="O4994"/>
      <c r="P4994" s="216"/>
      <c r="Q4994" s="217"/>
      <c r="R4994" s="217"/>
      <c r="S4994" s="218"/>
    </row>
    <row r="4995" spans="13:19" ht="15" customHeight="1" x14ac:dyDescent="0.25">
      <c r="M4995"/>
      <c r="N4995"/>
      <c r="O4995"/>
      <c r="P4995" s="216"/>
      <c r="Q4995" s="217"/>
      <c r="R4995" s="217"/>
      <c r="S4995" s="218"/>
    </row>
    <row r="4996" spans="13:19" ht="15" customHeight="1" x14ac:dyDescent="0.25">
      <c r="M4996"/>
      <c r="N4996"/>
      <c r="O4996"/>
      <c r="P4996" s="216"/>
      <c r="Q4996" s="217"/>
      <c r="R4996" s="217"/>
      <c r="S4996" s="218"/>
    </row>
    <row r="4997" spans="13:19" ht="15" customHeight="1" x14ac:dyDescent="0.25">
      <c r="M4997"/>
      <c r="N4997"/>
      <c r="O4997"/>
      <c r="P4997" s="216"/>
      <c r="Q4997" s="217"/>
      <c r="R4997" s="217"/>
      <c r="S4997" s="218"/>
    </row>
    <row r="4998" spans="13:19" ht="15" customHeight="1" x14ac:dyDescent="0.25">
      <c r="M4998"/>
      <c r="N4998"/>
      <c r="O4998"/>
      <c r="P4998" s="216"/>
      <c r="Q4998" s="217"/>
      <c r="R4998" s="217"/>
      <c r="S4998" s="218"/>
    </row>
    <row r="4999" spans="13:19" ht="15" customHeight="1" x14ac:dyDescent="0.25">
      <c r="M4999"/>
      <c r="N4999"/>
      <c r="O4999"/>
      <c r="P4999" s="216"/>
      <c r="Q4999" s="217"/>
      <c r="R4999" s="217"/>
      <c r="S4999" s="218"/>
    </row>
    <row r="5000" spans="13:19" ht="15" customHeight="1" x14ac:dyDescent="0.25">
      <c r="M5000"/>
      <c r="N5000"/>
      <c r="O5000"/>
      <c r="P5000" s="216"/>
      <c r="Q5000" s="217"/>
      <c r="R5000" s="217"/>
      <c r="S5000" s="218"/>
    </row>
    <row r="5001" spans="13:19" ht="15" customHeight="1" x14ac:dyDescent="0.25">
      <c r="M5001"/>
      <c r="N5001"/>
      <c r="O5001"/>
      <c r="P5001" s="216"/>
      <c r="Q5001" s="217"/>
      <c r="R5001" s="217"/>
      <c r="S5001" s="218"/>
    </row>
    <row r="5002" spans="13:19" ht="15" customHeight="1" x14ac:dyDescent="0.25">
      <c r="M5002"/>
      <c r="N5002"/>
      <c r="O5002"/>
      <c r="P5002" s="216"/>
      <c r="Q5002" s="217"/>
      <c r="R5002" s="217"/>
      <c r="S5002" s="218"/>
    </row>
    <row r="5003" spans="13:19" ht="15" customHeight="1" x14ac:dyDescent="0.25">
      <c r="M5003"/>
      <c r="N5003"/>
      <c r="O5003"/>
      <c r="P5003" s="216"/>
      <c r="Q5003" s="217"/>
      <c r="R5003" s="217"/>
      <c r="S5003" s="218"/>
    </row>
    <row r="5004" spans="13:19" ht="15" customHeight="1" x14ac:dyDescent="0.25">
      <c r="M5004"/>
      <c r="N5004"/>
      <c r="O5004"/>
      <c r="P5004" s="216"/>
      <c r="Q5004" s="217"/>
      <c r="R5004" s="217"/>
      <c r="S5004" s="218"/>
    </row>
    <row r="5005" spans="13:19" ht="15" customHeight="1" x14ac:dyDescent="0.25">
      <c r="M5005"/>
      <c r="N5005"/>
      <c r="O5005"/>
      <c r="P5005" s="216"/>
      <c r="Q5005" s="217"/>
      <c r="R5005" s="217"/>
      <c r="S5005" s="218"/>
    </row>
    <row r="5006" spans="13:19" ht="15" customHeight="1" x14ac:dyDescent="0.25">
      <c r="M5006"/>
      <c r="N5006"/>
      <c r="O5006"/>
      <c r="P5006" s="216"/>
      <c r="Q5006" s="217"/>
      <c r="R5006" s="217"/>
      <c r="S5006" s="218"/>
    </row>
    <row r="5007" spans="13:19" ht="15" customHeight="1" x14ac:dyDescent="0.25">
      <c r="M5007"/>
      <c r="N5007"/>
      <c r="O5007"/>
      <c r="P5007" s="216"/>
      <c r="Q5007" s="217"/>
      <c r="R5007" s="217"/>
      <c r="S5007" s="218"/>
    </row>
    <row r="5008" spans="13:19" ht="15" customHeight="1" x14ac:dyDescent="0.25">
      <c r="M5008"/>
      <c r="N5008"/>
      <c r="O5008"/>
      <c r="P5008" s="216"/>
      <c r="Q5008" s="217"/>
      <c r="R5008" s="217"/>
      <c r="S5008" s="218"/>
    </row>
    <row r="5009" spans="13:19" ht="15" customHeight="1" x14ac:dyDescent="0.25">
      <c r="M5009"/>
      <c r="N5009"/>
      <c r="O5009"/>
      <c r="P5009" s="216"/>
      <c r="Q5009" s="217"/>
      <c r="R5009" s="217"/>
      <c r="S5009" s="218"/>
    </row>
    <row r="5010" spans="13:19" ht="15" customHeight="1" x14ac:dyDescent="0.25">
      <c r="M5010"/>
      <c r="N5010"/>
      <c r="O5010"/>
      <c r="P5010" s="216"/>
      <c r="Q5010" s="217"/>
      <c r="R5010" s="217"/>
      <c r="S5010" s="218"/>
    </row>
    <row r="5011" spans="13:19" ht="15" customHeight="1" x14ac:dyDescent="0.25">
      <c r="M5011"/>
      <c r="N5011"/>
      <c r="O5011"/>
      <c r="P5011" s="216"/>
      <c r="Q5011" s="217"/>
      <c r="R5011" s="217"/>
      <c r="S5011" s="218"/>
    </row>
    <row r="5012" spans="13:19" ht="15" customHeight="1" x14ac:dyDescent="0.25">
      <c r="M5012"/>
      <c r="N5012"/>
      <c r="O5012"/>
      <c r="P5012" s="216"/>
      <c r="Q5012" s="217"/>
      <c r="R5012" s="217"/>
      <c r="S5012" s="218"/>
    </row>
    <row r="5013" spans="13:19" ht="15" customHeight="1" x14ac:dyDescent="0.25">
      <c r="M5013"/>
      <c r="N5013"/>
      <c r="O5013"/>
      <c r="P5013" s="216"/>
      <c r="Q5013" s="217"/>
      <c r="R5013" s="217"/>
      <c r="S5013" s="218"/>
    </row>
    <row r="5014" spans="13:19" ht="15" customHeight="1" x14ac:dyDescent="0.25">
      <c r="M5014"/>
      <c r="N5014"/>
      <c r="O5014"/>
      <c r="P5014" s="216"/>
      <c r="Q5014" s="217"/>
      <c r="R5014" s="217"/>
      <c r="S5014" s="218"/>
    </row>
    <row r="5015" spans="13:19" ht="15" customHeight="1" x14ac:dyDescent="0.25">
      <c r="M5015"/>
      <c r="N5015"/>
      <c r="O5015"/>
      <c r="P5015" s="216"/>
      <c r="Q5015" s="217"/>
      <c r="R5015" s="217"/>
      <c r="S5015" s="218"/>
    </row>
    <row r="5016" spans="13:19" ht="15" customHeight="1" x14ac:dyDescent="0.25">
      <c r="M5016"/>
      <c r="N5016"/>
      <c r="O5016"/>
      <c r="P5016" s="216"/>
      <c r="Q5016" s="217"/>
      <c r="R5016" s="217"/>
      <c r="S5016" s="218"/>
    </row>
    <row r="5017" spans="13:19" ht="15" customHeight="1" x14ac:dyDescent="0.25">
      <c r="M5017"/>
      <c r="N5017"/>
      <c r="O5017"/>
      <c r="P5017" s="216"/>
      <c r="Q5017" s="217"/>
      <c r="R5017" s="217"/>
      <c r="S5017" s="218"/>
    </row>
    <row r="5018" spans="13:19" ht="15" customHeight="1" x14ac:dyDescent="0.25">
      <c r="M5018"/>
      <c r="N5018"/>
      <c r="O5018"/>
      <c r="P5018" s="216"/>
      <c r="Q5018" s="217"/>
      <c r="R5018" s="217"/>
      <c r="S5018" s="218"/>
    </row>
    <row r="5019" spans="13:19" ht="15" customHeight="1" x14ac:dyDescent="0.25">
      <c r="M5019"/>
      <c r="N5019"/>
      <c r="O5019"/>
      <c r="P5019" s="216"/>
      <c r="Q5019" s="217"/>
      <c r="R5019" s="217"/>
      <c r="S5019" s="218"/>
    </row>
    <row r="5020" spans="13:19" ht="15" customHeight="1" x14ac:dyDescent="0.25">
      <c r="M5020"/>
      <c r="N5020"/>
      <c r="O5020"/>
      <c r="P5020" s="216"/>
      <c r="Q5020" s="217"/>
      <c r="R5020" s="217"/>
      <c r="S5020" s="218"/>
    </row>
    <row r="5021" spans="13:19" ht="15" customHeight="1" x14ac:dyDescent="0.25">
      <c r="M5021"/>
      <c r="N5021"/>
      <c r="O5021"/>
      <c r="P5021" s="216"/>
      <c r="Q5021" s="217"/>
      <c r="R5021" s="217"/>
      <c r="S5021" s="218"/>
    </row>
    <row r="5022" spans="13:19" ht="15" customHeight="1" x14ac:dyDescent="0.25">
      <c r="M5022"/>
      <c r="N5022"/>
      <c r="O5022"/>
      <c r="P5022" s="216"/>
      <c r="Q5022" s="217"/>
      <c r="R5022" s="217"/>
      <c r="S5022" s="218"/>
    </row>
    <row r="5023" spans="13:19" ht="15" customHeight="1" x14ac:dyDescent="0.25">
      <c r="M5023"/>
      <c r="N5023"/>
      <c r="O5023"/>
      <c r="P5023" s="216"/>
      <c r="Q5023" s="217"/>
      <c r="R5023" s="217"/>
      <c r="S5023" s="218"/>
    </row>
    <row r="5024" spans="13:19" ht="15" customHeight="1" x14ac:dyDescent="0.25">
      <c r="M5024"/>
      <c r="N5024"/>
      <c r="O5024"/>
      <c r="P5024" s="216"/>
      <c r="Q5024" s="217"/>
      <c r="R5024" s="217"/>
      <c r="S5024" s="218"/>
    </row>
    <row r="5025" spans="13:19" ht="15" customHeight="1" x14ac:dyDescent="0.25">
      <c r="M5025"/>
      <c r="N5025"/>
      <c r="O5025"/>
      <c r="P5025" s="216"/>
      <c r="Q5025" s="217"/>
      <c r="R5025" s="217"/>
      <c r="S5025" s="218"/>
    </row>
    <row r="5026" spans="13:19" ht="15" customHeight="1" x14ac:dyDescent="0.25">
      <c r="M5026"/>
      <c r="N5026"/>
      <c r="O5026"/>
      <c r="P5026" s="216"/>
      <c r="Q5026" s="217"/>
      <c r="R5026" s="217"/>
      <c r="S5026" s="218"/>
    </row>
    <row r="5027" spans="13:19" ht="15" customHeight="1" x14ac:dyDescent="0.25">
      <c r="M5027"/>
      <c r="N5027"/>
      <c r="O5027"/>
      <c r="P5027" s="216"/>
      <c r="Q5027" s="217"/>
      <c r="R5027" s="217"/>
      <c r="S5027" s="218"/>
    </row>
    <row r="5028" spans="13:19" ht="15" customHeight="1" x14ac:dyDescent="0.25">
      <c r="M5028"/>
      <c r="N5028"/>
      <c r="O5028"/>
      <c r="P5028" s="216"/>
      <c r="Q5028" s="217"/>
      <c r="R5028" s="217"/>
      <c r="S5028" s="218"/>
    </row>
    <row r="5029" spans="13:19" ht="15" customHeight="1" x14ac:dyDescent="0.25">
      <c r="M5029"/>
      <c r="N5029"/>
      <c r="O5029"/>
      <c r="P5029" s="216"/>
      <c r="Q5029" s="217"/>
      <c r="R5029" s="217"/>
      <c r="S5029" s="218"/>
    </row>
    <row r="5030" spans="13:19" ht="15" customHeight="1" x14ac:dyDescent="0.25">
      <c r="M5030"/>
      <c r="N5030"/>
      <c r="O5030"/>
      <c r="P5030" s="216"/>
      <c r="Q5030" s="217"/>
      <c r="R5030" s="217"/>
      <c r="S5030" s="218"/>
    </row>
    <row r="5031" spans="13:19" ht="15" customHeight="1" x14ac:dyDescent="0.25">
      <c r="M5031"/>
      <c r="N5031"/>
      <c r="O5031"/>
      <c r="P5031" s="216"/>
      <c r="Q5031" s="217"/>
      <c r="R5031" s="217"/>
      <c r="S5031" s="218"/>
    </row>
    <row r="5032" spans="13:19" ht="15" customHeight="1" x14ac:dyDescent="0.25">
      <c r="M5032"/>
      <c r="N5032"/>
      <c r="O5032"/>
      <c r="P5032" s="216"/>
      <c r="Q5032" s="217"/>
      <c r="R5032" s="217"/>
      <c r="S5032" s="218"/>
    </row>
    <row r="5033" spans="13:19" ht="15" customHeight="1" x14ac:dyDescent="0.25">
      <c r="M5033"/>
      <c r="N5033"/>
      <c r="O5033"/>
      <c r="P5033" s="216"/>
      <c r="Q5033" s="217"/>
      <c r="R5033" s="217"/>
      <c r="S5033" s="218"/>
    </row>
    <row r="5034" spans="13:19" ht="15" customHeight="1" x14ac:dyDescent="0.25">
      <c r="M5034"/>
      <c r="N5034"/>
      <c r="O5034"/>
      <c r="P5034" s="216"/>
      <c r="Q5034" s="217"/>
      <c r="R5034" s="217"/>
      <c r="S5034" s="218"/>
    </row>
    <row r="5035" spans="13:19" ht="15" customHeight="1" x14ac:dyDescent="0.25">
      <c r="M5035"/>
      <c r="N5035"/>
      <c r="O5035"/>
      <c r="P5035" s="216"/>
      <c r="Q5035" s="217"/>
      <c r="R5035" s="217"/>
      <c r="S5035" s="218"/>
    </row>
    <row r="5036" spans="13:19" ht="15" customHeight="1" x14ac:dyDescent="0.25">
      <c r="M5036"/>
      <c r="N5036"/>
      <c r="O5036"/>
      <c r="P5036" s="216"/>
      <c r="Q5036" s="217"/>
      <c r="R5036" s="217"/>
      <c r="S5036" s="218"/>
    </row>
    <row r="5037" spans="13:19" ht="15" customHeight="1" x14ac:dyDescent="0.25">
      <c r="M5037"/>
      <c r="N5037"/>
      <c r="O5037"/>
      <c r="P5037" s="216"/>
      <c r="Q5037" s="217"/>
      <c r="R5037" s="217"/>
      <c r="S5037" s="218"/>
    </row>
    <row r="5038" spans="13:19" ht="15" customHeight="1" x14ac:dyDescent="0.25">
      <c r="M5038"/>
      <c r="N5038"/>
      <c r="O5038"/>
      <c r="P5038" s="216"/>
      <c r="Q5038" s="217"/>
      <c r="R5038" s="217"/>
      <c r="S5038" s="218"/>
    </row>
    <row r="5039" spans="13:19" ht="15" customHeight="1" x14ac:dyDescent="0.25">
      <c r="M5039"/>
      <c r="N5039"/>
      <c r="O5039"/>
      <c r="P5039" s="216"/>
      <c r="Q5039" s="217"/>
      <c r="R5039" s="217"/>
      <c r="S5039" s="218"/>
    </row>
    <row r="5040" spans="13:19" ht="15" customHeight="1" x14ac:dyDescent="0.25">
      <c r="M5040"/>
      <c r="N5040"/>
      <c r="O5040"/>
      <c r="P5040" s="216"/>
      <c r="Q5040" s="217"/>
      <c r="R5040" s="217"/>
      <c r="S5040" s="218"/>
    </row>
    <row r="5041" spans="13:19" ht="15" customHeight="1" x14ac:dyDescent="0.25">
      <c r="M5041"/>
      <c r="N5041"/>
      <c r="O5041"/>
      <c r="P5041" s="216"/>
      <c r="Q5041" s="217"/>
      <c r="R5041" s="217"/>
      <c r="S5041" s="218"/>
    </row>
    <row r="5042" spans="13:19" ht="15" customHeight="1" x14ac:dyDescent="0.25">
      <c r="M5042"/>
      <c r="N5042"/>
      <c r="O5042"/>
      <c r="P5042" s="216"/>
      <c r="Q5042" s="217"/>
      <c r="R5042" s="217"/>
      <c r="S5042" s="218"/>
    </row>
    <row r="5043" spans="13:19" ht="15" customHeight="1" x14ac:dyDescent="0.25">
      <c r="M5043"/>
      <c r="N5043"/>
      <c r="O5043"/>
      <c r="P5043" s="216"/>
      <c r="Q5043" s="217"/>
      <c r="R5043" s="217"/>
      <c r="S5043" s="218"/>
    </row>
    <row r="5044" spans="13:19" ht="15" customHeight="1" x14ac:dyDescent="0.25">
      <c r="M5044"/>
      <c r="N5044"/>
      <c r="O5044"/>
      <c r="P5044" s="216"/>
      <c r="Q5044" s="217"/>
      <c r="R5044" s="217"/>
      <c r="S5044" s="218"/>
    </row>
    <row r="5045" spans="13:19" ht="15" customHeight="1" x14ac:dyDescent="0.25">
      <c r="M5045"/>
      <c r="N5045"/>
      <c r="O5045"/>
      <c r="P5045" s="216"/>
      <c r="Q5045" s="217"/>
      <c r="R5045" s="217"/>
      <c r="S5045" s="218"/>
    </row>
    <row r="5046" spans="13:19" ht="15" customHeight="1" x14ac:dyDescent="0.25">
      <c r="M5046"/>
      <c r="N5046"/>
      <c r="O5046"/>
      <c r="P5046" s="216"/>
      <c r="Q5046" s="217"/>
      <c r="R5046" s="217"/>
      <c r="S5046" s="218"/>
    </row>
    <row r="5047" spans="13:19" ht="15" customHeight="1" x14ac:dyDescent="0.25">
      <c r="M5047"/>
      <c r="N5047"/>
      <c r="O5047"/>
      <c r="P5047" s="216"/>
      <c r="Q5047" s="217"/>
      <c r="R5047" s="217"/>
      <c r="S5047" s="218"/>
    </row>
    <row r="5048" spans="13:19" ht="15" customHeight="1" x14ac:dyDescent="0.25">
      <c r="M5048"/>
      <c r="N5048"/>
      <c r="O5048"/>
      <c r="P5048" s="216"/>
      <c r="Q5048" s="217"/>
      <c r="R5048" s="217"/>
      <c r="S5048" s="218"/>
    </row>
    <row r="5049" spans="13:19" ht="15" customHeight="1" x14ac:dyDescent="0.25">
      <c r="M5049"/>
      <c r="N5049"/>
      <c r="O5049"/>
      <c r="P5049" s="216"/>
      <c r="Q5049" s="217"/>
      <c r="R5049" s="217"/>
      <c r="S5049" s="218"/>
    </row>
    <row r="5050" spans="13:19" ht="15" customHeight="1" x14ac:dyDescent="0.25">
      <c r="M5050"/>
      <c r="N5050"/>
      <c r="O5050"/>
      <c r="P5050" s="216"/>
      <c r="Q5050" s="217"/>
      <c r="R5050" s="217"/>
      <c r="S5050" s="218"/>
    </row>
    <row r="5051" spans="13:19" ht="15" customHeight="1" x14ac:dyDescent="0.25">
      <c r="M5051"/>
      <c r="N5051"/>
      <c r="O5051"/>
      <c r="P5051" s="216"/>
      <c r="Q5051" s="217"/>
      <c r="R5051" s="217"/>
      <c r="S5051" s="218"/>
    </row>
    <row r="5052" spans="13:19" ht="15" customHeight="1" x14ac:dyDescent="0.25">
      <c r="M5052"/>
      <c r="N5052"/>
      <c r="O5052"/>
      <c r="P5052" s="216"/>
      <c r="Q5052" s="217"/>
      <c r="R5052" s="217"/>
      <c r="S5052" s="218"/>
    </row>
    <row r="5053" spans="13:19" ht="15" customHeight="1" x14ac:dyDescent="0.25">
      <c r="M5053"/>
      <c r="N5053"/>
      <c r="O5053"/>
      <c r="P5053" s="216"/>
      <c r="Q5053" s="217"/>
      <c r="R5053" s="217"/>
      <c r="S5053" s="218"/>
    </row>
    <row r="5054" spans="13:19" ht="15" customHeight="1" x14ac:dyDescent="0.25">
      <c r="M5054"/>
      <c r="N5054"/>
      <c r="O5054"/>
      <c r="P5054" s="216"/>
      <c r="Q5054" s="217"/>
      <c r="R5054" s="217"/>
      <c r="S5054" s="218"/>
    </row>
    <row r="5055" spans="13:19" ht="15" customHeight="1" x14ac:dyDescent="0.25">
      <c r="M5055"/>
      <c r="N5055"/>
      <c r="O5055"/>
      <c r="P5055" s="216"/>
      <c r="Q5055" s="217"/>
      <c r="R5055" s="217"/>
      <c r="S5055" s="218"/>
    </row>
    <row r="5056" spans="13:19" ht="15" customHeight="1" x14ac:dyDescent="0.25">
      <c r="M5056"/>
      <c r="N5056"/>
      <c r="O5056"/>
      <c r="P5056" s="216"/>
      <c r="Q5056" s="217"/>
      <c r="R5056" s="217"/>
      <c r="S5056" s="218"/>
    </row>
    <row r="5057" spans="13:19" ht="15" customHeight="1" x14ac:dyDescent="0.25">
      <c r="M5057"/>
      <c r="N5057"/>
      <c r="O5057"/>
      <c r="P5057" s="216"/>
      <c r="Q5057" s="217"/>
      <c r="R5057" s="217"/>
      <c r="S5057" s="218"/>
    </row>
    <row r="5058" spans="13:19" ht="15" customHeight="1" x14ac:dyDescent="0.25">
      <c r="M5058"/>
      <c r="N5058"/>
      <c r="O5058"/>
      <c r="P5058" s="216"/>
      <c r="Q5058" s="217"/>
      <c r="R5058" s="217"/>
      <c r="S5058" s="218"/>
    </row>
    <row r="5059" spans="13:19" ht="15" customHeight="1" x14ac:dyDescent="0.25">
      <c r="M5059"/>
      <c r="N5059"/>
      <c r="O5059"/>
      <c r="P5059" s="216"/>
      <c r="Q5059" s="217"/>
      <c r="R5059" s="217"/>
      <c r="S5059" s="218"/>
    </row>
    <row r="5060" spans="13:19" ht="15" customHeight="1" x14ac:dyDescent="0.25">
      <c r="M5060"/>
      <c r="N5060"/>
      <c r="O5060"/>
      <c r="P5060" s="216"/>
      <c r="Q5060" s="217"/>
      <c r="R5060" s="217"/>
      <c r="S5060" s="218"/>
    </row>
    <row r="5061" spans="13:19" ht="15" customHeight="1" x14ac:dyDescent="0.25">
      <c r="M5061"/>
      <c r="N5061"/>
      <c r="O5061"/>
      <c r="P5061" s="216"/>
      <c r="Q5061" s="217"/>
      <c r="R5061" s="217"/>
      <c r="S5061" s="218"/>
    </row>
    <row r="5062" spans="13:19" ht="15" customHeight="1" x14ac:dyDescent="0.25">
      <c r="M5062"/>
      <c r="N5062"/>
      <c r="O5062"/>
      <c r="P5062" s="216"/>
      <c r="Q5062" s="217"/>
      <c r="R5062" s="217"/>
      <c r="S5062" s="218"/>
    </row>
    <row r="5063" spans="13:19" ht="15" customHeight="1" x14ac:dyDescent="0.25">
      <c r="M5063"/>
      <c r="N5063"/>
      <c r="O5063"/>
      <c r="P5063" s="216"/>
      <c r="Q5063" s="217"/>
      <c r="R5063" s="217"/>
      <c r="S5063" s="218"/>
    </row>
    <row r="5064" spans="13:19" ht="15" customHeight="1" x14ac:dyDescent="0.25">
      <c r="M5064"/>
      <c r="N5064"/>
      <c r="O5064"/>
      <c r="P5064" s="216"/>
      <c r="Q5064" s="217"/>
      <c r="R5064" s="217"/>
      <c r="S5064" s="218"/>
    </row>
    <row r="5065" spans="13:19" ht="15" customHeight="1" x14ac:dyDescent="0.25">
      <c r="M5065"/>
      <c r="N5065"/>
      <c r="O5065"/>
      <c r="P5065" s="216"/>
      <c r="Q5065" s="217"/>
      <c r="R5065" s="217"/>
      <c r="S5065" s="218"/>
    </row>
    <row r="5066" spans="13:19" ht="15" customHeight="1" x14ac:dyDescent="0.25">
      <c r="M5066"/>
      <c r="N5066"/>
      <c r="O5066"/>
      <c r="P5066" s="216"/>
      <c r="Q5066" s="217"/>
      <c r="R5066" s="217"/>
      <c r="S5066" s="218"/>
    </row>
    <row r="5067" spans="13:19" ht="15" customHeight="1" x14ac:dyDescent="0.25">
      <c r="M5067"/>
      <c r="N5067"/>
      <c r="O5067"/>
      <c r="P5067" s="216"/>
      <c r="Q5067" s="217"/>
      <c r="R5067" s="217"/>
      <c r="S5067" s="218"/>
    </row>
    <row r="5068" spans="13:19" ht="15" customHeight="1" x14ac:dyDescent="0.25">
      <c r="M5068"/>
      <c r="N5068"/>
      <c r="O5068"/>
      <c r="P5068" s="216"/>
      <c r="Q5068" s="217"/>
      <c r="R5068" s="217"/>
      <c r="S5068" s="218"/>
    </row>
    <row r="5069" spans="13:19" ht="15" customHeight="1" x14ac:dyDescent="0.25">
      <c r="M5069"/>
      <c r="N5069"/>
      <c r="O5069"/>
      <c r="P5069" s="216"/>
      <c r="Q5069" s="217"/>
      <c r="R5069" s="217"/>
      <c r="S5069" s="218"/>
    </row>
    <row r="5070" spans="13:19" ht="15" customHeight="1" x14ac:dyDescent="0.25">
      <c r="M5070"/>
      <c r="N5070"/>
      <c r="O5070"/>
      <c r="P5070" s="216"/>
      <c r="Q5070" s="217"/>
      <c r="R5070" s="217"/>
      <c r="S5070" s="218"/>
    </row>
    <row r="5071" spans="13:19" ht="15" customHeight="1" x14ac:dyDescent="0.25">
      <c r="M5071"/>
      <c r="N5071"/>
      <c r="O5071"/>
      <c r="P5071" s="216"/>
      <c r="Q5071" s="217"/>
      <c r="R5071" s="217"/>
      <c r="S5071" s="218"/>
    </row>
    <row r="5072" spans="13:19" ht="15" customHeight="1" x14ac:dyDescent="0.25">
      <c r="M5072"/>
      <c r="N5072"/>
      <c r="O5072"/>
      <c r="P5072" s="216"/>
      <c r="Q5072" s="217"/>
      <c r="R5072" s="217"/>
      <c r="S5072" s="218"/>
    </row>
    <row r="5073" spans="13:19" ht="15" customHeight="1" x14ac:dyDescent="0.25">
      <c r="M5073"/>
      <c r="N5073"/>
      <c r="O5073"/>
      <c r="P5073" s="216"/>
      <c r="Q5073" s="217"/>
      <c r="R5073" s="217"/>
      <c r="S5073" s="218"/>
    </row>
    <row r="5074" spans="13:19" ht="15" customHeight="1" x14ac:dyDescent="0.25">
      <c r="M5074"/>
      <c r="N5074"/>
      <c r="O5074"/>
      <c r="P5074" s="216"/>
      <c r="Q5074" s="217"/>
      <c r="R5074" s="217"/>
      <c r="S5074" s="218"/>
    </row>
    <row r="5075" spans="13:19" ht="15" customHeight="1" x14ac:dyDescent="0.25">
      <c r="M5075"/>
      <c r="N5075"/>
      <c r="O5075"/>
      <c r="P5075" s="216"/>
      <c r="Q5075" s="217"/>
      <c r="R5075" s="217"/>
      <c r="S5075" s="218"/>
    </row>
    <row r="5076" spans="13:19" ht="15" customHeight="1" x14ac:dyDescent="0.25">
      <c r="M5076"/>
      <c r="N5076"/>
      <c r="O5076"/>
      <c r="P5076" s="216"/>
      <c r="Q5076" s="217"/>
      <c r="R5076" s="217"/>
      <c r="S5076" s="218"/>
    </row>
    <row r="5077" spans="13:19" ht="15" customHeight="1" x14ac:dyDescent="0.25">
      <c r="M5077"/>
      <c r="N5077"/>
      <c r="O5077"/>
      <c r="P5077" s="216"/>
      <c r="Q5077" s="217"/>
      <c r="R5077" s="217"/>
      <c r="S5077" s="218"/>
    </row>
    <row r="5078" spans="13:19" ht="15" customHeight="1" x14ac:dyDescent="0.25">
      <c r="M5078"/>
      <c r="N5078"/>
      <c r="O5078"/>
      <c r="P5078" s="216"/>
      <c r="Q5078" s="217"/>
      <c r="R5078" s="217"/>
      <c r="S5078" s="218"/>
    </row>
    <row r="5079" spans="13:19" ht="15" customHeight="1" x14ac:dyDescent="0.25">
      <c r="M5079"/>
      <c r="N5079"/>
      <c r="O5079"/>
      <c r="P5079" s="216"/>
      <c r="Q5079" s="217"/>
      <c r="R5079" s="217"/>
      <c r="S5079" s="218"/>
    </row>
    <row r="5080" spans="13:19" ht="15" customHeight="1" x14ac:dyDescent="0.25">
      <c r="M5080"/>
      <c r="N5080"/>
      <c r="O5080"/>
      <c r="P5080" s="216"/>
      <c r="Q5080" s="217"/>
      <c r="R5080" s="217"/>
      <c r="S5080" s="218"/>
    </row>
    <row r="5081" spans="13:19" ht="15" customHeight="1" x14ac:dyDescent="0.25">
      <c r="M5081"/>
      <c r="N5081"/>
      <c r="O5081"/>
      <c r="P5081" s="216"/>
      <c r="Q5081" s="217"/>
      <c r="R5081" s="217"/>
      <c r="S5081" s="218"/>
    </row>
    <row r="5082" spans="13:19" ht="15" customHeight="1" x14ac:dyDescent="0.25">
      <c r="M5082"/>
      <c r="N5082"/>
      <c r="O5082"/>
      <c r="P5082" s="216"/>
      <c r="Q5082" s="217"/>
      <c r="R5082" s="217"/>
      <c r="S5082" s="218"/>
    </row>
    <row r="5083" spans="13:19" ht="15" customHeight="1" x14ac:dyDescent="0.25">
      <c r="M5083"/>
      <c r="N5083"/>
      <c r="O5083"/>
      <c r="P5083" s="216"/>
      <c r="Q5083" s="217"/>
      <c r="R5083" s="217"/>
      <c r="S5083" s="218"/>
    </row>
    <row r="5084" spans="13:19" ht="15" customHeight="1" x14ac:dyDescent="0.25">
      <c r="M5084"/>
      <c r="N5084"/>
      <c r="O5084"/>
      <c r="P5084" s="216"/>
      <c r="Q5084" s="217"/>
      <c r="R5084" s="217"/>
      <c r="S5084" s="218"/>
    </row>
    <row r="5085" spans="13:19" ht="15" customHeight="1" x14ac:dyDescent="0.25">
      <c r="M5085"/>
      <c r="N5085"/>
      <c r="O5085"/>
      <c r="P5085" s="216"/>
      <c r="Q5085" s="217"/>
      <c r="R5085" s="217"/>
      <c r="S5085" s="218"/>
    </row>
    <row r="5086" spans="13:19" ht="15" customHeight="1" x14ac:dyDescent="0.25">
      <c r="M5086"/>
      <c r="N5086"/>
      <c r="O5086"/>
      <c r="P5086" s="216"/>
      <c r="Q5086" s="217"/>
      <c r="R5086" s="217"/>
      <c r="S5086" s="218"/>
    </row>
    <row r="5087" spans="13:19" ht="15" customHeight="1" x14ac:dyDescent="0.25">
      <c r="M5087"/>
      <c r="N5087"/>
      <c r="O5087"/>
      <c r="P5087" s="216"/>
      <c r="Q5087" s="217"/>
      <c r="R5087" s="217"/>
      <c r="S5087" s="218"/>
    </row>
    <row r="5088" spans="13:19" ht="15" customHeight="1" x14ac:dyDescent="0.25">
      <c r="M5088"/>
      <c r="N5088"/>
      <c r="O5088"/>
      <c r="P5088" s="216"/>
      <c r="Q5088" s="217"/>
      <c r="R5088" s="217"/>
      <c r="S5088" s="218"/>
    </row>
    <row r="5089" spans="13:19" ht="15" customHeight="1" x14ac:dyDescent="0.25">
      <c r="M5089"/>
      <c r="N5089"/>
      <c r="O5089"/>
      <c r="P5089" s="216"/>
      <c r="Q5089" s="217"/>
      <c r="R5089" s="217"/>
      <c r="S5089" s="218"/>
    </row>
    <row r="5090" spans="13:19" ht="15" customHeight="1" x14ac:dyDescent="0.25">
      <c r="M5090"/>
      <c r="N5090"/>
      <c r="O5090"/>
      <c r="P5090" s="216"/>
      <c r="Q5090" s="217"/>
      <c r="R5090" s="217"/>
      <c r="S5090" s="218"/>
    </row>
    <row r="5091" spans="13:19" ht="15" customHeight="1" x14ac:dyDescent="0.25">
      <c r="M5091"/>
      <c r="N5091"/>
      <c r="O5091"/>
      <c r="P5091" s="216"/>
      <c r="Q5091" s="217"/>
      <c r="R5091" s="217"/>
      <c r="S5091" s="218"/>
    </row>
    <row r="5092" spans="13:19" ht="15" customHeight="1" x14ac:dyDescent="0.25">
      <c r="M5092"/>
      <c r="N5092"/>
      <c r="O5092"/>
      <c r="P5092" s="216"/>
      <c r="Q5092" s="217"/>
      <c r="R5092" s="217"/>
      <c r="S5092" s="218"/>
    </row>
    <row r="5093" spans="13:19" ht="15" customHeight="1" x14ac:dyDescent="0.25">
      <c r="M5093"/>
      <c r="N5093"/>
      <c r="O5093"/>
      <c r="P5093" s="216"/>
      <c r="Q5093" s="217"/>
      <c r="R5093" s="217"/>
      <c r="S5093" s="218"/>
    </row>
    <row r="5094" spans="13:19" ht="15" customHeight="1" x14ac:dyDescent="0.25">
      <c r="M5094"/>
      <c r="N5094"/>
      <c r="O5094"/>
      <c r="P5094" s="216"/>
      <c r="Q5094" s="217"/>
      <c r="R5094" s="217"/>
      <c r="S5094" s="218"/>
    </row>
    <row r="5095" spans="13:19" ht="15" customHeight="1" x14ac:dyDescent="0.25">
      <c r="M5095"/>
      <c r="N5095"/>
      <c r="O5095"/>
      <c r="P5095" s="216"/>
      <c r="Q5095" s="217"/>
      <c r="R5095" s="217"/>
      <c r="S5095" s="218"/>
    </row>
    <row r="5096" spans="13:19" ht="15" customHeight="1" x14ac:dyDescent="0.25">
      <c r="M5096"/>
      <c r="N5096"/>
      <c r="O5096"/>
      <c r="P5096" s="216"/>
      <c r="Q5096" s="217"/>
      <c r="R5096" s="217"/>
      <c r="S5096" s="218"/>
    </row>
    <row r="5097" spans="13:19" ht="15" customHeight="1" x14ac:dyDescent="0.25">
      <c r="M5097"/>
      <c r="N5097"/>
      <c r="O5097"/>
      <c r="P5097" s="216"/>
      <c r="Q5097" s="217"/>
      <c r="R5097" s="217"/>
      <c r="S5097" s="218"/>
    </row>
    <row r="5098" spans="13:19" ht="15" customHeight="1" x14ac:dyDescent="0.25">
      <c r="M5098"/>
      <c r="N5098"/>
      <c r="O5098"/>
      <c r="P5098" s="216"/>
      <c r="Q5098" s="217"/>
      <c r="R5098" s="217"/>
      <c r="S5098" s="218"/>
    </row>
    <row r="5099" spans="13:19" ht="15" customHeight="1" x14ac:dyDescent="0.25">
      <c r="M5099"/>
      <c r="N5099"/>
      <c r="O5099"/>
      <c r="P5099" s="216"/>
      <c r="Q5099" s="217"/>
      <c r="R5099" s="217"/>
      <c r="S5099" s="218"/>
    </row>
    <row r="5100" spans="13:19" ht="15" customHeight="1" x14ac:dyDescent="0.25">
      <c r="M5100"/>
      <c r="N5100"/>
      <c r="O5100"/>
      <c r="P5100" s="216"/>
      <c r="Q5100" s="217"/>
      <c r="R5100" s="217"/>
      <c r="S5100" s="218"/>
    </row>
    <row r="5101" spans="13:19" ht="15" customHeight="1" x14ac:dyDescent="0.25">
      <c r="M5101"/>
      <c r="N5101"/>
      <c r="O5101"/>
      <c r="P5101" s="216"/>
      <c r="Q5101" s="217"/>
      <c r="R5101" s="217"/>
      <c r="S5101" s="218"/>
    </row>
    <row r="5102" spans="13:19" ht="15" customHeight="1" x14ac:dyDescent="0.25">
      <c r="M5102"/>
      <c r="N5102"/>
      <c r="O5102"/>
      <c r="P5102" s="216"/>
      <c r="Q5102" s="217"/>
      <c r="R5102" s="217"/>
      <c r="S5102" s="218"/>
    </row>
    <row r="5103" spans="13:19" ht="15" customHeight="1" x14ac:dyDescent="0.25">
      <c r="M5103"/>
      <c r="N5103"/>
      <c r="O5103"/>
      <c r="P5103" s="216"/>
      <c r="Q5103" s="217"/>
      <c r="R5103" s="217"/>
      <c r="S5103" s="218"/>
    </row>
    <row r="5104" spans="13:19" ht="15" customHeight="1" x14ac:dyDescent="0.25">
      <c r="M5104"/>
      <c r="N5104"/>
      <c r="O5104"/>
      <c r="P5104" s="216"/>
      <c r="Q5104" s="217"/>
      <c r="R5104" s="217"/>
      <c r="S5104" s="218"/>
    </row>
    <row r="5105" spans="13:19" ht="15" customHeight="1" x14ac:dyDescent="0.25">
      <c r="M5105"/>
      <c r="N5105"/>
      <c r="O5105"/>
      <c r="P5105" s="216"/>
      <c r="Q5105" s="217"/>
      <c r="R5105" s="217"/>
      <c r="S5105" s="218"/>
    </row>
    <row r="5106" spans="13:19" ht="15" customHeight="1" x14ac:dyDescent="0.25">
      <c r="M5106"/>
      <c r="N5106"/>
      <c r="O5106"/>
      <c r="P5106" s="216"/>
      <c r="Q5106" s="217"/>
      <c r="R5106" s="217"/>
      <c r="S5106" s="218"/>
    </row>
    <row r="5107" spans="13:19" ht="15" customHeight="1" x14ac:dyDescent="0.25">
      <c r="M5107"/>
      <c r="N5107"/>
      <c r="O5107"/>
      <c r="P5107" s="216"/>
      <c r="Q5107" s="217"/>
      <c r="R5107" s="217"/>
      <c r="S5107" s="218"/>
    </row>
    <row r="5108" spans="13:19" ht="15" customHeight="1" x14ac:dyDescent="0.25">
      <c r="M5108"/>
      <c r="N5108"/>
      <c r="O5108"/>
      <c r="P5108" s="216"/>
      <c r="Q5108" s="217"/>
      <c r="R5108" s="217"/>
      <c r="S5108" s="218"/>
    </row>
    <row r="5109" spans="13:19" ht="15" customHeight="1" x14ac:dyDescent="0.25">
      <c r="M5109"/>
      <c r="N5109"/>
      <c r="O5109"/>
      <c r="P5109" s="216"/>
      <c r="Q5109" s="217"/>
      <c r="R5109" s="217"/>
      <c r="S5109" s="218"/>
    </row>
    <row r="5110" spans="13:19" ht="15" customHeight="1" x14ac:dyDescent="0.25">
      <c r="M5110"/>
      <c r="N5110"/>
      <c r="O5110"/>
      <c r="P5110" s="216"/>
      <c r="Q5110" s="217"/>
      <c r="R5110" s="217"/>
      <c r="S5110" s="218"/>
    </row>
    <row r="5111" spans="13:19" ht="15" customHeight="1" x14ac:dyDescent="0.25">
      <c r="M5111"/>
      <c r="N5111"/>
      <c r="O5111"/>
      <c r="P5111" s="216"/>
      <c r="Q5111" s="217"/>
      <c r="R5111" s="217"/>
      <c r="S5111" s="218"/>
    </row>
    <row r="5112" spans="13:19" ht="15" customHeight="1" x14ac:dyDescent="0.25">
      <c r="M5112"/>
      <c r="N5112"/>
      <c r="O5112"/>
      <c r="P5112" s="216"/>
      <c r="Q5112" s="217"/>
      <c r="R5112" s="217"/>
      <c r="S5112" s="218"/>
    </row>
    <row r="5113" spans="13:19" ht="15" customHeight="1" x14ac:dyDescent="0.25">
      <c r="M5113"/>
      <c r="N5113"/>
      <c r="O5113"/>
      <c r="P5113" s="216"/>
      <c r="Q5113" s="217"/>
      <c r="R5113" s="217"/>
      <c r="S5113" s="218"/>
    </row>
    <row r="5114" spans="13:19" ht="15" customHeight="1" x14ac:dyDescent="0.25">
      <c r="M5114"/>
      <c r="N5114"/>
      <c r="O5114"/>
      <c r="P5114" s="216"/>
      <c r="Q5114" s="217"/>
      <c r="R5114" s="217"/>
      <c r="S5114" s="218"/>
    </row>
    <row r="5115" spans="13:19" ht="15" customHeight="1" x14ac:dyDescent="0.25">
      <c r="M5115"/>
      <c r="N5115"/>
      <c r="O5115"/>
      <c r="P5115" s="216"/>
      <c r="Q5115" s="217"/>
      <c r="R5115" s="217"/>
      <c r="S5115" s="218"/>
    </row>
    <row r="5116" spans="13:19" ht="15" customHeight="1" x14ac:dyDescent="0.25">
      <c r="M5116"/>
      <c r="N5116"/>
      <c r="O5116"/>
      <c r="P5116" s="216"/>
      <c r="Q5116" s="217"/>
      <c r="R5116" s="217"/>
      <c r="S5116" s="218"/>
    </row>
    <row r="5117" spans="13:19" ht="15" customHeight="1" x14ac:dyDescent="0.25">
      <c r="M5117"/>
      <c r="N5117"/>
      <c r="O5117"/>
      <c r="P5117" s="216"/>
      <c r="Q5117" s="217"/>
      <c r="R5117" s="217"/>
      <c r="S5117" s="218"/>
    </row>
    <row r="5118" spans="13:19" ht="15" customHeight="1" x14ac:dyDescent="0.25">
      <c r="M5118"/>
      <c r="N5118"/>
      <c r="O5118"/>
      <c r="P5118" s="216"/>
      <c r="Q5118" s="217"/>
      <c r="R5118" s="217"/>
      <c r="S5118" s="218"/>
    </row>
    <row r="5119" spans="13:19" ht="15" customHeight="1" x14ac:dyDescent="0.25">
      <c r="M5119"/>
      <c r="N5119"/>
      <c r="O5119"/>
      <c r="P5119" s="216"/>
      <c r="Q5119" s="217"/>
      <c r="R5119" s="217"/>
      <c r="S5119" s="218"/>
    </row>
    <row r="5120" spans="13:19" ht="15" customHeight="1" x14ac:dyDescent="0.25">
      <c r="M5120"/>
      <c r="N5120"/>
      <c r="O5120"/>
      <c r="P5120" s="216"/>
      <c r="Q5120" s="217"/>
      <c r="R5120" s="217"/>
      <c r="S5120" s="218"/>
    </row>
    <row r="5121" spans="13:19" ht="15" customHeight="1" x14ac:dyDescent="0.25">
      <c r="M5121"/>
      <c r="N5121"/>
      <c r="O5121"/>
      <c r="P5121" s="216"/>
      <c r="Q5121" s="217"/>
      <c r="R5121" s="217"/>
      <c r="S5121" s="218"/>
    </row>
    <row r="5122" spans="13:19" ht="15" customHeight="1" x14ac:dyDescent="0.25">
      <c r="M5122"/>
      <c r="N5122"/>
      <c r="O5122"/>
      <c r="P5122" s="216"/>
      <c r="Q5122" s="217"/>
      <c r="R5122" s="217"/>
      <c r="S5122" s="218"/>
    </row>
    <row r="5123" spans="13:19" ht="15" customHeight="1" x14ac:dyDescent="0.25">
      <c r="M5123"/>
      <c r="N5123"/>
      <c r="O5123"/>
      <c r="P5123" s="216"/>
      <c r="Q5123" s="217"/>
      <c r="R5123" s="217"/>
      <c r="S5123" s="218"/>
    </row>
    <row r="5124" spans="13:19" ht="15" customHeight="1" x14ac:dyDescent="0.25">
      <c r="M5124"/>
      <c r="N5124"/>
      <c r="O5124"/>
      <c r="P5124" s="216"/>
      <c r="Q5124" s="217"/>
      <c r="R5124" s="217"/>
      <c r="S5124" s="218"/>
    </row>
    <row r="5125" spans="13:19" ht="15" customHeight="1" x14ac:dyDescent="0.25">
      <c r="M5125"/>
      <c r="N5125"/>
      <c r="O5125"/>
      <c r="P5125" s="216"/>
      <c r="Q5125" s="217"/>
      <c r="R5125" s="217"/>
      <c r="S5125" s="218"/>
    </row>
    <row r="5126" spans="13:19" ht="15" customHeight="1" x14ac:dyDescent="0.25">
      <c r="M5126"/>
      <c r="N5126"/>
      <c r="O5126"/>
      <c r="P5126" s="216"/>
      <c r="Q5126" s="217"/>
      <c r="R5126" s="217"/>
      <c r="S5126" s="218"/>
    </row>
    <row r="5127" spans="13:19" ht="15" customHeight="1" x14ac:dyDescent="0.25">
      <c r="M5127"/>
      <c r="N5127"/>
      <c r="O5127"/>
      <c r="P5127" s="216"/>
      <c r="Q5127" s="217"/>
      <c r="R5127" s="217"/>
      <c r="S5127" s="218"/>
    </row>
    <row r="5128" spans="13:19" ht="15" customHeight="1" x14ac:dyDescent="0.25">
      <c r="M5128"/>
      <c r="N5128"/>
      <c r="O5128"/>
      <c r="P5128" s="216"/>
      <c r="Q5128" s="217"/>
      <c r="R5128" s="217"/>
      <c r="S5128" s="218"/>
    </row>
    <row r="5129" spans="13:19" ht="15" customHeight="1" x14ac:dyDescent="0.25">
      <c r="M5129"/>
      <c r="N5129"/>
      <c r="O5129"/>
      <c r="P5129" s="216"/>
      <c r="Q5129" s="217"/>
      <c r="R5129" s="217"/>
      <c r="S5129" s="218"/>
    </row>
    <row r="5130" spans="13:19" ht="15" customHeight="1" x14ac:dyDescent="0.25">
      <c r="M5130"/>
      <c r="N5130"/>
      <c r="O5130"/>
      <c r="P5130" s="216"/>
      <c r="Q5130" s="217"/>
      <c r="R5130" s="217"/>
      <c r="S5130" s="218"/>
    </row>
    <row r="5131" spans="13:19" ht="15" customHeight="1" x14ac:dyDescent="0.25">
      <c r="M5131"/>
      <c r="N5131"/>
      <c r="O5131"/>
      <c r="P5131" s="216"/>
      <c r="Q5131" s="217"/>
      <c r="R5131" s="217"/>
      <c r="S5131" s="218"/>
    </row>
    <row r="5132" spans="13:19" ht="15" customHeight="1" x14ac:dyDescent="0.25">
      <c r="M5132"/>
      <c r="N5132"/>
      <c r="O5132"/>
      <c r="P5132" s="216"/>
      <c r="Q5132" s="217"/>
      <c r="R5132" s="217"/>
      <c r="S5132" s="218"/>
    </row>
    <row r="5133" spans="13:19" ht="15" customHeight="1" x14ac:dyDescent="0.25">
      <c r="M5133"/>
      <c r="N5133"/>
      <c r="O5133"/>
      <c r="P5133" s="216"/>
      <c r="Q5133" s="217"/>
      <c r="R5133" s="217"/>
      <c r="S5133" s="218"/>
    </row>
    <row r="5134" spans="13:19" ht="15" customHeight="1" x14ac:dyDescent="0.25">
      <c r="M5134"/>
      <c r="N5134"/>
      <c r="O5134"/>
      <c r="P5134" s="216"/>
      <c r="Q5134" s="217"/>
      <c r="R5134" s="217"/>
      <c r="S5134" s="218"/>
    </row>
    <row r="5135" spans="13:19" ht="15" customHeight="1" x14ac:dyDescent="0.25">
      <c r="M5135"/>
      <c r="N5135"/>
      <c r="O5135"/>
      <c r="P5135" s="216"/>
      <c r="Q5135" s="217"/>
      <c r="R5135" s="217"/>
      <c r="S5135" s="218"/>
    </row>
    <row r="5136" spans="13:19" ht="15" customHeight="1" x14ac:dyDescent="0.25">
      <c r="M5136"/>
      <c r="N5136"/>
      <c r="O5136"/>
      <c r="P5136" s="216"/>
      <c r="Q5136" s="217"/>
      <c r="R5136" s="217"/>
      <c r="S5136" s="218"/>
    </row>
    <row r="5137" spans="13:19" ht="15" customHeight="1" x14ac:dyDescent="0.25">
      <c r="M5137"/>
      <c r="N5137"/>
      <c r="O5137"/>
      <c r="P5137" s="216"/>
      <c r="Q5137" s="217"/>
      <c r="R5137" s="217"/>
      <c r="S5137" s="218"/>
    </row>
    <row r="5138" spans="13:19" ht="15" customHeight="1" x14ac:dyDescent="0.25">
      <c r="M5138"/>
      <c r="N5138"/>
      <c r="O5138"/>
      <c r="P5138" s="216"/>
      <c r="Q5138" s="217"/>
      <c r="R5138" s="217"/>
      <c r="S5138" s="218"/>
    </row>
    <row r="5139" spans="13:19" ht="15" customHeight="1" x14ac:dyDescent="0.25">
      <c r="M5139"/>
      <c r="N5139"/>
      <c r="O5139"/>
      <c r="P5139" s="216"/>
      <c r="Q5139" s="217"/>
      <c r="R5139" s="217"/>
      <c r="S5139" s="218"/>
    </row>
    <row r="5140" spans="13:19" ht="15" customHeight="1" x14ac:dyDescent="0.25">
      <c r="M5140"/>
      <c r="N5140"/>
      <c r="O5140"/>
      <c r="P5140" s="216"/>
      <c r="Q5140" s="217"/>
      <c r="R5140" s="217"/>
      <c r="S5140" s="218"/>
    </row>
    <row r="5141" spans="13:19" ht="15" customHeight="1" x14ac:dyDescent="0.25">
      <c r="M5141"/>
      <c r="N5141"/>
      <c r="O5141"/>
      <c r="P5141" s="216"/>
      <c r="Q5141" s="217"/>
      <c r="R5141" s="217"/>
      <c r="S5141" s="218"/>
    </row>
    <row r="5142" spans="13:19" ht="15" customHeight="1" x14ac:dyDescent="0.25">
      <c r="M5142"/>
      <c r="N5142"/>
      <c r="O5142"/>
      <c r="P5142" s="216"/>
      <c r="Q5142" s="217"/>
      <c r="R5142" s="217"/>
      <c r="S5142" s="218"/>
    </row>
    <row r="5143" spans="13:19" ht="15" customHeight="1" x14ac:dyDescent="0.25">
      <c r="M5143"/>
      <c r="N5143"/>
      <c r="O5143"/>
      <c r="P5143" s="216"/>
      <c r="Q5143" s="217"/>
      <c r="R5143" s="217"/>
      <c r="S5143" s="218"/>
    </row>
    <row r="5144" spans="13:19" ht="15" customHeight="1" x14ac:dyDescent="0.25">
      <c r="M5144"/>
      <c r="N5144"/>
      <c r="O5144"/>
      <c r="P5144" s="216"/>
      <c r="Q5144" s="217"/>
      <c r="R5144" s="217"/>
      <c r="S5144" s="218"/>
    </row>
    <row r="5145" spans="13:19" ht="15" customHeight="1" x14ac:dyDescent="0.25">
      <c r="M5145"/>
      <c r="N5145"/>
      <c r="O5145"/>
      <c r="P5145" s="216"/>
      <c r="Q5145" s="217"/>
      <c r="R5145" s="217"/>
      <c r="S5145" s="218"/>
    </row>
    <row r="5146" spans="13:19" ht="15" customHeight="1" x14ac:dyDescent="0.25">
      <c r="M5146"/>
      <c r="N5146"/>
      <c r="O5146"/>
      <c r="P5146" s="216"/>
      <c r="Q5146" s="217"/>
      <c r="R5146" s="217"/>
      <c r="S5146" s="218"/>
    </row>
    <row r="5147" spans="13:19" ht="15" customHeight="1" x14ac:dyDescent="0.25">
      <c r="M5147"/>
      <c r="N5147"/>
      <c r="O5147"/>
      <c r="P5147" s="216"/>
      <c r="Q5147" s="217"/>
      <c r="R5147" s="217"/>
      <c r="S5147" s="218"/>
    </row>
    <row r="5148" spans="13:19" ht="15" customHeight="1" x14ac:dyDescent="0.25">
      <c r="M5148"/>
      <c r="N5148"/>
      <c r="O5148"/>
      <c r="P5148" s="216"/>
      <c r="Q5148" s="217"/>
      <c r="R5148" s="217"/>
      <c r="S5148" s="218"/>
    </row>
    <row r="5149" spans="13:19" ht="15" customHeight="1" x14ac:dyDescent="0.25">
      <c r="M5149"/>
      <c r="N5149"/>
      <c r="O5149"/>
      <c r="P5149" s="216"/>
      <c r="Q5149" s="217"/>
      <c r="R5149" s="217"/>
      <c r="S5149" s="218"/>
    </row>
    <row r="5150" spans="13:19" ht="15" customHeight="1" x14ac:dyDescent="0.25">
      <c r="M5150"/>
      <c r="N5150"/>
      <c r="O5150"/>
      <c r="P5150" s="216"/>
      <c r="Q5150" s="217"/>
      <c r="R5150" s="217"/>
      <c r="S5150" s="218"/>
    </row>
    <row r="5151" spans="13:19" ht="15" customHeight="1" x14ac:dyDescent="0.25">
      <c r="M5151"/>
      <c r="N5151"/>
      <c r="O5151"/>
      <c r="P5151" s="216"/>
      <c r="Q5151" s="217"/>
      <c r="R5151" s="217"/>
      <c r="S5151" s="218"/>
    </row>
    <row r="5152" spans="13:19" ht="15" customHeight="1" x14ac:dyDescent="0.25">
      <c r="M5152"/>
      <c r="N5152"/>
      <c r="O5152"/>
      <c r="P5152" s="216"/>
      <c r="Q5152" s="217"/>
      <c r="R5152" s="217"/>
      <c r="S5152" s="218"/>
    </row>
    <row r="5153" spans="13:19" ht="15" customHeight="1" x14ac:dyDescent="0.25">
      <c r="M5153"/>
      <c r="N5153"/>
      <c r="O5153"/>
      <c r="P5153" s="216"/>
      <c r="Q5153" s="217"/>
      <c r="R5153" s="217"/>
      <c r="S5153" s="218"/>
    </row>
    <row r="5154" spans="13:19" ht="15" customHeight="1" x14ac:dyDescent="0.25">
      <c r="M5154"/>
      <c r="N5154"/>
      <c r="O5154"/>
      <c r="P5154" s="216"/>
      <c r="Q5154" s="217"/>
      <c r="R5154" s="217"/>
      <c r="S5154" s="218"/>
    </row>
    <row r="5155" spans="13:19" ht="15" customHeight="1" x14ac:dyDescent="0.25">
      <c r="M5155"/>
      <c r="N5155"/>
      <c r="O5155"/>
      <c r="P5155" s="216"/>
      <c r="Q5155" s="217"/>
      <c r="R5155" s="217"/>
      <c r="S5155" s="218"/>
    </row>
    <row r="5156" spans="13:19" ht="15" customHeight="1" x14ac:dyDescent="0.25">
      <c r="M5156"/>
      <c r="N5156"/>
      <c r="O5156"/>
      <c r="P5156" s="216"/>
      <c r="Q5156" s="217"/>
      <c r="R5156" s="217"/>
      <c r="S5156" s="218"/>
    </row>
    <row r="5157" spans="13:19" ht="15" customHeight="1" x14ac:dyDescent="0.25">
      <c r="M5157"/>
      <c r="N5157"/>
      <c r="O5157"/>
      <c r="P5157" s="216"/>
      <c r="Q5157" s="217"/>
      <c r="R5157" s="217"/>
      <c r="S5157" s="218"/>
    </row>
    <row r="5158" spans="13:19" ht="15" customHeight="1" x14ac:dyDescent="0.25">
      <c r="M5158"/>
      <c r="N5158"/>
      <c r="O5158"/>
      <c r="P5158" s="216"/>
      <c r="Q5158" s="217"/>
      <c r="R5158" s="217"/>
      <c r="S5158" s="218"/>
    </row>
    <row r="5159" spans="13:19" ht="15" customHeight="1" x14ac:dyDescent="0.25">
      <c r="M5159"/>
      <c r="N5159"/>
      <c r="O5159"/>
      <c r="P5159" s="216"/>
      <c r="Q5159" s="217"/>
      <c r="R5159" s="217"/>
      <c r="S5159" s="218"/>
    </row>
    <row r="5160" spans="13:19" ht="15" customHeight="1" x14ac:dyDescent="0.25">
      <c r="M5160"/>
      <c r="N5160"/>
      <c r="O5160"/>
      <c r="P5160" s="216"/>
      <c r="Q5160" s="217"/>
      <c r="R5160" s="217"/>
      <c r="S5160" s="218"/>
    </row>
    <row r="5161" spans="13:19" ht="15" customHeight="1" x14ac:dyDescent="0.25">
      <c r="M5161"/>
      <c r="N5161"/>
      <c r="O5161"/>
      <c r="P5161" s="216"/>
      <c r="Q5161" s="217"/>
      <c r="R5161" s="217"/>
      <c r="S5161" s="218"/>
    </row>
    <row r="5162" spans="13:19" ht="15" customHeight="1" x14ac:dyDescent="0.25">
      <c r="M5162"/>
      <c r="N5162"/>
      <c r="O5162"/>
      <c r="P5162" s="216"/>
      <c r="Q5162" s="217"/>
      <c r="R5162" s="217"/>
      <c r="S5162" s="218"/>
    </row>
    <row r="5163" spans="13:19" ht="15" customHeight="1" x14ac:dyDescent="0.25">
      <c r="M5163"/>
      <c r="N5163"/>
      <c r="O5163"/>
      <c r="P5163" s="216"/>
      <c r="Q5163" s="217"/>
      <c r="R5163" s="217"/>
      <c r="S5163" s="218"/>
    </row>
    <row r="5164" spans="13:19" ht="15" customHeight="1" x14ac:dyDescent="0.25">
      <c r="M5164"/>
      <c r="N5164"/>
      <c r="O5164"/>
      <c r="P5164" s="216"/>
      <c r="Q5164" s="217"/>
      <c r="R5164" s="217"/>
      <c r="S5164" s="218"/>
    </row>
    <row r="5165" spans="13:19" ht="15" customHeight="1" x14ac:dyDescent="0.25">
      <c r="M5165"/>
      <c r="N5165"/>
      <c r="O5165"/>
      <c r="P5165" s="216"/>
      <c r="Q5165" s="217"/>
      <c r="R5165" s="217"/>
      <c r="S5165" s="218"/>
    </row>
    <row r="5166" spans="13:19" ht="15" customHeight="1" x14ac:dyDescent="0.25">
      <c r="M5166"/>
      <c r="N5166"/>
      <c r="O5166"/>
      <c r="P5166" s="216"/>
      <c r="Q5166" s="217"/>
      <c r="R5166" s="217"/>
      <c r="S5166" s="218"/>
    </row>
    <row r="5167" spans="13:19" ht="15" customHeight="1" x14ac:dyDescent="0.25">
      <c r="M5167"/>
      <c r="N5167"/>
      <c r="O5167"/>
      <c r="P5167" s="216"/>
      <c r="Q5167" s="217"/>
      <c r="R5167" s="217"/>
      <c r="S5167" s="218"/>
    </row>
    <row r="5168" spans="13:19" ht="15" customHeight="1" x14ac:dyDescent="0.25">
      <c r="M5168"/>
      <c r="N5168"/>
      <c r="O5168"/>
      <c r="P5168" s="216"/>
      <c r="Q5168" s="217"/>
      <c r="R5168" s="217"/>
      <c r="S5168" s="218"/>
    </row>
    <row r="5169" spans="13:19" ht="15" customHeight="1" x14ac:dyDescent="0.25">
      <c r="M5169"/>
      <c r="N5169"/>
      <c r="O5169"/>
      <c r="P5169" s="216"/>
      <c r="Q5169" s="217"/>
      <c r="R5169" s="217"/>
      <c r="S5169" s="218"/>
    </row>
    <row r="5170" spans="13:19" ht="15" customHeight="1" x14ac:dyDescent="0.25">
      <c r="M5170"/>
      <c r="N5170"/>
      <c r="O5170"/>
      <c r="P5170" s="216"/>
      <c r="Q5170" s="217"/>
      <c r="R5170" s="217"/>
      <c r="S5170" s="218"/>
    </row>
    <row r="5171" spans="13:19" ht="15" customHeight="1" x14ac:dyDescent="0.25">
      <c r="M5171"/>
      <c r="N5171"/>
      <c r="O5171"/>
      <c r="P5171" s="216"/>
      <c r="Q5171" s="217"/>
      <c r="R5171" s="217"/>
      <c r="S5171" s="218"/>
    </row>
    <row r="5172" spans="13:19" ht="15" customHeight="1" x14ac:dyDescent="0.25">
      <c r="M5172"/>
      <c r="N5172"/>
      <c r="O5172"/>
      <c r="P5172" s="216"/>
      <c r="Q5172" s="217"/>
      <c r="R5172" s="217"/>
      <c r="S5172" s="218"/>
    </row>
    <row r="5173" spans="13:19" ht="15" customHeight="1" x14ac:dyDescent="0.25">
      <c r="M5173"/>
      <c r="N5173"/>
      <c r="O5173"/>
      <c r="P5173" s="216"/>
      <c r="Q5173" s="217"/>
      <c r="R5173" s="217"/>
      <c r="S5173" s="218"/>
    </row>
    <row r="5174" spans="13:19" ht="15" customHeight="1" x14ac:dyDescent="0.25">
      <c r="M5174"/>
      <c r="N5174"/>
      <c r="O5174"/>
      <c r="P5174" s="216"/>
      <c r="Q5174" s="217"/>
      <c r="R5174" s="217"/>
      <c r="S5174" s="218"/>
    </row>
    <row r="5175" spans="13:19" ht="15" customHeight="1" x14ac:dyDescent="0.25">
      <c r="M5175"/>
      <c r="N5175"/>
      <c r="O5175"/>
      <c r="P5175" s="216"/>
      <c r="Q5175" s="217"/>
      <c r="R5175" s="217"/>
      <c r="S5175" s="218"/>
    </row>
    <row r="5176" spans="13:19" ht="15" customHeight="1" x14ac:dyDescent="0.25">
      <c r="M5176"/>
      <c r="N5176"/>
      <c r="O5176"/>
      <c r="P5176" s="216"/>
      <c r="Q5176" s="217"/>
      <c r="R5176" s="217"/>
      <c r="S5176" s="218"/>
    </row>
    <row r="5177" spans="13:19" ht="15" customHeight="1" x14ac:dyDescent="0.25">
      <c r="M5177"/>
      <c r="N5177"/>
      <c r="O5177"/>
      <c r="P5177" s="216"/>
      <c r="Q5177" s="217"/>
      <c r="R5177" s="217"/>
      <c r="S5177" s="218"/>
    </row>
    <row r="5178" spans="13:19" ht="15" customHeight="1" x14ac:dyDescent="0.25">
      <c r="M5178"/>
      <c r="N5178"/>
      <c r="O5178"/>
      <c r="P5178" s="216"/>
      <c r="Q5178" s="217"/>
      <c r="R5178" s="217"/>
      <c r="S5178" s="218"/>
    </row>
    <row r="5179" spans="13:19" ht="15" customHeight="1" x14ac:dyDescent="0.25">
      <c r="M5179"/>
      <c r="N5179"/>
      <c r="O5179"/>
      <c r="P5179" s="216"/>
      <c r="Q5179" s="217"/>
      <c r="R5179" s="217"/>
      <c r="S5179" s="218"/>
    </row>
    <row r="5180" spans="13:19" ht="15" customHeight="1" x14ac:dyDescent="0.25">
      <c r="M5180"/>
      <c r="N5180"/>
      <c r="O5180"/>
      <c r="P5180" s="216"/>
      <c r="Q5180" s="217"/>
      <c r="R5180" s="217"/>
      <c r="S5180" s="218"/>
    </row>
    <row r="5181" spans="13:19" ht="15" customHeight="1" x14ac:dyDescent="0.25">
      <c r="M5181"/>
      <c r="N5181"/>
      <c r="O5181"/>
      <c r="P5181" s="216"/>
      <c r="Q5181" s="217"/>
      <c r="R5181" s="217"/>
      <c r="S5181" s="218"/>
    </row>
    <row r="5182" spans="13:19" ht="15" customHeight="1" x14ac:dyDescent="0.25">
      <c r="M5182"/>
      <c r="N5182"/>
      <c r="O5182"/>
      <c r="P5182" s="216"/>
      <c r="Q5182" s="217"/>
      <c r="R5182" s="217"/>
      <c r="S5182" s="218"/>
    </row>
    <row r="5183" spans="13:19" ht="15" customHeight="1" x14ac:dyDescent="0.25">
      <c r="M5183"/>
      <c r="N5183"/>
      <c r="O5183"/>
      <c r="P5183" s="216"/>
      <c r="Q5183" s="217"/>
      <c r="R5183" s="217"/>
      <c r="S5183" s="218"/>
    </row>
    <row r="5184" spans="13:19" ht="15" customHeight="1" x14ac:dyDescent="0.25">
      <c r="M5184"/>
      <c r="N5184"/>
      <c r="O5184"/>
      <c r="P5184" s="216"/>
      <c r="Q5184" s="217"/>
      <c r="R5184" s="217"/>
      <c r="S5184" s="218"/>
    </row>
    <row r="5185" spans="13:19" ht="15" customHeight="1" x14ac:dyDescent="0.25">
      <c r="M5185"/>
      <c r="N5185"/>
      <c r="O5185"/>
      <c r="P5185" s="216"/>
      <c r="Q5185" s="217"/>
      <c r="R5185" s="217"/>
      <c r="S5185" s="218"/>
    </row>
    <row r="5186" spans="13:19" ht="15" customHeight="1" x14ac:dyDescent="0.25">
      <c r="M5186"/>
      <c r="N5186"/>
      <c r="O5186"/>
      <c r="P5186" s="216"/>
      <c r="Q5186" s="217"/>
      <c r="R5186" s="217"/>
      <c r="S5186" s="218"/>
    </row>
    <row r="5187" spans="13:19" ht="15" customHeight="1" x14ac:dyDescent="0.25">
      <c r="M5187"/>
      <c r="N5187"/>
      <c r="O5187"/>
      <c r="P5187" s="216"/>
      <c r="Q5187" s="217"/>
      <c r="R5187" s="217"/>
      <c r="S5187" s="218"/>
    </row>
    <row r="5188" spans="13:19" ht="15" customHeight="1" x14ac:dyDescent="0.25">
      <c r="M5188"/>
      <c r="N5188"/>
      <c r="O5188"/>
      <c r="P5188" s="216"/>
      <c r="Q5188" s="217"/>
      <c r="R5188" s="217"/>
      <c r="S5188" s="218"/>
    </row>
    <row r="5189" spans="13:19" ht="15" customHeight="1" x14ac:dyDescent="0.25">
      <c r="M5189"/>
      <c r="N5189"/>
      <c r="O5189"/>
      <c r="P5189" s="216"/>
      <c r="Q5189" s="217"/>
      <c r="R5189" s="217"/>
      <c r="S5189" s="218"/>
    </row>
    <row r="5190" spans="13:19" ht="15" customHeight="1" x14ac:dyDescent="0.25">
      <c r="M5190"/>
      <c r="N5190"/>
      <c r="O5190"/>
      <c r="P5190" s="216"/>
      <c r="Q5190" s="217"/>
      <c r="R5190" s="217"/>
      <c r="S5190" s="218"/>
    </row>
    <row r="5191" spans="13:19" ht="15" customHeight="1" x14ac:dyDescent="0.25">
      <c r="M5191"/>
      <c r="N5191"/>
      <c r="O5191"/>
      <c r="P5191" s="216"/>
      <c r="Q5191" s="217"/>
      <c r="R5191" s="217"/>
      <c r="S5191" s="218"/>
    </row>
    <row r="5192" spans="13:19" ht="15" customHeight="1" x14ac:dyDescent="0.25">
      <c r="M5192"/>
      <c r="N5192"/>
      <c r="O5192"/>
      <c r="P5192" s="216"/>
      <c r="Q5192" s="217"/>
      <c r="R5192" s="217"/>
      <c r="S5192" s="218"/>
    </row>
    <row r="5193" spans="13:19" ht="15" customHeight="1" x14ac:dyDescent="0.25">
      <c r="M5193"/>
      <c r="N5193"/>
      <c r="O5193"/>
      <c r="P5193" s="216"/>
      <c r="Q5193" s="217"/>
      <c r="R5193" s="217"/>
      <c r="S5193" s="218"/>
    </row>
    <row r="5194" spans="13:19" ht="15" customHeight="1" x14ac:dyDescent="0.25">
      <c r="M5194"/>
      <c r="N5194"/>
      <c r="O5194"/>
      <c r="P5194" s="216"/>
      <c r="Q5194" s="217"/>
      <c r="R5194" s="217"/>
      <c r="S5194" s="218"/>
    </row>
    <row r="5195" spans="13:19" ht="15" customHeight="1" x14ac:dyDescent="0.25">
      <c r="M5195"/>
      <c r="N5195"/>
      <c r="O5195"/>
      <c r="P5195" s="216"/>
      <c r="Q5195" s="217"/>
      <c r="R5195" s="217"/>
      <c r="S5195" s="218"/>
    </row>
    <row r="5196" spans="13:19" ht="15" customHeight="1" x14ac:dyDescent="0.25">
      <c r="M5196"/>
      <c r="N5196"/>
      <c r="O5196"/>
      <c r="P5196" s="216"/>
      <c r="Q5196" s="217"/>
      <c r="R5196" s="217"/>
      <c r="S5196" s="218"/>
    </row>
    <row r="5197" spans="13:19" ht="15" customHeight="1" x14ac:dyDescent="0.25">
      <c r="M5197"/>
      <c r="N5197"/>
      <c r="O5197"/>
      <c r="P5197" s="216"/>
      <c r="Q5197" s="217"/>
      <c r="R5197" s="217"/>
      <c r="S5197" s="218"/>
    </row>
    <row r="5198" spans="13:19" ht="15" customHeight="1" x14ac:dyDescent="0.25">
      <c r="M5198"/>
      <c r="N5198"/>
      <c r="O5198"/>
      <c r="P5198" s="216"/>
      <c r="Q5198" s="217"/>
      <c r="R5198" s="217"/>
      <c r="S5198" s="218"/>
    </row>
    <row r="5199" spans="13:19" ht="15" customHeight="1" x14ac:dyDescent="0.25">
      <c r="M5199"/>
      <c r="N5199"/>
      <c r="O5199"/>
      <c r="P5199" s="216"/>
      <c r="Q5199" s="217"/>
      <c r="R5199" s="217"/>
      <c r="S5199" s="218"/>
    </row>
    <row r="5200" spans="13:19" ht="15" customHeight="1" x14ac:dyDescent="0.25">
      <c r="M5200"/>
      <c r="N5200"/>
      <c r="O5200"/>
      <c r="P5200" s="216"/>
      <c r="Q5200" s="217"/>
      <c r="R5200" s="217"/>
      <c r="S5200" s="218"/>
    </row>
    <row r="5201" spans="13:19" ht="15" customHeight="1" x14ac:dyDescent="0.25">
      <c r="M5201"/>
      <c r="N5201"/>
      <c r="O5201"/>
      <c r="P5201" s="216"/>
      <c r="Q5201" s="217"/>
      <c r="R5201" s="217"/>
      <c r="S5201" s="218"/>
    </row>
    <row r="5202" spans="13:19" ht="15" customHeight="1" x14ac:dyDescent="0.25">
      <c r="M5202"/>
      <c r="N5202"/>
      <c r="O5202"/>
      <c r="P5202" s="216"/>
      <c r="Q5202" s="217"/>
      <c r="R5202" s="217"/>
      <c r="S5202" s="218"/>
    </row>
    <row r="5203" spans="13:19" ht="15" customHeight="1" x14ac:dyDescent="0.25">
      <c r="M5203"/>
      <c r="N5203"/>
      <c r="O5203"/>
      <c r="P5203" s="216"/>
      <c r="Q5203" s="217"/>
      <c r="R5203" s="217"/>
      <c r="S5203" s="218"/>
    </row>
    <row r="5204" spans="13:19" ht="15" customHeight="1" x14ac:dyDescent="0.25">
      <c r="M5204"/>
      <c r="N5204"/>
      <c r="O5204"/>
      <c r="P5204" s="216"/>
      <c r="Q5204" s="217"/>
      <c r="R5204" s="217"/>
      <c r="S5204" s="218"/>
    </row>
    <row r="5205" spans="13:19" ht="15" customHeight="1" x14ac:dyDescent="0.25">
      <c r="M5205"/>
      <c r="N5205"/>
      <c r="O5205"/>
      <c r="P5205" s="216"/>
      <c r="Q5205" s="217"/>
      <c r="R5205" s="217"/>
      <c r="S5205" s="218"/>
    </row>
    <row r="5206" spans="13:19" ht="15" customHeight="1" x14ac:dyDescent="0.25">
      <c r="M5206"/>
      <c r="N5206"/>
      <c r="O5206"/>
      <c r="P5206" s="216"/>
      <c r="Q5206" s="217"/>
      <c r="R5206" s="217"/>
      <c r="S5206" s="218"/>
    </row>
    <row r="5207" spans="13:19" ht="15" customHeight="1" x14ac:dyDescent="0.25">
      <c r="M5207"/>
      <c r="N5207"/>
      <c r="O5207"/>
      <c r="P5207" s="216"/>
      <c r="Q5207" s="217"/>
      <c r="R5207" s="217"/>
      <c r="S5207" s="218"/>
    </row>
    <row r="5208" spans="13:19" ht="15" customHeight="1" x14ac:dyDescent="0.25">
      <c r="M5208"/>
      <c r="N5208"/>
      <c r="O5208"/>
      <c r="P5208" s="216"/>
      <c r="Q5208" s="217"/>
      <c r="R5208" s="217"/>
      <c r="S5208" s="218"/>
    </row>
    <row r="5209" spans="13:19" ht="15" customHeight="1" x14ac:dyDescent="0.25">
      <c r="M5209"/>
      <c r="N5209"/>
      <c r="O5209"/>
      <c r="P5209" s="216"/>
      <c r="Q5209" s="217"/>
      <c r="R5209" s="217"/>
      <c r="S5209" s="218"/>
    </row>
    <row r="5210" spans="13:19" ht="15" customHeight="1" x14ac:dyDescent="0.25">
      <c r="M5210"/>
      <c r="N5210"/>
      <c r="O5210"/>
      <c r="P5210" s="216"/>
      <c r="Q5210" s="217"/>
      <c r="R5210" s="217"/>
      <c r="S5210" s="218"/>
    </row>
    <row r="5211" spans="13:19" ht="15" customHeight="1" x14ac:dyDescent="0.25">
      <c r="M5211"/>
      <c r="N5211"/>
      <c r="O5211"/>
      <c r="P5211" s="216"/>
      <c r="Q5211" s="217"/>
      <c r="R5211" s="217"/>
      <c r="S5211" s="218"/>
    </row>
    <row r="5212" spans="13:19" ht="15" customHeight="1" x14ac:dyDescent="0.25">
      <c r="M5212"/>
      <c r="N5212"/>
      <c r="O5212"/>
      <c r="P5212" s="216"/>
      <c r="Q5212" s="217"/>
      <c r="R5212" s="217"/>
      <c r="S5212" s="218"/>
    </row>
    <row r="5213" spans="13:19" ht="15" customHeight="1" x14ac:dyDescent="0.25">
      <c r="M5213"/>
      <c r="N5213"/>
      <c r="O5213"/>
      <c r="P5213" s="216"/>
      <c r="Q5213" s="217"/>
      <c r="R5213" s="217"/>
      <c r="S5213" s="218"/>
    </row>
    <row r="5214" spans="13:19" ht="15" customHeight="1" x14ac:dyDescent="0.25">
      <c r="M5214"/>
      <c r="N5214"/>
      <c r="O5214"/>
      <c r="P5214" s="216"/>
      <c r="Q5214" s="217"/>
      <c r="R5214" s="217"/>
      <c r="S5214" s="218"/>
    </row>
    <row r="5215" spans="13:19" ht="15" customHeight="1" x14ac:dyDescent="0.25">
      <c r="M5215"/>
      <c r="N5215"/>
      <c r="O5215"/>
      <c r="P5215" s="216"/>
      <c r="Q5215" s="217"/>
      <c r="R5215" s="217"/>
      <c r="S5215" s="218"/>
    </row>
    <row r="5216" spans="13:19" ht="15" customHeight="1" x14ac:dyDescent="0.25">
      <c r="M5216"/>
      <c r="N5216"/>
      <c r="O5216"/>
      <c r="P5216" s="216"/>
      <c r="Q5216" s="217"/>
      <c r="R5216" s="217"/>
      <c r="S5216" s="218"/>
    </row>
    <row r="5217" spans="13:19" ht="15" customHeight="1" x14ac:dyDescent="0.25">
      <c r="M5217"/>
      <c r="N5217"/>
      <c r="O5217"/>
      <c r="P5217" s="216"/>
      <c r="Q5217" s="217"/>
      <c r="R5217" s="217"/>
      <c r="S5217" s="218"/>
    </row>
    <row r="5218" spans="13:19" ht="15" customHeight="1" x14ac:dyDescent="0.25">
      <c r="M5218"/>
      <c r="N5218"/>
      <c r="O5218"/>
      <c r="P5218" s="216"/>
      <c r="Q5218" s="217"/>
      <c r="R5218" s="217"/>
      <c r="S5218" s="218"/>
    </row>
    <row r="5219" spans="13:19" ht="15" customHeight="1" x14ac:dyDescent="0.25">
      <c r="M5219"/>
      <c r="N5219"/>
      <c r="O5219"/>
      <c r="P5219" s="216"/>
      <c r="Q5219" s="217"/>
      <c r="R5219" s="217"/>
      <c r="S5219" s="218"/>
    </row>
    <row r="5220" spans="13:19" ht="15" customHeight="1" x14ac:dyDescent="0.25">
      <c r="M5220"/>
      <c r="N5220"/>
      <c r="O5220"/>
      <c r="P5220" s="216"/>
      <c r="Q5220" s="217"/>
      <c r="R5220" s="217"/>
      <c r="S5220" s="218"/>
    </row>
    <row r="5221" spans="13:19" ht="15" customHeight="1" x14ac:dyDescent="0.25">
      <c r="M5221"/>
      <c r="N5221"/>
      <c r="O5221"/>
      <c r="P5221" s="216"/>
      <c r="Q5221" s="217"/>
      <c r="R5221" s="217"/>
      <c r="S5221" s="218"/>
    </row>
    <row r="5222" spans="13:19" ht="15" customHeight="1" x14ac:dyDescent="0.25">
      <c r="M5222"/>
      <c r="N5222"/>
      <c r="O5222"/>
      <c r="P5222" s="216"/>
      <c r="Q5222" s="217"/>
      <c r="R5222" s="217"/>
      <c r="S5222" s="218"/>
    </row>
    <row r="5223" spans="13:19" ht="15" customHeight="1" x14ac:dyDescent="0.25">
      <c r="M5223"/>
      <c r="N5223"/>
      <c r="O5223"/>
      <c r="P5223" s="216"/>
      <c r="Q5223" s="217"/>
      <c r="R5223" s="217"/>
      <c r="S5223" s="218"/>
    </row>
    <row r="5224" spans="13:19" ht="15" customHeight="1" x14ac:dyDescent="0.25">
      <c r="M5224"/>
      <c r="N5224"/>
      <c r="O5224"/>
      <c r="P5224" s="216"/>
      <c r="Q5224" s="217"/>
      <c r="R5224" s="217"/>
      <c r="S5224" s="218"/>
    </row>
    <row r="5225" spans="13:19" ht="15" customHeight="1" x14ac:dyDescent="0.25">
      <c r="M5225"/>
      <c r="N5225"/>
      <c r="O5225"/>
      <c r="P5225" s="216"/>
      <c r="Q5225" s="217"/>
      <c r="R5225" s="217"/>
      <c r="S5225" s="218"/>
    </row>
    <row r="5226" spans="13:19" ht="15" customHeight="1" x14ac:dyDescent="0.25">
      <c r="M5226"/>
      <c r="N5226"/>
      <c r="O5226"/>
      <c r="P5226" s="216"/>
      <c r="Q5226" s="217"/>
      <c r="R5226" s="217"/>
      <c r="S5226" s="218"/>
    </row>
    <row r="5227" spans="13:19" ht="15" customHeight="1" x14ac:dyDescent="0.25">
      <c r="M5227"/>
      <c r="N5227"/>
      <c r="O5227"/>
      <c r="P5227" s="216"/>
      <c r="Q5227" s="217"/>
      <c r="R5227" s="217"/>
      <c r="S5227" s="218"/>
    </row>
    <row r="5228" spans="13:19" ht="15" customHeight="1" x14ac:dyDescent="0.25">
      <c r="M5228"/>
      <c r="N5228"/>
      <c r="O5228"/>
      <c r="P5228" s="216"/>
      <c r="Q5228" s="217"/>
      <c r="R5228" s="217"/>
      <c r="S5228" s="218"/>
    </row>
    <row r="5229" spans="13:19" ht="15" customHeight="1" x14ac:dyDescent="0.25">
      <c r="M5229"/>
      <c r="N5229"/>
      <c r="O5229"/>
      <c r="P5229" s="216"/>
      <c r="Q5229" s="217"/>
      <c r="R5229" s="217"/>
      <c r="S5229" s="218"/>
    </row>
    <row r="5230" spans="13:19" ht="15" customHeight="1" x14ac:dyDescent="0.25">
      <c r="M5230"/>
      <c r="N5230"/>
      <c r="O5230"/>
      <c r="P5230" s="216"/>
      <c r="Q5230" s="217"/>
      <c r="R5230" s="217"/>
      <c r="S5230" s="218"/>
    </row>
    <row r="5231" spans="13:19" ht="15" customHeight="1" x14ac:dyDescent="0.25">
      <c r="M5231"/>
      <c r="N5231"/>
      <c r="O5231"/>
      <c r="P5231" s="216"/>
      <c r="Q5231" s="217"/>
      <c r="R5231" s="217"/>
      <c r="S5231" s="218"/>
    </row>
    <row r="5232" spans="13:19" ht="15" customHeight="1" x14ac:dyDescent="0.25">
      <c r="M5232"/>
      <c r="N5232"/>
      <c r="O5232"/>
      <c r="P5232" s="216"/>
      <c r="Q5232" s="217"/>
      <c r="R5232" s="217"/>
      <c r="S5232" s="218"/>
    </row>
    <row r="5233" spans="13:19" ht="15" customHeight="1" x14ac:dyDescent="0.25">
      <c r="M5233"/>
      <c r="N5233"/>
      <c r="O5233"/>
      <c r="P5233" s="216"/>
      <c r="Q5233" s="217"/>
      <c r="R5233" s="217"/>
      <c r="S5233" s="218"/>
    </row>
    <row r="5234" spans="13:19" ht="15" customHeight="1" x14ac:dyDescent="0.25">
      <c r="M5234"/>
      <c r="N5234"/>
      <c r="O5234"/>
      <c r="P5234" s="216"/>
      <c r="Q5234" s="217"/>
      <c r="R5234" s="217"/>
      <c r="S5234" s="218"/>
    </row>
    <row r="5235" spans="13:19" ht="15" customHeight="1" x14ac:dyDescent="0.25">
      <c r="M5235"/>
      <c r="N5235"/>
      <c r="O5235"/>
      <c r="P5235" s="216"/>
      <c r="Q5235" s="217"/>
      <c r="R5235" s="217"/>
      <c r="S5235" s="218"/>
    </row>
    <row r="5236" spans="13:19" ht="15" customHeight="1" x14ac:dyDescent="0.25">
      <c r="M5236"/>
      <c r="N5236"/>
      <c r="O5236"/>
      <c r="P5236" s="216"/>
      <c r="Q5236" s="217"/>
      <c r="R5236" s="217"/>
      <c r="S5236" s="218"/>
    </row>
    <row r="5237" spans="13:19" ht="15" customHeight="1" x14ac:dyDescent="0.25">
      <c r="M5237"/>
      <c r="N5237"/>
      <c r="O5237"/>
      <c r="P5237" s="216"/>
      <c r="Q5237" s="217"/>
      <c r="R5237" s="217"/>
      <c r="S5237" s="218"/>
    </row>
    <row r="5238" spans="13:19" ht="15" customHeight="1" x14ac:dyDescent="0.25">
      <c r="M5238"/>
      <c r="N5238"/>
      <c r="O5238"/>
      <c r="P5238" s="216"/>
      <c r="Q5238" s="217"/>
      <c r="R5238" s="217"/>
      <c r="S5238" s="218"/>
    </row>
    <row r="5239" spans="13:19" ht="15" customHeight="1" x14ac:dyDescent="0.25">
      <c r="M5239"/>
      <c r="N5239"/>
      <c r="O5239"/>
      <c r="P5239" s="216"/>
      <c r="Q5239" s="217"/>
      <c r="R5239" s="217"/>
      <c r="S5239" s="218"/>
    </row>
    <row r="5240" spans="13:19" ht="15" customHeight="1" x14ac:dyDescent="0.25">
      <c r="M5240"/>
      <c r="N5240"/>
      <c r="O5240"/>
      <c r="P5240" s="216"/>
      <c r="Q5240" s="217"/>
      <c r="R5240" s="217"/>
      <c r="S5240" s="218"/>
    </row>
    <row r="5241" spans="13:19" ht="15" customHeight="1" x14ac:dyDescent="0.25">
      <c r="M5241"/>
      <c r="N5241"/>
      <c r="O5241"/>
      <c r="P5241" s="216"/>
      <c r="Q5241" s="217"/>
      <c r="R5241" s="217"/>
      <c r="S5241" s="218"/>
    </row>
    <row r="5242" spans="13:19" ht="15" customHeight="1" x14ac:dyDescent="0.25">
      <c r="M5242"/>
      <c r="N5242"/>
      <c r="O5242"/>
      <c r="P5242" s="216"/>
      <c r="Q5242" s="217"/>
      <c r="R5242" s="217"/>
      <c r="S5242" s="218"/>
    </row>
    <row r="5243" spans="13:19" ht="15" customHeight="1" x14ac:dyDescent="0.25">
      <c r="M5243"/>
      <c r="N5243"/>
      <c r="O5243"/>
      <c r="P5243" s="216"/>
      <c r="Q5243" s="217"/>
      <c r="R5243" s="217"/>
      <c r="S5243" s="218"/>
    </row>
    <row r="5244" spans="13:19" ht="15" customHeight="1" x14ac:dyDescent="0.25">
      <c r="M5244"/>
      <c r="N5244"/>
      <c r="O5244"/>
      <c r="P5244" s="216"/>
      <c r="Q5244" s="217"/>
      <c r="R5244" s="217"/>
      <c r="S5244" s="218"/>
    </row>
    <row r="5245" spans="13:19" ht="15" customHeight="1" x14ac:dyDescent="0.25">
      <c r="M5245"/>
      <c r="N5245"/>
      <c r="O5245"/>
      <c r="P5245" s="216"/>
      <c r="Q5245" s="217"/>
      <c r="R5245" s="217"/>
      <c r="S5245" s="218"/>
    </row>
    <row r="5246" spans="13:19" ht="15" customHeight="1" x14ac:dyDescent="0.25">
      <c r="M5246"/>
      <c r="N5246"/>
      <c r="O5246"/>
      <c r="P5246" s="216"/>
      <c r="Q5246" s="217"/>
      <c r="R5246" s="217"/>
      <c r="S5246" s="218"/>
    </row>
    <row r="5247" spans="13:19" ht="15" customHeight="1" x14ac:dyDescent="0.25">
      <c r="M5247"/>
      <c r="N5247"/>
      <c r="O5247"/>
      <c r="P5247" s="216"/>
      <c r="Q5247" s="217"/>
      <c r="R5247" s="217"/>
      <c r="S5247" s="218"/>
    </row>
    <row r="5248" spans="13:19" ht="15" customHeight="1" x14ac:dyDescent="0.25">
      <c r="M5248"/>
      <c r="N5248"/>
      <c r="O5248"/>
      <c r="P5248" s="216"/>
      <c r="Q5248" s="217"/>
      <c r="R5248" s="217"/>
      <c r="S5248" s="218"/>
    </row>
    <row r="5249" spans="13:19" ht="15" customHeight="1" x14ac:dyDescent="0.25">
      <c r="M5249"/>
      <c r="N5249"/>
      <c r="O5249"/>
      <c r="P5249" s="216"/>
      <c r="Q5249" s="217"/>
      <c r="R5249" s="217"/>
      <c r="S5249" s="218"/>
    </row>
    <row r="5250" spans="13:19" ht="15" customHeight="1" x14ac:dyDescent="0.25">
      <c r="M5250"/>
      <c r="N5250"/>
      <c r="O5250"/>
      <c r="P5250" s="216"/>
      <c r="Q5250" s="217"/>
      <c r="R5250" s="217"/>
      <c r="S5250" s="218"/>
    </row>
    <row r="5251" spans="13:19" ht="15" customHeight="1" x14ac:dyDescent="0.25">
      <c r="M5251"/>
      <c r="N5251"/>
      <c r="O5251"/>
      <c r="P5251" s="216"/>
      <c r="Q5251" s="217"/>
      <c r="R5251" s="217"/>
      <c r="S5251" s="218"/>
    </row>
    <row r="5252" spans="13:19" ht="15" customHeight="1" x14ac:dyDescent="0.25">
      <c r="M5252"/>
      <c r="N5252"/>
      <c r="O5252"/>
      <c r="P5252" s="216"/>
      <c r="Q5252" s="217"/>
      <c r="R5252" s="217"/>
      <c r="S5252" s="218"/>
    </row>
    <row r="5253" spans="13:19" ht="15" customHeight="1" x14ac:dyDescent="0.25">
      <c r="M5253"/>
      <c r="N5253"/>
      <c r="O5253"/>
      <c r="P5253" s="216"/>
      <c r="Q5253" s="217"/>
      <c r="R5253" s="217"/>
      <c r="S5253" s="218"/>
    </row>
    <row r="5254" spans="13:19" ht="15" customHeight="1" x14ac:dyDescent="0.25">
      <c r="M5254"/>
      <c r="N5254"/>
      <c r="O5254"/>
      <c r="P5254" s="216"/>
      <c r="Q5254" s="217"/>
      <c r="R5254" s="217"/>
      <c r="S5254" s="218"/>
    </row>
    <row r="5255" spans="13:19" ht="15" customHeight="1" x14ac:dyDescent="0.25">
      <c r="M5255"/>
      <c r="N5255"/>
      <c r="O5255"/>
      <c r="P5255" s="216"/>
      <c r="Q5255" s="217"/>
      <c r="R5255" s="217"/>
      <c r="S5255" s="218"/>
    </row>
    <row r="5256" spans="13:19" ht="15" customHeight="1" x14ac:dyDescent="0.25">
      <c r="M5256"/>
      <c r="N5256"/>
      <c r="O5256"/>
      <c r="P5256" s="216"/>
      <c r="Q5256" s="217"/>
      <c r="R5256" s="217"/>
      <c r="S5256" s="218"/>
    </row>
    <row r="5257" spans="13:19" ht="15" customHeight="1" x14ac:dyDescent="0.25">
      <c r="M5257"/>
      <c r="N5257"/>
      <c r="O5257"/>
      <c r="P5257" s="216"/>
      <c r="Q5257" s="217"/>
      <c r="R5257" s="217"/>
      <c r="S5257" s="218"/>
    </row>
    <row r="5258" spans="13:19" ht="15" customHeight="1" x14ac:dyDescent="0.25">
      <c r="M5258"/>
      <c r="N5258"/>
      <c r="O5258"/>
      <c r="P5258" s="216"/>
      <c r="Q5258" s="217"/>
      <c r="R5258" s="217"/>
      <c r="S5258" s="218"/>
    </row>
    <row r="5259" spans="13:19" ht="15" customHeight="1" x14ac:dyDescent="0.25">
      <c r="M5259"/>
      <c r="N5259"/>
      <c r="O5259"/>
      <c r="P5259" s="216"/>
      <c r="Q5259" s="217"/>
      <c r="R5259" s="217"/>
      <c r="S5259" s="218"/>
    </row>
    <row r="5260" spans="13:19" ht="15" customHeight="1" x14ac:dyDescent="0.25">
      <c r="M5260"/>
      <c r="N5260"/>
      <c r="O5260"/>
      <c r="P5260" s="216"/>
      <c r="Q5260" s="217"/>
      <c r="R5260" s="217"/>
      <c r="S5260" s="218"/>
    </row>
    <row r="5261" spans="13:19" ht="15" customHeight="1" x14ac:dyDescent="0.25">
      <c r="M5261"/>
      <c r="N5261"/>
      <c r="O5261"/>
      <c r="P5261" s="216"/>
      <c r="Q5261" s="217"/>
      <c r="R5261" s="217"/>
      <c r="S5261" s="218"/>
    </row>
    <row r="5262" spans="13:19" ht="15" customHeight="1" x14ac:dyDescent="0.25">
      <c r="M5262"/>
      <c r="N5262"/>
      <c r="O5262"/>
      <c r="P5262" s="216"/>
      <c r="Q5262" s="217"/>
      <c r="R5262" s="217"/>
      <c r="S5262" s="218"/>
    </row>
    <row r="5263" spans="13:19" ht="15" customHeight="1" x14ac:dyDescent="0.25">
      <c r="M5263"/>
      <c r="N5263"/>
      <c r="O5263"/>
      <c r="P5263" s="216"/>
      <c r="Q5263" s="217"/>
      <c r="R5263" s="217"/>
      <c r="S5263" s="218"/>
    </row>
    <row r="5264" spans="13:19" ht="15" customHeight="1" x14ac:dyDescent="0.25">
      <c r="M5264"/>
      <c r="N5264"/>
      <c r="O5264"/>
      <c r="P5264" s="216"/>
      <c r="Q5264" s="217"/>
      <c r="R5264" s="217"/>
      <c r="S5264" s="218"/>
    </row>
    <row r="5265" spans="13:19" ht="15" customHeight="1" x14ac:dyDescent="0.25">
      <c r="M5265"/>
      <c r="N5265"/>
      <c r="O5265"/>
      <c r="P5265" s="216"/>
      <c r="Q5265" s="217"/>
      <c r="R5265" s="217"/>
      <c r="S5265" s="218"/>
    </row>
    <row r="5266" spans="13:19" ht="15" customHeight="1" x14ac:dyDescent="0.25">
      <c r="M5266"/>
      <c r="N5266"/>
      <c r="O5266"/>
      <c r="P5266" s="216"/>
      <c r="Q5266" s="217"/>
      <c r="R5266" s="217"/>
      <c r="S5266" s="218"/>
    </row>
    <row r="5267" spans="13:19" ht="15" customHeight="1" x14ac:dyDescent="0.25">
      <c r="M5267"/>
      <c r="N5267"/>
      <c r="O5267"/>
      <c r="P5267" s="216"/>
      <c r="Q5267" s="217"/>
      <c r="R5267" s="217"/>
      <c r="S5267" s="218"/>
    </row>
    <row r="5268" spans="13:19" ht="15" customHeight="1" x14ac:dyDescent="0.25">
      <c r="M5268"/>
      <c r="N5268"/>
      <c r="O5268"/>
      <c r="P5268" s="216"/>
      <c r="Q5268" s="217"/>
      <c r="R5268" s="217"/>
      <c r="S5268" s="218"/>
    </row>
    <row r="5269" spans="13:19" ht="15" customHeight="1" x14ac:dyDescent="0.25">
      <c r="M5269"/>
      <c r="N5269"/>
      <c r="O5269"/>
      <c r="P5269" s="216"/>
      <c r="Q5269" s="217"/>
      <c r="R5269" s="217"/>
      <c r="S5269" s="218"/>
    </row>
    <row r="5270" spans="13:19" ht="15" customHeight="1" x14ac:dyDescent="0.25">
      <c r="M5270"/>
      <c r="N5270"/>
      <c r="O5270"/>
      <c r="P5270" s="216"/>
      <c r="Q5270" s="217"/>
      <c r="R5270" s="217"/>
      <c r="S5270" s="218"/>
    </row>
    <row r="5271" spans="13:19" ht="15" customHeight="1" x14ac:dyDescent="0.25">
      <c r="M5271"/>
      <c r="N5271"/>
      <c r="O5271"/>
      <c r="P5271" s="216"/>
      <c r="Q5271" s="217"/>
      <c r="R5271" s="217"/>
      <c r="S5271" s="218"/>
    </row>
    <row r="5272" spans="13:19" ht="15" customHeight="1" x14ac:dyDescent="0.25">
      <c r="M5272"/>
      <c r="N5272"/>
      <c r="O5272"/>
      <c r="P5272" s="216"/>
      <c r="Q5272" s="217"/>
      <c r="R5272" s="217"/>
      <c r="S5272" s="218"/>
    </row>
    <row r="5273" spans="13:19" ht="15" customHeight="1" x14ac:dyDescent="0.25">
      <c r="M5273"/>
      <c r="N5273"/>
      <c r="O5273"/>
      <c r="P5273" s="216"/>
      <c r="Q5273" s="217"/>
      <c r="R5273" s="217"/>
      <c r="S5273" s="218"/>
    </row>
    <row r="5274" spans="13:19" ht="15" customHeight="1" x14ac:dyDescent="0.25">
      <c r="M5274"/>
      <c r="N5274"/>
      <c r="O5274"/>
      <c r="P5274" s="216"/>
      <c r="Q5274" s="217"/>
      <c r="R5274" s="217"/>
      <c r="S5274" s="218"/>
    </row>
    <row r="5275" spans="13:19" ht="15" customHeight="1" x14ac:dyDescent="0.25">
      <c r="M5275"/>
      <c r="N5275"/>
      <c r="O5275"/>
      <c r="P5275" s="216"/>
      <c r="Q5275" s="217"/>
      <c r="R5275" s="217"/>
      <c r="S5275" s="218"/>
    </row>
    <row r="5276" spans="13:19" ht="15" customHeight="1" x14ac:dyDescent="0.25">
      <c r="M5276"/>
      <c r="N5276"/>
      <c r="O5276"/>
      <c r="P5276" s="216"/>
      <c r="Q5276" s="217"/>
      <c r="R5276" s="217"/>
      <c r="S5276" s="218"/>
    </row>
    <row r="5277" spans="13:19" ht="15" customHeight="1" x14ac:dyDescent="0.25">
      <c r="M5277"/>
      <c r="N5277"/>
      <c r="O5277"/>
      <c r="P5277" s="216"/>
      <c r="Q5277" s="217"/>
      <c r="R5277" s="217"/>
      <c r="S5277" s="218"/>
    </row>
    <row r="5278" spans="13:19" ht="15" customHeight="1" x14ac:dyDescent="0.25">
      <c r="M5278"/>
      <c r="N5278"/>
      <c r="O5278"/>
      <c r="P5278" s="216"/>
      <c r="Q5278" s="217"/>
      <c r="R5278" s="217"/>
      <c r="S5278" s="218"/>
    </row>
    <row r="5279" spans="13:19" ht="15" customHeight="1" x14ac:dyDescent="0.25">
      <c r="M5279"/>
      <c r="N5279"/>
      <c r="O5279"/>
      <c r="P5279" s="216"/>
      <c r="Q5279" s="217"/>
      <c r="R5279" s="217"/>
      <c r="S5279" s="218"/>
    </row>
    <row r="5280" spans="13:19" ht="15" customHeight="1" x14ac:dyDescent="0.25">
      <c r="M5280"/>
      <c r="N5280"/>
      <c r="O5280"/>
      <c r="P5280" s="216"/>
      <c r="Q5280" s="217"/>
      <c r="R5280" s="217"/>
      <c r="S5280" s="218"/>
    </row>
    <row r="5281" spans="13:19" ht="15" customHeight="1" x14ac:dyDescent="0.25">
      <c r="M5281"/>
      <c r="N5281"/>
      <c r="O5281"/>
      <c r="P5281" s="216"/>
      <c r="Q5281" s="217"/>
      <c r="R5281" s="217"/>
      <c r="S5281" s="218"/>
    </row>
    <row r="5282" spans="13:19" ht="15" customHeight="1" x14ac:dyDescent="0.25">
      <c r="M5282"/>
      <c r="N5282"/>
      <c r="O5282"/>
      <c r="P5282" s="216"/>
      <c r="Q5282" s="217"/>
      <c r="R5282" s="217"/>
      <c r="S5282" s="218"/>
    </row>
    <row r="5283" spans="13:19" ht="15" customHeight="1" x14ac:dyDescent="0.25">
      <c r="M5283"/>
      <c r="N5283"/>
      <c r="O5283"/>
      <c r="P5283" s="216"/>
      <c r="Q5283" s="217"/>
      <c r="R5283" s="217"/>
      <c r="S5283" s="218"/>
    </row>
    <row r="5284" spans="13:19" ht="15" customHeight="1" x14ac:dyDescent="0.25">
      <c r="M5284"/>
      <c r="N5284"/>
      <c r="O5284"/>
      <c r="P5284" s="216"/>
      <c r="Q5284" s="217"/>
      <c r="R5284" s="217"/>
      <c r="S5284" s="218"/>
    </row>
    <row r="5285" spans="13:19" ht="15" customHeight="1" x14ac:dyDescent="0.25">
      <c r="M5285"/>
      <c r="N5285"/>
      <c r="O5285"/>
      <c r="P5285" s="216"/>
      <c r="Q5285" s="217"/>
      <c r="R5285" s="217"/>
      <c r="S5285" s="218"/>
    </row>
    <row r="5286" spans="13:19" ht="15" customHeight="1" x14ac:dyDescent="0.25">
      <c r="M5286"/>
      <c r="N5286"/>
      <c r="O5286"/>
      <c r="P5286" s="216"/>
      <c r="Q5286" s="217"/>
      <c r="R5286" s="217"/>
      <c r="S5286" s="218"/>
    </row>
    <row r="5287" spans="13:19" ht="15" customHeight="1" x14ac:dyDescent="0.25">
      <c r="M5287"/>
      <c r="N5287"/>
      <c r="O5287"/>
      <c r="P5287" s="216"/>
      <c r="Q5287" s="217"/>
      <c r="R5287" s="217"/>
      <c r="S5287" s="218"/>
    </row>
    <row r="5288" spans="13:19" ht="15" customHeight="1" x14ac:dyDescent="0.25">
      <c r="M5288"/>
      <c r="N5288"/>
      <c r="O5288"/>
      <c r="P5288" s="216"/>
      <c r="Q5288" s="217"/>
      <c r="R5288" s="217"/>
      <c r="S5288" s="218"/>
    </row>
    <row r="5289" spans="13:19" ht="15" customHeight="1" x14ac:dyDescent="0.25">
      <c r="M5289"/>
      <c r="N5289"/>
      <c r="O5289"/>
      <c r="P5289" s="216"/>
      <c r="Q5289" s="217"/>
      <c r="R5289" s="217"/>
      <c r="S5289" s="218"/>
    </row>
    <row r="5290" spans="13:19" ht="15" customHeight="1" x14ac:dyDescent="0.25">
      <c r="M5290"/>
      <c r="N5290"/>
      <c r="O5290"/>
      <c r="P5290" s="216"/>
      <c r="Q5290" s="217"/>
      <c r="R5290" s="217"/>
      <c r="S5290" s="218"/>
    </row>
    <row r="5291" spans="13:19" ht="15" customHeight="1" x14ac:dyDescent="0.25">
      <c r="M5291"/>
      <c r="N5291"/>
      <c r="O5291"/>
      <c r="P5291" s="216"/>
      <c r="Q5291" s="217"/>
      <c r="R5291" s="217"/>
      <c r="S5291" s="218"/>
    </row>
    <row r="5292" spans="13:19" ht="15" customHeight="1" x14ac:dyDescent="0.25">
      <c r="M5292"/>
      <c r="N5292"/>
      <c r="O5292"/>
      <c r="P5292" s="216"/>
      <c r="Q5292" s="217"/>
      <c r="R5292" s="217"/>
      <c r="S5292" s="218"/>
    </row>
    <row r="5293" spans="13:19" ht="15" customHeight="1" x14ac:dyDescent="0.25">
      <c r="M5293"/>
      <c r="N5293"/>
      <c r="O5293"/>
      <c r="P5293" s="216"/>
      <c r="Q5293" s="217"/>
      <c r="R5293" s="217"/>
      <c r="S5293" s="218"/>
    </row>
    <row r="5294" spans="13:19" ht="15" customHeight="1" x14ac:dyDescent="0.25">
      <c r="M5294"/>
      <c r="N5294"/>
      <c r="O5294"/>
      <c r="P5294" s="216"/>
      <c r="Q5294" s="217"/>
      <c r="R5294" s="217"/>
      <c r="S5294" s="218"/>
    </row>
    <row r="5295" spans="13:19" ht="15" customHeight="1" x14ac:dyDescent="0.25">
      <c r="M5295"/>
      <c r="N5295"/>
      <c r="O5295"/>
      <c r="P5295" s="216"/>
      <c r="Q5295" s="217"/>
      <c r="R5295" s="217"/>
      <c r="S5295" s="218"/>
    </row>
    <row r="5296" spans="13:19" ht="15" customHeight="1" x14ac:dyDescent="0.25">
      <c r="M5296"/>
      <c r="N5296"/>
      <c r="O5296"/>
      <c r="P5296" s="216"/>
      <c r="Q5296" s="217"/>
      <c r="R5296" s="217"/>
      <c r="S5296" s="218"/>
    </row>
    <row r="5297" spans="13:19" ht="15" customHeight="1" x14ac:dyDescent="0.25">
      <c r="M5297"/>
      <c r="N5297"/>
      <c r="O5297"/>
      <c r="P5297" s="216"/>
      <c r="Q5297" s="217"/>
      <c r="R5297" s="217"/>
      <c r="S5297" s="218"/>
    </row>
    <row r="5298" spans="13:19" ht="15" customHeight="1" x14ac:dyDescent="0.25">
      <c r="M5298"/>
      <c r="N5298"/>
      <c r="O5298"/>
      <c r="P5298" s="216"/>
      <c r="Q5298" s="217"/>
      <c r="R5298" s="217"/>
      <c r="S5298" s="218"/>
    </row>
    <row r="5299" spans="13:19" ht="15" customHeight="1" x14ac:dyDescent="0.25">
      <c r="M5299"/>
      <c r="N5299"/>
      <c r="O5299"/>
      <c r="P5299" s="216"/>
      <c r="Q5299" s="217"/>
      <c r="R5299" s="217"/>
      <c r="S5299" s="218"/>
    </row>
    <row r="5300" spans="13:19" ht="15" customHeight="1" x14ac:dyDescent="0.25">
      <c r="M5300"/>
      <c r="N5300"/>
      <c r="O5300"/>
      <c r="P5300" s="216"/>
      <c r="Q5300" s="217"/>
      <c r="R5300" s="217"/>
      <c r="S5300" s="218"/>
    </row>
    <row r="5301" spans="13:19" ht="15" customHeight="1" x14ac:dyDescent="0.25">
      <c r="M5301"/>
      <c r="N5301"/>
      <c r="O5301"/>
      <c r="P5301" s="216"/>
      <c r="Q5301" s="217"/>
      <c r="R5301" s="217"/>
      <c r="S5301" s="218"/>
    </row>
    <row r="5302" spans="13:19" ht="15" customHeight="1" x14ac:dyDescent="0.25">
      <c r="M5302"/>
      <c r="N5302"/>
      <c r="O5302"/>
      <c r="P5302" s="216"/>
      <c r="Q5302" s="217"/>
      <c r="R5302" s="217"/>
      <c r="S5302" s="218"/>
    </row>
    <row r="5303" spans="13:19" ht="15" customHeight="1" x14ac:dyDescent="0.25">
      <c r="M5303"/>
      <c r="N5303"/>
      <c r="O5303"/>
      <c r="P5303" s="216"/>
      <c r="Q5303" s="217"/>
      <c r="R5303" s="217"/>
      <c r="S5303" s="218"/>
    </row>
    <row r="5304" spans="13:19" ht="15" customHeight="1" x14ac:dyDescent="0.25">
      <c r="M5304"/>
      <c r="N5304"/>
      <c r="O5304"/>
      <c r="P5304" s="216"/>
      <c r="Q5304" s="217"/>
      <c r="R5304" s="217"/>
      <c r="S5304" s="218"/>
    </row>
    <row r="5305" spans="13:19" ht="15" customHeight="1" x14ac:dyDescent="0.25">
      <c r="M5305"/>
      <c r="N5305"/>
      <c r="O5305"/>
      <c r="P5305" s="216"/>
      <c r="Q5305" s="217"/>
      <c r="R5305" s="217"/>
      <c r="S5305" s="218"/>
    </row>
    <row r="5306" spans="13:19" ht="15" customHeight="1" x14ac:dyDescent="0.25">
      <c r="M5306"/>
      <c r="N5306"/>
      <c r="O5306"/>
      <c r="P5306" s="216"/>
      <c r="Q5306" s="217"/>
      <c r="R5306" s="217"/>
      <c r="S5306" s="218"/>
    </row>
    <row r="5307" spans="13:19" ht="15" customHeight="1" x14ac:dyDescent="0.25">
      <c r="M5307"/>
      <c r="N5307"/>
      <c r="O5307"/>
      <c r="P5307" s="216"/>
      <c r="Q5307" s="217"/>
      <c r="R5307" s="217"/>
      <c r="S5307" s="218"/>
    </row>
    <row r="5308" spans="13:19" ht="15" customHeight="1" x14ac:dyDescent="0.25">
      <c r="M5308"/>
      <c r="N5308"/>
      <c r="O5308"/>
      <c r="P5308" s="216"/>
      <c r="Q5308" s="217"/>
      <c r="R5308" s="217"/>
      <c r="S5308" s="218"/>
    </row>
    <row r="5309" spans="13:19" ht="15" customHeight="1" x14ac:dyDescent="0.25">
      <c r="M5309"/>
      <c r="N5309"/>
      <c r="O5309"/>
      <c r="P5309" s="216"/>
      <c r="Q5309" s="217"/>
      <c r="R5309" s="217"/>
      <c r="S5309" s="218"/>
    </row>
    <row r="5310" spans="13:19" ht="15" customHeight="1" x14ac:dyDescent="0.25">
      <c r="M5310"/>
      <c r="N5310"/>
      <c r="O5310"/>
      <c r="P5310" s="216"/>
      <c r="Q5310" s="217"/>
      <c r="R5310" s="217"/>
      <c r="S5310" s="218"/>
    </row>
    <row r="5311" spans="13:19" ht="15" customHeight="1" x14ac:dyDescent="0.25">
      <c r="M5311"/>
      <c r="N5311"/>
      <c r="O5311"/>
      <c r="P5311" s="216"/>
      <c r="Q5311" s="217"/>
      <c r="R5311" s="217"/>
      <c r="S5311" s="218"/>
    </row>
    <row r="5312" spans="13:19" ht="15" customHeight="1" x14ac:dyDescent="0.25">
      <c r="M5312"/>
      <c r="N5312"/>
      <c r="O5312"/>
      <c r="P5312" s="216"/>
      <c r="Q5312" s="217"/>
      <c r="R5312" s="217"/>
      <c r="S5312" s="218"/>
    </row>
    <row r="5313" spans="13:19" ht="15" customHeight="1" x14ac:dyDescent="0.25">
      <c r="M5313"/>
      <c r="N5313"/>
      <c r="O5313"/>
      <c r="P5313" s="216"/>
      <c r="Q5313" s="217"/>
      <c r="R5313" s="217"/>
      <c r="S5313" s="218"/>
    </row>
    <row r="5314" spans="13:19" ht="15" customHeight="1" x14ac:dyDescent="0.25">
      <c r="M5314"/>
      <c r="N5314"/>
      <c r="O5314"/>
      <c r="P5314" s="216"/>
      <c r="Q5314" s="217"/>
      <c r="R5314" s="217"/>
      <c r="S5314" s="218"/>
    </row>
    <row r="5315" spans="13:19" ht="15" customHeight="1" x14ac:dyDescent="0.25">
      <c r="M5315"/>
      <c r="N5315"/>
      <c r="O5315"/>
      <c r="P5315" s="216"/>
      <c r="Q5315" s="217"/>
      <c r="R5315" s="217"/>
      <c r="S5315" s="218"/>
    </row>
    <row r="5316" spans="13:19" ht="15" customHeight="1" x14ac:dyDescent="0.25">
      <c r="M5316"/>
      <c r="N5316"/>
      <c r="O5316"/>
      <c r="P5316" s="216"/>
      <c r="Q5316" s="217"/>
      <c r="R5316" s="217"/>
      <c r="S5316" s="218"/>
    </row>
    <row r="5317" spans="13:19" ht="15" customHeight="1" x14ac:dyDescent="0.25">
      <c r="M5317"/>
      <c r="N5317"/>
      <c r="O5317"/>
      <c r="P5317" s="216"/>
      <c r="Q5317" s="217"/>
      <c r="R5317" s="217"/>
      <c r="S5317" s="218"/>
    </row>
    <row r="5318" spans="13:19" ht="15" customHeight="1" x14ac:dyDescent="0.25">
      <c r="M5318"/>
      <c r="N5318"/>
      <c r="O5318"/>
      <c r="P5318" s="216"/>
      <c r="Q5318" s="217"/>
      <c r="R5318" s="217"/>
      <c r="S5318" s="218"/>
    </row>
    <row r="5319" spans="13:19" ht="15" customHeight="1" x14ac:dyDescent="0.25">
      <c r="M5319"/>
      <c r="N5319"/>
      <c r="O5319"/>
      <c r="P5319" s="216"/>
      <c r="Q5319" s="217"/>
      <c r="R5319" s="217"/>
      <c r="S5319" s="218"/>
    </row>
    <row r="5320" spans="13:19" ht="15" customHeight="1" x14ac:dyDescent="0.25">
      <c r="M5320"/>
      <c r="N5320"/>
      <c r="O5320"/>
      <c r="P5320" s="216"/>
      <c r="Q5320" s="217"/>
      <c r="R5320" s="217"/>
      <c r="S5320" s="218"/>
    </row>
    <row r="5321" spans="13:19" ht="15" customHeight="1" x14ac:dyDescent="0.25">
      <c r="M5321"/>
      <c r="N5321"/>
      <c r="O5321"/>
      <c r="P5321" s="216"/>
      <c r="Q5321" s="217"/>
      <c r="R5321" s="217"/>
      <c r="S5321" s="218"/>
    </row>
    <row r="5322" spans="13:19" ht="15" customHeight="1" x14ac:dyDescent="0.25">
      <c r="M5322"/>
      <c r="N5322"/>
      <c r="O5322"/>
      <c r="P5322" s="216"/>
      <c r="Q5322" s="217"/>
      <c r="R5322" s="217"/>
      <c r="S5322" s="218"/>
    </row>
    <row r="5323" spans="13:19" ht="15" customHeight="1" x14ac:dyDescent="0.25">
      <c r="M5323"/>
      <c r="N5323"/>
      <c r="O5323"/>
      <c r="P5323" s="216"/>
      <c r="Q5323" s="217"/>
      <c r="R5323" s="217"/>
      <c r="S5323" s="218"/>
    </row>
    <row r="5324" spans="13:19" ht="15" customHeight="1" x14ac:dyDescent="0.25">
      <c r="M5324"/>
      <c r="N5324"/>
      <c r="O5324"/>
      <c r="P5324" s="216"/>
      <c r="Q5324" s="217"/>
      <c r="R5324" s="217"/>
      <c r="S5324" s="218"/>
    </row>
    <row r="5325" spans="13:19" ht="15" customHeight="1" x14ac:dyDescent="0.25">
      <c r="M5325"/>
      <c r="N5325"/>
      <c r="O5325"/>
      <c r="P5325" s="216"/>
      <c r="Q5325" s="217"/>
      <c r="R5325" s="217"/>
      <c r="S5325" s="218"/>
    </row>
    <row r="5326" spans="13:19" ht="15" customHeight="1" x14ac:dyDescent="0.25">
      <c r="M5326"/>
      <c r="N5326"/>
      <c r="O5326"/>
      <c r="P5326" s="216"/>
      <c r="Q5326" s="217"/>
      <c r="R5326" s="217"/>
      <c r="S5326" s="218"/>
    </row>
    <row r="5327" spans="13:19" ht="15" customHeight="1" x14ac:dyDescent="0.25">
      <c r="M5327"/>
      <c r="N5327"/>
      <c r="O5327"/>
      <c r="P5327" s="216"/>
      <c r="Q5327" s="217"/>
      <c r="R5327" s="217"/>
      <c r="S5327" s="218"/>
    </row>
    <row r="5328" spans="13:19" ht="15" customHeight="1" x14ac:dyDescent="0.25">
      <c r="M5328"/>
      <c r="N5328"/>
      <c r="O5328"/>
      <c r="P5328" s="216"/>
      <c r="Q5328" s="217"/>
      <c r="R5328" s="217"/>
      <c r="S5328" s="218"/>
    </row>
    <row r="5329" spans="13:19" ht="15" customHeight="1" x14ac:dyDescent="0.25">
      <c r="M5329"/>
      <c r="N5329"/>
      <c r="O5329"/>
      <c r="P5329" s="216"/>
      <c r="Q5329" s="217"/>
      <c r="R5329" s="217"/>
      <c r="S5329" s="218"/>
    </row>
    <row r="5330" spans="13:19" ht="15" customHeight="1" x14ac:dyDescent="0.25">
      <c r="M5330"/>
      <c r="N5330"/>
      <c r="O5330"/>
      <c r="P5330" s="216"/>
      <c r="Q5330" s="217"/>
      <c r="R5330" s="217"/>
      <c r="S5330" s="218"/>
    </row>
    <row r="5331" spans="13:19" ht="15" customHeight="1" x14ac:dyDescent="0.25">
      <c r="M5331"/>
      <c r="N5331"/>
      <c r="O5331"/>
      <c r="P5331" s="216"/>
      <c r="Q5331" s="217"/>
      <c r="R5331" s="217"/>
      <c r="S5331" s="218"/>
    </row>
    <row r="5332" spans="13:19" ht="15" customHeight="1" x14ac:dyDescent="0.25">
      <c r="M5332"/>
      <c r="N5332"/>
      <c r="O5332"/>
      <c r="P5332" s="216"/>
      <c r="Q5332" s="217"/>
      <c r="R5332" s="217"/>
      <c r="S5332" s="218"/>
    </row>
    <row r="5333" spans="13:19" ht="15" customHeight="1" x14ac:dyDescent="0.25">
      <c r="M5333"/>
      <c r="N5333"/>
      <c r="O5333"/>
      <c r="P5333" s="216"/>
      <c r="Q5333" s="217"/>
      <c r="R5333" s="217"/>
      <c r="S5333" s="218"/>
    </row>
    <row r="5334" spans="13:19" ht="15" customHeight="1" x14ac:dyDescent="0.25">
      <c r="M5334"/>
      <c r="N5334"/>
      <c r="O5334"/>
      <c r="P5334" s="216"/>
      <c r="Q5334" s="217"/>
      <c r="R5334" s="217"/>
      <c r="S5334" s="218"/>
    </row>
    <row r="5335" spans="13:19" ht="15" customHeight="1" x14ac:dyDescent="0.25">
      <c r="M5335"/>
      <c r="N5335"/>
      <c r="O5335"/>
      <c r="P5335" s="216"/>
      <c r="Q5335" s="217"/>
      <c r="R5335" s="217"/>
      <c r="S5335" s="218"/>
    </row>
    <row r="5336" spans="13:19" ht="15" customHeight="1" x14ac:dyDescent="0.25">
      <c r="M5336"/>
      <c r="N5336"/>
      <c r="O5336"/>
      <c r="P5336" s="216"/>
      <c r="Q5336" s="217"/>
      <c r="R5336" s="217"/>
      <c r="S5336" s="218"/>
    </row>
    <row r="5337" spans="13:19" ht="15" customHeight="1" x14ac:dyDescent="0.25">
      <c r="M5337"/>
      <c r="N5337"/>
      <c r="O5337"/>
      <c r="P5337" s="216"/>
      <c r="Q5337" s="217"/>
      <c r="R5337" s="217"/>
      <c r="S5337" s="218"/>
    </row>
    <row r="5338" spans="13:19" ht="15" customHeight="1" x14ac:dyDescent="0.25">
      <c r="M5338"/>
      <c r="N5338"/>
      <c r="O5338"/>
      <c r="P5338" s="216"/>
      <c r="Q5338" s="217"/>
      <c r="R5338" s="217"/>
      <c r="S5338" s="218"/>
    </row>
    <row r="5339" spans="13:19" ht="15" customHeight="1" x14ac:dyDescent="0.25">
      <c r="M5339"/>
      <c r="N5339"/>
      <c r="O5339"/>
      <c r="P5339" s="216"/>
      <c r="Q5339" s="217"/>
      <c r="R5339" s="217"/>
      <c r="S5339" s="218"/>
    </row>
    <row r="5340" spans="13:19" ht="15" customHeight="1" x14ac:dyDescent="0.25">
      <c r="M5340"/>
      <c r="N5340"/>
      <c r="O5340"/>
      <c r="P5340" s="216"/>
      <c r="Q5340" s="217"/>
      <c r="R5340" s="217"/>
      <c r="S5340" s="218"/>
    </row>
    <row r="5341" spans="13:19" ht="15" customHeight="1" x14ac:dyDescent="0.25">
      <c r="M5341"/>
      <c r="N5341"/>
      <c r="O5341"/>
      <c r="P5341" s="216"/>
      <c r="Q5341" s="217"/>
      <c r="R5341" s="217"/>
      <c r="S5341" s="218"/>
    </row>
    <row r="5342" spans="13:19" ht="15" customHeight="1" x14ac:dyDescent="0.25">
      <c r="M5342"/>
      <c r="N5342"/>
      <c r="O5342"/>
      <c r="P5342" s="216"/>
      <c r="Q5342" s="217"/>
      <c r="R5342" s="217"/>
      <c r="S5342" s="218"/>
    </row>
    <row r="5343" spans="13:19" ht="15" customHeight="1" x14ac:dyDescent="0.25">
      <c r="M5343"/>
      <c r="N5343"/>
      <c r="O5343"/>
      <c r="P5343" s="216"/>
      <c r="Q5343" s="217"/>
      <c r="R5343" s="217"/>
      <c r="S5343" s="218"/>
    </row>
    <row r="5344" spans="13:19" ht="15" customHeight="1" x14ac:dyDescent="0.25">
      <c r="M5344"/>
      <c r="N5344"/>
      <c r="O5344"/>
      <c r="P5344" s="216"/>
      <c r="Q5344" s="217"/>
      <c r="R5344" s="217"/>
      <c r="S5344" s="218"/>
    </row>
    <row r="5345" spans="13:19" ht="15" customHeight="1" x14ac:dyDescent="0.25">
      <c r="M5345"/>
      <c r="N5345"/>
      <c r="O5345"/>
      <c r="P5345" s="216"/>
      <c r="Q5345" s="217"/>
      <c r="R5345" s="217"/>
      <c r="S5345" s="218"/>
    </row>
    <row r="5346" spans="13:19" ht="15" customHeight="1" x14ac:dyDescent="0.25">
      <c r="M5346"/>
      <c r="N5346"/>
      <c r="O5346"/>
      <c r="P5346" s="216"/>
      <c r="Q5346" s="217"/>
      <c r="R5346" s="217"/>
      <c r="S5346" s="218"/>
    </row>
    <row r="5347" spans="13:19" ht="15" customHeight="1" x14ac:dyDescent="0.25">
      <c r="M5347"/>
      <c r="N5347"/>
      <c r="O5347"/>
      <c r="P5347" s="216"/>
      <c r="Q5347" s="217"/>
      <c r="R5347" s="217"/>
      <c r="S5347" s="218"/>
    </row>
    <row r="5348" spans="13:19" ht="15" customHeight="1" x14ac:dyDescent="0.25">
      <c r="M5348"/>
      <c r="N5348"/>
      <c r="O5348"/>
      <c r="P5348" s="216"/>
      <c r="Q5348" s="217"/>
      <c r="R5348" s="217"/>
      <c r="S5348" s="218"/>
    </row>
    <row r="5349" spans="13:19" ht="15" customHeight="1" x14ac:dyDescent="0.25">
      <c r="M5349"/>
      <c r="N5349"/>
      <c r="O5349"/>
      <c r="P5349" s="216"/>
      <c r="Q5349" s="217"/>
      <c r="R5349" s="217"/>
      <c r="S5349" s="218"/>
    </row>
    <row r="5350" spans="13:19" ht="15" customHeight="1" x14ac:dyDescent="0.25">
      <c r="M5350"/>
      <c r="N5350"/>
      <c r="O5350"/>
      <c r="P5350" s="216"/>
      <c r="Q5350" s="217"/>
      <c r="R5350" s="217"/>
      <c r="S5350" s="218"/>
    </row>
    <row r="5351" spans="13:19" ht="15" customHeight="1" x14ac:dyDescent="0.25">
      <c r="M5351"/>
      <c r="N5351"/>
      <c r="O5351"/>
      <c r="P5351" s="216"/>
      <c r="Q5351" s="217"/>
      <c r="R5351" s="217"/>
      <c r="S5351" s="218"/>
    </row>
    <row r="5352" spans="13:19" ht="15" customHeight="1" x14ac:dyDescent="0.25">
      <c r="M5352"/>
      <c r="N5352"/>
      <c r="O5352"/>
      <c r="P5352" s="216"/>
      <c r="Q5352" s="217"/>
      <c r="R5352" s="217"/>
      <c r="S5352" s="218"/>
    </row>
    <row r="5353" spans="13:19" ht="15" customHeight="1" x14ac:dyDescent="0.25">
      <c r="M5353"/>
      <c r="N5353"/>
      <c r="O5353"/>
      <c r="P5353" s="216"/>
      <c r="Q5353" s="217"/>
      <c r="R5353" s="217"/>
      <c r="S5353" s="218"/>
    </row>
    <row r="5354" spans="13:19" ht="15" customHeight="1" x14ac:dyDescent="0.25">
      <c r="M5354"/>
      <c r="N5354"/>
      <c r="O5354"/>
      <c r="P5354" s="216"/>
      <c r="Q5354" s="217"/>
      <c r="R5354" s="217"/>
      <c r="S5354" s="218"/>
    </row>
    <row r="5355" spans="13:19" ht="15" customHeight="1" x14ac:dyDescent="0.25">
      <c r="M5355"/>
      <c r="N5355"/>
      <c r="O5355"/>
      <c r="P5355" s="216"/>
      <c r="Q5355" s="217"/>
      <c r="R5355" s="217"/>
      <c r="S5355" s="218"/>
    </row>
    <row r="5356" spans="13:19" ht="15" customHeight="1" x14ac:dyDescent="0.25">
      <c r="M5356"/>
      <c r="N5356"/>
      <c r="O5356"/>
      <c r="P5356" s="216"/>
      <c r="Q5356" s="217"/>
      <c r="R5356" s="217"/>
      <c r="S5356" s="218"/>
    </row>
    <row r="5357" spans="13:19" ht="15" customHeight="1" x14ac:dyDescent="0.25">
      <c r="M5357"/>
      <c r="N5357"/>
      <c r="O5357"/>
      <c r="P5357" s="216"/>
      <c r="Q5357" s="217"/>
      <c r="R5357" s="217"/>
      <c r="S5357" s="218"/>
    </row>
    <row r="5358" spans="13:19" ht="15" customHeight="1" x14ac:dyDescent="0.25">
      <c r="M5358"/>
      <c r="N5358"/>
      <c r="O5358"/>
      <c r="P5358" s="216"/>
      <c r="Q5358" s="217"/>
      <c r="R5358" s="217"/>
      <c r="S5358" s="218"/>
    </row>
    <row r="5359" spans="13:19" ht="15" customHeight="1" x14ac:dyDescent="0.25">
      <c r="M5359"/>
      <c r="N5359"/>
      <c r="O5359"/>
      <c r="P5359" s="216"/>
      <c r="Q5359" s="217"/>
      <c r="R5359" s="217"/>
      <c r="S5359" s="218"/>
    </row>
    <row r="5360" spans="13:19" ht="15" customHeight="1" x14ac:dyDescent="0.25">
      <c r="M5360"/>
      <c r="N5360"/>
      <c r="O5360"/>
      <c r="P5360" s="216"/>
      <c r="Q5360" s="217"/>
      <c r="R5360" s="217"/>
      <c r="S5360" s="218"/>
    </row>
    <row r="5361" spans="13:19" ht="15" customHeight="1" x14ac:dyDescent="0.25">
      <c r="M5361"/>
      <c r="N5361"/>
      <c r="O5361"/>
      <c r="P5361" s="216"/>
      <c r="Q5361" s="217"/>
      <c r="R5361" s="217"/>
      <c r="S5361" s="218"/>
    </row>
    <row r="5362" spans="13:19" ht="15" customHeight="1" x14ac:dyDescent="0.25">
      <c r="M5362"/>
      <c r="N5362"/>
      <c r="O5362"/>
      <c r="P5362" s="216"/>
      <c r="Q5362" s="217"/>
      <c r="R5362" s="217"/>
      <c r="S5362" s="218"/>
    </row>
    <row r="5363" spans="13:19" ht="15" customHeight="1" x14ac:dyDescent="0.25">
      <c r="M5363"/>
      <c r="N5363"/>
      <c r="O5363"/>
      <c r="P5363" s="216"/>
      <c r="Q5363" s="217"/>
      <c r="R5363" s="217"/>
      <c r="S5363" s="218"/>
    </row>
    <row r="5364" spans="13:19" ht="15" customHeight="1" x14ac:dyDescent="0.25">
      <c r="M5364"/>
      <c r="N5364"/>
      <c r="O5364"/>
      <c r="P5364" s="216"/>
      <c r="Q5364" s="217"/>
      <c r="R5364" s="217"/>
      <c r="S5364" s="218"/>
    </row>
    <row r="5365" spans="13:19" ht="15" customHeight="1" x14ac:dyDescent="0.25">
      <c r="M5365"/>
      <c r="N5365"/>
      <c r="O5365"/>
      <c r="P5365" s="216"/>
      <c r="Q5365" s="217"/>
      <c r="R5365" s="217"/>
      <c r="S5365" s="218"/>
    </row>
    <row r="5366" spans="13:19" ht="15" customHeight="1" x14ac:dyDescent="0.25">
      <c r="M5366"/>
      <c r="N5366"/>
      <c r="O5366"/>
      <c r="P5366" s="216"/>
      <c r="Q5366" s="217"/>
      <c r="R5366" s="217"/>
      <c r="S5366" s="218"/>
    </row>
    <row r="5367" spans="13:19" ht="15" customHeight="1" x14ac:dyDescent="0.25">
      <c r="M5367"/>
      <c r="N5367"/>
      <c r="O5367"/>
      <c r="P5367" s="216"/>
      <c r="Q5367" s="217"/>
      <c r="R5367" s="217"/>
      <c r="S5367" s="218"/>
    </row>
    <row r="5368" spans="13:19" ht="15" customHeight="1" x14ac:dyDescent="0.25">
      <c r="M5368"/>
      <c r="N5368"/>
      <c r="O5368"/>
      <c r="P5368" s="216"/>
      <c r="Q5368" s="217"/>
      <c r="R5368" s="217"/>
      <c r="S5368" s="218"/>
    </row>
    <row r="5369" spans="13:19" ht="15" customHeight="1" x14ac:dyDescent="0.25">
      <c r="M5369"/>
      <c r="N5369"/>
      <c r="O5369"/>
      <c r="P5369" s="216"/>
      <c r="Q5369" s="217"/>
      <c r="R5369" s="217"/>
      <c r="S5369" s="218"/>
    </row>
    <row r="5370" spans="13:19" ht="15" customHeight="1" x14ac:dyDescent="0.25">
      <c r="M5370"/>
      <c r="N5370"/>
      <c r="O5370"/>
      <c r="P5370" s="216"/>
      <c r="Q5370" s="217"/>
      <c r="R5370" s="217"/>
      <c r="S5370" s="218"/>
    </row>
    <row r="5371" spans="13:19" ht="15" customHeight="1" x14ac:dyDescent="0.25">
      <c r="M5371"/>
      <c r="N5371"/>
      <c r="O5371"/>
      <c r="P5371" s="216"/>
      <c r="Q5371" s="217"/>
      <c r="R5371" s="217"/>
      <c r="S5371" s="218"/>
    </row>
    <row r="5372" spans="13:19" ht="15" customHeight="1" x14ac:dyDescent="0.25">
      <c r="M5372"/>
      <c r="N5372"/>
      <c r="O5372"/>
      <c r="P5372" s="216"/>
      <c r="Q5372" s="217"/>
      <c r="R5372" s="217"/>
      <c r="S5372" s="218"/>
    </row>
    <row r="5373" spans="13:19" ht="15" customHeight="1" x14ac:dyDescent="0.25">
      <c r="M5373"/>
      <c r="N5373"/>
      <c r="O5373"/>
      <c r="P5373" s="216"/>
      <c r="Q5373" s="217"/>
      <c r="R5373" s="217"/>
      <c r="S5373" s="218"/>
    </row>
    <row r="5374" spans="13:19" ht="15" customHeight="1" x14ac:dyDescent="0.25">
      <c r="M5374"/>
      <c r="N5374"/>
      <c r="O5374"/>
      <c r="P5374" s="216"/>
      <c r="Q5374" s="217"/>
      <c r="R5374" s="217"/>
      <c r="S5374" s="218"/>
    </row>
    <row r="5375" spans="13:19" ht="15" customHeight="1" x14ac:dyDescent="0.25">
      <c r="M5375"/>
      <c r="N5375"/>
      <c r="O5375"/>
      <c r="P5375" s="216"/>
      <c r="Q5375" s="217"/>
      <c r="R5375" s="217"/>
      <c r="S5375" s="218"/>
    </row>
    <row r="5376" spans="13:19" ht="15" customHeight="1" x14ac:dyDescent="0.25">
      <c r="M5376"/>
      <c r="N5376"/>
      <c r="O5376"/>
      <c r="P5376" s="216"/>
      <c r="Q5376" s="217"/>
      <c r="R5376" s="217"/>
      <c r="S5376" s="218"/>
    </row>
    <row r="5377" spans="13:19" ht="15" customHeight="1" x14ac:dyDescent="0.25">
      <c r="M5377"/>
      <c r="N5377"/>
      <c r="O5377"/>
      <c r="P5377" s="216"/>
      <c r="Q5377" s="217"/>
      <c r="R5377" s="217"/>
      <c r="S5377" s="218"/>
    </row>
    <row r="5378" spans="13:19" ht="15" customHeight="1" x14ac:dyDescent="0.25">
      <c r="M5378"/>
      <c r="N5378"/>
      <c r="O5378"/>
      <c r="P5378" s="216"/>
      <c r="Q5378" s="217"/>
      <c r="R5378" s="217"/>
      <c r="S5378" s="218"/>
    </row>
    <row r="5379" spans="13:19" ht="15" customHeight="1" x14ac:dyDescent="0.25">
      <c r="M5379"/>
      <c r="N5379"/>
      <c r="O5379"/>
      <c r="P5379" s="216"/>
      <c r="Q5379" s="217"/>
      <c r="R5379" s="217"/>
      <c r="S5379" s="218"/>
    </row>
    <row r="5380" spans="13:19" ht="15" customHeight="1" x14ac:dyDescent="0.25">
      <c r="M5380"/>
      <c r="N5380"/>
      <c r="O5380"/>
      <c r="P5380" s="216"/>
      <c r="Q5380" s="217"/>
      <c r="R5380" s="217"/>
      <c r="S5380" s="218"/>
    </row>
    <row r="5381" spans="13:19" ht="15" customHeight="1" x14ac:dyDescent="0.25">
      <c r="M5381"/>
      <c r="N5381"/>
      <c r="O5381"/>
      <c r="P5381" s="216"/>
      <c r="Q5381" s="217"/>
      <c r="R5381" s="217"/>
      <c r="S5381" s="218"/>
    </row>
    <row r="5382" spans="13:19" ht="15" customHeight="1" x14ac:dyDescent="0.25">
      <c r="M5382"/>
      <c r="N5382"/>
      <c r="O5382"/>
      <c r="P5382" s="216"/>
      <c r="Q5382" s="217"/>
      <c r="R5382" s="217"/>
      <c r="S5382" s="218"/>
    </row>
    <row r="5383" spans="13:19" ht="15" customHeight="1" x14ac:dyDescent="0.25">
      <c r="M5383"/>
      <c r="N5383"/>
      <c r="O5383"/>
      <c r="P5383" s="216"/>
      <c r="Q5383" s="217"/>
      <c r="R5383" s="217"/>
      <c r="S5383" s="218"/>
    </row>
    <row r="5384" spans="13:19" ht="15" customHeight="1" x14ac:dyDescent="0.25">
      <c r="M5384"/>
      <c r="N5384"/>
      <c r="O5384"/>
      <c r="P5384" s="216"/>
      <c r="Q5384" s="217"/>
      <c r="R5384" s="217"/>
      <c r="S5384" s="218"/>
    </row>
    <row r="5385" spans="13:19" ht="15" customHeight="1" x14ac:dyDescent="0.25">
      <c r="M5385"/>
      <c r="N5385"/>
      <c r="O5385"/>
      <c r="P5385" s="216"/>
      <c r="Q5385" s="217"/>
      <c r="R5385" s="217"/>
      <c r="S5385" s="218"/>
    </row>
    <row r="5386" spans="13:19" ht="15" customHeight="1" x14ac:dyDescent="0.25">
      <c r="M5386"/>
      <c r="N5386"/>
      <c r="O5386"/>
      <c r="P5386" s="216"/>
      <c r="Q5386" s="217"/>
      <c r="R5386" s="217"/>
      <c r="S5386" s="218"/>
    </row>
    <row r="5387" spans="13:19" ht="15" customHeight="1" x14ac:dyDescent="0.25">
      <c r="M5387"/>
      <c r="N5387"/>
      <c r="O5387"/>
      <c r="P5387" s="216"/>
      <c r="Q5387" s="217"/>
      <c r="R5387" s="217"/>
      <c r="S5387" s="218"/>
    </row>
    <row r="5388" spans="13:19" ht="15" customHeight="1" x14ac:dyDescent="0.25">
      <c r="M5388"/>
      <c r="N5388"/>
      <c r="O5388"/>
      <c r="P5388" s="216"/>
      <c r="Q5388" s="217"/>
      <c r="R5388" s="217"/>
      <c r="S5388" s="218"/>
    </row>
    <row r="5389" spans="13:19" ht="15" customHeight="1" x14ac:dyDescent="0.25">
      <c r="M5389"/>
      <c r="N5389"/>
      <c r="O5389"/>
      <c r="P5389" s="216"/>
      <c r="Q5389" s="217"/>
      <c r="R5389" s="217"/>
      <c r="S5389" s="218"/>
    </row>
    <row r="5390" spans="13:19" ht="15" customHeight="1" x14ac:dyDescent="0.25">
      <c r="M5390"/>
      <c r="N5390"/>
      <c r="O5390"/>
      <c r="P5390" s="216"/>
      <c r="Q5390" s="217"/>
      <c r="R5390" s="217"/>
      <c r="S5390" s="218"/>
    </row>
    <row r="5391" spans="13:19" ht="15" customHeight="1" x14ac:dyDescent="0.25">
      <c r="M5391"/>
      <c r="N5391"/>
      <c r="O5391"/>
      <c r="P5391" s="216"/>
      <c r="Q5391" s="217"/>
      <c r="R5391" s="217"/>
      <c r="S5391" s="218"/>
    </row>
    <row r="5392" spans="13:19" ht="15" customHeight="1" x14ac:dyDescent="0.25">
      <c r="M5392"/>
      <c r="N5392"/>
      <c r="O5392"/>
      <c r="P5392" s="216"/>
      <c r="Q5392" s="217"/>
      <c r="R5392" s="217"/>
      <c r="S5392" s="218"/>
    </row>
    <row r="5393" spans="13:19" ht="15" customHeight="1" x14ac:dyDescent="0.25">
      <c r="M5393"/>
      <c r="N5393"/>
      <c r="O5393"/>
      <c r="P5393" s="216"/>
      <c r="Q5393" s="217"/>
      <c r="R5393" s="217"/>
      <c r="S5393" s="218"/>
    </row>
    <row r="5394" spans="13:19" ht="15" customHeight="1" x14ac:dyDescent="0.25">
      <c r="M5394"/>
      <c r="N5394"/>
      <c r="O5394"/>
      <c r="P5394" s="216"/>
      <c r="Q5394" s="217"/>
      <c r="R5394" s="217"/>
      <c r="S5394" s="218"/>
    </row>
    <row r="5395" spans="13:19" ht="15" customHeight="1" x14ac:dyDescent="0.25">
      <c r="M5395"/>
      <c r="N5395"/>
      <c r="O5395"/>
      <c r="P5395" s="216"/>
      <c r="Q5395" s="217"/>
      <c r="R5395" s="217"/>
      <c r="S5395" s="218"/>
    </row>
    <row r="5396" spans="13:19" ht="15" customHeight="1" x14ac:dyDescent="0.25">
      <c r="M5396"/>
      <c r="N5396"/>
      <c r="O5396"/>
      <c r="P5396" s="216"/>
      <c r="Q5396" s="217"/>
      <c r="R5396" s="217"/>
      <c r="S5396" s="218"/>
    </row>
    <row r="5397" spans="13:19" ht="15" customHeight="1" x14ac:dyDescent="0.25">
      <c r="M5397"/>
      <c r="N5397"/>
      <c r="O5397"/>
      <c r="P5397" s="216"/>
      <c r="Q5397" s="217"/>
      <c r="R5397" s="217"/>
      <c r="S5397" s="218"/>
    </row>
    <row r="5398" spans="13:19" ht="15" customHeight="1" x14ac:dyDescent="0.25">
      <c r="M5398"/>
      <c r="N5398"/>
      <c r="O5398"/>
      <c r="P5398" s="216"/>
      <c r="Q5398" s="217"/>
      <c r="R5398" s="217"/>
      <c r="S5398" s="218"/>
    </row>
    <row r="5399" spans="13:19" ht="15" customHeight="1" x14ac:dyDescent="0.25">
      <c r="M5399"/>
      <c r="N5399"/>
      <c r="O5399"/>
      <c r="P5399" s="216"/>
      <c r="Q5399" s="217"/>
      <c r="R5399" s="217"/>
      <c r="S5399" s="218"/>
    </row>
    <row r="5400" spans="13:19" ht="15" customHeight="1" x14ac:dyDescent="0.25">
      <c r="M5400"/>
      <c r="N5400"/>
      <c r="O5400"/>
      <c r="P5400" s="216"/>
      <c r="Q5400" s="217"/>
      <c r="R5400" s="217"/>
      <c r="S5400" s="218"/>
    </row>
    <row r="5401" spans="13:19" ht="15" customHeight="1" x14ac:dyDescent="0.25">
      <c r="M5401"/>
      <c r="N5401"/>
      <c r="O5401"/>
      <c r="P5401" s="216"/>
      <c r="Q5401" s="217"/>
      <c r="R5401" s="217"/>
      <c r="S5401" s="218"/>
    </row>
    <row r="5402" spans="13:19" ht="15" customHeight="1" x14ac:dyDescent="0.25">
      <c r="M5402"/>
      <c r="N5402"/>
      <c r="O5402"/>
      <c r="P5402" s="216"/>
      <c r="Q5402" s="217"/>
      <c r="R5402" s="217"/>
      <c r="S5402" s="218"/>
    </row>
    <row r="5403" spans="13:19" ht="15" customHeight="1" x14ac:dyDescent="0.25">
      <c r="M5403"/>
      <c r="N5403"/>
      <c r="O5403"/>
      <c r="P5403" s="216"/>
      <c r="Q5403" s="217"/>
      <c r="R5403" s="217"/>
      <c r="S5403" s="218"/>
    </row>
    <row r="5404" spans="13:19" ht="15" customHeight="1" x14ac:dyDescent="0.25">
      <c r="M5404"/>
      <c r="N5404"/>
      <c r="O5404"/>
      <c r="P5404" s="216"/>
      <c r="Q5404" s="217"/>
      <c r="R5404" s="217"/>
      <c r="S5404" s="218"/>
    </row>
    <row r="5405" spans="13:19" ht="15" customHeight="1" x14ac:dyDescent="0.25">
      <c r="M5405"/>
      <c r="N5405"/>
      <c r="O5405"/>
      <c r="P5405" s="216"/>
      <c r="Q5405" s="217"/>
      <c r="R5405" s="217"/>
      <c r="S5405" s="218"/>
    </row>
    <row r="5406" spans="13:19" ht="15" customHeight="1" x14ac:dyDescent="0.25">
      <c r="M5406"/>
      <c r="N5406"/>
      <c r="O5406"/>
      <c r="P5406" s="216"/>
      <c r="Q5406" s="217"/>
      <c r="R5406" s="217"/>
      <c r="S5406" s="218"/>
    </row>
    <row r="5407" spans="13:19" ht="15" customHeight="1" x14ac:dyDescent="0.25">
      <c r="M5407"/>
      <c r="N5407"/>
      <c r="O5407"/>
      <c r="P5407" s="216"/>
      <c r="Q5407" s="217"/>
      <c r="R5407" s="217"/>
      <c r="S5407" s="218"/>
    </row>
    <row r="5408" spans="13:19" ht="15" customHeight="1" x14ac:dyDescent="0.25">
      <c r="M5408"/>
      <c r="N5408"/>
      <c r="O5408"/>
      <c r="P5408" s="216"/>
      <c r="Q5408" s="217"/>
      <c r="R5408" s="217"/>
      <c r="S5408" s="218"/>
    </row>
    <row r="5409" spans="13:19" ht="15" customHeight="1" x14ac:dyDescent="0.25">
      <c r="M5409"/>
      <c r="N5409"/>
      <c r="O5409"/>
      <c r="P5409" s="216"/>
      <c r="Q5409" s="217"/>
      <c r="R5409" s="217"/>
      <c r="S5409" s="218"/>
    </row>
    <row r="5410" spans="13:19" ht="15" customHeight="1" x14ac:dyDescent="0.25">
      <c r="M5410"/>
      <c r="N5410"/>
      <c r="O5410"/>
      <c r="P5410" s="216"/>
      <c r="Q5410" s="217"/>
      <c r="R5410" s="217"/>
      <c r="S5410" s="218"/>
    </row>
    <row r="5411" spans="13:19" ht="15" customHeight="1" x14ac:dyDescent="0.25">
      <c r="M5411"/>
      <c r="N5411"/>
      <c r="O5411"/>
      <c r="P5411" s="216"/>
      <c r="Q5411" s="217"/>
      <c r="R5411" s="217"/>
      <c r="S5411" s="218"/>
    </row>
    <row r="5412" spans="13:19" ht="15" customHeight="1" x14ac:dyDescent="0.25">
      <c r="M5412"/>
      <c r="N5412"/>
      <c r="O5412"/>
      <c r="P5412" s="216"/>
      <c r="Q5412" s="217"/>
      <c r="R5412" s="217"/>
      <c r="S5412" s="218"/>
    </row>
    <row r="5413" spans="13:19" ht="15" customHeight="1" x14ac:dyDescent="0.25">
      <c r="M5413"/>
      <c r="N5413"/>
      <c r="O5413"/>
      <c r="P5413" s="216"/>
      <c r="Q5413" s="217"/>
      <c r="R5413" s="217"/>
      <c r="S5413" s="218"/>
    </row>
    <row r="5414" spans="13:19" ht="15" customHeight="1" x14ac:dyDescent="0.25">
      <c r="M5414"/>
      <c r="N5414"/>
      <c r="O5414"/>
      <c r="P5414" s="216"/>
      <c r="Q5414" s="217"/>
      <c r="R5414" s="217"/>
      <c r="S5414" s="218"/>
    </row>
    <row r="5415" spans="13:19" ht="15" customHeight="1" x14ac:dyDescent="0.25">
      <c r="M5415"/>
      <c r="N5415"/>
      <c r="O5415"/>
      <c r="P5415" s="216"/>
      <c r="Q5415" s="217"/>
      <c r="R5415" s="217"/>
      <c r="S5415" s="218"/>
    </row>
    <row r="5416" spans="13:19" ht="15" customHeight="1" x14ac:dyDescent="0.25">
      <c r="M5416"/>
      <c r="N5416"/>
      <c r="O5416"/>
      <c r="P5416" s="216"/>
      <c r="Q5416" s="217"/>
      <c r="R5416" s="217"/>
      <c r="S5416" s="218"/>
    </row>
    <row r="5417" spans="13:19" ht="15" customHeight="1" x14ac:dyDescent="0.25">
      <c r="M5417"/>
      <c r="N5417"/>
      <c r="O5417"/>
      <c r="P5417" s="216"/>
      <c r="Q5417" s="217"/>
      <c r="R5417" s="217"/>
      <c r="S5417" s="218"/>
    </row>
    <row r="5418" spans="13:19" ht="15" customHeight="1" x14ac:dyDescent="0.25">
      <c r="M5418"/>
      <c r="N5418"/>
      <c r="O5418"/>
      <c r="P5418" s="216"/>
      <c r="Q5418" s="217"/>
      <c r="R5418" s="217"/>
      <c r="S5418" s="218"/>
    </row>
    <row r="5419" spans="13:19" ht="15" customHeight="1" x14ac:dyDescent="0.25">
      <c r="M5419"/>
      <c r="N5419"/>
      <c r="O5419"/>
      <c r="P5419" s="216"/>
      <c r="Q5419" s="217"/>
      <c r="R5419" s="217"/>
      <c r="S5419" s="218"/>
    </row>
    <row r="5420" spans="13:19" ht="15" customHeight="1" x14ac:dyDescent="0.25">
      <c r="M5420"/>
      <c r="N5420"/>
      <c r="O5420"/>
      <c r="P5420" s="216"/>
      <c r="Q5420" s="217"/>
      <c r="R5420" s="217"/>
      <c r="S5420" s="218"/>
    </row>
    <row r="5421" spans="13:19" ht="15" customHeight="1" x14ac:dyDescent="0.25">
      <c r="M5421"/>
      <c r="N5421"/>
      <c r="O5421"/>
      <c r="P5421" s="216"/>
      <c r="Q5421" s="217"/>
      <c r="R5421" s="217"/>
      <c r="S5421" s="218"/>
    </row>
    <row r="5422" spans="13:19" ht="15" customHeight="1" x14ac:dyDescent="0.25">
      <c r="M5422"/>
      <c r="N5422"/>
      <c r="O5422"/>
      <c r="P5422" s="216"/>
      <c r="Q5422" s="217"/>
      <c r="R5422" s="217"/>
      <c r="S5422" s="218"/>
    </row>
    <row r="5423" spans="13:19" ht="15" customHeight="1" x14ac:dyDescent="0.25">
      <c r="M5423"/>
      <c r="N5423"/>
      <c r="O5423"/>
      <c r="P5423" s="216"/>
      <c r="Q5423" s="217"/>
      <c r="R5423" s="217"/>
      <c r="S5423" s="218"/>
    </row>
    <row r="5424" spans="13:19" ht="15" customHeight="1" x14ac:dyDescent="0.25">
      <c r="M5424"/>
      <c r="N5424"/>
      <c r="O5424"/>
      <c r="P5424" s="216"/>
      <c r="Q5424" s="217"/>
      <c r="R5424" s="217"/>
      <c r="S5424" s="218"/>
    </row>
    <row r="5425" spans="13:19" ht="15" customHeight="1" x14ac:dyDescent="0.25">
      <c r="M5425"/>
      <c r="N5425"/>
      <c r="O5425"/>
      <c r="P5425" s="216"/>
      <c r="Q5425" s="217"/>
      <c r="R5425" s="217"/>
      <c r="S5425" s="218"/>
    </row>
    <row r="5426" spans="13:19" ht="15" customHeight="1" x14ac:dyDescent="0.25">
      <c r="M5426"/>
      <c r="N5426"/>
      <c r="O5426"/>
      <c r="P5426" s="216"/>
      <c r="Q5426" s="217"/>
      <c r="R5426" s="217"/>
      <c r="S5426" s="218"/>
    </row>
    <row r="5427" spans="13:19" ht="15" customHeight="1" x14ac:dyDescent="0.25">
      <c r="M5427"/>
      <c r="N5427"/>
      <c r="O5427"/>
      <c r="P5427" s="216"/>
      <c r="Q5427" s="217"/>
      <c r="R5427" s="217"/>
      <c r="S5427" s="218"/>
    </row>
    <row r="5428" spans="13:19" ht="15" customHeight="1" x14ac:dyDescent="0.25">
      <c r="M5428"/>
      <c r="N5428"/>
      <c r="O5428"/>
      <c r="P5428" s="216"/>
      <c r="Q5428" s="217"/>
      <c r="R5428" s="217"/>
      <c r="S5428" s="218"/>
    </row>
    <row r="5429" spans="13:19" ht="15" customHeight="1" x14ac:dyDescent="0.25">
      <c r="M5429"/>
      <c r="N5429"/>
      <c r="O5429"/>
      <c r="P5429" s="216"/>
      <c r="Q5429" s="217"/>
      <c r="R5429" s="217"/>
      <c r="S5429" s="218"/>
    </row>
    <row r="5430" spans="13:19" ht="15" customHeight="1" x14ac:dyDescent="0.25">
      <c r="M5430"/>
      <c r="N5430"/>
      <c r="O5430"/>
      <c r="P5430" s="216"/>
      <c r="Q5430" s="217"/>
      <c r="R5430" s="217"/>
      <c r="S5430" s="218"/>
    </row>
    <row r="5431" spans="13:19" ht="15" customHeight="1" x14ac:dyDescent="0.25">
      <c r="M5431"/>
      <c r="N5431"/>
      <c r="O5431"/>
      <c r="P5431" s="216"/>
      <c r="Q5431" s="217"/>
      <c r="R5431" s="217"/>
      <c r="S5431" s="218"/>
    </row>
    <row r="5432" spans="13:19" ht="15" customHeight="1" x14ac:dyDescent="0.25">
      <c r="M5432"/>
      <c r="N5432"/>
      <c r="O5432"/>
      <c r="P5432" s="216"/>
      <c r="Q5432" s="217"/>
      <c r="R5432" s="217"/>
      <c r="S5432" s="218"/>
    </row>
    <row r="5433" spans="13:19" ht="15" customHeight="1" x14ac:dyDescent="0.25">
      <c r="M5433"/>
      <c r="N5433"/>
      <c r="O5433"/>
      <c r="P5433" s="216"/>
      <c r="Q5433" s="217"/>
      <c r="R5433" s="217"/>
      <c r="S5433" s="218"/>
    </row>
    <row r="5434" spans="13:19" ht="15" customHeight="1" x14ac:dyDescent="0.25">
      <c r="M5434"/>
      <c r="N5434"/>
      <c r="O5434"/>
      <c r="P5434" s="216"/>
      <c r="Q5434" s="217"/>
      <c r="R5434" s="217"/>
      <c r="S5434" s="218"/>
    </row>
    <row r="5435" spans="13:19" ht="15" customHeight="1" x14ac:dyDescent="0.25">
      <c r="M5435"/>
      <c r="N5435"/>
      <c r="O5435"/>
      <c r="P5435" s="216"/>
      <c r="Q5435" s="217"/>
      <c r="R5435" s="217"/>
      <c r="S5435" s="218"/>
    </row>
    <row r="5436" spans="13:19" ht="15" customHeight="1" x14ac:dyDescent="0.25">
      <c r="M5436"/>
      <c r="N5436"/>
      <c r="O5436"/>
      <c r="P5436" s="216"/>
      <c r="Q5436" s="217"/>
      <c r="R5436" s="217"/>
      <c r="S5436" s="218"/>
    </row>
    <row r="5437" spans="13:19" ht="15" customHeight="1" x14ac:dyDescent="0.25">
      <c r="M5437"/>
      <c r="N5437"/>
      <c r="O5437"/>
      <c r="P5437" s="216"/>
      <c r="Q5437" s="217"/>
      <c r="R5437" s="217"/>
      <c r="S5437" s="218"/>
    </row>
    <row r="5438" spans="13:19" ht="15" customHeight="1" x14ac:dyDescent="0.25">
      <c r="M5438"/>
      <c r="N5438"/>
      <c r="O5438"/>
      <c r="P5438" s="216"/>
      <c r="Q5438" s="217"/>
      <c r="R5438" s="217"/>
      <c r="S5438" s="218"/>
    </row>
    <row r="5439" spans="13:19" ht="15" customHeight="1" x14ac:dyDescent="0.25">
      <c r="M5439"/>
      <c r="N5439"/>
      <c r="O5439"/>
      <c r="P5439" s="216"/>
      <c r="Q5439" s="217"/>
      <c r="R5439" s="217"/>
      <c r="S5439" s="218"/>
    </row>
    <row r="5440" spans="13:19" ht="15" customHeight="1" x14ac:dyDescent="0.25">
      <c r="M5440"/>
      <c r="N5440"/>
      <c r="O5440"/>
      <c r="P5440" s="216"/>
      <c r="Q5440" s="217"/>
      <c r="R5440" s="217"/>
      <c r="S5440" s="218"/>
    </row>
    <row r="5441" spans="13:19" ht="15" customHeight="1" x14ac:dyDescent="0.25">
      <c r="M5441"/>
      <c r="N5441"/>
      <c r="O5441"/>
      <c r="P5441" s="216"/>
      <c r="Q5441" s="217"/>
      <c r="R5441" s="217"/>
      <c r="S5441" s="218"/>
    </row>
    <row r="5442" spans="13:19" ht="15" customHeight="1" x14ac:dyDescent="0.25">
      <c r="M5442"/>
      <c r="N5442"/>
      <c r="O5442"/>
      <c r="P5442" s="216"/>
      <c r="Q5442" s="217"/>
      <c r="R5442" s="217"/>
      <c r="S5442" s="218"/>
    </row>
    <row r="5443" spans="13:19" ht="15" customHeight="1" x14ac:dyDescent="0.25">
      <c r="M5443"/>
      <c r="N5443"/>
      <c r="O5443"/>
      <c r="P5443" s="216"/>
      <c r="Q5443" s="217"/>
      <c r="R5443" s="217"/>
      <c r="S5443" s="218"/>
    </row>
    <row r="5444" spans="13:19" ht="15" customHeight="1" x14ac:dyDescent="0.25">
      <c r="M5444"/>
      <c r="N5444"/>
      <c r="O5444"/>
      <c r="P5444" s="216"/>
      <c r="Q5444" s="217"/>
      <c r="R5444" s="217"/>
      <c r="S5444" s="218"/>
    </row>
    <row r="5445" spans="13:19" ht="15" customHeight="1" x14ac:dyDescent="0.25">
      <c r="M5445"/>
      <c r="N5445"/>
      <c r="O5445"/>
      <c r="P5445" s="216"/>
      <c r="Q5445" s="217"/>
      <c r="R5445" s="217"/>
      <c r="S5445" s="218"/>
    </row>
    <row r="5446" spans="13:19" ht="15" customHeight="1" x14ac:dyDescent="0.25">
      <c r="M5446"/>
      <c r="N5446"/>
      <c r="O5446"/>
      <c r="P5446" s="216"/>
      <c r="Q5446" s="217"/>
      <c r="R5446" s="217"/>
      <c r="S5446" s="218"/>
    </row>
    <row r="5447" spans="13:19" ht="15" customHeight="1" x14ac:dyDescent="0.25">
      <c r="M5447"/>
      <c r="N5447"/>
      <c r="O5447"/>
      <c r="P5447" s="216"/>
      <c r="Q5447" s="217"/>
      <c r="R5447" s="217"/>
      <c r="S5447" s="218"/>
    </row>
    <row r="5448" spans="13:19" ht="15" customHeight="1" x14ac:dyDescent="0.25">
      <c r="M5448"/>
      <c r="N5448"/>
      <c r="O5448"/>
      <c r="P5448" s="216"/>
      <c r="Q5448" s="217"/>
      <c r="R5448" s="217"/>
      <c r="S5448" s="218"/>
    </row>
    <row r="5449" spans="13:19" ht="15" customHeight="1" x14ac:dyDescent="0.25">
      <c r="M5449"/>
      <c r="N5449"/>
      <c r="O5449"/>
      <c r="P5449" s="216"/>
      <c r="Q5449" s="217"/>
      <c r="R5449" s="217"/>
      <c r="S5449" s="218"/>
    </row>
    <row r="5450" spans="13:19" ht="15" customHeight="1" x14ac:dyDescent="0.25">
      <c r="M5450"/>
      <c r="N5450"/>
      <c r="O5450"/>
      <c r="P5450" s="216"/>
      <c r="Q5450" s="217"/>
      <c r="R5450" s="217"/>
      <c r="S5450" s="218"/>
    </row>
    <row r="5451" spans="13:19" ht="15" customHeight="1" x14ac:dyDescent="0.25">
      <c r="M5451"/>
      <c r="N5451"/>
      <c r="O5451"/>
      <c r="P5451" s="216"/>
      <c r="Q5451" s="217"/>
      <c r="R5451" s="217"/>
      <c r="S5451" s="218"/>
    </row>
    <row r="5452" spans="13:19" ht="15" customHeight="1" x14ac:dyDescent="0.25">
      <c r="M5452"/>
      <c r="N5452"/>
      <c r="O5452"/>
      <c r="P5452" s="216"/>
      <c r="Q5452" s="217"/>
      <c r="R5452" s="217"/>
      <c r="S5452" s="218"/>
    </row>
    <row r="5453" spans="13:19" ht="15" customHeight="1" x14ac:dyDescent="0.25">
      <c r="M5453"/>
      <c r="N5453"/>
      <c r="O5453"/>
      <c r="P5453" s="216"/>
      <c r="Q5453" s="217"/>
      <c r="R5453" s="217"/>
      <c r="S5453" s="218"/>
    </row>
    <row r="5454" spans="13:19" ht="15" customHeight="1" x14ac:dyDescent="0.25">
      <c r="M5454"/>
      <c r="N5454"/>
      <c r="O5454"/>
      <c r="P5454" s="216"/>
      <c r="Q5454" s="217"/>
      <c r="R5454" s="217"/>
      <c r="S5454" s="218"/>
    </row>
    <row r="5455" spans="13:19" ht="15" customHeight="1" x14ac:dyDescent="0.25">
      <c r="M5455"/>
      <c r="N5455"/>
      <c r="O5455"/>
      <c r="P5455" s="216"/>
      <c r="Q5455" s="217"/>
      <c r="R5455" s="217"/>
      <c r="S5455" s="218"/>
    </row>
    <row r="5456" spans="13:19" ht="15" customHeight="1" x14ac:dyDescent="0.25">
      <c r="M5456"/>
      <c r="N5456"/>
      <c r="O5456"/>
      <c r="P5456" s="216"/>
      <c r="Q5456" s="217"/>
      <c r="R5456" s="217"/>
      <c r="S5456" s="218"/>
    </row>
    <row r="5457" spans="13:19" ht="15" customHeight="1" x14ac:dyDescent="0.25">
      <c r="M5457"/>
      <c r="N5457"/>
      <c r="O5457"/>
      <c r="P5457" s="216"/>
      <c r="Q5457" s="217"/>
      <c r="R5457" s="217"/>
      <c r="S5457" s="218"/>
    </row>
    <row r="5458" spans="13:19" ht="15" customHeight="1" x14ac:dyDescent="0.25">
      <c r="M5458"/>
      <c r="N5458"/>
      <c r="O5458"/>
      <c r="P5458" s="216"/>
      <c r="Q5458" s="217"/>
      <c r="R5458" s="217"/>
      <c r="S5458" s="218"/>
    </row>
    <row r="5459" spans="13:19" ht="15" customHeight="1" x14ac:dyDescent="0.25">
      <c r="M5459"/>
      <c r="N5459"/>
      <c r="O5459"/>
      <c r="P5459" s="216"/>
      <c r="Q5459" s="217"/>
      <c r="R5459" s="217"/>
      <c r="S5459" s="218"/>
    </row>
    <row r="5460" spans="13:19" ht="15" customHeight="1" x14ac:dyDescent="0.25">
      <c r="M5460"/>
      <c r="N5460"/>
      <c r="O5460"/>
      <c r="P5460" s="216"/>
      <c r="Q5460" s="217"/>
      <c r="R5460" s="217"/>
      <c r="S5460" s="218"/>
    </row>
    <row r="5461" spans="13:19" ht="15" customHeight="1" x14ac:dyDescent="0.25">
      <c r="M5461"/>
      <c r="N5461"/>
      <c r="O5461"/>
      <c r="P5461" s="216"/>
      <c r="Q5461" s="217"/>
      <c r="R5461" s="217"/>
      <c r="S5461" s="218"/>
    </row>
    <row r="5462" spans="13:19" ht="15" customHeight="1" x14ac:dyDescent="0.25">
      <c r="M5462"/>
      <c r="N5462"/>
      <c r="O5462"/>
      <c r="P5462" s="216"/>
      <c r="Q5462" s="217"/>
      <c r="R5462" s="217"/>
      <c r="S5462" s="218"/>
    </row>
    <row r="5463" spans="13:19" ht="15" customHeight="1" x14ac:dyDescent="0.25">
      <c r="M5463"/>
      <c r="N5463"/>
      <c r="O5463"/>
      <c r="P5463" s="216"/>
      <c r="Q5463" s="217"/>
      <c r="R5463" s="217"/>
      <c r="S5463" s="218"/>
    </row>
    <row r="5464" spans="13:19" ht="15" customHeight="1" x14ac:dyDescent="0.25">
      <c r="M5464"/>
      <c r="N5464"/>
      <c r="O5464"/>
      <c r="P5464" s="216"/>
      <c r="Q5464" s="217"/>
      <c r="R5464" s="217"/>
      <c r="S5464" s="218"/>
    </row>
    <row r="5465" spans="13:19" ht="15" customHeight="1" x14ac:dyDescent="0.25">
      <c r="M5465"/>
      <c r="N5465"/>
      <c r="O5465"/>
      <c r="P5465" s="216"/>
      <c r="Q5465" s="217"/>
      <c r="R5465" s="217"/>
      <c r="S5465" s="218"/>
    </row>
    <row r="5466" spans="13:19" ht="15" customHeight="1" x14ac:dyDescent="0.25">
      <c r="M5466"/>
      <c r="N5466"/>
      <c r="O5466"/>
      <c r="P5466" s="216"/>
      <c r="Q5466" s="217"/>
      <c r="R5466" s="217"/>
      <c r="S5466" s="218"/>
    </row>
    <row r="5467" spans="13:19" ht="15" customHeight="1" x14ac:dyDescent="0.25">
      <c r="M5467"/>
      <c r="N5467"/>
      <c r="O5467"/>
      <c r="P5467" s="216"/>
      <c r="Q5467" s="217"/>
      <c r="R5467" s="217"/>
      <c r="S5467" s="218"/>
    </row>
    <row r="5468" spans="13:19" ht="15" customHeight="1" x14ac:dyDescent="0.25">
      <c r="M5468"/>
      <c r="N5468"/>
      <c r="O5468"/>
      <c r="P5468" s="216"/>
      <c r="Q5468" s="217"/>
      <c r="R5468" s="217"/>
      <c r="S5468" s="218"/>
    </row>
    <row r="5469" spans="13:19" ht="15" customHeight="1" x14ac:dyDescent="0.25">
      <c r="M5469"/>
      <c r="N5469"/>
      <c r="O5469"/>
      <c r="P5469" s="216"/>
      <c r="Q5469" s="217"/>
      <c r="R5469" s="217"/>
      <c r="S5469" s="218"/>
    </row>
    <row r="5470" spans="13:19" ht="15" customHeight="1" x14ac:dyDescent="0.25">
      <c r="M5470"/>
      <c r="N5470"/>
      <c r="O5470"/>
      <c r="P5470" s="216"/>
      <c r="Q5470" s="217"/>
      <c r="R5470" s="217"/>
      <c r="S5470" s="218"/>
    </row>
    <row r="5471" spans="13:19" ht="15" customHeight="1" x14ac:dyDescent="0.25">
      <c r="M5471"/>
      <c r="N5471"/>
      <c r="O5471"/>
      <c r="P5471" s="216"/>
      <c r="Q5471" s="217"/>
      <c r="R5471" s="217"/>
      <c r="S5471" s="218"/>
    </row>
    <row r="5472" spans="13:19" ht="15" customHeight="1" x14ac:dyDescent="0.25">
      <c r="M5472"/>
      <c r="N5472"/>
      <c r="O5472"/>
      <c r="P5472" s="216"/>
      <c r="Q5472" s="217"/>
      <c r="R5472" s="217"/>
      <c r="S5472" s="218"/>
    </row>
    <row r="5473" spans="13:19" ht="15" customHeight="1" x14ac:dyDescent="0.25">
      <c r="M5473"/>
      <c r="N5473"/>
      <c r="O5473"/>
      <c r="P5473" s="216"/>
      <c r="Q5473" s="217"/>
      <c r="R5473" s="217"/>
      <c r="S5473" s="218"/>
    </row>
    <row r="5474" spans="13:19" ht="15" customHeight="1" x14ac:dyDescent="0.25">
      <c r="M5474"/>
      <c r="N5474"/>
      <c r="O5474"/>
      <c r="P5474" s="216"/>
      <c r="Q5474" s="217"/>
      <c r="R5474" s="217"/>
      <c r="S5474" s="218"/>
    </row>
    <row r="5475" spans="13:19" ht="15" customHeight="1" x14ac:dyDescent="0.25">
      <c r="M5475"/>
      <c r="N5475"/>
      <c r="O5475"/>
      <c r="P5475" s="216"/>
      <c r="Q5475" s="217"/>
      <c r="R5475" s="217"/>
      <c r="S5475" s="218"/>
    </row>
    <row r="5476" spans="13:19" ht="15" customHeight="1" x14ac:dyDescent="0.25">
      <c r="M5476"/>
      <c r="N5476"/>
      <c r="O5476"/>
      <c r="P5476" s="216"/>
      <c r="Q5476" s="217"/>
      <c r="R5476" s="217"/>
      <c r="S5476" s="218"/>
    </row>
    <row r="5477" spans="13:19" ht="15" customHeight="1" x14ac:dyDescent="0.25">
      <c r="M5477"/>
      <c r="N5477"/>
      <c r="O5477"/>
      <c r="P5477" s="216"/>
      <c r="Q5477" s="217"/>
      <c r="R5477" s="217"/>
      <c r="S5477" s="218"/>
    </row>
    <row r="5478" spans="13:19" ht="15" customHeight="1" x14ac:dyDescent="0.25">
      <c r="M5478"/>
      <c r="N5478"/>
      <c r="O5478"/>
      <c r="P5478" s="216"/>
      <c r="Q5478" s="217"/>
      <c r="R5478" s="217"/>
      <c r="S5478" s="218"/>
    </row>
    <row r="5479" spans="13:19" ht="15" customHeight="1" x14ac:dyDescent="0.25">
      <c r="M5479"/>
      <c r="N5479"/>
      <c r="O5479"/>
      <c r="P5479" s="216"/>
      <c r="Q5479" s="217"/>
      <c r="R5479" s="217"/>
      <c r="S5479" s="218"/>
    </row>
    <row r="5480" spans="13:19" ht="15" customHeight="1" x14ac:dyDescent="0.25">
      <c r="M5480"/>
      <c r="N5480"/>
      <c r="O5480"/>
      <c r="P5480" s="216"/>
      <c r="Q5480" s="217"/>
      <c r="R5480" s="217"/>
      <c r="S5480" s="218"/>
    </row>
    <row r="5481" spans="13:19" ht="15" customHeight="1" x14ac:dyDescent="0.25">
      <c r="M5481"/>
      <c r="N5481"/>
      <c r="O5481"/>
      <c r="P5481" s="216"/>
      <c r="Q5481" s="217"/>
      <c r="R5481" s="217"/>
      <c r="S5481" s="218"/>
    </row>
    <row r="5482" spans="13:19" ht="15" customHeight="1" x14ac:dyDescent="0.25">
      <c r="M5482"/>
      <c r="N5482"/>
      <c r="O5482"/>
      <c r="P5482" s="216"/>
      <c r="Q5482" s="217"/>
      <c r="R5482" s="217"/>
      <c r="S5482" s="218"/>
    </row>
    <row r="5483" spans="13:19" ht="15" customHeight="1" x14ac:dyDescent="0.25">
      <c r="M5483"/>
      <c r="N5483"/>
      <c r="O5483"/>
      <c r="P5483" s="216"/>
      <c r="Q5483" s="217"/>
      <c r="R5483" s="217"/>
      <c r="S5483" s="218"/>
    </row>
    <row r="5484" spans="13:19" ht="15" customHeight="1" x14ac:dyDescent="0.25">
      <c r="M5484"/>
      <c r="N5484"/>
      <c r="O5484"/>
      <c r="P5484" s="216"/>
      <c r="Q5484" s="217"/>
      <c r="R5484" s="217"/>
      <c r="S5484" s="218"/>
    </row>
    <row r="5485" spans="13:19" ht="15" customHeight="1" x14ac:dyDescent="0.25">
      <c r="M5485"/>
      <c r="N5485"/>
      <c r="O5485"/>
      <c r="P5485" s="216"/>
      <c r="Q5485" s="217"/>
      <c r="R5485" s="217"/>
      <c r="S5485" s="218"/>
    </row>
    <row r="5486" spans="13:19" ht="15" customHeight="1" x14ac:dyDescent="0.25">
      <c r="M5486"/>
      <c r="N5486"/>
      <c r="O5486"/>
      <c r="P5486" s="216"/>
      <c r="Q5486" s="217"/>
      <c r="R5486" s="217"/>
      <c r="S5486" s="218"/>
    </row>
    <row r="5487" spans="13:19" ht="15" customHeight="1" x14ac:dyDescent="0.25">
      <c r="M5487"/>
      <c r="N5487"/>
      <c r="O5487"/>
      <c r="P5487" s="216"/>
      <c r="Q5487" s="217"/>
      <c r="R5487" s="217"/>
      <c r="S5487" s="218"/>
    </row>
    <row r="5488" spans="13:19" ht="15" customHeight="1" x14ac:dyDescent="0.25">
      <c r="M5488"/>
      <c r="N5488"/>
      <c r="O5488"/>
      <c r="P5488" s="216"/>
      <c r="Q5488" s="217"/>
      <c r="R5488" s="217"/>
      <c r="S5488" s="218"/>
    </row>
    <row r="5489" spans="13:19" ht="15" customHeight="1" x14ac:dyDescent="0.25">
      <c r="M5489"/>
      <c r="N5489"/>
      <c r="O5489"/>
      <c r="P5489" s="216"/>
      <c r="Q5489" s="217"/>
      <c r="R5489" s="217"/>
      <c r="S5489" s="218"/>
    </row>
    <row r="5490" spans="13:19" ht="15" customHeight="1" x14ac:dyDescent="0.25">
      <c r="M5490"/>
      <c r="N5490"/>
      <c r="O5490"/>
      <c r="P5490" s="216"/>
      <c r="Q5490" s="217"/>
      <c r="R5490" s="217"/>
      <c r="S5490" s="218"/>
    </row>
    <row r="5491" spans="13:19" ht="15" customHeight="1" x14ac:dyDescent="0.25">
      <c r="M5491"/>
      <c r="N5491"/>
      <c r="O5491"/>
      <c r="P5491" s="216"/>
      <c r="Q5491" s="217"/>
      <c r="R5491" s="217"/>
      <c r="S5491" s="218"/>
    </row>
    <row r="5492" spans="13:19" ht="15" customHeight="1" x14ac:dyDescent="0.25">
      <c r="M5492"/>
      <c r="N5492"/>
      <c r="O5492"/>
      <c r="P5492" s="216"/>
      <c r="Q5492" s="217"/>
      <c r="R5492" s="217"/>
      <c r="S5492" s="218"/>
    </row>
    <row r="5493" spans="13:19" ht="15" customHeight="1" x14ac:dyDescent="0.25">
      <c r="M5493"/>
      <c r="N5493"/>
      <c r="O5493"/>
      <c r="P5493" s="216"/>
      <c r="Q5493" s="217"/>
      <c r="R5493" s="217"/>
      <c r="S5493" s="218"/>
    </row>
    <row r="5494" spans="13:19" ht="15" customHeight="1" x14ac:dyDescent="0.25">
      <c r="M5494"/>
      <c r="N5494"/>
      <c r="O5494"/>
      <c r="P5494" s="216"/>
      <c r="Q5494" s="217"/>
      <c r="R5494" s="217"/>
      <c r="S5494" s="218"/>
    </row>
    <row r="5495" spans="13:19" ht="15" customHeight="1" x14ac:dyDescent="0.25">
      <c r="M5495"/>
      <c r="N5495"/>
      <c r="O5495"/>
      <c r="P5495" s="216"/>
      <c r="Q5495" s="217"/>
      <c r="R5495" s="217"/>
      <c r="S5495" s="218"/>
    </row>
    <row r="5496" spans="13:19" ht="15" customHeight="1" x14ac:dyDescent="0.25">
      <c r="M5496"/>
      <c r="N5496"/>
      <c r="O5496"/>
      <c r="P5496" s="216"/>
      <c r="Q5496" s="217"/>
      <c r="R5496" s="217"/>
      <c r="S5496" s="218"/>
    </row>
    <row r="5497" spans="13:19" ht="15" customHeight="1" x14ac:dyDescent="0.25">
      <c r="M5497"/>
      <c r="N5497"/>
      <c r="O5497"/>
      <c r="P5497" s="216"/>
      <c r="Q5497" s="217"/>
      <c r="R5497" s="217"/>
      <c r="S5497" s="218"/>
    </row>
    <row r="5498" spans="13:19" ht="15" customHeight="1" x14ac:dyDescent="0.25">
      <c r="M5498"/>
      <c r="N5498"/>
      <c r="O5498"/>
      <c r="P5498" s="216"/>
      <c r="Q5498" s="217"/>
      <c r="R5498" s="217"/>
      <c r="S5498" s="218"/>
    </row>
    <row r="5499" spans="13:19" ht="15" customHeight="1" x14ac:dyDescent="0.25">
      <c r="M5499"/>
      <c r="N5499"/>
      <c r="O5499"/>
      <c r="P5499" s="216"/>
      <c r="Q5499" s="217"/>
      <c r="R5499" s="217"/>
      <c r="S5499" s="218"/>
    </row>
    <row r="5500" spans="13:19" ht="15" customHeight="1" x14ac:dyDescent="0.25">
      <c r="M5500"/>
      <c r="N5500"/>
      <c r="O5500"/>
      <c r="P5500" s="216"/>
      <c r="Q5500" s="217"/>
      <c r="R5500" s="217"/>
      <c r="S5500" s="218"/>
    </row>
    <row r="5501" spans="13:19" ht="15" customHeight="1" x14ac:dyDescent="0.25">
      <c r="M5501"/>
      <c r="N5501"/>
      <c r="O5501"/>
      <c r="P5501" s="216"/>
      <c r="Q5501" s="217"/>
      <c r="R5501" s="217"/>
      <c r="S5501" s="218"/>
    </row>
    <row r="5502" spans="13:19" ht="15" customHeight="1" x14ac:dyDescent="0.25">
      <c r="M5502"/>
      <c r="N5502"/>
      <c r="O5502"/>
      <c r="P5502" s="216"/>
      <c r="Q5502" s="217"/>
      <c r="R5502" s="217"/>
      <c r="S5502" s="218"/>
    </row>
    <row r="5503" spans="13:19" ht="15" customHeight="1" x14ac:dyDescent="0.25">
      <c r="M5503"/>
      <c r="N5503"/>
      <c r="O5503"/>
      <c r="P5503" s="216"/>
      <c r="Q5503" s="217"/>
      <c r="R5503" s="217"/>
      <c r="S5503" s="218"/>
    </row>
    <row r="5504" spans="13:19" ht="15" customHeight="1" x14ac:dyDescent="0.25">
      <c r="M5504"/>
      <c r="N5504"/>
      <c r="O5504"/>
      <c r="P5504" s="216"/>
      <c r="Q5504" s="217"/>
      <c r="R5504" s="217"/>
      <c r="S5504" s="218"/>
    </row>
    <row r="5505" spans="13:19" ht="15" customHeight="1" x14ac:dyDescent="0.25">
      <c r="M5505"/>
      <c r="N5505"/>
      <c r="O5505"/>
      <c r="P5505" s="216"/>
      <c r="Q5505" s="217"/>
      <c r="R5505" s="217"/>
      <c r="S5505" s="218"/>
    </row>
    <row r="5506" spans="13:19" ht="15" customHeight="1" x14ac:dyDescent="0.25">
      <c r="M5506"/>
      <c r="N5506"/>
      <c r="O5506"/>
      <c r="P5506" s="216"/>
      <c r="Q5506" s="217"/>
      <c r="R5506" s="217"/>
      <c r="S5506" s="218"/>
    </row>
    <row r="5507" spans="13:19" ht="15" customHeight="1" x14ac:dyDescent="0.25">
      <c r="M5507"/>
      <c r="N5507"/>
      <c r="O5507"/>
      <c r="P5507" s="216"/>
      <c r="Q5507" s="217"/>
      <c r="R5507" s="217"/>
      <c r="S5507" s="218"/>
    </row>
    <row r="5508" spans="13:19" ht="15" customHeight="1" x14ac:dyDescent="0.25">
      <c r="M5508"/>
      <c r="N5508"/>
      <c r="O5508"/>
      <c r="P5508" s="216"/>
      <c r="Q5508" s="217"/>
      <c r="R5508" s="217"/>
      <c r="S5508" s="218"/>
    </row>
    <row r="5509" spans="13:19" ht="15" customHeight="1" x14ac:dyDescent="0.25">
      <c r="M5509"/>
      <c r="N5509"/>
      <c r="O5509"/>
      <c r="P5509" s="216"/>
      <c r="Q5509" s="217"/>
      <c r="R5509" s="217"/>
      <c r="S5509" s="218"/>
    </row>
    <row r="5510" spans="13:19" ht="15" customHeight="1" x14ac:dyDescent="0.25">
      <c r="M5510"/>
      <c r="N5510"/>
      <c r="O5510"/>
      <c r="P5510" s="216"/>
      <c r="Q5510" s="217"/>
      <c r="R5510" s="217"/>
      <c r="S5510" s="218"/>
    </row>
    <row r="5511" spans="13:19" ht="15" customHeight="1" x14ac:dyDescent="0.25">
      <c r="M5511"/>
      <c r="N5511"/>
      <c r="O5511"/>
      <c r="P5511" s="216"/>
      <c r="Q5511" s="217"/>
      <c r="R5511" s="217"/>
      <c r="S5511" s="218"/>
    </row>
    <row r="5512" spans="13:19" ht="15" customHeight="1" x14ac:dyDescent="0.25">
      <c r="M5512"/>
      <c r="N5512"/>
      <c r="O5512"/>
      <c r="P5512" s="216"/>
      <c r="Q5512" s="217"/>
      <c r="R5512" s="217"/>
      <c r="S5512" s="218"/>
    </row>
    <row r="5513" spans="13:19" ht="15" customHeight="1" x14ac:dyDescent="0.25">
      <c r="M5513"/>
      <c r="N5513"/>
      <c r="O5513"/>
      <c r="P5513" s="216"/>
      <c r="Q5513" s="217"/>
      <c r="R5513" s="217"/>
      <c r="S5513" s="218"/>
    </row>
    <row r="5514" spans="13:19" ht="15" customHeight="1" x14ac:dyDescent="0.25">
      <c r="M5514"/>
      <c r="N5514"/>
      <c r="O5514"/>
      <c r="P5514" s="216"/>
      <c r="Q5514" s="217"/>
      <c r="R5514" s="217"/>
      <c r="S5514" s="218"/>
    </row>
    <row r="5515" spans="13:19" ht="15" customHeight="1" x14ac:dyDescent="0.25">
      <c r="M5515"/>
      <c r="N5515"/>
      <c r="O5515"/>
      <c r="P5515" s="216"/>
      <c r="Q5515" s="217"/>
      <c r="R5515" s="217"/>
      <c r="S5515" s="218"/>
    </row>
    <row r="5516" spans="13:19" ht="15" customHeight="1" x14ac:dyDescent="0.25">
      <c r="M5516"/>
      <c r="N5516"/>
      <c r="O5516"/>
      <c r="P5516" s="216"/>
      <c r="Q5516" s="217"/>
      <c r="R5516" s="217"/>
      <c r="S5516" s="218"/>
    </row>
    <row r="5517" spans="13:19" ht="15" customHeight="1" x14ac:dyDescent="0.25">
      <c r="M5517"/>
      <c r="N5517"/>
      <c r="O5517"/>
      <c r="P5517" s="216"/>
      <c r="Q5517" s="217"/>
      <c r="R5517" s="217"/>
      <c r="S5517" s="218"/>
    </row>
    <row r="5518" spans="13:19" ht="15" customHeight="1" x14ac:dyDescent="0.25">
      <c r="M5518"/>
      <c r="N5518"/>
      <c r="O5518"/>
      <c r="P5518" s="216"/>
      <c r="Q5518" s="217"/>
      <c r="R5518" s="217"/>
      <c r="S5518" s="218"/>
    </row>
    <row r="5519" spans="13:19" ht="15" customHeight="1" x14ac:dyDescent="0.25">
      <c r="M5519"/>
      <c r="N5519"/>
      <c r="O5519"/>
      <c r="P5519" s="216"/>
      <c r="Q5519" s="217"/>
      <c r="R5519" s="217"/>
      <c r="S5519" s="218"/>
    </row>
    <row r="5520" spans="13:19" ht="15" customHeight="1" x14ac:dyDescent="0.25">
      <c r="M5520"/>
      <c r="N5520"/>
      <c r="O5520"/>
      <c r="P5520" s="216"/>
      <c r="Q5520" s="217"/>
      <c r="R5520" s="217"/>
      <c r="S5520" s="218"/>
    </row>
    <row r="5521" spans="13:19" ht="15" customHeight="1" x14ac:dyDescent="0.25">
      <c r="M5521"/>
      <c r="N5521"/>
      <c r="O5521"/>
      <c r="P5521" s="216"/>
      <c r="Q5521" s="217"/>
      <c r="R5521" s="217"/>
      <c r="S5521" s="218"/>
    </row>
    <row r="5522" spans="13:19" ht="15" customHeight="1" x14ac:dyDescent="0.25">
      <c r="M5522"/>
      <c r="N5522"/>
      <c r="O5522"/>
      <c r="P5522" s="216"/>
      <c r="Q5522" s="217"/>
      <c r="R5522" s="217"/>
      <c r="S5522" s="218"/>
    </row>
    <row r="5523" spans="13:19" ht="15" customHeight="1" x14ac:dyDescent="0.25">
      <c r="M5523"/>
      <c r="N5523"/>
      <c r="O5523"/>
      <c r="P5523" s="216"/>
      <c r="Q5523" s="217"/>
      <c r="R5523" s="217"/>
      <c r="S5523" s="218"/>
    </row>
    <row r="5524" spans="13:19" ht="15" customHeight="1" x14ac:dyDescent="0.25">
      <c r="M5524"/>
      <c r="N5524"/>
      <c r="O5524"/>
      <c r="P5524" s="216"/>
      <c r="Q5524" s="217"/>
      <c r="R5524" s="217"/>
      <c r="S5524" s="218"/>
    </row>
    <row r="5525" spans="13:19" ht="15" customHeight="1" x14ac:dyDescent="0.25">
      <c r="M5525"/>
      <c r="N5525"/>
      <c r="O5525"/>
      <c r="P5525" s="216"/>
      <c r="Q5525" s="217"/>
      <c r="R5525" s="217"/>
      <c r="S5525" s="218"/>
    </row>
    <row r="5526" spans="13:19" ht="15" customHeight="1" x14ac:dyDescent="0.25">
      <c r="M5526"/>
      <c r="N5526"/>
      <c r="O5526"/>
      <c r="P5526" s="216"/>
      <c r="Q5526" s="217"/>
      <c r="R5526" s="217"/>
      <c r="S5526" s="218"/>
    </row>
    <row r="5527" spans="13:19" ht="15" customHeight="1" x14ac:dyDescent="0.25">
      <c r="M5527"/>
      <c r="N5527"/>
      <c r="O5527"/>
      <c r="P5527" s="216"/>
      <c r="Q5527" s="217"/>
      <c r="R5527" s="217"/>
      <c r="S5527" s="218"/>
    </row>
    <row r="5528" spans="13:19" ht="15" customHeight="1" x14ac:dyDescent="0.25">
      <c r="M5528"/>
      <c r="N5528"/>
      <c r="O5528"/>
      <c r="P5528" s="216"/>
      <c r="Q5528" s="217"/>
      <c r="R5528" s="217"/>
      <c r="S5528" s="218"/>
    </row>
    <row r="5529" spans="13:19" ht="15" customHeight="1" x14ac:dyDescent="0.25">
      <c r="M5529"/>
      <c r="N5529"/>
      <c r="O5529"/>
      <c r="P5529" s="216"/>
      <c r="Q5529" s="217"/>
      <c r="R5529" s="217"/>
      <c r="S5529" s="218"/>
    </row>
    <row r="5530" spans="13:19" ht="15" customHeight="1" x14ac:dyDescent="0.25">
      <c r="M5530"/>
      <c r="N5530"/>
      <c r="O5530"/>
      <c r="P5530" s="216"/>
      <c r="Q5530" s="217"/>
      <c r="R5530" s="217"/>
      <c r="S5530" s="218"/>
    </row>
    <row r="5531" spans="13:19" ht="15" customHeight="1" x14ac:dyDescent="0.25">
      <c r="M5531"/>
      <c r="N5531"/>
      <c r="O5531"/>
      <c r="P5531" s="216"/>
      <c r="Q5531" s="217"/>
      <c r="R5531" s="217"/>
      <c r="S5531" s="218"/>
    </row>
    <row r="5532" spans="13:19" ht="15" customHeight="1" x14ac:dyDescent="0.25">
      <c r="M5532"/>
      <c r="N5532"/>
      <c r="O5532"/>
      <c r="P5532" s="216"/>
      <c r="Q5532" s="217"/>
      <c r="R5532" s="217"/>
      <c r="S5532" s="218"/>
    </row>
    <row r="5533" spans="13:19" ht="15" customHeight="1" x14ac:dyDescent="0.25">
      <c r="M5533"/>
      <c r="N5533"/>
      <c r="O5533"/>
      <c r="P5533" s="216"/>
      <c r="Q5533" s="217"/>
      <c r="R5533" s="217"/>
      <c r="S5533" s="218"/>
    </row>
    <row r="5534" spans="13:19" ht="15" customHeight="1" x14ac:dyDescent="0.25">
      <c r="M5534"/>
      <c r="N5534"/>
      <c r="O5534"/>
      <c r="P5534" s="216"/>
      <c r="Q5534" s="217"/>
      <c r="R5534" s="217"/>
      <c r="S5534" s="218"/>
    </row>
    <row r="5535" spans="13:19" ht="15" customHeight="1" x14ac:dyDescent="0.25">
      <c r="M5535"/>
      <c r="N5535"/>
      <c r="O5535"/>
      <c r="P5535" s="216"/>
      <c r="Q5535" s="217"/>
      <c r="R5535" s="217"/>
      <c r="S5535" s="218"/>
    </row>
    <row r="5536" spans="13:19" ht="15" customHeight="1" x14ac:dyDescent="0.25">
      <c r="M5536"/>
      <c r="N5536"/>
      <c r="O5536"/>
      <c r="P5536" s="216"/>
      <c r="Q5536" s="217"/>
      <c r="R5536" s="217"/>
      <c r="S5536" s="218"/>
    </row>
    <row r="5537" spans="13:19" ht="15" customHeight="1" x14ac:dyDescent="0.25">
      <c r="M5537"/>
      <c r="N5537"/>
      <c r="O5537"/>
      <c r="P5537" s="216"/>
      <c r="Q5537" s="217"/>
      <c r="R5537" s="217"/>
      <c r="S5537" s="218"/>
    </row>
    <row r="5538" spans="13:19" ht="15" customHeight="1" x14ac:dyDescent="0.25">
      <c r="M5538"/>
      <c r="N5538"/>
      <c r="O5538"/>
      <c r="P5538" s="216"/>
      <c r="Q5538" s="217"/>
      <c r="R5538" s="217"/>
      <c r="S5538" s="218"/>
    </row>
    <row r="5539" spans="13:19" ht="15" customHeight="1" x14ac:dyDescent="0.25">
      <c r="M5539"/>
      <c r="N5539"/>
      <c r="O5539"/>
      <c r="P5539" s="216"/>
      <c r="Q5539" s="217"/>
      <c r="R5539" s="217"/>
      <c r="S5539" s="218"/>
    </row>
    <row r="5540" spans="13:19" ht="15" customHeight="1" x14ac:dyDescent="0.25">
      <c r="M5540"/>
      <c r="N5540"/>
      <c r="O5540"/>
      <c r="P5540" s="216"/>
      <c r="Q5540" s="217"/>
      <c r="R5540" s="217"/>
      <c r="S5540" s="218"/>
    </row>
    <row r="5541" spans="13:19" ht="15" customHeight="1" x14ac:dyDescent="0.25">
      <c r="M5541"/>
      <c r="N5541"/>
      <c r="O5541"/>
      <c r="P5541" s="216"/>
      <c r="Q5541" s="217"/>
      <c r="R5541" s="217"/>
      <c r="S5541" s="218"/>
    </row>
    <row r="5542" spans="13:19" ht="15" customHeight="1" x14ac:dyDescent="0.25">
      <c r="M5542"/>
      <c r="N5542"/>
      <c r="O5542"/>
      <c r="P5542" s="216"/>
      <c r="Q5542" s="217"/>
      <c r="R5542" s="217"/>
      <c r="S5542" s="218"/>
    </row>
    <row r="5543" spans="13:19" ht="15" customHeight="1" x14ac:dyDescent="0.25">
      <c r="M5543"/>
      <c r="N5543"/>
      <c r="O5543"/>
      <c r="P5543" s="216"/>
      <c r="Q5543" s="217"/>
      <c r="R5543" s="217"/>
      <c r="S5543" s="218"/>
    </row>
    <row r="5544" spans="13:19" ht="15" customHeight="1" x14ac:dyDescent="0.25">
      <c r="M5544"/>
      <c r="N5544"/>
      <c r="O5544"/>
      <c r="P5544" s="216"/>
      <c r="Q5544" s="217"/>
      <c r="R5544" s="217"/>
      <c r="S5544" s="218"/>
    </row>
    <row r="5545" spans="13:19" ht="15" customHeight="1" x14ac:dyDescent="0.25">
      <c r="M5545"/>
      <c r="N5545"/>
      <c r="O5545"/>
      <c r="P5545" s="216"/>
      <c r="Q5545" s="217"/>
      <c r="R5545" s="217"/>
      <c r="S5545" s="218"/>
    </row>
    <row r="5546" spans="13:19" ht="15" customHeight="1" x14ac:dyDescent="0.25">
      <c r="M5546"/>
      <c r="N5546"/>
      <c r="O5546"/>
      <c r="P5546" s="216"/>
      <c r="Q5546" s="217"/>
      <c r="R5546" s="217"/>
      <c r="S5546" s="218"/>
    </row>
    <row r="5547" spans="13:19" ht="15" customHeight="1" x14ac:dyDescent="0.25">
      <c r="M5547"/>
      <c r="N5547"/>
      <c r="O5547"/>
      <c r="P5547" s="216"/>
      <c r="Q5547" s="217"/>
      <c r="R5547" s="217"/>
      <c r="S5547" s="218"/>
    </row>
    <row r="5548" spans="13:19" ht="15" customHeight="1" x14ac:dyDescent="0.25">
      <c r="M5548"/>
      <c r="N5548"/>
      <c r="O5548"/>
      <c r="P5548" s="216"/>
      <c r="Q5548" s="217"/>
      <c r="R5548" s="217"/>
      <c r="S5548" s="218"/>
    </row>
    <row r="5549" spans="13:19" ht="15" customHeight="1" x14ac:dyDescent="0.25">
      <c r="M5549"/>
      <c r="N5549"/>
      <c r="O5549"/>
      <c r="P5549" s="216"/>
      <c r="Q5549" s="217"/>
      <c r="R5549" s="217"/>
      <c r="S5549" s="218"/>
    </row>
    <row r="5550" spans="13:19" ht="15" customHeight="1" x14ac:dyDescent="0.25">
      <c r="M5550"/>
      <c r="N5550"/>
      <c r="O5550"/>
      <c r="P5550" s="216"/>
      <c r="Q5550" s="217"/>
      <c r="R5550" s="217"/>
      <c r="S5550" s="218"/>
    </row>
    <row r="5551" spans="13:19" ht="15" customHeight="1" x14ac:dyDescent="0.25">
      <c r="M5551"/>
      <c r="N5551"/>
      <c r="O5551"/>
      <c r="P5551" s="216"/>
      <c r="Q5551" s="217"/>
      <c r="R5551" s="217"/>
      <c r="S5551" s="218"/>
    </row>
    <row r="5552" spans="13:19" ht="15" customHeight="1" x14ac:dyDescent="0.25">
      <c r="M5552"/>
      <c r="N5552"/>
      <c r="O5552"/>
      <c r="P5552" s="216"/>
      <c r="Q5552" s="217"/>
      <c r="R5552" s="217"/>
      <c r="S5552" s="218"/>
    </row>
    <row r="5553" spans="13:19" ht="15" customHeight="1" x14ac:dyDescent="0.25">
      <c r="M5553"/>
      <c r="N5553"/>
      <c r="O5553"/>
      <c r="P5553" s="216"/>
      <c r="Q5553" s="217"/>
      <c r="R5553" s="217"/>
      <c r="S5553" s="218"/>
    </row>
    <row r="5554" spans="13:19" ht="15" customHeight="1" x14ac:dyDescent="0.25">
      <c r="M5554"/>
      <c r="N5554"/>
      <c r="O5554"/>
      <c r="P5554" s="216"/>
      <c r="Q5554" s="217"/>
      <c r="R5554" s="217"/>
      <c r="S5554" s="218"/>
    </row>
    <row r="5555" spans="13:19" ht="15" customHeight="1" x14ac:dyDescent="0.25">
      <c r="M5555"/>
      <c r="N5555"/>
      <c r="O5555"/>
      <c r="P5555" s="216"/>
      <c r="Q5555" s="217"/>
      <c r="R5555" s="217"/>
      <c r="S5555" s="218"/>
    </row>
    <row r="5556" spans="13:19" ht="15" customHeight="1" x14ac:dyDescent="0.25">
      <c r="M5556"/>
      <c r="N5556"/>
      <c r="O5556"/>
      <c r="P5556" s="216"/>
      <c r="Q5556" s="217"/>
      <c r="R5556" s="217"/>
      <c r="S5556" s="218"/>
    </row>
    <row r="5557" spans="13:19" ht="15" customHeight="1" x14ac:dyDescent="0.25">
      <c r="M5557"/>
      <c r="N5557"/>
      <c r="O5557"/>
      <c r="P5557" s="216"/>
      <c r="Q5557" s="217"/>
      <c r="R5557" s="217"/>
      <c r="S5557" s="218"/>
    </row>
    <row r="5558" spans="13:19" ht="15" customHeight="1" x14ac:dyDescent="0.25">
      <c r="M5558"/>
      <c r="N5558"/>
      <c r="O5558"/>
      <c r="P5558" s="216"/>
      <c r="Q5558" s="217"/>
      <c r="R5558" s="217"/>
      <c r="S5558" s="218"/>
    </row>
    <row r="5559" spans="13:19" ht="15" customHeight="1" x14ac:dyDescent="0.25">
      <c r="M5559"/>
      <c r="N5559"/>
      <c r="O5559"/>
      <c r="P5559" s="216"/>
      <c r="Q5559" s="217"/>
      <c r="R5559" s="217"/>
      <c r="S5559" s="218"/>
    </row>
    <row r="5560" spans="13:19" ht="15" customHeight="1" x14ac:dyDescent="0.25">
      <c r="M5560"/>
      <c r="N5560"/>
      <c r="O5560"/>
      <c r="P5560" s="216"/>
      <c r="Q5560" s="217"/>
      <c r="R5560" s="217"/>
      <c r="S5560" s="218"/>
    </row>
    <row r="5561" spans="13:19" ht="15" customHeight="1" x14ac:dyDescent="0.25">
      <c r="M5561"/>
      <c r="N5561"/>
      <c r="O5561"/>
      <c r="P5561" s="216"/>
      <c r="Q5561" s="217"/>
      <c r="R5561" s="217"/>
      <c r="S5561" s="218"/>
    </row>
    <row r="5562" spans="13:19" ht="15" customHeight="1" x14ac:dyDescent="0.25">
      <c r="M5562"/>
      <c r="N5562"/>
      <c r="O5562"/>
      <c r="P5562" s="216"/>
      <c r="Q5562" s="217"/>
      <c r="R5562" s="217"/>
      <c r="S5562" s="218"/>
    </row>
    <row r="5563" spans="13:19" ht="15" customHeight="1" x14ac:dyDescent="0.25">
      <c r="M5563"/>
      <c r="N5563"/>
      <c r="O5563"/>
      <c r="P5563" s="216"/>
      <c r="Q5563" s="217"/>
      <c r="R5563" s="217"/>
      <c r="S5563" s="218"/>
    </row>
    <row r="5564" spans="13:19" ht="15" customHeight="1" x14ac:dyDescent="0.25">
      <c r="M5564"/>
      <c r="N5564"/>
      <c r="O5564"/>
      <c r="P5564" s="216"/>
      <c r="Q5564" s="217"/>
      <c r="R5564" s="217"/>
      <c r="S5564" s="218"/>
    </row>
    <row r="5565" spans="13:19" ht="15" customHeight="1" x14ac:dyDescent="0.25">
      <c r="M5565"/>
      <c r="N5565"/>
      <c r="O5565"/>
      <c r="P5565" s="216"/>
      <c r="Q5565" s="217"/>
      <c r="R5565" s="217"/>
      <c r="S5565" s="218"/>
    </row>
    <row r="5566" spans="13:19" ht="15" customHeight="1" x14ac:dyDescent="0.25">
      <c r="M5566"/>
      <c r="N5566"/>
      <c r="O5566"/>
      <c r="P5566" s="216"/>
      <c r="Q5566" s="217"/>
      <c r="R5566" s="217"/>
      <c r="S5566" s="218"/>
    </row>
    <row r="5567" spans="13:19" ht="15" customHeight="1" x14ac:dyDescent="0.25">
      <c r="M5567"/>
      <c r="N5567"/>
      <c r="O5567"/>
      <c r="P5567" s="216"/>
      <c r="Q5567" s="217"/>
      <c r="R5567" s="217"/>
      <c r="S5567" s="218"/>
    </row>
    <row r="5568" spans="13:19" ht="15" customHeight="1" x14ac:dyDescent="0.25">
      <c r="M5568"/>
      <c r="N5568"/>
      <c r="O5568"/>
      <c r="P5568" s="216"/>
      <c r="Q5568" s="217"/>
      <c r="R5568" s="217"/>
      <c r="S5568" s="218"/>
    </row>
    <row r="5569" spans="13:19" ht="15" customHeight="1" x14ac:dyDescent="0.25">
      <c r="M5569"/>
      <c r="N5569"/>
      <c r="O5569"/>
      <c r="P5569" s="216"/>
      <c r="Q5569" s="217"/>
      <c r="R5569" s="217"/>
      <c r="S5569" s="218"/>
    </row>
    <row r="5570" spans="13:19" ht="15" customHeight="1" x14ac:dyDescent="0.25">
      <c r="M5570"/>
      <c r="N5570"/>
      <c r="O5570"/>
      <c r="P5570" s="216"/>
      <c r="Q5570" s="217"/>
      <c r="R5570" s="217"/>
      <c r="S5570" s="218"/>
    </row>
    <row r="5571" spans="13:19" ht="15" customHeight="1" x14ac:dyDescent="0.25">
      <c r="M5571"/>
      <c r="N5571"/>
      <c r="O5571"/>
      <c r="P5571" s="216"/>
      <c r="Q5571" s="217"/>
      <c r="R5571" s="217"/>
      <c r="S5571" s="218"/>
    </row>
    <row r="5572" spans="13:19" ht="15" customHeight="1" x14ac:dyDescent="0.25">
      <c r="M5572"/>
      <c r="N5572"/>
      <c r="O5572"/>
      <c r="P5572" s="216"/>
      <c r="Q5572" s="217"/>
      <c r="R5572" s="217"/>
      <c r="S5572" s="218"/>
    </row>
    <row r="5573" spans="13:19" ht="15" customHeight="1" x14ac:dyDescent="0.25">
      <c r="M5573"/>
      <c r="N5573"/>
      <c r="O5573"/>
      <c r="P5573" s="216"/>
      <c r="Q5573" s="217"/>
      <c r="R5573" s="217"/>
      <c r="S5573" s="218"/>
    </row>
    <row r="5574" spans="13:19" ht="15" customHeight="1" x14ac:dyDescent="0.25">
      <c r="M5574"/>
      <c r="N5574"/>
      <c r="O5574"/>
      <c r="P5574" s="216"/>
      <c r="Q5574" s="217"/>
      <c r="R5574" s="217"/>
      <c r="S5574" s="218"/>
    </row>
    <row r="5575" spans="13:19" ht="15" customHeight="1" x14ac:dyDescent="0.25">
      <c r="M5575"/>
      <c r="N5575"/>
      <c r="O5575"/>
      <c r="P5575" s="216"/>
      <c r="Q5575" s="217"/>
      <c r="R5575" s="217"/>
      <c r="S5575" s="218"/>
    </row>
    <row r="5576" spans="13:19" ht="15" customHeight="1" x14ac:dyDescent="0.25">
      <c r="M5576"/>
      <c r="N5576"/>
      <c r="O5576"/>
      <c r="P5576" s="216"/>
      <c r="Q5576" s="217"/>
      <c r="R5576" s="217"/>
      <c r="S5576" s="218"/>
    </row>
    <row r="5577" spans="13:19" ht="15" customHeight="1" x14ac:dyDescent="0.25">
      <c r="M5577"/>
      <c r="N5577"/>
      <c r="O5577"/>
      <c r="P5577" s="216"/>
      <c r="Q5577" s="217"/>
      <c r="R5577" s="217"/>
      <c r="S5577" s="218"/>
    </row>
    <row r="5578" spans="13:19" ht="15" customHeight="1" x14ac:dyDescent="0.25">
      <c r="M5578"/>
      <c r="N5578"/>
      <c r="O5578"/>
      <c r="P5578" s="216"/>
      <c r="Q5578" s="217"/>
      <c r="R5578" s="217"/>
      <c r="S5578" s="218"/>
    </row>
    <row r="5579" spans="13:19" ht="15" customHeight="1" x14ac:dyDescent="0.25">
      <c r="M5579"/>
      <c r="N5579"/>
      <c r="O5579"/>
      <c r="P5579" s="216"/>
      <c r="Q5579" s="217"/>
      <c r="R5579" s="217"/>
      <c r="S5579" s="218"/>
    </row>
    <row r="5580" spans="13:19" ht="15" customHeight="1" x14ac:dyDescent="0.25">
      <c r="M5580"/>
      <c r="N5580"/>
      <c r="O5580"/>
      <c r="P5580" s="216"/>
      <c r="Q5580" s="217"/>
      <c r="R5580" s="217"/>
      <c r="S5580" s="218"/>
    </row>
    <row r="5581" spans="13:19" ht="15" customHeight="1" x14ac:dyDescent="0.25">
      <c r="M5581"/>
      <c r="N5581"/>
      <c r="O5581"/>
      <c r="P5581" s="216"/>
      <c r="Q5581" s="217"/>
      <c r="R5581" s="217"/>
      <c r="S5581" s="218"/>
    </row>
    <row r="5582" spans="13:19" ht="15" customHeight="1" x14ac:dyDescent="0.25">
      <c r="M5582"/>
      <c r="N5582"/>
      <c r="O5582"/>
      <c r="P5582" s="216"/>
      <c r="Q5582" s="217"/>
      <c r="R5582" s="217"/>
      <c r="S5582" s="218"/>
    </row>
    <row r="5583" spans="13:19" ht="15" customHeight="1" x14ac:dyDescent="0.25">
      <c r="M5583"/>
      <c r="N5583"/>
      <c r="O5583"/>
      <c r="P5583" s="216"/>
      <c r="Q5583" s="217"/>
      <c r="R5583" s="217"/>
      <c r="S5583" s="218"/>
    </row>
    <row r="5584" spans="13:19" ht="15" customHeight="1" x14ac:dyDescent="0.25">
      <c r="M5584"/>
      <c r="N5584"/>
      <c r="O5584"/>
      <c r="P5584" s="216"/>
      <c r="Q5584" s="217"/>
      <c r="R5584" s="217"/>
      <c r="S5584" s="218"/>
    </row>
    <row r="5585" spans="13:19" ht="15" customHeight="1" x14ac:dyDescent="0.25">
      <c r="M5585"/>
      <c r="N5585"/>
      <c r="O5585"/>
      <c r="P5585" s="216"/>
      <c r="Q5585" s="217"/>
      <c r="R5585" s="217"/>
      <c r="S5585" s="218"/>
    </row>
    <row r="5586" spans="13:19" ht="15" customHeight="1" x14ac:dyDescent="0.25">
      <c r="M5586"/>
      <c r="N5586"/>
      <c r="O5586"/>
      <c r="P5586" s="216"/>
      <c r="Q5586" s="217"/>
      <c r="R5586" s="217"/>
      <c r="S5586" s="218"/>
    </row>
    <row r="5587" spans="13:19" ht="15" customHeight="1" x14ac:dyDescent="0.25">
      <c r="M5587"/>
      <c r="N5587"/>
      <c r="O5587"/>
      <c r="P5587" s="216"/>
      <c r="Q5587" s="217"/>
      <c r="R5587" s="217"/>
      <c r="S5587" s="218"/>
    </row>
    <row r="5588" spans="13:19" ht="15" customHeight="1" x14ac:dyDescent="0.25">
      <c r="M5588"/>
      <c r="N5588"/>
      <c r="O5588"/>
      <c r="P5588" s="216"/>
      <c r="Q5588" s="217"/>
      <c r="R5588" s="217"/>
      <c r="S5588" s="218"/>
    </row>
    <row r="5589" spans="13:19" ht="15" customHeight="1" x14ac:dyDescent="0.25">
      <c r="M5589"/>
      <c r="N5589"/>
      <c r="O5589"/>
      <c r="P5589" s="216"/>
      <c r="Q5589" s="217"/>
      <c r="R5589" s="217"/>
      <c r="S5589" s="218"/>
    </row>
    <row r="5590" spans="13:19" ht="15" customHeight="1" x14ac:dyDescent="0.25">
      <c r="M5590"/>
      <c r="N5590"/>
      <c r="O5590"/>
      <c r="P5590" s="216"/>
      <c r="Q5590" s="217"/>
      <c r="R5590" s="217"/>
      <c r="S5590" s="218"/>
    </row>
    <row r="5591" spans="13:19" ht="15" customHeight="1" x14ac:dyDescent="0.25">
      <c r="M5591"/>
      <c r="N5591"/>
      <c r="O5591"/>
      <c r="P5591" s="216"/>
      <c r="Q5591" s="217"/>
      <c r="R5591" s="217"/>
      <c r="S5591" s="218"/>
    </row>
    <row r="5592" spans="13:19" ht="15" customHeight="1" x14ac:dyDescent="0.25">
      <c r="M5592"/>
      <c r="N5592"/>
      <c r="O5592"/>
      <c r="P5592" s="216"/>
      <c r="Q5592" s="217"/>
      <c r="R5592" s="217"/>
      <c r="S5592" s="218"/>
    </row>
    <row r="5593" spans="13:19" ht="15" customHeight="1" x14ac:dyDescent="0.25">
      <c r="M5593"/>
      <c r="N5593"/>
      <c r="O5593"/>
      <c r="P5593" s="216"/>
      <c r="Q5593" s="217"/>
      <c r="R5593" s="217"/>
      <c r="S5593" s="218"/>
    </row>
    <row r="5594" spans="13:19" ht="15" customHeight="1" x14ac:dyDescent="0.25">
      <c r="M5594"/>
      <c r="N5594"/>
      <c r="O5594"/>
      <c r="P5594" s="216"/>
      <c r="Q5594" s="217"/>
      <c r="R5594" s="217"/>
      <c r="S5594" s="218"/>
    </row>
    <row r="5595" spans="13:19" ht="15" customHeight="1" x14ac:dyDescent="0.25">
      <c r="M5595"/>
      <c r="N5595"/>
      <c r="O5595"/>
      <c r="P5595" s="216"/>
      <c r="Q5595" s="217"/>
      <c r="R5595" s="217"/>
      <c r="S5595" s="218"/>
    </row>
    <row r="5596" spans="13:19" ht="15" customHeight="1" x14ac:dyDescent="0.25">
      <c r="M5596"/>
      <c r="N5596"/>
      <c r="O5596"/>
      <c r="P5596" s="216"/>
      <c r="Q5596" s="217"/>
      <c r="R5596" s="217"/>
      <c r="S5596" s="218"/>
    </row>
    <row r="5597" spans="13:19" ht="15" customHeight="1" x14ac:dyDescent="0.25">
      <c r="M5597"/>
      <c r="N5597"/>
      <c r="O5597"/>
      <c r="P5597" s="216"/>
      <c r="Q5597" s="217"/>
      <c r="R5597" s="217"/>
      <c r="S5597" s="218"/>
    </row>
    <row r="5598" spans="13:19" ht="15" customHeight="1" x14ac:dyDescent="0.25">
      <c r="M5598"/>
      <c r="N5598"/>
      <c r="O5598"/>
      <c r="P5598" s="216"/>
      <c r="Q5598" s="217"/>
      <c r="R5598" s="217"/>
      <c r="S5598" s="218"/>
    </row>
    <row r="5599" spans="13:19" ht="15" customHeight="1" x14ac:dyDescent="0.25">
      <c r="M5599"/>
      <c r="N5599"/>
      <c r="O5599"/>
      <c r="P5599" s="216"/>
      <c r="Q5599" s="217"/>
      <c r="R5599" s="217"/>
      <c r="S5599" s="218"/>
    </row>
    <row r="5600" spans="13:19" ht="15" customHeight="1" x14ac:dyDescent="0.25">
      <c r="M5600"/>
      <c r="N5600"/>
      <c r="O5600"/>
      <c r="P5600" s="216"/>
      <c r="Q5600" s="217"/>
      <c r="R5600" s="217"/>
      <c r="S5600" s="218"/>
    </row>
    <row r="5601" spans="13:19" ht="15" customHeight="1" x14ac:dyDescent="0.25">
      <c r="M5601"/>
      <c r="N5601"/>
      <c r="O5601"/>
      <c r="P5601" s="216"/>
      <c r="Q5601" s="217"/>
      <c r="R5601" s="217"/>
      <c r="S5601" s="218"/>
    </row>
    <row r="5602" spans="13:19" ht="15" customHeight="1" x14ac:dyDescent="0.25">
      <c r="M5602"/>
      <c r="N5602"/>
      <c r="O5602"/>
      <c r="P5602" s="216"/>
      <c r="Q5602" s="217"/>
      <c r="R5602" s="217"/>
      <c r="S5602" s="218"/>
    </row>
    <row r="5603" spans="13:19" ht="15" customHeight="1" x14ac:dyDescent="0.25">
      <c r="M5603"/>
      <c r="N5603"/>
      <c r="O5603"/>
      <c r="P5603" s="216"/>
      <c r="Q5603" s="217"/>
      <c r="R5603" s="217"/>
      <c r="S5603" s="218"/>
    </row>
    <row r="5604" spans="13:19" ht="15" customHeight="1" x14ac:dyDescent="0.25">
      <c r="M5604"/>
      <c r="N5604"/>
      <c r="O5604"/>
      <c r="P5604" s="216"/>
      <c r="Q5604" s="217"/>
      <c r="R5604" s="217"/>
      <c r="S5604" s="218"/>
    </row>
    <row r="5605" spans="13:19" ht="15" customHeight="1" x14ac:dyDescent="0.25">
      <c r="M5605"/>
      <c r="N5605"/>
      <c r="O5605"/>
      <c r="P5605" s="216"/>
      <c r="Q5605" s="217"/>
      <c r="R5605" s="217"/>
      <c r="S5605" s="218"/>
    </row>
    <row r="5606" spans="13:19" ht="15" customHeight="1" x14ac:dyDescent="0.25">
      <c r="M5606"/>
      <c r="N5606"/>
      <c r="O5606"/>
      <c r="P5606" s="216"/>
      <c r="Q5606" s="217"/>
      <c r="R5606" s="217"/>
      <c r="S5606" s="218"/>
    </row>
    <row r="5607" spans="13:19" ht="15" customHeight="1" x14ac:dyDescent="0.25">
      <c r="M5607"/>
      <c r="N5607"/>
      <c r="O5607"/>
      <c r="P5607" s="216"/>
      <c r="Q5607" s="217"/>
      <c r="R5607" s="217"/>
      <c r="S5607" s="218"/>
    </row>
    <row r="5608" spans="13:19" ht="15" customHeight="1" x14ac:dyDescent="0.25">
      <c r="M5608"/>
      <c r="N5608"/>
      <c r="O5608"/>
      <c r="P5608" s="216"/>
      <c r="Q5608" s="217"/>
      <c r="R5608" s="217"/>
      <c r="S5608" s="218"/>
    </row>
    <row r="5609" spans="13:19" ht="15" customHeight="1" x14ac:dyDescent="0.25">
      <c r="M5609"/>
      <c r="N5609"/>
      <c r="O5609"/>
      <c r="P5609" s="216"/>
      <c r="Q5609" s="217"/>
      <c r="R5609" s="217"/>
      <c r="S5609" s="218"/>
    </row>
    <row r="5610" spans="13:19" ht="15" customHeight="1" x14ac:dyDescent="0.25">
      <c r="M5610"/>
      <c r="N5610"/>
      <c r="O5610"/>
      <c r="P5610" s="216"/>
      <c r="Q5610" s="217"/>
      <c r="R5610" s="217"/>
      <c r="S5610" s="218"/>
    </row>
    <row r="5611" spans="13:19" ht="15" customHeight="1" x14ac:dyDescent="0.25">
      <c r="M5611"/>
      <c r="N5611"/>
      <c r="O5611"/>
      <c r="P5611" s="216"/>
      <c r="Q5611" s="217"/>
      <c r="R5611" s="217"/>
      <c r="S5611" s="218"/>
    </row>
    <row r="5612" spans="13:19" ht="15" customHeight="1" x14ac:dyDescent="0.25">
      <c r="M5612"/>
      <c r="N5612"/>
      <c r="O5612"/>
      <c r="P5612" s="216"/>
      <c r="Q5612" s="217"/>
      <c r="R5612" s="217"/>
      <c r="S5612" s="218"/>
    </row>
    <row r="5613" spans="13:19" ht="15" customHeight="1" x14ac:dyDescent="0.25">
      <c r="M5613"/>
      <c r="N5613"/>
      <c r="O5613"/>
      <c r="P5613" s="216"/>
      <c r="Q5613" s="217"/>
      <c r="R5613" s="217"/>
      <c r="S5613" s="218"/>
    </row>
    <row r="5614" spans="13:19" ht="15" customHeight="1" x14ac:dyDescent="0.25">
      <c r="M5614"/>
      <c r="N5614"/>
      <c r="O5614"/>
      <c r="P5614" s="216"/>
      <c r="Q5614" s="217"/>
      <c r="R5614" s="217"/>
      <c r="S5614" s="218"/>
    </row>
    <row r="5615" spans="13:19" ht="15" customHeight="1" x14ac:dyDescent="0.25">
      <c r="M5615"/>
      <c r="N5615"/>
      <c r="O5615"/>
      <c r="P5615" s="216"/>
      <c r="Q5615" s="217"/>
      <c r="R5615" s="217"/>
      <c r="S5615" s="218"/>
    </row>
    <row r="5616" spans="13:19" ht="15" customHeight="1" x14ac:dyDescent="0.25">
      <c r="M5616"/>
      <c r="N5616"/>
      <c r="O5616"/>
      <c r="P5616" s="216"/>
      <c r="Q5616" s="217"/>
      <c r="R5616" s="217"/>
      <c r="S5616" s="218"/>
    </row>
    <row r="5617" spans="13:19" ht="15" customHeight="1" x14ac:dyDescent="0.25">
      <c r="M5617"/>
      <c r="N5617"/>
      <c r="O5617"/>
      <c r="P5617" s="216"/>
      <c r="Q5617" s="217"/>
      <c r="R5617" s="217"/>
      <c r="S5617" s="218"/>
    </row>
    <row r="5618" spans="13:19" ht="15" customHeight="1" x14ac:dyDescent="0.25">
      <c r="M5618"/>
      <c r="N5618"/>
      <c r="O5618"/>
      <c r="P5618" s="216"/>
      <c r="Q5618" s="217"/>
      <c r="R5618" s="217"/>
      <c r="S5618" s="218"/>
    </row>
    <row r="5619" spans="13:19" ht="15" customHeight="1" x14ac:dyDescent="0.25">
      <c r="M5619"/>
      <c r="N5619"/>
      <c r="O5619"/>
      <c r="P5619" s="216"/>
      <c r="Q5619" s="217"/>
      <c r="R5619" s="217"/>
      <c r="S5619" s="218"/>
    </row>
    <row r="5620" spans="13:19" ht="15" customHeight="1" x14ac:dyDescent="0.25">
      <c r="M5620"/>
      <c r="N5620"/>
      <c r="O5620"/>
      <c r="P5620" s="216"/>
      <c r="Q5620" s="217"/>
      <c r="R5620" s="217"/>
      <c r="S5620" s="218"/>
    </row>
    <row r="5621" spans="13:19" ht="15" customHeight="1" x14ac:dyDescent="0.25">
      <c r="M5621"/>
      <c r="N5621"/>
      <c r="O5621"/>
      <c r="P5621" s="216"/>
      <c r="Q5621" s="217"/>
      <c r="R5621" s="217"/>
      <c r="S5621" s="218"/>
    </row>
    <row r="5622" spans="13:19" ht="15" customHeight="1" x14ac:dyDescent="0.25">
      <c r="M5622"/>
      <c r="N5622"/>
      <c r="O5622"/>
      <c r="P5622" s="216"/>
      <c r="Q5622" s="217"/>
      <c r="R5622" s="217"/>
      <c r="S5622" s="218"/>
    </row>
    <row r="5623" spans="13:19" ht="15" customHeight="1" x14ac:dyDescent="0.25">
      <c r="M5623"/>
      <c r="N5623"/>
      <c r="O5623"/>
      <c r="P5623" s="216"/>
      <c r="Q5623" s="217"/>
      <c r="R5623" s="217"/>
      <c r="S5623" s="218"/>
    </row>
    <row r="5624" spans="13:19" ht="15" customHeight="1" x14ac:dyDescent="0.25">
      <c r="M5624"/>
      <c r="N5624"/>
      <c r="O5624"/>
      <c r="P5624" s="216"/>
      <c r="Q5624" s="217"/>
      <c r="R5624" s="217"/>
      <c r="S5624" s="218"/>
    </row>
    <row r="5625" spans="13:19" ht="15" customHeight="1" x14ac:dyDescent="0.25">
      <c r="M5625"/>
      <c r="N5625"/>
      <c r="O5625"/>
      <c r="P5625" s="216"/>
      <c r="Q5625" s="217"/>
      <c r="R5625" s="217"/>
      <c r="S5625" s="218"/>
    </row>
    <row r="5626" spans="13:19" ht="15" customHeight="1" x14ac:dyDescent="0.25">
      <c r="M5626"/>
      <c r="N5626"/>
      <c r="O5626"/>
      <c r="P5626" s="216"/>
      <c r="Q5626" s="217"/>
      <c r="R5626" s="217"/>
      <c r="S5626" s="218"/>
    </row>
    <row r="5627" spans="13:19" ht="15" customHeight="1" x14ac:dyDescent="0.25">
      <c r="M5627"/>
      <c r="N5627"/>
      <c r="O5627"/>
      <c r="P5627" s="216"/>
      <c r="Q5627" s="217"/>
      <c r="R5627" s="217"/>
      <c r="S5627" s="218"/>
    </row>
    <row r="5628" spans="13:19" ht="15" customHeight="1" x14ac:dyDescent="0.25">
      <c r="M5628"/>
      <c r="N5628"/>
      <c r="O5628"/>
      <c r="P5628" s="216"/>
      <c r="Q5628" s="217"/>
      <c r="R5628" s="217"/>
      <c r="S5628" s="218"/>
    </row>
    <row r="5629" spans="13:19" ht="15" customHeight="1" x14ac:dyDescent="0.25">
      <c r="M5629"/>
      <c r="N5629"/>
      <c r="O5629"/>
      <c r="P5629" s="216"/>
      <c r="Q5629" s="217"/>
      <c r="R5629" s="217"/>
      <c r="S5629" s="218"/>
    </row>
    <row r="5630" spans="13:19" ht="15" customHeight="1" x14ac:dyDescent="0.25">
      <c r="M5630"/>
      <c r="N5630"/>
      <c r="O5630"/>
      <c r="P5630" s="216"/>
      <c r="Q5630" s="217"/>
      <c r="R5630" s="217"/>
      <c r="S5630" s="218"/>
    </row>
    <row r="5631" spans="13:19" ht="15" customHeight="1" x14ac:dyDescent="0.25">
      <c r="M5631"/>
      <c r="N5631"/>
      <c r="O5631"/>
      <c r="P5631" s="216"/>
      <c r="Q5631" s="217"/>
      <c r="R5631" s="217"/>
      <c r="S5631" s="218"/>
    </row>
    <row r="5632" spans="13:19" ht="15" customHeight="1" x14ac:dyDescent="0.25">
      <c r="M5632"/>
      <c r="N5632"/>
      <c r="O5632"/>
      <c r="P5632" s="216"/>
      <c r="Q5632" s="217"/>
      <c r="R5632" s="217"/>
      <c r="S5632" s="218"/>
    </row>
    <row r="5633" spans="13:19" ht="15" customHeight="1" x14ac:dyDescent="0.25">
      <c r="M5633"/>
      <c r="N5633"/>
      <c r="O5633"/>
      <c r="P5633" s="216"/>
      <c r="Q5633" s="217"/>
      <c r="R5633" s="217"/>
      <c r="S5633" s="218"/>
    </row>
    <row r="5634" spans="13:19" ht="15" customHeight="1" x14ac:dyDescent="0.25">
      <c r="M5634"/>
      <c r="N5634"/>
      <c r="O5634"/>
      <c r="P5634" s="216"/>
      <c r="Q5634" s="217"/>
      <c r="R5634" s="217"/>
      <c r="S5634" s="218"/>
    </row>
    <row r="5635" spans="13:19" ht="15" customHeight="1" x14ac:dyDescent="0.25">
      <c r="M5635"/>
      <c r="N5635"/>
      <c r="O5635"/>
      <c r="P5635" s="216"/>
      <c r="Q5635" s="217"/>
      <c r="R5635" s="217"/>
      <c r="S5635" s="218"/>
    </row>
    <row r="5636" spans="13:19" ht="15" customHeight="1" x14ac:dyDescent="0.25">
      <c r="M5636"/>
      <c r="N5636"/>
      <c r="O5636"/>
      <c r="P5636" s="216"/>
      <c r="Q5636" s="217"/>
      <c r="R5636" s="217"/>
      <c r="S5636" s="218"/>
    </row>
    <row r="5637" spans="13:19" ht="15" customHeight="1" x14ac:dyDescent="0.25">
      <c r="M5637"/>
      <c r="N5637"/>
      <c r="O5637"/>
      <c r="P5637" s="216"/>
      <c r="Q5637" s="217"/>
      <c r="R5637" s="217"/>
      <c r="S5637" s="218"/>
    </row>
    <row r="5638" spans="13:19" ht="15" customHeight="1" x14ac:dyDescent="0.25">
      <c r="M5638"/>
      <c r="N5638"/>
      <c r="O5638"/>
      <c r="P5638" s="216"/>
      <c r="Q5638" s="217"/>
      <c r="R5638" s="217"/>
      <c r="S5638" s="218"/>
    </row>
    <row r="5639" spans="13:19" ht="15" customHeight="1" x14ac:dyDescent="0.25">
      <c r="M5639"/>
      <c r="N5639"/>
      <c r="O5639"/>
      <c r="P5639" s="216"/>
      <c r="Q5639" s="217"/>
      <c r="R5639" s="217"/>
      <c r="S5639" s="218"/>
    </row>
    <row r="5640" spans="13:19" ht="15" customHeight="1" x14ac:dyDescent="0.25">
      <c r="M5640"/>
      <c r="N5640"/>
      <c r="O5640"/>
      <c r="P5640" s="216"/>
      <c r="Q5640" s="217"/>
      <c r="R5640" s="217"/>
      <c r="S5640" s="218"/>
    </row>
    <row r="5641" spans="13:19" ht="15" customHeight="1" x14ac:dyDescent="0.25">
      <c r="M5641"/>
      <c r="N5641"/>
      <c r="O5641"/>
      <c r="P5641" s="216"/>
      <c r="Q5641" s="217"/>
      <c r="R5641" s="217"/>
      <c r="S5641" s="218"/>
    </row>
    <row r="5642" spans="13:19" ht="15" customHeight="1" x14ac:dyDescent="0.25">
      <c r="M5642"/>
      <c r="N5642"/>
      <c r="O5642"/>
      <c r="P5642" s="216"/>
      <c r="Q5642" s="217"/>
      <c r="R5642" s="217"/>
      <c r="S5642" s="218"/>
    </row>
    <row r="5643" spans="13:19" ht="15" customHeight="1" x14ac:dyDescent="0.25">
      <c r="M5643"/>
      <c r="N5643"/>
      <c r="O5643"/>
      <c r="P5643" s="216"/>
      <c r="Q5643" s="217"/>
      <c r="R5643" s="217"/>
      <c r="S5643" s="218"/>
    </row>
    <row r="5644" spans="13:19" ht="15" customHeight="1" x14ac:dyDescent="0.25">
      <c r="M5644"/>
      <c r="N5644"/>
      <c r="O5644"/>
      <c r="P5644" s="216"/>
      <c r="Q5644" s="217"/>
      <c r="R5644" s="217"/>
      <c r="S5644" s="218"/>
    </row>
    <row r="5645" spans="13:19" ht="15" customHeight="1" x14ac:dyDescent="0.25">
      <c r="M5645"/>
      <c r="N5645"/>
      <c r="O5645"/>
      <c r="P5645" s="216"/>
      <c r="Q5645" s="217"/>
      <c r="R5645" s="217"/>
      <c r="S5645" s="218"/>
    </row>
    <row r="5646" spans="13:19" ht="15" customHeight="1" x14ac:dyDescent="0.25">
      <c r="M5646"/>
      <c r="N5646"/>
      <c r="O5646"/>
      <c r="P5646" s="216"/>
      <c r="Q5646" s="217"/>
      <c r="R5646" s="217"/>
      <c r="S5646" s="218"/>
    </row>
    <row r="5647" spans="13:19" ht="15" customHeight="1" x14ac:dyDescent="0.25">
      <c r="M5647"/>
      <c r="N5647"/>
      <c r="O5647"/>
      <c r="P5647" s="216"/>
      <c r="Q5647" s="217"/>
      <c r="R5647" s="217"/>
      <c r="S5647" s="218"/>
    </row>
    <row r="5648" spans="13:19" ht="15" customHeight="1" x14ac:dyDescent="0.25">
      <c r="M5648"/>
      <c r="N5648"/>
      <c r="O5648"/>
      <c r="P5648" s="216"/>
      <c r="Q5648" s="217"/>
      <c r="R5648" s="217"/>
      <c r="S5648" s="218"/>
    </row>
    <row r="5649" spans="13:19" ht="15" customHeight="1" x14ac:dyDescent="0.25">
      <c r="M5649"/>
      <c r="N5649"/>
      <c r="O5649"/>
      <c r="P5649" s="216"/>
      <c r="Q5649" s="217"/>
      <c r="R5649" s="217"/>
      <c r="S5649" s="218"/>
    </row>
    <row r="5650" spans="13:19" ht="15" customHeight="1" x14ac:dyDescent="0.25">
      <c r="M5650"/>
      <c r="N5650"/>
      <c r="O5650"/>
      <c r="P5650" s="216"/>
      <c r="Q5650" s="217"/>
      <c r="R5650" s="217"/>
      <c r="S5650" s="218"/>
    </row>
    <row r="5651" spans="13:19" ht="15" customHeight="1" x14ac:dyDescent="0.25">
      <c r="M5651"/>
      <c r="N5651"/>
      <c r="O5651"/>
      <c r="P5651" s="216"/>
      <c r="Q5651" s="217"/>
      <c r="R5651" s="217"/>
      <c r="S5651" s="218"/>
    </row>
    <row r="5652" spans="13:19" ht="15" customHeight="1" x14ac:dyDescent="0.25">
      <c r="M5652"/>
      <c r="N5652"/>
      <c r="O5652"/>
      <c r="P5652" s="216"/>
      <c r="Q5652" s="217"/>
      <c r="R5652" s="217"/>
      <c r="S5652" s="218"/>
    </row>
    <row r="5653" spans="13:19" ht="15" customHeight="1" x14ac:dyDescent="0.25">
      <c r="M5653"/>
      <c r="N5653"/>
      <c r="O5653"/>
      <c r="P5653" s="216"/>
      <c r="Q5653" s="217"/>
      <c r="R5653" s="217"/>
      <c r="S5653" s="218"/>
    </row>
    <row r="5654" spans="13:19" ht="15" customHeight="1" x14ac:dyDescent="0.25">
      <c r="M5654"/>
      <c r="N5654"/>
      <c r="O5654"/>
      <c r="P5654" s="216"/>
      <c r="Q5654" s="217"/>
      <c r="R5654" s="217"/>
      <c r="S5654" s="218"/>
    </row>
    <row r="5655" spans="13:19" ht="15" customHeight="1" x14ac:dyDescent="0.25">
      <c r="M5655"/>
      <c r="N5655"/>
      <c r="O5655"/>
      <c r="P5655" s="216"/>
      <c r="Q5655" s="217"/>
      <c r="R5655" s="217"/>
      <c r="S5655" s="218"/>
    </row>
    <row r="5656" spans="13:19" ht="15" customHeight="1" x14ac:dyDescent="0.25">
      <c r="M5656"/>
      <c r="N5656"/>
      <c r="O5656"/>
      <c r="P5656" s="216"/>
      <c r="Q5656" s="217"/>
      <c r="R5656" s="217"/>
      <c r="S5656" s="218"/>
    </row>
    <row r="5657" spans="13:19" ht="15" customHeight="1" x14ac:dyDescent="0.25">
      <c r="M5657"/>
      <c r="N5657"/>
      <c r="O5657"/>
      <c r="P5657" s="216"/>
      <c r="Q5657" s="217"/>
      <c r="R5657" s="217"/>
      <c r="S5657" s="218"/>
    </row>
    <row r="5658" spans="13:19" ht="15" customHeight="1" x14ac:dyDescent="0.25">
      <c r="M5658"/>
      <c r="N5658"/>
      <c r="O5658"/>
      <c r="P5658" s="216"/>
      <c r="Q5658" s="217"/>
      <c r="R5658" s="217"/>
      <c r="S5658" s="218"/>
    </row>
    <row r="5659" spans="13:19" ht="15" customHeight="1" x14ac:dyDescent="0.25">
      <c r="M5659"/>
      <c r="N5659"/>
      <c r="O5659"/>
      <c r="P5659" s="216"/>
      <c r="Q5659" s="217"/>
      <c r="R5659" s="217"/>
      <c r="S5659" s="218"/>
    </row>
    <row r="5660" spans="13:19" ht="15" customHeight="1" x14ac:dyDescent="0.25">
      <c r="M5660"/>
      <c r="N5660"/>
      <c r="O5660"/>
      <c r="P5660" s="216"/>
      <c r="Q5660" s="217"/>
      <c r="R5660" s="217"/>
      <c r="S5660" s="218"/>
    </row>
    <row r="5661" spans="13:19" ht="15" customHeight="1" x14ac:dyDescent="0.25">
      <c r="M5661"/>
      <c r="N5661"/>
      <c r="O5661"/>
      <c r="P5661" s="216"/>
      <c r="Q5661" s="217"/>
      <c r="R5661" s="217"/>
      <c r="S5661" s="218"/>
    </row>
    <row r="5662" spans="13:19" ht="15" customHeight="1" x14ac:dyDescent="0.25">
      <c r="M5662"/>
      <c r="N5662"/>
      <c r="O5662"/>
      <c r="P5662" s="216"/>
      <c r="Q5662" s="217"/>
      <c r="R5662" s="217"/>
      <c r="S5662" s="218"/>
    </row>
    <row r="5663" spans="13:19" ht="15" customHeight="1" x14ac:dyDescent="0.25">
      <c r="M5663"/>
      <c r="N5663"/>
      <c r="O5663"/>
      <c r="P5663" s="216"/>
      <c r="Q5663" s="217"/>
      <c r="R5663" s="217"/>
      <c r="S5663" s="218"/>
    </row>
    <row r="5664" spans="13:19" ht="15" customHeight="1" x14ac:dyDescent="0.25">
      <c r="M5664"/>
      <c r="N5664"/>
      <c r="O5664"/>
      <c r="P5664" s="216"/>
      <c r="Q5664" s="217"/>
      <c r="R5664" s="217"/>
      <c r="S5664" s="218"/>
    </row>
    <row r="5665" spans="13:19" ht="15" customHeight="1" x14ac:dyDescent="0.25">
      <c r="M5665"/>
      <c r="N5665"/>
      <c r="O5665"/>
      <c r="P5665" s="216"/>
      <c r="Q5665" s="217"/>
      <c r="R5665" s="217"/>
      <c r="S5665" s="218"/>
    </row>
    <row r="5666" spans="13:19" ht="15" customHeight="1" x14ac:dyDescent="0.25">
      <c r="M5666"/>
      <c r="N5666"/>
      <c r="O5666"/>
      <c r="P5666" s="216"/>
      <c r="Q5666" s="217"/>
      <c r="R5666" s="217"/>
      <c r="S5666" s="218"/>
    </row>
    <row r="5667" spans="13:19" ht="15" customHeight="1" x14ac:dyDescent="0.25">
      <c r="M5667"/>
      <c r="N5667"/>
      <c r="O5667"/>
      <c r="P5667" s="216"/>
      <c r="Q5667" s="217"/>
      <c r="R5667" s="217"/>
      <c r="S5667" s="218"/>
    </row>
    <row r="5668" spans="13:19" ht="15" customHeight="1" x14ac:dyDescent="0.25">
      <c r="M5668"/>
      <c r="N5668"/>
      <c r="O5668"/>
      <c r="P5668" s="216"/>
      <c r="Q5668" s="217"/>
      <c r="R5668" s="217"/>
      <c r="S5668" s="218"/>
    </row>
    <row r="5669" spans="13:19" ht="15" customHeight="1" x14ac:dyDescent="0.25">
      <c r="M5669"/>
      <c r="N5669"/>
      <c r="O5669"/>
      <c r="P5669" s="216"/>
      <c r="Q5669" s="217"/>
      <c r="R5669" s="217"/>
      <c r="S5669" s="218"/>
    </row>
    <row r="5670" spans="13:19" ht="15" customHeight="1" x14ac:dyDescent="0.25">
      <c r="M5670"/>
      <c r="N5670"/>
      <c r="O5670"/>
      <c r="P5670" s="216"/>
      <c r="Q5670" s="217"/>
      <c r="R5670" s="217"/>
      <c r="S5670" s="218"/>
    </row>
    <row r="5671" spans="13:19" ht="15" customHeight="1" x14ac:dyDescent="0.25">
      <c r="M5671"/>
      <c r="N5671"/>
      <c r="O5671"/>
      <c r="P5671" s="216"/>
      <c r="Q5671" s="217"/>
      <c r="R5671" s="217"/>
      <c r="S5671" s="218"/>
    </row>
    <row r="5672" spans="13:19" ht="15" customHeight="1" x14ac:dyDescent="0.25">
      <c r="M5672"/>
      <c r="N5672"/>
      <c r="O5672"/>
      <c r="P5672" s="216"/>
      <c r="Q5672" s="217"/>
      <c r="R5672" s="217"/>
      <c r="S5672" s="218"/>
    </row>
    <row r="5673" spans="13:19" ht="15" customHeight="1" x14ac:dyDescent="0.25">
      <c r="M5673"/>
      <c r="N5673"/>
      <c r="O5673"/>
      <c r="P5673" s="216"/>
      <c r="Q5673" s="217"/>
      <c r="R5673" s="217"/>
      <c r="S5673" s="218"/>
    </row>
    <row r="5674" spans="13:19" ht="15" customHeight="1" x14ac:dyDescent="0.25">
      <c r="M5674"/>
      <c r="N5674"/>
      <c r="O5674"/>
      <c r="P5674" s="216"/>
      <c r="Q5674" s="217"/>
      <c r="R5674" s="217"/>
      <c r="S5674" s="218"/>
    </row>
    <row r="5675" spans="13:19" ht="15" customHeight="1" x14ac:dyDescent="0.25">
      <c r="M5675"/>
      <c r="N5675"/>
      <c r="O5675"/>
      <c r="P5675" s="216"/>
      <c r="Q5675" s="217"/>
      <c r="R5675" s="217"/>
      <c r="S5675" s="218"/>
    </row>
    <row r="5676" spans="13:19" ht="15" customHeight="1" x14ac:dyDescent="0.25">
      <c r="M5676"/>
      <c r="N5676"/>
      <c r="O5676"/>
      <c r="P5676" s="216"/>
      <c r="Q5676" s="217"/>
      <c r="R5676" s="217"/>
      <c r="S5676" s="218"/>
    </row>
    <row r="5677" spans="13:19" ht="15" customHeight="1" x14ac:dyDescent="0.25">
      <c r="M5677"/>
      <c r="N5677"/>
      <c r="O5677"/>
      <c r="P5677" s="216"/>
      <c r="Q5677" s="217"/>
      <c r="R5677" s="217"/>
      <c r="S5677" s="218"/>
    </row>
    <row r="5678" spans="13:19" ht="15" customHeight="1" x14ac:dyDescent="0.25">
      <c r="M5678"/>
      <c r="N5678"/>
      <c r="O5678"/>
      <c r="P5678" s="216"/>
      <c r="Q5678" s="217"/>
      <c r="R5678" s="217"/>
      <c r="S5678" s="218"/>
    </row>
    <row r="5679" spans="13:19" ht="15" customHeight="1" x14ac:dyDescent="0.25">
      <c r="M5679"/>
      <c r="N5679"/>
      <c r="O5679"/>
      <c r="P5679" s="216"/>
      <c r="Q5679" s="217"/>
      <c r="R5679" s="217"/>
      <c r="S5679" s="218"/>
    </row>
    <row r="5680" spans="13:19" ht="15" customHeight="1" x14ac:dyDescent="0.25">
      <c r="M5680"/>
      <c r="N5680"/>
      <c r="O5680"/>
      <c r="P5680" s="216"/>
      <c r="Q5680" s="217"/>
      <c r="R5680" s="217"/>
      <c r="S5680" s="218"/>
    </row>
    <row r="5681" spans="13:19" ht="15" customHeight="1" x14ac:dyDescent="0.25">
      <c r="M5681"/>
      <c r="N5681"/>
      <c r="O5681"/>
      <c r="P5681" s="216"/>
      <c r="Q5681" s="217"/>
      <c r="R5681" s="217"/>
      <c r="S5681" s="218"/>
    </row>
    <row r="5682" spans="13:19" ht="15" customHeight="1" x14ac:dyDescent="0.25">
      <c r="M5682"/>
      <c r="N5682"/>
      <c r="O5682"/>
      <c r="P5682" s="216"/>
      <c r="Q5682" s="217"/>
      <c r="R5682" s="217"/>
      <c r="S5682" s="218"/>
    </row>
    <row r="5683" spans="13:19" ht="15" customHeight="1" x14ac:dyDescent="0.25">
      <c r="M5683"/>
      <c r="N5683"/>
      <c r="O5683"/>
      <c r="P5683" s="216"/>
      <c r="Q5683" s="217"/>
      <c r="R5683" s="217"/>
      <c r="S5683" s="218"/>
    </row>
    <row r="5684" spans="13:19" ht="15" customHeight="1" x14ac:dyDescent="0.25">
      <c r="M5684"/>
      <c r="N5684"/>
      <c r="O5684"/>
      <c r="P5684" s="216"/>
      <c r="Q5684" s="217"/>
      <c r="R5684" s="217"/>
      <c r="S5684" s="218"/>
    </row>
    <row r="5685" spans="13:19" ht="15" customHeight="1" x14ac:dyDescent="0.25">
      <c r="M5685"/>
      <c r="N5685"/>
      <c r="O5685"/>
      <c r="P5685" s="216"/>
      <c r="Q5685" s="217"/>
      <c r="R5685" s="217"/>
      <c r="S5685" s="218"/>
    </row>
    <row r="5686" spans="13:19" ht="15" customHeight="1" x14ac:dyDescent="0.25">
      <c r="M5686"/>
      <c r="N5686"/>
      <c r="O5686"/>
      <c r="P5686" s="216"/>
      <c r="Q5686" s="217"/>
      <c r="R5686" s="217"/>
      <c r="S5686" s="218"/>
    </row>
    <row r="5687" spans="13:19" ht="15" customHeight="1" x14ac:dyDescent="0.25">
      <c r="M5687"/>
      <c r="N5687"/>
      <c r="O5687"/>
      <c r="P5687" s="216"/>
      <c r="Q5687" s="217"/>
      <c r="R5687" s="217"/>
      <c r="S5687" s="218"/>
    </row>
    <row r="5688" spans="13:19" ht="15" customHeight="1" x14ac:dyDescent="0.25">
      <c r="M5688"/>
      <c r="N5688"/>
      <c r="O5688"/>
      <c r="P5688" s="216"/>
      <c r="Q5688" s="217"/>
      <c r="R5688" s="217"/>
      <c r="S5688" s="218"/>
    </row>
    <row r="5689" spans="13:19" ht="15" customHeight="1" x14ac:dyDescent="0.25">
      <c r="M5689"/>
      <c r="N5689"/>
      <c r="O5689"/>
      <c r="P5689" s="216"/>
      <c r="Q5689" s="217"/>
      <c r="R5689" s="217"/>
      <c r="S5689" s="218"/>
    </row>
    <row r="5690" spans="13:19" ht="15" customHeight="1" x14ac:dyDescent="0.25">
      <c r="M5690"/>
      <c r="N5690"/>
      <c r="O5690"/>
      <c r="P5690" s="216"/>
      <c r="Q5690" s="217"/>
      <c r="R5690" s="217"/>
      <c r="S5690" s="218"/>
    </row>
    <row r="5691" spans="13:19" ht="15" customHeight="1" x14ac:dyDescent="0.25">
      <c r="M5691"/>
      <c r="N5691"/>
      <c r="O5691"/>
      <c r="P5691" s="216"/>
      <c r="Q5691" s="217"/>
      <c r="R5691" s="217"/>
      <c r="S5691" s="218"/>
    </row>
    <row r="5692" spans="13:19" ht="15" customHeight="1" x14ac:dyDescent="0.25">
      <c r="M5692"/>
      <c r="N5692"/>
      <c r="O5692"/>
      <c r="P5692" s="216"/>
      <c r="Q5692" s="217"/>
      <c r="R5692" s="217"/>
      <c r="S5692" s="218"/>
    </row>
    <row r="5693" spans="13:19" ht="15" customHeight="1" x14ac:dyDescent="0.25">
      <c r="M5693"/>
      <c r="N5693"/>
      <c r="O5693"/>
      <c r="P5693" s="216"/>
      <c r="Q5693" s="217"/>
      <c r="R5693" s="217"/>
      <c r="S5693" s="218"/>
    </row>
    <row r="5694" spans="13:19" ht="15" customHeight="1" x14ac:dyDescent="0.25">
      <c r="M5694"/>
      <c r="N5694"/>
      <c r="O5694"/>
      <c r="P5694" s="216"/>
      <c r="Q5694" s="217"/>
      <c r="R5694" s="217"/>
      <c r="S5694" s="218"/>
    </row>
    <row r="5695" spans="13:19" ht="15" customHeight="1" x14ac:dyDescent="0.25">
      <c r="M5695"/>
      <c r="N5695"/>
      <c r="O5695"/>
      <c r="P5695" s="216"/>
      <c r="Q5695" s="217"/>
      <c r="R5695" s="217"/>
      <c r="S5695" s="218"/>
    </row>
    <row r="5696" spans="13:19" ht="15" customHeight="1" x14ac:dyDescent="0.25">
      <c r="M5696"/>
      <c r="N5696"/>
      <c r="O5696"/>
      <c r="P5696" s="216"/>
      <c r="Q5696" s="217"/>
      <c r="R5696" s="217"/>
      <c r="S5696" s="218"/>
    </row>
    <row r="5697" spans="13:19" ht="15" customHeight="1" x14ac:dyDescent="0.25">
      <c r="M5697"/>
      <c r="N5697"/>
      <c r="O5697"/>
      <c r="P5697" s="216"/>
      <c r="Q5697" s="217"/>
      <c r="R5697" s="217"/>
      <c r="S5697" s="218"/>
    </row>
    <row r="5698" spans="13:19" ht="15" customHeight="1" x14ac:dyDescent="0.25">
      <c r="M5698"/>
      <c r="N5698"/>
      <c r="O5698"/>
      <c r="P5698" s="216"/>
      <c r="Q5698" s="217"/>
      <c r="R5698" s="217"/>
      <c r="S5698" s="218"/>
    </row>
    <row r="5699" spans="13:19" ht="15" customHeight="1" x14ac:dyDescent="0.25">
      <c r="M5699"/>
      <c r="N5699"/>
      <c r="O5699"/>
      <c r="P5699" s="216"/>
      <c r="Q5699" s="217"/>
      <c r="R5699" s="217"/>
      <c r="S5699" s="218"/>
    </row>
    <row r="5700" spans="13:19" ht="15" customHeight="1" x14ac:dyDescent="0.25">
      <c r="M5700"/>
      <c r="N5700"/>
      <c r="O5700"/>
      <c r="P5700" s="216"/>
      <c r="Q5700" s="217"/>
      <c r="R5700" s="217"/>
      <c r="S5700" s="218"/>
    </row>
    <row r="5701" spans="13:19" ht="15" customHeight="1" x14ac:dyDescent="0.25">
      <c r="M5701"/>
      <c r="N5701"/>
      <c r="O5701"/>
      <c r="P5701" s="216"/>
      <c r="Q5701" s="217"/>
      <c r="R5701" s="217"/>
      <c r="S5701" s="218"/>
    </row>
    <row r="5702" spans="13:19" ht="15" customHeight="1" x14ac:dyDescent="0.25">
      <c r="M5702"/>
      <c r="N5702"/>
      <c r="O5702"/>
      <c r="P5702" s="216"/>
      <c r="Q5702" s="217"/>
      <c r="R5702" s="217"/>
      <c r="S5702" s="218"/>
    </row>
    <row r="5703" spans="13:19" ht="15" customHeight="1" x14ac:dyDescent="0.25">
      <c r="M5703"/>
      <c r="N5703"/>
      <c r="O5703"/>
      <c r="P5703" s="216"/>
      <c r="Q5703" s="217"/>
      <c r="R5703" s="217"/>
      <c r="S5703" s="218"/>
    </row>
    <row r="5704" spans="13:19" ht="15" customHeight="1" x14ac:dyDescent="0.25">
      <c r="M5704"/>
      <c r="N5704"/>
      <c r="O5704"/>
      <c r="P5704" s="216"/>
      <c r="Q5704" s="217"/>
      <c r="R5704" s="217"/>
      <c r="S5704" s="218"/>
    </row>
    <row r="5705" spans="13:19" ht="15" customHeight="1" x14ac:dyDescent="0.25">
      <c r="M5705"/>
      <c r="N5705"/>
      <c r="O5705"/>
      <c r="P5705" s="216"/>
      <c r="Q5705" s="217"/>
      <c r="R5705" s="217"/>
      <c r="S5705" s="218"/>
    </row>
    <row r="5706" spans="13:19" ht="15" customHeight="1" x14ac:dyDescent="0.25">
      <c r="M5706"/>
      <c r="N5706"/>
      <c r="O5706"/>
      <c r="P5706" s="216"/>
      <c r="Q5706" s="217"/>
      <c r="R5706" s="217"/>
      <c r="S5706" s="218"/>
    </row>
    <row r="5707" spans="13:19" ht="15" customHeight="1" x14ac:dyDescent="0.25">
      <c r="M5707"/>
      <c r="N5707"/>
      <c r="O5707"/>
      <c r="P5707" s="216"/>
      <c r="Q5707" s="217"/>
      <c r="R5707" s="217"/>
      <c r="S5707" s="218"/>
    </row>
    <row r="5708" spans="13:19" ht="15" customHeight="1" x14ac:dyDescent="0.25">
      <c r="M5708"/>
      <c r="N5708"/>
      <c r="O5708"/>
      <c r="P5708" s="216"/>
      <c r="Q5708" s="217"/>
      <c r="R5708" s="217"/>
      <c r="S5708" s="218"/>
    </row>
    <row r="5709" spans="13:19" ht="15" customHeight="1" x14ac:dyDescent="0.25">
      <c r="M5709"/>
      <c r="N5709"/>
      <c r="O5709"/>
      <c r="P5709" s="216"/>
      <c r="Q5709" s="217"/>
      <c r="R5709" s="217"/>
      <c r="S5709" s="218"/>
    </row>
    <row r="5710" spans="13:19" ht="15" customHeight="1" x14ac:dyDescent="0.25">
      <c r="M5710"/>
      <c r="N5710"/>
      <c r="O5710"/>
      <c r="P5710" s="216"/>
      <c r="Q5710" s="217"/>
      <c r="R5710" s="217"/>
      <c r="S5710" s="218"/>
    </row>
    <row r="5711" spans="13:19" ht="15" customHeight="1" x14ac:dyDescent="0.25">
      <c r="M5711"/>
      <c r="N5711"/>
      <c r="O5711"/>
      <c r="P5711" s="216"/>
      <c r="Q5711" s="217"/>
      <c r="R5711" s="217"/>
      <c r="S5711" s="218"/>
    </row>
    <row r="5712" spans="13:19" ht="15" customHeight="1" x14ac:dyDescent="0.25">
      <c r="M5712"/>
      <c r="N5712"/>
      <c r="O5712"/>
      <c r="P5712" s="216"/>
      <c r="Q5712" s="217"/>
      <c r="R5712" s="217"/>
      <c r="S5712" s="218"/>
    </row>
    <row r="5713" spans="13:19" ht="15" customHeight="1" x14ac:dyDescent="0.25">
      <c r="M5713"/>
      <c r="N5713"/>
      <c r="O5713"/>
      <c r="P5713" s="216"/>
      <c r="Q5713" s="217"/>
      <c r="R5713" s="217"/>
      <c r="S5713" s="218"/>
    </row>
    <row r="5714" spans="13:19" ht="15" customHeight="1" x14ac:dyDescent="0.25">
      <c r="M5714"/>
      <c r="N5714"/>
      <c r="O5714"/>
      <c r="P5714" s="216"/>
      <c r="Q5714" s="217"/>
      <c r="R5714" s="217"/>
      <c r="S5714" s="218"/>
    </row>
    <row r="5715" spans="13:19" ht="15" customHeight="1" x14ac:dyDescent="0.25">
      <c r="M5715"/>
      <c r="N5715"/>
      <c r="O5715"/>
      <c r="P5715" s="216"/>
      <c r="Q5715" s="217"/>
      <c r="R5715" s="217"/>
      <c r="S5715" s="218"/>
    </row>
    <row r="5716" spans="13:19" ht="15" customHeight="1" x14ac:dyDescent="0.25">
      <c r="M5716"/>
      <c r="N5716"/>
      <c r="O5716"/>
      <c r="P5716" s="216"/>
      <c r="Q5716" s="217"/>
      <c r="R5716" s="217"/>
      <c r="S5716" s="218"/>
    </row>
    <row r="5717" spans="13:19" ht="15" customHeight="1" x14ac:dyDescent="0.25">
      <c r="M5717"/>
      <c r="N5717"/>
      <c r="O5717"/>
      <c r="P5717" s="216"/>
      <c r="Q5717" s="217"/>
      <c r="R5717" s="217"/>
      <c r="S5717" s="218"/>
    </row>
    <row r="5718" spans="13:19" ht="15" customHeight="1" x14ac:dyDescent="0.25">
      <c r="M5718"/>
      <c r="N5718"/>
      <c r="O5718"/>
      <c r="P5718" s="216"/>
      <c r="Q5718" s="217"/>
      <c r="R5718" s="217"/>
      <c r="S5718" s="218"/>
    </row>
    <row r="5719" spans="13:19" ht="15" customHeight="1" x14ac:dyDescent="0.25">
      <c r="M5719"/>
      <c r="N5719"/>
      <c r="O5719"/>
      <c r="P5719" s="216"/>
      <c r="Q5719" s="217"/>
      <c r="R5719" s="217"/>
      <c r="S5719" s="218"/>
    </row>
    <row r="5720" spans="13:19" ht="15" customHeight="1" x14ac:dyDescent="0.25">
      <c r="M5720"/>
      <c r="N5720"/>
      <c r="O5720"/>
      <c r="P5720" s="216"/>
      <c r="Q5720" s="217"/>
      <c r="R5720" s="217"/>
      <c r="S5720" s="218"/>
    </row>
    <row r="5721" spans="13:19" ht="15" customHeight="1" x14ac:dyDescent="0.25">
      <c r="M5721"/>
      <c r="N5721"/>
      <c r="O5721"/>
      <c r="P5721" s="216"/>
      <c r="Q5721" s="217"/>
      <c r="R5721" s="217"/>
      <c r="S5721" s="218"/>
    </row>
    <row r="5722" spans="13:19" ht="15" customHeight="1" x14ac:dyDescent="0.25">
      <c r="M5722"/>
      <c r="N5722"/>
      <c r="O5722"/>
      <c r="P5722" s="216"/>
      <c r="Q5722" s="217"/>
      <c r="R5722" s="217"/>
      <c r="S5722" s="218"/>
    </row>
    <row r="5723" spans="13:19" ht="15" customHeight="1" x14ac:dyDescent="0.25">
      <c r="M5723"/>
      <c r="N5723"/>
      <c r="O5723"/>
      <c r="P5723" s="216"/>
      <c r="Q5723" s="217"/>
      <c r="R5723" s="217"/>
      <c r="S5723" s="218"/>
    </row>
    <row r="5724" spans="13:19" ht="15" customHeight="1" x14ac:dyDescent="0.25">
      <c r="M5724"/>
      <c r="N5724"/>
      <c r="O5724"/>
      <c r="P5724" s="216"/>
      <c r="Q5724" s="217"/>
      <c r="R5724" s="217"/>
      <c r="S5724" s="218"/>
    </row>
    <row r="5725" spans="13:19" ht="15" customHeight="1" x14ac:dyDescent="0.25">
      <c r="M5725"/>
      <c r="N5725"/>
      <c r="O5725"/>
      <c r="P5725" s="216"/>
      <c r="Q5725" s="217"/>
      <c r="R5725" s="217"/>
      <c r="S5725" s="218"/>
    </row>
    <row r="5726" spans="13:19" ht="15" customHeight="1" x14ac:dyDescent="0.25">
      <c r="M5726"/>
      <c r="N5726"/>
      <c r="O5726"/>
      <c r="P5726" s="216"/>
      <c r="Q5726" s="217"/>
      <c r="R5726" s="217"/>
      <c r="S5726" s="218"/>
    </row>
    <row r="5727" spans="13:19" ht="15" customHeight="1" x14ac:dyDescent="0.25">
      <c r="M5727"/>
      <c r="N5727"/>
      <c r="O5727"/>
      <c r="P5727" s="216"/>
      <c r="Q5727" s="217"/>
      <c r="R5727" s="217"/>
      <c r="S5727" s="218"/>
    </row>
    <row r="5728" spans="13:19" ht="15" customHeight="1" x14ac:dyDescent="0.25">
      <c r="M5728"/>
      <c r="N5728"/>
      <c r="O5728"/>
      <c r="P5728" s="216"/>
      <c r="Q5728" s="217"/>
      <c r="R5728" s="217"/>
      <c r="S5728" s="218"/>
    </row>
    <row r="5729" spans="13:19" ht="15" customHeight="1" x14ac:dyDescent="0.25">
      <c r="M5729"/>
      <c r="N5729"/>
      <c r="O5729"/>
      <c r="P5729" s="216"/>
      <c r="Q5729" s="217"/>
      <c r="R5729" s="217"/>
      <c r="S5729" s="218"/>
    </row>
    <row r="5730" spans="13:19" ht="15" customHeight="1" x14ac:dyDescent="0.25">
      <c r="M5730"/>
      <c r="N5730"/>
      <c r="O5730"/>
      <c r="P5730" s="216"/>
      <c r="Q5730" s="217"/>
      <c r="R5730" s="217"/>
      <c r="S5730" s="218"/>
    </row>
    <row r="5731" spans="13:19" ht="15" customHeight="1" x14ac:dyDescent="0.25">
      <c r="M5731"/>
      <c r="N5731"/>
      <c r="O5731"/>
      <c r="P5731" s="216"/>
      <c r="Q5731" s="217"/>
      <c r="R5731" s="217"/>
      <c r="S5731" s="218"/>
    </row>
    <row r="5732" spans="13:19" ht="15" customHeight="1" x14ac:dyDescent="0.25">
      <c r="M5732"/>
      <c r="N5732"/>
      <c r="O5732"/>
      <c r="P5732" s="216"/>
      <c r="Q5732" s="217"/>
      <c r="R5732" s="217"/>
      <c r="S5732" s="218"/>
    </row>
    <row r="5733" spans="13:19" ht="15" customHeight="1" x14ac:dyDescent="0.25">
      <c r="M5733"/>
      <c r="N5733"/>
      <c r="O5733"/>
      <c r="P5733" s="216"/>
      <c r="Q5733" s="217"/>
      <c r="R5733" s="217"/>
      <c r="S5733" s="218"/>
    </row>
    <row r="5734" spans="13:19" ht="15" customHeight="1" x14ac:dyDescent="0.25">
      <c r="M5734"/>
      <c r="N5734"/>
      <c r="O5734"/>
      <c r="P5734" s="216"/>
      <c r="Q5734" s="217"/>
      <c r="R5734" s="217"/>
      <c r="S5734" s="218"/>
    </row>
    <row r="5735" spans="13:19" ht="15" customHeight="1" x14ac:dyDescent="0.25">
      <c r="M5735"/>
      <c r="N5735"/>
      <c r="O5735"/>
      <c r="P5735" s="216"/>
      <c r="Q5735" s="217"/>
      <c r="R5735" s="217"/>
      <c r="S5735" s="218"/>
    </row>
    <row r="5736" spans="13:19" ht="15" customHeight="1" x14ac:dyDescent="0.25">
      <c r="M5736"/>
      <c r="N5736"/>
      <c r="O5736"/>
      <c r="P5736" s="216"/>
      <c r="Q5736" s="217"/>
      <c r="R5736" s="217"/>
      <c r="S5736" s="218"/>
    </row>
    <row r="5737" spans="13:19" ht="15" customHeight="1" x14ac:dyDescent="0.25">
      <c r="M5737"/>
      <c r="N5737"/>
      <c r="O5737"/>
      <c r="P5737" s="216"/>
      <c r="Q5737" s="217"/>
      <c r="R5737" s="217"/>
      <c r="S5737" s="218"/>
    </row>
    <row r="5738" spans="13:19" ht="15" customHeight="1" x14ac:dyDescent="0.25">
      <c r="M5738"/>
      <c r="N5738"/>
      <c r="O5738"/>
      <c r="P5738" s="216"/>
      <c r="Q5738" s="217"/>
      <c r="R5738" s="217"/>
      <c r="S5738" s="218"/>
    </row>
    <row r="5739" spans="13:19" ht="15" customHeight="1" x14ac:dyDescent="0.25">
      <c r="M5739"/>
      <c r="N5739"/>
      <c r="O5739"/>
      <c r="P5739" s="216"/>
      <c r="Q5739" s="217"/>
      <c r="R5739" s="217"/>
      <c r="S5739" s="218"/>
    </row>
    <row r="5740" spans="13:19" ht="15" customHeight="1" x14ac:dyDescent="0.25">
      <c r="M5740"/>
      <c r="N5740"/>
      <c r="O5740"/>
      <c r="P5740" s="216"/>
      <c r="Q5740" s="217"/>
      <c r="R5740" s="217"/>
      <c r="S5740" s="218"/>
    </row>
    <row r="5741" spans="13:19" ht="15" customHeight="1" x14ac:dyDescent="0.25">
      <c r="M5741"/>
      <c r="N5741"/>
      <c r="O5741"/>
      <c r="P5741" s="216"/>
      <c r="Q5741" s="217"/>
      <c r="R5741" s="217"/>
      <c r="S5741" s="218"/>
    </row>
    <row r="5742" spans="13:19" ht="15" customHeight="1" x14ac:dyDescent="0.25">
      <c r="M5742"/>
      <c r="N5742"/>
      <c r="O5742"/>
      <c r="P5742" s="216"/>
      <c r="Q5742" s="217"/>
      <c r="R5742" s="217"/>
      <c r="S5742" s="218"/>
    </row>
    <row r="5743" spans="13:19" ht="15" customHeight="1" x14ac:dyDescent="0.25">
      <c r="M5743"/>
      <c r="N5743"/>
      <c r="O5743"/>
      <c r="P5743" s="216"/>
      <c r="Q5743" s="217"/>
      <c r="R5743" s="217"/>
      <c r="S5743" s="218"/>
    </row>
    <row r="5744" spans="13:19" ht="15" customHeight="1" x14ac:dyDescent="0.25">
      <c r="M5744"/>
      <c r="N5744"/>
      <c r="O5744"/>
      <c r="P5744" s="216"/>
      <c r="Q5744" s="217"/>
      <c r="R5744" s="217"/>
      <c r="S5744" s="218"/>
    </row>
    <row r="5745" spans="13:19" ht="15" customHeight="1" x14ac:dyDescent="0.25">
      <c r="M5745"/>
      <c r="N5745"/>
      <c r="O5745"/>
      <c r="P5745" s="216"/>
      <c r="Q5745" s="217"/>
      <c r="R5745" s="217"/>
      <c r="S5745" s="218"/>
    </row>
    <row r="5746" spans="13:19" ht="15" customHeight="1" x14ac:dyDescent="0.25">
      <c r="M5746"/>
      <c r="N5746"/>
      <c r="O5746"/>
      <c r="P5746" s="216"/>
      <c r="Q5746" s="217"/>
      <c r="R5746" s="217"/>
      <c r="S5746" s="218"/>
    </row>
    <row r="5747" spans="13:19" ht="15" customHeight="1" x14ac:dyDescent="0.25">
      <c r="M5747"/>
      <c r="N5747"/>
      <c r="O5747"/>
      <c r="P5747" s="216"/>
      <c r="Q5747" s="217"/>
      <c r="R5747" s="217"/>
      <c r="S5747" s="218"/>
    </row>
    <row r="5748" spans="13:19" ht="15" customHeight="1" x14ac:dyDescent="0.25">
      <c r="M5748"/>
      <c r="N5748"/>
      <c r="O5748"/>
      <c r="P5748" s="216"/>
      <c r="Q5748" s="217"/>
      <c r="R5748" s="217"/>
      <c r="S5748" s="218"/>
    </row>
    <row r="5749" spans="13:19" ht="15" customHeight="1" x14ac:dyDescent="0.25">
      <c r="M5749"/>
      <c r="N5749"/>
      <c r="O5749"/>
      <c r="P5749" s="216"/>
      <c r="Q5749" s="217"/>
      <c r="R5749" s="217"/>
      <c r="S5749" s="218"/>
    </row>
    <row r="5750" spans="13:19" ht="15" customHeight="1" x14ac:dyDescent="0.25">
      <c r="M5750"/>
      <c r="N5750"/>
      <c r="O5750"/>
      <c r="P5750" s="216"/>
      <c r="Q5750" s="217"/>
      <c r="R5750" s="217"/>
      <c r="S5750" s="218"/>
    </row>
    <row r="5751" spans="13:19" ht="15" customHeight="1" x14ac:dyDescent="0.25">
      <c r="M5751"/>
      <c r="N5751"/>
      <c r="O5751"/>
      <c r="P5751" s="216"/>
      <c r="Q5751" s="217"/>
      <c r="R5751" s="217"/>
      <c r="S5751" s="218"/>
    </row>
    <row r="5752" spans="13:19" ht="15" customHeight="1" x14ac:dyDescent="0.25">
      <c r="M5752"/>
      <c r="N5752"/>
      <c r="O5752"/>
      <c r="P5752" s="216"/>
      <c r="Q5752" s="217"/>
      <c r="R5752" s="217"/>
      <c r="S5752" s="218"/>
    </row>
    <row r="5753" spans="13:19" ht="15" customHeight="1" x14ac:dyDescent="0.25">
      <c r="M5753"/>
      <c r="N5753"/>
      <c r="O5753"/>
      <c r="P5753" s="216"/>
      <c r="Q5753" s="217"/>
      <c r="R5753" s="217"/>
      <c r="S5753" s="218"/>
    </row>
    <row r="5754" spans="13:19" ht="15" customHeight="1" x14ac:dyDescent="0.25">
      <c r="M5754"/>
      <c r="N5754"/>
      <c r="O5754"/>
      <c r="P5754" s="216"/>
      <c r="Q5754" s="217"/>
      <c r="R5754" s="217"/>
      <c r="S5754" s="218"/>
    </row>
    <row r="5755" spans="13:19" ht="15" customHeight="1" x14ac:dyDescent="0.25">
      <c r="M5755"/>
      <c r="N5755"/>
      <c r="O5755"/>
      <c r="P5755" s="216"/>
      <c r="Q5755" s="217"/>
      <c r="R5755" s="217"/>
      <c r="S5755" s="218"/>
    </row>
    <row r="5756" spans="13:19" ht="15" customHeight="1" x14ac:dyDescent="0.25">
      <c r="M5756"/>
      <c r="N5756"/>
      <c r="O5756"/>
      <c r="P5756" s="216"/>
      <c r="Q5756" s="217"/>
      <c r="R5756" s="217"/>
      <c r="S5756" s="218"/>
    </row>
    <row r="5757" spans="13:19" ht="15" customHeight="1" x14ac:dyDescent="0.25">
      <c r="M5757"/>
      <c r="N5757"/>
      <c r="O5757"/>
      <c r="P5757" s="216"/>
      <c r="Q5757" s="217"/>
      <c r="R5757" s="217"/>
      <c r="S5757" s="218"/>
    </row>
    <row r="5758" spans="13:19" ht="15" customHeight="1" x14ac:dyDescent="0.25">
      <c r="M5758"/>
      <c r="N5758"/>
      <c r="O5758"/>
      <c r="P5758" s="216"/>
      <c r="Q5758" s="217"/>
      <c r="R5758" s="217"/>
      <c r="S5758" s="218"/>
    </row>
    <row r="5759" spans="13:19" ht="15" customHeight="1" x14ac:dyDescent="0.25">
      <c r="M5759"/>
      <c r="N5759"/>
      <c r="O5759"/>
      <c r="P5759" s="216"/>
      <c r="Q5759" s="217"/>
      <c r="R5759" s="217"/>
      <c r="S5759" s="218"/>
    </row>
    <row r="5760" spans="13:19" ht="15" customHeight="1" x14ac:dyDescent="0.25">
      <c r="M5760"/>
      <c r="N5760"/>
      <c r="O5760"/>
      <c r="P5760" s="216"/>
      <c r="Q5760" s="217"/>
      <c r="R5760" s="217"/>
      <c r="S5760" s="218"/>
    </row>
    <row r="5761" spans="13:19" ht="15" customHeight="1" x14ac:dyDescent="0.25">
      <c r="M5761"/>
      <c r="N5761"/>
      <c r="O5761"/>
      <c r="P5761" s="216"/>
      <c r="Q5761" s="217"/>
      <c r="R5761" s="217"/>
      <c r="S5761" s="218"/>
    </row>
    <row r="5762" spans="13:19" ht="15" customHeight="1" x14ac:dyDescent="0.25">
      <c r="M5762"/>
      <c r="N5762"/>
      <c r="O5762"/>
      <c r="P5762" s="216"/>
      <c r="Q5762" s="217"/>
      <c r="R5762" s="217"/>
      <c r="S5762" s="218"/>
    </row>
    <row r="5763" spans="13:19" ht="15" customHeight="1" x14ac:dyDescent="0.25">
      <c r="M5763"/>
      <c r="N5763"/>
      <c r="O5763"/>
      <c r="P5763" s="216"/>
      <c r="Q5763" s="217"/>
      <c r="R5763" s="217"/>
      <c r="S5763" s="218"/>
    </row>
    <row r="5764" spans="13:19" ht="15" customHeight="1" x14ac:dyDescent="0.25">
      <c r="M5764"/>
      <c r="N5764"/>
      <c r="O5764"/>
      <c r="P5764" s="216"/>
      <c r="Q5764" s="217"/>
      <c r="R5764" s="217"/>
      <c r="S5764" s="218"/>
    </row>
    <row r="5765" spans="13:19" ht="15" customHeight="1" x14ac:dyDescent="0.25">
      <c r="M5765"/>
      <c r="N5765"/>
      <c r="O5765"/>
      <c r="P5765" s="216"/>
      <c r="Q5765" s="217"/>
      <c r="R5765" s="217"/>
      <c r="S5765" s="218"/>
    </row>
    <row r="5766" spans="13:19" ht="15" customHeight="1" x14ac:dyDescent="0.25">
      <c r="M5766"/>
      <c r="N5766"/>
      <c r="O5766"/>
      <c r="P5766" s="216"/>
      <c r="Q5766" s="217"/>
      <c r="R5766" s="217"/>
      <c r="S5766" s="218"/>
    </row>
    <row r="5767" spans="13:19" ht="15" customHeight="1" x14ac:dyDescent="0.25">
      <c r="M5767"/>
      <c r="N5767"/>
      <c r="O5767"/>
      <c r="P5767" s="216"/>
      <c r="Q5767" s="217"/>
      <c r="R5767" s="217"/>
      <c r="S5767" s="218"/>
    </row>
    <row r="5768" spans="13:19" ht="15" customHeight="1" x14ac:dyDescent="0.25">
      <c r="M5768"/>
      <c r="N5768"/>
      <c r="O5768"/>
      <c r="P5768" s="216"/>
      <c r="Q5768" s="217"/>
      <c r="R5768" s="217"/>
      <c r="S5768" s="218"/>
    </row>
    <row r="5769" spans="13:19" ht="15" customHeight="1" x14ac:dyDescent="0.25">
      <c r="M5769"/>
      <c r="N5769"/>
      <c r="O5769"/>
      <c r="P5769" s="216"/>
      <c r="Q5769" s="217"/>
      <c r="R5769" s="217"/>
      <c r="S5769" s="218"/>
    </row>
    <row r="5770" spans="13:19" ht="15" customHeight="1" x14ac:dyDescent="0.25">
      <c r="M5770"/>
      <c r="N5770"/>
      <c r="O5770"/>
      <c r="P5770" s="216"/>
      <c r="Q5770" s="217"/>
      <c r="R5770" s="217"/>
      <c r="S5770" s="218"/>
    </row>
    <row r="5771" spans="13:19" ht="15" customHeight="1" x14ac:dyDescent="0.25">
      <c r="M5771"/>
      <c r="N5771"/>
      <c r="O5771"/>
      <c r="P5771" s="216"/>
      <c r="Q5771" s="217"/>
      <c r="R5771" s="217"/>
      <c r="S5771" s="218"/>
    </row>
    <row r="5772" spans="13:19" ht="15" customHeight="1" x14ac:dyDescent="0.25">
      <c r="M5772"/>
      <c r="N5772"/>
      <c r="O5772"/>
      <c r="P5772" s="216"/>
      <c r="Q5772" s="217"/>
      <c r="R5772" s="217"/>
      <c r="S5772" s="218"/>
    </row>
    <row r="5773" spans="13:19" ht="15" customHeight="1" x14ac:dyDescent="0.25">
      <c r="M5773"/>
      <c r="N5773"/>
      <c r="O5773"/>
      <c r="P5773" s="216"/>
      <c r="Q5773" s="217"/>
      <c r="R5773" s="217"/>
      <c r="S5773" s="218"/>
    </row>
    <row r="5774" spans="13:19" ht="15" customHeight="1" x14ac:dyDescent="0.25">
      <c r="M5774"/>
      <c r="N5774"/>
      <c r="O5774"/>
      <c r="P5774" s="216"/>
      <c r="Q5774" s="217"/>
      <c r="R5774" s="217"/>
      <c r="S5774" s="218"/>
    </row>
    <row r="5775" spans="13:19" ht="15" customHeight="1" x14ac:dyDescent="0.25">
      <c r="M5775"/>
      <c r="N5775"/>
      <c r="O5775"/>
      <c r="P5775" s="216"/>
      <c r="Q5775" s="217"/>
      <c r="R5775" s="217"/>
      <c r="S5775" s="218"/>
    </row>
    <row r="5776" spans="13:19" ht="15" customHeight="1" x14ac:dyDescent="0.25">
      <c r="M5776"/>
      <c r="N5776"/>
      <c r="O5776"/>
      <c r="P5776" s="216"/>
      <c r="Q5776" s="217"/>
      <c r="R5776" s="217"/>
      <c r="S5776" s="218"/>
    </row>
    <row r="5777" spans="13:19" ht="15" customHeight="1" x14ac:dyDescent="0.25">
      <c r="M5777"/>
      <c r="N5777"/>
      <c r="O5777"/>
      <c r="P5777" s="216"/>
      <c r="Q5777" s="217"/>
      <c r="R5777" s="217"/>
      <c r="S5777" s="218"/>
    </row>
    <row r="5778" spans="13:19" ht="15" customHeight="1" x14ac:dyDescent="0.25">
      <c r="M5778"/>
      <c r="N5778"/>
      <c r="O5778"/>
      <c r="P5778" s="216"/>
      <c r="Q5778" s="217"/>
      <c r="R5778" s="217"/>
      <c r="S5778" s="218"/>
    </row>
    <row r="5779" spans="13:19" ht="15" customHeight="1" x14ac:dyDescent="0.25">
      <c r="M5779"/>
      <c r="N5779"/>
      <c r="O5779"/>
      <c r="P5779" s="216"/>
      <c r="Q5779" s="217"/>
      <c r="R5779" s="217"/>
      <c r="S5779" s="218"/>
    </row>
    <row r="5780" spans="13:19" ht="15" customHeight="1" x14ac:dyDescent="0.25">
      <c r="M5780"/>
      <c r="N5780"/>
      <c r="O5780"/>
      <c r="P5780" s="216"/>
      <c r="Q5780" s="217"/>
      <c r="R5780" s="217"/>
      <c r="S5780" s="218"/>
    </row>
    <row r="5781" spans="13:19" ht="15" customHeight="1" x14ac:dyDescent="0.25">
      <c r="M5781"/>
      <c r="N5781"/>
      <c r="O5781"/>
      <c r="P5781" s="216"/>
      <c r="Q5781" s="217"/>
      <c r="R5781" s="217"/>
      <c r="S5781" s="218"/>
    </row>
    <row r="5782" spans="13:19" ht="15" customHeight="1" x14ac:dyDescent="0.25">
      <c r="M5782"/>
      <c r="N5782"/>
      <c r="O5782"/>
      <c r="P5782" s="216"/>
      <c r="Q5782" s="217"/>
      <c r="R5782" s="217"/>
      <c r="S5782" s="218"/>
    </row>
    <row r="5783" spans="13:19" ht="15" customHeight="1" x14ac:dyDescent="0.25">
      <c r="M5783"/>
      <c r="N5783"/>
      <c r="O5783"/>
      <c r="P5783" s="216"/>
      <c r="Q5783" s="217"/>
      <c r="R5783" s="217"/>
      <c r="S5783" s="218"/>
    </row>
    <row r="5784" spans="13:19" ht="15" customHeight="1" x14ac:dyDescent="0.25">
      <c r="M5784"/>
      <c r="N5784"/>
      <c r="O5784"/>
      <c r="P5784" s="216"/>
      <c r="Q5784" s="217"/>
      <c r="R5784" s="217"/>
      <c r="S5784" s="218"/>
    </row>
    <row r="5785" spans="13:19" ht="15" customHeight="1" x14ac:dyDescent="0.25">
      <c r="M5785"/>
      <c r="N5785"/>
      <c r="O5785"/>
      <c r="P5785" s="216"/>
      <c r="Q5785" s="217"/>
      <c r="R5785" s="217"/>
      <c r="S5785" s="218"/>
    </row>
    <row r="5786" spans="13:19" ht="15" customHeight="1" x14ac:dyDescent="0.25">
      <c r="M5786"/>
      <c r="N5786"/>
      <c r="O5786"/>
      <c r="P5786" s="216"/>
      <c r="Q5786" s="217"/>
      <c r="R5786" s="217"/>
      <c r="S5786" s="218"/>
    </row>
    <row r="5787" spans="13:19" ht="15" customHeight="1" x14ac:dyDescent="0.25">
      <c r="M5787"/>
      <c r="N5787"/>
      <c r="O5787"/>
      <c r="P5787" s="216"/>
      <c r="Q5787" s="217"/>
      <c r="R5787" s="217"/>
      <c r="S5787" s="218"/>
    </row>
    <row r="5788" spans="13:19" ht="15" customHeight="1" x14ac:dyDescent="0.25">
      <c r="M5788"/>
      <c r="N5788"/>
      <c r="O5788"/>
      <c r="P5788" s="216"/>
      <c r="Q5788" s="217"/>
      <c r="R5788" s="217"/>
      <c r="S5788" s="218"/>
    </row>
    <row r="5789" spans="13:19" ht="15" customHeight="1" x14ac:dyDescent="0.25">
      <c r="M5789"/>
      <c r="N5789"/>
      <c r="O5789"/>
      <c r="P5789" s="216"/>
      <c r="Q5789" s="217"/>
      <c r="R5789" s="217"/>
      <c r="S5789" s="218"/>
    </row>
    <row r="5790" spans="13:19" ht="15" customHeight="1" x14ac:dyDescent="0.25">
      <c r="M5790"/>
      <c r="N5790"/>
      <c r="O5790"/>
      <c r="P5790" s="216"/>
      <c r="Q5790" s="217"/>
      <c r="R5790" s="217"/>
      <c r="S5790" s="218"/>
    </row>
    <row r="5791" spans="13:19" ht="15" customHeight="1" x14ac:dyDescent="0.25">
      <c r="M5791"/>
      <c r="N5791"/>
      <c r="O5791"/>
      <c r="P5791" s="216"/>
      <c r="Q5791" s="217"/>
      <c r="R5791" s="217"/>
      <c r="S5791" s="218"/>
    </row>
    <row r="5792" spans="13:19" ht="15" customHeight="1" x14ac:dyDescent="0.25">
      <c r="M5792"/>
      <c r="N5792"/>
      <c r="O5792"/>
      <c r="P5792" s="216"/>
      <c r="Q5792" s="217"/>
      <c r="R5792" s="217"/>
      <c r="S5792" s="218"/>
    </row>
    <row r="5793" spans="13:19" ht="15" customHeight="1" x14ac:dyDescent="0.25">
      <c r="M5793"/>
      <c r="N5793"/>
      <c r="O5793"/>
      <c r="P5793" s="216"/>
      <c r="Q5793" s="217"/>
      <c r="R5793" s="217"/>
      <c r="S5793" s="218"/>
    </row>
    <row r="5794" spans="13:19" ht="15" customHeight="1" x14ac:dyDescent="0.25">
      <c r="M5794"/>
      <c r="N5794"/>
      <c r="O5794"/>
      <c r="P5794" s="216"/>
      <c r="Q5794" s="217"/>
      <c r="R5794" s="217"/>
      <c r="S5794" s="218"/>
    </row>
    <row r="5795" spans="13:19" ht="15" customHeight="1" x14ac:dyDescent="0.25">
      <c r="M5795"/>
      <c r="N5795"/>
      <c r="O5795"/>
      <c r="P5795" s="216"/>
      <c r="Q5795" s="217"/>
      <c r="R5795" s="217"/>
      <c r="S5795" s="218"/>
    </row>
    <row r="5796" spans="13:19" ht="15" customHeight="1" x14ac:dyDescent="0.25">
      <c r="M5796"/>
      <c r="N5796"/>
      <c r="O5796"/>
      <c r="P5796" s="216"/>
      <c r="Q5796" s="217"/>
      <c r="R5796" s="217"/>
      <c r="S5796" s="218"/>
    </row>
    <row r="5797" spans="13:19" ht="15" customHeight="1" x14ac:dyDescent="0.25">
      <c r="M5797"/>
      <c r="N5797"/>
      <c r="O5797"/>
      <c r="P5797" s="216"/>
      <c r="Q5797" s="217"/>
      <c r="R5797" s="217"/>
      <c r="S5797" s="218"/>
    </row>
    <row r="5798" spans="13:19" ht="15" customHeight="1" x14ac:dyDescent="0.25">
      <c r="M5798"/>
      <c r="N5798"/>
      <c r="O5798"/>
      <c r="P5798" s="216"/>
      <c r="Q5798" s="217"/>
      <c r="R5798" s="217"/>
      <c r="S5798" s="218"/>
    </row>
    <row r="5799" spans="13:19" ht="15" customHeight="1" x14ac:dyDescent="0.25">
      <c r="M5799"/>
      <c r="N5799"/>
      <c r="O5799"/>
      <c r="P5799" s="216"/>
      <c r="Q5799" s="217"/>
      <c r="R5799" s="217"/>
      <c r="S5799" s="218"/>
    </row>
    <row r="5800" spans="13:19" ht="15" customHeight="1" x14ac:dyDescent="0.25">
      <c r="M5800"/>
      <c r="N5800"/>
      <c r="O5800"/>
      <c r="P5800" s="216"/>
      <c r="Q5800" s="217"/>
      <c r="R5800" s="217"/>
      <c r="S5800" s="218"/>
    </row>
    <row r="5801" spans="13:19" ht="15" customHeight="1" x14ac:dyDescent="0.25">
      <c r="M5801"/>
      <c r="N5801"/>
      <c r="O5801"/>
      <c r="P5801" s="216"/>
      <c r="Q5801" s="217"/>
      <c r="R5801" s="217"/>
      <c r="S5801" s="218"/>
    </row>
    <row r="5802" spans="13:19" ht="15" customHeight="1" x14ac:dyDescent="0.25">
      <c r="M5802"/>
      <c r="N5802"/>
      <c r="O5802"/>
      <c r="P5802" s="216"/>
      <c r="Q5802" s="217"/>
      <c r="R5802" s="217"/>
      <c r="S5802" s="218"/>
    </row>
    <row r="5803" spans="13:19" ht="15" customHeight="1" x14ac:dyDescent="0.25">
      <c r="M5803"/>
      <c r="N5803"/>
      <c r="O5803"/>
      <c r="P5803" s="216"/>
      <c r="Q5803" s="217"/>
      <c r="R5803" s="217"/>
      <c r="S5803" s="218"/>
    </row>
    <row r="5804" spans="13:19" ht="15" customHeight="1" x14ac:dyDescent="0.25">
      <c r="M5804"/>
      <c r="N5804"/>
      <c r="O5804"/>
      <c r="P5804" s="216"/>
      <c r="Q5804" s="217"/>
      <c r="R5804" s="217"/>
      <c r="S5804" s="218"/>
    </row>
    <row r="5805" spans="13:19" ht="15" customHeight="1" x14ac:dyDescent="0.25">
      <c r="M5805"/>
      <c r="N5805"/>
      <c r="O5805"/>
      <c r="P5805" s="216"/>
      <c r="Q5805" s="217"/>
      <c r="R5805" s="217"/>
      <c r="S5805" s="218"/>
    </row>
    <row r="5806" spans="13:19" ht="15" customHeight="1" x14ac:dyDescent="0.25">
      <c r="M5806"/>
      <c r="N5806"/>
      <c r="O5806"/>
      <c r="P5806" s="216"/>
      <c r="Q5806" s="217"/>
      <c r="R5806" s="217"/>
      <c r="S5806" s="218"/>
    </row>
    <row r="5807" spans="13:19" ht="15" customHeight="1" x14ac:dyDescent="0.25">
      <c r="M5807"/>
      <c r="N5807"/>
      <c r="O5807"/>
      <c r="P5807" s="216"/>
      <c r="Q5807" s="217"/>
      <c r="R5807" s="217"/>
      <c r="S5807" s="218"/>
    </row>
    <row r="5808" spans="13:19" ht="15" customHeight="1" x14ac:dyDescent="0.25">
      <c r="M5808"/>
      <c r="N5808"/>
      <c r="O5808"/>
      <c r="P5808" s="216"/>
      <c r="Q5808" s="217"/>
      <c r="R5808" s="217"/>
      <c r="S5808" s="218"/>
    </row>
    <row r="5809" spans="13:19" ht="15" customHeight="1" x14ac:dyDescent="0.25">
      <c r="M5809"/>
      <c r="N5809"/>
      <c r="O5809"/>
      <c r="P5809" s="216"/>
      <c r="Q5809" s="217"/>
      <c r="R5809" s="217"/>
      <c r="S5809" s="218"/>
    </row>
    <row r="5810" spans="13:19" ht="15" customHeight="1" x14ac:dyDescent="0.25">
      <c r="M5810"/>
      <c r="N5810"/>
      <c r="O5810"/>
      <c r="P5810" s="216"/>
      <c r="Q5810" s="217"/>
      <c r="R5810" s="217"/>
      <c r="S5810" s="218"/>
    </row>
    <row r="5811" spans="13:19" ht="15" customHeight="1" x14ac:dyDescent="0.25">
      <c r="M5811"/>
      <c r="N5811"/>
      <c r="O5811"/>
      <c r="P5811" s="216"/>
      <c r="Q5811" s="217"/>
      <c r="R5811" s="217"/>
      <c r="S5811" s="218"/>
    </row>
    <row r="5812" spans="13:19" ht="15" customHeight="1" x14ac:dyDescent="0.25">
      <c r="M5812"/>
      <c r="N5812"/>
      <c r="O5812"/>
      <c r="P5812" s="216"/>
      <c r="Q5812" s="217"/>
      <c r="R5812" s="217"/>
      <c r="S5812" s="218"/>
    </row>
    <row r="5813" spans="13:19" ht="15" customHeight="1" x14ac:dyDescent="0.25">
      <c r="M5813"/>
      <c r="N5813"/>
      <c r="O5813"/>
      <c r="P5813" s="216"/>
      <c r="Q5813" s="217"/>
      <c r="R5813" s="217"/>
      <c r="S5813" s="218"/>
    </row>
    <row r="5814" spans="13:19" ht="15" customHeight="1" x14ac:dyDescent="0.25">
      <c r="M5814"/>
      <c r="N5814"/>
      <c r="O5814"/>
      <c r="P5814" s="216"/>
      <c r="Q5814" s="217"/>
      <c r="R5814" s="217"/>
      <c r="S5814" s="218"/>
    </row>
    <row r="5815" spans="13:19" ht="15" customHeight="1" x14ac:dyDescent="0.25">
      <c r="M5815"/>
      <c r="N5815"/>
      <c r="O5815"/>
      <c r="P5815" s="216"/>
      <c r="Q5815" s="217"/>
      <c r="R5815" s="217"/>
      <c r="S5815" s="218"/>
    </row>
    <row r="5816" spans="13:19" ht="15" customHeight="1" x14ac:dyDescent="0.25">
      <c r="M5816"/>
      <c r="N5816"/>
      <c r="O5816"/>
      <c r="P5816" s="216"/>
      <c r="Q5816" s="217"/>
      <c r="R5816" s="217"/>
      <c r="S5816" s="218"/>
    </row>
    <row r="5817" spans="13:19" ht="15" customHeight="1" x14ac:dyDescent="0.25">
      <c r="M5817"/>
      <c r="N5817"/>
      <c r="O5817"/>
      <c r="P5817" s="216"/>
      <c r="Q5817" s="217"/>
      <c r="R5817" s="217"/>
      <c r="S5817" s="218"/>
    </row>
    <row r="5818" spans="13:19" ht="15" customHeight="1" x14ac:dyDescent="0.25">
      <c r="M5818"/>
      <c r="N5818"/>
      <c r="O5818"/>
      <c r="P5818" s="216"/>
      <c r="Q5818" s="217"/>
      <c r="R5818" s="217"/>
      <c r="S5818" s="218"/>
    </row>
    <row r="5819" spans="13:19" ht="15" customHeight="1" x14ac:dyDescent="0.25">
      <c r="M5819"/>
      <c r="N5819"/>
      <c r="O5819"/>
      <c r="P5819" s="216"/>
      <c r="Q5819" s="217"/>
      <c r="R5819" s="217"/>
      <c r="S5819" s="218"/>
    </row>
    <row r="5820" spans="13:19" ht="15" customHeight="1" x14ac:dyDescent="0.25">
      <c r="M5820"/>
      <c r="N5820"/>
      <c r="O5820"/>
      <c r="P5820" s="216"/>
      <c r="Q5820" s="217"/>
      <c r="R5820" s="217"/>
      <c r="S5820" s="218"/>
    </row>
    <row r="5821" spans="13:19" ht="15" customHeight="1" x14ac:dyDescent="0.25">
      <c r="M5821"/>
      <c r="N5821"/>
      <c r="O5821"/>
      <c r="P5821" s="216"/>
      <c r="Q5821" s="217"/>
      <c r="R5821" s="217"/>
      <c r="S5821" s="218"/>
    </row>
    <row r="5822" spans="13:19" ht="15" customHeight="1" x14ac:dyDescent="0.25">
      <c r="M5822"/>
      <c r="N5822"/>
      <c r="O5822"/>
      <c r="P5822" s="216"/>
      <c r="Q5822" s="217"/>
      <c r="R5822" s="217"/>
      <c r="S5822" s="218"/>
    </row>
    <row r="5823" spans="13:19" ht="15" customHeight="1" x14ac:dyDescent="0.25">
      <c r="M5823"/>
      <c r="N5823"/>
      <c r="O5823"/>
      <c r="P5823" s="216"/>
      <c r="Q5823" s="217"/>
      <c r="R5823" s="217"/>
      <c r="S5823" s="218"/>
    </row>
    <row r="5824" spans="13:19" ht="15" customHeight="1" x14ac:dyDescent="0.25">
      <c r="M5824"/>
      <c r="N5824"/>
      <c r="O5824"/>
      <c r="P5824" s="216"/>
      <c r="Q5824" s="217"/>
      <c r="R5824" s="217"/>
      <c r="S5824" s="218"/>
    </row>
    <row r="5825" spans="13:19" ht="15" customHeight="1" x14ac:dyDescent="0.25">
      <c r="M5825"/>
      <c r="N5825"/>
      <c r="O5825"/>
      <c r="P5825" s="216"/>
      <c r="Q5825" s="217"/>
      <c r="R5825" s="217"/>
      <c r="S5825" s="218"/>
    </row>
    <row r="5826" spans="13:19" ht="15" customHeight="1" x14ac:dyDescent="0.25">
      <c r="M5826"/>
      <c r="N5826"/>
      <c r="O5826"/>
      <c r="P5826" s="216"/>
      <c r="Q5826" s="217"/>
      <c r="R5826" s="217"/>
      <c r="S5826" s="218"/>
    </row>
    <row r="5827" spans="13:19" ht="15" customHeight="1" x14ac:dyDescent="0.25">
      <c r="M5827"/>
      <c r="N5827"/>
      <c r="O5827"/>
      <c r="P5827" s="216"/>
      <c r="Q5827" s="217"/>
      <c r="R5827" s="217"/>
      <c r="S5827" s="218"/>
    </row>
    <row r="5828" spans="13:19" ht="15" customHeight="1" x14ac:dyDescent="0.25">
      <c r="M5828"/>
      <c r="N5828"/>
      <c r="O5828"/>
      <c r="P5828" s="216"/>
      <c r="Q5828" s="217"/>
      <c r="R5828" s="217"/>
      <c r="S5828" s="218"/>
    </row>
    <row r="5829" spans="13:19" ht="15" customHeight="1" x14ac:dyDescent="0.25">
      <c r="M5829"/>
      <c r="N5829"/>
      <c r="O5829"/>
      <c r="P5829" s="216"/>
      <c r="Q5829" s="217"/>
      <c r="R5829" s="217"/>
      <c r="S5829" s="218"/>
    </row>
    <row r="5830" spans="13:19" ht="15" customHeight="1" x14ac:dyDescent="0.25">
      <c r="M5830"/>
      <c r="N5830"/>
      <c r="O5830"/>
      <c r="P5830" s="216"/>
      <c r="Q5830" s="217"/>
      <c r="R5830" s="217"/>
      <c r="S5830" s="218"/>
    </row>
    <row r="5831" spans="13:19" ht="15" customHeight="1" x14ac:dyDescent="0.25">
      <c r="M5831"/>
      <c r="N5831"/>
      <c r="O5831"/>
      <c r="P5831" s="216"/>
      <c r="Q5831" s="217"/>
      <c r="R5831" s="217"/>
      <c r="S5831" s="218"/>
    </row>
    <row r="5832" spans="13:19" ht="15" customHeight="1" x14ac:dyDescent="0.25">
      <c r="M5832"/>
      <c r="N5832"/>
      <c r="O5832"/>
      <c r="P5832" s="216"/>
      <c r="Q5832" s="217"/>
      <c r="R5832" s="217"/>
      <c r="S5832" s="218"/>
    </row>
    <row r="5833" spans="13:19" ht="15" customHeight="1" x14ac:dyDescent="0.25">
      <c r="M5833"/>
      <c r="N5833"/>
      <c r="O5833"/>
      <c r="P5833" s="216"/>
      <c r="Q5833" s="217"/>
      <c r="R5833" s="217"/>
      <c r="S5833" s="218"/>
    </row>
    <row r="5834" spans="13:19" ht="15" customHeight="1" x14ac:dyDescent="0.25">
      <c r="M5834"/>
      <c r="N5834"/>
      <c r="O5834"/>
      <c r="P5834" s="216"/>
      <c r="Q5834" s="217"/>
      <c r="R5834" s="217"/>
      <c r="S5834" s="218"/>
    </row>
    <row r="5835" spans="13:19" ht="15" customHeight="1" x14ac:dyDescent="0.25">
      <c r="M5835"/>
      <c r="N5835"/>
      <c r="O5835"/>
      <c r="P5835" s="216"/>
      <c r="Q5835" s="217"/>
      <c r="R5835" s="217"/>
      <c r="S5835" s="218"/>
    </row>
    <row r="5836" spans="13:19" ht="15" customHeight="1" x14ac:dyDescent="0.25">
      <c r="M5836"/>
      <c r="N5836"/>
      <c r="O5836"/>
      <c r="P5836" s="216"/>
      <c r="Q5836" s="217"/>
      <c r="R5836" s="217"/>
      <c r="S5836" s="218"/>
    </row>
    <row r="5837" spans="13:19" ht="15" customHeight="1" x14ac:dyDescent="0.25">
      <c r="M5837"/>
      <c r="N5837"/>
      <c r="O5837"/>
      <c r="P5837" s="216"/>
      <c r="Q5837" s="217"/>
      <c r="R5837" s="217"/>
      <c r="S5837" s="218"/>
    </row>
    <row r="5838" spans="13:19" ht="15" customHeight="1" x14ac:dyDescent="0.25">
      <c r="M5838"/>
      <c r="N5838"/>
      <c r="O5838"/>
      <c r="P5838" s="216"/>
      <c r="Q5838" s="217"/>
      <c r="R5838" s="217"/>
      <c r="S5838" s="218"/>
    </row>
    <row r="5839" spans="13:19" ht="15" customHeight="1" x14ac:dyDescent="0.25">
      <c r="M5839"/>
      <c r="N5839"/>
      <c r="O5839"/>
      <c r="P5839" s="216"/>
      <c r="Q5839" s="217"/>
      <c r="R5839" s="217"/>
      <c r="S5839" s="218"/>
    </row>
    <row r="5840" spans="13:19" ht="15" customHeight="1" x14ac:dyDescent="0.25">
      <c r="M5840"/>
      <c r="N5840"/>
      <c r="O5840"/>
      <c r="P5840" s="216"/>
      <c r="Q5840" s="217"/>
      <c r="R5840" s="217"/>
      <c r="S5840" s="218"/>
    </row>
    <row r="5841" spans="13:19" ht="15" customHeight="1" x14ac:dyDescent="0.25">
      <c r="M5841"/>
      <c r="N5841"/>
      <c r="O5841"/>
      <c r="P5841" s="216"/>
      <c r="Q5841" s="217"/>
      <c r="R5841" s="217"/>
      <c r="S5841" s="218"/>
    </row>
    <row r="5842" spans="13:19" ht="15" customHeight="1" x14ac:dyDescent="0.25">
      <c r="M5842"/>
      <c r="N5842"/>
      <c r="O5842"/>
      <c r="P5842" s="216"/>
      <c r="Q5842" s="217"/>
      <c r="R5842" s="217"/>
      <c r="S5842" s="218"/>
    </row>
    <row r="5843" spans="13:19" ht="15" customHeight="1" x14ac:dyDescent="0.25">
      <c r="M5843"/>
      <c r="N5843"/>
      <c r="O5843"/>
      <c r="P5843" s="216"/>
      <c r="Q5843" s="217"/>
      <c r="R5843" s="217"/>
      <c r="S5843" s="218"/>
    </row>
    <row r="5844" spans="13:19" ht="15" customHeight="1" x14ac:dyDescent="0.25">
      <c r="M5844"/>
      <c r="N5844"/>
      <c r="O5844"/>
      <c r="P5844" s="216"/>
      <c r="Q5844" s="217"/>
      <c r="R5844" s="217"/>
      <c r="S5844" s="218"/>
    </row>
    <row r="5845" spans="13:19" ht="15" customHeight="1" x14ac:dyDescent="0.25">
      <c r="M5845"/>
      <c r="N5845"/>
      <c r="O5845"/>
      <c r="P5845" s="216"/>
      <c r="Q5845" s="217"/>
      <c r="R5845" s="217"/>
      <c r="S5845" s="218"/>
    </row>
    <row r="5846" spans="13:19" ht="15" customHeight="1" x14ac:dyDescent="0.25">
      <c r="M5846"/>
      <c r="N5846"/>
      <c r="O5846"/>
      <c r="P5846" s="216"/>
      <c r="Q5846" s="217"/>
      <c r="R5846" s="217"/>
      <c r="S5846" s="218"/>
    </row>
    <row r="5847" spans="13:19" ht="15" customHeight="1" x14ac:dyDescent="0.25">
      <c r="M5847"/>
      <c r="N5847"/>
      <c r="O5847"/>
      <c r="P5847" s="216"/>
      <c r="Q5847" s="217"/>
      <c r="R5847" s="217"/>
      <c r="S5847" s="218"/>
    </row>
    <row r="5848" spans="13:19" ht="15" customHeight="1" x14ac:dyDescent="0.25">
      <c r="M5848"/>
      <c r="N5848"/>
      <c r="O5848"/>
      <c r="P5848" s="216"/>
      <c r="Q5848" s="217"/>
      <c r="R5848" s="217"/>
      <c r="S5848" s="218"/>
    </row>
    <row r="5849" spans="13:19" ht="15" customHeight="1" x14ac:dyDescent="0.25">
      <c r="M5849"/>
      <c r="N5849"/>
      <c r="O5849"/>
      <c r="P5849" s="216"/>
      <c r="Q5849" s="217"/>
      <c r="R5849" s="217"/>
      <c r="S5849" s="218"/>
    </row>
    <row r="5850" spans="13:19" ht="15" customHeight="1" x14ac:dyDescent="0.25">
      <c r="M5850"/>
      <c r="N5850"/>
      <c r="O5850"/>
      <c r="P5850" s="216"/>
      <c r="Q5850" s="217"/>
      <c r="R5850" s="217"/>
      <c r="S5850" s="218"/>
    </row>
    <row r="5851" spans="13:19" ht="15" customHeight="1" x14ac:dyDescent="0.25">
      <c r="M5851"/>
      <c r="N5851"/>
      <c r="O5851"/>
      <c r="P5851" s="216"/>
      <c r="Q5851" s="217"/>
      <c r="R5851" s="217"/>
      <c r="S5851" s="218"/>
    </row>
    <row r="5852" spans="13:19" ht="15" customHeight="1" x14ac:dyDescent="0.25">
      <c r="M5852"/>
      <c r="N5852"/>
      <c r="O5852"/>
      <c r="P5852" s="216"/>
      <c r="Q5852" s="217"/>
      <c r="R5852" s="217"/>
      <c r="S5852" s="218"/>
    </row>
    <row r="5853" spans="13:19" ht="15" customHeight="1" x14ac:dyDescent="0.25">
      <c r="M5853"/>
      <c r="N5853"/>
      <c r="O5853"/>
      <c r="P5853" s="216"/>
      <c r="Q5853" s="217"/>
      <c r="R5853" s="217"/>
      <c r="S5853" s="218"/>
    </row>
    <row r="5854" spans="13:19" ht="15" customHeight="1" x14ac:dyDescent="0.25">
      <c r="M5854"/>
      <c r="N5854"/>
      <c r="O5854"/>
      <c r="P5854" s="216"/>
      <c r="Q5854" s="217"/>
      <c r="R5854" s="217"/>
      <c r="S5854" s="218"/>
    </row>
    <row r="5855" spans="13:19" ht="15" customHeight="1" x14ac:dyDescent="0.25">
      <c r="M5855"/>
      <c r="N5855"/>
      <c r="O5855"/>
      <c r="P5855" s="216"/>
      <c r="Q5855" s="217"/>
      <c r="R5855" s="217"/>
      <c r="S5855" s="218"/>
    </row>
    <row r="5856" spans="13:19" ht="15" customHeight="1" x14ac:dyDescent="0.25">
      <c r="M5856"/>
      <c r="N5856"/>
      <c r="O5856"/>
      <c r="P5856" s="216"/>
      <c r="Q5856" s="217"/>
      <c r="R5856" s="217"/>
      <c r="S5856" s="218"/>
    </row>
    <row r="5857" spans="13:19" ht="15" customHeight="1" x14ac:dyDescent="0.25">
      <c r="M5857"/>
      <c r="N5857"/>
      <c r="O5857"/>
      <c r="P5857" s="216"/>
      <c r="Q5857" s="217"/>
      <c r="R5857" s="217"/>
      <c r="S5857" s="218"/>
    </row>
    <row r="5858" spans="13:19" ht="15" customHeight="1" x14ac:dyDescent="0.25">
      <c r="M5858"/>
      <c r="N5858"/>
      <c r="O5858"/>
      <c r="P5858" s="216"/>
      <c r="Q5858" s="217"/>
      <c r="R5858" s="217"/>
      <c r="S5858" s="218"/>
    </row>
    <row r="5859" spans="13:19" ht="15" customHeight="1" x14ac:dyDescent="0.25">
      <c r="M5859"/>
      <c r="N5859"/>
      <c r="O5859"/>
      <c r="P5859" s="216"/>
      <c r="Q5859" s="217"/>
      <c r="R5859" s="217"/>
      <c r="S5859" s="218"/>
    </row>
    <row r="5860" spans="13:19" ht="15" customHeight="1" x14ac:dyDescent="0.25">
      <c r="M5860"/>
      <c r="N5860"/>
      <c r="O5860"/>
      <c r="P5860" s="216"/>
      <c r="Q5860" s="217"/>
      <c r="R5860" s="217"/>
      <c r="S5860" s="218"/>
    </row>
    <row r="5861" spans="13:19" ht="15" customHeight="1" x14ac:dyDescent="0.25">
      <c r="M5861"/>
      <c r="N5861"/>
      <c r="O5861"/>
      <c r="P5861" s="216"/>
      <c r="Q5861" s="217"/>
      <c r="R5861" s="217"/>
      <c r="S5861" s="218"/>
    </row>
    <row r="5862" spans="13:19" ht="15" customHeight="1" x14ac:dyDescent="0.25">
      <c r="M5862"/>
      <c r="N5862"/>
      <c r="O5862"/>
      <c r="P5862" s="216"/>
      <c r="Q5862" s="217"/>
      <c r="R5862" s="217"/>
      <c r="S5862" s="218"/>
    </row>
    <row r="5863" spans="13:19" ht="15" customHeight="1" x14ac:dyDescent="0.25">
      <c r="M5863"/>
      <c r="N5863"/>
      <c r="O5863"/>
      <c r="P5863" s="216"/>
      <c r="Q5863" s="217"/>
      <c r="R5863" s="217"/>
      <c r="S5863" s="218"/>
    </row>
    <row r="5864" spans="13:19" ht="15" customHeight="1" x14ac:dyDescent="0.25">
      <c r="M5864"/>
      <c r="N5864"/>
      <c r="O5864"/>
      <c r="P5864" s="216"/>
      <c r="Q5864" s="217"/>
      <c r="R5864" s="217"/>
      <c r="S5864" s="218"/>
    </row>
    <row r="5865" spans="13:19" ht="15" customHeight="1" x14ac:dyDescent="0.25">
      <c r="M5865"/>
      <c r="N5865"/>
      <c r="O5865"/>
      <c r="P5865" s="216"/>
      <c r="Q5865" s="217"/>
      <c r="R5865" s="217"/>
      <c r="S5865" s="218"/>
    </row>
    <row r="5866" spans="13:19" ht="15" customHeight="1" x14ac:dyDescent="0.25">
      <c r="M5866"/>
      <c r="N5866"/>
      <c r="O5866"/>
      <c r="P5866" s="216"/>
      <c r="Q5866" s="217"/>
      <c r="R5866" s="217"/>
      <c r="S5866" s="218"/>
    </row>
    <row r="5867" spans="13:19" ht="15" customHeight="1" x14ac:dyDescent="0.25">
      <c r="M5867"/>
      <c r="N5867"/>
      <c r="O5867"/>
      <c r="P5867" s="216"/>
      <c r="Q5867" s="217"/>
      <c r="R5867" s="217"/>
      <c r="S5867" s="218"/>
    </row>
    <row r="5868" spans="13:19" ht="15" customHeight="1" x14ac:dyDescent="0.25">
      <c r="M5868"/>
      <c r="N5868"/>
      <c r="O5868"/>
      <c r="P5868" s="216"/>
      <c r="Q5868" s="217"/>
      <c r="R5868" s="217"/>
      <c r="S5868" s="218"/>
    </row>
    <row r="5869" spans="13:19" ht="15" customHeight="1" x14ac:dyDescent="0.25">
      <c r="M5869"/>
      <c r="N5869"/>
      <c r="O5869"/>
      <c r="P5869" s="216"/>
      <c r="Q5869" s="217"/>
      <c r="R5869" s="217"/>
      <c r="S5869" s="218"/>
    </row>
    <row r="5870" spans="13:19" ht="15" customHeight="1" x14ac:dyDescent="0.25">
      <c r="M5870"/>
      <c r="N5870"/>
      <c r="O5870"/>
      <c r="P5870" s="216"/>
      <c r="Q5870" s="217"/>
      <c r="R5870" s="217"/>
      <c r="S5870" s="218"/>
    </row>
    <row r="5871" spans="13:19" ht="15" customHeight="1" x14ac:dyDescent="0.25">
      <c r="M5871"/>
      <c r="N5871"/>
      <c r="O5871"/>
      <c r="P5871" s="216"/>
      <c r="Q5871" s="217"/>
      <c r="R5871" s="217"/>
      <c r="S5871" s="218"/>
    </row>
    <row r="5872" spans="13:19" ht="15" customHeight="1" x14ac:dyDescent="0.25">
      <c r="M5872"/>
      <c r="N5872"/>
      <c r="O5872"/>
      <c r="P5872" s="216"/>
      <c r="Q5872" s="217"/>
      <c r="R5872" s="217"/>
      <c r="S5872" s="218"/>
    </row>
    <row r="5873" spans="13:19" ht="15" customHeight="1" x14ac:dyDescent="0.25">
      <c r="M5873"/>
      <c r="N5873"/>
      <c r="O5873"/>
      <c r="P5873" s="216"/>
      <c r="Q5873" s="217"/>
      <c r="R5873" s="217"/>
      <c r="S5873" s="218"/>
    </row>
    <row r="5874" spans="13:19" ht="15" customHeight="1" x14ac:dyDescent="0.25">
      <c r="M5874"/>
      <c r="N5874"/>
      <c r="O5874"/>
      <c r="P5874" s="216"/>
      <c r="Q5874" s="217"/>
      <c r="R5874" s="217"/>
      <c r="S5874" s="218"/>
    </row>
    <row r="5875" spans="13:19" ht="15" customHeight="1" x14ac:dyDescent="0.25">
      <c r="M5875"/>
      <c r="N5875"/>
      <c r="O5875"/>
      <c r="P5875" s="216"/>
      <c r="Q5875" s="217"/>
      <c r="R5875" s="217"/>
      <c r="S5875" s="218"/>
    </row>
    <row r="5876" spans="13:19" ht="15" customHeight="1" x14ac:dyDescent="0.25">
      <c r="M5876"/>
      <c r="N5876"/>
      <c r="O5876"/>
      <c r="P5876" s="216"/>
      <c r="Q5876" s="217"/>
      <c r="R5876" s="217"/>
      <c r="S5876" s="218"/>
    </row>
    <row r="5877" spans="13:19" ht="15" customHeight="1" x14ac:dyDescent="0.25">
      <c r="M5877"/>
      <c r="N5877"/>
      <c r="O5877"/>
      <c r="P5877" s="216"/>
      <c r="Q5877" s="217"/>
      <c r="R5877" s="217"/>
      <c r="S5877" s="218"/>
    </row>
    <row r="5878" spans="13:19" ht="15" customHeight="1" x14ac:dyDescent="0.25">
      <c r="M5878"/>
      <c r="N5878"/>
      <c r="O5878"/>
      <c r="P5878" s="216"/>
      <c r="Q5878" s="217"/>
      <c r="R5878" s="217"/>
      <c r="S5878" s="218"/>
    </row>
    <row r="5879" spans="13:19" ht="15" customHeight="1" x14ac:dyDescent="0.25">
      <c r="M5879"/>
      <c r="N5879"/>
      <c r="O5879"/>
      <c r="P5879" s="216"/>
      <c r="Q5879" s="217"/>
      <c r="R5879" s="217"/>
      <c r="S5879" s="218"/>
    </row>
    <row r="5880" spans="13:19" ht="15" customHeight="1" x14ac:dyDescent="0.25">
      <c r="M5880"/>
      <c r="N5880"/>
      <c r="O5880"/>
      <c r="P5880" s="216"/>
      <c r="Q5880" s="217"/>
      <c r="R5880" s="217"/>
      <c r="S5880" s="218"/>
    </row>
    <row r="5881" spans="13:19" ht="15" customHeight="1" x14ac:dyDescent="0.25">
      <c r="M5881"/>
      <c r="N5881"/>
      <c r="O5881"/>
      <c r="P5881" s="216"/>
      <c r="Q5881" s="217"/>
      <c r="R5881" s="217"/>
      <c r="S5881" s="218"/>
    </row>
    <row r="5882" spans="13:19" ht="15" customHeight="1" x14ac:dyDescent="0.25">
      <c r="M5882"/>
      <c r="N5882"/>
      <c r="O5882"/>
      <c r="P5882" s="216"/>
      <c r="Q5882" s="217"/>
      <c r="R5882" s="217"/>
      <c r="S5882" s="218"/>
    </row>
    <row r="5883" spans="13:19" ht="15" customHeight="1" x14ac:dyDescent="0.25">
      <c r="M5883"/>
      <c r="N5883"/>
      <c r="O5883"/>
      <c r="P5883" s="216"/>
      <c r="Q5883" s="217"/>
      <c r="R5883" s="217"/>
      <c r="S5883" s="218"/>
    </row>
    <row r="5884" spans="13:19" ht="15" customHeight="1" x14ac:dyDescent="0.25">
      <c r="M5884"/>
      <c r="N5884"/>
      <c r="O5884"/>
      <c r="P5884" s="216"/>
      <c r="Q5884" s="217"/>
      <c r="R5884" s="217"/>
      <c r="S5884" s="218"/>
    </row>
    <row r="5885" spans="13:19" ht="15" customHeight="1" x14ac:dyDescent="0.25">
      <c r="M5885"/>
      <c r="N5885"/>
      <c r="O5885"/>
      <c r="P5885" s="216"/>
      <c r="Q5885" s="217"/>
      <c r="R5885" s="217"/>
      <c r="S5885" s="218"/>
    </row>
    <row r="5886" spans="13:19" ht="15" customHeight="1" x14ac:dyDescent="0.25">
      <c r="M5886"/>
      <c r="N5886"/>
      <c r="O5886"/>
      <c r="P5886" s="216"/>
      <c r="Q5886" s="217"/>
      <c r="R5886" s="217"/>
      <c r="S5886" s="218"/>
    </row>
    <row r="5887" spans="13:19" ht="15" customHeight="1" x14ac:dyDescent="0.25">
      <c r="M5887"/>
      <c r="N5887"/>
      <c r="O5887"/>
      <c r="P5887" s="216"/>
      <c r="Q5887" s="217"/>
      <c r="R5887" s="217"/>
      <c r="S5887" s="218"/>
    </row>
    <row r="5888" spans="13:19" ht="15" customHeight="1" x14ac:dyDescent="0.25">
      <c r="M5888"/>
      <c r="N5888"/>
      <c r="O5888"/>
      <c r="P5888" s="216"/>
      <c r="Q5888" s="217"/>
      <c r="R5888" s="217"/>
      <c r="S5888" s="218"/>
    </row>
    <row r="5889" spans="13:19" ht="15" customHeight="1" x14ac:dyDescent="0.25">
      <c r="M5889"/>
      <c r="N5889"/>
      <c r="O5889"/>
      <c r="P5889" s="216"/>
      <c r="Q5889" s="217"/>
      <c r="R5889" s="217"/>
      <c r="S5889" s="218"/>
    </row>
    <row r="5890" spans="13:19" ht="15" customHeight="1" x14ac:dyDescent="0.25">
      <c r="M5890"/>
      <c r="N5890"/>
      <c r="O5890"/>
      <c r="P5890" s="216"/>
      <c r="Q5890" s="217"/>
      <c r="R5890" s="217"/>
      <c r="S5890" s="218"/>
    </row>
    <row r="5891" spans="13:19" ht="15" customHeight="1" x14ac:dyDescent="0.25">
      <c r="M5891"/>
      <c r="N5891"/>
      <c r="O5891"/>
      <c r="P5891" s="216"/>
      <c r="Q5891" s="217"/>
      <c r="R5891" s="217"/>
      <c r="S5891" s="218"/>
    </row>
    <row r="5892" spans="13:19" ht="15" customHeight="1" x14ac:dyDescent="0.25">
      <c r="M5892"/>
      <c r="N5892"/>
      <c r="O5892"/>
      <c r="P5892" s="216"/>
      <c r="Q5892" s="217"/>
      <c r="R5892" s="217"/>
      <c r="S5892" s="218"/>
    </row>
    <row r="5893" spans="13:19" ht="15" customHeight="1" x14ac:dyDescent="0.25">
      <c r="M5893"/>
      <c r="N5893"/>
      <c r="O5893"/>
      <c r="P5893" s="216"/>
      <c r="Q5893" s="217"/>
      <c r="R5893" s="217"/>
      <c r="S5893" s="218"/>
    </row>
    <row r="5894" spans="13:19" ht="15" customHeight="1" x14ac:dyDescent="0.25">
      <c r="M5894"/>
      <c r="N5894"/>
      <c r="O5894"/>
      <c r="P5894" s="216"/>
      <c r="Q5894" s="217"/>
      <c r="R5894" s="217"/>
      <c r="S5894" s="218"/>
    </row>
    <row r="5895" spans="13:19" ht="15" customHeight="1" x14ac:dyDescent="0.25">
      <c r="M5895"/>
      <c r="N5895"/>
      <c r="O5895"/>
      <c r="P5895" s="216"/>
      <c r="Q5895" s="217"/>
      <c r="R5895" s="217"/>
      <c r="S5895" s="218"/>
    </row>
    <row r="5896" spans="13:19" ht="15" customHeight="1" x14ac:dyDescent="0.25">
      <c r="M5896"/>
      <c r="N5896"/>
      <c r="O5896"/>
      <c r="P5896" s="216"/>
      <c r="Q5896" s="217"/>
      <c r="R5896" s="217"/>
      <c r="S5896" s="218"/>
    </row>
    <row r="5897" spans="13:19" ht="15" customHeight="1" x14ac:dyDescent="0.25">
      <c r="M5897"/>
      <c r="N5897"/>
      <c r="O5897"/>
      <c r="P5897" s="216"/>
      <c r="Q5897" s="217"/>
      <c r="R5897" s="217"/>
      <c r="S5897" s="218"/>
    </row>
    <row r="5898" spans="13:19" ht="15" customHeight="1" x14ac:dyDescent="0.25">
      <c r="M5898"/>
      <c r="N5898"/>
      <c r="O5898"/>
      <c r="P5898" s="216"/>
      <c r="Q5898" s="217"/>
      <c r="R5898" s="217"/>
      <c r="S5898" s="218"/>
    </row>
    <row r="5899" spans="13:19" ht="15" customHeight="1" x14ac:dyDescent="0.25">
      <c r="M5899"/>
      <c r="N5899"/>
      <c r="O5899"/>
      <c r="P5899" s="216"/>
      <c r="Q5899" s="217"/>
      <c r="R5899" s="217"/>
      <c r="S5899" s="218"/>
    </row>
    <row r="5900" spans="13:19" ht="15" customHeight="1" x14ac:dyDescent="0.25">
      <c r="M5900"/>
      <c r="N5900"/>
      <c r="O5900"/>
      <c r="P5900" s="216"/>
      <c r="Q5900" s="217"/>
      <c r="R5900" s="217"/>
      <c r="S5900" s="218"/>
    </row>
    <row r="5901" spans="13:19" ht="15" customHeight="1" x14ac:dyDescent="0.25">
      <c r="M5901"/>
      <c r="N5901"/>
      <c r="O5901"/>
      <c r="P5901" s="216"/>
      <c r="Q5901" s="217"/>
      <c r="R5901" s="217"/>
      <c r="S5901" s="218"/>
    </row>
    <row r="5902" spans="13:19" ht="15" customHeight="1" x14ac:dyDescent="0.25">
      <c r="M5902"/>
      <c r="N5902"/>
      <c r="O5902"/>
      <c r="P5902" s="216"/>
      <c r="Q5902" s="217"/>
      <c r="R5902" s="217"/>
      <c r="S5902" s="218"/>
    </row>
    <row r="5903" spans="13:19" ht="15" customHeight="1" x14ac:dyDescent="0.25">
      <c r="M5903"/>
      <c r="N5903"/>
      <c r="O5903"/>
      <c r="P5903" s="216"/>
      <c r="Q5903" s="217"/>
      <c r="R5903" s="217"/>
      <c r="S5903" s="218"/>
    </row>
    <row r="5904" spans="13:19" ht="15" customHeight="1" x14ac:dyDescent="0.25">
      <c r="M5904"/>
      <c r="N5904"/>
      <c r="O5904"/>
      <c r="P5904" s="216"/>
      <c r="Q5904" s="217"/>
      <c r="R5904" s="217"/>
      <c r="S5904" s="218"/>
    </row>
    <row r="5905" spans="13:19" ht="15" customHeight="1" x14ac:dyDescent="0.25">
      <c r="M5905"/>
      <c r="N5905"/>
      <c r="O5905"/>
      <c r="P5905" s="216"/>
      <c r="Q5905" s="217"/>
      <c r="R5905" s="217"/>
      <c r="S5905" s="218"/>
    </row>
    <row r="5906" spans="13:19" ht="15" customHeight="1" x14ac:dyDescent="0.25">
      <c r="M5906"/>
      <c r="N5906"/>
      <c r="O5906"/>
      <c r="P5906" s="216"/>
      <c r="Q5906" s="217"/>
      <c r="R5906" s="217"/>
      <c r="S5906" s="218"/>
    </row>
    <row r="5907" spans="13:19" ht="15" customHeight="1" x14ac:dyDescent="0.25">
      <c r="M5907"/>
      <c r="N5907"/>
      <c r="O5907"/>
      <c r="P5907" s="216"/>
      <c r="Q5907" s="217"/>
      <c r="R5907" s="217"/>
      <c r="S5907" s="218"/>
    </row>
    <row r="5908" spans="13:19" ht="15" customHeight="1" x14ac:dyDescent="0.25">
      <c r="M5908"/>
      <c r="N5908"/>
      <c r="O5908"/>
      <c r="P5908" s="216"/>
      <c r="Q5908" s="217"/>
      <c r="R5908" s="217"/>
      <c r="S5908" s="218"/>
    </row>
    <row r="5909" spans="13:19" ht="15" customHeight="1" x14ac:dyDescent="0.25">
      <c r="M5909"/>
      <c r="N5909"/>
      <c r="O5909"/>
      <c r="P5909" s="216"/>
      <c r="Q5909" s="217"/>
      <c r="R5909" s="217"/>
      <c r="S5909" s="218"/>
    </row>
    <row r="5910" spans="13:19" ht="15" customHeight="1" x14ac:dyDescent="0.25">
      <c r="M5910"/>
      <c r="N5910"/>
      <c r="O5910"/>
      <c r="P5910" s="216"/>
      <c r="Q5910" s="217"/>
      <c r="R5910" s="217"/>
      <c r="S5910" s="218"/>
    </row>
    <row r="5911" spans="13:19" ht="15" customHeight="1" x14ac:dyDescent="0.25">
      <c r="M5911"/>
      <c r="N5911"/>
      <c r="O5911"/>
      <c r="P5911" s="216"/>
      <c r="Q5911" s="217"/>
      <c r="R5911" s="217"/>
      <c r="S5911" s="218"/>
    </row>
    <row r="5912" spans="13:19" ht="15" customHeight="1" x14ac:dyDescent="0.25">
      <c r="M5912"/>
      <c r="N5912"/>
      <c r="O5912"/>
      <c r="P5912" s="216"/>
      <c r="Q5912" s="217"/>
      <c r="R5912" s="217"/>
      <c r="S5912" s="218"/>
    </row>
    <row r="5913" spans="13:19" ht="15" customHeight="1" x14ac:dyDescent="0.25">
      <c r="M5913"/>
      <c r="N5913"/>
      <c r="O5913"/>
      <c r="P5913" s="216"/>
      <c r="Q5913" s="217"/>
      <c r="R5913" s="217"/>
      <c r="S5913" s="218"/>
    </row>
    <row r="5914" spans="13:19" ht="15" customHeight="1" x14ac:dyDescent="0.25">
      <c r="M5914"/>
      <c r="N5914"/>
      <c r="O5914"/>
      <c r="P5914" s="216"/>
      <c r="Q5914" s="217"/>
      <c r="R5914" s="217"/>
      <c r="S5914" s="218"/>
    </row>
    <row r="5915" spans="13:19" ht="15" customHeight="1" x14ac:dyDescent="0.25">
      <c r="M5915"/>
      <c r="N5915"/>
      <c r="O5915"/>
      <c r="P5915" s="216"/>
      <c r="Q5915" s="217"/>
      <c r="R5915" s="217"/>
      <c r="S5915" s="218"/>
    </row>
    <row r="5916" spans="13:19" ht="15" customHeight="1" x14ac:dyDescent="0.25">
      <c r="M5916"/>
      <c r="N5916"/>
      <c r="O5916"/>
      <c r="P5916" s="216"/>
      <c r="Q5916" s="217"/>
      <c r="R5916" s="217"/>
      <c r="S5916" s="218"/>
    </row>
    <row r="5917" spans="13:19" ht="15" customHeight="1" x14ac:dyDescent="0.25">
      <c r="M5917"/>
      <c r="N5917"/>
      <c r="O5917"/>
      <c r="P5917" s="216"/>
      <c r="Q5917" s="217"/>
      <c r="R5917" s="217"/>
      <c r="S5917" s="218"/>
    </row>
    <row r="5918" spans="13:19" ht="15" customHeight="1" x14ac:dyDescent="0.25">
      <c r="M5918"/>
      <c r="N5918"/>
      <c r="O5918"/>
      <c r="P5918" s="216"/>
      <c r="Q5918" s="217"/>
      <c r="R5918" s="217"/>
      <c r="S5918" s="218"/>
    </row>
    <row r="5919" spans="13:19" ht="15" customHeight="1" x14ac:dyDescent="0.25">
      <c r="M5919"/>
      <c r="N5919"/>
      <c r="O5919"/>
      <c r="P5919" s="216"/>
      <c r="Q5919" s="217"/>
      <c r="R5919" s="217"/>
      <c r="S5919" s="218"/>
    </row>
    <row r="5920" spans="13:19" ht="15" customHeight="1" x14ac:dyDescent="0.25">
      <c r="M5920"/>
      <c r="N5920"/>
      <c r="O5920"/>
      <c r="P5920" s="216"/>
      <c r="Q5920" s="217"/>
      <c r="R5920" s="217"/>
      <c r="S5920" s="218"/>
    </row>
    <row r="5921" spans="13:19" ht="15" customHeight="1" x14ac:dyDescent="0.25">
      <c r="M5921"/>
      <c r="N5921"/>
      <c r="O5921"/>
      <c r="P5921" s="216"/>
      <c r="Q5921" s="217"/>
      <c r="R5921" s="217"/>
      <c r="S5921" s="218"/>
    </row>
    <row r="5922" spans="13:19" ht="15" customHeight="1" x14ac:dyDescent="0.25">
      <c r="M5922"/>
      <c r="N5922"/>
      <c r="O5922"/>
      <c r="P5922" s="216"/>
      <c r="Q5922" s="217"/>
      <c r="R5922" s="217"/>
      <c r="S5922" s="218"/>
    </row>
    <row r="5923" spans="13:19" ht="15" customHeight="1" x14ac:dyDescent="0.25">
      <c r="M5923"/>
      <c r="N5923"/>
      <c r="O5923"/>
      <c r="P5923" s="216"/>
      <c r="Q5923" s="217"/>
      <c r="R5923" s="217"/>
      <c r="S5923" s="218"/>
    </row>
    <row r="5924" spans="13:19" ht="15" customHeight="1" x14ac:dyDescent="0.25">
      <c r="M5924"/>
      <c r="N5924"/>
      <c r="O5924"/>
      <c r="P5924" s="216"/>
      <c r="Q5924" s="217"/>
      <c r="R5924" s="217"/>
      <c r="S5924" s="218"/>
    </row>
    <row r="5925" spans="13:19" ht="15" customHeight="1" x14ac:dyDescent="0.25">
      <c r="M5925"/>
      <c r="N5925"/>
      <c r="O5925"/>
      <c r="P5925" s="216"/>
      <c r="Q5925" s="217"/>
      <c r="R5925" s="217"/>
      <c r="S5925" s="218"/>
    </row>
    <row r="5926" spans="13:19" ht="15" customHeight="1" x14ac:dyDescent="0.25">
      <c r="M5926"/>
      <c r="N5926"/>
      <c r="O5926"/>
      <c r="P5926" s="216"/>
      <c r="Q5926" s="217"/>
      <c r="R5926" s="217"/>
      <c r="S5926" s="218"/>
    </row>
    <row r="5927" spans="13:19" ht="15" customHeight="1" x14ac:dyDescent="0.25">
      <c r="M5927"/>
      <c r="N5927"/>
      <c r="O5927"/>
      <c r="P5927" s="216"/>
      <c r="Q5927" s="217"/>
      <c r="R5927" s="217"/>
      <c r="S5927" s="218"/>
    </row>
    <row r="5928" spans="13:19" ht="15" customHeight="1" x14ac:dyDescent="0.25">
      <c r="M5928"/>
      <c r="N5928"/>
      <c r="O5928"/>
      <c r="P5928" s="216"/>
      <c r="Q5928" s="217"/>
      <c r="R5928" s="217"/>
      <c r="S5928" s="218"/>
    </row>
    <row r="5929" spans="13:19" ht="15" customHeight="1" x14ac:dyDescent="0.25">
      <c r="M5929"/>
      <c r="N5929"/>
      <c r="O5929"/>
      <c r="P5929" s="216"/>
      <c r="Q5929" s="217"/>
      <c r="R5929" s="217"/>
      <c r="S5929" s="218"/>
    </row>
    <row r="5930" spans="13:19" ht="15" customHeight="1" x14ac:dyDescent="0.25">
      <c r="M5930"/>
      <c r="N5930"/>
      <c r="O5930"/>
      <c r="P5930" s="216"/>
      <c r="Q5930" s="217"/>
      <c r="R5930" s="217"/>
      <c r="S5930" s="218"/>
    </row>
    <row r="5931" spans="13:19" ht="15" customHeight="1" x14ac:dyDescent="0.25">
      <c r="M5931"/>
      <c r="N5931"/>
      <c r="O5931"/>
      <c r="P5931" s="216"/>
      <c r="Q5931" s="217"/>
      <c r="R5931" s="217"/>
      <c r="S5931" s="218"/>
    </row>
    <row r="5932" spans="13:19" ht="15" customHeight="1" x14ac:dyDescent="0.25">
      <c r="M5932"/>
      <c r="N5932"/>
      <c r="O5932"/>
      <c r="P5932" s="216"/>
      <c r="Q5932" s="217"/>
      <c r="R5932" s="217"/>
      <c r="S5932" s="218"/>
    </row>
    <row r="5933" spans="13:19" ht="15" customHeight="1" x14ac:dyDescent="0.25">
      <c r="M5933"/>
      <c r="N5933"/>
      <c r="O5933"/>
      <c r="P5933" s="216"/>
      <c r="Q5933" s="217"/>
      <c r="R5933" s="217"/>
      <c r="S5933" s="218"/>
    </row>
    <row r="5934" spans="13:19" ht="15" customHeight="1" x14ac:dyDescent="0.25">
      <c r="M5934"/>
      <c r="N5934"/>
      <c r="O5934"/>
      <c r="P5934" s="216"/>
      <c r="Q5934" s="217"/>
      <c r="R5934" s="217"/>
      <c r="S5934" s="218"/>
    </row>
    <row r="5935" spans="13:19" ht="15" customHeight="1" x14ac:dyDescent="0.25">
      <c r="M5935"/>
      <c r="N5935"/>
      <c r="O5935"/>
      <c r="P5935" s="216"/>
      <c r="Q5935" s="217"/>
      <c r="R5935" s="217"/>
      <c r="S5935" s="218"/>
    </row>
    <row r="5936" spans="13:19" ht="15" customHeight="1" x14ac:dyDescent="0.25">
      <c r="M5936"/>
      <c r="N5936"/>
      <c r="O5936"/>
      <c r="P5936" s="216"/>
      <c r="Q5936" s="217"/>
      <c r="R5936" s="217"/>
      <c r="S5936" s="218"/>
    </row>
    <row r="5937" spans="13:19" ht="15" customHeight="1" x14ac:dyDescent="0.25">
      <c r="M5937"/>
      <c r="N5937"/>
      <c r="O5937"/>
      <c r="P5937" s="216"/>
      <c r="Q5937" s="217"/>
      <c r="R5937" s="217"/>
      <c r="S5937" s="218"/>
    </row>
    <row r="5938" spans="13:19" ht="15" customHeight="1" x14ac:dyDescent="0.25">
      <c r="M5938"/>
      <c r="N5938"/>
      <c r="O5938"/>
      <c r="P5938" s="216"/>
      <c r="Q5938" s="217"/>
      <c r="R5938" s="217"/>
      <c r="S5938" s="218"/>
    </row>
    <row r="5939" spans="13:19" ht="15" customHeight="1" x14ac:dyDescent="0.25">
      <c r="M5939"/>
      <c r="N5939"/>
      <c r="O5939"/>
      <c r="P5939" s="216"/>
      <c r="Q5939" s="217"/>
      <c r="R5939" s="217"/>
      <c r="S5939" s="218"/>
    </row>
    <row r="5940" spans="13:19" ht="15" customHeight="1" x14ac:dyDescent="0.25">
      <c r="M5940"/>
      <c r="N5940"/>
      <c r="O5940"/>
      <c r="P5940" s="216"/>
      <c r="Q5940" s="217"/>
      <c r="R5940" s="217"/>
      <c r="S5940" s="218"/>
    </row>
    <row r="5941" spans="13:19" ht="15" customHeight="1" x14ac:dyDescent="0.25">
      <c r="M5941"/>
      <c r="N5941"/>
      <c r="O5941"/>
      <c r="P5941" s="216"/>
      <c r="Q5941" s="217"/>
      <c r="R5941" s="217"/>
      <c r="S5941" s="218"/>
    </row>
    <row r="5942" spans="13:19" ht="15" customHeight="1" x14ac:dyDescent="0.25">
      <c r="M5942"/>
      <c r="N5942"/>
      <c r="O5942"/>
      <c r="P5942" s="216"/>
      <c r="Q5942" s="217"/>
      <c r="R5942" s="217"/>
      <c r="S5942" s="218"/>
    </row>
    <row r="5943" spans="13:19" ht="15" customHeight="1" x14ac:dyDescent="0.25">
      <c r="M5943"/>
      <c r="N5943"/>
      <c r="O5943"/>
      <c r="P5943" s="216"/>
      <c r="Q5943" s="217"/>
      <c r="R5943" s="217"/>
      <c r="S5943" s="218"/>
    </row>
    <row r="5944" spans="13:19" ht="15" customHeight="1" x14ac:dyDescent="0.25">
      <c r="M5944"/>
      <c r="N5944"/>
      <c r="O5944"/>
      <c r="P5944" s="216"/>
      <c r="Q5944" s="217"/>
      <c r="R5944" s="217"/>
      <c r="S5944" s="218"/>
    </row>
    <row r="5945" spans="13:19" ht="15" customHeight="1" x14ac:dyDescent="0.25">
      <c r="M5945"/>
      <c r="N5945"/>
      <c r="O5945"/>
      <c r="P5945" s="216"/>
      <c r="Q5945" s="217"/>
      <c r="R5945" s="217"/>
      <c r="S5945" s="218"/>
    </row>
    <row r="5946" spans="13:19" ht="15" customHeight="1" x14ac:dyDescent="0.25">
      <c r="M5946"/>
      <c r="N5946"/>
      <c r="O5946"/>
      <c r="P5946" s="216"/>
      <c r="Q5946" s="217"/>
      <c r="R5946" s="217"/>
      <c r="S5946" s="218"/>
    </row>
    <row r="5947" spans="13:19" ht="15" customHeight="1" x14ac:dyDescent="0.25">
      <c r="M5947"/>
      <c r="N5947"/>
      <c r="O5947"/>
      <c r="P5947" s="216"/>
      <c r="Q5947" s="217"/>
      <c r="R5947" s="217"/>
      <c r="S5947" s="218"/>
    </row>
    <row r="5948" spans="13:19" ht="15" customHeight="1" x14ac:dyDescent="0.25">
      <c r="M5948"/>
      <c r="N5948"/>
      <c r="O5948"/>
      <c r="P5948" s="216"/>
      <c r="Q5948" s="217"/>
      <c r="R5948" s="217"/>
      <c r="S5948" s="218"/>
    </row>
    <row r="5949" spans="13:19" ht="15" customHeight="1" x14ac:dyDescent="0.25">
      <c r="M5949"/>
      <c r="N5949"/>
      <c r="O5949"/>
      <c r="P5949" s="216"/>
      <c r="Q5949" s="217"/>
      <c r="R5949" s="217"/>
      <c r="S5949" s="218"/>
    </row>
    <row r="5950" spans="13:19" ht="15" customHeight="1" x14ac:dyDescent="0.25">
      <c r="M5950"/>
      <c r="N5950"/>
      <c r="O5950"/>
      <c r="P5950" s="216"/>
      <c r="Q5950" s="217"/>
      <c r="R5950" s="217"/>
      <c r="S5950" s="218"/>
    </row>
    <row r="5951" spans="13:19" ht="15" customHeight="1" x14ac:dyDescent="0.25">
      <c r="M5951"/>
      <c r="N5951"/>
      <c r="O5951"/>
      <c r="P5951" s="216"/>
      <c r="Q5951" s="217"/>
      <c r="R5951" s="217"/>
      <c r="S5951" s="218"/>
    </row>
    <row r="5952" spans="13:19" ht="15" customHeight="1" x14ac:dyDescent="0.25">
      <c r="M5952"/>
      <c r="N5952"/>
      <c r="O5952"/>
      <c r="P5952" s="216"/>
      <c r="Q5952" s="217"/>
      <c r="R5952" s="217"/>
      <c r="S5952" s="218"/>
    </row>
    <row r="5953" spans="13:19" ht="15" customHeight="1" x14ac:dyDescent="0.25">
      <c r="M5953"/>
      <c r="N5953"/>
      <c r="O5953"/>
      <c r="P5953" s="216"/>
      <c r="Q5953" s="217"/>
      <c r="R5953" s="217"/>
      <c r="S5953" s="218"/>
    </row>
    <row r="5954" spans="13:19" ht="15" customHeight="1" x14ac:dyDescent="0.25">
      <c r="M5954"/>
      <c r="N5954"/>
      <c r="O5954"/>
      <c r="P5954" s="216"/>
      <c r="Q5954" s="217"/>
      <c r="R5954" s="217"/>
      <c r="S5954" s="218"/>
    </row>
    <row r="5955" spans="13:19" ht="15" customHeight="1" x14ac:dyDescent="0.25">
      <c r="M5955"/>
      <c r="N5955"/>
      <c r="O5955"/>
      <c r="P5955" s="216"/>
      <c r="Q5955" s="217"/>
      <c r="R5955" s="217"/>
      <c r="S5955" s="218"/>
    </row>
    <row r="5956" spans="13:19" ht="15" customHeight="1" x14ac:dyDescent="0.25">
      <c r="M5956"/>
      <c r="N5956"/>
      <c r="O5956"/>
      <c r="P5956" s="216"/>
      <c r="Q5956" s="217"/>
      <c r="R5956" s="217"/>
      <c r="S5956" s="218"/>
    </row>
    <row r="5957" spans="13:19" ht="15" customHeight="1" x14ac:dyDescent="0.25">
      <c r="M5957"/>
      <c r="N5957"/>
      <c r="O5957"/>
      <c r="P5957" s="216"/>
      <c r="Q5957" s="217"/>
      <c r="R5957" s="217"/>
      <c r="S5957" s="218"/>
    </row>
    <row r="5958" spans="13:19" ht="15" customHeight="1" x14ac:dyDescent="0.25">
      <c r="M5958"/>
      <c r="N5958"/>
      <c r="O5958"/>
      <c r="P5958" s="216"/>
      <c r="Q5958" s="217"/>
      <c r="R5958" s="217"/>
      <c r="S5958" s="218"/>
    </row>
    <row r="5959" spans="13:19" ht="15" customHeight="1" x14ac:dyDescent="0.25">
      <c r="M5959"/>
      <c r="N5959"/>
      <c r="O5959"/>
      <c r="P5959" s="216"/>
      <c r="Q5959" s="217"/>
      <c r="R5959" s="217"/>
      <c r="S5959" s="218"/>
    </row>
    <row r="5960" spans="13:19" ht="15" customHeight="1" x14ac:dyDescent="0.25">
      <c r="M5960"/>
      <c r="N5960"/>
      <c r="O5960"/>
      <c r="P5960" s="216"/>
      <c r="Q5960" s="217"/>
      <c r="R5960" s="217"/>
      <c r="S5960" s="218"/>
    </row>
    <row r="5961" spans="13:19" ht="15" customHeight="1" x14ac:dyDescent="0.25">
      <c r="M5961"/>
      <c r="N5961"/>
      <c r="O5961"/>
      <c r="P5961" s="216"/>
      <c r="Q5961" s="217"/>
      <c r="R5961" s="217"/>
      <c r="S5961" s="218"/>
    </row>
    <row r="5962" spans="13:19" ht="15" customHeight="1" x14ac:dyDescent="0.25">
      <c r="M5962"/>
      <c r="N5962"/>
      <c r="O5962"/>
      <c r="P5962" s="216"/>
      <c r="Q5962" s="217"/>
      <c r="R5962" s="217"/>
      <c r="S5962" s="218"/>
    </row>
    <row r="5963" spans="13:19" ht="15" customHeight="1" x14ac:dyDescent="0.25">
      <c r="M5963"/>
      <c r="N5963"/>
      <c r="O5963"/>
      <c r="P5963" s="216"/>
      <c r="Q5963" s="217"/>
      <c r="R5963" s="217"/>
      <c r="S5963" s="218"/>
    </row>
    <row r="5964" spans="13:19" ht="15" customHeight="1" x14ac:dyDescent="0.25">
      <c r="M5964"/>
      <c r="N5964"/>
      <c r="O5964"/>
      <c r="P5964" s="216"/>
      <c r="Q5964" s="217"/>
      <c r="R5964" s="217"/>
      <c r="S5964" s="218"/>
    </row>
    <row r="5965" spans="13:19" ht="15" customHeight="1" x14ac:dyDescent="0.25">
      <c r="M5965"/>
      <c r="N5965"/>
      <c r="O5965"/>
      <c r="P5965" s="216"/>
      <c r="Q5965" s="217"/>
      <c r="R5965" s="217"/>
      <c r="S5965" s="218"/>
    </row>
    <row r="5966" spans="13:19" ht="15" customHeight="1" x14ac:dyDescent="0.25">
      <c r="M5966"/>
      <c r="N5966"/>
      <c r="O5966"/>
      <c r="P5966" s="216"/>
      <c r="Q5966" s="217"/>
      <c r="R5966" s="217"/>
      <c r="S5966" s="218"/>
    </row>
    <row r="5967" spans="13:19" ht="15" customHeight="1" x14ac:dyDescent="0.25">
      <c r="M5967"/>
      <c r="N5967"/>
      <c r="O5967"/>
      <c r="P5967" s="216"/>
      <c r="Q5967" s="217"/>
      <c r="R5967" s="217"/>
      <c r="S5967" s="218"/>
    </row>
    <row r="5968" spans="13:19" ht="15" customHeight="1" x14ac:dyDescent="0.25">
      <c r="M5968"/>
      <c r="N5968"/>
      <c r="O5968"/>
      <c r="P5968" s="216"/>
      <c r="Q5968" s="217"/>
      <c r="R5968" s="217"/>
      <c r="S5968" s="218"/>
    </row>
    <row r="5969" spans="13:19" ht="15" customHeight="1" x14ac:dyDescent="0.25">
      <c r="M5969"/>
      <c r="N5969"/>
      <c r="O5969"/>
      <c r="P5969" s="216"/>
      <c r="Q5969" s="217"/>
      <c r="R5969" s="217"/>
      <c r="S5969" s="218"/>
    </row>
    <row r="5970" spans="13:19" ht="15" customHeight="1" x14ac:dyDescent="0.25">
      <c r="M5970"/>
      <c r="N5970"/>
      <c r="O5970"/>
      <c r="P5970" s="216"/>
      <c r="Q5970" s="217"/>
      <c r="R5970" s="217"/>
      <c r="S5970" s="218"/>
    </row>
    <row r="5971" spans="13:19" ht="15" customHeight="1" x14ac:dyDescent="0.25">
      <c r="M5971"/>
      <c r="N5971"/>
      <c r="O5971"/>
      <c r="P5971" s="216"/>
      <c r="Q5971" s="217"/>
      <c r="R5971" s="217"/>
      <c r="S5971" s="218"/>
    </row>
    <row r="5972" spans="13:19" ht="15" customHeight="1" x14ac:dyDescent="0.25">
      <c r="M5972"/>
      <c r="N5972"/>
      <c r="O5972"/>
      <c r="P5972" s="216"/>
      <c r="Q5972" s="217"/>
      <c r="R5972" s="217"/>
      <c r="S5972" s="218"/>
    </row>
    <row r="5973" spans="13:19" ht="15" customHeight="1" x14ac:dyDescent="0.25">
      <c r="M5973"/>
      <c r="N5973"/>
      <c r="O5973"/>
      <c r="P5973" s="216"/>
      <c r="Q5973" s="217"/>
      <c r="R5973" s="217"/>
      <c r="S5973" s="218"/>
    </row>
    <row r="5974" spans="13:19" ht="15" customHeight="1" x14ac:dyDescent="0.25">
      <c r="M5974"/>
      <c r="N5974"/>
      <c r="O5974"/>
      <c r="P5974" s="216"/>
      <c r="Q5974" s="217"/>
      <c r="R5974" s="217"/>
      <c r="S5974" s="218"/>
    </row>
    <row r="5975" spans="13:19" ht="15" customHeight="1" x14ac:dyDescent="0.25">
      <c r="M5975"/>
      <c r="N5975"/>
      <c r="O5975"/>
      <c r="P5975" s="216"/>
      <c r="Q5975" s="217"/>
      <c r="R5975" s="217"/>
      <c r="S5975" s="218"/>
    </row>
    <row r="5976" spans="13:19" ht="15" customHeight="1" x14ac:dyDescent="0.25">
      <c r="M5976"/>
      <c r="N5976"/>
      <c r="O5976"/>
      <c r="P5976" s="216"/>
      <c r="Q5976" s="217"/>
      <c r="R5976" s="217"/>
      <c r="S5976" s="218"/>
    </row>
    <row r="5977" spans="13:19" ht="15" customHeight="1" x14ac:dyDescent="0.25">
      <c r="M5977"/>
      <c r="N5977"/>
      <c r="O5977"/>
      <c r="P5977" s="216"/>
      <c r="Q5977" s="217"/>
      <c r="R5977" s="217"/>
      <c r="S5977" s="218"/>
    </row>
    <row r="5978" spans="13:19" ht="15" customHeight="1" x14ac:dyDescent="0.25">
      <c r="M5978"/>
      <c r="N5978"/>
      <c r="O5978"/>
      <c r="P5978" s="216"/>
      <c r="Q5978" s="217"/>
      <c r="R5978" s="217"/>
      <c r="S5978" s="218"/>
    </row>
    <row r="5979" spans="13:19" ht="15" customHeight="1" x14ac:dyDescent="0.25">
      <c r="M5979"/>
      <c r="N5979"/>
      <c r="O5979"/>
      <c r="P5979" s="216"/>
      <c r="Q5979" s="217"/>
      <c r="R5979" s="217"/>
      <c r="S5979" s="218"/>
    </row>
    <row r="5980" spans="13:19" ht="15" customHeight="1" x14ac:dyDescent="0.25">
      <c r="M5980"/>
      <c r="N5980"/>
      <c r="O5980"/>
      <c r="P5980" s="216"/>
      <c r="Q5980" s="217"/>
      <c r="R5980" s="217"/>
      <c r="S5980" s="218"/>
    </row>
    <row r="5981" spans="13:19" ht="15" customHeight="1" x14ac:dyDescent="0.25">
      <c r="M5981"/>
      <c r="N5981"/>
      <c r="O5981"/>
      <c r="P5981" s="216"/>
      <c r="Q5981" s="217"/>
      <c r="R5981" s="217"/>
      <c r="S5981" s="218"/>
    </row>
    <row r="5982" spans="13:19" ht="15" customHeight="1" x14ac:dyDescent="0.25">
      <c r="M5982"/>
      <c r="N5982"/>
      <c r="O5982"/>
      <c r="P5982" s="216"/>
      <c r="Q5982" s="217"/>
      <c r="R5982" s="217"/>
      <c r="S5982" s="218"/>
    </row>
    <row r="5983" spans="13:19" ht="15" customHeight="1" x14ac:dyDescent="0.25">
      <c r="M5983"/>
      <c r="N5983"/>
      <c r="O5983"/>
      <c r="P5983" s="216"/>
      <c r="Q5983" s="217"/>
      <c r="R5983" s="217"/>
      <c r="S5983" s="218"/>
    </row>
    <row r="5984" spans="13:19" ht="15" customHeight="1" x14ac:dyDescent="0.25">
      <c r="M5984"/>
      <c r="N5984"/>
      <c r="O5984"/>
      <c r="P5984" s="216"/>
      <c r="Q5984" s="217"/>
      <c r="R5984" s="217"/>
      <c r="S5984" s="218"/>
    </row>
    <row r="5985" spans="13:19" ht="15" customHeight="1" x14ac:dyDescent="0.25">
      <c r="M5985"/>
      <c r="N5985"/>
      <c r="O5985"/>
      <c r="P5985" s="216"/>
      <c r="Q5985" s="217"/>
      <c r="R5985" s="217"/>
      <c r="S5985" s="218"/>
    </row>
    <row r="5986" spans="13:19" ht="15" customHeight="1" x14ac:dyDescent="0.25">
      <c r="M5986"/>
      <c r="N5986"/>
      <c r="O5986"/>
      <c r="P5986" s="216"/>
      <c r="Q5986" s="217"/>
      <c r="R5986" s="217"/>
      <c r="S5986" s="218"/>
    </row>
    <row r="5987" spans="13:19" ht="15" customHeight="1" x14ac:dyDescent="0.25">
      <c r="M5987"/>
      <c r="N5987"/>
      <c r="O5987"/>
      <c r="P5987" s="216"/>
      <c r="Q5987" s="217"/>
      <c r="R5987" s="217"/>
      <c r="S5987" s="218"/>
    </row>
    <row r="5988" spans="13:19" ht="15" customHeight="1" x14ac:dyDescent="0.25">
      <c r="M5988"/>
      <c r="N5988"/>
      <c r="O5988"/>
      <c r="P5988" s="216"/>
      <c r="Q5988" s="217"/>
      <c r="R5988" s="217"/>
      <c r="S5988" s="218"/>
    </row>
    <row r="5989" spans="13:19" ht="15" customHeight="1" x14ac:dyDescent="0.25">
      <c r="M5989"/>
      <c r="N5989"/>
      <c r="O5989"/>
      <c r="P5989" s="216"/>
      <c r="Q5989" s="217"/>
      <c r="R5989" s="217"/>
      <c r="S5989" s="218"/>
    </row>
    <row r="5990" spans="13:19" ht="15" customHeight="1" x14ac:dyDescent="0.25">
      <c r="M5990"/>
      <c r="N5990"/>
      <c r="O5990"/>
      <c r="P5990" s="216"/>
      <c r="Q5990" s="217"/>
      <c r="R5990" s="217"/>
      <c r="S5990" s="218"/>
    </row>
    <row r="5991" spans="13:19" ht="15" customHeight="1" x14ac:dyDescent="0.25">
      <c r="M5991"/>
      <c r="N5991"/>
      <c r="O5991"/>
      <c r="P5991" s="216"/>
      <c r="Q5991" s="217"/>
      <c r="R5991" s="217"/>
      <c r="S5991" s="218"/>
    </row>
    <row r="5992" spans="13:19" ht="15" customHeight="1" x14ac:dyDescent="0.25">
      <c r="M5992"/>
      <c r="N5992"/>
      <c r="O5992"/>
      <c r="P5992" s="216"/>
      <c r="Q5992" s="217"/>
      <c r="R5992" s="217"/>
      <c r="S5992" s="218"/>
    </row>
    <row r="5993" spans="13:19" ht="15" customHeight="1" x14ac:dyDescent="0.25">
      <c r="M5993"/>
      <c r="N5993"/>
      <c r="O5993"/>
      <c r="P5993" s="216"/>
      <c r="Q5993" s="217"/>
      <c r="R5993" s="217"/>
      <c r="S5993" s="218"/>
    </row>
    <row r="5994" spans="13:19" ht="15" customHeight="1" x14ac:dyDescent="0.25">
      <c r="M5994"/>
      <c r="N5994"/>
      <c r="O5994"/>
      <c r="P5994" s="216"/>
      <c r="Q5994" s="217"/>
      <c r="R5994" s="217"/>
      <c r="S5994" s="218"/>
    </row>
    <row r="5995" spans="13:19" ht="15" customHeight="1" x14ac:dyDescent="0.25">
      <c r="M5995"/>
      <c r="N5995"/>
      <c r="O5995"/>
      <c r="P5995" s="216"/>
      <c r="Q5995" s="217"/>
      <c r="R5995" s="217"/>
      <c r="S5995" s="218"/>
    </row>
    <row r="5996" spans="13:19" ht="15" customHeight="1" x14ac:dyDescent="0.25">
      <c r="M5996"/>
      <c r="N5996"/>
      <c r="O5996"/>
      <c r="P5996" s="216"/>
      <c r="Q5996" s="217"/>
      <c r="R5996" s="217"/>
      <c r="S5996" s="218"/>
    </row>
    <row r="5997" spans="13:19" ht="15" customHeight="1" x14ac:dyDescent="0.25">
      <c r="M5997"/>
      <c r="N5997"/>
      <c r="O5997"/>
      <c r="P5997" s="216"/>
      <c r="Q5997" s="217"/>
      <c r="R5997" s="217"/>
      <c r="S5997" s="218"/>
    </row>
    <row r="5998" spans="13:19" ht="15" customHeight="1" x14ac:dyDescent="0.25">
      <c r="M5998"/>
      <c r="N5998"/>
      <c r="O5998"/>
      <c r="P5998" s="216"/>
      <c r="Q5998" s="217"/>
      <c r="R5998" s="217"/>
      <c r="S5998" s="218"/>
    </row>
    <row r="5999" spans="13:19" ht="15" customHeight="1" x14ac:dyDescent="0.25">
      <c r="M5999"/>
      <c r="N5999"/>
      <c r="O5999"/>
      <c r="P5999" s="216"/>
      <c r="Q5999" s="217"/>
      <c r="R5999" s="217"/>
      <c r="S5999" s="218"/>
    </row>
    <row r="6000" spans="13:19" ht="15" customHeight="1" x14ac:dyDescent="0.25">
      <c r="M6000"/>
      <c r="N6000"/>
      <c r="O6000"/>
      <c r="P6000" s="216"/>
      <c r="Q6000" s="217"/>
      <c r="R6000" s="217"/>
      <c r="S6000" s="218"/>
    </row>
    <row r="6001" spans="13:19" ht="15" customHeight="1" x14ac:dyDescent="0.25">
      <c r="M6001"/>
      <c r="N6001"/>
      <c r="O6001"/>
      <c r="P6001" s="216"/>
      <c r="Q6001" s="217"/>
      <c r="R6001" s="217"/>
      <c r="S6001" s="218"/>
    </row>
    <row r="6002" spans="13:19" ht="15" customHeight="1" x14ac:dyDescent="0.25">
      <c r="M6002"/>
      <c r="N6002"/>
      <c r="O6002"/>
      <c r="P6002" s="216"/>
      <c r="Q6002" s="217"/>
      <c r="R6002" s="217"/>
      <c r="S6002" s="218"/>
    </row>
    <row r="6003" spans="13:19" ht="15" customHeight="1" x14ac:dyDescent="0.25">
      <c r="M6003"/>
      <c r="N6003"/>
      <c r="O6003"/>
      <c r="P6003" s="216"/>
      <c r="Q6003" s="217"/>
      <c r="R6003" s="217"/>
      <c r="S6003" s="218"/>
    </row>
    <row r="6004" spans="13:19" ht="15" customHeight="1" x14ac:dyDescent="0.25">
      <c r="M6004"/>
      <c r="N6004"/>
      <c r="O6004"/>
      <c r="P6004" s="216"/>
      <c r="Q6004" s="217"/>
      <c r="R6004" s="217"/>
      <c r="S6004" s="218"/>
    </row>
    <row r="6005" spans="13:19" ht="15" customHeight="1" x14ac:dyDescent="0.25">
      <c r="M6005"/>
      <c r="N6005"/>
      <c r="O6005"/>
      <c r="P6005" s="216"/>
      <c r="Q6005" s="217"/>
      <c r="R6005" s="217"/>
      <c r="S6005" s="218"/>
    </row>
    <row r="6006" spans="13:19" ht="15" customHeight="1" x14ac:dyDescent="0.25">
      <c r="M6006"/>
      <c r="N6006"/>
      <c r="O6006"/>
      <c r="P6006" s="216"/>
      <c r="Q6006" s="217"/>
      <c r="R6006" s="217"/>
      <c r="S6006" s="218"/>
    </row>
    <row r="6007" spans="13:19" ht="15" customHeight="1" x14ac:dyDescent="0.25">
      <c r="M6007"/>
      <c r="N6007"/>
      <c r="O6007"/>
      <c r="P6007" s="216"/>
      <c r="Q6007" s="217"/>
      <c r="R6007" s="217"/>
      <c r="S6007" s="218"/>
    </row>
    <row r="6008" spans="13:19" ht="15" customHeight="1" x14ac:dyDescent="0.25">
      <c r="M6008"/>
      <c r="N6008"/>
      <c r="O6008"/>
      <c r="P6008" s="216"/>
      <c r="Q6008" s="217"/>
      <c r="R6008" s="217"/>
      <c r="S6008" s="218"/>
    </row>
    <row r="6009" spans="13:19" ht="15" customHeight="1" x14ac:dyDescent="0.25">
      <c r="M6009"/>
      <c r="N6009"/>
      <c r="O6009"/>
      <c r="P6009" s="216"/>
      <c r="Q6009" s="217"/>
      <c r="R6009" s="217"/>
      <c r="S6009" s="218"/>
    </row>
    <row r="6010" spans="13:19" ht="15" customHeight="1" x14ac:dyDescent="0.25">
      <c r="M6010"/>
      <c r="N6010"/>
      <c r="O6010"/>
      <c r="P6010" s="216"/>
      <c r="Q6010" s="217"/>
      <c r="R6010" s="217"/>
      <c r="S6010" s="218"/>
    </row>
    <row r="6011" spans="13:19" ht="15" customHeight="1" x14ac:dyDescent="0.25">
      <c r="M6011"/>
      <c r="N6011"/>
      <c r="O6011"/>
      <c r="P6011" s="216"/>
      <c r="Q6011" s="217"/>
      <c r="R6011" s="217"/>
      <c r="S6011" s="218"/>
    </row>
    <row r="6012" spans="13:19" ht="15" customHeight="1" x14ac:dyDescent="0.25">
      <c r="M6012"/>
      <c r="N6012"/>
      <c r="O6012"/>
      <c r="P6012" s="216"/>
      <c r="Q6012" s="217"/>
      <c r="R6012" s="217"/>
      <c r="S6012" s="218"/>
    </row>
    <row r="6013" spans="13:19" ht="15" customHeight="1" x14ac:dyDescent="0.25">
      <c r="M6013"/>
      <c r="N6013"/>
      <c r="O6013"/>
      <c r="P6013" s="216"/>
      <c r="Q6013" s="217"/>
      <c r="R6013" s="217"/>
      <c r="S6013" s="218"/>
    </row>
    <row r="6014" spans="13:19" ht="15" customHeight="1" x14ac:dyDescent="0.25">
      <c r="M6014"/>
      <c r="N6014"/>
      <c r="O6014"/>
      <c r="P6014" s="216"/>
      <c r="Q6014" s="217"/>
      <c r="R6014" s="217"/>
      <c r="S6014" s="218"/>
    </row>
    <row r="6015" spans="13:19" ht="15" customHeight="1" x14ac:dyDescent="0.25">
      <c r="M6015"/>
      <c r="N6015"/>
      <c r="O6015"/>
      <c r="P6015" s="216"/>
      <c r="Q6015" s="217"/>
      <c r="R6015" s="217"/>
      <c r="S6015" s="218"/>
    </row>
    <row r="6016" spans="13:19" ht="15" customHeight="1" x14ac:dyDescent="0.25">
      <c r="M6016"/>
      <c r="N6016"/>
      <c r="O6016"/>
      <c r="P6016" s="216"/>
      <c r="Q6016" s="217"/>
      <c r="R6016" s="217"/>
      <c r="S6016" s="218"/>
    </row>
    <row r="6017" spans="13:19" ht="15" customHeight="1" x14ac:dyDescent="0.25">
      <c r="M6017"/>
      <c r="N6017"/>
      <c r="O6017"/>
      <c r="P6017" s="216"/>
      <c r="Q6017" s="217"/>
      <c r="R6017" s="217"/>
      <c r="S6017" s="218"/>
    </row>
    <row r="6018" spans="13:19" ht="15" customHeight="1" x14ac:dyDescent="0.25">
      <c r="M6018"/>
      <c r="N6018"/>
      <c r="O6018"/>
      <c r="P6018" s="216"/>
      <c r="Q6018" s="217"/>
      <c r="R6018" s="217"/>
      <c r="S6018" s="218"/>
    </row>
    <row r="6019" spans="13:19" ht="15" customHeight="1" x14ac:dyDescent="0.25">
      <c r="M6019"/>
      <c r="N6019"/>
      <c r="O6019"/>
      <c r="P6019" s="216"/>
      <c r="Q6019" s="217"/>
      <c r="R6019" s="217"/>
      <c r="S6019" s="218"/>
    </row>
    <row r="6020" spans="13:19" ht="15" customHeight="1" x14ac:dyDescent="0.25">
      <c r="M6020"/>
      <c r="N6020"/>
      <c r="O6020"/>
      <c r="P6020" s="216"/>
      <c r="Q6020" s="217"/>
      <c r="R6020" s="217"/>
      <c r="S6020" s="218"/>
    </row>
    <row r="6021" spans="13:19" ht="15" customHeight="1" x14ac:dyDescent="0.25">
      <c r="M6021"/>
      <c r="N6021"/>
      <c r="O6021"/>
      <c r="P6021" s="216"/>
      <c r="Q6021" s="217"/>
      <c r="R6021" s="217"/>
      <c r="S6021" s="218"/>
    </row>
    <row r="6022" spans="13:19" ht="15" customHeight="1" x14ac:dyDescent="0.25">
      <c r="M6022"/>
      <c r="N6022"/>
      <c r="O6022"/>
      <c r="P6022" s="216"/>
      <c r="Q6022" s="217"/>
      <c r="R6022" s="217"/>
      <c r="S6022" s="218"/>
    </row>
    <row r="6023" spans="13:19" ht="15" customHeight="1" x14ac:dyDescent="0.25">
      <c r="M6023"/>
      <c r="N6023"/>
      <c r="O6023"/>
      <c r="P6023" s="216"/>
      <c r="Q6023" s="217"/>
      <c r="R6023" s="217"/>
      <c r="S6023" s="218"/>
    </row>
    <row r="6024" spans="13:19" ht="15" customHeight="1" x14ac:dyDescent="0.25">
      <c r="M6024"/>
      <c r="N6024"/>
      <c r="O6024"/>
      <c r="P6024" s="216"/>
      <c r="Q6024" s="217"/>
      <c r="R6024" s="217"/>
      <c r="S6024" s="218"/>
    </row>
    <row r="6025" spans="13:19" ht="15" customHeight="1" x14ac:dyDescent="0.25">
      <c r="M6025"/>
      <c r="N6025"/>
      <c r="O6025"/>
      <c r="P6025" s="216"/>
      <c r="Q6025" s="217"/>
      <c r="R6025" s="217"/>
      <c r="S6025" s="218"/>
    </row>
    <row r="6026" spans="13:19" ht="15" customHeight="1" x14ac:dyDescent="0.25">
      <c r="M6026"/>
      <c r="N6026"/>
      <c r="O6026"/>
      <c r="P6026" s="216"/>
      <c r="Q6026" s="217"/>
      <c r="R6026" s="217"/>
      <c r="S6026" s="218"/>
    </row>
    <row r="6027" spans="13:19" ht="15" customHeight="1" x14ac:dyDescent="0.25">
      <c r="M6027"/>
      <c r="N6027"/>
      <c r="O6027"/>
      <c r="P6027" s="216"/>
      <c r="Q6027" s="217"/>
      <c r="R6027" s="217"/>
      <c r="S6027" s="218"/>
    </row>
    <row r="6028" spans="13:19" ht="15" customHeight="1" x14ac:dyDescent="0.25">
      <c r="M6028"/>
      <c r="N6028"/>
      <c r="O6028"/>
      <c r="P6028" s="216"/>
      <c r="Q6028" s="217"/>
      <c r="R6028" s="217"/>
      <c r="S6028" s="218"/>
    </row>
    <row r="6029" spans="13:19" ht="15" customHeight="1" x14ac:dyDescent="0.25">
      <c r="M6029"/>
      <c r="N6029"/>
      <c r="O6029"/>
      <c r="P6029" s="216"/>
      <c r="Q6029" s="217"/>
      <c r="R6029" s="217"/>
      <c r="S6029" s="218"/>
    </row>
    <row r="6030" spans="13:19" ht="15" customHeight="1" x14ac:dyDescent="0.25">
      <c r="M6030"/>
      <c r="N6030"/>
      <c r="O6030"/>
      <c r="P6030" s="216"/>
      <c r="Q6030" s="217"/>
      <c r="R6030" s="217"/>
      <c r="S6030" s="218"/>
    </row>
    <row r="6031" spans="13:19" ht="15" customHeight="1" x14ac:dyDescent="0.25">
      <c r="M6031"/>
      <c r="N6031"/>
      <c r="O6031"/>
      <c r="P6031" s="216"/>
      <c r="Q6031" s="217"/>
      <c r="R6031" s="217"/>
      <c r="S6031" s="218"/>
    </row>
    <row r="6032" spans="13:19" ht="15" customHeight="1" x14ac:dyDescent="0.25">
      <c r="M6032"/>
      <c r="N6032"/>
      <c r="O6032"/>
      <c r="P6032" s="216"/>
      <c r="Q6032" s="217"/>
      <c r="R6032" s="217"/>
      <c r="S6032" s="218"/>
    </row>
    <row r="6033" spans="13:19" ht="15" customHeight="1" x14ac:dyDescent="0.25">
      <c r="M6033"/>
      <c r="N6033"/>
      <c r="O6033"/>
      <c r="P6033" s="216"/>
      <c r="Q6033" s="217"/>
      <c r="R6033" s="217"/>
      <c r="S6033" s="218"/>
    </row>
    <row r="6034" spans="13:19" ht="15" customHeight="1" x14ac:dyDescent="0.25">
      <c r="M6034"/>
      <c r="N6034"/>
      <c r="O6034"/>
      <c r="P6034" s="216"/>
      <c r="Q6034" s="217"/>
      <c r="R6034" s="217"/>
      <c r="S6034" s="218"/>
    </row>
    <row r="6035" spans="13:19" ht="15" customHeight="1" x14ac:dyDescent="0.25">
      <c r="M6035"/>
      <c r="N6035"/>
      <c r="O6035"/>
      <c r="P6035" s="216"/>
      <c r="Q6035" s="217"/>
      <c r="R6035" s="217"/>
      <c r="S6035" s="218"/>
    </row>
    <row r="6036" spans="13:19" ht="15" customHeight="1" x14ac:dyDescent="0.25">
      <c r="M6036"/>
      <c r="N6036"/>
      <c r="O6036"/>
      <c r="P6036" s="216"/>
      <c r="Q6036" s="217"/>
      <c r="R6036" s="217"/>
      <c r="S6036" s="218"/>
    </row>
    <row r="6037" spans="13:19" ht="15" customHeight="1" x14ac:dyDescent="0.25">
      <c r="M6037"/>
      <c r="N6037"/>
      <c r="O6037"/>
      <c r="P6037" s="216"/>
      <c r="Q6037" s="217"/>
      <c r="R6037" s="217"/>
      <c r="S6037" s="218"/>
    </row>
    <row r="6038" spans="13:19" ht="15" customHeight="1" x14ac:dyDescent="0.25">
      <c r="M6038"/>
      <c r="N6038"/>
      <c r="O6038"/>
      <c r="P6038" s="216"/>
      <c r="Q6038" s="217"/>
      <c r="R6038" s="217"/>
      <c r="S6038" s="218"/>
    </row>
    <row r="6039" spans="13:19" ht="15" customHeight="1" x14ac:dyDescent="0.25">
      <c r="M6039"/>
      <c r="N6039"/>
      <c r="O6039"/>
      <c r="P6039" s="216"/>
      <c r="Q6039" s="217"/>
      <c r="R6039" s="217"/>
      <c r="S6039" s="218"/>
    </row>
    <row r="6040" spans="13:19" ht="15" customHeight="1" x14ac:dyDescent="0.25">
      <c r="M6040"/>
      <c r="N6040"/>
      <c r="O6040"/>
      <c r="P6040" s="216"/>
      <c r="Q6040" s="217"/>
      <c r="R6040" s="217"/>
      <c r="S6040" s="218"/>
    </row>
    <row r="6041" spans="13:19" ht="15" customHeight="1" x14ac:dyDescent="0.25">
      <c r="M6041"/>
      <c r="N6041"/>
      <c r="O6041"/>
      <c r="P6041" s="216"/>
      <c r="Q6041" s="217"/>
      <c r="R6041" s="217"/>
      <c r="S6041" s="218"/>
    </row>
    <row r="6042" spans="13:19" ht="15" customHeight="1" x14ac:dyDescent="0.25">
      <c r="M6042"/>
      <c r="N6042"/>
      <c r="O6042"/>
      <c r="P6042" s="216"/>
      <c r="Q6042" s="217"/>
      <c r="R6042" s="217"/>
      <c r="S6042" s="218"/>
    </row>
    <row r="6043" spans="13:19" ht="15" customHeight="1" x14ac:dyDescent="0.25">
      <c r="M6043"/>
      <c r="N6043"/>
      <c r="O6043"/>
      <c r="P6043" s="216"/>
      <c r="Q6043" s="217"/>
      <c r="R6043" s="217"/>
      <c r="S6043" s="218"/>
    </row>
    <row r="6044" spans="13:19" ht="15" customHeight="1" x14ac:dyDescent="0.25">
      <c r="M6044"/>
      <c r="N6044"/>
      <c r="O6044"/>
      <c r="P6044" s="216"/>
      <c r="Q6044" s="217"/>
      <c r="R6044" s="217"/>
      <c r="S6044" s="218"/>
    </row>
    <row r="6045" spans="13:19" ht="15" customHeight="1" x14ac:dyDescent="0.25">
      <c r="M6045"/>
      <c r="N6045"/>
      <c r="O6045"/>
      <c r="P6045" s="216"/>
      <c r="Q6045" s="217"/>
      <c r="R6045" s="217"/>
      <c r="S6045" s="218"/>
    </row>
    <row r="6046" spans="13:19" ht="15" customHeight="1" x14ac:dyDescent="0.25">
      <c r="M6046"/>
      <c r="N6046"/>
      <c r="O6046"/>
      <c r="P6046" s="216"/>
      <c r="Q6046" s="217"/>
      <c r="R6046" s="217"/>
      <c r="S6046" s="218"/>
    </row>
    <row r="6047" spans="13:19" ht="15" customHeight="1" x14ac:dyDescent="0.25">
      <c r="M6047"/>
      <c r="N6047"/>
      <c r="O6047"/>
      <c r="P6047" s="216"/>
      <c r="Q6047" s="217"/>
      <c r="R6047" s="217"/>
      <c r="S6047" s="218"/>
    </row>
    <row r="6048" spans="13:19" ht="15" customHeight="1" x14ac:dyDescent="0.25">
      <c r="M6048"/>
      <c r="N6048"/>
      <c r="O6048"/>
      <c r="P6048" s="216"/>
      <c r="Q6048" s="217"/>
      <c r="R6048" s="217"/>
      <c r="S6048" s="218"/>
    </row>
    <row r="6049" spans="13:19" ht="15" customHeight="1" x14ac:dyDescent="0.25">
      <c r="M6049"/>
      <c r="N6049"/>
      <c r="O6049"/>
      <c r="P6049" s="216"/>
      <c r="Q6049" s="217"/>
      <c r="R6049" s="217"/>
      <c r="S6049" s="218"/>
    </row>
    <row r="6050" spans="13:19" ht="15" customHeight="1" x14ac:dyDescent="0.25">
      <c r="M6050"/>
      <c r="N6050"/>
      <c r="O6050"/>
      <c r="P6050" s="216"/>
      <c r="Q6050" s="217"/>
      <c r="R6050" s="217"/>
      <c r="S6050" s="218"/>
    </row>
    <row r="6051" spans="13:19" ht="15" customHeight="1" x14ac:dyDescent="0.25">
      <c r="M6051"/>
      <c r="N6051"/>
      <c r="O6051"/>
      <c r="P6051" s="216"/>
      <c r="Q6051" s="217"/>
      <c r="R6051" s="217"/>
      <c r="S6051" s="218"/>
    </row>
    <row r="6052" spans="13:19" ht="15" customHeight="1" x14ac:dyDescent="0.25">
      <c r="M6052"/>
      <c r="N6052"/>
      <c r="O6052"/>
      <c r="P6052" s="216"/>
      <c r="Q6052" s="217"/>
      <c r="R6052" s="217"/>
      <c r="S6052" s="218"/>
    </row>
    <row r="6053" spans="13:19" ht="15" customHeight="1" x14ac:dyDescent="0.25">
      <c r="M6053"/>
      <c r="N6053"/>
      <c r="O6053"/>
      <c r="P6053" s="216"/>
      <c r="Q6053" s="217"/>
      <c r="R6053" s="217"/>
      <c r="S6053" s="218"/>
    </row>
    <row r="6054" spans="13:19" ht="15" customHeight="1" x14ac:dyDescent="0.25">
      <c r="M6054"/>
      <c r="N6054"/>
      <c r="O6054"/>
      <c r="P6054" s="216"/>
      <c r="Q6054" s="217"/>
      <c r="R6054" s="217"/>
      <c r="S6054" s="218"/>
    </row>
    <row r="6055" spans="13:19" ht="15" customHeight="1" x14ac:dyDescent="0.25">
      <c r="M6055"/>
      <c r="N6055"/>
      <c r="O6055"/>
      <c r="P6055" s="216"/>
      <c r="Q6055" s="217"/>
      <c r="R6055" s="217"/>
      <c r="S6055" s="218"/>
    </row>
    <row r="6056" spans="13:19" ht="15" customHeight="1" x14ac:dyDescent="0.25">
      <c r="M6056"/>
      <c r="N6056"/>
      <c r="O6056"/>
      <c r="P6056" s="216"/>
      <c r="Q6056" s="217"/>
      <c r="R6056" s="217"/>
      <c r="S6056" s="218"/>
    </row>
    <row r="6057" spans="13:19" ht="15" customHeight="1" x14ac:dyDescent="0.25">
      <c r="M6057"/>
      <c r="N6057"/>
      <c r="O6057"/>
      <c r="P6057" s="216"/>
      <c r="Q6057" s="217"/>
      <c r="R6057" s="217"/>
      <c r="S6057" s="218"/>
    </row>
    <row r="6058" spans="13:19" ht="15" customHeight="1" x14ac:dyDescent="0.25">
      <c r="M6058"/>
      <c r="N6058"/>
      <c r="O6058"/>
      <c r="P6058" s="216"/>
      <c r="Q6058" s="217"/>
      <c r="R6058" s="217"/>
      <c r="S6058" s="218"/>
    </row>
    <row r="6059" spans="13:19" ht="15" customHeight="1" x14ac:dyDescent="0.25">
      <c r="M6059"/>
      <c r="N6059"/>
      <c r="O6059"/>
      <c r="P6059" s="216"/>
      <c r="Q6059" s="217"/>
      <c r="R6059" s="217"/>
      <c r="S6059" s="218"/>
    </row>
    <row r="6060" spans="13:19" ht="15" customHeight="1" x14ac:dyDescent="0.25">
      <c r="M6060"/>
      <c r="N6060"/>
      <c r="O6060"/>
      <c r="P6060" s="216"/>
      <c r="Q6060" s="217"/>
      <c r="R6060" s="217"/>
      <c r="S6060" s="218"/>
    </row>
    <row r="6061" spans="13:19" ht="15" customHeight="1" x14ac:dyDescent="0.25">
      <c r="M6061"/>
      <c r="N6061"/>
      <c r="O6061"/>
      <c r="P6061" s="216"/>
      <c r="Q6061" s="217"/>
      <c r="R6061" s="217"/>
      <c r="S6061" s="218"/>
    </row>
    <row r="6062" spans="13:19" ht="15" customHeight="1" x14ac:dyDescent="0.25">
      <c r="M6062"/>
      <c r="N6062"/>
      <c r="O6062"/>
      <c r="P6062" s="216"/>
      <c r="Q6062" s="217"/>
      <c r="R6062" s="217"/>
      <c r="S6062" s="218"/>
    </row>
    <row r="6063" spans="13:19" ht="15" customHeight="1" x14ac:dyDescent="0.25">
      <c r="M6063"/>
      <c r="N6063"/>
      <c r="O6063"/>
      <c r="P6063" s="216"/>
      <c r="Q6063" s="217"/>
      <c r="R6063" s="217"/>
      <c r="S6063" s="218"/>
    </row>
    <row r="6064" spans="13:19" ht="15" customHeight="1" x14ac:dyDescent="0.25">
      <c r="M6064"/>
      <c r="N6064"/>
      <c r="O6064"/>
      <c r="P6064" s="216"/>
      <c r="Q6064" s="217"/>
      <c r="R6064" s="217"/>
      <c r="S6064" s="218"/>
    </row>
    <row r="6065" spans="13:19" ht="15" customHeight="1" x14ac:dyDescent="0.25">
      <c r="M6065"/>
      <c r="N6065"/>
      <c r="O6065"/>
      <c r="P6065" s="216"/>
      <c r="Q6065" s="217"/>
      <c r="R6065" s="217"/>
      <c r="S6065" s="218"/>
    </row>
    <row r="6066" spans="13:19" ht="15" customHeight="1" x14ac:dyDescent="0.25">
      <c r="M6066"/>
      <c r="N6066"/>
      <c r="O6066"/>
      <c r="P6066" s="216"/>
      <c r="Q6066" s="217"/>
      <c r="R6066" s="217"/>
      <c r="S6066" s="218"/>
    </row>
    <row r="6067" spans="13:19" ht="15" customHeight="1" x14ac:dyDescent="0.25">
      <c r="M6067"/>
      <c r="N6067"/>
      <c r="O6067"/>
      <c r="P6067" s="216"/>
      <c r="Q6067" s="217"/>
      <c r="R6067" s="217"/>
      <c r="S6067" s="218"/>
    </row>
    <row r="6068" spans="13:19" ht="15" customHeight="1" x14ac:dyDescent="0.25">
      <c r="M6068"/>
      <c r="N6068"/>
      <c r="O6068"/>
      <c r="P6068" s="216"/>
      <c r="Q6068" s="217"/>
      <c r="R6068" s="217"/>
      <c r="S6068" s="218"/>
    </row>
    <row r="6069" spans="13:19" ht="15" customHeight="1" x14ac:dyDescent="0.25">
      <c r="M6069"/>
      <c r="N6069"/>
      <c r="O6069"/>
      <c r="P6069" s="216"/>
      <c r="Q6069" s="217"/>
      <c r="R6069" s="217"/>
      <c r="S6069" s="218"/>
    </row>
    <row r="6070" spans="13:19" ht="15" customHeight="1" x14ac:dyDescent="0.25">
      <c r="M6070"/>
      <c r="N6070"/>
      <c r="O6070"/>
      <c r="P6070" s="216"/>
      <c r="Q6070" s="217"/>
      <c r="R6070" s="217"/>
      <c r="S6070" s="218"/>
    </row>
    <row r="6071" spans="13:19" ht="15" customHeight="1" x14ac:dyDescent="0.25">
      <c r="M6071"/>
      <c r="N6071"/>
      <c r="O6071"/>
      <c r="P6071" s="216"/>
      <c r="Q6071" s="217"/>
      <c r="R6071" s="217"/>
      <c r="S6071" s="218"/>
    </row>
    <row r="6072" spans="13:19" ht="15" customHeight="1" x14ac:dyDescent="0.25">
      <c r="M6072"/>
      <c r="N6072"/>
      <c r="O6072"/>
      <c r="P6072" s="216"/>
      <c r="Q6072" s="217"/>
      <c r="R6072" s="217"/>
      <c r="S6072" s="218"/>
    </row>
    <row r="6073" spans="13:19" ht="15" customHeight="1" x14ac:dyDescent="0.25">
      <c r="M6073"/>
      <c r="N6073"/>
      <c r="O6073"/>
      <c r="P6073" s="216"/>
      <c r="Q6073" s="217"/>
      <c r="R6073" s="217"/>
      <c r="S6073" s="218"/>
    </row>
    <row r="6074" spans="13:19" ht="15" customHeight="1" x14ac:dyDescent="0.25">
      <c r="M6074"/>
      <c r="N6074"/>
      <c r="O6074"/>
      <c r="P6074" s="216"/>
      <c r="Q6074" s="217"/>
      <c r="R6074" s="217"/>
      <c r="S6074" s="218"/>
    </row>
    <row r="6075" spans="13:19" ht="15" customHeight="1" x14ac:dyDescent="0.25">
      <c r="M6075"/>
      <c r="N6075"/>
      <c r="O6075"/>
      <c r="P6075" s="216"/>
      <c r="Q6075" s="217"/>
      <c r="R6075" s="217"/>
      <c r="S6075" s="218"/>
    </row>
    <row r="6076" spans="13:19" ht="15" customHeight="1" x14ac:dyDescent="0.25">
      <c r="M6076"/>
      <c r="N6076"/>
      <c r="O6076"/>
      <c r="P6076" s="216"/>
      <c r="Q6076" s="217"/>
      <c r="R6076" s="217"/>
      <c r="S6076" s="218"/>
    </row>
    <row r="6077" spans="13:19" ht="15" customHeight="1" x14ac:dyDescent="0.25">
      <c r="M6077"/>
      <c r="N6077"/>
      <c r="O6077"/>
      <c r="P6077" s="216"/>
      <c r="Q6077" s="217"/>
      <c r="R6077" s="217"/>
      <c r="S6077" s="218"/>
    </row>
    <row r="6078" spans="13:19" ht="15" customHeight="1" x14ac:dyDescent="0.25">
      <c r="M6078"/>
      <c r="N6078"/>
      <c r="O6078"/>
      <c r="P6078" s="216"/>
      <c r="Q6078" s="217"/>
      <c r="R6078" s="217"/>
      <c r="S6078" s="218"/>
    </row>
    <row r="6079" spans="13:19" ht="15" customHeight="1" x14ac:dyDescent="0.25">
      <c r="M6079"/>
      <c r="N6079"/>
      <c r="O6079"/>
      <c r="P6079" s="216"/>
      <c r="Q6079" s="217"/>
      <c r="R6079" s="217"/>
      <c r="S6079" s="218"/>
    </row>
    <row r="6080" spans="13:19" ht="15" customHeight="1" x14ac:dyDescent="0.25">
      <c r="M6080"/>
      <c r="N6080"/>
      <c r="O6080"/>
      <c r="P6080" s="216"/>
      <c r="Q6080" s="217"/>
      <c r="R6080" s="217"/>
      <c r="S6080" s="218"/>
    </row>
    <row r="6081" spans="13:19" ht="15" customHeight="1" x14ac:dyDescent="0.25">
      <c r="M6081"/>
      <c r="N6081"/>
      <c r="O6081"/>
      <c r="P6081" s="216"/>
      <c r="Q6081" s="217"/>
      <c r="R6081" s="217"/>
      <c r="S6081" s="218"/>
    </row>
    <row r="6082" spans="13:19" ht="15" customHeight="1" x14ac:dyDescent="0.25">
      <c r="M6082"/>
      <c r="N6082"/>
      <c r="O6082"/>
      <c r="P6082" s="216"/>
      <c r="Q6082" s="217"/>
      <c r="R6082" s="217"/>
      <c r="S6082" s="218"/>
    </row>
    <row r="6083" spans="13:19" ht="15" customHeight="1" x14ac:dyDescent="0.25">
      <c r="M6083"/>
      <c r="N6083"/>
      <c r="O6083"/>
      <c r="P6083" s="216"/>
      <c r="Q6083" s="217"/>
      <c r="R6083" s="217"/>
      <c r="S6083" s="218"/>
    </row>
    <row r="6084" spans="13:19" ht="15" customHeight="1" x14ac:dyDescent="0.25">
      <c r="M6084"/>
      <c r="N6084"/>
      <c r="O6084"/>
      <c r="P6084" s="216"/>
      <c r="Q6084" s="217"/>
      <c r="R6084" s="217"/>
      <c r="S6084" s="218"/>
    </row>
    <row r="6085" spans="13:19" ht="15" customHeight="1" x14ac:dyDescent="0.25">
      <c r="M6085"/>
      <c r="N6085"/>
      <c r="O6085"/>
      <c r="P6085" s="216"/>
      <c r="Q6085" s="217"/>
      <c r="R6085" s="217"/>
      <c r="S6085" s="218"/>
    </row>
    <row r="6086" spans="13:19" ht="15" customHeight="1" x14ac:dyDescent="0.25">
      <c r="M6086"/>
      <c r="N6086"/>
      <c r="O6086"/>
      <c r="P6086" s="216"/>
      <c r="Q6086" s="217"/>
      <c r="R6086" s="217"/>
      <c r="S6086" s="218"/>
    </row>
    <row r="6087" spans="13:19" ht="15" customHeight="1" x14ac:dyDescent="0.25">
      <c r="M6087"/>
      <c r="N6087"/>
      <c r="O6087"/>
      <c r="P6087" s="216"/>
      <c r="Q6087" s="217"/>
      <c r="R6087" s="217"/>
      <c r="S6087" s="218"/>
    </row>
    <row r="6088" spans="13:19" ht="15" customHeight="1" x14ac:dyDescent="0.25">
      <c r="M6088"/>
      <c r="N6088"/>
      <c r="O6088"/>
      <c r="P6088" s="216"/>
      <c r="Q6088" s="217"/>
      <c r="R6088" s="217"/>
      <c r="S6088" s="218"/>
    </row>
    <row r="6089" spans="13:19" ht="15" customHeight="1" x14ac:dyDescent="0.25">
      <c r="M6089"/>
      <c r="N6089"/>
      <c r="O6089"/>
      <c r="P6089" s="216"/>
      <c r="Q6089" s="217"/>
      <c r="R6089" s="217"/>
      <c r="S6089" s="218"/>
    </row>
    <row r="6090" spans="13:19" ht="15" customHeight="1" x14ac:dyDescent="0.25">
      <c r="M6090"/>
      <c r="N6090"/>
      <c r="O6090"/>
      <c r="P6090" s="216"/>
      <c r="Q6090" s="217"/>
      <c r="R6090" s="217"/>
      <c r="S6090" s="218"/>
    </row>
    <row r="6091" spans="13:19" ht="15" customHeight="1" x14ac:dyDescent="0.25">
      <c r="M6091"/>
      <c r="N6091"/>
      <c r="O6091"/>
      <c r="P6091" s="216"/>
      <c r="Q6091" s="217"/>
      <c r="R6091" s="217"/>
      <c r="S6091" s="218"/>
    </row>
    <row r="6092" spans="13:19" ht="15" customHeight="1" x14ac:dyDescent="0.25">
      <c r="M6092"/>
      <c r="N6092"/>
      <c r="O6092"/>
      <c r="P6092" s="216"/>
      <c r="Q6092" s="217"/>
      <c r="R6092" s="217"/>
      <c r="S6092" s="218"/>
    </row>
    <row r="6093" spans="13:19" ht="15" customHeight="1" x14ac:dyDescent="0.25">
      <c r="M6093"/>
      <c r="N6093"/>
      <c r="O6093"/>
      <c r="P6093" s="216"/>
      <c r="Q6093" s="217"/>
      <c r="R6093" s="217"/>
      <c r="S6093" s="218"/>
    </row>
    <row r="6094" spans="13:19" ht="15" customHeight="1" x14ac:dyDescent="0.25">
      <c r="M6094"/>
      <c r="N6094"/>
      <c r="O6094"/>
      <c r="P6094" s="216"/>
      <c r="Q6094" s="217"/>
      <c r="R6094" s="217"/>
      <c r="S6094" s="218"/>
    </row>
    <row r="6095" spans="13:19" ht="15" customHeight="1" x14ac:dyDescent="0.25">
      <c r="M6095"/>
      <c r="N6095"/>
      <c r="O6095"/>
      <c r="P6095" s="216"/>
      <c r="Q6095" s="217"/>
      <c r="R6095" s="217"/>
      <c r="S6095" s="218"/>
    </row>
    <row r="6096" spans="13:19" ht="15" customHeight="1" x14ac:dyDescent="0.25">
      <c r="M6096"/>
      <c r="N6096"/>
      <c r="O6096"/>
      <c r="P6096" s="216"/>
      <c r="Q6096" s="217"/>
      <c r="R6096" s="217"/>
      <c r="S6096" s="218"/>
    </row>
    <row r="6097" spans="13:19" ht="15" customHeight="1" x14ac:dyDescent="0.25">
      <c r="M6097"/>
      <c r="N6097"/>
      <c r="O6097"/>
      <c r="P6097" s="216"/>
      <c r="Q6097" s="217"/>
      <c r="R6097" s="217"/>
      <c r="S6097" s="218"/>
    </row>
    <row r="6098" spans="13:19" ht="15" customHeight="1" x14ac:dyDescent="0.25">
      <c r="M6098"/>
      <c r="N6098"/>
      <c r="O6098"/>
      <c r="P6098" s="216"/>
      <c r="Q6098" s="217"/>
      <c r="R6098" s="217"/>
      <c r="S6098" s="218"/>
    </row>
    <row r="6099" spans="13:19" ht="15" customHeight="1" x14ac:dyDescent="0.25">
      <c r="M6099"/>
      <c r="N6099"/>
      <c r="O6099"/>
      <c r="P6099" s="216"/>
      <c r="Q6099" s="217"/>
      <c r="R6099" s="217"/>
      <c r="S6099" s="218"/>
    </row>
    <row r="6100" spans="13:19" ht="15" customHeight="1" x14ac:dyDescent="0.25">
      <c r="M6100"/>
      <c r="N6100"/>
      <c r="O6100"/>
      <c r="P6100" s="216"/>
      <c r="Q6100" s="217"/>
      <c r="R6100" s="217"/>
      <c r="S6100" s="218"/>
    </row>
    <row r="6101" spans="13:19" ht="15" customHeight="1" x14ac:dyDescent="0.25">
      <c r="M6101"/>
      <c r="N6101"/>
      <c r="O6101"/>
      <c r="P6101" s="216"/>
      <c r="Q6101" s="217"/>
      <c r="R6101" s="217"/>
      <c r="S6101" s="218"/>
    </row>
    <row r="6102" spans="13:19" ht="15" customHeight="1" x14ac:dyDescent="0.25">
      <c r="M6102"/>
      <c r="N6102"/>
      <c r="O6102"/>
      <c r="P6102" s="216"/>
      <c r="Q6102" s="217"/>
      <c r="R6102" s="217"/>
      <c r="S6102" s="218"/>
    </row>
    <row r="6103" spans="13:19" ht="15" customHeight="1" x14ac:dyDescent="0.25">
      <c r="M6103"/>
      <c r="N6103"/>
      <c r="O6103"/>
      <c r="P6103" s="216"/>
      <c r="Q6103" s="217"/>
      <c r="R6103" s="217"/>
      <c r="S6103" s="218"/>
    </row>
    <row r="6104" spans="13:19" ht="15" customHeight="1" x14ac:dyDescent="0.25">
      <c r="M6104"/>
      <c r="N6104"/>
      <c r="O6104"/>
      <c r="P6104" s="216"/>
      <c r="Q6104" s="217"/>
      <c r="R6104" s="217"/>
      <c r="S6104" s="218"/>
    </row>
    <row r="6105" spans="13:19" ht="15" customHeight="1" x14ac:dyDescent="0.25">
      <c r="M6105"/>
      <c r="N6105"/>
      <c r="O6105"/>
      <c r="P6105" s="216"/>
      <c r="Q6105" s="217"/>
      <c r="R6105" s="217"/>
      <c r="S6105" s="218"/>
    </row>
    <row r="6106" spans="13:19" ht="15" customHeight="1" x14ac:dyDescent="0.25">
      <c r="M6106"/>
      <c r="N6106"/>
      <c r="O6106"/>
      <c r="P6106" s="216"/>
      <c r="Q6106" s="217"/>
      <c r="R6106" s="217"/>
      <c r="S6106" s="218"/>
    </row>
    <row r="6107" spans="13:19" ht="15" customHeight="1" x14ac:dyDescent="0.25">
      <c r="M6107"/>
      <c r="N6107"/>
      <c r="O6107"/>
      <c r="P6107" s="216"/>
      <c r="Q6107" s="217"/>
      <c r="R6107" s="217"/>
      <c r="S6107" s="218"/>
    </row>
    <row r="6108" spans="13:19" ht="15" customHeight="1" x14ac:dyDescent="0.25">
      <c r="M6108"/>
      <c r="N6108"/>
      <c r="O6108"/>
      <c r="P6108" s="216"/>
      <c r="Q6108" s="217"/>
      <c r="R6108" s="217"/>
      <c r="S6108" s="218"/>
    </row>
    <row r="6109" spans="13:19" ht="15" customHeight="1" x14ac:dyDescent="0.25">
      <c r="M6109"/>
      <c r="N6109"/>
      <c r="O6109"/>
      <c r="P6109" s="216"/>
      <c r="Q6109" s="217"/>
      <c r="R6109" s="217"/>
      <c r="S6109" s="218"/>
    </row>
    <row r="6110" spans="13:19" ht="15" customHeight="1" x14ac:dyDescent="0.25">
      <c r="M6110"/>
      <c r="N6110"/>
      <c r="O6110"/>
      <c r="P6110" s="216"/>
      <c r="Q6110" s="217"/>
      <c r="R6110" s="217"/>
      <c r="S6110" s="218"/>
    </row>
    <row r="6111" spans="13:19" ht="15" customHeight="1" x14ac:dyDescent="0.25">
      <c r="M6111"/>
      <c r="N6111"/>
      <c r="O6111"/>
      <c r="P6111" s="216"/>
      <c r="Q6111" s="217"/>
      <c r="R6111" s="217"/>
      <c r="S6111" s="218"/>
    </row>
    <row r="6112" spans="13:19" ht="15" customHeight="1" x14ac:dyDescent="0.25">
      <c r="M6112"/>
      <c r="N6112"/>
      <c r="O6112"/>
      <c r="P6112" s="216"/>
      <c r="Q6112" s="217"/>
      <c r="R6112" s="217"/>
      <c r="S6112" s="218"/>
    </row>
    <row r="6113" spans="13:19" ht="15" customHeight="1" x14ac:dyDescent="0.25">
      <c r="M6113"/>
      <c r="N6113"/>
      <c r="O6113"/>
      <c r="P6113" s="216"/>
      <c r="Q6113" s="217"/>
      <c r="R6113" s="217"/>
      <c r="S6113" s="218"/>
    </row>
    <row r="6114" spans="13:19" ht="15" customHeight="1" x14ac:dyDescent="0.25">
      <c r="M6114"/>
      <c r="N6114"/>
      <c r="O6114"/>
      <c r="P6114" s="216"/>
      <c r="Q6114" s="217"/>
      <c r="R6114" s="217"/>
      <c r="S6114" s="218"/>
    </row>
    <row r="6115" spans="13:19" ht="15" customHeight="1" x14ac:dyDescent="0.25">
      <c r="M6115"/>
      <c r="N6115"/>
      <c r="O6115"/>
      <c r="P6115" s="216"/>
      <c r="Q6115" s="217"/>
      <c r="R6115" s="217"/>
      <c r="S6115" s="218"/>
    </row>
    <row r="6116" spans="13:19" ht="15" customHeight="1" x14ac:dyDescent="0.25">
      <c r="M6116"/>
      <c r="N6116"/>
      <c r="O6116"/>
      <c r="P6116" s="216"/>
      <c r="Q6116" s="217"/>
      <c r="R6116" s="217"/>
      <c r="S6116" s="218"/>
    </row>
    <row r="6117" spans="13:19" ht="15" customHeight="1" x14ac:dyDescent="0.25">
      <c r="M6117"/>
      <c r="N6117"/>
      <c r="O6117"/>
      <c r="P6117" s="216"/>
      <c r="Q6117" s="217"/>
      <c r="R6117" s="217"/>
      <c r="S6117" s="218"/>
    </row>
    <row r="6118" spans="13:19" ht="15" customHeight="1" x14ac:dyDescent="0.25">
      <c r="M6118"/>
      <c r="N6118"/>
      <c r="O6118"/>
      <c r="P6118" s="216"/>
      <c r="Q6118" s="217"/>
      <c r="R6118" s="217"/>
      <c r="S6118" s="218"/>
    </row>
    <row r="6119" spans="13:19" ht="15" customHeight="1" x14ac:dyDescent="0.25">
      <c r="M6119"/>
      <c r="N6119"/>
      <c r="O6119"/>
      <c r="P6119" s="216"/>
      <c r="Q6119" s="217"/>
      <c r="R6119" s="217"/>
      <c r="S6119" s="218"/>
    </row>
    <row r="6120" spans="13:19" ht="15" customHeight="1" x14ac:dyDescent="0.25">
      <c r="M6120"/>
      <c r="N6120"/>
      <c r="O6120"/>
      <c r="P6120" s="216"/>
      <c r="Q6120" s="217"/>
      <c r="R6120" s="217"/>
      <c r="S6120" s="218"/>
    </row>
    <row r="6121" spans="13:19" ht="15" customHeight="1" x14ac:dyDescent="0.25">
      <c r="M6121"/>
      <c r="N6121"/>
      <c r="O6121"/>
      <c r="P6121" s="216"/>
      <c r="Q6121" s="217"/>
      <c r="R6121" s="217"/>
      <c r="S6121" s="218"/>
    </row>
    <row r="6122" spans="13:19" ht="15" customHeight="1" x14ac:dyDescent="0.25">
      <c r="M6122"/>
      <c r="N6122"/>
      <c r="O6122"/>
      <c r="P6122" s="216"/>
      <c r="Q6122" s="217"/>
      <c r="R6122" s="217"/>
      <c r="S6122" s="218"/>
    </row>
    <row r="6123" spans="13:19" ht="15" customHeight="1" x14ac:dyDescent="0.25">
      <c r="M6123"/>
      <c r="N6123"/>
      <c r="O6123"/>
      <c r="P6123" s="216"/>
      <c r="Q6123" s="217"/>
      <c r="R6123" s="217"/>
      <c r="S6123" s="218"/>
    </row>
    <row r="6124" spans="13:19" ht="15" customHeight="1" x14ac:dyDescent="0.25">
      <c r="M6124"/>
      <c r="N6124"/>
      <c r="O6124"/>
      <c r="P6124" s="216"/>
      <c r="Q6124" s="217"/>
      <c r="R6124" s="217"/>
      <c r="S6124" s="218"/>
    </row>
    <row r="6125" spans="13:19" ht="15" customHeight="1" x14ac:dyDescent="0.25">
      <c r="M6125"/>
      <c r="N6125"/>
      <c r="O6125"/>
      <c r="P6125" s="216"/>
      <c r="Q6125" s="217"/>
      <c r="R6125" s="217"/>
      <c r="S6125" s="218"/>
    </row>
    <row r="6126" spans="13:19" ht="15" customHeight="1" x14ac:dyDescent="0.25">
      <c r="M6126"/>
      <c r="N6126"/>
      <c r="O6126"/>
      <c r="P6126" s="216"/>
      <c r="Q6126" s="217"/>
      <c r="R6126" s="217"/>
      <c r="S6126" s="218"/>
    </row>
    <row r="6127" spans="13:19" ht="15" customHeight="1" x14ac:dyDescent="0.25">
      <c r="M6127"/>
      <c r="N6127"/>
      <c r="O6127"/>
      <c r="P6127" s="216"/>
      <c r="Q6127" s="217"/>
      <c r="R6127" s="217"/>
      <c r="S6127" s="218"/>
    </row>
    <row r="6128" spans="13:19" ht="15" customHeight="1" x14ac:dyDescent="0.25">
      <c r="M6128"/>
      <c r="N6128"/>
      <c r="O6128"/>
      <c r="P6128" s="216"/>
      <c r="Q6128" s="217"/>
      <c r="R6128" s="217"/>
      <c r="S6128" s="218"/>
    </row>
    <row r="6129" spans="13:19" ht="15" customHeight="1" x14ac:dyDescent="0.25">
      <c r="M6129"/>
      <c r="N6129"/>
      <c r="O6129"/>
      <c r="P6129" s="216"/>
      <c r="Q6129" s="217"/>
      <c r="R6129" s="217"/>
      <c r="S6129" s="218"/>
    </row>
    <row r="6130" spans="13:19" ht="15" customHeight="1" x14ac:dyDescent="0.25">
      <c r="M6130"/>
      <c r="N6130"/>
      <c r="O6130"/>
      <c r="P6130" s="216"/>
      <c r="Q6130" s="217"/>
      <c r="R6130" s="217"/>
      <c r="S6130" s="218"/>
    </row>
    <row r="6131" spans="13:19" ht="15" customHeight="1" x14ac:dyDescent="0.25">
      <c r="M6131"/>
      <c r="N6131"/>
      <c r="O6131"/>
      <c r="P6131" s="216"/>
      <c r="Q6131" s="217"/>
      <c r="R6131" s="217"/>
      <c r="S6131" s="218"/>
    </row>
    <row r="6132" spans="13:19" ht="15" customHeight="1" x14ac:dyDescent="0.25">
      <c r="M6132"/>
      <c r="N6132"/>
      <c r="O6132"/>
      <c r="P6132" s="216"/>
      <c r="Q6132" s="217"/>
      <c r="R6132" s="217"/>
      <c r="S6132" s="218"/>
    </row>
    <row r="6133" spans="13:19" ht="15" customHeight="1" x14ac:dyDescent="0.25">
      <c r="M6133"/>
      <c r="N6133"/>
      <c r="O6133"/>
      <c r="P6133" s="216"/>
      <c r="Q6133" s="217"/>
      <c r="R6133" s="217"/>
      <c r="S6133" s="218"/>
    </row>
    <row r="6134" spans="13:19" ht="15" customHeight="1" x14ac:dyDescent="0.25">
      <c r="M6134"/>
      <c r="N6134"/>
      <c r="O6134"/>
      <c r="P6134" s="216"/>
      <c r="Q6134" s="217"/>
      <c r="R6134" s="217"/>
      <c r="S6134" s="218"/>
    </row>
    <row r="6135" spans="13:19" ht="15" customHeight="1" x14ac:dyDescent="0.25">
      <c r="M6135"/>
      <c r="N6135"/>
      <c r="O6135"/>
      <c r="P6135" s="216"/>
      <c r="Q6135" s="217"/>
      <c r="R6135" s="217"/>
      <c r="S6135" s="218"/>
    </row>
    <row r="6136" spans="13:19" ht="15" customHeight="1" x14ac:dyDescent="0.25">
      <c r="M6136"/>
      <c r="N6136"/>
      <c r="O6136"/>
      <c r="P6136" s="216"/>
      <c r="Q6136" s="217"/>
      <c r="R6136" s="217"/>
      <c r="S6136" s="218"/>
    </row>
    <row r="6137" spans="13:19" ht="15" customHeight="1" x14ac:dyDescent="0.25">
      <c r="M6137"/>
      <c r="N6137"/>
      <c r="O6137"/>
      <c r="P6137" s="216"/>
      <c r="Q6137" s="217"/>
      <c r="R6137" s="217"/>
      <c r="S6137" s="218"/>
    </row>
    <row r="6138" spans="13:19" ht="15" customHeight="1" x14ac:dyDescent="0.25">
      <c r="M6138"/>
      <c r="N6138"/>
      <c r="O6138"/>
      <c r="P6138" s="216"/>
      <c r="Q6138" s="217"/>
      <c r="R6138" s="217"/>
      <c r="S6138" s="218"/>
    </row>
    <row r="6139" spans="13:19" ht="15" customHeight="1" x14ac:dyDescent="0.25">
      <c r="M6139"/>
      <c r="N6139"/>
      <c r="O6139"/>
      <c r="P6139" s="216"/>
      <c r="Q6139" s="217"/>
      <c r="R6139" s="217"/>
      <c r="S6139" s="218"/>
    </row>
    <row r="6140" spans="13:19" ht="15" customHeight="1" x14ac:dyDescent="0.25">
      <c r="M6140"/>
      <c r="N6140"/>
      <c r="O6140"/>
      <c r="P6140" s="216"/>
      <c r="Q6140" s="217"/>
      <c r="R6140" s="217"/>
      <c r="S6140" s="218"/>
    </row>
    <row r="6141" spans="13:19" ht="15" customHeight="1" x14ac:dyDescent="0.25">
      <c r="M6141"/>
      <c r="N6141"/>
      <c r="O6141"/>
      <c r="P6141" s="216"/>
      <c r="Q6141" s="217"/>
      <c r="R6141" s="217"/>
      <c r="S6141" s="218"/>
    </row>
    <row r="6142" spans="13:19" ht="15" customHeight="1" x14ac:dyDescent="0.25">
      <c r="M6142"/>
      <c r="N6142"/>
      <c r="O6142"/>
      <c r="P6142" s="216"/>
      <c r="Q6142" s="217"/>
      <c r="R6142" s="217"/>
      <c r="S6142" s="218"/>
    </row>
    <row r="6143" spans="13:19" ht="15" customHeight="1" x14ac:dyDescent="0.25">
      <c r="M6143"/>
      <c r="N6143"/>
      <c r="O6143"/>
      <c r="P6143" s="216"/>
      <c r="Q6143" s="217"/>
      <c r="R6143" s="217"/>
      <c r="S6143" s="218"/>
    </row>
    <row r="6144" spans="13:19" ht="15" customHeight="1" x14ac:dyDescent="0.25">
      <c r="M6144"/>
      <c r="N6144"/>
      <c r="O6144"/>
      <c r="P6144" s="216"/>
      <c r="Q6144" s="217"/>
      <c r="R6144" s="217"/>
      <c r="S6144" s="218"/>
    </row>
    <row r="6145" spans="13:19" ht="15" customHeight="1" x14ac:dyDescent="0.25">
      <c r="M6145"/>
      <c r="N6145"/>
      <c r="O6145"/>
      <c r="P6145" s="216"/>
      <c r="Q6145" s="217"/>
      <c r="R6145" s="217"/>
      <c r="S6145" s="218"/>
    </row>
    <row r="6146" spans="13:19" ht="15" customHeight="1" x14ac:dyDescent="0.25">
      <c r="M6146"/>
      <c r="N6146"/>
      <c r="O6146"/>
      <c r="P6146" s="216"/>
      <c r="Q6146" s="217"/>
      <c r="R6146" s="217"/>
      <c r="S6146" s="218"/>
    </row>
    <row r="6147" spans="13:19" ht="15" customHeight="1" x14ac:dyDescent="0.25">
      <c r="M6147"/>
      <c r="N6147"/>
      <c r="O6147"/>
      <c r="P6147" s="216"/>
      <c r="Q6147" s="217"/>
      <c r="R6147" s="217"/>
      <c r="S6147" s="218"/>
    </row>
    <row r="6148" spans="13:19" ht="15" customHeight="1" x14ac:dyDescent="0.25">
      <c r="M6148"/>
      <c r="N6148"/>
      <c r="O6148"/>
      <c r="P6148" s="216"/>
      <c r="Q6148" s="217"/>
      <c r="R6148" s="217"/>
      <c r="S6148" s="218"/>
    </row>
    <row r="6149" spans="13:19" ht="15" customHeight="1" x14ac:dyDescent="0.25">
      <c r="M6149"/>
      <c r="N6149"/>
      <c r="O6149"/>
      <c r="P6149" s="216"/>
      <c r="Q6149" s="217"/>
      <c r="R6149" s="217"/>
      <c r="S6149" s="218"/>
    </row>
    <row r="6150" spans="13:19" ht="15" customHeight="1" x14ac:dyDescent="0.25">
      <c r="M6150"/>
      <c r="N6150"/>
      <c r="O6150"/>
      <c r="P6150" s="216"/>
      <c r="Q6150" s="217"/>
      <c r="R6150" s="217"/>
      <c r="S6150" s="218"/>
    </row>
    <row r="6151" spans="13:19" ht="15" customHeight="1" x14ac:dyDescent="0.25">
      <c r="M6151"/>
      <c r="N6151"/>
      <c r="O6151"/>
      <c r="P6151" s="216"/>
      <c r="Q6151" s="217"/>
      <c r="R6151" s="217"/>
      <c r="S6151" s="218"/>
    </row>
    <row r="6152" spans="13:19" ht="15" customHeight="1" x14ac:dyDescent="0.25">
      <c r="M6152"/>
      <c r="N6152"/>
      <c r="O6152"/>
      <c r="P6152" s="216"/>
      <c r="Q6152" s="217"/>
      <c r="R6152" s="217"/>
      <c r="S6152" s="218"/>
    </row>
    <row r="6153" spans="13:19" ht="15" customHeight="1" x14ac:dyDescent="0.25">
      <c r="M6153"/>
      <c r="N6153"/>
      <c r="O6153"/>
      <c r="P6153" s="216"/>
      <c r="Q6153" s="217"/>
      <c r="R6153" s="217"/>
      <c r="S6153" s="218"/>
    </row>
    <row r="6154" spans="13:19" ht="15" customHeight="1" x14ac:dyDescent="0.25">
      <c r="M6154"/>
      <c r="N6154"/>
      <c r="O6154"/>
      <c r="P6154" s="216"/>
      <c r="Q6154" s="217"/>
      <c r="R6154" s="217"/>
      <c r="S6154" s="218"/>
    </row>
    <row r="6155" spans="13:19" ht="15" customHeight="1" x14ac:dyDescent="0.25">
      <c r="M6155"/>
      <c r="N6155"/>
      <c r="O6155"/>
      <c r="P6155" s="216"/>
      <c r="Q6155" s="217"/>
      <c r="R6155" s="217"/>
      <c r="S6155" s="218"/>
    </row>
    <row r="6156" spans="13:19" ht="15" customHeight="1" x14ac:dyDescent="0.25">
      <c r="M6156"/>
      <c r="N6156"/>
      <c r="O6156"/>
      <c r="P6156" s="216"/>
      <c r="Q6156" s="217"/>
      <c r="R6156" s="217"/>
      <c r="S6156" s="218"/>
    </row>
    <row r="6157" spans="13:19" ht="15" customHeight="1" x14ac:dyDescent="0.25">
      <c r="M6157"/>
      <c r="N6157"/>
      <c r="O6157"/>
      <c r="P6157" s="216"/>
      <c r="Q6157" s="217"/>
      <c r="R6157" s="217"/>
      <c r="S6157" s="218"/>
    </row>
    <row r="6158" spans="13:19" ht="15" customHeight="1" x14ac:dyDescent="0.25">
      <c r="M6158"/>
      <c r="N6158"/>
      <c r="O6158"/>
      <c r="P6158" s="216"/>
      <c r="Q6158" s="217"/>
      <c r="R6158" s="217"/>
      <c r="S6158" s="218"/>
    </row>
    <row r="6159" spans="13:19" ht="15" customHeight="1" x14ac:dyDescent="0.25">
      <c r="M6159"/>
      <c r="N6159"/>
      <c r="O6159"/>
      <c r="P6159" s="216"/>
      <c r="Q6159" s="217"/>
      <c r="R6159" s="217"/>
      <c r="S6159" s="218"/>
    </row>
    <row r="6160" spans="13:19" ht="15" customHeight="1" x14ac:dyDescent="0.25">
      <c r="M6160"/>
      <c r="N6160"/>
      <c r="O6160"/>
      <c r="P6160" s="216"/>
      <c r="Q6160" s="217"/>
      <c r="R6160" s="217"/>
      <c r="S6160" s="218"/>
    </row>
    <row r="6161" spans="13:19" ht="15" customHeight="1" x14ac:dyDescent="0.25">
      <c r="M6161"/>
      <c r="N6161"/>
      <c r="O6161"/>
      <c r="P6161" s="216"/>
      <c r="Q6161" s="217"/>
      <c r="R6161" s="217"/>
      <c r="S6161" s="218"/>
    </row>
    <row r="6162" spans="13:19" ht="15" customHeight="1" x14ac:dyDescent="0.25">
      <c r="M6162"/>
      <c r="N6162"/>
      <c r="O6162"/>
      <c r="P6162" s="216"/>
      <c r="Q6162" s="217"/>
      <c r="R6162" s="217"/>
      <c r="S6162" s="218"/>
    </row>
    <row r="6163" spans="13:19" ht="15" customHeight="1" x14ac:dyDescent="0.25">
      <c r="M6163"/>
      <c r="N6163"/>
      <c r="O6163"/>
      <c r="P6163" s="216"/>
      <c r="Q6163" s="217"/>
      <c r="R6163" s="217"/>
      <c r="S6163" s="218"/>
    </row>
    <row r="6164" spans="13:19" ht="15" customHeight="1" x14ac:dyDescent="0.25">
      <c r="M6164"/>
      <c r="N6164"/>
      <c r="O6164"/>
      <c r="P6164" s="216"/>
      <c r="Q6164" s="217"/>
      <c r="R6164" s="217"/>
      <c r="S6164" s="218"/>
    </row>
    <row r="6165" spans="13:19" ht="15" customHeight="1" x14ac:dyDescent="0.25">
      <c r="M6165"/>
      <c r="N6165"/>
      <c r="O6165"/>
      <c r="P6165" s="216"/>
      <c r="Q6165" s="217"/>
      <c r="R6165" s="217"/>
      <c r="S6165" s="218"/>
    </row>
    <row r="6166" spans="13:19" ht="15" customHeight="1" x14ac:dyDescent="0.25">
      <c r="M6166"/>
      <c r="N6166"/>
      <c r="O6166"/>
      <c r="P6166" s="216"/>
      <c r="Q6166" s="217"/>
      <c r="R6166" s="217"/>
      <c r="S6166" s="218"/>
    </row>
    <row r="6167" spans="13:19" ht="15" customHeight="1" x14ac:dyDescent="0.25">
      <c r="M6167"/>
      <c r="N6167"/>
      <c r="O6167"/>
      <c r="P6167" s="216"/>
      <c r="Q6167" s="217"/>
      <c r="R6167" s="217"/>
      <c r="S6167" s="218"/>
    </row>
    <row r="6168" spans="13:19" ht="15" customHeight="1" x14ac:dyDescent="0.25">
      <c r="M6168"/>
      <c r="N6168"/>
      <c r="O6168"/>
      <c r="P6168" s="216"/>
      <c r="Q6168" s="217"/>
      <c r="R6168" s="217"/>
      <c r="S6168" s="218"/>
    </row>
    <row r="6169" spans="13:19" ht="15" customHeight="1" x14ac:dyDescent="0.25">
      <c r="M6169"/>
      <c r="N6169"/>
      <c r="O6169"/>
      <c r="P6169" s="216"/>
      <c r="Q6169" s="217"/>
      <c r="R6169" s="217"/>
      <c r="S6169" s="218"/>
    </row>
    <row r="6170" spans="13:19" ht="15" customHeight="1" x14ac:dyDescent="0.25">
      <c r="M6170"/>
      <c r="N6170"/>
      <c r="O6170"/>
      <c r="P6170" s="216"/>
      <c r="Q6170" s="217"/>
      <c r="R6170" s="217"/>
      <c r="S6170" s="218"/>
    </row>
    <row r="6171" spans="13:19" ht="15" customHeight="1" x14ac:dyDescent="0.25">
      <c r="M6171"/>
      <c r="N6171"/>
      <c r="O6171"/>
      <c r="P6171" s="216"/>
      <c r="Q6171" s="217"/>
      <c r="R6171" s="217"/>
      <c r="S6171" s="218"/>
    </row>
    <row r="6172" spans="13:19" ht="15" customHeight="1" x14ac:dyDescent="0.25">
      <c r="M6172"/>
      <c r="N6172"/>
      <c r="O6172"/>
      <c r="P6172" s="216"/>
      <c r="Q6172" s="217"/>
      <c r="R6172" s="217"/>
      <c r="S6172" s="218"/>
    </row>
    <row r="6173" spans="13:19" ht="15" customHeight="1" x14ac:dyDescent="0.25">
      <c r="M6173"/>
      <c r="N6173"/>
      <c r="O6173"/>
      <c r="P6173" s="216"/>
      <c r="Q6173" s="217"/>
      <c r="R6173" s="217"/>
      <c r="S6173" s="218"/>
    </row>
    <row r="6174" spans="13:19" ht="15" customHeight="1" x14ac:dyDescent="0.25">
      <c r="M6174"/>
      <c r="N6174"/>
      <c r="O6174"/>
      <c r="P6174" s="216"/>
      <c r="Q6174" s="217"/>
      <c r="R6174" s="217"/>
      <c r="S6174" s="218"/>
    </row>
    <row r="6175" spans="13:19" ht="15" customHeight="1" x14ac:dyDescent="0.25">
      <c r="M6175"/>
      <c r="N6175"/>
      <c r="O6175"/>
      <c r="P6175" s="216"/>
      <c r="Q6175" s="217"/>
      <c r="R6175" s="217"/>
      <c r="S6175" s="218"/>
    </row>
    <row r="6176" spans="13:19" ht="15" customHeight="1" x14ac:dyDescent="0.25">
      <c r="M6176"/>
      <c r="N6176"/>
      <c r="O6176"/>
      <c r="P6176" s="216"/>
      <c r="Q6176" s="217"/>
      <c r="R6176" s="217"/>
      <c r="S6176" s="218"/>
    </row>
    <row r="6177" spans="13:19" ht="15" customHeight="1" x14ac:dyDescent="0.25">
      <c r="M6177"/>
      <c r="N6177"/>
      <c r="O6177"/>
      <c r="P6177" s="216"/>
      <c r="Q6177" s="217"/>
      <c r="R6177" s="217"/>
      <c r="S6177" s="218"/>
    </row>
    <row r="6178" spans="13:19" ht="15" customHeight="1" x14ac:dyDescent="0.25">
      <c r="M6178"/>
      <c r="N6178"/>
      <c r="O6178"/>
      <c r="P6178" s="216"/>
      <c r="Q6178" s="217"/>
      <c r="R6178" s="217"/>
      <c r="S6178" s="218"/>
    </row>
    <row r="6179" spans="13:19" ht="15" customHeight="1" x14ac:dyDescent="0.25">
      <c r="M6179"/>
      <c r="N6179"/>
      <c r="O6179"/>
      <c r="P6179" s="216"/>
      <c r="Q6179" s="217"/>
      <c r="R6179" s="217"/>
      <c r="S6179" s="218"/>
    </row>
    <row r="6180" spans="13:19" ht="15" customHeight="1" x14ac:dyDescent="0.25">
      <c r="M6180"/>
      <c r="N6180"/>
      <c r="O6180"/>
      <c r="P6180" s="216"/>
      <c r="Q6180" s="217"/>
      <c r="R6180" s="217"/>
      <c r="S6180" s="218"/>
    </row>
    <row r="6181" spans="13:19" ht="15" customHeight="1" x14ac:dyDescent="0.25">
      <c r="M6181"/>
      <c r="N6181"/>
      <c r="O6181"/>
      <c r="P6181" s="216"/>
      <c r="Q6181" s="217"/>
      <c r="R6181" s="217"/>
      <c r="S6181" s="218"/>
    </row>
    <row r="6182" spans="13:19" ht="15" customHeight="1" x14ac:dyDescent="0.25">
      <c r="M6182"/>
      <c r="N6182"/>
      <c r="O6182"/>
      <c r="P6182" s="216"/>
      <c r="Q6182" s="217"/>
      <c r="R6182" s="217"/>
      <c r="S6182" s="218"/>
    </row>
    <row r="6183" spans="13:19" ht="15" customHeight="1" x14ac:dyDescent="0.25">
      <c r="M6183"/>
      <c r="N6183"/>
      <c r="O6183"/>
      <c r="P6183" s="216"/>
      <c r="Q6183" s="217"/>
      <c r="R6183" s="217"/>
      <c r="S6183" s="218"/>
    </row>
    <row r="6184" spans="13:19" ht="15" customHeight="1" x14ac:dyDescent="0.25">
      <c r="M6184"/>
      <c r="N6184"/>
      <c r="O6184"/>
      <c r="P6184" s="216"/>
      <c r="Q6184" s="217"/>
      <c r="R6184" s="217"/>
      <c r="S6184" s="218"/>
    </row>
    <row r="6185" spans="13:19" ht="15" customHeight="1" x14ac:dyDescent="0.25">
      <c r="M6185"/>
      <c r="N6185"/>
      <c r="O6185"/>
      <c r="P6185" s="216"/>
      <c r="Q6185" s="217"/>
      <c r="R6185" s="217"/>
      <c r="S6185" s="218"/>
    </row>
    <row r="6186" spans="13:19" ht="15" customHeight="1" x14ac:dyDescent="0.25">
      <c r="M6186"/>
      <c r="N6186"/>
      <c r="O6186"/>
      <c r="P6186" s="216"/>
      <c r="Q6186" s="217"/>
      <c r="R6186" s="217"/>
      <c r="S6186" s="218"/>
    </row>
    <row r="6187" spans="13:19" ht="15" customHeight="1" x14ac:dyDescent="0.25">
      <c r="M6187"/>
      <c r="N6187"/>
      <c r="O6187"/>
      <c r="P6187" s="216"/>
      <c r="Q6187" s="217"/>
      <c r="R6187" s="217"/>
      <c r="S6187" s="218"/>
    </row>
    <row r="6188" spans="13:19" ht="15" customHeight="1" x14ac:dyDescent="0.25">
      <c r="M6188"/>
      <c r="N6188"/>
      <c r="O6188"/>
      <c r="P6188" s="216"/>
      <c r="Q6188" s="217"/>
      <c r="R6188" s="217"/>
      <c r="S6188" s="218"/>
    </row>
    <row r="6189" spans="13:19" ht="15" customHeight="1" x14ac:dyDescent="0.25">
      <c r="M6189"/>
      <c r="N6189"/>
      <c r="O6189"/>
      <c r="P6189" s="216"/>
      <c r="Q6189" s="217"/>
      <c r="R6189" s="217"/>
      <c r="S6189" s="218"/>
    </row>
    <row r="6190" spans="13:19" ht="15" customHeight="1" x14ac:dyDescent="0.25">
      <c r="M6190"/>
      <c r="N6190"/>
      <c r="O6190"/>
      <c r="P6190" s="216"/>
      <c r="Q6190" s="217"/>
      <c r="R6190" s="217"/>
      <c r="S6190" s="218"/>
    </row>
    <row r="6191" spans="13:19" ht="15" customHeight="1" x14ac:dyDescent="0.25">
      <c r="M6191"/>
      <c r="N6191"/>
      <c r="O6191"/>
      <c r="P6191" s="216"/>
      <c r="Q6191" s="217"/>
      <c r="R6191" s="217"/>
      <c r="S6191" s="218"/>
    </row>
    <row r="6192" spans="13:19" ht="15" customHeight="1" x14ac:dyDescent="0.25">
      <c r="M6192"/>
      <c r="N6192"/>
      <c r="O6192"/>
      <c r="P6192" s="216"/>
      <c r="Q6192" s="217"/>
      <c r="R6192" s="217"/>
      <c r="S6192" s="218"/>
    </row>
    <row r="6193" spans="13:19" ht="15" customHeight="1" x14ac:dyDescent="0.25">
      <c r="M6193"/>
      <c r="N6193"/>
      <c r="O6193"/>
      <c r="P6193" s="216"/>
      <c r="Q6193" s="217"/>
      <c r="R6193" s="217"/>
      <c r="S6193" s="218"/>
    </row>
    <row r="6194" spans="13:19" ht="15" customHeight="1" x14ac:dyDescent="0.25">
      <c r="M6194"/>
      <c r="N6194"/>
      <c r="O6194"/>
      <c r="P6194" s="216"/>
      <c r="Q6194" s="217"/>
      <c r="R6194" s="217"/>
      <c r="S6194" s="218"/>
    </row>
    <row r="6195" spans="13:19" ht="15" customHeight="1" x14ac:dyDescent="0.25">
      <c r="M6195"/>
      <c r="N6195"/>
      <c r="O6195"/>
      <c r="P6195" s="216"/>
      <c r="Q6195" s="217"/>
      <c r="R6195" s="217"/>
      <c r="S6195" s="218"/>
    </row>
    <row r="6196" spans="13:19" ht="15" customHeight="1" x14ac:dyDescent="0.25">
      <c r="M6196"/>
      <c r="N6196"/>
      <c r="O6196"/>
      <c r="P6196" s="216"/>
      <c r="Q6196" s="217"/>
      <c r="R6196" s="217"/>
      <c r="S6196" s="218"/>
    </row>
    <row r="6197" spans="13:19" ht="15" customHeight="1" x14ac:dyDescent="0.25">
      <c r="M6197"/>
      <c r="N6197"/>
      <c r="O6197"/>
      <c r="P6197" s="216"/>
      <c r="Q6197" s="217"/>
      <c r="R6197" s="217"/>
      <c r="S6197" s="218"/>
    </row>
    <row r="6198" spans="13:19" ht="15" customHeight="1" x14ac:dyDescent="0.25">
      <c r="M6198"/>
      <c r="N6198"/>
      <c r="O6198"/>
      <c r="P6198" s="216"/>
      <c r="Q6198" s="217"/>
      <c r="R6198" s="217"/>
      <c r="S6198" s="218"/>
    </row>
    <row r="6199" spans="13:19" ht="15" customHeight="1" x14ac:dyDescent="0.25">
      <c r="M6199"/>
      <c r="N6199"/>
      <c r="O6199"/>
      <c r="P6199" s="216"/>
      <c r="Q6199" s="217"/>
      <c r="R6199" s="217"/>
      <c r="S6199" s="218"/>
    </row>
    <row r="6200" spans="13:19" ht="15" customHeight="1" x14ac:dyDescent="0.25">
      <c r="M6200"/>
      <c r="N6200"/>
      <c r="O6200"/>
      <c r="P6200" s="216"/>
      <c r="Q6200" s="217"/>
      <c r="R6200" s="217"/>
      <c r="S6200" s="218"/>
    </row>
    <row r="6201" spans="13:19" ht="15" customHeight="1" x14ac:dyDescent="0.25">
      <c r="M6201"/>
      <c r="N6201"/>
      <c r="O6201"/>
      <c r="P6201" s="216"/>
      <c r="Q6201" s="217"/>
      <c r="R6201" s="217"/>
      <c r="S6201" s="218"/>
    </row>
    <row r="6202" spans="13:19" ht="15" customHeight="1" x14ac:dyDescent="0.25">
      <c r="M6202"/>
      <c r="N6202"/>
      <c r="O6202"/>
      <c r="P6202" s="216"/>
      <c r="Q6202" s="217"/>
      <c r="R6202" s="217"/>
      <c r="S6202" s="218"/>
    </row>
    <row r="6203" spans="13:19" ht="15" customHeight="1" x14ac:dyDescent="0.25">
      <c r="M6203"/>
      <c r="N6203"/>
      <c r="O6203"/>
      <c r="P6203" s="216"/>
      <c r="Q6203" s="217"/>
      <c r="R6203" s="217"/>
      <c r="S6203" s="218"/>
    </row>
    <row r="6204" spans="13:19" ht="15" customHeight="1" x14ac:dyDescent="0.25">
      <c r="M6204"/>
      <c r="N6204"/>
      <c r="O6204"/>
      <c r="P6204" s="216"/>
      <c r="Q6204" s="217"/>
      <c r="R6204" s="217"/>
      <c r="S6204" s="218"/>
    </row>
    <row r="6205" spans="13:19" ht="15" customHeight="1" x14ac:dyDescent="0.25">
      <c r="M6205"/>
      <c r="N6205"/>
      <c r="O6205"/>
      <c r="P6205" s="216"/>
      <c r="Q6205" s="217"/>
      <c r="R6205" s="217"/>
      <c r="S6205" s="218"/>
    </row>
    <row r="6206" spans="13:19" ht="15" customHeight="1" x14ac:dyDescent="0.25">
      <c r="M6206"/>
      <c r="N6206"/>
      <c r="O6206"/>
      <c r="P6206" s="216"/>
      <c r="Q6206" s="217"/>
      <c r="R6206" s="217"/>
      <c r="S6206" s="218"/>
    </row>
    <row r="6207" spans="13:19" ht="15" customHeight="1" x14ac:dyDescent="0.25">
      <c r="M6207"/>
      <c r="N6207"/>
      <c r="O6207"/>
      <c r="P6207" s="216"/>
      <c r="Q6207" s="217"/>
      <c r="R6207" s="217"/>
      <c r="S6207" s="218"/>
    </row>
    <row r="6208" spans="13:19" ht="15" customHeight="1" x14ac:dyDescent="0.25">
      <c r="M6208"/>
      <c r="N6208"/>
      <c r="O6208"/>
      <c r="P6208" s="216"/>
      <c r="Q6208" s="217"/>
      <c r="R6208" s="217"/>
      <c r="S6208" s="218"/>
    </row>
    <row r="6209" spans="13:19" ht="15" customHeight="1" x14ac:dyDescent="0.25">
      <c r="M6209"/>
      <c r="N6209"/>
      <c r="O6209"/>
      <c r="P6209" s="216"/>
      <c r="Q6209" s="217"/>
      <c r="R6209" s="217"/>
      <c r="S6209" s="218"/>
    </row>
    <row r="6210" spans="13:19" ht="15" customHeight="1" x14ac:dyDescent="0.25">
      <c r="M6210"/>
      <c r="N6210"/>
      <c r="O6210"/>
      <c r="P6210" s="216"/>
      <c r="Q6210" s="217"/>
      <c r="R6210" s="217"/>
      <c r="S6210" s="218"/>
    </row>
    <row r="6211" spans="13:19" ht="15" customHeight="1" x14ac:dyDescent="0.25">
      <c r="M6211"/>
      <c r="N6211"/>
      <c r="O6211"/>
      <c r="P6211" s="216"/>
      <c r="Q6211" s="217"/>
      <c r="R6211" s="217"/>
      <c r="S6211" s="218"/>
    </row>
    <row r="6212" spans="13:19" ht="15" customHeight="1" x14ac:dyDescent="0.25">
      <c r="M6212"/>
      <c r="N6212"/>
      <c r="O6212"/>
      <c r="P6212" s="216"/>
      <c r="Q6212" s="217"/>
      <c r="R6212" s="217"/>
      <c r="S6212" s="218"/>
    </row>
    <row r="6213" spans="13:19" ht="15" customHeight="1" x14ac:dyDescent="0.25">
      <c r="M6213"/>
      <c r="N6213"/>
      <c r="O6213"/>
      <c r="P6213" s="216"/>
      <c r="Q6213" s="217"/>
      <c r="R6213" s="217"/>
      <c r="S6213" s="218"/>
    </row>
    <row r="6214" spans="13:19" ht="15" customHeight="1" x14ac:dyDescent="0.25">
      <c r="M6214"/>
      <c r="N6214"/>
      <c r="O6214"/>
      <c r="P6214" s="216"/>
      <c r="Q6214" s="217"/>
      <c r="R6214" s="217"/>
      <c r="S6214" s="218"/>
    </row>
    <row r="6215" spans="13:19" ht="15" customHeight="1" x14ac:dyDescent="0.25">
      <c r="M6215"/>
      <c r="N6215"/>
      <c r="O6215"/>
      <c r="P6215" s="216"/>
      <c r="Q6215" s="217"/>
      <c r="R6215" s="217"/>
      <c r="S6215" s="218"/>
    </row>
    <row r="6216" spans="13:19" ht="15" customHeight="1" x14ac:dyDescent="0.25">
      <c r="M6216"/>
      <c r="N6216"/>
      <c r="O6216"/>
      <c r="P6216" s="216"/>
      <c r="Q6216" s="217"/>
      <c r="R6216" s="217"/>
      <c r="S6216" s="218"/>
    </row>
    <row r="6217" spans="13:19" ht="15" customHeight="1" x14ac:dyDescent="0.25">
      <c r="M6217"/>
      <c r="N6217"/>
      <c r="O6217"/>
      <c r="P6217" s="216"/>
      <c r="Q6217" s="217"/>
      <c r="R6217" s="217"/>
      <c r="S6217" s="218"/>
    </row>
    <row r="6218" spans="13:19" ht="15" customHeight="1" x14ac:dyDescent="0.25">
      <c r="M6218"/>
      <c r="N6218"/>
      <c r="O6218"/>
      <c r="P6218" s="216"/>
      <c r="Q6218" s="217"/>
      <c r="R6218" s="217"/>
      <c r="S6218" s="218"/>
    </row>
    <row r="6219" spans="13:19" ht="15" customHeight="1" x14ac:dyDescent="0.25">
      <c r="M6219"/>
      <c r="N6219"/>
      <c r="O6219"/>
      <c r="P6219" s="216"/>
      <c r="Q6219" s="217"/>
      <c r="R6219" s="217"/>
      <c r="S6219" s="218"/>
    </row>
    <row r="6220" spans="13:19" ht="15" customHeight="1" x14ac:dyDescent="0.25">
      <c r="M6220"/>
      <c r="N6220"/>
      <c r="O6220"/>
      <c r="P6220" s="216"/>
      <c r="Q6220" s="217"/>
      <c r="R6220" s="217"/>
      <c r="S6220" s="218"/>
    </row>
    <row r="6221" spans="13:19" ht="15" customHeight="1" x14ac:dyDescent="0.25">
      <c r="M6221"/>
      <c r="N6221"/>
      <c r="O6221"/>
      <c r="P6221" s="216"/>
      <c r="Q6221" s="217"/>
      <c r="R6221" s="217"/>
      <c r="S6221" s="218"/>
    </row>
    <row r="6222" spans="13:19" ht="15" customHeight="1" x14ac:dyDescent="0.25">
      <c r="M6222"/>
      <c r="N6222"/>
      <c r="O6222"/>
      <c r="P6222" s="216"/>
      <c r="Q6222" s="217"/>
      <c r="R6222" s="217"/>
      <c r="S6222" s="218"/>
    </row>
    <row r="6223" spans="13:19" ht="15" customHeight="1" x14ac:dyDescent="0.25">
      <c r="M6223"/>
      <c r="N6223"/>
      <c r="O6223"/>
      <c r="P6223" s="216"/>
      <c r="Q6223" s="217"/>
      <c r="R6223" s="217"/>
      <c r="S6223" s="218"/>
    </row>
    <row r="6224" spans="13:19" ht="15" customHeight="1" x14ac:dyDescent="0.25">
      <c r="M6224"/>
      <c r="N6224"/>
      <c r="O6224"/>
      <c r="P6224" s="216"/>
      <c r="Q6224" s="217"/>
      <c r="R6224" s="217"/>
      <c r="S6224" s="218"/>
    </row>
    <row r="6225" spans="13:19" ht="15" customHeight="1" x14ac:dyDescent="0.25">
      <c r="M6225"/>
      <c r="N6225"/>
      <c r="O6225"/>
      <c r="P6225" s="216"/>
      <c r="Q6225" s="217"/>
      <c r="R6225" s="217"/>
      <c r="S6225" s="218"/>
    </row>
    <row r="6226" spans="13:19" ht="15" customHeight="1" x14ac:dyDescent="0.25">
      <c r="M6226"/>
      <c r="N6226"/>
      <c r="O6226"/>
      <c r="P6226" s="216"/>
      <c r="Q6226" s="217"/>
      <c r="R6226" s="217"/>
      <c r="S6226" s="218"/>
    </row>
    <row r="6227" spans="13:19" ht="15" customHeight="1" x14ac:dyDescent="0.25">
      <c r="M6227"/>
      <c r="N6227"/>
      <c r="O6227"/>
      <c r="P6227" s="216"/>
      <c r="Q6227" s="217"/>
      <c r="R6227" s="217"/>
      <c r="S6227" s="218"/>
    </row>
    <row r="6228" spans="13:19" ht="15" customHeight="1" x14ac:dyDescent="0.25">
      <c r="M6228"/>
      <c r="N6228"/>
      <c r="O6228"/>
      <c r="P6228" s="216"/>
      <c r="Q6228" s="217"/>
      <c r="R6228" s="217"/>
      <c r="S6228" s="218"/>
    </row>
    <row r="6229" spans="13:19" ht="15" customHeight="1" x14ac:dyDescent="0.25">
      <c r="M6229"/>
      <c r="N6229"/>
      <c r="O6229"/>
      <c r="P6229" s="216"/>
      <c r="Q6229" s="217"/>
      <c r="R6229" s="217"/>
      <c r="S6229" s="218"/>
    </row>
    <row r="6230" spans="13:19" ht="15" customHeight="1" x14ac:dyDescent="0.25">
      <c r="M6230"/>
      <c r="N6230"/>
      <c r="O6230"/>
      <c r="P6230" s="216"/>
      <c r="Q6230" s="217"/>
      <c r="R6230" s="217"/>
      <c r="S6230" s="218"/>
    </row>
    <row r="6231" spans="13:19" ht="15" customHeight="1" x14ac:dyDescent="0.25">
      <c r="M6231"/>
      <c r="N6231"/>
      <c r="O6231"/>
      <c r="P6231" s="216"/>
      <c r="Q6231" s="217"/>
      <c r="R6231" s="217"/>
      <c r="S6231" s="218"/>
    </row>
    <row r="6232" spans="13:19" ht="15" customHeight="1" x14ac:dyDescent="0.25">
      <c r="M6232"/>
      <c r="N6232"/>
      <c r="O6232"/>
      <c r="P6232" s="216"/>
      <c r="Q6232" s="217"/>
      <c r="R6232" s="217"/>
      <c r="S6232" s="218"/>
    </row>
    <row r="6233" spans="13:19" ht="15" customHeight="1" x14ac:dyDescent="0.25">
      <c r="M6233"/>
      <c r="N6233"/>
      <c r="O6233"/>
      <c r="P6233" s="216"/>
      <c r="Q6233" s="217"/>
      <c r="R6233" s="217"/>
      <c r="S6233" s="218"/>
    </row>
    <row r="6234" spans="13:19" ht="15" customHeight="1" x14ac:dyDescent="0.25">
      <c r="M6234"/>
      <c r="N6234"/>
      <c r="O6234"/>
      <c r="P6234" s="216"/>
      <c r="Q6234" s="217"/>
      <c r="R6234" s="217"/>
      <c r="S6234" s="218"/>
    </row>
    <row r="6235" spans="13:19" ht="15" customHeight="1" x14ac:dyDescent="0.25">
      <c r="M6235"/>
      <c r="N6235"/>
      <c r="O6235"/>
      <c r="P6235" s="216"/>
      <c r="Q6235" s="217"/>
      <c r="R6235" s="217"/>
      <c r="S6235" s="218"/>
    </row>
    <row r="6236" spans="13:19" ht="15" customHeight="1" x14ac:dyDescent="0.25">
      <c r="M6236"/>
      <c r="N6236"/>
      <c r="O6236"/>
      <c r="P6236" s="216"/>
      <c r="Q6236" s="217"/>
      <c r="R6236" s="217"/>
      <c r="S6236" s="218"/>
    </row>
    <row r="6237" spans="13:19" ht="15" customHeight="1" x14ac:dyDescent="0.25">
      <c r="M6237"/>
      <c r="N6237"/>
      <c r="O6237"/>
      <c r="P6237" s="216"/>
      <c r="Q6237" s="217"/>
      <c r="R6237" s="217"/>
      <c r="S6237" s="218"/>
    </row>
    <row r="6238" spans="13:19" ht="15" customHeight="1" x14ac:dyDescent="0.25">
      <c r="M6238"/>
      <c r="N6238"/>
      <c r="O6238"/>
      <c r="P6238" s="216"/>
      <c r="Q6238" s="217"/>
      <c r="R6238" s="217"/>
      <c r="S6238" s="218"/>
    </row>
    <row r="6239" spans="13:19" ht="15" customHeight="1" x14ac:dyDescent="0.25">
      <c r="M6239"/>
      <c r="N6239"/>
      <c r="O6239"/>
      <c r="P6239" s="216"/>
      <c r="Q6239" s="217"/>
      <c r="R6239" s="217"/>
      <c r="S6239" s="218"/>
    </row>
    <row r="6240" spans="13:19" ht="15" customHeight="1" x14ac:dyDescent="0.25">
      <c r="M6240"/>
      <c r="N6240"/>
      <c r="O6240"/>
      <c r="P6240" s="216"/>
      <c r="Q6240" s="217"/>
      <c r="R6240" s="217"/>
      <c r="S6240" s="218"/>
    </row>
    <row r="6241" spans="13:19" ht="15" customHeight="1" x14ac:dyDescent="0.25">
      <c r="M6241"/>
      <c r="N6241"/>
      <c r="O6241"/>
      <c r="P6241" s="216"/>
      <c r="Q6241" s="217"/>
      <c r="R6241" s="217"/>
      <c r="S6241" s="218"/>
    </row>
    <row r="6242" spans="13:19" ht="15" customHeight="1" x14ac:dyDescent="0.25">
      <c r="M6242"/>
      <c r="N6242"/>
      <c r="O6242"/>
      <c r="P6242" s="216"/>
      <c r="Q6242" s="217"/>
      <c r="R6242" s="217"/>
      <c r="S6242" s="218"/>
    </row>
    <row r="6243" spans="13:19" ht="15" customHeight="1" x14ac:dyDescent="0.25">
      <c r="M6243"/>
      <c r="N6243"/>
      <c r="O6243"/>
      <c r="P6243" s="216"/>
      <c r="Q6243" s="217"/>
      <c r="R6243" s="217"/>
      <c r="S6243" s="218"/>
    </row>
    <row r="6244" spans="13:19" ht="15" customHeight="1" x14ac:dyDescent="0.25">
      <c r="M6244"/>
      <c r="N6244"/>
      <c r="O6244"/>
      <c r="P6244" s="216"/>
      <c r="Q6244" s="217"/>
      <c r="R6244" s="217"/>
      <c r="S6244" s="218"/>
    </row>
    <row r="6245" spans="13:19" ht="15" customHeight="1" x14ac:dyDescent="0.25">
      <c r="M6245"/>
      <c r="N6245"/>
      <c r="O6245"/>
      <c r="P6245" s="216"/>
      <c r="Q6245" s="217"/>
      <c r="R6245" s="217"/>
      <c r="S6245" s="218"/>
    </row>
    <row r="6246" spans="13:19" ht="15" customHeight="1" x14ac:dyDescent="0.25">
      <c r="M6246"/>
      <c r="N6246"/>
      <c r="O6246"/>
      <c r="P6246" s="216"/>
      <c r="Q6246" s="217"/>
      <c r="R6246" s="217"/>
      <c r="S6246" s="218"/>
    </row>
    <row r="6247" spans="13:19" ht="15" customHeight="1" x14ac:dyDescent="0.25">
      <c r="M6247"/>
      <c r="N6247"/>
      <c r="O6247"/>
      <c r="P6247" s="216"/>
      <c r="Q6247" s="217"/>
      <c r="R6247" s="217"/>
      <c r="S6247" s="218"/>
    </row>
    <row r="6248" spans="13:19" ht="15" customHeight="1" x14ac:dyDescent="0.25">
      <c r="M6248"/>
      <c r="N6248"/>
      <c r="O6248"/>
      <c r="P6248" s="216"/>
      <c r="Q6248" s="217"/>
      <c r="R6248" s="217"/>
      <c r="S6248" s="218"/>
    </row>
    <row r="6249" spans="13:19" ht="15" customHeight="1" x14ac:dyDescent="0.25">
      <c r="M6249"/>
      <c r="N6249"/>
      <c r="O6249"/>
      <c r="P6249" s="216"/>
      <c r="Q6249" s="217"/>
      <c r="R6249" s="217"/>
      <c r="S6249" s="218"/>
    </row>
    <row r="6250" spans="13:19" ht="15" customHeight="1" x14ac:dyDescent="0.25">
      <c r="M6250"/>
      <c r="N6250"/>
      <c r="O6250"/>
      <c r="P6250" s="216"/>
      <c r="Q6250" s="217"/>
      <c r="R6250" s="217"/>
      <c r="S6250" s="218"/>
    </row>
    <row r="6251" spans="13:19" ht="15" customHeight="1" x14ac:dyDescent="0.25">
      <c r="M6251"/>
      <c r="N6251"/>
      <c r="O6251"/>
      <c r="P6251" s="216"/>
      <c r="Q6251" s="217"/>
      <c r="R6251" s="217"/>
      <c r="S6251" s="218"/>
    </row>
    <row r="6252" spans="13:19" ht="15" customHeight="1" x14ac:dyDescent="0.25">
      <c r="M6252"/>
      <c r="N6252"/>
      <c r="O6252"/>
      <c r="P6252" s="216"/>
      <c r="Q6252" s="217"/>
      <c r="R6252" s="217"/>
      <c r="S6252" s="218"/>
    </row>
    <row r="6253" spans="13:19" ht="15" customHeight="1" x14ac:dyDescent="0.25">
      <c r="M6253"/>
      <c r="N6253"/>
      <c r="O6253"/>
      <c r="P6253" s="216"/>
      <c r="Q6253" s="217"/>
      <c r="R6253" s="217"/>
      <c r="S6253" s="218"/>
    </row>
    <row r="6254" spans="13:19" ht="15" customHeight="1" x14ac:dyDescent="0.25">
      <c r="M6254"/>
      <c r="N6254"/>
      <c r="O6254"/>
      <c r="P6254" s="216"/>
      <c r="Q6254" s="217"/>
      <c r="R6254" s="217"/>
      <c r="S6254" s="218"/>
    </row>
    <row r="6255" spans="13:19" ht="15" customHeight="1" x14ac:dyDescent="0.25">
      <c r="M6255"/>
      <c r="N6255"/>
      <c r="O6255"/>
      <c r="P6255" s="216"/>
      <c r="Q6255" s="217"/>
      <c r="R6255" s="217"/>
      <c r="S6255" s="218"/>
    </row>
    <row r="6256" spans="13:19" ht="15" customHeight="1" x14ac:dyDescent="0.25">
      <c r="M6256"/>
      <c r="N6256"/>
      <c r="O6256"/>
      <c r="P6256" s="216"/>
      <c r="Q6256" s="217"/>
      <c r="R6256" s="217"/>
      <c r="S6256" s="218"/>
    </row>
    <row r="6257" spans="13:19" ht="15" customHeight="1" x14ac:dyDescent="0.25">
      <c r="M6257"/>
      <c r="N6257"/>
      <c r="O6257"/>
      <c r="P6257" s="216"/>
      <c r="Q6257" s="217"/>
      <c r="R6257" s="217"/>
      <c r="S6257" s="218"/>
    </row>
    <row r="6258" spans="13:19" ht="15" customHeight="1" x14ac:dyDescent="0.25">
      <c r="M6258"/>
      <c r="N6258"/>
      <c r="O6258"/>
      <c r="P6258" s="216"/>
      <c r="Q6258" s="217"/>
      <c r="R6258" s="217"/>
      <c r="S6258" s="218"/>
    </row>
    <row r="6259" spans="13:19" ht="15" customHeight="1" x14ac:dyDescent="0.25">
      <c r="M6259"/>
      <c r="N6259"/>
      <c r="O6259"/>
      <c r="P6259" s="216"/>
      <c r="Q6259" s="217"/>
      <c r="R6259" s="217"/>
      <c r="S6259" s="218"/>
    </row>
    <row r="6260" spans="13:19" ht="15" customHeight="1" x14ac:dyDescent="0.25">
      <c r="M6260"/>
      <c r="N6260"/>
      <c r="O6260"/>
      <c r="P6260" s="216"/>
      <c r="Q6260" s="217"/>
      <c r="R6260" s="217"/>
      <c r="S6260" s="218"/>
    </row>
    <row r="6261" spans="13:19" ht="15" customHeight="1" x14ac:dyDescent="0.25">
      <c r="M6261"/>
      <c r="N6261"/>
      <c r="O6261"/>
      <c r="P6261" s="216"/>
      <c r="Q6261" s="217"/>
      <c r="R6261" s="217"/>
      <c r="S6261" s="218"/>
    </row>
    <row r="6262" spans="13:19" ht="15" customHeight="1" x14ac:dyDescent="0.25">
      <c r="M6262"/>
      <c r="N6262"/>
      <c r="O6262"/>
      <c r="P6262" s="216"/>
      <c r="Q6262" s="217"/>
      <c r="R6262" s="217"/>
      <c r="S6262" s="218"/>
    </row>
    <row r="6263" spans="13:19" ht="15" customHeight="1" x14ac:dyDescent="0.25">
      <c r="M6263"/>
      <c r="N6263"/>
      <c r="O6263"/>
      <c r="P6263" s="216"/>
      <c r="Q6263" s="217"/>
      <c r="R6263" s="217"/>
      <c r="S6263" s="218"/>
    </row>
    <row r="6264" spans="13:19" ht="15" customHeight="1" x14ac:dyDescent="0.25">
      <c r="M6264"/>
      <c r="N6264"/>
      <c r="O6264"/>
      <c r="P6264" s="216"/>
      <c r="Q6264" s="217"/>
      <c r="R6264" s="217"/>
      <c r="S6264" s="218"/>
    </row>
    <row r="6265" spans="13:19" ht="15" customHeight="1" x14ac:dyDescent="0.25">
      <c r="M6265"/>
      <c r="N6265"/>
      <c r="O6265"/>
      <c r="P6265" s="216"/>
      <c r="Q6265" s="217"/>
      <c r="R6265" s="217"/>
      <c r="S6265" s="218"/>
    </row>
    <row r="6266" spans="13:19" ht="15" customHeight="1" x14ac:dyDescent="0.25">
      <c r="M6266"/>
      <c r="N6266"/>
      <c r="O6266"/>
      <c r="P6266" s="216"/>
      <c r="Q6266" s="217"/>
      <c r="R6266" s="217"/>
      <c r="S6266" s="218"/>
    </row>
    <row r="6267" spans="13:19" ht="15" customHeight="1" x14ac:dyDescent="0.25">
      <c r="M6267"/>
      <c r="N6267"/>
      <c r="O6267"/>
      <c r="P6267" s="216"/>
      <c r="Q6267" s="217"/>
      <c r="R6267" s="217"/>
      <c r="S6267" s="218"/>
    </row>
    <row r="6268" spans="13:19" ht="15" customHeight="1" x14ac:dyDescent="0.25">
      <c r="M6268"/>
      <c r="N6268"/>
      <c r="O6268"/>
      <c r="P6268" s="216"/>
      <c r="Q6268" s="217"/>
      <c r="R6268" s="217"/>
      <c r="S6268" s="218"/>
    </row>
    <row r="6269" spans="13:19" ht="15" customHeight="1" x14ac:dyDescent="0.25">
      <c r="M6269"/>
      <c r="N6269"/>
      <c r="O6269"/>
      <c r="P6269" s="216"/>
      <c r="Q6269" s="217"/>
      <c r="R6269" s="217"/>
      <c r="S6269" s="218"/>
    </row>
    <row r="6270" spans="13:19" ht="15" customHeight="1" x14ac:dyDescent="0.25">
      <c r="M6270"/>
      <c r="N6270"/>
      <c r="O6270"/>
      <c r="P6270" s="216"/>
      <c r="Q6270" s="217"/>
      <c r="R6270" s="217"/>
      <c r="S6270" s="218"/>
    </row>
    <row r="6271" spans="13:19" ht="15" customHeight="1" x14ac:dyDescent="0.25">
      <c r="M6271"/>
      <c r="N6271"/>
      <c r="O6271"/>
      <c r="P6271" s="216"/>
      <c r="Q6271" s="217"/>
      <c r="R6271" s="217"/>
      <c r="S6271" s="218"/>
    </row>
    <row r="6272" spans="13:19" ht="15" customHeight="1" x14ac:dyDescent="0.25">
      <c r="M6272"/>
      <c r="N6272"/>
      <c r="O6272"/>
      <c r="P6272" s="216"/>
      <c r="Q6272" s="217"/>
      <c r="R6272" s="217"/>
      <c r="S6272" s="218"/>
    </row>
    <row r="6273" spans="13:19" ht="15" customHeight="1" x14ac:dyDescent="0.25">
      <c r="M6273"/>
      <c r="N6273"/>
      <c r="O6273"/>
      <c r="P6273" s="216"/>
      <c r="Q6273" s="217"/>
      <c r="R6273" s="217"/>
      <c r="S6273" s="218"/>
    </row>
    <row r="6274" spans="13:19" ht="15" customHeight="1" x14ac:dyDescent="0.25">
      <c r="M6274"/>
      <c r="N6274"/>
      <c r="O6274"/>
      <c r="P6274" s="216"/>
      <c r="Q6274" s="217"/>
      <c r="R6274" s="217"/>
      <c r="S6274" s="218"/>
    </row>
    <row r="6275" spans="13:19" ht="15" customHeight="1" x14ac:dyDescent="0.25">
      <c r="M6275"/>
      <c r="N6275"/>
      <c r="O6275"/>
      <c r="P6275" s="216"/>
      <c r="Q6275" s="217"/>
      <c r="R6275" s="217"/>
      <c r="S6275" s="218"/>
    </row>
    <row r="6276" spans="13:19" ht="15" customHeight="1" x14ac:dyDescent="0.25">
      <c r="M6276"/>
      <c r="N6276"/>
      <c r="O6276"/>
      <c r="P6276" s="216"/>
      <c r="Q6276" s="217"/>
      <c r="R6276" s="217"/>
      <c r="S6276" s="218"/>
    </row>
    <row r="6277" spans="13:19" ht="15" customHeight="1" x14ac:dyDescent="0.25">
      <c r="M6277"/>
      <c r="N6277"/>
      <c r="O6277"/>
      <c r="P6277" s="216"/>
      <c r="Q6277" s="217"/>
      <c r="R6277" s="217"/>
      <c r="S6277" s="218"/>
    </row>
    <row r="6278" spans="13:19" ht="15" customHeight="1" x14ac:dyDescent="0.25">
      <c r="M6278"/>
      <c r="N6278"/>
      <c r="O6278"/>
      <c r="P6278" s="216"/>
      <c r="Q6278" s="217"/>
      <c r="R6278" s="217"/>
      <c r="S6278" s="218"/>
    </row>
    <row r="6279" spans="13:19" ht="15" customHeight="1" x14ac:dyDescent="0.25">
      <c r="M6279"/>
      <c r="N6279"/>
      <c r="O6279"/>
      <c r="P6279" s="216"/>
      <c r="Q6279" s="217"/>
      <c r="R6279" s="217"/>
      <c r="S6279" s="218"/>
    </row>
    <row r="6280" spans="13:19" ht="15" customHeight="1" x14ac:dyDescent="0.25">
      <c r="M6280"/>
      <c r="N6280"/>
      <c r="O6280"/>
      <c r="P6280" s="216"/>
      <c r="Q6280" s="217"/>
      <c r="R6280" s="217"/>
      <c r="S6280" s="218"/>
    </row>
    <row r="6281" spans="13:19" ht="15" customHeight="1" x14ac:dyDescent="0.25">
      <c r="M6281"/>
      <c r="N6281"/>
      <c r="O6281"/>
      <c r="P6281" s="216"/>
      <c r="Q6281" s="217"/>
      <c r="R6281" s="217"/>
      <c r="S6281" s="218"/>
    </row>
    <row r="6282" spans="13:19" ht="15" customHeight="1" x14ac:dyDescent="0.25">
      <c r="M6282"/>
      <c r="N6282"/>
      <c r="O6282"/>
      <c r="P6282" s="216"/>
      <c r="Q6282" s="217"/>
      <c r="R6282" s="217"/>
      <c r="S6282" s="218"/>
    </row>
    <row r="6283" spans="13:19" ht="15" customHeight="1" x14ac:dyDescent="0.25">
      <c r="M6283"/>
      <c r="N6283"/>
      <c r="O6283"/>
      <c r="P6283" s="216"/>
      <c r="Q6283" s="217"/>
      <c r="R6283" s="217"/>
      <c r="S6283" s="218"/>
    </row>
    <row r="6284" spans="13:19" ht="15" customHeight="1" x14ac:dyDescent="0.25">
      <c r="M6284"/>
      <c r="N6284"/>
      <c r="O6284"/>
      <c r="P6284" s="216"/>
      <c r="Q6284" s="217"/>
      <c r="R6284" s="217"/>
      <c r="S6284" s="218"/>
    </row>
    <row r="6285" spans="13:19" ht="15" customHeight="1" x14ac:dyDescent="0.25">
      <c r="M6285"/>
      <c r="N6285"/>
      <c r="O6285"/>
      <c r="P6285" s="216"/>
      <c r="Q6285" s="217"/>
      <c r="R6285" s="217"/>
      <c r="S6285" s="218"/>
    </row>
    <row r="6286" spans="13:19" ht="15" customHeight="1" x14ac:dyDescent="0.25">
      <c r="M6286"/>
      <c r="N6286"/>
      <c r="O6286"/>
      <c r="P6286" s="216"/>
      <c r="Q6286" s="217"/>
      <c r="R6286" s="217"/>
      <c r="S6286" s="218"/>
    </row>
    <row r="6287" spans="13:19" ht="15" customHeight="1" x14ac:dyDescent="0.25">
      <c r="M6287"/>
      <c r="N6287"/>
      <c r="O6287"/>
      <c r="P6287" s="216"/>
      <c r="Q6287" s="217"/>
      <c r="R6287" s="217"/>
      <c r="S6287" s="218"/>
    </row>
    <row r="6288" spans="13:19" ht="15" customHeight="1" x14ac:dyDescent="0.25">
      <c r="M6288"/>
      <c r="N6288"/>
      <c r="O6288"/>
      <c r="P6288" s="216"/>
      <c r="Q6288" s="217"/>
      <c r="R6288" s="217"/>
      <c r="S6288" s="218"/>
    </row>
    <row r="6289" spans="13:19" ht="15" customHeight="1" x14ac:dyDescent="0.25">
      <c r="M6289"/>
      <c r="N6289"/>
      <c r="O6289"/>
      <c r="P6289" s="216"/>
      <c r="Q6289" s="217"/>
      <c r="R6289" s="217"/>
      <c r="S6289" s="218"/>
    </row>
    <row r="6290" spans="13:19" ht="15" customHeight="1" x14ac:dyDescent="0.25">
      <c r="M6290"/>
      <c r="N6290"/>
      <c r="O6290"/>
      <c r="P6290" s="216"/>
      <c r="Q6290" s="217"/>
      <c r="R6290" s="217"/>
      <c r="S6290" s="218"/>
    </row>
    <row r="6291" spans="13:19" ht="15" customHeight="1" x14ac:dyDescent="0.25">
      <c r="M6291"/>
      <c r="N6291"/>
      <c r="O6291"/>
      <c r="P6291" s="216"/>
      <c r="Q6291" s="217"/>
      <c r="R6291" s="217"/>
      <c r="S6291" s="218"/>
    </row>
    <row r="6292" spans="13:19" ht="15" customHeight="1" x14ac:dyDescent="0.25">
      <c r="M6292"/>
      <c r="N6292"/>
      <c r="O6292"/>
      <c r="P6292" s="216"/>
      <c r="Q6292" s="217"/>
      <c r="R6292" s="217"/>
      <c r="S6292" s="218"/>
    </row>
    <row r="6293" spans="13:19" ht="15" customHeight="1" x14ac:dyDescent="0.25">
      <c r="M6293"/>
      <c r="N6293"/>
      <c r="O6293"/>
      <c r="P6293" s="216"/>
      <c r="Q6293" s="217"/>
      <c r="R6293" s="217"/>
      <c r="S6293" s="218"/>
    </row>
    <row r="6294" spans="13:19" ht="15" customHeight="1" x14ac:dyDescent="0.25">
      <c r="M6294"/>
      <c r="N6294"/>
      <c r="O6294"/>
      <c r="P6294" s="216"/>
      <c r="Q6294" s="217"/>
      <c r="R6294" s="217"/>
      <c r="S6294" s="218"/>
    </row>
    <row r="6295" spans="13:19" ht="15" customHeight="1" x14ac:dyDescent="0.25">
      <c r="M6295"/>
      <c r="N6295"/>
      <c r="O6295"/>
      <c r="P6295" s="216"/>
      <c r="Q6295" s="217"/>
      <c r="R6295" s="217"/>
      <c r="S6295" s="218"/>
    </row>
    <row r="6296" spans="13:19" ht="15" customHeight="1" x14ac:dyDescent="0.25">
      <c r="M6296"/>
      <c r="N6296"/>
      <c r="O6296"/>
      <c r="P6296" s="216"/>
      <c r="Q6296" s="217"/>
      <c r="R6296" s="217"/>
      <c r="S6296" s="218"/>
    </row>
    <row r="6297" spans="13:19" ht="15" customHeight="1" x14ac:dyDescent="0.25">
      <c r="M6297"/>
      <c r="N6297"/>
      <c r="O6297"/>
      <c r="P6297" s="216"/>
      <c r="Q6297" s="217"/>
      <c r="R6297" s="217"/>
      <c r="S6297" s="218"/>
    </row>
    <row r="6298" spans="13:19" ht="15" customHeight="1" x14ac:dyDescent="0.25">
      <c r="M6298"/>
      <c r="N6298"/>
      <c r="O6298"/>
      <c r="P6298" s="216"/>
      <c r="Q6298" s="217"/>
      <c r="R6298" s="217"/>
      <c r="S6298" s="218"/>
    </row>
    <row r="6299" spans="13:19" ht="15" customHeight="1" x14ac:dyDescent="0.25">
      <c r="M6299"/>
      <c r="N6299"/>
      <c r="O6299"/>
      <c r="P6299" s="216"/>
      <c r="Q6299" s="217"/>
      <c r="R6299" s="217"/>
      <c r="S6299" s="218"/>
    </row>
    <row r="6300" spans="13:19" ht="15" customHeight="1" x14ac:dyDescent="0.25">
      <c r="M6300"/>
      <c r="N6300"/>
      <c r="O6300"/>
      <c r="P6300" s="216"/>
      <c r="Q6300" s="217"/>
      <c r="R6300" s="217"/>
      <c r="S6300" s="218"/>
    </row>
    <row r="6301" spans="13:19" ht="15" customHeight="1" x14ac:dyDescent="0.25">
      <c r="M6301"/>
      <c r="N6301"/>
      <c r="O6301"/>
      <c r="P6301" s="216"/>
      <c r="Q6301" s="217"/>
      <c r="R6301" s="217"/>
      <c r="S6301" s="218"/>
    </row>
    <row r="6302" spans="13:19" ht="15" customHeight="1" x14ac:dyDescent="0.25">
      <c r="M6302"/>
      <c r="N6302"/>
      <c r="O6302"/>
      <c r="P6302" s="216"/>
      <c r="Q6302" s="217"/>
      <c r="R6302" s="217"/>
      <c r="S6302" s="218"/>
    </row>
    <row r="6303" spans="13:19" ht="15" customHeight="1" x14ac:dyDescent="0.25">
      <c r="M6303"/>
      <c r="N6303"/>
      <c r="O6303"/>
      <c r="P6303" s="216"/>
      <c r="Q6303" s="217"/>
      <c r="R6303" s="217"/>
      <c r="S6303" s="218"/>
    </row>
    <row r="6304" spans="13:19" ht="15" customHeight="1" x14ac:dyDescent="0.25">
      <c r="M6304"/>
      <c r="N6304"/>
      <c r="O6304"/>
      <c r="P6304" s="216"/>
      <c r="Q6304" s="217"/>
      <c r="R6304" s="217"/>
      <c r="S6304" s="218"/>
    </row>
    <row r="6305" spans="13:19" ht="15" customHeight="1" x14ac:dyDescent="0.25">
      <c r="M6305"/>
      <c r="N6305"/>
      <c r="O6305"/>
      <c r="P6305" s="216"/>
      <c r="Q6305" s="217"/>
      <c r="R6305" s="217"/>
      <c r="S6305" s="218"/>
    </row>
    <row r="6306" spans="13:19" ht="15" customHeight="1" x14ac:dyDescent="0.25">
      <c r="M6306"/>
      <c r="N6306"/>
      <c r="O6306"/>
      <c r="P6306" s="216"/>
      <c r="Q6306" s="217"/>
      <c r="R6306" s="217"/>
      <c r="S6306" s="218"/>
    </row>
    <row r="6307" spans="13:19" ht="15" customHeight="1" x14ac:dyDescent="0.25">
      <c r="M6307"/>
      <c r="N6307"/>
      <c r="O6307"/>
      <c r="P6307" s="216"/>
      <c r="Q6307" s="217"/>
      <c r="R6307" s="217"/>
      <c r="S6307" s="218"/>
    </row>
    <row r="6308" spans="13:19" ht="15" customHeight="1" x14ac:dyDescent="0.25">
      <c r="M6308"/>
      <c r="N6308"/>
      <c r="O6308"/>
      <c r="P6308" s="216"/>
      <c r="Q6308" s="217"/>
      <c r="R6308" s="217"/>
      <c r="S6308" s="218"/>
    </row>
    <row r="6309" spans="13:19" ht="15" customHeight="1" x14ac:dyDescent="0.25">
      <c r="M6309"/>
      <c r="N6309"/>
      <c r="O6309"/>
      <c r="P6309" s="216"/>
      <c r="Q6309" s="217"/>
      <c r="R6309" s="217"/>
      <c r="S6309" s="218"/>
    </row>
    <row r="6310" spans="13:19" ht="15" customHeight="1" x14ac:dyDescent="0.25">
      <c r="M6310"/>
      <c r="N6310"/>
      <c r="O6310"/>
      <c r="P6310" s="216"/>
      <c r="Q6310" s="217"/>
      <c r="R6310" s="217"/>
      <c r="S6310" s="218"/>
    </row>
    <row r="6311" spans="13:19" ht="15" customHeight="1" x14ac:dyDescent="0.25">
      <c r="M6311"/>
      <c r="N6311"/>
      <c r="O6311"/>
      <c r="P6311" s="216"/>
      <c r="Q6311" s="217"/>
      <c r="R6311" s="217"/>
      <c r="S6311" s="218"/>
    </row>
    <row r="6312" spans="13:19" ht="15" customHeight="1" x14ac:dyDescent="0.25">
      <c r="M6312"/>
      <c r="N6312"/>
      <c r="O6312"/>
      <c r="P6312" s="216"/>
      <c r="Q6312" s="217"/>
      <c r="R6312" s="217"/>
      <c r="S6312" s="218"/>
    </row>
    <row r="6313" spans="13:19" ht="15" customHeight="1" x14ac:dyDescent="0.25">
      <c r="M6313"/>
      <c r="N6313"/>
      <c r="O6313"/>
      <c r="P6313" s="216"/>
      <c r="Q6313" s="217"/>
      <c r="R6313" s="217"/>
      <c r="S6313" s="218"/>
    </row>
    <row r="6314" spans="13:19" ht="15" customHeight="1" x14ac:dyDescent="0.25">
      <c r="M6314"/>
      <c r="N6314"/>
      <c r="O6314"/>
      <c r="P6314" s="216"/>
      <c r="Q6314" s="217"/>
      <c r="R6314" s="217"/>
      <c r="S6314" s="218"/>
    </row>
    <row r="6315" spans="13:19" ht="15" customHeight="1" x14ac:dyDescent="0.25">
      <c r="M6315"/>
      <c r="N6315"/>
      <c r="O6315"/>
      <c r="P6315" s="216"/>
      <c r="Q6315" s="217"/>
      <c r="R6315" s="217"/>
      <c r="S6315" s="218"/>
    </row>
    <row r="6316" spans="13:19" ht="15" customHeight="1" x14ac:dyDescent="0.25">
      <c r="M6316"/>
      <c r="N6316"/>
      <c r="O6316"/>
      <c r="P6316" s="216"/>
      <c r="Q6316" s="217"/>
      <c r="R6316" s="217"/>
      <c r="S6316" s="218"/>
    </row>
    <row r="6317" spans="13:19" ht="15" customHeight="1" x14ac:dyDescent="0.25">
      <c r="M6317"/>
      <c r="N6317"/>
      <c r="O6317"/>
      <c r="P6317" s="216"/>
      <c r="Q6317" s="217"/>
      <c r="R6317" s="217"/>
      <c r="S6317" s="218"/>
    </row>
    <row r="6318" spans="13:19" ht="15" customHeight="1" x14ac:dyDescent="0.25">
      <c r="M6318"/>
      <c r="N6318"/>
      <c r="O6318"/>
      <c r="P6318" s="216"/>
      <c r="Q6318" s="217"/>
      <c r="R6318" s="217"/>
      <c r="S6318" s="218"/>
    </row>
    <row r="6319" spans="13:19" ht="15" customHeight="1" x14ac:dyDescent="0.25">
      <c r="M6319"/>
      <c r="N6319"/>
      <c r="O6319"/>
      <c r="P6319" s="216"/>
      <c r="Q6319" s="217"/>
      <c r="R6319" s="217"/>
      <c r="S6319" s="218"/>
    </row>
    <row r="6320" spans="13:19" ht="15" customHeight="1" x14ac:dyDescent="0.25">
      <c r="M6320"/>
      <c r="N6320"/>
      <c r="O6320"/>
      <c r="P6320" s="216"/>
      <c r="Q6320" s="217"/>
      <c r="R6320" s="217"/>
      <c r="S6320" s="218"/>
    </row>
    <row r="6321" spans="13:19" ht="15" customHeight="1" x14ac:dyDescent="0.25">
      <c r="M6321"/>
      <c r="N6321"/>
      <c r="O6321"/>
      <c r="P6321" s="216"/>
      <c r="Q6321" s="217"/>
      <c r="R6321" s="217"/>
      <c r="S6321" s="218"/>
    </row>
    <row r="6322" spans="13:19" ht="15" customHeight="1" x14ac:dyDescent="0.25">
      <c r="M6322"/>
      <c r="N6322"/>
      <c r="O6322"/>
      <c r="P6322" s="216"/>
      <c r="Q6322" s="217"/>
      <c r="R6322" s="217"/>
      <c r="S6322" s="218"/>
    </row>
    <row r="6323" spans="13:19" ht="15" customHeight="1" x14ac:dyDescent="0.25">
      <c r="M6323"/>
      <c r="N6323"/>
      <c r="O6323"/>
      <c r="P6323" s="216"/>
      <c r="Q6323" s="217"/>
      <c r="R6323" s="217"/>
      <c r="S6323" s="218"/>
    </row>
    <row r="6324" spans="13:19" ht="15" customHeight="1" x14ac:dyDescent="0.25">
      <c r="M6324"/>
      <c r="N6324"/>
      <c r="O6324"/>
      <c r="P6324" s="216"/>
      <c r="Q6324" s="217"/>
      <c r="R6324" s="217"/>
      <c r="S6324" s="218"/>
    </row>
    <row r="6325" spans="13:19" ht="15" customHeight="1" x14ac:dyDescent="0.25">
      <c r="M6325"/>
      <c r="N6325"/>
      <c r="O6325"/>
      <c r="P6325" s="216"/>
      <c r="Q6325" s="217"/>
      <c r="R6325" s="217"/>
      <c r="S6325" s="218"/>
    </row>
    <row r="6326" spans="13:19" ht="15" customHeight="1" x14ac:dyDescent="0.25">
      <c r="M6326"/>
      <c r="N6326"/>
      <c r="O6326"/>
      <c r="P6326" s="216"/>
      <c r="Q6326" s="217"/>
      <c r="R6326" s="217"/>
      <c r="S6326" s="218"/>
    </row>
    <row r="6327" spans="13:19" ht="15" customHeight="1" x14ac:dyDescent="0.25">
      <c r="M6327"/>
      <c r="N6327"/>
      <c r="O6327"/>
      <c r="P6327" s="216"/>
      <c r="Q6327" s="217"/>
      <c r="R6327" s="217"/>
      <c r="S6327" s="218"/>
    </row>
    <row r="6328" spans="13:19" ht="15" customHeight="1" x14ac:dyDescent="0.25">
      <c r="M6328"/>
      <c r="N6328"/>
      <c r="O6328"/>
      <c r="P6328" s="216"/>
      <c r="Q6328" s="217"/>
      <c r="R6328" s="217"/>
      <c r="S6328" s="218"/>
    </row>
    <row r="6329" spans="13:19" ht="15" customHeight="1" x14ac:dyDescent="0.25">
      <c r="M6329"/>
      <c r="N6329"/>
      <c r="O6329"/>
      <c r="P6329" s="216"/>
      <c r="Q6329" s="217"/>
      <c r="R6329" s="217"/>
      <c r="S6329" s="218"/>
    </row>
    <row r="6330" spans="13:19" ht="15" customHeight="1" x14ac:dyDescent="0.25">
      <c r="M6330"/>
      <c r="N6330"/>
      <c r="O6330"/>
      <c r="P6330" s="216"/>
      <c r="Q6330" s="217"/>
      <c r="R6330" s="217"/>
      <c r="S6330" s="218"/>
    </row>
    <row r="6331" spans="13:19" ht="15" customHeight="1" x14ac:dyDescent="0.25">
      <c r="M6331"/>
      <c r="N6331"/>
      <c r="O6331"/>
      <c r="P6331" s="216"/>
      <c r="Q6331" s="217"/>
      <c r="R6331" s="217"/>
      <c r="S6331" s="218"/>
    </row>
    <row r="6332" spans="13:19" ht="15" customHeight="1" x14ac:dyDescent="0.25">
      <c r="M6332"/>
      <c r="N6332"/>
      <c r="O6332"/>
      <c r="P6332" s="216"/>
      <c r="Q6332" s="217"/>
      <c r="R6332" s="217"/>
      <c r="S6332" s="218"/>
    </row>
    <row r="6333" spans="13:19" ht="15" customHeight="1" x14ac:dyDescent="0.25">
      <c r="M6333"/>
      <c r="N6333"/>
      <c r="O6333"/>
      <c r="P6333" s="216"/>
      <c r="Q6333" s="217"/>
      <c r="R6333" s="217"/>
      <c r="S6333" s="218"/>
    </row>
    <row r="6334" spans="13:19" ht="15" customHeight="1" x14ac:dyDescent="0.25">
      <c r="M6334"/>
      <c r="N6334"/>
      <c r="O6334"/>
      <c r="P6334" s="216"/>
      <c r="Q6334" s="217"/>
      <c r="R6334" s="217"/>
      <c r="S6334" s="218"/>
    </row>
    <row r="6335" spans="13:19" ht="15" customHeight="1" x14ac:dyDescent="0.25">
      <c r="M6335"/>
      <c r="N6335"/>
      <c r="O6335"/>
      <c r="P6335" s="216"/>
      <c r="Q6335" s="217"/>
      <c r="R6335" s="217"/>
      <c r="S6335" s="218"/>
    </row>
    <row r="6336" spans="13:19" ht="15" customHeight="1" x14ac:dyDescent="0.25">
      <c r="M6336"/>
      <c r="N6336"/>
      <c r="O6336"/>
      <c r="P6336" s="216"/>
      <c r="Q6336" s="217"/>
      <c r="R6336" s="217"/>
      <c r="S6336" s="218"/>
    </row>
    <row r="6337" spans="13:19" ht="15" customHeight="1" x14ac:dyDescent="0.25">
      <c r="M6337"/>
      <c r="N6337"/>
      <c r="O6337"/>
      <c r="P6337" s="216"/>
      <c r="Q6337" s="217"/>
      <c r="R6337" s="217"/>
      <c r="S6337" s="218"/>
    </row>
    <row r="6338" spans="13:19" ht="15" customHeight="1" x14ac:dyDescent="0.25">
      <c r="M6338"/>
      <c r="N6338"/>
      <c r="O6338"/>
      <c r="P6338" s="216"/>
      <c r="Q6338" s="217"/>
      <c r="R6338" s="217"/>
      <c r="S6338" s="218"/>
    </row>
    <row r="6339" spans="13:19" ht="15" customHeight="1" x14ac:dyDescent="0.25">
      <c r="M6339"/>
      <c r="N6339"/>
      <c r="O6339"/>
      <c r="P6339" s="216"/>
      <c r="Q6339" s="217"/>
      <c r="R6339" s="217"/>
      <c r="S6339" s="218"/>
    </row>
    <row r="6340" spans="13:19" ht="15" customHeight="1" x14ac:dyDescent="0.25">
      <c r="M6340"/>
      <c r="N6340"/>
      <c r="O6340"/>
      <c r="P6340" s="216"/>
      <c r="Q6340" s="217"/>
      <c r="R6340" s="217"/>
      <c r="S6340" s="218"/>
    </row>
    <row r="6341" spans="13:19" ht="15" customHeight="1" x14ac:dyDescent="0.25">
      <c r="M6341"/>
      <c r="N6341"/>
      <c r="O6341"/>
      <c r="P6341" s="216"/>
      <c r="Q6341" s="217"/>
      <c r="R6341" s="217"/>
      <c r="S6341" s="218"/>
    </row>
    <row r="6342" spans="13:19" ht="15" customHeight="1" x14ac:dyDescent="0.25">
      <c r="M6342"/>
      <c r="N6342"/>
      <c r="O6342"/>
      <c r="P6342" s="216"/>
      <c r="Q6342" s="217"/>
      <c r="R6342" s="217"/>
      <c r="S6342" s="218"/>
    </row>
    <row r="6343" spans="13:19" ht="15" customHeight="1" x14ac:dyDescent="0.25">
      <c r="M6343"/>
      <c r="N6343"/>
      <c r="O6343"/>
      <c r="P6343" s="216"/>
      <c r="Q6343" s="217"/>
      <c r="R6343" s="217"/>
      <c r="S6343" s="218"/>
    </row>
    <row r="6344" spans="13:19" ht="15" customHeight="1" x14ac:dyDescent="0.25">
      <c r="M6344"/>
      <c r="N6344"/>
      <c r="O6344"/>
      <c r="P6344" s="216"/>
      <c r="Q6344" s="217"/>
      <c r="R6344" s="217"/>
      <c r="S6344" s="218"/>
    </row>
    <row r="6345" spans="13:19" ht="15" customHeight="1" x14ac:dyDescent="0.25">
      <c r="M6345"/>
      <c r="N6345"/>
      <c r="O6345"/>
      <c r="P6345" s="216"/>
      <c r="Q6345" s="217"/>
      <c r="R6345" s="217"/>
      <c r="S6345" s="218"/>
    </row>
    <row r="6346" spans="13:19" ht="15" customHeight="1" x14ac:dyDescent="0.25">
      <c r="M6346"/>
      <c r="N6346"/>
      <c r="O6346"/>
      <c r="P6346" s="216"/>
      <c r="Q6346" s="217"/>
      <c r="R6346" s="217"/>
      <c r="S6346" s="218"/>
    </row>
    <row r="6347" spans="13:19" ht="15" customHeight="1" x14ac:dyDescent="0.25">
      <c r="M6347"/>
      <c r="N6347"/>
      <c r="O6347"/>
      <c r="P6347" s="216"/>
      <c r="Q6347" s="217"/>
      <c r="R6347" s="217"/>
      <c r="S6347" s="218"/>
    </row>
    <row r="6348" spans="13:19" ht="15" customHeight="1" x14ac:dyDescent="0.25">
      <c r="M6348"/>
      <c r="N6348"/>
      <c r="O6348"/>
      <c r="P6348" s="216"/>
      <c r="Q6348" s="217"/>
      <c r="R6348" s="217"/>
      <c r="S6348" s="218"/>
    </row>
    <row r="6349" spans="13:19" ht="15" customHeight="1" x14ac:dyDescent="0.25">
      <c r="M6349"/>
      <c r="N6349"/>
      <c r="O6349"/>
      <c r="P6349" s="216"/>
      <c r="Q6349" s="217"/>
      <c r="R6349" s="217"/>
      <c r="S6349" s="218"/>
    </row>
    <row r="6350" spans="13:19" ht="15" customHeight="1" x14ac:dyDescent="0.25">
      <c r="M6350"/>
      <c r="N6350"/>
      <c r="O6350"/>
      <c r="P6350" s="216"/>
      <c r="Q6350" s="217"/>
      <c r="R6350" s="217"/>
      <c r="S6350" s="218"/>
    </row>
    <row r="6351" spans="13:19" ht="15" customHeight="1" x14ac:dyDescent="0.25">
      <c r="M6351"/>
      <c r="N6351"/>
      <c r="O6351"/>
      <c r="P6351" s="216"/>
      <c r="Q6351" s="217"/>
      <c r="R6351" s="217"/>
      <c r="S6351" s="218"/>
    </row>
    <row r="6352" spans="13:19" ht="15" customHeight="1" x14ac:dyDescent="0.25">
      <c r="M6352"/>
      <c r="N6352"/>
      <c r="O6352"/>
      <c r="P6352" s="216"/>
      <c r="Q6352" s="217"/>
      <c r="R6352" s="217"/>
      <c r="S6352" s="218"/>
    </row>
    <row r="6353" spans="13:19" ht="15" customHeight="1" x14ac:dyDescent="0.25">
      <c r="M6353"/>
      <c r="N6353"/>
      <c r="O6353"/>
      <c r="P6353" s="216"/>
      <c r="Q6353" s="217"/>
      <c r="R6353" s="217"/>
      <c r="S6353" s="218"/>
    </row>
    <row r="6354" spans="13:19" ht="15" customHeight="1" x14ac:dyDescent="0.25">
      <c r="M6354"/>
      <c r="N6354"/>
      <c r="O6354"/>
      <c r="P6354" s="216"/>
      <c r="Q6354" s="217"/>
      <c r="R6354" s="217"/>
      <c r="S6354" s="218"/>
    </row>
    <row r="6355" spans="13:19" ht="15" customHeight="1" x14ac:dyDescent="0.25">
      <c r="M6355"/>
      <c r="N6355"/>
      <c r="O6355"/>
      <c r="P6355" s="216"/>
      <c r="Q6355" s="217"/>
      <c r="R6355" s="217"/>
      <c r="S6355" s="218"/>
    </row>
    <row r="6356" spans="13:19" ht="15" customHeight="1" x14ac:dyDescent="0.25">
      <c r="M6356"/>
      <c r="N6356"/>
      <c r="O6356"/>
      <c r="P6356" s="216"/>
      <c r="Q6356" s="217"/>
      <c r="R6356" s="217"/>
      <c r="S6356" s="218"/>
    </row>
    <row r="6357" spans="13:19" ht="15" customHeight="1" x14ac:dyDescent="0.25">
      <c r="M6357"/>
      <c r="N6357"/>
      <c r="O6357"/>
      <c r="P6357" s="216"/>
      <c r="Q6357" s="217"/>
      <c r="R6357" s="217"/>
      <c r="S6357" s="218"/>
    </row>
    <row r="6358" spans="13:19" ht="15" customHeight="1" x14ac:dyDescent="0.25">
      <c r="M6358"/>
      <c r="N6358"/>
      <c r="O6358"/>
      <c r="P6358" s="216"/>
      <c r="Q6358" s="217"/>
      <c r="R6358" s="217"/>
      <c r="S6358" s="218"/>
    </row>
    <row r="6359" spans="13:19" ht="15" customHeight="1" x14ac:dyDescent="0.25">
      <c r="M6359"/>
      <c r="N6359"/>
      <c r="O6359"/>
      <c r="P6359" s="216"/>
      <c r="Q6359" s="217"/>
      <c r="R6359" s="217"/>
      <c r="S6359" s="218"/>
    </row>
    <row r="6360" spans="13:19" ht="15" customHeight="1" x14ac:dyDescent="0.25">
      <c r="M6360"/>
      <c r="N6360"/>
      <c r="O6360"/>
      <c r="P6360" s="216"/>
      <c r="Q6360" s="217"/>
      <c r="R6360" s="217"/>
      <c r="S6360" s="218"/>
    </row>
    <row r="6361" spans="13:19" ht="15" customHeight="1" x14ac:dyDescent="0.25">
      <c r="M6361"/>
      <c r="N6361"/>
      <c r="O6361"/>
      <c r="P6361" s="216"/>
      <c r="Q6361" s="217"/>
      <c r="R6361" s="217"/>
      <c r="S6361" s="218"/>
    </row>
    <row r="6362" spans="13:19" ht="15" customHeight="1" x14ac:dyDescent="0.25">
      <c r="M6362"/>
      <c r="N6362"/>
      <c r="O6362"/>
      <c r="P6362" s="216"/>
      <c r="Q6362" s="217"/>
      <c r="R6362" s="217"/>
      <c r="S6362" s="218"/>
    </row>
    <row r="6363" spans="13:19" ht="15" customHeight="1" x14ac:dyDescent="0.25">
      <c r="M6363"/>
      <c r="N6363"/>
      <c r="O6363"/>
      <c r="P6363" s="216"/>
      <c r="Q6363" s="217"/>
      <c r="R6363" s="217"/>
      <c r="S6363" s="218"/>
    </row>
    <row r="6364" spans="13:19" ht="15" customHeight="1" x14ac:dyDescent="0.25">
      <c r="M6364"/>
      <c r="N6364"/>
      <c r="O6364"/>
      <c r="P6364" s="216"/>
      <c r="Q6364" s="217"/>
      <c r="R6364" s="217"/>
      <c r="S6364" s="218"/>
    </row>
    <row r="6365" spans="13:19" ht="15" customHeight="1" x14ac:dyDescent="0.25">
      <c r="M6365"/>
      <c r="N6365"/>
      <c r="O6365"/>
      <c r="P6365" s="216"/>
      <c r="Q6365" s="217"/>
      <c r="R6365" s="217"/>
      <c r="S6365" s="218"/>
    </row>
    <row r="6366" spans="13:19" ht="15" customHeight="1" x14ac:dyDescent="0.25">
      <c r="M6366"/>
      <c r="N6366"/>
      <c r="O6366"/>
      <c r="P6366" s="216"/>
      <c r="Q6366" s="217"/>
      <c r="R6366" s="217"/>
      <c r="S6366" s="218"/>
    </row>
    <row r="6367" spans="13:19" ht="15" customHeight="1" x14ac:dyDescent="0.25">
      <c r="M6367"/>
      <c r="N6367"/>
      <c r="O6367"/>
      <c r="P6367" s="216"/>
      <c r="Q6367" s="217"/>
      <c r="R6367" s="217"/>
      <c r="S6367" s="218"/>
    </row>
    <row r="6368" spans="13:19" ht="15" customHeight="1" x14ac:dyDescent="0.25">
      <c r="M6368"/>
      <c r="N6368"/>
      <c r="O6368"/>
      <c r="P6368" s="216"/>
      <c r="Q6368" s="217"/>
      <c r="R6368" s="217"/>
      <c r="S6368" s="218"/>
    </row>
    <row r="6369" spans="13:19" ht="15" customHeight="1" x14ac:dyDescent="0.25">
      <c r="M6369"/>
      <c r="N6369"/>
      <c r="O6369"/>
      <c r="P6369" s="216"/>
      <c r="Q6369" s="217"/>
      <c r="R6369" s="217"/>
      <c r="S6369" s="218"/>
    </row>
    <row r="6370" spans="13:19" ht="15" customHeight="1" x14ac:dyDescent="0.25">
      <c r="M6370"/>
      <c r="N6370"/>
      <c r="O6370"/>
      <c r="P6370" s="216"/>
      <c r="Q6370" s="217"/>
      <c r="R6370" s="217"/>
      <c r="S6370" s="218"/>
    </row>
    <row r="6371" spans="13:19" ht="15" customHeight="1" x14ac:dyDescent="0.25">
      <c r="M6371"/>
      <c r="N6371"/>
      <c r="O6371"/>
      <c r="P6371" s="216"/>
      <c r="Q6371" s="217"/>
      <c r="R6371" s="217"/>
      <c r="S6371" s="218"/>
    </row>
    <row r="6372" spans="13:19" ht="15" customHeight="1" x14ac:dyDescent="0.25">
      <c r="M6372"/>
      <c r="N6372"/>
      <c r="O6372"/>
      <c r="P6372" s="216"/>
      <c r="Q6372" s="217"/>
      <c r="R6372" s="217"/>
      <c r="S6372" s="218"/>
    </row>
    <row r="6373" spans="13:19" ht="15" customHeight="1" x14ac:dyDescent="0.25">
      <c r="M6373"/>
      <c r="N6373"/>
      <c r="O6373"/>
      <c r="P6373" s="216"/>
      <c r="Q6373" s="217"/>
      <c r="R6373" s="217"/>
      <c r="S6373" s="218"/>
    </row>
    <row r="6374" spans="13:19" ht="15" customHeight="1" x14ac:dyDescent="0.25">
      <c r="M6374"/>
      <c r="N6374"/>
      <c r="O6374"/>
      <c r="P6374" s="216"/>
      <c r="Q6374" s="217"/>
      <c r="R6374" s="217"/>
      <c r="S6374" s="218"/>
    </row>
    <row r="6375" spans="13:19" ht="15" customHeight="1" x14ac:dyDescent="0.25">
      <c r="M6375"/>
      <c r="N6375"/>
      <c r="O6375"/>
      <c r="P6375" s="216"/>
      <c r="Q6375" s="217"/>
      <c r="R6375" s="217"/>
      <c r="S6375" s="218"/>
    </row>
    <row r="6376" spans="13:19" ht="15" customHeight="1" x14ac:dyDescent="0.25">
      <c r="M6376"/>
      <c r="N6376"/>
      <c r="O6376"/>
      <c r="P6376" s="216"/>
      <c r="Q6376" s="217"/>
      <c r="R6376" s="217"/>
      <c r="S6376" s="218"/>
    </row>
    <row r="6377" spans="13:19" ht="15" customHeight="1" x14ac:dyDescent="0.25">
      <c r="M6377"/>
      <c r="N6377"/>
      <c r="O6377"/>
      <c r="P6377" s="216"/>
      <c r="Q6377" s="217"/>
      <c r="R6377" s="217"/>
      <c r="S6377" s="218"/>
    </row>
    <row r="6378" spans="13:19" ht="15" customHeight="1" x14ac:dyDescent="0.25">
      <c r="M6378"/>
      <c r="N6378"/>
      <c r="O6378"/>
      <c r="P6378" s="216"/>
      <c r="Q6378" s="217"/>
      <c r="R6378" s="217"/>
      <c r="S6378" s="218"/>
    </row>
    <row r="6379" spans="13:19" ht="15" customHeight="1" x14ac:dyDescent="0.25">
      <c r="M6379"/>
      <c r="N6379"/>
      <c r="O6379"/>
      <c r="P6379" s="216"/>
      <c r="Q6379" s="217"/>
      <c r="R6379" s="217"/>
      <c r="S6379" s="218"/>
    </row>
    <row r="6380" spans="13:19" ht="15" customHeight="1" x14ac:dyDescent="0.25">
      <c r="M6380"/>
      <c r="N6380"/>
      <c r="O6380"/>
      <c r="P6380" s="216"/>
      <c r="Q6380" s="217"/>
      <c r="R6380" s="217"/>
      <c r="S6380" s="218"/>
    </row>
    <row r="6381" spans="13:19" ht="15" customHeight="1" x14ac:dyDescent="0.25">
      <c r="M6381"/>
      <c r="N6381"/>
      <c r="O6381"/>
      <c r="P6381" s="216"/>
      <c r="Q6381" s="217"/>
      <c r="R6381" s="217"/>
      <c r="S6381" s="218"/>
    </row>
    <row r="6382" spans="13:19" ht="15" customHeight="1" x14ac:dyDescent="0.25">
      <c r="M6382"/>
      <c r="N6382"/>
      <c r="O6382"/>
      <c r="P6382" s="216"/>
      <c r="Q6382" s="217"/>
      <c r="R6382" s="217"/>
      <c r="S6382" s="218"/>
    </row>
    <row r="6383" spans="13:19" ht="15" customHeight="1" x14ac:dyDescent="0.25">
      <c r="M6383"/>
      <c r="N6383"/>
      <c r="O6383"/>
      <c r="P6383" s="216"/>
      <c r="Q6383" s="217"/>
      <c r="R6383" s="217"/>
      <c r="S6383" s="218"/>
    </row>
    <row r="6384" spans="13:19" ht="15" customHeight="1" x14ac:dyDescent="0.25">
      <c r="M6384"/>
      <c r="N6384"/>
      <c r="O6384"/>
      <c r="P6384" s="216"/>
      <c r="Q6384" s="217"/>
      <c r="R6384" s="217"/>
      <c r="S6384" s="218"/>
    </row>
    <row r="6385" spans="13:19" ht="15" customHeight="1" x14ac:dyDescent="0.25">
      <c r="M6385"/>
      <c r="N6385"/>
      <c r="O6385"/>
      <c r="P6385" s="216"/>
      <c r="Q6385" s="217"/>
      <c r="R6385" s="217"/>
      <c r="S6385" s="218"/>
    </row>
    <row r="6386" spans="13:19" ht="15" customHeight="1" x14ac:dyDescent="0.25">
      <c r="M6386"/>
      <c r="N6386"/>
      <c r="O6386"/>
      <c r="P6386" s="216"/>
      <c r="Q6386" s="217"/>
      <c r="R6386" s="217"/>
      <c r="S6386" s="218"/>
    </row>
    <row r="6387" spans="13:19" ht="15" customHeight="1" x14ac:dyDescent="0.25">
      <c r="M6387"/>
      <c r="N6387"/>
      <c r="O6387"/>
      <c r="P6387" s="216"/>
      <c r="Q6387" s="217"/>
      <c r="R6387" s="217"/>
      <c r="S6387" s="218"/>
    </row>
    <row r="6388" spans="13:19" ht="15" customHeight="1" x14ac:dyDescent="0.25">
      <c r="M6388"/>
      <c r="N6388"/>
      <c r="O6388"/>
      <c r="P6388" s="216"/>
      <c r="Q6388" s="217"/>
      <c r="R6388" s="217"/>
      <c r="S6388" s="218"/>
    </row>
    <row r="6389" spans="13:19" ht="15" customHeight="1" x14ac:dyDescent="0.25">
      <c r="M6389"/>
      <c r="N6389"/>
      <c r="O6389"/>
      <c r="P6389" s="216"/>
      <c r="Q6389" s="217"/>
      <c r="R6389" s="217"/>
      <c r="S6389" s="218"/>
    </row>
    <row r="6390" spans="13:19" ht="15" customHeight="1" x14ac:dyDescent="0.25">
      <c r="M6390"/>
      <c r="N6390"/>
      <c r="O6390"/>
      <c r="P6390" s="216"/>
      <c r="Q6390" s="217"/>
      <c r="R6390" s="217"/>
      <c r="S6390" s="218"/>
    </row>
    <row r="6391" spans="13:19" ht="15" customHeight="1" x14ac:dyDescent="0.25">
      <c r="M6391"/>
      <c r="N6391"/>
      <c r="O6391"/>
      <c r="P6391" s="216"/>
      <c r="Q6391" s="217"/>
      <c r="R6391" s="217"/>
      <c r="S6391" s="218"/>
    </row>
    <row r="6392" spans="13:19" ht="15" customHeight="1" x14ac:dyDescent="0.25">
      <c r="M6392"/>
      <c r="N6392"/>
      <c r="O6392"/>
      <c r="P6392" s="216"/>
      <c r="Q6392" s="217"/>
      <c r="R6392" s="217"/>
      <c r="S6392" s="218"/>
    </row>
    <row r="6393" spans="13:19" ht="15" customHeight="1" x14ac:dyDescent="0.25">
      <c r="M6393"/>
      <c r="N6393"/>
      <c r="O6393"/>
      <c r="P6393" s="216"/>
      <c r="Q6393" s="217"/>
      <c r="R6393" s="217"/>
      <c r="S6393" s="218"/>
    </row>
    <row r="6394" spans="13:19" ht="15" customHeight="1" x14ac:dyDescent="0.25">
      <c r="M6394"/>
      <c r="N6394"/>
      <c r="O6394"/>
      <c r="P6394" s="216"/>
      <c r="Q6394" s="217"/>
      <c r="R6394" s="217"/>
      <c r="S6394" s="218"/>
    </row>
    <row r="6395" spans="13:19" ht="15" customHeight="1" x14ac:dyDescent="0.25">
      <c r="M6395"/>
      <c r="N6395"/>
      <c r="O6395"/>
      <c r="P6395" s="216"/>
      <c r="Q6395" s="217"/>
      <c r="R6395" s="217"/>
      <c r="S6395" s="218"/>
    </row>
    <row r="6396" spans="13:19" ht="15" customHeight="1" x14ac:dyDescent="0.25">
      <c r="M6396"/>
      <c r="N6396"/>
      <c r="O6396"/>
      <c r="P6396" s="216"/>
      <c r="Q6396" s="217"/>
      <c r="R6396" s="217"/>
      <c r="S6396" s="218"/>
    </row>
    <row r="6397" spans="13:19" ht="15" customHeight="1" x14ac:dyDescent="0.25">
      <c r="M6397"/>
      <c r="N6397"/>
      <c r="O6397"/>
      <c r="P6397" s="216"/>
      <c r="Q6397" s="217"/>
      <c r="R6397" s="217"/>
      <c r="S6397" s="218"/>
    </row>
    <row r="6398" spans="13:19" ht="15" customHeight="1" x14ac:dyDescent="0.25">
      <c r="M6398"/>
      <c r="N6398"/>
      <c r="O6398"/>
      <c r="P6398" s="216"/>
      <c r="Q6398" s="217"/>
      <c r="R6398" s="217"/>
      <c r="S6398" s="218"/>
    </row>
    <row r="6399" spans="13:19" ht="15" customHeight="1" x14ac:dyDescent="0.25">
      <c r="M6399"/>
      <c r="N6399"/>
      <c r="O6399"/>
      <c r="P6399" s="216"/>
      <c r="Q6399" s="217"/>
      <c r="R6399" s="217"/>
      <c r="S6399" s="218"/>
    </row>
    <row r="6400" spans="13:19" ht="15" customHeight="1" x14ac:dyDescent="0.25">
      <c r="M6400"/>
      <c r="N6400"/>
      <c r="O6400"/>
      <c r="P6400" s="216"/>
      <c r="Q6400" s="217"/>
      <c r="R6400" s="217"/>
      <c r="S6400" s="218"/>
    </row>
    <row r="6401" spans="13:19" ht="15" customHeight="1" x14ac:dyDescent="0.25">
      <c r="M6401"/>
      <c r="N6401"/>
      <c r="O6401"/>
      <c r="P6401" s="216"/>
      <c r="Q6401" s="217"/>
      <c r="R6401" s="217"/>
      <c r="S6401" s="218"/>
    </row>
    <row r="6402" spans="13:19" ht="15" customHeight="1" x14ac:dyDescent="0.25">
      <c r="M6402"/>
      <c r="N6402"/>
      <c r="O6402"/>
      <c r="P6402" s="216"/>
      <c r="Q6402" s="217"/>
      <c r="R6402" s="217"/>
      <c r="S6402" s="218"/>
    </row>
    <row r="6403" spans="13:19" ht="15" customHeight="1" x14ac:dyDescent="0.25">
      <c r="M6403"/>
      <c r="N6403"/>
      <c r="O6403"/>
      <c r="P6403" s="216"/>
      <c r="Q6403" s="217"/>
      <c r="R6403" s="217"/>
      <c r="S6403" s="218"/>
    </row>
    <row r="6404" spans="13:19" ht="15" customHeight="1" x14ac:dyDescent="0.25">
      <c r="M6404"/>
      <c r="N6404"/>
      <c r="O6404"/>
      <c r="P6404" s="216"/>
      <c r="Q6404" s="217"/>
      <c r="R6404" s="217"/>
      <c r="S6404" s="218"/>
    </row>
    <row r="6405" spans="13:19" ht="15" customHeight="1" x14ac:dyDescent="0.25">
      <c r="M6405"/>
      <c r="N6405"/>
      <c r="O6405"/>
      <c r="P6405" s="216"/>
      <c r="Q6405" s="217"/>
      <c r="R6405" s="217"/>
      <c r="S6405" s="218"/>
    </row>
    <row r="6406" spans="13:19" ht="15" customHeight="1" x14ac:dyDescent="0.25">
      <c r="M6406"/>
      <c r="N6406"/>
      <c r="O6406"/>
      <c r="P6406" s="216"/>
      <c r="Q6406" s="217"/>
      <c r="R6406" s="217"/>
      <c r="S6406" s="218"/>
    </row>
    <row r="6407" spans="13:19" ht="15" customHeight="1" x14ac:dyDescent="0.25">
      <c r="M6407"/>
      <c r="N6407"/>
      <c r="O6407"/>
      <c r="P6407" s="216"/>
      <c r="Q6407" s="217"/>
      <c r="R6407" s="217"/>
      <c r="S6407" s="218"/>
    </row>
    <row r="6408" spans="13:19" ht="15" customHeight="1" x14ac:dyDescent="0.25">
      <c r="M6408"/>
      <c r="N6408"/>
      <c r="O6408"/>
      <c r="P6408" s="216"/>
      <c r="Q6408" s="217"/>
      <c r="R6408" s="217"/>
      <c r="S6408" s="218"/>
    </row>
    <row r="6409" spans="13:19" ht="15" customHeight="1" x14ac:dyDescent="0.25">
      <c r="M6409"/>
      <c r="N6409"/>
      <c r="O6409"/>
      <c r="P6409" s="216"/>
      <c r="Q6409" s="217"/>
      <c r="R6409" s="217"/>
      <c r="S6409" s="218"/>
    </row>
    <row r="6410" spans="13:19" ht="15" customHeight="1" x14ac:dyDescent="0.25">
      <c r="M6410"/>
      <c r="N6410"/>
      <c r="O6410"/>
      <c r="P6410" s="216"/>
      <c r="Q6410" s="217"/>
      <c r="R6410" s="217"/>
      <c r="S6410" s="218"/>
    </row>
    <row r="6411" spans="13:19" ht="15" customHeight="1" x14ac:dyDescent="0.25">
      <c r="M6411"/>
      <c r="N6411"/>
      <c r="O6411"/>
      <c r="P6411" s="216"/>
      <c r="Q6411" s="217"/>
      <c r="R6411" s="217"/>
      <c r="S6411" s="218"/>
    </row>
    <row r="6412" spans="13:19" ht="15" customHeight="1" x14ac:dyDescent="0.25">
      <c r="M6412"/>
      <c r="N6412"/>
      <c r="O6412"/>
      <c r="P6412" s="216"/>
      <c r="Q6412" s="217"/>
      <c r="R6412" s="217"/>
      <c r="S6412" s="218"/>
    </row>
    <row r="6413" spans="13:19" ht="15" customHeight="1" x14ac:dyDescent="0.25">
      <c r="M6413"/>
      <c r="N6413"/>
      <c r="O6413"/>
      <c r="P6413" s="216"/>
      <c r="Q6413" s="217"/>
      <c r="R6413" s="217"/>
      <c r="S6413" s="218"/>
    </row>
    <row r="6414" spans="13:19" ht="15" customHeight="1" x14ac:dyDescent="0.25">
      <c r="M6414"/>
      <c r="N6414"/>
      <c r="O6414"/>
      <c r="P6414" s="216"/>
      <c r="Q6414" s="217"/>
      <c r="R6414" s="217"/>
      <c r="S6414" s="218"/>
    </row>
    <row r="6415" spans="13:19" ht="15" customHeight="1" x14ac:dyDescent="0.25">
      <c r="M6415"/>
      <c r="N6415"/>
      <c r="O6415"/>
      <c r="P6415" s="216"/>
      <c r="Q6415" s="217"/>
      <c r="R6415" s="217"/>
      <c r="S6415" s="218"/>
    </row>
    <row r="6416" spans="13:19" ht="15" customHeight="1" x14ac:dyDescent="0.25">
      <c r="M6416"/>
      <c r="N6416"/>
      <c r="O6416"/>
      <c r="P6416" s="216"/>
      <c r="Q6416" s="217"/>
      <c r="R6416" s="217"/>
      <c r="S6416" s="218"/>
    </row>
    <row r="6417" spans="13:19" ht="15" customHeight="1" x14ac:dyDescent="0.25">
      <c r="M6417"/>
      <c r="N6417"/>
      <c r="O6417"/>
      <c r="P6417" s="216"/>
      <c r="Q6417" s="217"/>
      <c r="R6417" s="217"/>
      <c r="S6417" s="218"/>
    </row>
    <row r="6418" spans="13:19" ht="15" customHeight="1" x14ac:dyDescent="0.25">
      <c r="M6418"/>
      <c r="N6418"/>
      <c r="O6418"/>
      <c r="P6418" s="216"/>
      <c r="Q6418" s="217"/>
      <c r="R6418" s="217"/>
      <c r="S6418" s="218"/>
    </row>
    <row r="6419" spans="13:19" ht="15" customHeight="1" x14ac:dyDescent="0.25">
      <c r="M6419"/>
      <c r="N6419"/>
      <c r="O6419"/>
      <c r="P6419" s="216"/>
      <c r="Q6419" s="217"/>
      <c r="R6419" s="217"/>
      <c r="S6419" s="218"/>
    </row>
    <row r="6420" spans="13:19" ht="15" customHeight="1" x14ac:dyDescent="0.25">
      <c r="M6420"/>
      <c r="N6420"/>
      <c r="O6420"/>
      <c r="P6420" s="216"/>
      <c r="Q6420" s="217"/>
      <c r="R6420" s="217"/>
      <c r="S6420" s="218"/>
    </row>
    <row r="6421" spans="13:19" ht="15" customHeight="1" x14ac:dyDescent="0.25">
      <c r="M6421"/>
      <c r="N6421"/>
      <c r="O6421"/>
      <c r="P6421" s="216"/>
      <c r="Q6421" s="217"/>
      <c r="R6421" s="217"/>
      <c r="S6421" s="218"/>
    </row>
    <row r="6422" spans="13:19" ht="15" customHeight="1" x14ac:dyDescent="0.25">
      <c r="M6422"/>
      <c r="N6422"/>
      <c r="O6422"/>
      <c r="P6422" s="216"/>
      <c r="Q6422" s="217"/>
      <c r="R6422" s="217"/>
      <c r="S6422" s="218"/>
    </row>
    <row r="6423" spans="13:19" ht="15" customHeight="1" x14ac:dyDescent="0.25">
      <c r="M6423"/>
      <c r="N6423"/>
      <c r="O6423"/>
      <c r="P6423" s="216"/>
      <c r="Q6423" s="217"/>
      <c r="R6423" s="217"/>
      <c r="S6423" s="218"/>
    </row>
    <row r="6424" spans="13:19" ht="15" customHeight="1" x14ac:dyDescent="0.25">
      <c r="M6424"/>
      <c r="N6424"/>
      <c r="O6424"/>
      <c r="P6424" s="216"/>
      <c r="Q6424" s="217"/>
      <c r="R6424" s="217"/>
      <c r="S6424" s="218"/>
    </row>
    <row r="6425" spans="13:19" ht="15" customHeight="1" x14ac:dyDescent="0.25">
      <c r="M6425"/>
      <c r="N6425"/>
      <c r="O6425"/>
      <c r="P6425" s="216"/>
      <c r="Q6425" s="217"/>
      <c r="R6425" s="217"/>
      <c r="S6425" s="218"/>
    </row>
    <row r="6426" spans="13:19" ht="15" customHeight="1" x14ac:dyDescent="0.25">
      <c r="M6426"/>
      <c r="N6426"/>
      <c r="O6426"/>
      <c r="P6426" s="216"/>
      <c r="Q6426" s="217"/>
      <c r="R6426" s="217"/>
      <c r="S6426" s="218"/>
    </row>
    <row r="6427" spans="13:19" ht="15" customHeight="1" x14ac:dyDescent="0.25">
      <c r="M6427"/>
      <c r="N6427"/>
      <c r="O6427"/>
      <c r="P6427" s="216"/>
      <c r="Q6427" s="217"/>
      <c r="R6427" s="217"/>
      <c r="S6427" s="218"/>
    </row>
    <row r="6428" spans="13:19" ht="15" customHeight="1" x14ac:dyDescent="0.25">
      <c r="M6428"/>
      <c r="N6428"/>
      <c r="O6428"/>
      <c r="P6428" s="216"/>
      <c r="Q6428" s="217"/>
      <c r="R6428" s="217"/>
      <c r="S6428" s="218"/>
    </row>
    <row r="6429" spans="13:19" ht="15" customHeight="1" x14ac:dyDescent="0.25">
      <c r="M6429"/>
      <c r="N6429"/>
      <c r="O6429"/>
      <c r="P6429" s="216"/>
      <c r="Q6429" s="217"/>
      <c r="R6429" s="217"/>
      <c r="S6429" s="218"/>
    </row>
    <row r="6430" spans="13:19" ht="15" customHeight="1" x14ac:dyDescent="0.25">
      <c r="M6430"/>
      <c r="N6430"/>
      <c r="O6430"/>
      <c r="P6430" s="216"/>
      <c r="Q6430" s="217"/>
      <c r="R6430" s="217"/>
      <c r="S6430" s="218"/>
    </row>
    <row r="6431" spans="13:19" ht="15" customHeight="1" x14ac:dyDescent="0.25">
      <c r="M6431"/>
      <c r="N6431"/>
      <c r="O6431"/>
      <c r="P6431" s="216"/>
      <c r="Q6431" s="217"/>
      <c r="R6431" s="217"/>
      <c r="S6431" s="218"/>
    </row>
    <row r="6432" spans="13:19" ht="15" customHeight="1" x14ac:dyDescent="0.25">
      <c r="M6432"/>
      <c r="N6432"/>
      <c r="O6432"/>
      <c r="P6432" s="216"/>
      <c r="Q6432" s="217"/>
      <c r="R6432" s="217"/>
      <c r="S6432" s="218"/>
    </row>
    <row r="6433" spans="13:19" ht="15" customHeight="1" x14ac:dyDescent="0.25">
      <c r="M6433"/>
      <c r="N6433"/>
      <c r="O6433"/>
      <c r="P6433" s="216"/>
      <c r="Q6433" s="217"/>
      <c r="R6433" s="217"/>
      <c r="S6433" s="218"/>
    </row>
    <row r="6434" spans="13:19" ht="15" customHeight="1" x14ac:dyDescent="0.25">
      <c r="M6434"/>
      <c r="N6434"/>
      <c r="O6434"/>
      <c r="P6434" s="216"/>
      <c r="Q6434" s="217"/>
      <c r="R6434" s="217"/>
      <c r="S6434" s="218"/>
    </row>
    <row r="6435" spans="13:19" ht="15" customHeight="1" x14ac:dyDescent="0.25">
      <c r="M6435"/>
      <c r="N6435"/>
      <c r="O6435"/>
      <c r="P6435" s="216"/>
      <c r="Q6435" s="217"/>
      <c r="R6435" s="217"/>
      <c r="S6435" s="218"/>
    </row>
    <row r="6436" spans="13:19" ht="15" customHeight="1" x14ac:dyDescent="0.25">
      <c r="M6436"/>
      <c r="N6436"/>
      <c r="O6436"/>
      <c r="P6436" s="216"/>
      <c r="Q6436" s="217"/>
      <c r="R6436" s="217"/>
      <c r="S6436" s="218"/>
    </row>
    <row r="6437" spans="13:19" ht="15" customHeight="1" x14ac:dyDescent="0.25">
      <c r="M6437"/>
      <c r="N6437"/>
      <c r="O6437"/>
      <c r="P6437" s="216"/>
      <c r="Q6437" s="217"/>
      <c r="R6437" s="217"/>
      <c r="S6437" s="218"/>
    </row>
    <row r="6438" spans="13:19" ht="15" customHeight="1" x14ac:dyDescent="0.25">
      <c r="M6438"/>
      <c r="N6438"/>
      <c r="O6438"/>
      <c r="P6438" s="216"/>
      <c r="Q6438" s="217"/>
      <c r="R6438" s="217"/>
      <c r="S6438" s="218"/>
    </row>
    <row r="6439" spans="13:19" ht="15" customHeight="1" x14ac:dyDescent="0.25">
      <c r="M6439"/>
      <c r="N6439"/>
      <c r="O6439"/>
      <c r="P6439" s="216"/>
      <c r="Q6439" s="217"/>
      <c r="R6439" s="217"/>
      <c r="S6439" s="218"/>
    </row>
    <row r="6440" spans="13:19" ht="15" customHeight="1" x14ac:dyDescent="0.25">
      <c r="M6440"/>
      <c r="N6440"/>
      <c r="O6440"/>
      <c r="P6440" s="216"/>
      <c r="Q6440" s="217"/>
      <c r="R6440" s="217"/>
      <c r="S6440" s="218"/>
    </row>
    <row r="6441" spans="13:19" ht="15" customHeight="1" x14ac:dyDescent="0.25">
      <c r="M6441"/>
      <c r="N6441"/>
      <c r="O6441"/>
      <c r="P6441" s="216"/>
      <c r="Q6441" s="217"/>
      <c r="R6441" s="217"/>
      <c r="S6441" s="218"/>
    </row>
    <row r="6442" spans="13:19" ht="15" customHeight="1" x14ac:dyDescent="0.25">
      <c r="M6442"/>
      <c r="N6442"/>
      <c r="O6442"/>
      <c r="P6442" s="216"/>
      <c r="Q6442" s="217"/>
      <c r="R6442" s="217"/>
      <c r="S6442" s="218"/>
    </row>
    <row r="6443" spans="13:19" ht="15" customHeight="1" x14ac:dyDescent="0.25">
      <c r="M6443"/>
      <c r="N6443"/>
      <c r="O6443"/>
      <c r="P6443" s="216"/>
      <c r="Q6443" s="217"/>
      <c r="R6443" s="217"/>
      <c r="S6443" s="218"/>
    </row>
    <row r="6444" spans="13:19" ht="15" customHeight="1" x14ac:dyDescent="0.25">
      <c r="M6444"/>
      <c r="N6444"/>
      <c r="O6444"/>
      <c r="P6444" s="216"/>
      <c r="Q6444" s="217"/>
      <c r="R6444" s="217"/>
      <c r="S6444" s="218"/>
    </row>
    <row r="6445" spans="13:19" ht="15" customHeight="1" x14ac:dyDescent="0.25">
      <c r="M6445"/>
      <c r="N6445"/>
      <c r="O6445"/>
      <c r="P6445" s="216"/>
      <c r="Q6445" s="217"/>
      <c r="R6445" s="217"/>
      <c r="S6445" s="218"/>
    </row>
    <row r="6446" spans="13:19" ht="15" customHeight="1" x14ac:dyDescent="0.25">
      <c r="M6446"/>
      <c r="N6446"/>
      <c r="O6446"/>
      <c r="P6446" s="216"/>
      <c r="Q6446" s="217"/>
      <c r="R6446" s="217"/>
      <c r="S6446" s="218"/>
    </row>
    <row r="6447" spans="13:19" ht="15" customHeight="1" x14ac:dyDescent="0.25">
      <c r="M6447"/>
      <c r="N6447"/>
      <c r="O6447"/>
      <c r="P6447" s="216"/>
      <c r="Q6447" s="217"/>
      <c r="R6447" s="217"/>
      <c r="S6447" s="218"/>
    </row>
    <row r="6448" spans="13:19" ht="15" customHeight="1" x14ac:dyDescent="0.25">
      <c r="M6448"/>
      <c r="N6448"/>
      <c r="O6448"/>
      <c r="P6448" s="216"/>
      <c r="Q6448" s="217"/>
      <c r="R6448" s="217"/>
      <c r="S6448" s="218"/>
    </row>
    <row r="6449" spans="13:19" ht="15" customHeight="1" x14ac:dyDescent="0.25">
      <c r="M6449"/>
      <c r="N6449"/>
      <c r="O6449"/>
      <c r="P6449" s="216"/>
      <c r="Q6449" s="217"/>
      <c r="R6449" s="217"/>
      <c r="S6449" s="218"/>
    </row>
    <row r="6450" spans="13:19" ht="15" customHeight="1" x14ac:dyDescent="0.25">
      <c r="M6450"/>
      <c r="N6450"/>
      <c r="O6450"/>
      <c r="P6450" s="216"/>
      <c r="Q6450" s="217"/>
      <c r="R6450" s="217"/>
      <c r="S6450" s="218"/>
    </row>
    <row r="6451" spans="13:19" ht="15" customHeight="1" x14ac:dyDescent="0.25">
      <c r="M6451"/>
      <c r="N6451"/>
      <c r="O6451"/>
      <c r="P6451" s="216"/>
      <c r="Q6451" s="217"/>
      <c r="R6451" s="217"/>
      <c r="S6451" s="218"/>
    </row>
    <row r="6452" spans="13:19" ht="15" customHeight="1" x14ac:dyDescent="0.25">
      <c r="M6452"/>
      <c r="N6452"/>
      <c r="O6452"/>
      <c r="P6452" s="216"/>
      <c r="Q6452" s="217"/>
      <c r="R6452" s="217"/>
      <c r="S6452" s="218"/>
    </row>
    <row r="6453" spans="13:19" ht="15" customHeight="1" x14ac:dyDescent="0.25">
      <c r="M6453"/>
      <c r="N6453"/>
      <c r="O6453"/>
      <c r="P6453" s="216"/>
      <c r="Q6453" s="217"/>
      <c r="R6453" s="217"/>
      <c r="S6453" s="218"/>
    </row>
    <row r="6454" spans="13:19" ht="15" customHeight="1" x14ac:dyDescent="0.25">
      <c r="M6454"/>
      <c r="N6454"/>
      <c r="O6454"/>
      <c r="P6454" s="216"/>
      <c r="Q6454" s="217"/>
      <c r="R6454" s="217"/>
      <c r="S6454" s="218"/>
    </row>
    <row r="6455" spans="13:19" ht="15" customHeight="1" x14ac:dyDescent="0.25">
      <c r="M6455"/>
      <c r="N6455"/>
      <c r="O6455"/>
      <c r="P6455" s="216"/>
      <c r="Q6455" s="217"/>
      <c r="R6455" s="217"/>
      <c r="S6455" s="218"/>
    </row>
    <row r="6456" spans="13:19" ht="15" customHeight="1" x14ac:dyDescent="0.25">
      <c r="M6456"/>
      <c r="N6456"/>
      <c r="O6456"/>
      <c r="P6456" s="216"/>
      <c r="Q6456" s="217"/>
      <c r="R6456" s="217"/>
      <c r="S6456" s="218"/>
    </row>
    <row r="6457" spans="13:19" ht="15" customHeight="1" x14ac:dyDescent="0.25">
      <c r="M6457"/>
      <c r="N6457"/>
      <c r="O6457"/>
      <c r="P6457" s="216"/>
      <c r="Q6457" s="217"/>
      <c r="R6457" s="217"/>
      <c r="S6457" s="218"/>
    </row>
    <row r="6458" spans="13:19" ht="15" customHeight="1" x14ac:dyDescent="0.25">
      <c r="M6458"/>
      <c r="N6458"/>
      <c r="O6458"/>
      <c r="P6458" s="216"/>
      <c r="Q6458" s="217"/>
      <c r="R6458" s="217"/>
      <c r="S6458" s="218"/>
    </row>
    <row r="6459" spans="13:19" ht="15" customHeight="1" x14ac:dyDescent="0.25">
      <c r="M6459"/>
      <c r="N6459"/>
      <c r="O6459"/>
      <c r="P6459" s="216"/>
      <c r="Q6459" s="217"/>
      <c r="R6459" s="217"/>
      <c r="S6459" s="218"/>
    </row>
    <row r="6460" spans="13:19" ht="15" customHeight="1" x14ac:dyDescent="0.25">
      <c r="M6460"/>
      <c r="N6460"/>
      <c r="O6460"/>
      <c r="P6460" s="216"/>
      <c r="Q6460" s="217"/>
      <c r="R6460" s="217"/>
      <c r="S6460" s="218"/>
    </row>
    <row r="6461" spans="13:19" ht="15" customHeight="1" x14ac:dyDescent="0.25">
      <c r="M6461"/>
      <c r="N6461"/>
      <c r="O6461"/>
      <c r="P6461" s="216"/>
      <c r="Q6461" s="217"/>
      <c r="R6461" s="217"/>
      <c r="S6461" s="218"/>
    </row>
    <row r="6462" spans="13:19" ht="15" customHeight="1" x14ac:dyDescent="0.25">
      <c r="M6462"/>
      <c r="N6462"/>
      <c r="O6462"/>
      <c r="P6462" s="216"/>
      <c r="Q6462" s="217"/>
      <c r="R6462" s="217"/>
      <c r="S6462" s="218"/>
    </row>
    <row r="6463" spans="13:19" ht="15" customHeight="1" x14ac:dyDescent="0.25">
      <c r="M6463"/>
      <c r="N6463"/>
      <c r="O6463"/>
      <c r="P6463" s="216"/>
      <c r="Q6463" s="217"/>
      <c r="R6463" s="217"/>
      <c r="S6463" s="218"/>
    </row>
    <row r="6464" spans="13:19" ht="15" customHeight="1" x14ac:dyDescent="0.25">
      <c r="M6464"/>
      <c r="N6464"/>
      <c r="O6464"/>
      <c r="P6464" s="216"/>
      <c r="Q6464" s="217"/>
      <c r="R6464" s="217"/>
      <c r="S6464" s="218"/>
    </row>
    <row r="6465" spans="13:19" ht="15" customHeight="1" x14ac:dyDescent="0.25">
      <c r="M6465"/>
      <c r="N6465"/>
      <c r="O6465"/>
      <c r="P6465" s="216"/>
      <c r="Q6465" s="217"/>
      <c r="R6465" s="217"/>
      <c r="S6465" s="218"/>
    </row>
    <row r="6466" spans="13:19" ht="15" customHeight="1" x14ac:dyDescent="0.25">
      <c r="M6466"/>
      <c r="N6466"/>
      <c r="O6466"/>
      <c r="P6466" s="216"/>
      <c r="Q6466" s="217"/>
      <c r="R6466" s="217"/>
      <c r="S6466" s="218"/>
    </row>
    <row r="6467" spans="13:19" ht="15" customHeight="1" x14ac:dyDescent="0.25">
      <c r="M6467"/>
      <c r="N6467"/>
      <c r="O6467"/>
      <c r="P6467" s="216"/>
      <c r="Q6467" s="217"/>
      <c r="R6467" s="217"/>
      <c r="S6467" s="218"/>
    </row>
    <row r="6468" spans="13:19" ht="15" customHeight="1" x14ac:dyDescent="0.25">
      <c r="M6468"/>
      <c r="N6468"/>
      <c r="O6468"/>
      <c r="P6468" s="216"/>
      <c r="Q6468" s="217"/>
      <c r="R6468" s="217"/>
      <c r="S6468" s="218"/>
    </row>
    <row r="6469" spans="13:19" ht="15" customHeight="1" x14ac:dyDescent="0.25">
      <c r="M6469"/>
      <c r="N6469"/>
      <c r="O6469"/>
      <c r="P6469" s="216"/>
      <c r="Q6469" s="217"/>
      <c r="R6469" s="217"/>
      <c r="S6469" s="218"/>
    </row>
    <row r="6470" spans="13:19" ht="15" customHeight="1" x14ac:dyDescent="0.25">
      <c r="M6470"/>
      <c r="N6470"/>
      <c r="O6470"/>
      <c r="P6470" s="216"/>
      <c r="Q6470" s="217"/>
      <c r="R6470" s="217"/>
      <c r="S6470" s="218"/>
    </row>
    <row r="6471" spans="13:19" ht="15" customHeight="1" x14ac:dyDescent="0.25">
      <c r="M6471"/>
      <c r="N6471"/>
      <c r="O6471"/>
      <c r="P6471" s="216"/>
      <c r="Q6471" s="217"/>
      <c r="R6471" s="217"/>
      <c r="S6471" s="218"/>
    </row>
    <row r="6472" spans="13:19" ht="15" customHeight="1" x14ac:dyDescent="0.25">
      <c r="M6472"/>
      <c r="N6472"/>
      <c r="O6472"/>
      <c r="P6472" s="216"/>
      <c r="Q6472" s="217"/>
      <c r="R6472" s="217"/>
      <c r="S6472" s="218"/>
    </row>
    <row r="6473" spans="13:19" ht="15" customHeight="1" x14ac:dyDescent="0.25">
      <c r="M6473"/>
      <c r="N6473"/>
      <c r="O6473"/>
      <c r="P6473" s="216"/>
      <c r="Q6473" s="217"/>
      <c r="R6473" s="217"/>
      <c r="S6473" s="218"/>
    </row>
    <row r="6474" spans="13:19" ht="15" customHeight="1" x14ac:dyDescent="0.25">
      <c r="M6474"/>
      <c r="N6474"/>
      <c r="O6474"/>
      <c r="P6474" s="216"/>
      <c r="Q6474" s="217"/>
      <c r="R6474" s="217"/>
      <c r="S6474" s="218"/>
    </row>
    <row r="6475" spans="13:19" ht="15" customHeight="1" x14ac:dyDescent="0.25">
      <c r="M6475"/>
      <c r="N6475"/>
      <c r="O6475"/>
      <c r="P6475" s="216"/>
      <c r="Q6475" s="217"/>
      <c r="R6475" s="217"/>
      <c r="S6475" s="218"/>
    </row>
    <row r="6476" spans="13:19" ht="15" customHeight="1" x14ac:dyDescent="0.25">
      <c r="M6476"/>
      <c r="N6476"/>
      <c r="O6476"/>
      <c r="P6476" s="216"/>
      <c r="Q6476" s="217"/>
      <c r="R6476" s="217"/>
      <c r="S6476" s="218"/>
    </row>
    <row r="6477" spans="13:19" ht="15" customHeight="1" x14ac:dyDescent="0.25">
      <c r="M6477"/>
      <c r="N6477"/>
      <c r="O6477"/>
      <c r="P6477" s="216"/>
      <c r="Q6477" s="217"/>
      <c r="R6477" s="217"/>
      <c r="S6477" s="218"/>
    </row>
    <row r="6478" spans="13:19" ht="15" customHeight="1" x14ac:dyDescent="0.25">
      <c r="M6478"/>
      <c r="N6478"/>
      <c r="O6478"/>
      <c r="P6478" s="216"/>
      <c r="Q6478" s="217"/>
      <c r="R6478" s="217"/>
      <c r="S6478" s="218"/>
    </row>
    <row r="6479" spans="13:19" ht="15" customHeight="1" x14ac:dyDescent="0.25">
      <c r="M6479"/>
      <c r="N6479"/>
      <c r="O6479"/>
      <c r="P6479" s="216"/>
      <c r="Q6479" s="217"/>
      <c r="R6479" s="217"/>
      <c r="S6479" s="218"/>
    </row>
    <row r="6480" spans="13:19" ht="15" customHeight="1" x14ac:dyDescent="0.25">
      <c r="M6480"/>
      <c r="N6480"/>
      <c r="O6480"/>
      <c r="P6480" s="216"/>
      <c r="Q6480" s="217"/>
      <c r="R6480" s="217"/>
      <c r="S6480" s="218"/>
    </row>
    <row r="6481" spans="13:19" ht="15" customHeight="1" x14ac:dyDescent="0.25">
      <c r="M6481"/>
      <c r="N6481"/>
      <c r="O6481"/>
      <c r="P6481" s="216"/>
      <c r="Q6481" s="217"/>
      <c r="R6481" s="217"/>
      <c r="S6481" s="218"/>
    </row>
    <row r="6482" spans="13:19" ht="15" customHeight="1" x14ac:dyDescent="0.25">
      <c r="M6482"/>
      <c r="N6482"/>
      <c r="O6482"/>
      <c r="P6482" s="216"/>
      <c r="Q6482" s="217"/>
      <c r="R6482" s="217"/>
      <c r="S6482" s="218"/>
    </row>
    <row r="6483" spans="13:19" ht="15" customHeight="1" x14ac:dyDescent="0.25">
      <c r="M6483"/>
      <c r="N6483"/>
      <c r="O6483"/>
      <c r="P6483" s="216"/>
      <c r="Q6483" s="217"/>
      <c r="R6483" s="217"/>
      <c r="S6483" s="218"/>
    </row>
    <row r="6484" spans="13:19" ht="15" customHeight="1" x14ac:dyDescent="0.25">
      <c r="M6484"/>
      <c r="N6484"/>
      <c r="O6484"/>
      <c r="P6484" s="216"/>
      <c r="Q6484" s="217"/>
      <c r="R6484" s="217"/>
      <c r="S6484" s="218"/>
    </row>
    <row r="6485" spans="13:19" ht="15" customHeight="1" x14ac:dyDescent="0.25">
      <c r="M6485"/>
      <c r="N6485"/>
      <c r="O6485"/>
      <c r="P6485" s="216"/>
      <c r="Q6485" s="217"/>
      <c r="R6485" s="217"/>
      <c r="S6485" s="218"/>
    </row>
    <row r="6486" spans="13:19" ht="15" customHeight="1" x14ac:dyDescent="0.25">
      <c r="M6486"/>
      <c r="N6486"/>
      <c r="O6486"/>
      <c r="P6486" s="216"/>
      <c r="Q6486" s="217"/>
      <c r="R6486" s="217"/>
      <c r="S6486" s="218"/>
    </row>
    <row r="6487" spans="13:19" ht="15" customHeight="1" x14ac:dyDescent="0.25">
      <c r="M6487"/>
      <c r="N6487"/>
      <c r="O6487"/>
      <c r="P6487" s="216"/>
      <c r="Q6487" s="217"/>
      <c r="R6487" s="217"/>
      <c r="S6487" s="218"/>
    </row>
    <row r="6488" spans="13:19" ht="15" customHeight="1" x14ac:dyDescent="0.25">
      <c r="M6488"/>
      <c r="N6488"/>
      <c r="O6488"/>
      <c r="P6488" s="216"/>
      <c r="Q6488" s="217"/>
      <c r="R6488" s="217"/>
      <c r="S6488" s="218"/>
    </row>
    <row r="6489" spans="13:19" ht="15" customHeight="1" x14ac:dyDescent="0.25">
      <c r="M6489"/>
      <c r="N6489"/>
      <c r="O6489"/>
      <c r="P6489" s="216"/>
      <c r="Q6489" s="217"/>
      <c r="R6489" s="217"/>
      <c r="S6489" s="218"/>
    </row>
    <row r="6490" spans="13:19" ht="15" customHeight="1" x14ac:dyDescent="0.25">
      <c r="M6490"/>
      <c r="N6490"/>
      <c r="O6490"/>
      <c r="P6490" s="216"/>
      <c r="Q6490" s="217"/>
      <c r="R6490" s="217"/>
      <c r="S6490" s="218"/>
    </row>
    <row r="6491" spans="13:19" ht="15" customHeight="1" x14ac:dyDescent="0.25">
      <c r="M6491"/>
      <c r="N6491"/>
      <c r="O6491"/>
      <c r="P6491" s="216"/>
      <c r="Q6491" s="217"/>
      <c r="R6491" s="217"/>
      <c r="S6491" s="218"/>
    </row>
    <row r="6492" spans="13:19" ht="15" customHeight="1" x14ac:dyDescent="0.25">
      <c r="M6492"/>
      <c r="N6492"/>
      <c r="O6492"/>
      <c r="P6492" s="216"/>
      <c r="Q6492" s="217"/>
      <c r="R6492" s="217"/>
      <c r="S6492" s="218"/>
    </row>
    <row r="6493" spans="13:19" ht="15" customHeight="1" x14ac:dyDescent="0.25">
      <c r="M6493"/>
      <c r="N6493"/>
      <c r="O6493"/>
      <c r="P6493" s="216"/>
      <c r="Q6493" s="217"/>
      <c r="R6493" s="217"/>
      <c r="S6493" s="218"/>
    </row>
    <row r="6494" spans="13:19" ht="15" customHeight="1" x14ac:dyDescent="0.25">
      <c r="M6494"/>
      <c r="N6494"/>
      <c r="O6494"/>
      <c r="P6494" s="216"/>
      <c r="Q6494" s="217"/>
      <c r="R6494" s="217"/>
      <c r="S6494" s="218"/>
    </row>
    <row r="6495" spans="13:19" ht="15" customHeight="1" x14ac:dyDescent="0.25">
      <c r="M6495"/>
      <c r="N6495"/>
      <c r="O6495"/>
      <c r="P6495" s="216"/>
      <c r="Q6495" s="217"/>
      <c r="R6495" s="217"/>
      <c r="S6495" s="218"/>
    </row>
    <row r="6496" spans="13:19" ht="15" customHeight="1" x14ac:dyDescent="0.25">
      <c r="M6496"/>
      <c r="N6496"/>
      <c r="O6496"/>
      <c r="P6496" s="216"/>
      <c r="Q6496" s="217"/>
      <c r="R6496" s="217"/>
      <c r="S6496" s="218"/>
    </row>
    <row r="6497" spans="13:19" ht="15" customHeight="1" x14ac:dyDescent="0.25">
      <c r="M6497"/>
      <c r="N6497"/>
      <c r="O6497"/>
      <c r="P6497" s="216"/>
      <c r="Q6497" s="217"/>
      <c r="R6497" s="217"/>
      <c r="S6497" s="218"/>
    </row>
    <row r="6498" spans="13:19" ht="15" customHeight="1" x14ac:dyDescent="0.25">
      <c r="M6498"/>
      <c r="N6498"/>
      <c r="O6498"/>
      <c r="P6498" s="216"/>
      <c r="Q6498" s="217"/>
      <c r="R6498" s="217"/>
      <c r="S6498" s="218"/>
    </row>
    <row r="6499" spans="13:19" ht="15" customHeight="1" x14ac:dyDescent="0.25">
      <c r="M6499"/>
      <c r="N6499"/>
      <c r="O6499"/>
      <c r="P6499" s="216"/>
      <c r="Q6499" s="217"/>
      <c r="R6499" s="217"/>
      <c r="S6499" s="218"/>
    </row>
    <row r="6500" spans="13:19" ht="15" customHeight="1" x14ac:dyDescent="0.25">
      <c r="M6500"/>
      <c r="N6500"/>
      <c r="O6500"/>
      <c r="P6500" s="216"/>
      <c r="Q6500" s="217"/>
      <c r="R6500" s="217"/>
      <c r="S6500" s="218"/>
    </row>
    <row r="6501" spans="13:19" ht="15" customHeight="1" x14ac:dyDescent="0.25">
      <c r="M6501"/>
      <c r="N6501"/>
      <c r="O6501"/>
      <c r="P6501" s="216"/>
      <c r="Q6501" s="217"/>
      <c r="R6501" s="217"/>
      <c r="S6501" s="218"/>
    </row>
    <row r="6502" spans="13:19" ht="15" customHeight="1" x14ac:dyDescent="0.25">
      <c r="M6502"/>
      <c r="N6502"/>
      <c r="O6502"/>
      <c r="P6502" s="216"/>
      <c r="Q6502" s="217"/>
      <c r="R6502" s="217"/>
      <c r="S6502" s="218"/>
    </row>
    <row r="6503" spans="13:19" ht="15" customHeight="1" x14ac:dyDescent="0.25">
      <c r="M6503"/>
      <c r="N6503"/>
      <c r="O6503"/>
      <c r="P6503" s="216"/>
      <c r="Q6503" s="217"/>
      <c r="R6503" s="217"/>
      <c r="S6503" s="218"/>
    </row>
    <row r="6504" spans="13:19" ht="15" customHeight="1" x14ac:dyDescent="0.25">
      <c r="M6504"/>
      <c r="N6504"/>
      <c r="O6504"/>
      <c r="P6504" s="216"/>
      <c r="Q6504" s="217"/>
      <c r="R6504" s="217"/>
      <c r="S6504" s="218"/>
    </row>
    <row r="6505" spans="13:19" ht="15" customHeight="1" x14ac:dyDescent="0.25">
      <c r="M6505"/>
      <c r="N6505"/>
      <c r="O6505"/>
      <c r="P6505" s="216"/>
      <c r="Q6505" s="217"/>
      <c r="R6505" s="217"/>
      <c r="S6505" s="218"/>
    </row>
    <row r="6506" spans="13:19" ht="15" customHeight="1" x14ac:dyDescent="0.25">
      <c r="M6506"/>
      <c r="N6506"/>
      <c r="O6506"/>
      <c r="P6506" s="216"/>
      <c r="Q6506" s="217"/>
      <c r="R6506" s="217"/>
      <c r="S6506" s="218"/>
    </row>
    <row r="6507" spans="13:19" ht="15" customHeight="1" x14ac:dyDescent="0.25">
      <c r="M6507"/>
      <c r="N6507"/>
      <c r="O6507"/>
      <c r="P6507" s="216"/>
      <c r="Q6507" s="217"/>
      <c r="R6507" s="217"/>
      <c r="S6507" s="218"/>
    </row>
    <row r="6508" spans="13:19" ht="15" customHeight="1" x14ac:dyDescent="0.25">
      <c r="M6508"/>
      <c r="N6508"/>
      <c r="O6508"/>
      <c r="P6508" s="216"/>
      <c r="Q6508" s="217"/>
      <c r="R6508" s="217"/>
      <c r="S6508" s="218"/>
    </row>
    <row r="6509" spans="13:19" ht="15" customHeight="1" x14ac:dyDescent="0.25">
      <c r="M6509"/>
      <c r="N6509"/>
      <c r="O6509"/>
      <c r="P6509" s="216"/>
      <c r="Q6509" s="217"/>
      <c r="R6509" s="217"/>
      <c r="S6509" s="218"/>
    </row>
    <row r="6510" spans="13:19" ht="15" customHeight="1" x14ac:dyDescent="0.25">
      <c r="M6510"/>
      <c r="N6510"/>
      <c r="O6510"/>
      <c r="P6510" s="216"/>
      <c r="Q6510" s="217"/>
      <c r="R6510" s="217"/>
      <c r="S6510" s="218"/>
    </row>
    <row r="6511" spans="13:19" ht="15" customHeight="1" x14ac:dyDescent="0.25">
      <c r="M6511"/>
      <c r="N6511"/>
      <c r="O6511"/>
      <c r="P6511" s="216"/>
      <c r="Q6511" s="217"/>
      <c r="R6511" s="217"/>
      <c r="S6511" s="218"/>
    </row>
    <row r="6512" spans="13:19" ht="15" customHeight="1" x14ac:dyDescent="0.25">
      <c r="M6512"/>
      <c r="N6512"/>
      <c r="O6512"/>
      <c r="P6512" s="216"/>
      <c r="Q6512" s="217"/>
      <c r="R6512" s="217"/>
      <c r="S6512" s="218"/>
    </row>
    <row r="6513" spans="13:19" ht="15" customHeight="1" x14ac:dyDescent="0.25">
      <c r="M6513"/>
      <c r="N6513"/>
      <c r="O6513"/>
      <c r="P6513" s="216"/>
      <c r="Q6513" s="217"/>
      <c r="R6513" s="217"/>
      <c r="S6513" s="218"/>
    </row>
    <row r="6514" spans="13:19" ht="15" customHeight="1" x14ac:dyDescent="0.25">
      <c r="M6514"/>
      <c r="N6514"/>
      <c r="O6514"/>
      <c r="P6514" s="216"/>
      <c r="Q6514" s="217"/>
      <c r="R6514" s="217"/>
      <c r="S6514" s="218"/>
    </row>
    <row r="6515" spans="13:19" ht="15" customHeight="1" x14ac:dyDescent="0.25">
      <c r="M6515"/>
      <c r="N6515"/>
      <c r="O6515"/>
      <c r="P6515" s="216"/>
      <c r="Q6515" s="217"/>
      <c r="R6515" s="217"/>
      <c r="S6515" s="218"/>
    </row>
    <row r="6516" spans="13:19" ht="15" customHeight="1" x14ac:dyDescent="0.25">
      <c r="M6516"/>
      <c r="N6516"/>
      <c r="O6516"/>
      <c r="P6516" s="216"/>
      <c r="Q6516" s="217"/>
      <c r="R6516" s="217"/>
      <c r="S6516" s="218"/>
    </row>
    <row r="6517" spans="13:19" ht="15" customHeight="1" x14ac:dyDescent="0.25">
      <c r="M6517"/>
      <c r="N6517"/>
      <c r="O6517"/>
      <c r="P6517" s="216"/>
      <c r="Q6517" s="217"/>
      <c r="R6517" s="217"/>
      <c r="S6517" s="218"/>
    </row>
    <row r="6518" spans="13:19" ht="15" customHeight="1" x14ac:dyDescent="0.25">
      <c r="M6518"/>
      <c r="N6518"/>
      <c r="O6518"/>
      <c r="P6518" s="216"/>
      <c r="Q6518" s="217"/>
      <c r="R6518" s="217"/>
      <c r="S6518" s="218"/>
    </row>
    <row r="6519" spans="13:19" ht="15" customHeight="1" x14ac:dyDescent="0.25">
      <c r="M6519"/>
      <c r="N6519"/>
      <c r="O6519"/>
      <c r="P6519" s="216"/>
      <c r="Q6519" s="217"/>
      <c r="R6519" s="217"/>
      <c r="S6519" s="218"/>
    </row>
    <row r="6520" spans="13:19" ht="15" customHeight="1" x14ac:dyDescent="0.25">
      <c r="M6520"/>
      <c r="N6520"/>
      <c r="O6520"/>
      <c r="P6520" s="216"/>
      <c r="Q6520" s="217"/>
      <c r="R6520" s="217"/>
      <c r="S6520" s="218"/>
    </row>
    <row r="6521" spans="13:19" ht="15" customHeight="1" x14ac:dyDescent="0.25">
      <c r="M6521"/>
      <c r="N6521"/>
      <c r="O6521"/>
      <c r="P6521" s="216"/>
      <c r="Q6521" s="217"/>
      <c r="R6521" s="217"/>
      <c r="S6521" s="218"/>
    </row>
    <row r="6522" spans="13:19" ht="15" customHeight="1" x14ac:dyDescent="0.25">
      <c r="M6522"/>
      <c r="N6522"/>
      <c r="O6522"/>
      <c r="P6522" s="216"/>
      <c r="Q6522" s="217"/>
      <c r="R6522" s="217"/>
      <c r="S6522" s="218"/>
    </row>
    <row r="6523" spans="13:19" ht="15" customHeight="1" x14ac:dyDescent="0.25">
      <c r="M6523"/>
      <c r="N6523"/>
      <c r="O6523"/>
      <c r="P6523" s="216"/>
      <c r="Q6523" s="217"/>
      <c r="R6523" s="217"/>
      <c r="S6523" s="218"/>
    </row>
    <row r="6524" spans="13:19" ht="15" customHeight="1" x14ac:dyDescent="0.25">
      <c r="M6524"/>
      <c r="N6524"/>
      <c r="O6524"/>
      <c r="P6524" s="216"/>
      <c r="Q6524" s="217"/>
      <c r="R6524" s="217"/>
      <c r="S6524" s="218"/>
    </row>
    <row r="6525" spans="13:19" ht="15" customHeight="1" x14ac:dyDescent="0.25">
      <c r="M6525"/>
      <c r="N6525"/>
      <c r="O6525"/>
      <c r="P6525" s="216"/>
      <c r="Q6525" s="217"/>
      <c r="R6525" s="217"/>
      <c r="S6525" s="218"/>
    </row>
    <row r="6526" spans="13:19" ht="15" customHeight="1" x14ac:dyDescent="0.25">
      <c r="M6526"/>
      <c r="N6526"/>
      <c r="O6526"/>
      <c r="P6526" s="216"/>
      <c r="Q6526" s="217"/>
      <c r="R6526" s="217"/>
      <c r="S6526" s="218"/>
    </row>
    <row r="6527" spans="13:19" ht="15" customHeight="1" x14ac:dyDescent="0.25">
      <c r="M6527"/>
      <c r="N6527"/>
      <c r="O6527"/>
      <c r="P6527" s="216"/>
      <c r="Q6527" s="217"/>
      <c r="R6527" s="217"/>
      <c r="S6527" s="218"/>
    </row>
    <row r="6528" spans="13:19" ht="15" customHeight="1" x14ac:dyDescent="0.25">
      <c r="M6528"/>
      <c r="N6528"/>
      <c r="O6528"/>
      <c r="P6528" s="216"/>
      <c r="Q6528" s="217"/>
      <c r="R6528" s="217"/>
      <c r="S6528" s="218"/>
    </row>
    <row r="6529" spans="13:19" ht="15" customHeight="1" x14ac:dyDescent="0.25">
      <c r="M6529"/>
      <c r="N6529"/>
      <c r="O6529"/>
      <c r="P6529" s="216"/>
      <c r="Q6529" s="217"/>
      <c r="R6529" s="217"/>
      <c r="S6529" s="218"/>
    </row>
    <row r="6530" spans="13:19" ht="15" customHeight="1" x14ac:dyDescent="0.25">
      <c r="M6530"/>
      <c r="N6530"/>
      <c r="O6530"/>
      <c r="P6530" s="216"/>
      <c r="Q6530" s="217"/>
      <c r="R6530" s="217"/>
      <c r="S6530" s="218"/>
    </row>
    <row r="6531" spans="13:19" ht="15" customHeight="1" x14ac:dyDescent="0.25">
      <c r="M6531"/>
      <c r="N6531"/>
      <c r="O6531"/>
      <c r="P6531" s="216"/>
      <c r="Q6531" s="217"/>
      <c r="R6531" s="217"/>
      <c r="S6531" s="218"/>
    </row>
    <row r="6532" spans="13:19" ht="15" customHeight="1" x14ac:dyDescent="0.25">
      <c r="M6532"/>
      <c r="N6532"/>
      <c r="O6532"/>
      <c r="P6532" s="216"/>
      <c r="Q6532" s="217"/>
      <c r="R6532" s="217"/>
      <c r="S6532" s="218"/>
    </row>
    <row r="6533" spans="13:19" ht="15" customHeight="1" x14ac:dyDescent="0.25">
      <c r="M6533"/>
      <c r="N6533"/>
      <c r="O6533"/>
      <c r="P6533" s="216"/>
      <c r="Q6533" s="217"/>
      <c r="R6533" s="217"/>
      <c r="S6533" s="218"/>
    </row>
    <row r="6534" spans="13:19" ht="15" customHeight="1" x14ac:dyDescent="0.25">
      <c r="M6534"/>
      <c r="N6534"/>
      <c r="O6534"/>
      <c r="P6534" s="216"/>
      <c r="Q6534" s="217"/>
      <c r="R6534" s="217"/>
      <c r="S6534" s="218"/>
    </row>
    <row r="6535" spans="13:19" ht="15" customHeight="1" x14ac:dyDescent="0.25">
      <c r="M6535"/>
      <c r="N6535"/>
      <c r="O6535"/>
      <c r="P6535" s="216"/>
      <c r="Q6535" s="217"/>
      <c r="R6535" s="217"/>
      <c r="S6535" s="218"/>
    </row>
    <row r="6536" spans="13:19" ht="15" customHeight="1" x14ac:dyDescent="0.25">
      <c r="M6536"/>
      <c r="N6536"/>
      <c r="O6536"/>
      <c r="P6536" s="216"/>
      <c r="Q6536" s="217"/>
      <c r="R6536" s="217"/>
      <c r="S6536" s="218"/>
    </row>
    <row r="6537" spans="13:19" ht="15" customHeight="1" x14ac:dyDescent="0.25">
      <c r="M6537"/>
      <c r="N6537"/>
      <c r="O6537"/>
      <c r="P6537" s="216"/>
      <c r="Q6537" s="217"/>
      <c r="R6537" s="217"/>
      <c r="S6537" s="218"/>
    </row>
    <row r="6538" spans="13:19" ht="15" customHeight="1" x14ac:dyDescent="0.25">
      <c r="M6538"/>
      <c r="N6538"/>
      <c r="O6538"/>
      <c r="P6538" s="216"/>
      <c r="Q6538" s="217"/>
      <c r="R6538" s="217"/>
      <c r="S6538" s="218"/>
    </row>
    <row r="6539" spans="13:19" ht="15" customHeight="1" x14ac:dyDescent="0.25">
      <c r="M6539"/>
      <c r="N6539"/>
      <c r="O6539"/>
      <c r="P6539" s="216"/>
      <c r="Q6539" s="217"/>
      <c r="R6539" s="217"/>
      <c r="S6539" s="218"/>
    </row>
    <row r="6540" spans="13:19" ht="15" customHeight="1" x14ac:dyDescent="0.25">
      <c r="M6540"/>
      <c r="N6540"/>
      <c r="O6540"/>
      <c r="P6540" s="216"/>
      <c r="Q6540" s="217"/>
      <c r="R6540" s="217"/>
      <c r="S6540" s="218"/>
    </row>
    <row r="6541" spans="13:19" ht="15" customHeight="1" x14ac:dyDescent="0.25">
      <c r="M6541"/>
      <c r="N6541"/>
      <c r="O6541"/>
      <c r="P6541" s="216"/>
      <c r="Q6541" s="217"/>
      <c r="R6541" s="217"/>
      <c r="S6541" s="218"/>
    </row>
    <row r="6542" spans="13:19" ht="15" customHeight="1" x14ac:dyDescent="0.25">
      <c r="M6542"/>
      <c r="N6542"/>
      <c r="O6542"/>
      <c r="P6542" s="216"/>
      <c r="Q6542" s="217"/>
      <c r="R6542" s="217"/>
      <c r="S6542" s="218"/>
    </row>
    <row r="6543" spans="13:19" ht="15" customHeight="1" x14ac:dyDescent="0.25">
      <c r="M6543"/>
      <c r="N6543"/>
      <c r="O6543"/>
      <c r="P6543" s="216"/>
      <c r="Q6543" s="217"/>
      <c r="R6543" s="217"/>
      <c r="S6543" s="218"/>
    </row>
    <row r="6544" spans="13:19" ht="15" customHeight="1" x14ac:dyDescent="0.25">
      <c r="M6544"/>
      <c r="N6544"/>
      <c r="O6544"/>
      <c r="P6544" s="216"/>
      <c r="Q6544" s="217"/>
      <c r="R6544" s="217"/>
      <c r="S6544" s="218"/>
    </row>
    <row r="6545" spans="13:19" ht="15" customHeight="1" x14ac:dyDescent="0.25">
      <c r="M6545"/>
      <c r="N6545"/>
      <c r="O6545"/>
      <c r="P6545" s="216"/>
      <c r="Q6545" s="217"/>
      <c r="R6545" s="217"/>
      <c r="S6545" s="218"/>
    </row>
    <row r="6546" spans="13:19" ht="15" customHeight="1" x14ac:dyDescent="0.25">
      <c r="M6546"/>
      <c r="N6546"/>
      <c r="O6546"/>
      <c r="P6546" s="216"/>
      <c r="Q6546" s="217"/>
      <c r="R6546" s="217"/>
      <c r="S6546" s="218"/>
    </row>
    <row r="6547" spans="13:19" ht="15" customHeight="1" x14ac:dyDescent="0.25">
      <c r="M6547"/>
      <c r="N6547"/>
      <c r="O6547"/>
      <c r="P6547" s="216"/>
      <c r="Q6547" s="217"/>
      <c r="R6547" s="217"/>
      <c r="S6547" s="218"/>
    </row>
    <row r="6548" spans="13:19" ht="15" customHeight="1" x14ac:dyDescent="0.25">
      <c r="M6548"/>
      <c r="N6548"/>
      <c r="O6548"/>
      <c r="P6548" s="216"/>
      <c r="Q6548" s="217"/>
      <c r="R6548" s="217"/>
      <c r="S6548" s="218"/>
    </row>
    <row r="6549" spans="13:19" ht="15" customHeight="1" x14ac:dyDescent="0.25">
      <c r="M6549"/>
      <c r="N6549"/>
      <c r="O6549"/>
      <c r="P6549" s="216"/>
      <c r="Q6549" s="217"/>
      <c r="R6549" s="217"/>
      <c r="S6549" s="218"/>
    </row>
    <row r="6550" spans="13:19" ht="15" customHeight="1" x14ac:dyDescent="0.25">
      <c r="M6550"/>
      <c r="N6550"/>
      <c r="O6550"/>
      <c r="P6550" s="216"/>
      <c r="Q6550" s="217"/>
      <c r="R6550" s="217"/>
      <c r="S6550" s="218"/>
    </row>
    <row r="6551" spans="13:19" ht="15" customHeight="1" x14ac:dyDescent="0.25">
      <c r="M6551"/>
      <c r="N6551"/>
      <c r="O6551"/>
      <c r="P6551" s="216"/>
      <c r="Q6551" s="217"/>
      <c r="R6551" s="217"/>
      <c r="S6551" s="218"/>
    </row>
    <row r="6552" spans="13:19" ht="15" customHeight="1" x14ac:dyDescent="0.25">
      <c r="M6552"/>
      <c r="N6552"/>
      <c r="O6552"/>
      <c r="P6552" s="216"/>
      <c r="Q6552" s="217"/>
      <c r="R6552" s="217"/>
      <c r="S6552" s="218"/>
    </row>
    <row r="6553" spans="13:19" ht="15" customHeight="1" x14ac:dyDescent="0.25">
      <c r="M6553"/>
      <c r="N6553"/>
      <c r="O6553"/>
      <c r="P6553" s="216"/>
      <c r="Q6553" s="217"/>
      <c r="R6553" s="217"/>
      <c r="S6553" s="218"/>
    </row>
    <row r="6554" spans="13:19" ht="15" customHeight="1" x14ac:dyDescent="0.25">
      <c r="M6554"/>
      <c r="N6554"/>
      <c r="O6554"/>
      <c r="P6554" s="216"/>
      <c r="Q6554" s="217"/>
      <c r="R6554" s="217"/>
      <c r="S6554" s="218"/>
    </row>
    <row r="6555" spans="13:19" ht="15" customHeight="1" x14ac:dyDescent="0.25">
      <c r="M6555"/>
      <c r="N6555"/>
      <c r="O6555"/>
      <c r="P6555" s="216"/>
      <c r="Q6555" s="217"/>
      <c r="R6555" s="217"/>
      <c r="S6555" s="218"/>
    </row>
    <row r="6556" spans="13:19" ht="15" customHeight="1" x14ac:dyDescent="0.25">
      <c r="M6556"/>
      <c r="N6556"/>
      <c r="O6556"/>
      <c r="P6556" s="216"/>
      <c r="Q6556" s="217"/>
      <c r="R6556" s="217"/>
      <c r="S6556" s="218"/>
    </row>
    <row r="6557" spans="13:19" ht="15" customHeight="1" x14ac:dyDescent="0.25">
      <c r="M6557"/>
      <c r="N6557"/>
      <c r="O6557"/>
      <c r="P6557" s="216"/>
      <c r="Q6557" s="217"/>
      <c r="R6557" s="217"/>
      <c r="S6557" s="218"/>
    </row>
    <row r="6558" spans="13:19" ht="15" customHeight="1" x14ac:dyDescent="0.25">
      <c r="M6558"/>
      <c r="N6558"/>
      <c r="O6558"/>
      <c r="P6558" s="216"/>
      <c r="Q6558" s="217"/>
      <c r="R6558" s="217"/>
      <c r="S6558" s="218"/>
    </row>
    <row r="6559" spans="13:19" ht="15" customHeight="1" x14ac:dyDescent="0.25">
      <c r="M6559"/>
      <c r="N6559"/>
      <c r="O6559"/>
      <c r="P6559" s="216"/>
      <c r="Q6559" s="217"/>
      <c r="R6559" s="217"/>
      <c r="S6559" s="218"/>
    </row>
    <row r="6560" spans="13:19" ht="15" customHeight="1" x14ac:dyDescent="0.25">
      <c r="M6560"/>
      <c r="N6560"/>
      <c r="O6560"/>
      <c r="P6560" s="216"/>
      <c r="Q6560" s="217"/>
      <c r="R6560" s="217"/>
      <c r="S6560" s="218"/>
    </row>
    <row r="6561" spans="13:19" ht="15" customHeight="1" x14ac:dyDescent="0.25">
      <c r="M6561"/>
      <c r="N6561"/>
      <c r="O6561"/>
      <c r="P6561" s="216"/>
      <c r="Q6561" s="217"/>
      <c r="R6561" s="217"/>
      <c r="S6561" s="218"/>
    </row>
    <row r="6562" spans="13:19" ht="15" customHeight="1" x14ac:dyDescent="0.25">
      <c r="M6562"/>
      <c r="N6562"/>
      <c r="O6562"/>
      <c r="P6562" s="216"/>
      <c r="Q6562" s="217"/>
      <c r="R6562" s="217"/>
      <c r="S6562" s="218"/>
    </row>
    <row r="6563" spans="13:19" ht="15" customHeight="1" x14ac:dyDescent="0.25">
      <c r="M6563"/>
      <c r="N6563"/>
      <c r="O6563"/>
      <c r="P6563" s="216"/>
      <c r="Q6563" s="217"/>
      <c r="R6563" s="217"/>
      <c r="S6563" s="218"/>
    </row>
    <row r="6564" spans="13:19" ht="15" customHeight="1" x14ac:dyDescent="0.25">
      <c r="M6564"/>
      <c r="N6564"/>
      <c r="O6564"/>
      <c r="P6564" s="216"/>
      <c r="Q6564" s="217"/>
      <c r="R6564" s="217"/>
      <c r="S6564" s="218"/>
    </row>
    <row r="6565" spans="13:19" ht="15" customHeight="1" x14ac:dyDescent="0.25">
      <c r="M6565"/>
      <c r="N6565"/>
      <c r="O6565"/>
      <c r="P6565" s="216"/>
      <c r="Q6565" s="217"/>
      <c r="R6565" s="217"/>
      <c r="S6565" s="218"/>
    </row>
    <row r="6566" spans="13:19" ht="15" customHeight="1" x14ac:dyDescent="0.25">
      <c r="M6566"/>
      <c r="N6566"/>
      <c r="O6566"/>
      <c r="P6566" s="216"/>
      <c r="Q6566" s="217"/>
      <c r="R6566" s="217"/>
      <c r="S6566" s="218"/>
    </row>
    <row r="6567" spans="13:19" ht="15" customHeight="1" x14ac:dyDescent="0.25">
      <c r="M6567"/>
      <c r="N6567"/>
      <c r="O6567"/>
      <c r="P6567" s="216"/>
      <c r="Q6567" s="217"/>
      <c r="R6567" s="217"/>
      <c r="S6567" s="218"/>
    </row>
    <row r="6568" spans="13:19" ht="15" customHeight="1" x14ac:dyDescent="0.25">
      <c r="M6568"/>
      <c r="N6568"/>
      <c r="O6568"/>
      <c r="P6568" s="216"/>
      <c r="Q6568" s="217"/>
      <c r="R6568" s="217"/>
      <c r="S6568" s="218"/>
    </row>
    <row r="6569" spans="13:19" ht="15" customHeight="1" x14ac:dyDescent="0.25">
      <c r="M6569"/>
      <c r="N6569"/>
      <c r="O6569"/>
      <c r="P6569" s="216"/>
      <c r="Q6569" s="217"/>
      <c r="R6569" s="217"/>
      <c r="S6569" s="218"/>
    </row>
    <row r="6570" spans="13:19" ht="15" customHeight="1" x14ac:dyDescent="0.25">
      <c r="M6570"/>
      <c r="N6570"/>
      <c r="O6570"/>
      <c r="P6570" s="216"/>
      <c r="Q6570" s="217"/>
      <c r="R6570" s="217"/>
      <c r="S6570" s="218"/>
    </row>
    <row r="6571" spans="13:19" ht="15" customHeight="1" x14ac:dyDescent="0.25">
      <c r="M6571"/>
      <c r="N6571"/>
      <c r="O6571"/>
      <c r="P6571" s="216"/>
      <c r="Q6571" s="217"/>
      <c r="R6571" s="217"/>
      <c r="S6571" s="218"/>
    </row>
    <row r="6572" spans="13:19" ht="15" customHeight="1" x14ac:dyDescent="0.25">
      <c r="M6572"/>
      <c r="N6572"/>
      <c r="O6572"/>
      <c r="P6572" s="216"/>
      <c r="Q6572" s="217"/>
      <c r="R6572" s="217"/>
      <c r="S6572" s="218"/>
    </row>
    <row r="6573" spans="13:19" ht="15" customHeight="1" x14ac:dyDescent="0.25">
      <c r="M6573"/>
      <c r="N6573"/>
      <c r="O6573"/>
      <c r="P6573" s="216"/>
      <c r="Q6573" s="217"/>
      <c r="R6573" s="217"/>
      <c r="S6573" s="218"/>
    </row>
    <row r="6574" spans="13:19" ht="15" customHeight="1" x14ac:dyDescent="0.25">
      <c r="M6574"/>
      <c r="N6574"/>
      <c r="O6574"/>
      <c r="P6574" s="216"/>
      <c r="Q6574" s="217"/>
      <c r="R6574" s="217"/>
      <c r="S6574" s="218"/>
    </row>
    <row r="6575" spans="13:19" ht="15" customHeight="1" x14ac:dyDescent="0.25">
      <c r="M6575"/>
      <c r="N6575"/>
      <c r="O6575"/>
      <c r="P6575" s="216"/>
      <c r="Q6575" s="217"/>
      <c r="R6575" s="217"/>
      <c r="S6575" s="218"/>
    </row>
    <row r="6576" spans="13:19" ht="15" customHeight="1" x14ac:dyDescent="0.25">
      <c r="M6576"/>
      <c r="N6576"/>
      <c r="O6576"/>
      <c r="P6576" s="216"/>
      <c r="Q6576" s="217"/>
      <c r="R6576" s="217"/>
      <c r="S6576" s="218"/>
    </row>
    <row r="6577" spans="13:19" ht="15" customHeight="1" x14ac:dyDescent="0.25">
      <c r="M6577"/>
      <c r="N6577"/>
      <c r="O6577"/>
      <c r="P6577" s="216"/>
      <c r="Q6577" s="217"/>
      <c r="R6577" s="217"/>
      <c r="S6577" s="218"/>
    </row>
    <row r="6578" spans="13:19" ht="15" customHeight="1" x14ac:dyDescent="0.25">
      <c r="M6578"/>
      <c r="N6578"/>
      <c r="O6578"/>
      <c r="P6578" s="216"/>
      <c r="Q6578" s="217"/>
      <c r="R6578" s="217"/>
      <c r="S6578" s="218"/>
    </row>
    <row r="6579" spans="13:19" ht="15" customHeight="1" x14ac:dyDescent="0.25">
      <c r="M6579"/>
      <c r="N6579"/>
      <c r="O6579"/>
      <c r="P6579" s="216"/>
      <c r="Q6579" s="217"/>
      <c r="R6579" s="217"/>
      <c r="S6579" s="218"/>
    </row>
    <row r="6580" spans="13:19" ht="15" customHeight="1" x14ac:dyDescent="0.25">
      <c r="M6580"/>
      <c r="N6580"/>
      <c r="O6580"/>
      <c r="P6580" s="216"/>
      <c r="Q6580" s="217"/>
      <c r="R6580" s="217"/>
      <c r="S6580" s="218"/>
    </row>
    <row r="6581" spans="13:19" ht="15" customHeight="1" x14ac:dyDescent="0.25">
      <c r="M6581"/>
      <c r="N6581"/>
      <c r="O6581"/>
      <c r="P6581" s="216"/>
      <c r="Q6581" s="217"/>
      <c r="R6581" s="217"/>
      <c r="S6581" s="218"/>
    </row>
    <row r="6582" spans="13:19" ht="15" customHeight="1" x14ac:dyDescent="0.25">
      <c r="M6582"/>
      <c r="N6582"/>
      <c r="O6582"/>
      <c r="P6582" s="216"/>
      <c r="Q6582" s="217"/>
      <c r="R6582" s="217"/>
      <c r="S6582" s="218"/>
    </row>
    <row r="6583" spans="13:19" ht="15" customHeight="1" x14ac:dyDescent="0.25">
      <c r="M6583"/>
      <c r="N6583"/>
      <c r="O6583"/>
      <c r="P6583" s="216"/>
      <c r="Q6583" s="217"/>
      <c r="R6583" s="217"/>
      <c r="S6583" s="218"/>
    </row>
    <row r="6584" spans="13:19" ht="15" customHeight="1" x14ac:dyDescent="0.25">
      <c r="M6584"/>
      <c r="N6584"/>
      <c r="O6584"/>
      <c r="P6584" s="216"/>
      <c r="Q6584" s="217"/>
      <c r="R6584" s="217"/>
      <c r="S6584" s="218"/>
    </row>
    <row r="6585" spans="13:19" ht="15" customHeight="1" x14ac:dyDescent="0.25">
      <c r="M6585"/>
      <c r="N6585"/>
      <c r="O6585"/>
      <c r="P6585" s="216"/>
      <c r="Q6585" s="217"/>
      <c r="R6585" s="217"/>
      <c r="S6585" s="218"/>
    </row>
    <row r="6586" spans="13:19" ht="15" customHeight="1" x14ac:dyDescent="0.25">
      <c r="M6586"/>
      <c r="N6586"/>
      <c r="O6586"/>
      <c r="P6586" s="216"/>
      <c r="Q6586" s="217"/>
      <c r="R6586" s="217"/>
      <c r="S6586" s="218"/>
    </row>
    <row r="6587" spans="13:19" ht="15" customHeight="1" x14ac:dyDescent="0.25">
      <c r="M6587"/>
      <c r="N6587"/>
      <c r="O6587"/>
      <c r="P6587" s="216"/>
      <c r="Q6587" s="217"/>
      <c r="R6587" s="217"/>
      <c r="S6587" s="218"/>
    </row>
    <row r="6588" spans="13:19" ht="15" customHeight="1" x14ac:dyDescent="0.25">
      <c r="M6588"/>
      <c r="N6588"/>
      <c r="O6588"/>
      <c r="P6588" s="216"/>
      <c r="Q6588" s="217"/>
      <c r="R6588" s="217"/>
      <c r="S6588" s="218"/>
    </row>
    <row r="6589" spans="13:19" ht="15" customHeight="1" x14ac:dyDescent="0.25">
      <c r="M6589"/>
      <c r="N6589"/>
      <c r="O6589"/>
      <c r="P6589" s="216"/>
      <c r="Q6589" s="217"/>
      <c r="R6589" s="217"/>
      <c r="S6589" s="218"/>
    </row>
    <row r="6590" spans="13:19" ht="15" customHeight="1" x14ac:dyDescent="0.25">
      <c r="M6590"/>
      <c r="N6590"/>
      <c r="O6590"/>
      <c r="P6590" s="216"/>
      <c r="Q6590" s="217"/>
      <c r="R6590" s="217"/>
      <c r="S6590" s="218"/>
    </row>
    <row r="6591" spans="13:19" ht="15" customHeight="1" x14ac:dyDescent="0.25">
      <c r="M6591"/>
      <c r="N6591"/>
      <c r="O6591"/>
      <c r="P6591" s="216"/>
      <c r="Q6591" s="217"/>
      <c r="R6591" s="217"/>
      <c r="S6591" s="218"/>
    </row>
    <row r="6592" spans="13:19" ht="15" customHeight="1" x14ac:dyDescent="0.25">
      <c r="M6592"/>
      <c r="N6592"/>
      <c r="O6592"/>
      <c r="P6592" s="216"/>
      <c r="Q6592" s="217"/>
      <c r="R6592" s="217"/>
      <c r="S6592" s="218"/>
    </row>
    <row r="6593" spans="13:19" ht="15" customHeight="1" x14ac:dyDescent="0.25">
      <c r="M6593"/>
      <c r="N6593"/>
      <c r="O6593"/>
      <c r="P6593" s="216"/>
      <c r="Q6593" s="217"/>
      <c r="R6593" s="217"/>
      <c r="S6593" s="218"/>
    </row>
    <row r="6594" spans="13:19" ht="15" customHeight="1" x14ac:dyDescent="0.25">
      <c r="M6594"/>
      <c r="N6594"/>
      <c r="O6594"/>
      <c r="P6594" s="216"/>
      <c r="Q6594" s="217"/>
      <c r="R6594" s="217"/>
      <c r="S6594" s="218"/>
    </row>
    <row r="6595" spans="13:19" ht="15" customHeight="1" x14ac:dyDescent="0.25">
      <c r="M6595"/>
      <c r="N6595"/>
      <c r="O6595"/>
      <c r="P6595" s="216"/>
      <c r="Q6595" s="217"/>
      <c r="R6595" s="217"/>
      <c r="S6595" s="218"/>
    </row>
    <row r="6596" spans="13:19" ht="15" customHeight="1" x14ac:dyDescent="0.25">
      <c r="M6596"/>
      <c r="N6596"/>
      <c r="O6596"/>
      <c r="P6596" s="216"/>
      <c r="Q6596" s="217"/>
      <c r="R6596" s="217"/>
      <c r="S6596" s="218"/>
    </row>
    <row r="6597" spans="13:19" ht="15" customHeight="1" x14ac:dyDescent="0.25">
      <c r="M6597"/>
      <c r="N6597"/>
      <c r="O6597"/>
      <c r="P6597" s="216"/>
      <c r="Q6597" s="217"/>
      <c r="R6597" s="217"/>
      <c r="S6597" s="218"/>
    </row>
    <row r="6598" spans="13:19" ht="15" customHeight="1" x14ac:dyDescent="0.25">
      <c r="M6598"/>
      <c r="N6598"/>
      <c r="O6598"/>
      <c r="P6598" s="216"/>
      <c r="Q6598" s="217"/>
      <c r="R6598" s="217"/>
      <c r="S6598" s="218"/>
    </row>
    <row r="6599" spans="13:19" ht="15" customHeight="1" x14ac:dyDescent="0.25">
      <c r="M6599"/>
      <c r="N6599"/>
      <c r="O6599"/>
      <c r="P6599" s="216"/>
      <c r="Q6599" s="217"/>
      <c r="R6599" s="217"/>
      <c r="S6599" s="218"/>
    </row>
    <row r="6600" spans="13:19" ht="15" customHeight="1" x14ac:dyDescent="0.25">
      <c r="M6600"/>
      <c r="N6600"/>
      <c r="O6600"/>
      <c r="P6600" s="216"/>
      <c r="Q6600" s="217"/>
      <c r="R6600" s="217"/>
      <c r="S6600" s="218"/>
    </row>
    <row r="6601" spans="13:19" ht="15" customHeight="1" x14ac:dyDescent="0.25">
      <c r="M6601"/>
      <c r="N6601"/>
      <c r="O6601"/>
      <c r="P6601" s="216"/>
      <c r="Q6601" s="217"/>
      <c r="R6601" s="217"/>
      <c r="S6601" s="218"/>
    </row>
    <row r="6602" spans="13:19" ht="15" customHeight="1" x14ac:dyDescent="0.25">
      <c r="M6602"/>
      <c r="N6602"/>
      <c r="O6602"/>
      <c r="P6602" s="216"/>
      <c r="Q6602" s="217"/>
      <c r="R6602" s="217"/>
      <c r="S6602" s="218"/>
    </row>
    <row r="6603" spans="13:19" ht="15" customHeight="1" x14ac:dyDescent="0.25">
      <c r="M6603"/>
      <c r="N6603"/>
      <c r="O6603"/>
      <c r="P6603" s="216"/>
      <c r="Q6603" s="217"/>
      <c r="R6603" s="217"/>
      <c r="S6603" s="218"/>
    </row>
    <row r="6604" spans="13:19" ht="15" customHeight="1" x14ac:dyDescent="0.25">
      <c r="M6604"/>
      <c r="N6604"/>
      <c r="O6604"/>
      <c r="P6604" s="216"/>
      <c r="Q6604" s="217"/>
      <c r="R6604" s="217"/>
      <c r="S6604" s="218"/>
    </row>
    <row r="6605" spans="13:19" ht="15" customHeight="1" x14ac:dyDescent="0.25">
      <c r="M6605"/>
      <c r="N6605"/>
      <c r="O6605"/>
      <c r="P6605" s="216"/>
      <c r="Q6605" s="217"/>
      <c r="R6605" s="217"/>
      <c r="S6605" s="218"/>
    </row>
    <row r="6606" spans="13:19" ht="15" customHeight="1" x14ac:dyDescent="0.25">
      <c r="M6606"/>
      <c r="N6606"/>
      <c r="O6606"/>
      <c r="P6606" s="216"/>
      <c r="Q6606" s="217"/>
      <c r="R6606" s="217"/>
      <c r="S6606" s="218"/>
    </row>
    <row r="6607" spans="13:19" ht="15" customHeight="1" x14ac:dyDescent="0.25">
      <c r="M6607"/>
      <c r="N6607"/>
      <c r="O6607"/>
      <c r="P6607" s="216"/>
      <c r="Q6607" s="217"/>
      <c r="R6607" s="217"/>
      <c r="S6607" s="218"/>
    </row>
    <row r="6608" spans="13:19" ht="15" customHeight="1" x14ac:dyDescent="0.25">
      <c r="M6608"/>
      <c r="N6608"/>
      <c r="O6608"/>
      <c r="P6608" s="216"/>
      <c r="Q6608" s="217"/>
      <c r="R6608" s="217"/>
      <c r="S6608" s="218"/>
    </row>
    <row r="6609" spans="13:19" ht="15" customHeight="1" x14ac:dyDescent="0.25">
      <c r="M6609"/>
      <c r="N6609"/>
      <c r="O6609"/>
      <c r="P6609" s="216"/>
      <c r="Q6609" s="217"/>
      <c r="R6609" s="217"/>
      <c r="S6609" s="218"/>
    </row>
    <row r="6610" spans="13:19" ht="15" customHeight="1" x14ac:dyDescent="0.25">
      <c r="M6610"/>
      <c r="N6610"/>
      <c r="O6610"/>
      <c r="P6610" s="216"/>
      <c r="Q6610" s="217"/>
      <c r="R6610" s="217"/>
      <c r="S6610" s="218"/>
    </row>
    <row r="6611" spans="13:19" ht="15" customHeight="1" x14ac:dyDescent="0.25">
      <c r="M6611"/>
      <c r="N6611"/>
      <c r="O6611"/>
      <c r="P6611" s="216"/>
      <c r="Q6611" s="217"/>
      <c r="R6611" s="217"/>
      <c r="S6611" s="218"/>
    </row>
    <row r="6612" spans="13:19" ht="15" customHeight="1" x14ac:dyDescent="0.25">
      <c r="M6612"/>
      <c r="N6612"/>
      <c r="O6612"/>
      <c r="P6612" s="216"/>
      <c r="Q6612" s="217"/>
      <c r="R6612" s="217"/>
      <c r="S6612" s="218"/>
    </row>
    <row r="6613" spans="13:19" ht="15" customHeight="1" x14ac:dyDescent="0.25">
      <c r="M6613"/>
      <c r="N6613"/>
      <c r="O6613"/>
      <c r="P6613" s="216"/>
      <c r="Q6613" s="217"/>
      <c r="R6613" s="217"/>
      <c r="S6613" s="218"/>
    </row>
    <row r="6614" spans="13:19" ht="15" customHeight="1" x14ac:dyDescent="0.25">
      <c r="M6614"/>
      <c r="N6614"/>
      <c r="O6614"/>
      <c r="P6614" s="216"/>
      <c r="Q6614" s="217"/>
      <c r="R6614" s="217"/>
      <c r="S6614" s="218"/>
    </row>
    <row r="6615" spans="13:19" ht="15" customHeight="1" x14ac:dyDescent="0.25">
      <c r="M6615"/>
      <c r="N6615"/>
      <c r="O6615"/>
      <c r="P6615" s="216"/>
      <c r="Q6615" s="217"/>
      <c r="R6615" s="217"/>
      <c r="S6615" s="218"/>
    </row>
    <row r="6616" spans="13:19" ht="15" customHeight="1" x14ac:dyDescent="0.25">
      <c r="M6616"/>
      <c r="N6616"/>
      <c r="O6616"/>
      <c r="P6616" s="216"/>
      <c r="Q6616" s="217"/>
      <c r="R6616" s="217"/>
      <c r="S6616" s="218"/>
    </row>
    <row r="6617" spans="13:19" ht="15" customHeight="1" x14ac:dyDescent="0.25">
      <c r="M6617"/>
      <c r="N6617"/>
      <c r="O6617"/>
      <c r="P6617" s="216"/>
      <c r="Q6617" s="217"/>
      <c r="R6617" s="217"/>
      <c r="S6617" s="218"/>
    </row>
    <row r="6618" spans="13:19" ht="15" customHeight="1" x14ac:dyDescent="0.25">
      <c r="M6618"/>
      <c r="N6618"/>
      <c r="O6618"/>
      <c r="P6618" s="216"/>
      <c r="Q6618" s="217"/>
      <c r="R6618" s="217"/>
      <c r="S6618" s="218"/>
    </row>
    <row r="6619" spans="13:19" ht="15" customHeight="1" x14ac:dyDescent="0.25">
      <c r="M6619"/>
      <c r="N6619"/>
      <c r="O6619"/>
      <c r="P6619" s="216"/>
      <c r="Q6619" s="217"/>
      <c r="R6619" s="217"/>
      <c r="S6619" s="218"/>
    </row>
    <row r="6620" spans="13:19" ht="15" customHeight="1" x14ac:dyDescent="0.25">
      <c r="M6620"/>
      <c r="N6620"/>
      <c r="O6620"/>
      <c r="P6620" s="216"/>
      <c r="Q6620" s="217"/>
      <c r="R6620" s="217"/>
      <c r="S6620" s="218"/>
    </row>
    <row r="6621" spans="13:19" ht="15" customHeight="1" x14ac:dyDescent="0.25">
      <c r="M6621"/>
      <c r="N6621"/>
      <c r="O6621"/>
      <c r="P6621" s="216"/>
      <c r="Q6621" s="217"/>
      <c r="R6621" s="217"/>
      <c r="S6621" s="218"/>
    </row>
    <row r="6622" spans="13:19" ht="15" customHeight="1" x14ac:dyDescent="0.25">
      <c r="M6622"/>
      <c r="N6622"/>
      <c r="O6622"/>
      <c r="P6622" s="216"/>
      <c r="Q6622" s="217"/>
      <c r="R6622" s="217"/>
      <c r="S6622" s="218"/>
    </row>
    <row r="6623" spans="13:19" ht="15" customHeight="1" x14ac:dyDescent="0.25">
      <c r="M6623"/>
      <c r="N6623"/>
      <c r="O6623"/>
      <c r="P6623" s="216"/>
      <c r="Q6623" s="217"/>
      <c r="R6623" s="217"/>
      <c r="S6623" s="218"/>
    </row>
    <row r="6624" spans="13:19" ht="15" customHeight="1" x14ac:dyDescent="0.25">
      <c r="M6624"/>
      <c r="N6624"/>
      <c r="O6624"/>
      <c r="P6624" s="216"/>
      <c r="Q6624" s="217"/>
      <c r="R6624" s="217"/>
      <c r="S6624" s="218"/>
    </row>
    <row r="6625" spans="13:19" ht="15" customHeight="1" x14ac:dyDescent="0.25">
      <c r="M6625"/>
      <c r="N6625"/>
      <c r="O6625"/>
      <c r="P6625" s="216"/>
      <c r="Q6625" s="217"/>
      <c r="R6625" s="217"/>
      <c r="S6625" s="218"/>
    </row>
    <row r="6626" spans="13:19" ht="15" customHeight="1" x14ac:dyDescent="0.25">
      <c r="M6626"/>
      <c r="N6626"/>
      <c r="O6626"/>
      <c r="P6626" s="216"/>
      <c r="Q6626" s="217"/>
      <c r="R6626" s="217"/>
      <c r="S6626" s="218"/>
    </row>
    <row r="6627" spans="13:19" ht="15" customHeight="1" x14ac:dyDescent="0.25">
      <c r="M6627"/>
      <c r="N6627"/>
      <c r="O6627"/>
      <c r="P6627" s="216"/>
      <c r="Q6627" s="217"/>
      <c r="R6627" s="217"/>
      <c r="S6627" s="218"/>
    </row>
    <row r="6628" spans="13:19" ht="15" customHeight="1" x14ac:dyDescent="0.25">
      <c r="M6628"/>
      <c r="N6628"/>
      <c r="O6628"/>
      <c r="P6628" s="216"/>
      <c r="Q6628" s="217"/>
      <c r="R6628" s="217"/>
      <c r="S6628" s="218"/>
    </row>
    <row r="6629" spans="13:19" ht="15" customHeight="1" x14ac:dyDescent="0.25">
      <c r="M6629"/>
      <c r="N6629"/>
      <c r="O6629"/>
      <c r="P6629" s="216"/>
      <c r="Q6629" s="217"/>
      <c r="R6629" s="217"/>
      <c r="S6629" s="218"/>
    </row>
    <row r="6630" spans="13:19" ht="15" customHeight="1" x14ac:dyDescent="0.25">
      <c r="M6630"/>
      <c r="N6630"/>
      <c r="O6630"/>
      <c r="P6630" s="216"/>
      <c r="Q6630" s="217"/>
      <c r="R6630" s="217"/>
      <c r="S6630" s="218"/>
    </row>
    <row r="6631" spans="13:19" ht="15" customHeight="1" x14ac:dyDescent="0.25">
      <c r="M6631"/>
      <c r="N6631"/>
      <c r="O6631"/>
      <c r="P6631" s="216"/>
      <c r="Q6631" s="217"/>
      <c r="R6631" s="217"/>
      <c r="S6631" s="218"/>
    </row>
    <row r="6632" spans="13:19" ht="15" customHeight="1" x14ac:dyDescent="0.25">
      <c r="M6632"/>
      <c r="N6632"/>
      <c r="O6632"/>
      <c r="P6632" s="216"/>
      <c r="Q6632" s="217"/>
      <c r="R6632" s="217"/>
      <c r="S6632" s="218"/>
    </row>
    <row r="6633" spans="13:19" ht="15" customHeight="1" x14ac:dyDescent="0.25">
      <c r="M6633"/>
      <c r="N6633"/>
      <c r="O6633"/>
      <c r="P6633" s="216"/>
      <c r="Q6633" s="217"/>
      <c r="R6633" s="217"/>
      <c r="S6633" s="218"/>
    </row>
    <row r="6634" spans="13:19" ht="15" customHeight="1" x14ac:dyDescent="0.25">
      <c r="M6634"/>
      <c r="N6634"/>
      <c r="O6634"/>
      <c r="P6634" s="216"/>
      <c r="Q6634" s="217"/>
      <c r="R6634" s="217"/>
      <c r="S6634" s="218"/>
    </row>
    <row r="6635" spans="13:19" ht="15" customHeight="1" x14ac:dyDescent="0.25">
      <c r="M6635"/>
      <c r="N6635"/>
      <c r="O6635"/>
      <c r="P6635" s="216"/>
      <c r="Q6635" s="217"/>
      <c r="R6635" s="217"/>
      <c r="S6635" s="218"/>
    </row>
    <row r="6636" spans="13:19" ht="15" customHeight="1" x14ac:dyDescent="0.25">
      <c r="M6636"/>
      <c r="N6636"/>
      <c r="O6636"/>
      <c r="P6636" s="216"/>
      <c r="Q6636" s="217"/>
      <c r="R6636" s="217"/>
      <c r="S6636" s="218"/>
    </row>
    <row r="6637" spans="13:19" ht="15" customHeight="1" x14ac:dyDescent="0.25">
      <c r="M6637"/>
      <c r="N6637"/>
      <c r="O6637"/>
      <c r="P6637" s="216"/>
      <c r="Q6637" s="217"/>
      <c r="R6637" s="217"/>
      <c r="S6637" s="218"/>
    </row>
    <row r="6638" spans="13:19" ht="15" customHeight="1" x14ac:dyDescent="0.25">
      <c r="M6638"/>
      <c r="N6638"/>
      <c r="O6638"/>
      <c r="P6638" s="216"/>
      <c r="Q6638" s="217"/>
      <c r="R6638" s="217"/>
      <c r="S6638" s="218"/>
    </row>
    <row r="6639" spans="13:19" ht="15" customHeight="1" x14ac:dyDescent="0.25">
      <c r="M6639"/>
      <c r="N6639"/>
      <c r="O6639"/>
      <c r="P6639" s="216"/>
      <c r="Q6639" s="217"/>
      <c r="R6639" s="217"/>
      <c r="S6639" s="218"/>
    </row>
    <row r="6640" spans="13:19" ht="15" customHeight="1" x14ac:dyDescent="0.25">
      <c r="M6640"/>
      <c r="N6640"/>
      <c r="O6640"/>
      <c r="P6640" s="216"/>
      <c r="Q6640" s="217"/>
      <c r="R6640" s="217"/>
      <c r="S6640" s="218"/>
    </row>
    <row r="6641" spans="13:19" ht="15" customHeight="1" x14ac:dyDescent="0.25">
      <c r="M6641"/>
      <c r="N6641"/>
      <c r="O6641"/>
      <c r="P6641" s="216"/>
      <c r="Q6641" s="217"/>
      <c r="R6641" s="217"/>
      <c r="S6641" s="218"/>
    </row>
    <row r="6642" spans="13:19" ht="15" customHeight="1" x14ac:dyDescent="0.25">
      <c r="M6642"/>
      <c r="N6642"/>
      <c r="O6642"/>
      <c r="P6642" s="216"/>
      <c r="Q6642" s="217"/>
      <c r="R6642" s="217"/>
      <c r="S6642" s="218"/>
    </row>
    <row r="6643" spans="13:19" ht="15" customHeight="1" x14ac:dyDescent="0.25">
      <c r="M6643"/>
      <c r="N6643"/>
      <c r="O6643"/>
      <c r="P6643" s="216"/>
      <c r="Q6643" s="217"/>
      <c r="R6643" s="217"/>
      <c r="S6643" s="218"/>
    </row>
    <row r="6644" spans="13:19" ht="15" customHeight="1" x14ac:dyDescent="0.25">
      <c r="M6644"/>
      <c r="N6644"/>
      <c r="O6644"/>
      <c r="P6644" s="216"/>
      <c r="Q6644" s="217"/>
      <c r="R6644" s="217"/>
      <c r="S6644" s="218"/>
    </row>
    <row r="6645" spans="13:19" ht="15" customHeight="1" x14ac:dyDescent="0.25">
      <c r="M6645"/>
      <c r="N6645"/>
      <c r="O6645"/>
      <c r="P6645" s="216"/>
      <c r="Q6645" s="217"/>
      <c r="R6645" s="217"/>
      <c r="S6645" s="218"/>
    </row>
    <row r="6646" spans="13:19" ht="15" customHeight="1" x14ac:dyDescent="0.25">
      <c r="M6646"/>
      <c r="N6646"/>
      <c r="O6646"/>
      <c r="P6646" s="216"/>
      <c r="Q6646" s="217"/>
      <c r="R6646" s="217"/>
      <c r="S6646" s="218"/>
    </row>
    <row r="6647" spans="13:19" ht="15" customHeight="1" x14ac:dyDescent="0.25">
      <c r="M6647"/>
      <c r="N6647"/>
      <c r="O6647"/>
      <c r="P6647" s="216"/>
      <c r="Q6647" s="217"/>
      <c r="R6647" s="217"/>
      <c r="S6647" s="218"/>
    </row>
    <row r="6648" spans="13:19" ht="15" customHeight="1" x14ac:dyDescent="0.25">
      <c r="M6648"/>
      <c r="N6648"/>
      <c r="O6648"/>
      <c r="P6648" s="216"/>
      <c r="Q6648" s="217"/>
      <c r="R6648" s="217"/>
      <c r="S6648" s="218"/>
    </row>
    <row r="6649" spans="13:19" ht="15" customHeight="1" x14ac:dyDescent="0.25">
      <c r="M6649"/>
      <c r="N6649"/>
      <c r="O6649"/>
      <c r="P6649" s="216"/>
      <c r="Q6649" s="217"/>
      <c r="R6649" s="217"/>
      <c r="S6649" s="218"/>
    </row>
    <row r="6650" spans="13:19" ht="15" customHeight="1" x14ac:dyDescent="0.25">
      <c r="M6650"/>
      <c r="N6650"/>
      <c r="O6650"/>
      <c r="P6650" s="216"/>
      <c r="Q6650" s="217"/>
      <c r="R6650" s="217"/>
      <c r="S6650" s="218"/>
    </row>
    <row r="6651" spans="13:19" ht="15" customHeight="1" x14ac:dyDescent="0.25">
      <c r="M6651"/>
      <c r="N6651"/>
      <c r="O6651"/>
      <c r="P6651" s="216"/>
      <c r="Q6651" s="217"/>
      <c r="R6651" s="217"/>
      <c r="S6651" s="218"/>
    </row>
    <row r="6652" spans="13:19" ht="15" customHeight="1" x14ac:dyDescent="0.25">
      <c r="M6652"/>
      <c r="N6652"/>
      <c r="O6652"/>
      <c r="P6652" s="216"/>
      <c r="Q6652" s="217"/>
      <c r="R6652" s="217"/>
      <c r="S6652" s="218"/>
    </row>
    <row r="6653" spans="13:19" ht="15" customHeight="1" x14ac:dyDescent="0.25">
      <c r="M6653"/>
      <c r="N6653"/>
      <c r="O6653"/>
      <c r="P6653" s="216"/>
      <c r="Q6653" s="217"/>
      <c r="R6653" s="217"/>
      <c r="S6653" s="218"/>
    </row>
    <row r="6654" spans="13:19" ht="15" customHeight="1" x14ac:dyDescent="0.25">
      <c r="M6654"/>
      <c r="N6654"/>
      <c r="O6654"/>
      <c r="P6654" s="216"/>
      <c r="Q6654" s="217"/>
      <c r="R6654" s="217"/>
      <c r="S6654" s="218"/>
    </row>
    <row r="6655" spans="13:19" ht="15" customHeight="1" x14ac:dyDescent="0.25">
      <c r="M6655"/>
      <c r="N6655"/>
      <c r="O6655"/>
      <c r="P6655" s="216"/>
      <c r="Q6655" s="217"/>
      <c r="R6655" s="217"/>
      <c r="S6655" s="218"/>
    </row>
    <row r="6656" spans="13:19" ht="15" customHeight="1" x14ac:dyDescent="0.25">
      <c r="M6656"/>
      <c r="N6656"/>
      <c r="O6656"/>
      <c r="P6656" s="216"/>
      <c r="Q6656" s="217"/>
      <c r="R6656" s="217"/>
      <c r="S6656" s="218"/>
    </row>
    <row r="6657" spans="13:19" ht="15" customHeight="1" x14ac:dyDescent="0.25">
      <c r="M6657"/>
      <c r="N6657"/>
      <c r="O6657"/>
      <c r="P6657" s="216"/>
      <c r="Q6657" s="217"/>
      <c r="R6657" s="217"/>
      <c r="S6657" s="218"/>
    </row>
    <row r="6658" spans="13:19" ht="15" customHeight="1" x14ac:dyDescent="0.25">
      <c r="M6658"/>
      <c r="N6658"/>
      <c r="O6658"/>
      <c r="P6658" s="216"/>
      <c r="Q6658" s="217"/>
      <c r="R6658" s="217"/>
      <c r="S6658" s="218"/>
    </row>
    <row r="6659" spans="13:19" ht="15" customHeight="1" x14ac:dyDescent="0.25">
      <c r="M6659"/>
      <c r="N6659"/>
      <c r="O6659"/>
      <c r="P6659" s="216"/>
      <c r="Q6659" s="217"/>
      <c r="R6659" s="217"/>
      <c r="S6659" s="218"/>
    </row>
    <row r="6660" spans="13:19" ht="15" customHeight="1" x14ac:dyDescent="0.25">
      <c r="M6660"/>
      <c r="N6660"/>
      <c r="O6660"/>
      <c r="P6660" s="216"/>
      <c r="Q6660" s="217"/>
      <c r="R6660" s="217"/>
      <c r="S6660" s="218"/>
    </row>
    <row r="6661" spans="13:19" ht="15" customHeight="1" x14ac:dyDescent="0.25">
      <c r="M6661"/>
      <c r="N6661"/>
      <c r="O6661"/>
      <c r="P6661" s="216"/>
      <c r="Q6661" s="217"/>
      <c r="R6661" s="217"/>
      <c r="S6661" s="218"/>
    </row>
    <row r="6662" spans="13:19" ht="15" customHeight="1" x14ac:dyDescent="0.25">
      <c r="M6662"/>
      <c r="N6662"/>
      <c r="O6662"/>
      <c r="P6662" s="216"/>
      <c r="Q6662" s="217"/>
      <c r="R6662" s="217"/>
      <c r="S6662" s="218"/>
    </row>
    <row r="6663" spans="13:19" ht="15" customHeight="1" x14ac:dyDescent="0.25">
      <c r="M6663"/>
      <c r="N6663"/>
      <c r="O6663"/>
      <c r="P6663" s="216"/>
      <c r="Q6663" s="217"/>
      <c r="R6663" s="217"/>
      <c r="S6663" s="218"/>
    </row>
    <row r="6664" spans="13:19" ht="15" customHeight="1" x14ac:dyDescent="0.25">
      <c r="M6664"/>
      <c r="N6664"/>
      <c r="O6664"/>
      <c r="P6664" s="216"/>
      <c r="Q6664" s="217"/>
      <c r="R6664" s="217"/>
      <c r="S6664" s="218"/>
    </row>
    <row r="6665" spans="13:19" ht="15" customHeight="1" x14ac:dyDescent="0.25">
      <c r="M6665"/>
      <c r="N6665"/>
      <c r="O6665"/>
      <c r="P6665" s="216"/>
      <c r="Q6665" s="217"/>
      <c r="R6665" s="217"/>
      <c r="S6665" s="218"/>
    </row>
    <row r="6666" spans="13:19" ht="15" customHeight="1" x14ac:dyDescent="0.25">
      <c r="M6666"/>
      <c r="N6666"/>
      <c r="O6666"/>
      <c r="P6666" s="216"/>
      <c r="Q6666" s="217"/>
      <c r="R6666" s="217"/>
      <c r="S6666" s="218"/>
    </row>
    <row r="6667" spans="13:19" ht="15" customHeight="1" x14ac:dyDescent="0.25">
      <c r="M6667"/>
      <c r="N6667"/>
      <c r="O6667"/>
      <c r="P6667" s="216"/>
      <c r="Q6667" s="217"/>
      <c r="R6667" s="217"/>
      <c r="S6667" s="218"/>
    </row>
    <row r="6668" spans="13:19" ht="15" customHeight="1" x14ac:dyDescent="0.25">
      <c r="M6668"/>
      <c r="N6668"/>
      <c r="O6668"/>
      <c r="P6668" s="216"/>
      <c r="Q6668" s="217"/>
      <c r="R6668" s="217"/>
      <c r="S6668" s="218"/>
    </row>
    <row r="6669" spans="13:19" ht="15" customHeight="1" x14ac:dyDescent="0.25">
      <c r="M6669"/>
      <c r="N6669"/>
      <c r="O6669"/>
      <c r="P6669" s="216"/>
      <c r="Q6669" s="217"/>
      <c r="R6669" s="217"/>
      <c r="S6669" s="218"/>
    </row>
    <row r="6670" spans="13:19" ht="15" customHeight="1" x14ac:dyDescent="0.25">
      <c r="M6670"/>
      <c r="N6670"/>
      <c r="O6670"/>
      <c r="P6670" s="216"/>
      <c r="Q6670" s="217"/>
      <c r="R6670" s="217"/>
      <c r="S6670" s="218"/>
    </row>
    <row r="6671" spans="13:19" ht="15" customHeight="1" x14ac:dyDescent="0.25">
      <c r="M6671"/>
      <c r="N6671"/>
      <c r="O6671"/>
      <c r="P6671" s="216"/>
      <c r="Q6671" s="217"/>
      <c r="R6671" s="217"/>
      <c r="S6671" s="218"/>
    </row>
    <row r="6672" spans="13:19" ht="15" customHeight="1" x14ac:dyDescent="0.25">
      <c r="M6672"/>
      <c r="N6672"/>
      <c r="O6672"/>
      <c r="P6672" s="216"/>
      <c r="Q6672" s="217"/>
      <c r="R6672" s="217"/>
      <c r="S6672" s="218"/>
    </row>
    <row r="6673" spans="13:19" ht="15" customHeight="1" x14ac:dyDescent="0.25">
      <c r="M6673"/>
      <c r="N6673"/>
      <c r="O6673"/>
      <c r="P6673" s="216"/>
      <c r="Q6673" s="217"/>
      <c r="R6673" s="217"/>
      <c r="S6673" s="218"/>
    </row>
    <row r="6674" spans="13:19" ht="15" customHeight="1" x14ac:dyDescent="0.25">
      <c r="M6674"/>
      <c r="N6674"/>
      <c r="O6674"/>
      <c r="P6674" s="216"/>
      <c r="Q6674" s="217"/>
      <c r="R6674" s="217"/>
      <c r="S6674" s="218"/>
    </row>
    <row r="6675" spans="13:19" ht="15" customHeight="1" x14ac:dyDescent="0.25">
      <c r="M6675"/>
      <c r="N6675"/>
      <c r="O6675"/>
      <c r="P6675" s="216"/>
      <c r="Q6675" s="217"/>
      <c r="R6675" s="217"/>
      <c r="S6675" s="218"/>
    </row>
    <row r="6676" spans="13:19" ht="15" customHeight="1" x14ac:dyDescent="0.25">
      <c r="M6676"/>
      <c r="N6676"/>
      <c r="O6676"/>
      <c r="P6676" s="216"/>
      <c r="Q6676" s="217"/>
      <c r="R6676" s="217"/>
      <c r="S6676" s="218"/>
    </row>
    <row r="6677" spans="13:19" ht="15" customHeight="1" x14ac:dyDescent="0.25">
      <c r="M6677"/>
      <c r="N6677"/>
      <c r="O6677"/>
      <c r="P6677" s="216"/>
      <c r="Q6677" s="217"/>
      <c r="R6677" s="217"/>
      <c r="S6677" s="218"/>
    </row>
    <row r="6678" spans="13:19" ht="15" customHeight="1" x14ac:dyDescent="0.25">
      <c r="M6678"/>
      <c r="N6678"/>
      <c r="O6678"/>
      <c r="P6678" s="216"/>
      <c r="Q6678" s="217"/>
      <c r="R6678" s="217"/>
      <c r="S6678" s="218"/>
    </row>
    <row r="6679" spans="13:19" ht="15" customHeight="1" x14ac:dyDescent="0.25">
      <c r="M6679"/>
      <c r="N6679"/>
      <c r="O6679"/>
      <c r="P6679" s="216"/>
      <c r="Q6679" s="217"/>
      <c r="R6679" s="217"/>
      <c r="S6679" s="218"/>
    </row>
    <row r="6680" spans="13:19" ht="15" customHeight="1" x14ac:dyDescent="0.25">
      <c r="M6680"/>
      <c r="N6680"/>
      <c r="O6680"/>
      <c r="P6680" s="216"/>
      <c r="Q6680" s="217"/>
      <c r="R6680" s="217"/>
      <c r="S6680" s="218"/>
    </row>
    <row r="6681" spans="13:19" ht="15" customHeight="1" x14ac:dyDescent="0.25">
      <c r="M6681"/>
      <c r="N6681"/>
      <c r="O6681"/>
      <c r="P6681" s="216"/>
      <c r="Q6681" s="217"/>
      <c r="R6681" s="217"/>
      <c r="S6681" s="218"/>
    </row>
    <row r="6682" spans="13:19" ht="15" customHeight="1" x14ac:dyDescent="0.25">
      <c r="M6682"/>
      <c r="N6682"/>
      <c r="O6682"/>
      <c r="P6682" s="216"/>
      <c r="Q6682" s="217"/>
      <c r="R6682" s="217"/>
      <c r="S6682" s="218"/>
    </row>
    <row r="6683" spans="13:19" ht="15" customHeight="1" x14ac:dyDescent="0.25">
      <c r="M6683"/>
      <c r="N6683"/>
      <c r="O6683"/>
      <c r="P6683" s="216"/>
      <c r="Q6683" s="217"/>
      <c r="R6683" s="217"/>
      <c r="S6683" s="218"/>
    </row>
    <row r="6684" spans="13:19" ht="15" customHeight="1" x14ac:dyDescent="0.25">
      <c r="M6684"/>
      <c r="N6684"/>
      <c r="O6684"/>
      <c r="P6684" s="216"/>
      <c r="Q6684" s="217"/>
      <c r="R6684" s="217"/>
      <c r="S6684" s="218"/>
    </row>
    <row r="6685" spans="13:19" ht="15" customHeight="1" x14ac:dyDescent="0.25">
      <c r="M6685"/>
      <c r="N6685"/>
      <c r="O6685"/>
      <c r="P6685" s="216"/>
      <c r="Q6685" s="217"/>
      <c r="R6685" s="217"/>
      <c r="S6685" s="218"/>
    </row>
    <row r="6686" spans="13:19" ht="15" customHeight="1" x14ac:dyDescent="0.25">
      <c r="M6686"/>
      <c r="N6686"/>
      <c r="O6686"/>
      <c r="P6686" s="216"/>
      <c r="Q6686" s="217"/>
      <c r="R6686" s="217"/>
      <c r="S6686" s="218"/>
    </row>
    <row r="6687" spans="13:19" ht="15" customHeight="1" x14ac:dyDescent="0.25">
      <c r="M6687"/>
      <c r="N6687"/>
      <c r="O6687"/>
      <c r="P6687" s="216"/>
      <c r="Q6687" s="217"/>
      <c r="R6687" s="217"/>
      <c r="S6687" s="218"/>
    </row>
    <row r="6688" spans="13:19" ht="15" customHeight="1" x14ac:dyDescent="0.25">
      <c r="M6688"/>
      <c r="N6688"/>
      <c r="O6688"/>
      <c r="P6688" s="216"/>
      <c r="Q6688" s="217"/>
      <c r="R6688" s="217"/>
      <c r="S6688" s="218"/>
    </row>
    <row r="6689" spans="13:19" ht="15" customHeight="1" x14ac:dyDescent="0.25">
      <c r="M6689"/>
      <c r="N6689"/>
      <c r="O6689"/>
      <c r="P6689" s="216"/>
      <c r="Q6689" s="217"/>
      <c r="R6689" s="217"/>
      <c r="S6689" s="218"/>
    </row>
    <row r="6690" spans="13:19" ht="15" customHeight="1" x14ac:dyDescent="0.25">
      <c r="M6690"/>
      <c r="N6690"/>
      <c r="O6690"/>
      <c r="P6690" s="216"/>
      <c r="Q6690" s="217"/>
      <c r="R6690" s="217"/>
      <c r="S6690" s="218"/>
    </row>
    <row r="6691" spans="13:19" ht="15" customHeight="1" x14ac:dyDescent="0.25">
      <c r="M6691"/>
      <c r="N6691"/>
      <c r="O6691"/>
      <c r="P6691" s="216"/>
      <c r="Q6691" s="217"/>
      <c r="R6691" s="217"/>
      <c r="S6691" s="218"/>
    </row>
    <row r="6692" spans="13:19" ht="15" customHeight="1" x14ac:dyDescent="0.25">
      <c r="M6692"/>
      <c r="N6692"/>
      <c r="O6692"/>
      <c r="P6692" s="216"/>
      <c r="Q6692" s="217"/>
      <c r="R6692" s="217"/>
      <c r="S6692" s="218"/>
    </row>
    <row r="6693" spans="13:19" ht="15" customHeight="1" x14ac:dyDescent="0.25">
      <c r="M6693"/>
      <c r="N6693"/>
      <c r="O6693"/>
      <c r="P6693" s="216"/>
      <c r="Q6693" s="217"/>
      <c r="R6693" s="217"/>
      <c r="S6693" s="218"/>
    </row>
    <row r="6694" spans="13:19" ht="15" customHeight="1" x14ac:dyDescent="0.25">
      <c r="M6694"/>
      <c r="N6694"/>
      <c r="O6694"/>
      <c r="P6694" s="216"/>
      <c r="Q6694" s="217"/>
      <c r="R6694" s="217"/>
      <c r="S6694" s="218"/>
    </row>
    <row r="6695" spans="13:19" ht="15" customHeight="1" x14ac:dyDescent="0.25">
      <c r="M6695"/>
      <c r="N6695"/>
      <c r="O6695"/>
      <c r="P6695" s="216"/>
      <c r="Q6695" s="217"/>
      <c r="R6695" s="217"/>
      <c r="S6695" s="218"/>
    </row>
    <row r="6696" spans="13:19" ht="15" customHeight="1" x14ac:dyDescent="0.25">
      <c r="M6696"/>
      <c r="N6696"/>
      <c r="O6696"/>
      <c r="P6696" s="216"/>
      <c r="Q6696" s="217"/>
      <c r="R6696" s="217"/>
      <c r="S6696" s="218"/>
    </row>
    <row r="6697" spans="13:19" ht="15" customHeight="1" x14ac:dyDescent="0.25">
      <c r="M6697"/>
      <c r="N6697"/>
      <c r="O6697"/>
      <c r="P6697" s="216"/>
      <c r="Q6697" s="217"/>
      <c r="R6697" s="217"/>
      <c r="S6697" s="218"/>
    </row>
    <row r="6698" spans="13:19" ht="15" customHeight="1" x14ac:dyDescent="0.25">
      <c r="M6698"/>
      <c r="N6698"/>
      <c r="O6698"/>
      <c r="P6698" s="216"/>
      <c r="Q6698" s="217"/>
      <c r="R6698" s="217"/>
      <c r="S6698" s="218"/>
    </row>
    <row r="6699" spans="13:19" ht="15" customHeight="1" x14ac:dyDescent="0.25">
      <c r="M6699"/>
      <c r="N6699"/>
      <c r="O6699"/>
      <c r="P6699" s="216"/>
      <c r="Q6699" s="217"/>
      <c r="R6699" s="217"/>
      <c r="S6699" s="218"/>
    </row>
    <row r="6700" spans="13:19" ht="15" customHeight="1" x14ac:dyDescent="0.25">
      <c r="M6700"/>
      <c r="N6700"/>
      <c r="O6700"/>
      <c r="P6700" s="216"/>
      <c r="Q6700" s="217"/>
      <c r="R6700" s="217"/>
      <c r="S6700" s="218"/>
    </row>
    <row r="6701" spans="13:19" ht="15" customHeight="1" x14ac:dyDescent="0.25">
      <c r="M6701"/>
      <c r="N6701"/>
      <c r="O6701"/>
      <c r="P6701" s="216"/>
      <c r="Q6701" s="217"/>
      <c r="R6701" s="217"/>
      <c r="S6701" s="218"/>
    </row>
    <row r="6702" spans="13:19" ht="15" customHeight="1" x14ac:dyDescent="0.25">
      <c r="M6702"/>
      <c r="N6702"/>
      <c r="O6702"/>
      <c r="P6702" s="216"/>
      <c r="Q6702" s="217"/>
      <c r="R6702" s="217"/>
      <c r="S6702" s="218"/>
    </row>
    <row r="6703" spans="13:19" ht="15" customHeight="1" x14ac:dyDescent="0.25">
      <c r="M6703"/>
      <c r="N6703"/>
      <c r="O6703"/>
      <c r="P6703" s="216"/>
      <c r="Q6703" s="217"/>
      <c r="R6703" s="217"/>
      <c r="S6703" s="218"/>
    </row>
    <row r="6704" spans="13:19" ht="15" customHeight="1" x14ac:dyDescent="0.25">
      <c r="M6704"/>
      <c r="N6704"/>
      <c r="O6704"/>
      <c r="P6704" s="216"/>
      <c r="Q6704" s="217"/>
      <c r="R6704" s="217"/>
      <c r="S6704" s="218"/>
    </row>
    <row r="6705" spans="13:19" ht="15" customHeight="1" x14ac:dyDescent="0.25">
      <c r="M6705"/>
      <c r="N6705"/>
      <c r="O6705"/>
      <c r="P6705" s="216"/>
      <c r="Q6705" s="217"/>
      <c r="R6705" s="217"/>
      <c r="S6705" s="218"/>
    </row>
    <row r="6706" spans="13:19" ht="15" customHeight="1" x14ac:dyDescent="0.25">
      <c r="M6706"/>
      <c r="N6706"/>
      <c r="O6706"/>
      <c r="P6706" s="216"/>
      <c r="Q6706" s="217"/>
      <c r="R6706" s="217"/>
      <c r="S6706" s="218"/>
    </row>
    <row r="6707" spans="13:19" ht="15" customHeight="1" x14ac:dyDescent="0.25">
      <c r="M6707"/>
      <c r="N6707"/>
      <c r="O6707"/>
      <c r="P6707" s="216"/>
      <c r="Q6707" s="217"/>
      <c r="R6707" s="217"/>
      <c r="S6707" s="218"/>
    </row>
    <row r="6708" spans="13:19" ht="15" customHeight="1" x14ac:dyDescent="0.25">
      <c r="M6708"/>
      <c r="N6708"/>
      <c r="O6708"/>
      <c r="P6708" s="216"/>
      <c r="Q6708" s="217"/>
      <c r="R6708" s="217"/>
      <c r="S6708" s="218"/>
    </row>
    <row r="6709" spans="13:19" ht="15" customHeight="1" x14ac:dyDescent="0.25">
      <c r="M6709"/>
      <c r="N6709"/>
      <c r="O6709"/>
      <c r="P6709" s="216"/>
      <c r="Q6709" s="217"/>
      <c r="R6709" s="217"/>
      <c r="S6709" s="218"/>
    </row>
    <row r="6710" spans="13:19" ht="15" customHeight="1" x14ac:dyDescent="0.25">
      <c r="M6710"/>
      <c r="N6710"/>
      <c r="O6710"/>
      <c r="P6710" s="216"/>
      <c r="Q6710" s="217"/>
      <c r="R6710" s="217"/>
      <c r="S6710" s="218"/>
    </row>
    <row r="6711" spans="13:19" ht="15" customHeight="1" x14ac:dyDescent="0.25">
      <c r="M6711"/>
      <c r="N6711"/>
      <c r="O6711"/>
      <c r="P6711" s="216"/>
      <c r="Q6711" s="217"/>
      <c r="R6711" s="217"/>
      <c r="S6711" s="218"/>
    </row>
    <row r="6712" spans="13:19" ht="15" customHeight="1" x14ac:dyDescent="0.25">
      <c r="M6712"/>
      <c r="N6712"/>
      <c r="O6712"/>
      <c r="P6712" s="216"/>
      <c r="Q6712" s="217"/>
      <c r="R6712" s="217"/>
      <c r="S6712" s="218"/>
    </row>
    <row r="6713" spans="13:19" ht="15" customHeight="1" x14ac:dyDescent="0.25">
      <c r="M6713"/>
      <c r="N6713"/>
      <c r="O6713"/>
      <c r="P6713" s="216"/>
      <c r="Q6713" s="217"/>
      <c r="R6713" s="217"/>
      <c r="S6713" s="218"/>
    </row>
    <row r="6714" spans="13:19" ht="15" customHeight="1" x14ac:dyDescent="0.25">
      <c r="M6714"/>
      <c r="N6714"/>
      <c r="O6714"/>
      <c r="P6714" s="216"/>
      <c r="Q6714" s="217"/>
      <c r="R6714" s="217"/>
      <c r="S6714" s="218"/>
    </row>
    <row r="6715" spans="13:19" ht="15" customHeight="1" x14ac:dyDescent="0.25">
      <c r="M6715"/>
      <c r="N6715"/>
      <c r="O6715"/>
      <c r="P6715" s="216"/>
      <c r="Q6715" s="217"/>
      <c r="R6715" s="217"/>
      <c r="S6715" s="218"/>
    </row>
    <row r="6716" spans="13:19" ht="15" customHeight="1" x14ac:dyDescent="0.25">
      <c r="M6716"/>
      <c r="N6716"/>
      <c r="O6716"/>
      <c r="P6716" s="216"/>
      <c r="Q6716" s="217"/>
      <c r="R6716" s="217"/>
      <c r="S6716" s="218"/>
    </row>
    <row r="6717" spans="13:19" ht="15" customHeight="1" x14ac:dyDescent="0.25">
      <c r="M6717"/>
      <c r="N6717"/>
      <c r="O6717"/>
      <c r="P6717" s="216"/>
      <c r="Q6717" s="217"/>
      <c r="R6717" s="217"/>
      <c r="S6717" s="218"/>
    </row>
    <row r="6718" spans="13:19" ht="15" customHeight="1" x14ac:dyDescent="0.25">
      <c r="M6718"/>
      <c r="N6718"/>
      <c r="O6718"/>
      <c r="P6718" s="216"/>
      <c r="Q6718" s="217"/>
      <c r="R6718" s="217"/>
      <c r="S6718" s="218"/>
    </row>
    <row r="6719" spans="13:19" ht="15" customHeight="1" x14ac:dyDescent="0.25">
      <c r="M6719"/>
      <c r="N6719"/>
      <c r="O6719"/>
      <c r="P6719" s="216"/>
      <c r="Q6719" s="217"/>
      <c r="R6719" s="217"/>
      <c r="S6719" s="218"/>
    </row>
    <row r="6720" spans="13:19" ht="15" customHeight="1" x14ac:dyDescent="0.25">
      <c r="M6720"/>
      <c r="N6720"/>
      <c r="O6720"/>
      <c r="P6720" s="216"/>
      <c r="Q6720" s="217"/>
      <c r="R6720" s="217"/>
      <c r="S6720" s="218"/>
    </row>
    <row r="6721" spans="13:19" ht="15" customHeight="1" x14ac:dyDescent="0.25">
      <c r="M6721"/>
      <c r="N6721"/>
      <c r="O6721"/>
      <c r="P6721" s="216"/>
      <c r="Q6721" s="217"/>
      <c r="R6721" s="217"/>
      <c r="S6721" s="218"/>
    </row>
    <row r="6722" spans="13:19" ht="15" customHeight="1" x14ac:dyDescent="0.25">
      <c r="M6722"/>
      <c r="N6722"/>
      <c r="O6722"/>
      <c r="P6722" s="216"/>
      <c r="Q6722" s="217"/>
      <c r="R6722" s="217"/>
      <c r="S6722" s="218"/>
    </row>
    <row r="6723" spans="13:19" ht="15" customHeight="1" x14ac:dyDescent="0.25">
      <c r="M6723"/>
      <c r="N6723"/>
      <c r="O6723"/>
      <c r="P6723" s="216"/>
      <c r="Q6723" s="217"/>
      <c r="R6723" s="217"/>
      <c r="S6723" s="218"/>
    </row>
    <row r="6724" spans="13:19" ht="15" customHeight="1" x14ac:dyDescent="0.25">
      <c r="M6724"/>
      <c r="N6724"/>
      <c r="O6724"/>
      <c r="P6724" s="216"/>
      <c r="Q6724" s="217"/>
      <c r="R6724" s="217"/>
      <c r="S6724" s="218"/>
    </row>
    <row r="6725" spans="13:19" ht="15" customHeight="1" x14ac:dyDescent="0.25">
      <c r="M6725"/>
      <c r="N6725"/>
      <c r="O6725"/>
      <c r="P6725" s="216"/>
      <c r="Q6725" s="217"/>
      <c r="R6725" s="217"/>
      <c r="S6725" s="218"/>
    </row>
    <row r="6726" spans="13:19" ht="15" customHeight="1" x14ac:dyDescent="0.25">
      <c r="M6726"/>
      <c r="N6726"/>
      <c r="O6726"/>
      <c r="P6726" s="216"/>
      <c r="Q6726" s="217"/>
      <c r="R6726" s="217"/>
      <c r="S6726" s="218"/>
    </row>
    <row r="6727" spans="13:19" ht="15" customHeight="1" x14ac:dyDescent="0.25">
      <c r="M6727"/>
      <c r="N6727"/>
      <c r="O6727"/>
      <c r="P6727" s="216"/>
      <c r="Q6727" s="217"/>
      <c r="R6727" s="217"/>
      <c r="S6727" s="218"/>
    </row>
    <row r="6728" spans="13:19" ht="15" customHeight="1" x14ac:dyDescent="0.25">
      <c r="M6728"/>
      <c r="N6728"/>
      <c r="O6728"/>
      <c r="P6728" s="216"/>
      <c r="Q6728" s="217"/>
      <c r="R6728" s="217"/>
      <c r="S6728" s="218"/>
    </row>
    <row r="6729" spans="13:19" ht="15" customHeight="1" x14ac:dyDescent="0.25">
      <c r="M6729"/>
      <c r="N6729"/>
      <c r="O6729"/>
      <c r="P6729" s="216"/>
      <c r="Q6729" s="217"/>
      <c r="R6729" s="217"/>
      <c r="S6729" s="218"/>
    </row>
    <row r="6730" spans="13:19" ht="15" customHeight="1" x14ac:dyDescent="0.25">
      <c r="M6730"/>
      <c r="N6730"/>
      <c r="O6730"/>
      <c r="P6730" s="216"/>
      <c r="Q6730" s="217"/>
      <c r="R6730" s="217"/>
      <c r="S6730" s="218"/>
    </row>
    <row r="6731" spans="13:19" ht="15" customHeight="1" x14ac:dyDescent="0.25">
      <c r="M6731"/>
      <c r="N6731"/>
      <c r="O6731"/>
      <c r="P6731" s="216"/>
      <c r="Q6731" s="217"/>
      <c r="R6731" s="217"/>
      <c r="S6731" s="218"/>
    </row>
    <row r="6732" spans="13:19" ht="15" customHeight="1" x14ac:dyDescent="0.25">
      <c r="M6732"/>
      <c r="N6732"/>
      <c r="O6732"/>
      <c r="P6732" s="216"/>
      <c r="Q6732" s="217"/>
      <c r="R6732" s="217"/>
      <c r="S6732" s="218"/>
    </row>
    <row r="6733" spans="13:19" ht="15" customHeight="1" x14ac:dyDescent="0.25">
      <c r="M6733"/>
      <c r="N6733"/>
      <c r="O6733"/>
      <c r="P6733" s="216"/>
      <c r="Q6733" s="217"/>
      <c r="R6733" s="217"/>
      <c r="S6733" s="218"/>
    </row>
    <row r="6734" spans="13:19" ht="15" customHeight="1" x14ac:dyDescent="0.25">
      <c r="M6734"/>
      <c r="N6734"/>
      <c r="O6734"/>
      <c r="P6734" s="216"/>
      <c r="Q6734" s="217"/>
      <c r="R6734" s="217"/>
      <c r="S6734" s="218"/>
    </row>
    <row r="6735" spans="13:19" ht="15" customHeight="1" x14ac:dyDescent="0.25">
      <c r="M6735"/>
      <c r="N6735"/>
      <c r="O6735"/>
      <c r="P6735" s="216"/>
      <c r="Q6735" s="217"/>
      <c r="R6735" s="217"/>
      <c r="S6735" s="218"/>
    </row>
    <row r="6736" spans="13:19" ht="15" customHeight="1" x14ac:dyDescent="0.25">
      <c r="M6736"/>
      <c r="N6736"/>
      <c r="O6736"/>
      <c r="P6736" s="216"/>
      <c r="Q6736" s="217"/>
      <c r="R6736" s="217"/>
      <c r="S6736" s="218"/>
    </row>
    <row r="6737" spans="13:19" ht="15" customHeight="1" x14ac:dyDescent="0.25">
      <c r="M6737"/>
      <c r="N6737"/>
      <c r="O6737"/>
      <c r="P6737" s="216"/>
      <c r="Q6737" s="217"/>
      <c r="R6737" s="217"/>
      <c r="S6737" s="218"/>
    </row>
    <row r="6738" spans="13:19" ht="15" customHeight="1" x14ac:dyDescent="0.25">
      <c r="M6738"/>
      <c r="N6738"/>
      <c r="O6738"/>
      <c r="P6738" s="216"/>
      <c r="Q6738" s="217"/>
      <c r="R6738" s="217"/>
      <c r="S6738" s="218"/>
    </row>
    <row r="6739" spans="13:19" ht="15" customHeight="1" x14ac:dyDescent="0.25">
      <c r="M6739"/>
      <c r="N6739"/>
      <c r="O6739"/>
      <c r="P6739" s="216"/>
      <c r="Q6739" s="217"/>
      <c r="R6739" s="217"/>
      <c r="S6739" s="218"/>
    </row>
    <row r="6740" spans="13:19" ht="15" customHeight="1" x14ac:dyDescent="0.25">
      <c r="M6740"/>
      <c r="N6740"/>
      <c r="O6740"/>
      <c r="P6740" s="216"/>
      <c r="Q6740" s="217"/>
      <c r="R6740" s="217"/>
      <c r="S6740" s="218"/>
    </row>
    <row r="6741" spans="13:19" ht="15" customHeight="1" x14ac:dyDescent="0.25">
      <c r="M6741"/>
      <c r="N6741"/>
      <c r="O6741"/>
      <c r="P6741" s="216"/>
      <c r="Q6741" s="217"/>
      <c r="R6741" s="217"/>
      <c r="S6741" s="218"/>
    </row>
    <row r="6742" spans="13:19" ht="15" customHeight="1" x14ac:dyDescent="0.25">
      <c r="M6742"/>
      <c r="N6742"/>
      <c r="O6742"/>
      <c r="P6742" s="216"/>
      <c r="Q6742" s="217"/>
      <c r="R6742" s="217"/>
      <c r="S6742" s="218"/>
    </row>
    <row r="6743" spans="13:19" ht="15" customHeight="1" x14ac:dyDescent="0.25">
      <c r="M6743"/>
      <c r="N6743"/>
      <c r="O6743"/>
      <c r="P6743" s="216"/>
      <c r="Q6743" s="217"/>
      <c r="R6743" s="217"/>
      <c r="S6743" s="218"/>
    </row>
    <row r="6744" spans="13:19" ht="15" customHeight="1" x14ac:dyDescent="0.25">
      <c r="M6744"/>
      <c r="N6744"/>
      <c r="O6744"/>
      <c r="P6744" s="216"/>
      <c r="Q6744" s="217"/>
      <c r="R6744" s="217"/>
      <c r="S6744" s="218"/>
    </row>
    <row r="6745" spans="13:19" ht="15" customHeight="1" x14ac:dyDescent="0.25">
      <c r="M6745"/>
      <c r="N6745"/>
      <c r="O6745"/>
      <c r="P6745" s="216"/>
      <c r="Q6745" s="217"/>
      <c r="R6745" s="217"/>
      <c r="S6745" s="218"/>
    </row>
    <row r="6746" spans="13:19" ht="15" customHeight="1" x14ac:dyDescent="0.25">
      <c r="M6746"/>
      <c r="N6746"/>
      <c r="O6746"/>
      <c r="P6746" s="216"/>
      <c r="Q6746" s="217"/>
      <c r="R6746" s="217"/>
      <c r="S6746" s="218"/>
    </row>
    <row r="6747" spans="13:19" ht="15" customHeight="1" x14ac:dyDescent="0.25">
      <c r="M6747"/>
      <c r="N6747"/>
      <c r="O6747"/>
      <c r="P6747" s="216"/>
      <c r="Q6747" s="217"/>
      <c r="R6747" s="217"/>
      <c r="S6747" s="218"/>
    </row>
    <row r="6748" spans="13:19" ht="15" customHeight="1" x14ac:dyDescent="0.25">
      <c r="M6748"/>
      <c r="N6748"/>
      <c r="O6748"/>
      <c r="P6748" s="216"/>
      <c r="Q6748" s="217"/>
      <c r="R6748" s="217"/>
      <c r="S6748" s="218"/>
    </row>
    <row r="6749" spans="13:19" ht="15" customHeight="1" x14ac:dyDescent="0.25">
      <c r="M6749"/>
      <c r="N6749"/>
      <c r="O6749"/>
      <c r="P6749" s="216"/>
      <c r="Q6749" s="217"/>
      <c r="R6749" s="217"/>
      <c r="S6749" s="218"/>
    </row>
    <row r="6750" spans="13:19" ht="15" customHeight="1" x14ac:dyDescent="0.25">
      <c r="M6750"/>
      <c r="N6750"/>
      <c r="O6750"/>
      <c r="P6750" s="216"/>
      <c r="Q6750" s="217"/>
      <c r="R6750" s="217"/>
      <c r="S6750" s="218"/>
    </row>
    <row r="6751" spans="13:19" ht="15" customHeight="1" x14ac:dyDescent="0.25">
      <c r="M6751"/>
      <c r="N6751"/>
      <c r="O6751"/>
      <c r="P6751" s="216"/>
      <c r="Q6751" s="217"/>
      <c r="R6751" s="217"/>
      <c r="S6751" s="218"/>
    </row>
    <row r="6752" spans="13:19" ht="15" customHeight="1" x14ac:dyDescent="0.25">
      <c r="M6752"/>
      <c r="N6752"/>
      <c r="O6752"/>
      <c r="P6752" s="216"/>
      <c r="Q6752" s="217"/>
      <c r="R6752" s="217"/>
      <c r="S6752" s="218"/>
    </row>
    <row r="6753" spans="13:19" ht="15" customHeight="1" x14ac:dyDescent="0.25">
      <c r="M6753"/>
      <c r="N6753"/>
      <c r="O6753"/>
      <c r="P6753" s="216"/>
      <c r="Q6753" s="217"/>
      <c r="R6753" s="217"/>
      <c r="S6753" s="218"/>
    </row>
    <row r="6754" spans="13:19" ht="15" customHeight="1" x14ac:dyDescent="0.25">
      <c r="M6754"/>
      <c r="N6754"/>
      <c r="O6754"/>
      <c r="P6754" s="216"/>
      <c r="Q6754" s="217"/>
      <c r="R6754" s="217"/>
      <c r="S6754" s="218"/>
    </row>
    <row r="6755" spans="13:19" ht="15" customHeight="1" x14ac:dyDescent="0.25">
      <c r="M6755"/>
      <c r="N6755"/>
      <c r="O6755"/>
      <c r="P6755" s="216"/>
      <c r="Q6755" s="217"/>
      <c r="R6755" s="217"/>
      <c r="S6755" s="218"/>
    </row>
    <row r="6756" spans="13:19" ht="15" customHeight="1" x14ac:dyDescent="0.25">
      <c r="M6756"/>
      <c r="N6756"/>
      <c r="O6756"/>
      <c r="P6756" s="216"/>
      <c r="Q6756" s="217"/>
      <c r="R6756" s="217"/>
      <c r="S6756" s="218"/>
    </row>
    <row r="6757" spans="13:19" ht="15" customHeight="1" x14ac:dyDescent="0.25">
      <c r="M6757"/>
      <c r="N6757"/>
      <c r="O6757"/>
      <c r="P6757" s="216"/>
      <c r="Q6757" s="217"/>
      <c r="R6757" s="217"/>
      <c r="S6757" s="218"/>
    </row>
    <row r="6758" spans="13:19" ht="15" customHeight="1" x14ac:dyDescent="0.25">
      <c r="M6758"/>
      <c r="N6758"/>
      <c r="O6758"/>
      <c r="P6758" s="216"/>
      <c r="Q6758" s="217"/>
      <c r="R6758" s="217"/>
      <c r="S6758" s="218"/>
    </row>
    <row r="6759" spans="13:19" ht="15" customHeight="1" x14ac:dyDescent="0.25">
      <c r="M6759"/>
      <c r="N6759"/>
      <c r="O6759"/>
      <c r="P6759" s="216"/>
      <c r="Q6759" s="217"/>
      <c r="R6759" s="217"/>
      <c r="S6759" s="218"/>
    </row>
    <row r="6760" spans="13:19" ht="15" customHeight="1" x14ac:dyDescent="0.25">
      <c r="M6760"/>
      <c r="N6760"/>
      <c r="O6760"/>
      <c r="P6760" s="216"/>
      <c r="Q6760" s="217"/>
      <c r="R6760" s="217"/>
      <c r="S6760" s="218"/>
    </row>
    <row r="6761" spans="13:19" ht="15" customHeight="1" x14ac:dyDescent="0.25">
      <c r="M6761"/>
      <c r="N6761"/>
      <c r="O6761"/>
      <c r="P6761" s="216"/>
      <c r="Q6761" s="217"/>
      <c r="R6761" s="217"/>
      <c r="S6761" s="218"/>
    </row>
    <row r="6762" spans="13:19" ht="15" customHeight="1" x14ac:dyDescent="0.25">
      <c r="M6762"/>
      <c r="N6762"/>
      <c r="O6762"/>
      <c r="P6762" s="216"/>
      <c r="Q6762" s="217"/>
      <c r="R6762" s="217"/>
      <c r="S6762" s="218"/>
    </row>
    <row r="6763" spans="13:19" ht="15" customHeight="1" x14ac:dyDescent="0.25">
      <c r="M6763"/>
      <c r="N6763"/>
      <c r="O6763"/>
      <c r="P6763" s="216"/>
      <c r="Q6763" s="217"/>
      <c r="R6763" s="217"/>
      <c r="S6763" s="218"/>
    </row>
    <row r="6764" spans="13:19" ht="15" customHeight="1" x14ac:dyDescent="0.25">
      <c r="M6764"/>
      <c r="N6764"/>
      <c r="O6764"/>
      <c r="P6764" s="216"/>
      <c r="Q6764" s="217"/>
      <c r="R6764" s="217"/>
      <c r="S6764" s="218"/>
    </row>
    <row r="6765" spans="13:19" ht="15" customHeight="1" x14ac:dyDescent="0.25">
      <c r="M6765"/>
      <c r="N6765"/>
      <c r="O6765"/>
      <c r="P6765" s="216"/>
      <c r="Q6765" s="217"/>
      <c r="R6765" s="217"/>
      <c r="S6765" s="218"/>
    </row>
    <row r="6766" spans="13:19" ht="15" customHeight="1" x14ac:dyDescent="0.25">
      <c r="M6766"/>
      <c r="N6766"/>
      <c r="O6766"/>
      <c r="P6766" s="216"/>
      <c r="Q6766" s="217"/>
      <c r="R6766" s="217"/>
      <c r="S6766" s="218"/>
    </row>
    <row r="6767" spans="13:19" ht="15" customHeight="1" x14ac:dyDescent="0.25">
      <c r="M6767"/>
      <c r="N6767"/>
      <c r="O6767"/>
      <c r="P6767" s="216"/>
      <c r="Q6767" s="217"/>
      <c r="R6767" s="217"/>
      <c r="S6767" s="218"/>
    </row>
    <row r="6768" spans="13:19" ht="15" customHeight="1" x14ac:dyDescent="0.25">
      <c r="M6768"/>
      <c r="N6768"/>
      <c r="O6768"/>
      <c r="P6768" s="216"/>
      <c r="Q6768" s="217"/>
      <c r="R6768" s="217"/>
      <c r="S6768" s="218"/>
    </row>
    <row r="6769" spans="13:19" ht="15" customHeight="1" x14ac:dyDescent="0.25">
      <c r="M6769"/>
      <c r="N6769"/>
      <c r="O6769"/>
      <c r="P6769" s="216"/>
      <c r="Q6769" s="217"/>
      <c r="R6769" s="217"/>
      <c r="S6769" s="218"/>
    </row>
    <row r="6770" spans="13:19" ht="15" customHeight="1" x14ac:dyDescent="0.25">
      <c r="M6770"/>
      <c r="N6770"/>
      <c r="O6770"/>
      <c r="P6770" s="216"/>
      <c r="Q6770" s="217"/>
      <c r="R6770" s="217"/>
      <c r="S6770" s="218"/>
    </row>
    <row r="6771" spans="13:19" ht="15" customHeight="1" x14ac:dyDescent="0.25">
      <c r="M6771"/>
      <c r="N6771"/>
      <c r="O6771"/>
      <c r="P6771" s="216"/>
      <c r="Q6771" s="217"/>
      <c r="R6771" s="217"/>
      <c r="S6771" s="218"/>
    </row>
    <row r="6772" spans="13:19" ht="15" customHeight="1" x14ac:dyDescent="0.25">
      <c r="M6772"/>
      <c r="N6772"/>
      <c r="O6772"/>
      <c r="P6772" s="216"/>
      <c r="Q6772" s="217"/>
      <c r="R6772" s="217"/>
      <c r="S6772" s="218"/>
    </row>
    <row r="6773" spans="13:19" ht="15" customHeight="1" x14ac:dyDescent="0.25">
      <c r="M6773"/>
      <c r="N6773"/>
      <c r="O6773"/>
      <c r="P6773" s="216"/>
      <c r="Q6773" s="217"/>
      <c r="R6773" s="217"/>
      <c r="S6773" s="218"/>
    </row>
    <row r="6774" spans="13:19" ht="15" customHeight="1" x14ac:dyDescent="0.25">
      <c r="M6774"/>
      <c r="N6774"/>
      <c r="O6774"/>
      <c r="P6774" s="216"/>
      <c r="Q6774" s="217"/>
      <c r="R6774" s="217"/>
      <c r="S6774" s="218"/>
    </row>
    <row r="6775" spans="13:19" ht="15" customHeight="1" x14ac:dyDescent="0.25">
      <c r="M6775"/>
      <c r="N6775"/>
      <c r="O6775"/>
      <c r="P6775" s="216"/>
      <c r="Q6775" s="217"/>
      <c r="R6775" s="217"/>
      <c r="S6775" s="218"/>
    </row>
    <row r="6776" spans="13:19" ht="15" customHeight="1" x14ac:dyDescent="0.25">
      <c r="M6776"/>
      <c r="N6776"/>
      <c r="O6776"/>
      <c r="P6776" s="216"/>
      <c r="Q6776" s="217"/>
      <c r="R6776" s="217"/>
      <c r="S6776" s="218"/>
    </row>
    <row r="6777" spans="13:19" ht="15" customHeight="1" x14ac:dyDescent="0.25">
      <c r="M6777"/>
      <c r="N6777"/>
      <c r="O6777"/>
      <c r="P6777" s="216"/>
      <c r="Q6777" s="217"/>
      <c r="R6777" s="217"/>
      <c r="S6777" s="218"/>
    </row>
    <row r="6778" spans="13:19" ht="15" customHeight="1" x14ac:dyDescent="0.25">
      <c r="M6778"/>
      <c r="N6778"/>
      <c r="O6778"/>
      <c r="P6778" s="216"/>
      <c r="Q6778" s="217"/>
      <c r="R6778" s="217"/>
      <c r="S6778" s="218"/>
    </row>
    <row r="6779" spans="13:19" ht="15" customHeight="1" x14ac:dyDescent="0.25">
      <c r="M6779"/>
      <c r="N6779"/>
      <c r="O6779"/>
      <c r="P6779" s="216"/>
      <c r="Q6779" s="217"/>
      <c r="R6779" s="217"/>
      <c r="S6779" s="218"/>
    </row>
    <row r="6780" spans="13:19" ht="15" customHeight="1" x14ac:dyDescent="0.25">
      <c r="M6780"/>
      <c r="N6780"/>
      <c r="O6780"/>
      <c r="P6780" s="216"/>
      <c r="Q6780" s="217"/>
      <c r="R6780" s="217"/>
      <c r="S6780" s="218"/>
    </row>
    <row r="6781" spans="13:19" ht="15" customHeight="1" x14ac:dyDescent="0.25">
      <c r="M6781"/>
      <c r="N6781"/>
      <c r="O6781"/>
      <c r="P6781" s="216"/>
      <c r="Q6781" s="217"/>
      <c r="R6781" s="217"/>
      <c r="S6781" s="218"/>
    </row>
    <row r="6782" spans="13:19" ht="15" customHeight="1" x14ac:dyDescent="0.25">
      <c r="M6782"/>
      <c r="N6782"/>
      <c r="O6782"/>
      <c r="P6782" s="216"/>
      <c r="Q6782" s="217"/>
      <c r="R6782" s="217"/>
      <c r="S6782" s="218"/>
    </row>
    <row r="6783" spans="13:19" ht="15" customHeight="1" x14ac:dyDescent="0.25">
      <c r="M6783"/>
      <c r="N6783"/>
      <c r="O6783"/>
      <c r="P6783" s="216"/>
      <c r="Q6783" s="217"/>
      <c r="R6783" s="217"/>
      <c r="S6783" s="218"/>
    </row>
    <row r="6784" spans="13:19" ht="15" customHeight="1" x14ac:dyDescent="0.25">
      <c r="M6784"/>
      <c r="N6784"/>
      <c r="O6784"/>
      <c r="P6784" s="216"/>
      <c r="Q6784" s="217"/>
      <c r="R6784" s="217"/>
      <c r="S6784" s="218"/>
    </row>
    <row r="6785" spans="13:19" ht="15" customHeight="1" x14ac:dyDescent="0.25">
      <c r="M6785"/>
      <c r="N6785"/>
      <c r="O6785"/>
      <c r="P6785" s="216"/>
      <c r="Q6785" s="217"/>
      <c r="R6785" s="217"/>
      <c r="S6785" s="218"/>
    </row>
    <row r="6786" spans="13:19" ht="15" customHeight="1" x14ac:dyDescent="0.25">
      <c r="M6786"/>
      <c r="N6786"/>
      <c r="O6786"/>
      <c r="P6786" s="216"/>
      <c r="Q6786" s="217"/>
      <c r="R6786" s="217"/>
      <c r="S6786" s="218"/>
    </row>
    <row r="6787" spans="13:19" ht="15" customHeight="1" x14ac:dyDescent="0.25">
      <c r="M6787"/>
      <c r="N6787"/>
      <c r="O6787"/>
      <c r="P6787" s="216"/>
      <c r="Q6787" s="217"/>
      <c r="R6787" s="217"/>
      <c r="S6787" s="218"/>
    </row>
    <row r="6788" spans="13:19" ht="15" customHeight="1" x14ac:dyDescent="0.25">
      <c r="M6788"/>
      <c r="N6788"/>
      <c r="O6788"/>
      <c r="P6788" s="216"/>
      <c r="Q6788" s="217"/>
      <c r="R6788" s="217"/>
      <c r="S6788" s="218"/>
    </row>
    <row r="6789" spans="13:19" ht="15" customHeight="1" x14ac:dyDescent="0.25">
      <c r="M6789"/>
      <c r="N6789"/>
      <c r="O6789"/>
      <c r="P6789" s="216"/>
      <c r="Q6789" s="217"/>
      <c r="R6789" s="217"/>
      <c r="S6789" s="218"/>
    </row>
    <row r="6790" spans="13:19" ht="15" customHeight="1" x14ac:dyDescent="0.25">
      <c r="M6790"/>
      <c r="N6790"/>
      <c r="O6790"/>
      <c r="P6790" s="216"/>
      <c r="Q6790" s="217"/>
      <c r="R6790" s="217"/>
      <c r="S6790" s="218"/>
    </row>
    <row r="6791" spans="13:19" ht="15" customHeight="1" x14ac:dyDescent="0.25">
      <c r="M6791"/>
      <c r="N6791"/>
      <c r="O6791"/>
      <c r="P6791" s="216"/>
      <c r="Q6791" s="217"/>
      <c r="R6791" s="217"/>
      <c r="S6791" s="218"/>
    </row>
    <row r="6792" spans="13:19" ht="15" customHeight="1" x14ac:dyDescent="0.25">
      <c r="M6792"/>
      <c r="N6792"/>
      <c r="O6792"/>
      <c r="P6792" s="216"/>
      <c r="Q6792" s="217"/>
      <c r="R6792" s="217"/>
      <c r="S6792" s="218"/>
    </row>
    <row r="6793" spans="13:19" ht="15" customHeight="1" x14ac:dyDescent="0.25">
      <c r="M6793"/>
      <c r="N6793"/>
      <c r="O6793"/>
      <c r="P6793" s="216"/>
      <c r="Q6793" s="217"/>
      <c r="R6793" s="217"/>
      <c r="S6793" s="218"/>
    </row>
    <row r="6794" spans="13:19" ht="15" customHeight="1" x14ac:dyDescent="0.25">
      <c r="M6794"/>
      <c r="N6794"/>
      <c r="O6794"/>
      <c r="P6794" s="216"/>
      <c r="Q6794" s="217"/>
      <c r="R6794" s="217"/>
      <c r="S6794" s="218"/>
    </row>
    <row r="6795" spans="13:19" ht="15" customHeight="1" x14ac:dyDescent="0.25">
      <c r="M6795"/>
      <c r="N6795"/>
      <c r="O6795"/>
      <c r="P6795" s="216"/>
      <c r="Q6795" s="217"/>
      <c r="R6795" s="217"/>
      <c r="S6795" s="218"/>
    </row>
    <row r="6796" spans="13:19" ht="15" customHeight="1" x14ac:dyDescent="0.25">
      <c r="M6796"/>
      <c r="N6796"/>
      <c r="O6796"/>
      <c r="P6796" s="216"/>
      <c r="Q6796" s="217"/>
      <c r="R6796" s="217"/>
      <c r="S6796" s="218"/>
    </row>
    <row r="6797" spans="13:19" ht="15" customHeight="1" x14ac:dyDescent="0.25">
      <c r="M6797"/>
      <c r="N6797"/>
      <c r="O6797"/>
      <c r="P6797" s="216"/>
      <c r="Q6797" s="217"/>
      <c r="R6797" s="217"/>
      <c r="S6797" s="218"/>
    </row>
    <row r="6798" spans="13:19" ht="15" customHeight="1" x14ac:dyDescent="0.25">
      <c r="M6798"/>
      <c r="N6798"/>
      <c r="O6798"/>
      <c r="P6798" s="216"/>
      <c r="Q6798" s="217"/>
      <c r="R6798" s="217"/>
      <c r="S6798" s="218"/>
    </row>
    <row r="6799" spans="13:19" ht="15" customHeight="1" x14ac:dyDescent="0.25">
      <c r="M6799"/>
      <c r="N6799"/>
      <c r="O6799"/>
      <c r="P6799" s="216"/>
      <c r="Q6799" s="217"/>
      <c r="R6799" s="217"/>
      <c r="S6799" s="218"/>
    </row>
    <row r="6800" spans="13:19" ht="15" customHeight="1" x14ac:dyDescent="0.25">
      <c r="M6800"/>
      <c r="N6800"/>
      <c r="O6800"/>
      <c r="P6800" s="216"/>
      <c r="Q6800" s="217"/>
      <c r="R6800" s="217"/>
      <c r="S6800" s="218"/>
    </row>
    <row r="6801" spans="13:19" ht="15" customHeight="1" x14ac:dyDescent="0.25">
      <c r="M6801"/>
      <c r="N6801"/>
      <c r="O6801"/>
      <c r="P6801" s="216"/>
      <c r="Q6801" s="217"/>
      <c r="R6801" s="217"/>
      <c r="S6801" s="218"/>
    </row>
    <row r="6802" spans="13:19" ht="15" customHeight="1" x14ac:dyDescent="0.25">
      <c r="M6802"/>
      <c r="N6802"/>
      <c r="O6802"/>
      <c r="P6802" s="216"/>
      <c r="Q6802" s="217"/>
      <c r="R6802" s="217"/>
      <c r="S6802" s="218"/>
    </row>
    <row r="6803" spans="13:19" ht="15" customHeight="1" x14ac:dyDescent="0.25">
      <c r="M6803"/>
      <c r="N6803"/>
      <c r="O6803"/>
      <c r="P6803" s="216"/>
      <c r="Q6803" s="217"/>
      <c r="R6803" s="217"/>
      <c r="S6803" s="218"/>
    </row>
    <row r="6804" spans="13:19" ht="15" customHeight="1" x14ac:dyDescent="0.25">
      <c r="M6804"/>
      <c r="N6804"/>
      <c r="O6804"/>
      <c r="P6804" s="216"/>
      <c r="Q6804" s="217"/>
      <c r="R6804" s="217"/>
      <c r="S6804" s="218"/>
    </row>
    <row r="6805" spans="13:19" ht="15" customHeight="1" x14ac:dyDescent="0.25">
      <c r="M6805"/>
      <c r="N6805"/>
      <c r="O6805"/>
      <c r="P6805" s="216"/>
      <c r="Q6805" s="217"/>
      <c r="R6805" s="217"/>
      <c r="S6805" s="218"/>
    </row>
    <row r="6806" spans="13:19" ht="15" customHeight="1" x14ac:dyDescent="0.25">
      <c r="M6806"/>
      <c r="N6806"/>
      <c r="O6806"/>
      <c r="P6806" s="216"/>
      <c r="Q6806" s="217"/>
      <c r="R6806" s="217"/>
      <c r="S6806" s="218"/>
    </row>
    <row r="6807" spans="13:19" ht="15" customHeight="1" x14ac:dyDescent="0.25">
      <c r="M6807"/>
      <c r="N6807"/>
      <c r="O6807"/>
      <c r="P6807" s="216"/>
      <c r="Q6807" s="217"/>
      <c r="R6807" s="217"/>
      <c r="S6807" s="218"/>
    </row>
    <row r="6808" spans="13:19" ht="15" customHeight="1" x14ac:dyDescent="0.25">
      <c r="M6808"/>
      <c r="N6808"/>
      <c r="O6808"/>
      <c r="P6808" s="216"/>
      <c r="Q6808" s="217"/>
      <c r="R6808" s="217"/>
      <c r="S6808" s="218"/>
    </row>
    <row r="6809" spans="13:19" ht="15" customHeight="1" x14ac:dyDescent="0.25">
      <c r="M6809"/>
      <c r="N6809"/>
      <c r="O6809"/>
      <c r="P6809" s="216"/>
      <c r="Q6809" s="217"/>
      <c r="R6809" s="217"/>
      <c r="S6809" s="218"/>
    </row>
    <row r="6810" spans="13:19" ht="15" customHeight="1" x14ac:dyDescent="0.25">
      <c r="M6810"/>
      <c r="N6810"/>
      <c r="O6810"/>
      <c r="P6810" s="216"/>
      <c r="Q6810" s="217"/>
      <c r="R6810" s="217"/>
      <c r="S6810" s="218"/>
    </row>
    <row r="6811" spans="13:19" ht="15" customHeight="1" x14ac:dyDescent="0.25">
      <c r="M6811"/>
      <c r="N6811"/>
      <c r="O6811"/>
      <c r="P6811" s="216"/>
      <c r="Q6811" s="217"/>
      <c r="R6811" s="217"/>
      <c r="S6811" s="218"/>
    </row>
    <row r="6812" spans="13:19" ht="15" customHeight="1" x14ac:dyDescent="0.25">
      <c r="M6812"/>
      <c r="N6812"/>
      <c r="O6812"/>
      <c r="P6812" s="216"/>
      <c r="Q6812" s="217"/>
      <c r="R6812" s="217"/>
      <c r="S6812" s="218"/>
    </row>
    <row r="6813" spans="13:19" ht="15" customHeight="1" x14ac:dyDescent="0.25">
      <c r="M6813"/>
      <c r="N6813"/>
      <c r="O6813"/>
      <c r="P6813" s="216"/>
      <c r="Q6813" s="217"/>
      <c r="R6813" s="217"/>
      <c r="S6813" s="218"/>
    </row>
    <row r="6814" spans="13:19" ht="15" customHeight="1" x14ac:dyDescent="0.25">
      <c r="M6814"/>
      <c r="N6814"/>
      <c r="O6814"/>
      <c r="P6814" s="216"/>
      <c r="Q6814" s="217"/>
      <c r="R6814" s="217"/>
      <c r="S6814" s="218"/>
    </row>
    <row r="6815" spans="13:19" ht="15" customHeight="1" x14ac:dyDescent="0.25">
      <c r="M6815"/>
      <c r="N6815"/>
      <c r="O6815"/>
      <c r="P6815" s="216"/>
      <c r="Q6815" s="217"/>
      <c r="R6815" s="217"/>
      <c r="S6815" s="218"/>
    </row>
    <row r="6816" spans="13:19" ht="15" customHeight="1" x14ac:dyDescent="0.25">
      <c r="M6816"/>
      <c r="N6816"/>
      <c r="O6816"/>
      <c r="P6816" s="216"/>
      <c r="Q6816" s="217"/>
      <c r="R6816" s="217"/>
      <c r="S6816" s="218"/>
    </row>
    <row r="6817" spans="13:19" ht="15" customHeight="1" x14ac:dyDescent="0.25">
      <c r="M6817"/>
      <c r="N6817"/>
      <c r="O6817"/>
      <c r="P6817" s="216"/>
      <c r="Q6817" s="217"/>
      <c r="R6817" s="217"/>
      <c r="S6817" s="218"/>
    </row>
    <row r="6818" spans="13:19" ht="15" customHeight="1" x14ac:dyDescent="0.25">
      <c r="M6818"/>
      <c r="N6818"/>
      <c r="O6818"/>
      <c r="P6818" s="216"/>
      <c r="Q6818" s="217"/>
      <c r="R6818" s="217"/>
      <c r="S6818" s="218"/>
    </row>
    <row r="6819" spans="13:19" ht="15" customHeight="1" x14ac:dyDescent="0.25">
      <c r="M6819"/>
      <c r="N6819"/>
      <c r="O6819"/>
      <c r="P6819" s="216"/>
      <c r="Q6819" s="217"/>
      <c r="R6819" s="217"/>
      <c r="S6819" s="218"/>
    </row>
    <row r="6820" spans="13:19" ht="15" customHeight="1" x14ac:dyDescent="0.25">
      <c r="M6820"/>
      <c r="N6820"/>
      <c r="O6820"/>
      <c r="P6820" s="216"/>
      <c r="Q6820" s="217"/>
      <c r="R6820" s="217"/>
      <c r="S6820" s="218"/>
    </row>
    <row r="6821" spans="13:19" ht="15" customHeight="1" x14ac:dyDescent="0.25">
      <c r="M6821"/>
      <c r="N6821"/>
      <c r="O6821"/>
      <c r="P6821" s="216"/>
      <c r="Q6821" s="217"/>
      <c r="R6821" s="217"/>
      <c r="S6821" s="218"/>
    </row>
    <row r="6822" spans="13:19" ht="15" customHeight="1" x14ac:dyDescent="0.25">
      <c r="M6822"/>
      <c r="N6822"/>
      <c r="O6822"/>
      <c r="P6822" s="216"/>
      <c r="Q6822" s="217"/>
      <c r="R6822" s="217"/>
      <c r="S6822" s="218"/>
    </row>
    <row r="6823" spans="13:19" ht="15" customHeight="1" x14ac:dyDescent="0.25">
      <c r="M6823"/>
      <c r="N6823"/>
      <c r="O6823"/>
      <c r="P6823" s="216"/>
      <c r="Q6823" s="217"/>
      <c r="R6823" s="217"/>
      <c r="S6823" s="218"/>
    </row>
    <row r="6824" spans="13:19" ht="15" customHeight="1" x14ac:dyDescent="0.25">
      <c r="M6824"/>
      <c r="N6824"/>
      <c r="O6824"/>
      <c r="P6824" s="216"/>
      <c r="Q6824" s="217"/>
      <c r="R6824" s="217"/>
      <c r="S6824" s="218"/>
    </row>
    <row r="6825" spans="13:19" ht="15" customHeight="1" x14ac:dyDescent="0.25">
      <c r="M6825"/>
      <c r="N6825"/>
      <c r="O6825"/>
      <c r="P6825" s="216"/>
      <c r="Q6825" s="217"/>
      <c r="R6825" s="217"/>
      <c r="S6825" s="218"/>
    </row>
    <row r="6826" spans="13:19" ht="15" customHeight="1" x14ac:dyDescent="0.25">
      <c r="M6826"/>
      <c r="N6826"/>
      <c r="O6826"/>
      <c r="P6826" s="216"/>
      <c r="Q6826" s="217"/>
      <c r="R6826" s="217"/>
      <c r="S6826" s="218"/>
    </row>
    <row r="6827" spans="13:19" ht="15" customHeight="1" x14ac:dyDescent="0.25">
      <c r="M6827"/>
      <c r="N6827"/>
      <c r="O6827"/>
      <c r="P6827" s="216"/>
      <c r="Q6827" s="217"/>
      <c r="R6827" s="217"/>
      <c r="S6827" s="218"/>
    </row>
    <row r="6828" spans="13:19" ht="15" customHeight="1" x14ac:dyDescent="0.25">
      <c r="M6828"/>
      <c r="N6828"/>
      <c r="O6828"/>
      <c r="P6828" s="216"/>
      <c r="Q6828" s="217"/>
      <c r="R6828" s="217"/>
      <c r="S6828" s="218"/>
    </row>
    <row r="6829" spans="13:19" ht="15" customHeight="1" x14ac:dyDescent="0.25">
      <c r="M6829"/>
      <c r="N6829"/>
      <c r="O6829"/>
      <c r="P6829" s="216"/>
      <c r="Q6829" s="217"/>
      <c r="R6829" s="217"/>
      <c r="S6829" s="218"/>
    </row>
    <row r="6830" spans="13:19" ht="15" customHeight="1" x14ac:dyDescent="0.25">
      <c r="M6830"/>
      <c r="N6830"/>
      <c r="O6830"/>
      <c r="P6830" s="216"/>
      <c r="Q6830" s="217"/>
      <c r="R6830" s="217"/>
      <c r="S6830" s="218"/>
    </row>
    <row r="6831" spans="13:19" ht="15" customHeight="1" x14ac:dyDescent="0.25">
      <c r="M6831"/>
      <c r="N6831"/>
      <c r="O6831"/>
      <c r="P6831" s="216"/>
      <c r="Q6831" s="217"/>
      <c r="R6831" s="217"/>
      <c r="S6831" s="218"/>
    </row>
    <row r="6832" spans="13:19" ht="15" customHeight="1" x14ac:dyDescent="0.25">
      <c r="M6832"/>
      <c r="N6832"/>
      <c r="O6832"/>
      <c r="P6832" s="216"/>
      <c r="Q6832" s="217"/>
      <c r="R6832" s="217"/>
      <c r="S6832" s="218"/>
    </row>
    <row r="6833" spans="13:19" ht="15" customHeight="1" x14ac:dyDescent="0.25">
      <c r="M6833"/>
      <c r="N6833"/>
      <c r="O6833"/>
      <c r="P6833" s="216"/>
      <c r="Q6833" s="217"/>
      <c r="R6833" s="217"/>
      <c r="S6833" s="218"/>
    </row>
    <row r="6834" spans="13:19" ht="15" customHeight="1" x14ac:dyDescent="0.25">
      <c r="M6834"/>
      <c r="N6834"/>
      <c r="O6834"/>
      <c r="P6834" s="216"/>
      <c r="Q6834" s="217"/>
      <c r="R6834" s="217"/>
      <c r="S6834" s="218"/>
    </row>
    <row r="6835" spans="13:19" ht="15" customHeight="1" x14ac:dyDescent="0.25">
      <c r="M6835"/>
      <c r="N6835"/>
      <c r="O6835"/>
      <c r="P6835" s="216"/>
      <c r="Q6835" s="217"/>
      <c r="R6835" s="217"/>
      <c r="S6835" s="218"/>
    </row>
    <row r="6836" spans="13:19" ht="15" customHeight="1" x14ac:dyDescent="0.25">
      <c r="M6836"/>
      <c r="N6836"/>
      <c r="O6836"/>
      <c r="P6836" s="216"/>
      <c r="Q6836" s="217"/>
      <c r="R6836" s="217"/>
      <c r="S6836" s="218"/>
    </row>
    <row r="6837" spans="13:19" ht="15" customHeight="1" x14ac:dyDescent="0.25">
      <c r="M6837"/>
      <c r="N6837"/>
      <c r="O6837"/>
      <c r="P6837" s="216"/>
      <c r="Q6837" s="217"/>
      <c r="R6837" s="217"/>
      <c r="S6837" s="218"/>
    </row>
    <row r="6838" spans="13:19" ht="15" customHeight="1" x14ac:dyDescent="0.25">
      <c r="M6838"/>
      <c r="N6838"/>
      <c r="O6838"/>
      <c r="P6838" s="216"/>
      <c r="Q6838" s="217"/>
      <c r="R6838" s="217"/>
      <c r="S6838" s="218"/>
    </row>
    <row r="6839" spans="13:19" ht="15" customHeight="1" x14ac:dyDescent="0.25">
      <c r="M6839"/>
      <c r="N6839"/>
      <c r="O6839"/>
      <c r="P6839" s="216"/>
      <c r="Q6839" s="217"/>
      <c r="R6839" s="217"/>
      <c r="S6839" s="218"/>
    </row>
    <row r="6840" spans="13:19" ht="15" customHeight="1" x14ac:dyDescent="0.25">
      <c r="M6840"/>
      <c r="N6840"/>
      <c r="O6840"/>
      <c r="P6840" s="216"/>
      <c r="Q6840" s="217"/>
      <c r="R6840" s="217"/>
      <c r="S6840" s="218"/>
    </row>
    <row r="6841" spans="13:19" ht="15" customHeight="1" x14ac:dyDescent="0.25">
      <c r="M6841"/>
      <c r="N6841"/>
      <c r="O6841"/>
      <c r="P6841" s="216"/>
      <c r="Q6841" s="217"/>
      <c r="R6841" s="217"/>
      <c r="S6841" s="218"/>
    </row>
    <row r="6842" spans="13:19" ht="15" customHeight="1" x14ac:dyDescent="0.25">
      <c r="M6842"/>
      <c r="N6842"/>
      <c r="O6842"/>
      <c r="P6842" s="216"/>
      <c r="Q6842" s="217"/>
      <c r="R6842" s="217"/>
      <c r="S6842" s="218"/>
    </row>
    <row r="6843" spans="13:19" ht="15" customHeight="1" x14ac:dyDescent="0.25">
      <c r="M6843"/>
      <c r="N6843"/>
      <c r="O6843"/>
      <c r="P6843" s="216"/>
      <c r="Q6843" s="217"/>
      <c r="R6843" s="217"/>
      <c r="S6843" s="218"/>
    </row>
    <row r="6844" spans="13:19" ht="15" customHeight="1" x14ac:dyDescent="0.25">
      <c r="M6844"/>
      <c r="N6844"/>
      <c r="O6844"/>
      <c r="P6844" s="216"/>
      <c r="Q6844" s="217"/>
      <c r="R6844" s="217"/>
      <c r="S6844" s="218"/>
    </row>
    <row r="6845" spans="13:19" ht="15" customHeight="1" x14ac:dyDescent="0.25">
      <c r="M6845"/>
      <c r="N6845"/>
      <c r="O6845"/>
      <c r="P6845" s="216"/>
      <c r="Q6845" s="217"/>
      <c r="R6845" s="217"/>
      <c r="S6845" s="218"/>
    </row>
    <row r="6846" spans="13:19" ht="15" customHeight="1" x14ac:dyDescent="0.25">
      <c r="M6846"/>
      <c r="N6846"/>
      <c r="O6846"/>
      <c r="P6846" s="216"/>
      <c r="Q6846" s="217"/>
      <c r="R6846" s="217"/>
      <c r="S6846" s="218"/>
    </row>
    <row r="6847" spans="13:19" ht="15" customHeight="1" x14ac:dyDescent="0.25">
      <c r="M6847"/>
      <c r="N6847"/>
      <c r="O6847"/>
      <c r="P6847" s="216"/>
      <c r="Q6847" s="217"/>
      <c r="R6847" s="217"/>
      <c r="S6847" s="218"/>
    </row>
    <row r="6848" spans="13:19" ht="15" customHeight="1" x14ac:dyDescent="0.25">
      <c r="M6848"/>
      <c r="N6848"/>
      <c r="O6848"/>
      <c r="P6848" s="216"/>
      <c r="Q6848" s="217"/>
      <c r="R6848" s="217"/>
      <c r="S6848" s="218"/>
    </row>
    <row r="6849" spans="13:19" ht="15" customHeight="1" x14ac:dyDescent="0.25">
      <c r="M6849"/>
      <c r="N6849"/>
      <c r="O6849"/>
      <c r="P6849" s="216"/>
      <c r="Q6849" s="217"/>
      <c r="R6849" s="217"/>
      <c r="S6849" s="218"/>
    </row>
    <row r="6850" spans="13:19" ht="15" customHeight="1" x14ac:dyDescent="0.25">
      <c r="M6850"/>
      <c r="N6850"/>
      <c r="O6850"/>
      <c r="P6850" s="216"/>
      <c r="Q6850" s="217"/>
      <c r="R6850" s="217"/>
      <c r="S6850" s="218"/>
    </row>
    <row r="6851" spans="13:19" ht="15" customHeight="1" x14ac:dyDescent="0.25">
      <c r="M6851"/>
      <c r="N6851"/>
      <c r="O6851"/>
      <c r="P6851" s="216"/>
      <c r="Q6851" s="217"/>
      <c r="R6851" s="217"/>
      <c r="S6851" s="218"/>
    </row>
    <row r="6852" spans="13:19" ht="15" customHeight="1" x14ac:dyDescent="0.25">
      <c r="M6852"/>
      <c r="N6852"/>
      <c r="O6852"/>
      <c r="P6852" s="216"/>
      <c r="Q6852" s="217"/>
      <c r="R6852" s="217"/>
      <c r="S6852" s="218"/>
    </row>
    <row r="6853" spans="13:19" ht="15" customHeight="1" x14ac:dyDescent="0.25">
      <c r="M6853"/>
      <c r="N6853"/>
      <c r="O6853"/>
      <c r="P6853" s="216"/>
      <c r="Q6853" s="217"/>
      <c r="R6853" s="217"/>
      <c r="S6853" s="218"/>
    </row>
    <row r="6854" spans="13:19" ht="15" customHeight="1" x14ac:dyDescent="0.25">
      <c r="M6854"/>
      <c r="N6854"/>
      <c r="O6854"/>
      <c r="P6854" s="216"/>
      <c r="Q6854" s="217"/>
      <c r="R6854" s="217"/>
      <c r="S6854" s="218"/>
    </row>
    <row r="6855" spans="13:19" ht="15" customHeight="1" x14ac:dyDescent="0.25">
      <c r="M6855"/>
      <c r="N6855"/>
      <c r="O6855"/>
      <c r="P6855" s="216"/>
      <c r="Q6855" s="217"/>
      <c r="R6855" s="217"/>
      <c r="S6855" s="218"/>
    </row>
    <row r="6856" spans="13:19" ht="15" customHeight="1" x14ac:dyDescent="0.25">
      <c r="M6856"/>
      <c r="N6856"/>
      <c r="O6856"/>
      <c r="P6856" s="216"/>
      <c r="Q6856" s="217"/>
      <c r="R6856" s="217"/>
      <c r="S6856" s="218"/>
    </row>
    <row r="6857" spans="13:19" ht="15" customHeight="1" x14ac:dyDescent="0.25">
      <c r="M6857"/>
      <c r="N6857"/>
      <c r="O6857"/>
      <c r="P6857" s="216"/>
      <c r="Q6857" s="217"/>
      <c r="R6857" s="217"/>
      <c r="S6857" s="218"/>
    </row>
    <row r="6858" spans="13:19" ht="15" customHeight="1" x14ac:dyDescent="0.25">
      <c r="M6858"/>
      <c r="N6858"/>
      <c r="O6858"/>
      <c r="P6858" s="216"/>
      <c r="Q6858" s="217"/>
      <c r="R6858" s="217"/>
      <c r="S6858" s="218"/>
    </row>
    <row r="6859" spans="13:19" ht="15" customHeight="1" x14ac:dyDescent="0.25">
      <c r="M6859"/>
      <c r="N6859"/>
      <c r="O6859"/>
      <c r="P6859" s="216"/>
      <c r="Q6859" s="217"/>
      <c r="R6859" s="217"/>
      <c r="S6859" s="218"/>
    </row>
    <row r="6860" spans="13:19" ht="15" customHeight="1" x14ac:dyDescent="0.25">
      <c r="M6860"/>
      <c r="N6860"/>
      <c r="O6860"/>
      <c r="P6860" s="216"/>
      <c r="Q6860" s="217"/>
      <c r="R6860" s="217"/>
      <c r="S6860" s="218"/>
    </row>
    <row r="6861" spans="13:19" ht="15" customHeight="1" x14ac:dyDescent="0.25">
      <c r="M6861"/>
      <c r="N6861"/>
      <c r="O6861"/>
      <c r="P6861" s="216"/>
      <c r="Q6861" s="217"/>
      <c r="R6861" s="217"/>
      <c r="S6861" s="218"/>
    </row>
    <row r="6862" spans="13:19" ht="15" customHeight="1" x14ac:dyDescent="0.25">
      <c r="M6862"/>
      <c r="N6862"/>
      <c r="O6862"/>
      <c r="P6862" s="216"/>
      <c r="Q6862" s="217"/>
      <c r="R6862" s="217"/>
      <c r="S6862" s="218"/>
    </row>
    <row r="6863" spans="13:19" ht="15" customHeight="1" x14ac:dyDescent="0.25">
      <c r="M6863"/>
      <c r="N6863"/>
      <c r="O6863"/>
      <c r="P6863" s="216"/>
      <c r="Q6863" s="217"/>
      <c r="R6863" s="217"/>
      <c r="S6863" s="218"/>
    </row>
    <row r="6864" spans="13:19" ht="15" customHeight="1" x14ac:dyDescent="0.25">
      <c r="M6864"/>
      <c r="N6864"/>
      <c r="O6864"/>
      <c r="P6864" s="216"/>
      <c r="Q6864" s="217"/>
      <c r="R6864" s="217"/>
      <c r="S6864" s="218"/>
    </row>
    <row r="6865" spans="13:19" ht="15" customHeight="1" x14ac:dyDescent="0.25">
      <c r="M6865"/>
      <c r="N6865"/>
      <c r="O6865"/>
      <c r="P6865" s="216"/>
      <c r="Q6865" s="217"/>
      <c r="R6865" s="217"/>
      <c r="S6865" s="218"/>
    </row>
    <row r="6866" spans="13:19" ht="15" customHeight="1" x14ac:dyDescent="0.25">
      <c r="M6866"/>
      <c r="N6866"/>
      <c r="O6866"/>
      <c r="P6866" s="216"/>
      <c r="Q6866" s="217"/>
      <c r="R6866" s="217"/>
      <c r="S6866" s="218"/>
    </row>
    <row r="6867" spans="13:19" ht="15" customHeight="1" x14ac:dyDescent="0.25">
      <c r="M6867"/>
      <c r="N6867"/>
      <c r="O6867"/>
      <c r="P6867" s="216"/>
      <c r="Q6867" s="217"/>
      <c r="R6867" s="217"/>
      <c r="S6867" s="218"/>
    </row>
    <row r="6868" spans="13:19" ht="15" customHeight="1" x14ac:dyDescent="0.25">
      <c r="M6868"/>
      <c r="N6868"/>
      <c r="O6868"/>
      <c r="P6868" s="216"/>
      <c r="Q6868" s="217"/>
      <c r="R6868" s="217"/>
      <c r="S6868" s="218"/>
    </row>
    <row r="6869" spans="13:19" ht="15" customHeight="1" x14ac:dyDescent="0.25">
      <c r="M6869"/>
      <c r="N6869"/>
      <c r="O6869"/>
      <c r="P6869" s="216"/>
      <c r="Q6869" s="217"/>
      <c r="R6869" s="217"/>
      <c r="S6869" s="218"/>
    </row>
    <row r="6870" spans="13:19" ht="15" customHeight="1" x14ac:dyDescent="0.25">
      <c r="M6870"/>
      <c r="N6870"/>
      <c r="O6870"/>
      <c r="P6870" s="216"/>
      <c r="Q6870" s="217"/>
      <c r="R6870" s="217"/>
      <c r="S6870" s="218"/>
    </row>
    <row r="6871" spans="13:19" ht="15" customHeight="1" x14ac:dyDescent="0.25">
      <c r="M6871"/>
      <c r="N6871"/>
      <c r="O6871"/>
      <c r="P6871" s="216"/>
      <c r="Q6871" s="217"/>
      <c r="R6871" s="217"/>
      <c r="S6871" s="218"/>
    </row>
    <row r="6872" spans="13:19" ht="15" customHeight="1" x14ac:dyDescent="0.25">
      <c r="M6872"/>
      <c r="N6872"/>
      <c r="O6872"/>
      <c r="P6872" s="216"/>
      <c r="Q6872" s="217"/>
      <c r="R6872" s="217"/>
      <c r="S6872" s="218"/>
    </row>
    <row r="6873" spans="13:19" ht="15" customHeight="1" x14ac:dyDescent="0.25">
      <c r="M6873"/>
      <c r="N6873"/>
      <c r="O6873"/>
      <c r="P6873" s="216"/>
      <c r="Q6873" s="217"/>
      <c r="R6873" s="217"/>
      <c r="S6873" s="218"/>
    </row>
    <row r="6874" spans="13:19" ht="15" customHeight="1" x14ac:dyDescent="0.25">
      <c r="M6874"/>
      <c r="N6874"/>
      <c r="O6874"/>
      <c r="P6874" s="216"/>
      <c r="Q6874" s="217"/>
      <c r="R6874" s="217"/>
      <c r="S6874" s="218"/>
    </row>
    <row r="6875" spans="13:19" ht="15" customHeight="1" x14ac:dyDescent="0.25">
      <c r="M6875"/>
      <c r="N6875"/>
      <c r="O6875"/>
      <c r="P6875" s="216"/>
      <c r="Q6875" s="217"/>
      <c r="R6875" s="217"/>
      <c r="S6875" s="218"/>
    </row>
    <row r="6876" spans="13:19" ht="15" customHeight="1" x14ac:dyDescent="0.25">
      <c r="M6876"/>
      <c r="N6876"/>
      <c r="O6876"/>
      <c r="P6876" s="216"/>
      <c r="Q6876" s="217"/>
      <c r="R6876" s="217"/>
      <c r="S6876" s="218"/>
    </row>
    <row r="6877" spans="13:19" ht="15" customHeight="1" x14ac:dyDescent="0.25">
      <c r="M6877"/>
      <c r="N6877"/>
      <c r="O6877"/>
      <c r="P6877" s="216"/>
      <c r="Q6877" s="217"/>
      <c r="R6877" s="217"/>
      <c r="S6877" s="218"/>
    </row>
    <row r="6878" spans="13:19" ht="15" customHeight="1" x14ac:dyDescent="0.25">
      <c r="M6878"/>
      <c r="N6878"/>
      <c r="O6878"/>
      <c r="P6878" s="216"/>
      <c r="Q6878" s="217"/>
      <c r="R6878" s="217"/>
      <c r="S6878" s="218"/>
    </row>
    <row r="6879" spans="13:19" ht="15" customHeight="1" x14ac:dyDescent="0.25">
      <c r="M6879"/>
      <c r="N6879"/>
      <c r="O6879"/>
      <c r="P6879" s="216"/>
      <c r="Q6879" s="217"/>
      <c r="R6879" s="217"/>
      <c r="S6879" s="218"/>
    </row>
    <row r="6880" spans="13:19" ht="15" customHeight="1" x14ac:dyDescent="0.25">
      <c r="M6880"/>
      <c r="N6880"/>
      <c r="O6880"/>
      <c r="P6880" s="216"/>
      <c r="Q6880" s="217"/>
      <c r="R6880" s="217"/>
      <c r="S6880" s="218"/>
    </row>
    <row r="6881" spans="13:19" ht="15" customHeight="1" x14ac:dyDescent="0.25">
      <c r="M6881"/>
      <c r="N6881"/>
      <c r="O6881"/>
      <c r="P6881" s="216"/>
      <c r="Q6881" s="217"/>
      <c r="R6881" s="217"/>
      <c r="S6881" s="218"/>
    </row>
    <row r="6882" spans="13:19" ht="15" customHeight="1" x14ac:dyDescent="0.25">
      <c r="M6882"/>
      <c r="N6882"/>
      <c r="O6882"/>
      <c r="P6882" s="216"/>
      <c r="Q6882" s="217"/>
      <c r="R6882" s="217"/>
      <c r="S6882" s="218"/>
    </row>
    <row r="6883" spans="13:19" ht="15" customHeight="1" x14ac:dyDescent="0.25">
      <c r="M6883"/>
      <c r="N6883"/>
      <c r="O6883"/>
      <c r="P6883" s="216"/>
      <c r="Q6883" s="217"/>
      <c r="R6883" s="217"/>
      <c r="S6883" s="218"/>
    </row>
    <row r="6884" spans="13:19" ht="15" customHeight="1" x14ac:dyDescent="0.25">
      <c r="M6884"/>
      <c r="N6884"/>
      <c r="O6884"/>
      <c r="P6884" s="216"/>
      <c r="Q6884" s="217"/>
      <c r="R6884" s="217"/>
      <c r="S6884" s="218"/>
    </row>
    <row r="6885" spans="13:19" ht="15" customHeight="1" x14ac:dyDescent="0.25">
      <c r="M6885"/>
      <c r="N6885"/>
      <c r="O6885"/>
      <c r="P6885" s="216"/>
      <c r="Q6885" s="217"/>
      <c r="R6885" s="217"/>
      <c r="S6885" s="218"/>
    </row>
    <row r="6886" spans="13:19" ht="15" customHeight="1" x14ac:dyDescent="0.25">
      <c r="M6886"/>
      <c r="N6886"/>
      <c r="O6886"/>
      <c r="P6886" s="216"/>
      <c r="Q6886" s="217"/>
      <c r="R6886" s="217"/>
      <c r="S6886" s="218"/>
    </row>
    <row r="6887" spans="13:19" ht="15" customHeight="1" x14ac:dyDescent="0.25">
      <c r="M6887"/>
      <c r="N6887"/>
      <c r="O6887"/>
      <c r="P6887" s="216"/>
      <c r="Q6887" s="217"/>
      <c r="R6887" s="217"/>
      <c r="S6887" s="218"/>
    </row>
    <row r="6888" spans="13:19" ht="15" customHeight="1" x14ac:dyDescent="0.25">
      <c r="M6888"/>
      <c r="N6888"/>
      <c r="O6888"/>
      <c r="P6888" s="216"/>
      <c r="Q6888" s="217"/>
      <c r="R6888" s="217"/>
      <c r="S6888" s="218"/>
    </row>
    <row r="6889" spans="13:19" ht="15" customHeight="1" x14ac:dyDescent="0.25">
      <c r="M6889"/>
      <c r="N6889"/>
      <c r="O6889"/>
      <c r="P6889" s="216"/>
      <c r="Q6889" s="217"/>
      <c r="R6889" s="217"/>
      <c r="S6889" s="218"/>
    </row>
    <row r="6890" spans="13:19" ht="15" customHeight="1" x14ac:dyDescent="0.25">
      <c r="M6890"/>
      <c r="N6890"/>
      <c r="O6890"/>
      <c r="P6890" s="216"/>
      <c r="Q6890" s="217"/>
      <c r="R6890" s="217"/>
      <c r="S6890" s="218"/>
    </row>
    <row r="6891" spans="13:19" ht="15" customHeight="1" x14ac:dyDescent="0.25">
      <c r="M6891"/>
      <c r="N6891"/>
      <c r="O6891"/>
      <c r="P6891" s="216"/>
      <c r="Q6891" s="217"/>
      <c r="R6891" s="217"/>
      <c r="S6891" s="218"/>
    </row>
    <row r="6892" spans="13:19" ht="15" customHeight="1" x14ac:dyDescent="0.25">
      <c r="M6892"/>
      <c r="N6892"/>
      <c r="O6892"/>
      <c r="P6892" s="216"/>
      <c r="Q6892" s="217"/>
      <c r="R6892" s="217"/>
      <c r="S6892" s="218"/>
    </row>
    <row r="6893" spans="13:19" ht="15" customHeight="1" x14ac:dyDescent="0.25">
      <c r="M6893"/>
      <c r="N6893"/>
      <c r="O6893"/>
      <c r="P6893" s="216"/>
      <c r="Q6893" s="217"/>
      <c r="R6893" s="217"/>
      <c r="S6893" s="218"/>
    </row>
    <row r="6894" spans="13:19" ht="15" customHeight="1" x14ac:dyDescent="0.25">
      <c r="M6894"/>
      <c r="N6894"/>
      <c r="O6894"/>
      <c r="P6894" s="216"/>
      <c r="Q6894" s="217"/>
      <c r="R6894" s="217"/>
      <c r="S6894" s="218"/>
    </row>
    <row r="6895" spans="13:19" ht="15" customHeight="1" x14ac:dyDescent="0.25">
      <c r="M6895"/>
      <c r="N6895"/>
      <c r="O6895"/>
      <c r="P6895" s="216"/>
      <c r="Q6895" s="217"/>
      <c r="R6895" s="217"/>
      <c r="S6895" s="218"/>
    </row>
    <row r="6896" spans="13:19" ht="15" customHeight="1" x14ac:dyDescent="0.25">
      <c r="M6896"/>
      <c r="N6896"/>
      <c r="O6896"/>
      <c r="P6896" s="216"/>
      <c r="Q6896" s="217"/>
      <c r="R6896" s="217"/>
      <c r="S6896" s="218"/>
    </row>
    <row r="6897" spans="13:19" ht="15" customHeight="1" x14ac:dyDescent="0.25">
      <c r="M6897"/>
      <c r="N6897"/>
      <c r="O6897"/>
      <c r="P6897" s="216"/>
      <c r="Q6897" s="217"/>
      <c r="R6897" s="217"/>
      <c r="S6897" s="218"/>
    </row>
    <row r="6898" spans="13:19" ht="15" customHeight="1" x14ac:dyDescent="0.25">
      <c r="M6898"/>
      <c r="N6898"/>
      <c r="O6898"/>
      <c r="P6898" s="216"/>
      <c r="Q6898" s="217"/>
      <c r="R6898" s="217"/>
      <c r="S6898" s="218"/>
    </row>
    <row r="6899" spans="13:19" ht="15" customHeight="1" x14ac:dyDescent="0.25">
      <c r="M6899"/>
      <c r="N6899"/>
      <c r="O6899"/>
      <c r="P6899" s="216"/>
      <c r="Q6899" s="217"/>
      <c r="R6899" s="217"/>
      <c r="S6899" s="218"/>
    </row>
    <row r="6900" spans="13:19" ht="15" customHeight="1" x14ac:dyDescent="0.25">
      <c r="M6900"/>
      <c r="N6900"/>
      <c r="O6900"/>
      <c r="P6900" s="216"/>
      <c r="Q6900" s="217"/>
      <c r="R6900" s="217"/>
      <c r="S6900" s="218"/>
    </row>
    <row r="6901" spans="13:19" ht="15" customHeight="1" x14ac:dyDescent="0.25">
      <c r="M6901"/>
      <c r="N6901"/>
      <c r="O6901"/>
      <c r="P6901" s="216"/>
      <c r="Q6901" s="217"/>
      <c r="R6901" s="217"/>
      <c r="S6901" s="218"/>
    </row>
    <row r="6902" spans="13:19" ht="15" customHeight="1" x14ac:dyDescent="0.25">
      <c r="M6902"/>
      <c r="N6902"/>
      <c r="O6902"/>
      <c r="P6902" s="216"/>
      <c r="Q6902" s="217"/>
      <c r="R6902" s="217"/>
      <c r="S6902" s="218"/>
    </row>
    <row r="6903" spans="13:19" ht="15" customHeight="1" x14ac:dyDescent="0.25">
      <c r="M6903"/>
      <c r="N6903"/>
      <c r="O6903"/>
      <c r="P6903" s="216"/>
      <c r="Q6903" s="217"/>
      <c r="R6903" s="217"/>
      <c r="S6903" s="218"/>
    </row>
    <row r="6904" spans="13:19" ht="15" customHeight="1" x14ac:dyDescent="0.25">
      <c r="M6904"/>
      <c r="N6904"/>
      <c r="O6904"/>
      <c r="P6904" s="216"/>
      <c r="Q6904" s="217"/>
      <c r="R6904" s="217"/>
      <c r="S6904" s="218"/>
    </row>
    <row r="6905" spans="13:19" ht="15" customHeight="1" x14ac:dyDescent="0.25">
      <c r="M6905"/>
      <c r="N6905"/>
      <c r="O6905"/>
      <c r="P6905" s="216"/>
      <c r="Q6905" s="217"/>
      <c r="R6905" s="217"/>
      <c r="S6905" s="218"/>
    </row>
    <row r="6906" spans="13:19" ht="15" customHeight="1" x14ac:dyDescent="0.25">
      <c r="M6906"/>
      <c r="N6906"/>
      <c r="O6906"/>
      <c r="P6906" s="216"/>
      <c r="Q6906" s="217"/>
      <c r="R6906" s="217"/>
      <c r="S6906" s="218"/>
    </row>
    <row r="6907" spans="13:19" ht="15" customHeight="1" x14ac:dyDescent="0.25">
      <c r="M6907"/>
      <c r="N6907"/>
      <c r="O6907"/>
      <c r="P6907" s="216"/>
      <c r="Q6907" s="217"/>
      <c r="R6907" s="217"/>
      <c r="S6907" s="218"/>
    </row>
    <row r="6908" spans="13:19" ht="15" customHeight="1" x14ac:dyDescent="0.25">
      <c r="M6908"/>
      <c r="N6908"/>
      <c r="O6908"/>
      <c r="P6908" s="216"/>
      <c r="Q6908" s="217"/>
      <c r="R6908" s="217"/>
      <c r="S6908" s="218"/>
    </row>
    <row r="6909" spans="13:19" ht="15" customHeight="1" x14ac:dyDescent="0.25">
      <c r="M6909"/>
      <c r="N6909"/>
      <c r="O6909"/>
      <c r="P6909" s="216"/>
      <c r="Q6909" s="217"/>
      <c r="R6909" s="217"/>
      <c r="S6909" s="218"/>
    </row>
    <row r="6910" spans="13:19" ht="15" customHeight="1" x14ac:dyDescent="0.25">
      <c r="M6910"/>
      <c r="N6910"/>
      <c r="O6910"/>
      <c r="P6910" s="216"/>
      <c r="Q6910" s="217"/>
      <c r="R6910" s="217"/>
      <c r="S6910" s="218"/>
    </row>
    <row r="6911" spans="13:19" ht="15" customHeight="1" x14ac:dyDescent="0.25">
      <c r="M6911"/>
      <c r="N6911"/>
      <c r="O6911"/>
      <c r="P6911" s="216"/>
      <c r="Q6911" s="217"/>
      <c r="R6911" s="217"/>
      <c r="S6911" s="218"/>
    </row>
    <row r="6912" spans="13:19" ht="15" customHeight="1" x14ac:dyDescent="0.25">
      <c r="M6912"/>
      <c r="N6912"/>
      <c r="O6912"/>
      <c r="P6912" s="216"/>
      <c r="Q6912" s="217"/>
      <c r="R6912" s="217"/>
      <c r="S6912" s="218"/>
    </row>
    <row r="6913" spans="13:19" ht="15" customHeight="1" x14ac:dyDescent="0.25">
      <c r="M6913"/>
      <c r="N6913"/>
      <c r="O6913"/>
      <c r="P6913" s="216"/>
      <c r="Q6913" s="217"/>
      <c r="R6913" s="217"/>
      <c r="S6913" s="218"/>
    </row>
    <row r="6914" spans="13:19" ht="15" customHeight="1" x14ac:dyDescent="0.25">
      <c r="M6914"/>
      <c r="N6914"/>
      <c r="O6914"/>
      <c r="P6914" s="216"/>
      <c r="Q6914" s="217"/>
      <c r="R6914" s="217"/>
      <c r="S6914" s="218"/>
    </row>
    <row r="6915" spans="13:19" ht="15" customHeight="1" x14ac:dyDescent="0.25">
      <c r="M6915"/>
      <c r="N6915"/>
      <c r="O6915"/>
      <c r="P6915" s="216"/>
      <c r="Q6915" s="217"/>
      <c r="R6915" s="217"/>
      <c r="S6915" s="218"/>
    </row>
    <row r="6916" spans="13:19" ht="15" customHeight="1" x14ac:dyDescent="0.25">
      <c r="M6916"/>
      <c r="N6916"/>
      <c r="O6916"/>
      <c r="P6916" s="216"/>
      <c r="Q6916" s="217"/>
      <c r="R6916" s="217"/>
      <c r="S6916" s="218"/>
    </row>
    <row r="6917" spans="13:19" ht="15" customHeight="1" x14ac:dyDescent="0.25">
      <c r="M6917"/>
      <c r="N6917"/>
      <c r="O6917"/>
      <c r="P6917" s="216"/>
      <c r="Q6917" s="217"/>
      <c r="R6917" s="217"/>
      <c r="S6917" s="218"/>
    </row>
    <row r="6918" spans="13:19" ht="15" customHeight="1" x14ac:dyDescent="0.25">
      <c r="M6918"/>
      <c r="N6918"/>
      <c r="O6918"/>
      <c r="P6918" s="216"/>
      <c r="Q6918" s="217"/>
      <c r="R6918" s="217"/>
      <c r="S6918" s="218"/>
    </row>
    <row r="6919" spans="13:19" ht="15" customHeight="1" x14ac:dyDescent="0.25">
      <c r="M6919"/>
      <c r="N6919"/>
      <c r="O6919"/>
      <c r="P6919" s="216"/>
      <c r="Q6919" s="217"/>
      <c r="R6919" s="217"/>
      <c r="S6919" s="218"/>
    </row>
    <row r="6920" spans="13:19" ht="15" customHeight="1" x14ac:dyDescent="0.25">
      <c r="M6920"/>
      <c r="N6920"/>
      <c r="O6920"/>
      <c r="P6920" s="216"/>
      <c r="Q6920" s="217"/>
      <c r="R6920" s="217"/>
      <c r="S6920" s="218"/>
    </row>
    <row r="6921" spans="13:19" ht="15" customHeight="1" x14ac:dyDescent="0.25">
      <c r="M6921"/>
      <c r="N6921"/>
      <c r="O6921"/>
      <c r="P6921" s="216"/>
      <c r="Q6921" s="217"/>
      <c r="R6921" s="217"/>
      <c r="S6921" s="218"/>
    </row>
    <row r="6922" spans="13:19" ht="15" customHeight="1" x14ac:dyDescent="0.25">
      <c r="M6922"/>
      <c r="N6922"/>
      <c r="O6922"/>
      <c r="P6922" s="216"/>
      <c r="Q6922" s="217"/>
      <c r="R6922" s="217"/>
      <c r="S6922" s="218"/>
    </row>
    <row r="6923" spans="13:19" ht="15" customHeight="1" x14ac:dyDescent="0.25">
      <c r="M6923"/>
      <c r="N6923"/>
      <c r="O6923"/>
      <c r="P6923" s="216"/>
      <c r="Q6923" s="217"/>
      <c r="R6923" s="217"/>
      <c r="S6923" s="218"/>
    </row>
    <row r="6924" spans="13:19" ht="15" customHeight="1" x14ac:dyDescent="0.25">
      <c r="M6924"/>
      <c r="N6924"/>
      <c r="O6924"/>
      <c r="P6924" s="216"/>
      <c r="Q6924" s="217"/>
      <c r="R6924" s="217"/>
      <c r="S6924" s="218"/>
    </row>
    <row r="6925" spans="13:19" ht="15" customHeight="1" x14ac:dyDescent="0.25">
      <c r="M6925"/>
      <c r="N6925"/>
      <c r="O6925"/>
      <c r="P6925" s="216"/>
      <c r="Q6925" s="217"/>
      <c r="R6925" s="217"/>
      <c r="S6925" s="218"/>
    </row>
    <row r="6926" spans="13:19" ht="15" customHeight="1" x14ac:dyDescent="0.25">
      <c r="M6926"/>
      <c r="N6926"/>
      <c r="O6926"/>
      <c r="P6926" s="216"/>
      <c r="Q6926" s="217"/>
      <c r="R6926" s="217"/>
      <c r="S6926" s="218"/>
    </row>
    <row r="6927" spans="13:19" ht="15" customHeight="1" x14ac:dyDescent="0.25">
      <c r="M6927"/>
      <c r="N6927"/>
      <c r="O6927"/>
      <c r="P6927" s="216"/>
      <c r="Q6927" s="217"/>
      <c r="R6927" s="217"/>
      <c r="S6927" s="218"/>
    </row>
    <row r="6928" spans="13:19" ht="15" customHeight="1" x14ac:dyDescent="0.25">
      <c r="M6928"/>
      <c r="N6928"/>
      <c r="O6928"/>
      <c r="P6928" s="216"/>
      <c r="Q6928" s="217"/>
      <c r="R6928" s="217"/>
      <c r="S6928" s="218"/>
    </row>
    <row r="6929" spans="13:19" ht="15" customHeight="1" x14ac:dyDescent="0.25">
      <c r="M6929"/>
      <c r="N6929"/>
      <c r="O6929"/>
      <c r="P6929" s="216"/>
      <c r="Q6929" s="217"/>
      <c r="R6929" s="217"/>
      <c r="S6929" s="218"/>
    </row>
    <row r="6930" spans="13:19" ht="15" customHeight="1" x14ac:dyDescent="0.25">
      <c r="M6930"/>
      <c r="N6930"/>
      <c r="O6930"/>
      <c r="P6930" s="216"/>
      <c r="Q6930" s="217"/>
      <c r="R6930" s="217"/>
      <c r="S6930" s="218"/>
    </row>
    <row r="6931" spans="13:19" ht="15" customHeight="1" x14ac:dyDescent="0.25">
      <c r="M6931"/>
      <c r="N6931"/>
      <c r="O6931"/>
      <c r="P6931" s="216"/>
      <c r="Q6931" s="217"/>
      <c r="R6931" s="217"/>
      <c r="S6931" s="218"/>
    </row>
    <row r="6932" spans="13:19" ht="15" customHeight="1" x14ac:dyDescent="0.25">
      <c r="M6932"/>
      <c r="N6932"/>
      <c r="O6932"/>
      <c r="P6932" s="216"/>
      <c r="Q6932" s="217"/>
      <c r="R6932" s="217"/>
      <c r="S6932" s="218"/>
    </row>
    <row r="6933" spans="13:19" ht="15" customHeight="1" x14ac:dyDescent="0.25">
      <c r="M6933"/>
      <c r="N6933"/>
      <c r="O6933"/>
      <c r="P6933" s="216"/>
      <c r="Q6933" s="217"/>
      <c r="R6933" s="217"/>
      <c r="S6933" s="218"/>
    </row>
    <row r="6934" spans="13:19" ht="15" customHeight="1" x14ac:dyDescent="0.25">
      <c r="M6934"/>
      <c r="N6934"/>
      <c r="O6934"/>
      <c r="P6934" s="216"/>
      <c r="Q6934" s="217"/>
      <c r="R6934" s="217"/>
      <c r="S6934" s="218"/>
    </row>
    <row r="6935" spans="13:19" ht="15" customHeight="1" x14ac:dyDescent="0.25">
      <c r="M6935"/>
      <c r="N6935"/>
      <c r="O6935"/>
      <c r="P6935" s="216"/>
      <c r="Q6935" s="217"/>
      <c r="R6935" s="217"/>
      <c r="S6935" s="218"/>
    </row>
    <row r="6936" spans="13:19" ht="15" customHeight="1" x14ac:dyDescent="0.25">
      <c r="M6936"/>
      <c r="N6936"/>
      <c r="O6936"/>
      <c r="P6936" s="216"/>
      <c r="Q6936" s="217"/>
      <c r="R6936" s="217"/>
      <c r="S6936" s="218"/>
    </row>
    <row r="6937" spans="13:19" ht="15" customHeight="1" x14ac:dyDescent="0.25">
      <c r="M6937"/>
      <c r="N6937"/>
      <c r="O6937"/>
      <c r="P6937" s="216"/>
      <c r="Q6937" s="217"/>
      <c r="R6937" s="217"/>
      <c r="S6937" s="218"/>
    </row>
    <row r="6938" spans="13:19" ht="15" customHeight="1" x14ac:dyDescent="0.25">
      <c r="M6938"/>
      <c r="N6938"/>
      <c r="O6938"/>
      <c r="P6938" s="216"/>
      <c r="Q6938" s="217"/>
      <c r="R6938" s="217"/>
      <c r="S6938" s="218"/>
    </row>
    <row r="6939" spans="13:19" ht="15" customHeight="1" x14ac:dyDescent="0.25">
      <c r="M6939"/>
      <c r="N6939"/>
      <c r="O6939"/>
      <c r="P6939" s="216"/>
      <c r="Q6939" s="217"/>
      <c r="R6939" s="217"/>
      <c r="S6939" s="218"/>
    </row>
    <row r="6940" spans="13:19" ht="15" customHeight="1" x14ac:dyDescent="0.25">
      <c r="M6940"/>
      <c r="N6940"/>
      <c r="O6940"/>
      <c r="P6940" s="216"/>
      <c r="Q6940" s="217"/>
      <c r="R6940" s="217"/>
      <c r="S6940" s="218"/>
    </row>
    <row r="6941" spans="13:19" ht="15" customHeight="1" x14ac:dyDescent="0.25">
      <c r="M6941"/>
      <c r="N6941"/>
      <c r="O6941"/>
      <c r="P6941" s="216"/>
      <c r="Q6941" s="217"/>
      <c r="R6941" s="217"/>
      <c r="S6941" s="218"/>
    </row>
    <row r="6942" spans="13:19" ht="15" customHeight="1" x14ac:dyDescent="0.25">
      <c r="M6942"/>
      <c r="N6942"/>
      <c r="O6942"/>
      <c r="P6942" s="216"/>
      <c r="Q6942" s="217"/>
      <c r="R6942" s="217"/>
      <c r="S6942" s="218"/>
    </row>
    <row r="6943" spans="13:19" ht="15" customHeight="1" x14ac:dyDescent="0.25">
      <c r="M6943"/>
      <c r="N6943"/>
      <c r="O6943"/>
      <c r="P6943" s="216"/>
      <c r="Q6943" s="217"/>
      <c r="R6943" s="217"/>
      <c r="S6943" s="218"/>
    </row>
    <row r="6944" spans="13:19" ht="15" customHeight="1" x14ac:dyDescent="0.25">
      <c r="M6944"/>
      <c r="N6944"/>
      <c r="O6944"/>
      <c r="P6944" s="216"/>
      <c r="Q6944" s="217"/>
      <c r="R6944" s="217"/>
      <c r="S6944" s="218"/>
    </row>
    <row r="6945" spans="13:19" ht="15" customHeight="1" x14ac:dyDescent="0.25">
      <c r="M6945"/>
      <c r="N6945"/>
      <c r="O6945"/>
      <c r="P6945" s="216"/>
      <c r="Q6945" s="217"/>
      <c r="R6945" s="217"/>
      <c r="S6945" s="218"/>
    </row>
    <row r="6946" spans="13:19" ht="15" customHeight="1" x14ac:dyDescent="0.25">
      <c r="M6946"/>
      <c r="N6946"/>
      <c r="O6946"/>
      <c r="P6946" s="216"/>
      <c r="Q6946" s="217"/>
      <c r="R6946" s="217"/>
      <c r="S6946" s="218"/>
    </row>
    <row r="6947" spans="13:19" ht="15" customHeight="1" x14ac:dyDescent="0.25">
      <c r="M6947"/>
      <c r="N6947"/>
      <c r="O6947"/>
      <c r="P6947" s="216"/>
      <c r="Q6947" s="217"/>
      <c r="R6947" s="217"/>
      <c r="S6947" s="218"/>
    </row>
    <row r="6948" spans="13:19" ht="15" customHeight="1" x14ac:dyDescent="0.25">
      <c r="M6948"/>
      <c r="N6948"/>
      <c r="O6948"/>
      <c r="P6948" s="216"/>
      <c r="Q6948" s="217"/>
      <c r="R6948" s="217"/>
      <c r="S6948" s="218"/>
    </row>
    <row r="6949" spans="13:19" ht="15" customHeight="1" x14ac:dyDescent="0.25">
      <c r="M6949"/>
      <c r="N6949"/>
      <c r="O6949"/>
      <c r="P6949" s="216"/>
      <c r="Q6949" s="217"/>
      <c r="R6949" s="217"/>
      <c r="S6949" s="218"/>
    </row>
    <row r="6950" spans="13:19" ht="15" customHeight="1" x14ac:dyDescent="0.25">
      <c r="M6950"/>
      <c r="N6950"/>
      <c r="O6950"/>
      <c r="P6950" s="216"/>
      <c r="Q6950" s="217"/>
      <c r="R6950" s="217"/>
      <c r="S6950" s="218"/>
    </row>
    <row r="6951" spans="13:19" ht="15" customHeight="1" x14ac:dyDescent="0.25">
      <c r="M6951"/>
      <c r="N6951"/>
      <c r="O6951"/>
      <c r="P6951" s="216"/>
      <c r="Q6951" s="217"/>
      <c r="R6951" s="217"/>
      <c r="S6951" s="218"/>
    </row>
    <row r="6952" spans="13:19" ht="15" customHeight="1" x14ac:dyDescent="0.25">
      <c r="M6952"/>
      <c r="N6952"/>
      <c r="O6952"/>
      <c r="P6952" s="216"/>
      <c r="Q6952" s="217"/>
      <c r="R6952" s="217"/>
      <c r="S6952" s="218"/>
    </row>
    <row r="6953" spans="13:19" ht="15" customHeight="1" x14ac:dyDescent="0.25">
      <c r="M6953"/>
      <c r="N6953"/>
      <c r="O6953"/>
      <c r="P6953" s="216"/>
      <c r="Q6953" s="217"/>
      <c r="R6953" s="217"/>
      <c r="S6953" s="218"/>
    </row>
    <row r="6954" spans="13:19" ht="15" customHeight="1" x14ac:dyDescent="0.25">
      <c r="M6954"/>
      <c r="N6954"/>
      <c r="O6954"/>
      <c r="P6954" s="216"/>
      <c r="Q6954" s="217"/>
      <c r="R6954" s="217"/>
      <c r="S6954" s="218"/>
    </row>
    <row r="6955" spans="13:19" ht="15" customHeight="1" x14ac:dyDescent="0.25">
      <c r="M6955"/>
      <c r="N6955"/>
      <c r="O6955"/>
      <c r="P6955" s="216"/>
      <c r="Q6955" s="217"/>
      <c r="R6955" s="217"/>
      <c r="S6955" s="218"/>
    </row>
    <row r="6956" spans="13:19" ht="15" customHeight="1" x14ac:dyDescent="0.25">
      <c r="M6956"/>
      <c r="N6956"/>
      <c r="O6956"/>
      <c r="P6956" s="216"/>
      <c r="Q6956" s="217"/>
      <c r="R6956" s="217"/>
      <c r="S6956" s="218"/>
    </row>
    <row r="6957" spans="13:19" ht="15" customHeight="1" x14ac:dyDescent="0.25">
      <c r="M6957"/>
      <c r="N6957"/>
      <c r="O6957"/>
      <c r="P6957" s="216"/>
      <c r="Q6957" s="217"/>
      <c r="R6957" s="217"/>
      <c r="S6957" s="218"/>
    </row>
    <row r="6958" spans="13:19" ht="15" customHeight="1" x14ac:dyDescent="0.25">
      <c r="M6958"/>
      <c r="N6958"/>
      <c r="O6958"/>
      <c r="P6958" s="216"/>
      <c r="Q6958" s="217"/>
      <c r="R6958" s="217"/>
      <c r="S6958" s="218"/>
    </row>
    <row r="6959" spans="13:19" ht="15" customHeight="1" x14ac:dyDescent="0.25">
      <c r="M6959"/>
      <c r="N6959"/>
      <c r="O6959"/>
      <c r="P6959" s="216"/>
      <c r="Q6959" s="217"/>
      <c r="R6959" s="217"/>
      <c r="S6959" s="218"/>
    </row>
    <row r="6960" spans="13:19" ht="15" customHeight="1" x14ac:dyDescent="0.25">
      <c r="M6960"/>
      <c r="N6960"/>
      <c r="O6960"/>
      <c r="P6960" s="216"/>
      <c r="Q6960" s="217"/>
      <c r="R6960" s="217"/>
      <c r="S6960" s="218"/>
    </row>
    <row r="6961" spans="13:19" ht="15" customHeight="1" x14ac:dyDescent="0.25">
      <c r="M6961"/>
      <c r="N6961"/>
      <c r="O6961"/>
      <c r="P6961" s="216"/>
      <c r="Q6961" s="217"/>
      <c r="R6961" s="217"/>
      <c r="S6961" s="218"/>
    </row>
    <row r="6962" spans="13:19" ht="15" customHeight="1" x14ac:dyDescent="0.25">
      <c r="M6962"/>
      <c r="N6962"/>
      <c r="O6962"/>
      <c r="P6962" s="216"/>
      <c r="Q6962" s="217"/>
      <c r="R6962" s="217"/>
      <c r="S6962" s="218"/>
    </row>
    <row r="6963" spans="13:19" ht="15" customHeight="1" x14ac:dyDescent="0.25">
      <c r="M6963"/>
      <c r="N6963"/>
      <c r="O6963"/>
      <c r="P6963" s="216"/>
      <c r="Q6963" s="217"/>
      <c r="R6963" s="217"/>
      <c r="S6963" s="218"/>
    </row>
    <row r="6964" spans="13:19" ht="15" customHeight="1" x14ac:dyDescent="0.25">
      <c r="M6964"/>
      <c r="N6964"/>
      <c r="O6964"/>
      <c r="P6964" s="216"/>
      <c r="Q6964" s="217"/>
      <c r="R6964" s="217"/>
      <c r="S6964" s="218"/>
    </row>
    <row r="6965" spans="13:19" ht="15" customHeight="1" x14ac:dyDescent="0.25">
      <c r="M6965"/>
      <c r="N6965"/>
      <c r="O6965"/>
      <c r="P6965" s="216"/>
      <c r="Q6965" s="217"/>
      <c r="R6965" s="217"/>
      <c r="S6965" s="218"/>
    </row>
    <row r="6966" spans="13:19" ht="15" customHeight="1" x14ac:dyDescent="0.25">
      <c r="M6966"/>
      <c r="N6966"/>
      <c r="O6966"/>
      <c r="P6966" s="216"/>
      <c r="Q6966" s="217"/>
      <c r="R6966" s="217"/>
      <c r="S6966" s="218"/>
    </row>
    <row r="6967" spans="13:19" ht="15" customHeight="1" x14ac:dyDescent="0.25">
      <c r="M6967"/>
      <c r="N6967"/>
      <c r="O6967"/>
      <c r="P6967" s="216"/>
      <c r="Q6967" s="217"/>
      <c r="R6967" s="217"/>
      <c r="S6967" s="218"/>
    </row>
    <row r="6968" spans="13:19" ht="15" customHeight="1" x14ac:dyDescent="0.25">
      <c r="M6968"/>
      <c r="N6968"/>
      <c r="O6968"/>
      <c r="P6968" s="216"/>
      <c r="Q6968" s="217"/>
      <c r="R6968" s="217"/>
      <c r="S6968" s="218"/>
    </row>
    <row r="6969" spans="13:19" ht="15" customHeight="1" x14ac:dyDescent="0.25">
      <c r="M6969"/>
      <c r="N6969"/>
      <c r="O6969"/>
      <c r="P6969" s="216"/>
      <c r="Q6969" s="217"/>
      <c r="R6969" s="217"/>
      <c r="S6969" s="218"/>
    </row>
    <row r="6970" spans="13:19" ht="15" customHeight="1" x14ac:dyDescent="0.25">
      <c r="M6970"/>
      <c r="N6970"/>
      <c r="O6970"/>
      <c r="P6970" s="216"/>
      <c r="Q6970" s="217"/>
      <c r="R6970" s="217"/>
      <c r="S6970" s="218"/>
    </row>
    <row r="6971" spans="13:19" ht="15" customHeight="1" x14ac:dyDescent="0.25">
      <c r="M6971"/>
      <c r="N6971"/>
      <c r="O6971"/>
      <c r="P6971" s="216"/>
      <c r="Q6971" s="217"/>
      <c r="R6971" s="217"/>
      <c r="S6971" s="218"/>
    </row>
    <row r="6972" spans="13:19" ht="15" customHeight="1" x14ac:dyDescent="0.25">
      <c r="M6972"/>
      <c r="N6972"/>
      <c r="O6972"/>
      <c r="P6972" s="216"/>
      <c r="Q6972" s="217"/>
      <c r="R6972" s="217"/>
      <c r="S6972" s="218"/>
    </row>
    <row r="6973" spans="13:19" ht="15" customHeight="1" x14ac:dyDescent="0.25">
      <c r="M6973"/>
      <c r="N6973"/>
      <c r="O6973"/>
      <c r="P6973" s="216"/>
      <c r="Q6973" s="217"/>
      <c r="R6973" s="217"/>
      <c r="S6973" s="218"/>
    </row>
    <row r="6974" spans="13:19" ht="15" customHeight="1" x14ac:dyDescent="0.25">
      <c r="M6974"/>
      <c r="N6974"/>
      <c r="O6974"/>
      <c r="P6974" s="216"/>
      <c r="Q6974" s="217"/>
      <c r="R6974" s="217"/>
      <c r="S6974" s="218"/>
    </row>
    <row r="6975" spans="13:19" ht="15" customHeight="1" x14ac:dyDescent="0.25">
      <c r="M6975"/>
      <c r="N6975"/>
      <c r="O6975"/>
      <c r="P6975" s="216"/>
      <c r="Q6975" s="217"/>
      <c r="R6975" s="217"/>
      <c r="S6975" s="218"/>
    </row>
    <row r="6976" spans="13:19" ht="15" customHeight="1" x14ac:dyDescent="0.25">
      <c r="M6976"/>
      <c r="N6976"/>
      <c r="O6976"/>
      <c r="P6976" s="216"/>
      <c r="Q6976" s="217"/>
      <c r="R6976" s="217"/>
      <c r="S6976" s="218"/>
    </row>
    <row r="6977" spans="13:19" ht="15" customHeight="1" x14ac:dyDescent="0.25">
      <c r="M6977"/>
      <c r="N6977"/>
      <c r="O6977"/>
      <c r="P6977" s="216"/>
      <c r="Q6977" s="217"/>
      <c r="R6977" s="217"/>
      <c r="S6977" s="218"/>
    </row>
    <row r="6978" spans="13:19" ht="15" customHeight="1" x14ac:dyDescent="0.25">
      <c r="M6978"/>
      <c r="N6978"/>
      <c r="O6978"/>
      <c r="P6978" s="216"/>
      <c r="Q6978" s="217"/>
      <c r="R6978" s="217"/>
      <c r="S6978" s="218"/>
    </row>
    <row r="6979" spans="13:19" ht="15" customHeight="1" x14ac:dyDescent="0.25">
      <c r="M6979"/>
      <c r="N6979"/>
      <c r="O6979"/>
      <c r="P6979" s="216"/>
      <c r="Q6979" s="217"/>
      <c r="R6979" s="217"/>
      <c r="S6979" s="218"/>
    </row>
    <row r="6980" spans="13:19" ht="15" customHeight="1" x14ac:dyDescent="0.25">
      <c r="M6980"/>
      <c r="N6980"/>
      <c r="O6980"/>
      <c r="P6980" s="216"/>
      <c r="Q6980" s="217"/>
      <c r="R6980" s="217"/>
      <c r="S6980" s="218"/>
    </row>
    <row r="6981" spans="13:19" ht="15" customHeight="1" x14ac:dyDescent="0.25">
      <c r="M6981"/>
      <c r="N6981"/>
      <c r="O6981"/>
      <c r="P6981" s="216"/>
      <c r="Q6981" s="217"/>
      <c r="R6981" s="217"/>
      <c r="S6981" s="218"/>
    </row>
    <row r="6982" spans="13:19" ht="15" customHeight="1" x14ac:dyDescent="0.25">
      <c r="M6982"/>
      <c r="N6982"/>
      <c r="O6982"/>
      <c r="P6982" s="216"/>
      <c r="Q6982" s="217"/>
      <c r="R6982" s="217"/>
      <c r="S6982" s="218"/>
    </row>
    <row r="6983" spans="13:19" ht="15" customHeight="1" x14ac:dyDescent="0.25">
      <c r="M6983"/>
      <c r="N6983"/>
      <c r="O6983"/>
      <c r="P6983" s="216"/>
      <c r="Q6983" s="217"/>
      <c r="R6983" s="217"/>
      <c r="S6983" s="218"/>
    </row>
    <row r="6984" spans="13:19" ht="15" customHeight="1" x14ac:dyDescent="0.25">
      <c r="M6984"/>
      <c r="N6984"/>
      <c r="O6984"/>
      <c r="P6984" s="216"/>
      <c r="Q6984" s="217"/>
      <c r="R6984" s="217"/>
      <c r="S6984" s="218"/>
    </row>
    <row r="6985" spans="13:19" ht="15" customHeight="1" x14ac:dyDescent="0.25">
      <c r="M6985"/>
      <c r="N6985"/>
      <c r="O6985"/>
      <c r="P6985" s="216"/>
      <c r="Q6985" s="217"/>
      <c r="R6985" s="217"/>
      <c r="S6985" s="218"/>
    </row>
    <row r="6986" spans="13:19" ht="15" customHeight="1" x14ac:dyDescent="0.25">
      <c r="M6986"/>
      <c r="N6986"/>
      <c r="O6986"/>
      <c r="P6986" s="216"/>
      <c r="Q6986" s="217"/>
      <c r="R6986" s="217"/>
      <c r="S6986" s="218"/>
    </row>
    <row r="6987" spans="13:19" ht="15" customHeight="1" x14ac:dyDescent="0.25">
      <c r="M6987"/>
      <c r="N6987"/>
      <c r="O6987"/>
      <c r="P6987" s="216"/>
      <c r="Q6987" s="217"/>
      <c r="R6987" s="217"/>
      <c r="S6987" s="218"/>
    </row>
    <row r="6988" spans="13:19" ht="15" customHeight="1" x14ac:dyDescent="0.25">
      <c r="M6988"/>
      <c r="N6988"/>
      <c r="O6988"/>
      <c r="P6988" s="216"/>
      <c r="Q6988" s="217"/>
      <c r="R6988" s="217"/>
      <c r="S6988" s="218"/>
    </row>
    <row r="6989" spans="13:19" ht="15" customHeight="1" x14ac:dyDescent="0.25">
      <c r="M6989"/>
      <c r="N6989"/>
      <c r="O6989"/>
      <c r="P6989" s="216"/>
      <c r="Q6989" s="217"/>
      <c r="R6989" s="217"/>
      <c r="S6989" s="218"/>
    </row>
    <row r="6990" spans="13:19" ht="15" customHeight="1" x14ac:dyDescent="0.25">
      <c r="M6990"/>
      <c r="N6990"/>
      <c r="O6990"/>
      <c r="P6990" s="216"/>
      <c r="Q6990" s="217"/>
      <c r="R6990" s="217"/>
      <c r="S6990" s="218"/>
    </row>
    <row r="6991" spans="13:19" ht="15" customHeight="1" x14ac:dyDescent="0.25">
      <c r="M6991"/>
      <c r="N6991"/>
      <c r="O6991"/>
      <c r="P6991" s="216"/>
      <c r="Q6991" s="217"/>
      <c r="R6991" s="217"/>
      <c r="S6991" s="218"/>
    </row>
    <row r="6992" spans="13:19" ht="15" customHeight="1" x14ac:dyDescent="0.25">
      <c r="M6992"/>
      <c r="N6992"/>
      <c r="O6992"/>
      <c r="P6992" s="216"/>
      <c r="Q6992" s="217"/>
      <c r="R6992" s="217"/>
      <c r="S6992" s="218"/>
    </row>
    <row r="6993" spans="13:19" ht="15" customHeight="1" x14ac:dyDescent="0.25">
      <c r="M6993"/>
      <c r="N6993"/>
      <c r="O6993"/>
      <c r="P6993" s="216"/>
      <c r="Q6993" s="217"/>
      <c r="R6993" s="217"/>
      <c r="S6993" s="218"/>
    </row>
    <row r="6994" spans="13:19" ht="15" customHeight="1" x14ac:dyDescent="0.25">
      <c r="M6994"/>
      <c r="N6994"/>
      <c r="O6994"/>
      <c r="P6994" s="216"/>
      <c r="Q6994" s="217"/>
      <c r="R6994" s="217"/>
      <c r="S6994" s="218"/>
    </row>
    <row r="6995" spans="13:19" ht="15" customHeight="1" x14ac:dyDescent="0.25">
      <c r="M6995"/>
      <c r="N6995"/>
      <c r="O6995"/>
      <c r="P6995" s="216"/>
      <c r="Q6995" s="217"/>
      <c r="R6995" s="217"/>
      <c r="S6995" s="218"/>
    </row>
    <row r="6996" spans="13:19" ht="15" customHeight="1" x14ac:dyDescent="0.25">
      <c r="M6996"/>
      <c r="N6996"/>
      <c r="O6996"/>
      <c r="P6996" s="216"/>
      <c r="Q6996" s="217"/>
      <c r="R6996" s="217"/>
      <c r="S6996" s="218"/>
    </row>
    <row r="6997" spans="13:19" ht="15" customHeight="1" x14ac:dyDescent="0.25">
      <c r="M6997"/>
      <c r="N6997"/>
      <c r="O6997"/>
      <c r="P6997" s="216"/>
      <c r="Q6997" s="217"/>
      <c r="R6997" s="217"/>
      <c r="S6997" s="218"/>
    </row>
    <row r="6998" spans="13:19" ht="15" customHeight="1" x14ac:dyDescent="0.25">
      <c r="M6998"/>
      <c r="N6998"/>
      <c r="O6998"/>
      <c r="P6998" s="216"/>
      <c r="Q6998" s="217"/>
      <c r="R6998" s="217"/>
      <c r="S6998" s="218"/>
    </row>
    <row r="6999" spans="13:19" ht="15" customHeight="1" x14ac:dyDescent="0.25">
      <c r="M6999"/>
      <c r="N6999"/>
      <c r="O6999"/>
      <c r="P6999" s="216"/>
      <c r="Q6999" s="217"/>
      <c r="R6999" s="217"/>
      <c r="S6999" s="218"/>
    </row>
    <row r="7000" spans="13:19" ht="15" customHeight="1" x14ac:dyDescent="0.25">
      <c r="M7000"/>
      <c r="N7000"/>
      <c r="O7000"/>
      <c r="P7000" s="216"/>
      <c r="Q7000" s="217"/>
      <c r="R7000" s="217"/>
      <c r="S7000" s="218"/>
    </row>
    <row r="7001" spans="13:19" ht="15" customHeight="1" x14ac:dyDescent="0.25">
      <c r="M7001"/>
      <c r="N7001"/>
      <c r="O7001"/>
      <c r="P7001" s="216"/>
      <c r="Q7001" s="217"/>
      <c r="R7001" s="217"/>
      <c r="S7001" s="218"/>
    </row>
    <row r="7002" spans="13:19" ht="15" customHeight="1" x14ac:dyDescent="0.25">
      <c r="M7002"/>
      <c r="N7002"/>
      <c r="O7002"/>
      <c r="P7002" s="216"/>
      <c r="Q7002" s="217"/>
      <c r="R7002" s="217"/>
      <c r="S7002" s="218"/>
    </row>
    <row r="7003" spans="13:19" ht="15" customHeight="1" x14ac:dyDescent="0.25">
      <c r="M7003"/>
      <c r="N7003"/>
      <c r="O7003"/>
      <c r="P7003" s="216"/>
      <c r="Q7003" s="217"/>
      <c r="R7003" s="217"/>
      <c r="S7003" s="218"/>
    </row>
    <row r="7004" spans="13:19" ht="15" customHeight="1" x14ac:dyDescent="0.25">
      <c r="M7004"/>
      <c r="N7004"/>
      <c r="O7004"/>
      <c r="P7004" s="216"/>
      <c r="Q7004" s="217"/>
      <c r="R7004" s="217"/>
      <c r="S7004" s="218"/>
    </row>
    <row r="7005" spans="13:19" ht="15" customHeight="1" x14ac:dyDescent="0.25">
      <c r="M7005"/>
      <c r="N7005"/>
      <c r="O7005"/>
      <c r="P7005" s="216"/>
      <c r="Q7005" s="217"/>
      <c r="R7005" s="217"/>
      <c r="S7005" s="218"/>
    </row>
    <row r="7006" spans="13:19" ht="15" customHeight="1" x14ac:dyDescent="0.25">
      <c r="M7006"/>
      <c r="N7006"/>
      <c r="O7006"/>
      <c r="P7006" s="216"/>
      <c r="Q7006" s="217"/>
      <c r="R7006" s="217"/>
      <c r="S7006" s="218"/>
    </row>
    <row r="7007" spans="13:19" ht="15" customHeight="1" x14ac:dyDescent="0.25">
      <c r="M7007"/>
      <c r="N7007"/>
      <c r="O7007"/>
      <c r="P7007" s="216"/>
      <c r="Q7007" s="217"/>
      <c r="R7007" s="217"/>
      <c r="S7007" s="218"/>
    </row>
    <row r="7008" spans="13:19" ht="15" customHeight="1" x14ac:dyDescent="0.25">
      <c r="M7008"/>
      <c r="N7008"/>
      <c r="O7008"/>
      <c r="P7008" s="216"/>
      <c r="Q7008" s="217"/>
      <c r="R7008" s="217"/>
      <c r="S7008" s="218"/>
    </row>
    <row r="7009" spans="13:19" ht="15" customHeight="1" x14ac:dyDescent="0.25">
      <c r="M7009"/>
      <c r="N7009"/>
      <c r="O7009"/>
      <c r="P7009" s="216"/>
      <c r="Q7009" s="217"/>
      <c r="R7009" s="217"/>
      <c r="S7009" s="218"/>
    </row>
    <row r="7010" spans="13:19" ht="15" customHeight="1" x14ac:dyDescent="0.25">
      <c r="M7010"/>
      <c r="N7010"/>
      <c r="O7010"/>
      <c r="P7010" s="216"/>
      <c r="Q7010" s="217"/>
      <c r="R7010" s="217"/>
      <c r="S7010" s="218"/>
    </row>
    <row r="7011" spans="13:19" ht="15" customHeight="1" x14ac:dyDescent="0.25">
      <c r="M7011"/>
      <c r="N7011"/>
      <c r="O7011"/>
      <c r="P7011" s="216"/>
      <c r="Q7011" s="217"/>
      <c r="R7011" s="217"/>
      <c r="S7011" s="218"/>
    </row>
    <row r="7012" spans="13:19" ht="15" customHeight="1" x14ac:dyDescent="0.25">
      <c r="M7012"/>
      <c r="N7012"/>
      <c r="O7012"/>
      <c r="P7012" s="216"/>
      <c r="Q7012" s="217"/>
      <c r="R7012" s="217"/>
      <c r="S7012" s="218"/>
    </row>
    <row r="7013" spans="13:19" ht="15" customHeight="1" x14ac:dyDescent="0.25">
      <c r="M7013"/>
      <c r="N7013"/>
      <c r="O7013"/>
      <c r="P7013" s="216"/>
      <c r="Q7013" s="217"/>
      <c r="R7013" s="217"/>
      <c r="S7013" s="218"/>
    </row>
    <row r="7014" spans="13:19" ht="15" customHeight="1" x14ac:dyDescent="0.25">
      <c r="M7014"/>
      <c r="N7014"/>
      <c r="O7014"/>
      <c r="P7014" s="216"/>
      <c r="Q7014" s="217"/>
      <c r="R7014" s="217"/>
      <c r="S7014" s="218"/>
    </row>
    <row r="7015" spans="13:19" ht="15" customHeight="1" x14ac:dyDescent="0.25">
      <c r="M7015"/>
      <c r="N7015"/>
      <c r="O7015"/>
      <c r="P7015" s="216"/>
      <c r="Q7015" s="217"/>
      <c r="R7015" s="217"/>
      <c r="S7015" s="218"/>
    </row>
    <row r="7016" spans="13:19" ht="15" customHeight="1" x14ac:dyDescent="0.25">
      <c r="M7016"/>
      <c r="N7016"/>
      <c r="O7016"/>
      <c r="P7016" s="216"/>
      <c r="Q7016" s="217"/>
      <c r="R7016" s="217"/>
      <c r="S7016" s="218"/>
    </row>
    <row r="7017" spans="13:19" ht="15" customHeight="1" x14ac:dyDescent="0.25">
      <c r="M7017"/>
      <c r="N7017"/>
      <c r="O7017"/>
      <c r="P7017" s="216"/>
      <c r="Q7017" s="217"/>
      <c r="R7017" s="217"/>
      <c r="S7017" s="218"/>
    </row>
    <row r="7018" spans="13:19" ht="15" customHeight="1" x14ac:dyDescent="0.25">
      <c r="M7018"/>
      <c r="N7018"/>
      <c r="O7018"/>
      <c r="P7018" s="216"/>
      <c r="Q7018" s="217"/>
      <c r="R7018" s="217"/>
      <c r="S7018" s="218"/>
    </row>
    <row r="7019" spans="13:19" ht="15" customHeight="1" x14ac:dyDescent="0.25">
      <c r="M7019"/>
      <c r="N7019"/>
      <c r="O7019"/>
      <c r="P7019" s="216"/>
      <c r="Q7019" s="217"/>
      <c r="R7019" s="217"/>
      <c r="S7019" s="218"/>
    </row>
    <row r="7020" spans="13:19" ht="15" customHeight="1" x14ac:dyDescent="0.25">
      <c r="M7020"/>
      <c r="N7020"/>
      <c r="O7020"/>
      <c r="P7020" s="216"/>
      <c r="Q7020" s="217"/>
      <c r="R7020" s="217"/>
      <c r="S7020" s="218"/>
    </row>
    <row r="7021" spans="13:19" ht="15" customHeight="1" x14ac:dyDescent="0.25">
      <c r="M7021"/>
      <c r="N7021"/>
      <c r="O7021"/>
      <c r="P7021" s="216"/>
      <c r="Q7021" s="217"/>
      <c r="R7021" s="217"/>
      <c r="S7021" s="218"/>
    </row>
    <row r="7022" spans="13:19" ht="15" customHeight="1" x14ac:dyDescent="0.25">
      <c r="M7022"/>
      <c r="N7022"/>
      <c r="O7022"/>
      <c r="P7022" s="216"/>
      <c r="Q7022" s="217"/>
      <c r="R7022" s="217"/>
      <c r="S7022" s="218"/>
    </row>
    <row r="7023" spans="13:19" ht="15" customHeight="1" x14ac:dyDescent="0.25">
      <c r="M7023"/>
      <c r="N7023"/>
      <c r="O7023"/>
      <c r="P7023" s="216"/>
      <c r="Q7023" s="217"/>
      <c r="R7023" s="217"/>
      <c r="S7023" s="218"/>
    </row>
    <row r="7024" spans="13:19" ht="15" customHeight="1" x14ac:dyDescent="0.25">
      <c r="M7024"/>
      <c r="N7024"/>
      <c r="O7024"/>
      <c r="P7024" s="216"/>
      <c r="Q7024" s="217"/>
      <c r="R7024" s="217"/>
      <c r="S7024" s="218"/>
    </row>
    <row r="7025" spans="13:19" ht="15" customHeight="1" x14ac:dyDescent="0.25">
      <c r="M7025"/>
      <c r="N7025"/>
      <c r="O7025"/>
      <c r="P7025" s="216"/>
      <c r="Q7025" s="217"/>
      <c r="R7025" s="217"/>
      <c r="S7025" s="218"/>
    </row>
    <row r="7026" spans="13:19" ht="15" customHeight="1" x14ac:dyDescent="0.25">
      <c r="M7026"/>
      <c r="N7026"/>
      <c r="O7026"/>
      <c r="P7026" s="216"/>
      <c r="Q7026" s="217"/>
      <c r="R7026" s="217"/>
      <c r="S7026" s="218"/>
    </row>
    <row r="7027" spans="13:19" ht="15" customHeight="1" x14ac:dyDescent="0.25">
      <c r="M7027"/>
      <c r="N7027"/>
      <c r="O7027"/>
      <c r="P7027" s="216"/>
      <c r="Q7027" s="217"/>
      <c r="R7027" s="217"/>
      <c r="S7027" s="218"/>
    </row>
    <row r="7028" spans="13:19" ht="15" customHeight="1" x14ac:dyDescent="0.25">
      <c r="M7028"/>
      <c r="N7028"/>
      <c r="O7028"/>
      <c r="P7028" s="216"/>
      <c r="Q7028" s="217"/>
      <c r="R7028" s="217"/>
      <c r="S7028" s="218"/>
    </row>
    <row r="7029" spans="13:19" ht="15" customHeight="1" x14ac:dyDescent="0.25">
      <c r="M7029"/>
      <c r="N7029"/>
      <c r="O7029"/>
      <c r="P7029" s="216"/>
      <c r="Q7029" s="217"/>
      <c r="R7029" s="217"/>
      <c r="S7029" s="218"/>
    </row>
    <row r="7030" spans="13:19" ht="15" customHeight="1" x14ac:dyDescent="0.25">
      <c r="M7030"/>
      <c r="N7030"/>
      <c r="O7030"/>
      <c r="P7030" s="216"/>
      <c r="Q7030" s="217"/>
      <c r="R7030" s="217"/>
      <c r="S7030" s="218"/>
    </row>
    <row r="7031" spans="13:19" ht="15" customHeight="1" x14ac:dyDescent="0.25">
      <c r="M7031"/>
      <c r="N7031"/>
      <c r="O7031"/>
      <c r="P7031" s="216"/>
      <c r="Q7031" s="217"/>
      <c r="R7031" s="217"/>
      <c r="S7031" s="218"/>
    </row>
    <row r="7032" spans="13:19" ht="15" customHeight="1" x14ac:dyDescent="0.25">
      <c r="M7032"/>
      <c r="N7032"/>
      <c r="O7032"/>
      <c r="P7032" s="216"/>
      <c r="Q7032" s="217"/>
      <c r="R7032" s="217"/>
      <c r="S7032" s="218"/>
    </row>
    <row r="7033" spans="13:19" ht="15" customHeight="1" x14ac:dyDescent="0.25">
      <c r="M7033"/>
      <c r="N7033"/>
      <c r="O7033"/>
      <c r="P7033" s="216"/>
      <c r="Q7033" s="217"/>
      <c r="R7033" s="217"/>
      <c r="S7033" s="218"/>
    </row>
    <row r="7034" spans="13:19" ht="15" customHeight="1" x14ac:dyDescent="0.25">
      <c r="M7034"/>
      <c r="N7034"/>
      <c r="O7034"/>
      <c r="P7034" s="216"/>
      <c r="Q7034" s="217"/>
      <c r="R7034" s="217"/>
      <c r="S7034" s="218"/>
    </row>
    <row r="7035" spans="13:19" ht="15" customHeight="1" x14ac:dyDescent="0.25">
      <c r="M7035"/>
      <c r="N7035"/>
      <c r="O7035"/>
      <c r="P7035" s="216"/>
      <c r="Q7035" s="217"/>
      <c r="R7035" s="217"/>
      <c r="S7035" s="218"/>
    </row>
    <row r="7036" spans="13:19" ht="15" customHeight="1" x14ac:dyDescent="0.25">
      <c r="M7036"/>
      <c r="N7036"/>
      <c r="O7036"/>
      <c r="P7036" s="216"/>
      <c r="Q7036" s="217"/>
      <c r="R7036" s="217"/>
      <c r="S7036" s="218"/>
    </row>
    <row r="7037" spans="13:19" ht="15" customHeight="1" x14ac:dyDescent="0.25">
      <c r="M7037"/>
      <c r="N7037"/>
      <c r="O7037"/>
      <c r="P7037" s="216"/>
      <c r="Q7037" s="217"/>
      <c r="R7037" s="217"/>
      <c r="S7037" s="218"/>
    </row>
    <row r="7038" spans="13:19" ht="15" customHeight="1" x14ac:dyDescent="0.25">
      <c r="M7038"/>
      <c r="N7038"/>
      <c r="O7038"/>
      <c r="P7038" s="216"/>
      <c r="Q7038" s="217"/>
      <c r="R7038" s="217"/>
      <c r="S7038" s="218"/>
    </row>
    <row r="7039" spans="13:19" ht="15" customHeight="1" x14ac:dyDescent="0.25">
      <c r="M7039"/>
      <c r="N7039"/>
      <c r="O7039"/>
      <c r="P7039" s="216"/>
      <c r="Q7039" s="217"/>
      <c r="R7039" s="217"/>
      <c r="S7039" s="218"/>
    </row>
    <row r="7040" spans="13:19" ht="15" customHeight="1" x14ac:dyDescent="0.25">
      <c r="M7040"/>
      <c r="N7040"/>
      <c r="O7040"/>
      <c r="P7040" s="216"/>
      <c r="Q7040" s="217"/>
      <c r="R7040" s="217"/>
      <c r="S7040" s="218"/>
    </row>
    <row r="7041" spans="13:19" ht="15" customHeight="1" x14ac:dyDescent="0.25">
      <c r="M7041"/>
      <c r="N7041"/>
      <c r="O7041"/>
      <c r="P7041" s="216"/>
      <c r="Q7041" s="217"/>
      <c r="R7041" s="217"/>
      <c r="S7041" s="218"/>
    </row>
    <row r="7042" spans="13:19" ht="15" customHeight="1" x14ac:dyDescent="0.25">
      <c r="M7042"/>
      <c r="N7042"/>
      <c r="O7042"/>
      <c r="P7042" s="216"/>
      <c r="Q7042" s="217"/>
      <c r="R7042" s="217"/>
      <c r="S7042" s="218"/>
    </row>
    <row r="7043" spans="13:19" ht="15" customHeight="1" x14ac:dyDescent="0.25">
      <c r="M7043"/>
      <c r="N7043"/>
      <c r="O7043"/>
      <c r="P7043" s="216"/>
      <c r="Q7043" s="217"/>
      <c r="R7043" s="217"/>
      <c r="S7043" s="218"/>
    </row>
    <row r="7044" spans="13:19" ht="15" customHeight="1" x14ac:dyDescent="0.25">
      <c r="M7044"/>
      <c r="N7044"/>
      <c r="O7044"/>
      <c r="P7044" s="216"/>
      <c r="Q7044" s="217"/>
      <c r="R7044" s="217"/>
      <c r="S7044" s="218"/>
    </row>
    <row r="7045" spans="13:19" ht="15" customHeight="1" x14ac:dyDescent="0.25">
      <c r="M7045"/>
      <c r="N7045"/>
      <c r="O7045"/>
      <c r="P7045" s="216"/>
      <c r="Q7045" s="217"/>
      <c r="R7045" s="217"/>
      <c r="S7045" s="218"/>
    </row>
    <row r="7046" spans="13:19" ht="15" customHeight="1" x14ac:dyDescent="0.25">
      <c r="M7046"/>
      <c r="N7046"/>
      <c r="O7046"/>
      <c r="P7046" s="216"/>
      <c r="Q7046" s="217"/>
      <c r="R7046" s="217"/>
      <c r="S7046" s="218"/>
    </row>
    <row r="7047" spans="13:19" ht="15" customHeight="1" x14ac:dyDescent="0.25">
      <c r="M7047"/>
      <c r="N7047"/>
      <c r="O7047"/>
      <c r="P7047" s="216"/>
      <c r="Q7047" s="217"/>
      <c r="R7047" s="217"/>
      <c r="S7047" s="218"/>
    </row>
    <row r="7048" spans="13:19" ht="15" customHeight="1" x14ac:dyDescent="0.25">
      <c r="M7048"/>
      <c r="N7048"/>
      <c r="O7048"/>
      <c r="P7048" s="216"/>
      <c r="Q7048" s="217"/>
      <c r="R7048" s="217"/>
      <c r="S7048" s="218"/>
    </row>
    <row r="7049" spans="13:19" ht="15" customHeight="1" x14ac:dyDescent="0.25">
      <c r="M7049"/>
      <c r="N7049"/>
      <c r="O7049"/>
      <c r="P7049" s="216"/>
      <c r="Q7049" s="217"/>
      <c r="R7049" s="217"/>
      <c r="S7049" s="218"/>
    </row>
    <row r="7050" spans="13:19" ht="15" customHeight="1" x14ac:dyDescent="0.25">
      <c r="M7050"/>
      <c r="N7050"/>
      <c r="O7050"/>
      <c r="P7050" s="216"/>
      <c r="Q7050" s="217"/>
      <c r="R7050" s="217"/>
      <c r="S7050" s="218"/>
    </row>
    <row r="7051" spans="13:19" ht="15" customHeight="1" x14ac:dyDescent="0.25">
      <c r="M7051"/>
      <c r="N7051"/>
      <c r="O7051"/>
      <c r="P7051" s="216"/>
      <c r="Q7051" s="217"/>
      <c r="R7051" s="217"/>
      <c r="S7051" s="218"/>
    </row>
    <row r="7052" spans="13:19" ht="15" customHeight="1" x14ac:dyDescent="0.25">
      <c r="M7052"/>
      <c r="N7052"/>
      <c r="O7052"/>
      <c r="P7052" s="216"/>
      <c r="Q7052" s="217"/>
      <c r="R7052" s="217"/>
      <c r="S7052" s="218"/>
    </row>
    <row r="7053" spans="13:19" ht="15" customHeight="1" x14ac:dyDescent="0.25">
      <c r="M7053"/>
      <c r="N7053"/>
      <c r="O7053"/>
      <c r="P7053" s="216"/>
      <c r="Q7053" s="217"/>
      <c r="R7053" s="217"/>
      <c r="S7053" s="218"/>
    </row>
    <row r="7054" spans="13:19" ht="15" customHeight="1" x14ac:dyDescent="0.25">
      <c r="M7054"/>
      <c r="N7054"/>
      <c r="O7054"/>
      <c r="P7054" s="216"/>
      <c r="Q7054" s="217"/>
      <c r="R7054" s="217"/>
      <c r="S7054" s="218"/>
    </row>
    <row r="7055" spans="13:19" ht="15" customHeight="1" x14ac:dyDescent="0.25">
      <c r="M7055"/>
      <c r="N7055"/>
      <c r="O7055"/>
      <c r="P7055" s="216"/>
      <c r="Q7055" s="217"/>
      <c r="R7055" s="217"/>
      <c r="S7055" s="218"/>
    </row>
    <row r="7056" spans="13:19" ht="15" customHeight="1" x14ac:dyDescent="0.25">
      <c r="M7056"/>
      <c r="N7056"/>
      <c r="O7056"/>
      <c r="P7056" s="216"/>
      <c r="Q7056" s="217"/>
      <c r="R7056" s="217"/>
      <c r="S7056" s="218"/>
    </row>
    <row r="7057" spans="13:19" ht="15" customHeight="1" x14ac:dyDescent="0.25">
      <c r="M7057"/>
      <c r="N7057"/>
      <c r="O7057"/>
      <c r="P7057" s="216"/>
      <c r="Q7057" s="217"/>
      <c r="R7057" s="217"/>
      <c r="S7057" s="218"/>
    </row>
    <row r="7058" spans="13:19" ht="15" customHeight="1" x14ac:dyDescent="0.25">
      <c r="M7058"/>
      <c r="N7058"/>
      <c r="O7058"/>
      <c r="P7058" s="216"/>
      <c r="Q7058" s="217"/>
      <c r="R7058" s="217"/>
      <c r="S7058" s="218"/>
    </row>
    <row r="7059" spans="13:19" ht="15" customHeight="1" x14ac:dyDescent="0.25">
      <c r="M7059"/>
      <c r="N7059"/>
      <c r="O7059"/>
      <c r="P7059" s="216"/>
      <c r="Q7059" s="217"/>
      <c r="R7059" s="217"/>
      <c r="S7059" s="218"/>
    </row>
    <row r="7060" spans="13:19" ht="15" customHeight="1" x14ac:dyDescent="0.25">
      <c r="M7060"/>
      <c r="N7060"/>
      <c r="O7060"/>
      <c r="P7060" s="216"/>
      <c r="Q7060" s="217"/>
      <c r="R7060" s="217"/>
      <c r="S7060" s="218"/>
    </row>
    <row r="7061" spans="13:19" ht="15" customHeight="1" x14ac:dyDescent="0.25">
      <c r="M7061"/>
      <c r="N7061"/>
      <c r="O7061"/>
      <c r="P7061" s="216"/>
      <c r="Q7061" s="217"/>
      <c r="R7061" s="217"/>
      <c r="S7061" s="218"/>
    </row>
    <row r="7062" spans="13:19" ht="15" customHeight="1" x14ac:dyDescent="0.25">
      <c r="M7062"/>
      <c r="N7062"/>
      <c r="O7062"/>
      <c r="P7062" s="216"/>
      <c r="Q7062" s="217"/>
      <c r="R7062" s="217"/>
      <c r="S7062" s="218"/>
    </row>
    <row r="7063" spans="13:19" ht="15" customHeight="1" x14ac:dyDescent="0.25">
      <c r="M7063"/>
      <c r="N7063"/>
      <c r="O7063"/>
      <c r="P7063" s="216"/>
      <c r="Q7063" s="217"/>
      <c r="R7063" s="217"/>
      <c r="S7063" s="218"/>
    </row>
    <row r="7064" spans="13:19" ht="15" customHeight="1" x14ac:dyDescent="0.25">
      <c r="M7064"/>
      <c r="N7064"/>
      <c r="O7064"/>
      <c r="P7064" s="216"/>
      <c r="Q7064" s="217"/>
      <c r="R7064" s="217"/>
      <c r="S7064" s="218"/>
    </row>
    <row r="7065" spans="13:19" ht="15" customHeight="1" x14ac:dyDescent="0.25">
      <c r="M7065"/>
      <c r="N7065"/>
      <c r="O7065"/>
      <c r="P7065" s="216"/>
      <c r="Q7065" s="217"/>
      <c r="R7065" s="217"/>
      <c r="S7065" s="218"/>
    </row>
    <row r="7066" spans="13:19" ht="15" customHeight="1" x14ac:dyDescent="0.25">
      <c r="M7066"/>
      <c r="N7066"/>
      <c r="O7066"/>
      <c r="P7066" s="216"/>
      <c r="Q7066" s="217"/>
      <c r="R7066" s="217"/>
      <c r="S7066" s="218"/>
    </row>
    <row r="7067" spans="13:19" ht="15" customHeight="1" x14ac:dyDescent="0.25">
      <c r="M7067"/>
      <c r="N7067"/>
      <c r="O7067"/>
      <c r="P7067" s="216"/>
      <c r="Q7067" s="217"/>
      <c r="R7067" s="217"/>
      <c r="S7067" s="218"/>
    </row>
    <row r="7068" spans="13:19" ht="15" customHeight="1" x14ac:dyDescent="0.25">
      <c r="M7068"/>
      <c r="N7068"/>
      <c r="O7068"/>
      <c r="P7068" s="216"/>
      <c r="Q7068" s="217"/>
      <c r="R7068" s="217"/>
      <c r="S7068" s="218"/>
    </row>
    <row r="7069" spans="13:19" ht="15" customHeight="1" x14ac:dyDescent="0.25">
      <c r="M7069"/>
      <c r="N7069"/>
      <c r="O7069"/>
      <c r="P7069" s="216"/>
      <c r="Q7069" s="217"/>
      <c r="R7069" s="217"/>
      <c r="S7069" s="218"/>
    </row>
    <row r="7070" spans="13:19" ht="15" customHeight="1" x14ac:dyDescent="0.25">
      <c r="M7070"/>
      <c r="N7070"/>
      <c r="O7070"/>
      <c r="P7070" s="216"/>
      <c r="Q7070" s="217"/>
      <c r="R7070" s="217"/>
      <c r="S7070" s="218"/>
    </row>
    <row r="7071" spans="13:19" ht="15" customHeight="1" x14ac:dyDescent="0.25">
      <c r="M7071"/>
      <c r="N7071"/>
      <c r="O7071"/>
      <c r="P7071" s="216"/>
      <c r="Q7071" s="217"/>
      <c r="R7071" s="217"/>
      <c r="S7071" s="218"/>
    </row>
    <row r="7072" spans="13:19" ht="15" customHeight="1" x14ac:dyDescent="0.25">
      <c r="M7072"/>
      <c r="N7072"/>
      <c r="O7072"/>
      <c r="P7072" s="216"/>
      <c r="Q7072" s="217"/>
      <c r="R7072" s="217"/>
      <c r="S7072" s="218"/>
    </row>
    <row r="7073" spans="13:19" ht="15" customHeight="1" x14ac:dyDescent="0.25">
      <c r="M7073"/>
      <c r="N7073"/>
      <c r="O7073"/>
      <c r="P7073" s="216"/>
      <c r="Q7073" s="217"/>
      <c r="R7073" s="217"/>
      <c r="S7073" s="218"/>
    </row>
    <row r="7074" spans="13:19" ht="15" customHeight="1" x14ac:dyDescent="0.25">
      <c r="M7074"/>
      <c r="N7074"/>
      <c r="O7074"/>
      <c r="P7074" s="216"/>
      <c r="Q7074" s="217"/>
      <c r="R7074" s="217"/>
      <c r="S7074" s="218"/>
    </row>
    <row r="7075" spans="13:19" ht="15" customHeight="1" x14ac:dyDescent="0.25">
      <c r="M7075"/>
      <c r="N7075"/>
      <c r="O7075"/>
      <c r="P7075" s="216"/>
      <c r="Q7075" s="217"/>
      <c r="R7075" s="217"/>
      <c r="S7075" s="218"/>
    </row>
    <row r="7076" spans="13:19" ht="15" customHeight="1" x14ac:dyDescent="0.25">
      <c r="M7076"/>
      <c r="N7076"/>
      <c r="O7076"/>
      <c r="P7076" s="216"/>
      <c r="Q7076" s="217"/>
      <c r="R7076" s="217"/>
      <c r="S7076" s="218"/>
    </row>
    <row r="7077" spans="13:19" ht="15" customHeight="1" x14ac:dyDescent="0.25">
      <c r="M7077"/>
      <c r="N7077"/>
      <c r="O7077"/>
      <c r="P7077" s="216"/>
      <c r="Q7077" s="217"/>
      <c r="R7077" s="217"/>
      <c r="S7077" s="218"/>
    </row>
    <row r="7078" spans="13:19" ht="15" customHeight="1" x14ac:dyDescent="0.25">
      <c r="M7078"/>
      <c r="N7078"/>
      <c r="O7078"/>
      <c r="P7078" s="216"/>
      <c r="Q7078" s="217"/>
      <c r="R7078" s="217"/>
      <c r="S7078" s="218"/>
    </row>
    <row r="7079" spans="13:19" ht="15" customHeight="1" x14ac:dyDescent="0.25">
      <c r="M7079"/>
      <c r="N7079"/>
      <c r="O7079"/>
      <c r="P7079" s="216"/>
      <c r="Q7079" s="217"/>
      <c r="R7079" s="217"/>
      <c r="S7079" s="218"/>
    </row>
    <row r="7080" spans="13:19" ht="15" customHeight="1" x14ac:dyDescent="0.25">
      <c r="M7080"/>
      <c r="N7080"/>
      <c r="O7080"/>
      <c r="P7080" s="216"/>
      <c r="Q7080" s="217"/>
      <c r="R7080" s="217"/>
      <c r="S7080" s="218"/>
    </row>
    <row r="7081" spans="13:19" ht="15" customHeight="1" x14ac:dyDescent="0.25">
      <c r="M7081"/>
      <c r="N7081"/>
      <c r="O7081"/>
      <c r="P7081" s="216"/>
      <c r="Q7081" s="217"/>
      <c r="R7081" s="217"/>
      <c r="S7081" s="218"/>
    </row>
    <row r="7082" spans="13:19" ht="15" customHeight="1" x14ac:dyDescent="0.25">
      <c r="M7082"/>
      <c r="N7082"/>
      <c r="O7082"/>
      <c r="P7082" s="216"/>
      <c r="Q7082" s="217"/>
      <c r="R7082" s="217"/>
      <c r="S7082" s="218"/>
    </row>
    <row r="7083" spans="13:19" ht="15" customHeight="1" x14ac:dyDescent="0.25">
      <c r="M7083"/>
      <c r="N7083"/>
      <c r="O7083"/>
      <c r="P7083" s="216"/>
      <c r="Q7083" s="217"/>
      <c r="R7083" s="217"/>
      <c r="S7083" s="218"/>
    </row>
    <row r="7084" spans="13:19" ht="15" customHeight="1" x14ac:dyDescent="0.25">
      <c r="M7084"/>
      <c r="N7084"/>
      <c r="O7084"/>
      <c r="P7084" s="216"/>
      <c r="Q7084" s="217"/>
      <c r="R7084" s="217"/>
      <c r="S7084" s="218"/>
    </row>
    <row r="7085" spans="13:19" ht="15" customHeight="1" x14ac:dyDescent="0.25">
      <c r="M7085"/>
      <c r="N7085"/>
      <c r="O7085"/>
      <c r="P7085" s="216"/>
      <c r="Q7085" s="217"/>
      <c r="R7085" s="217"/>
      <c r="S7085" s="218"/>
    </row>
    <row r="7086" spans="13:19" ht="15" customHeight="1" x14ac:dyDescent="0.25">
      <c r="M7086"/>
      <c r="N7086"/>
      <c r="O7086"/>
      <c r="P7086" s="216"/>
      <c r="Q7086" s="217"/>
      <c r="R7086" s="217"/>
      <c r="S7086" s="218"/>
    </row>
    <row r="7087" spans="13:19" ht="15" customHeight="1" x14ac:dyDescent="0.25">
      <c r="M7087"/>
      <c r="N7087"/>
      <c r="O7087"/>
      <c r="P7087" s="216"/>
      <c r="Q7087" s="217"/>
      <c r="R7087" s="217"/>
      <c r="S7087" s="218"/>
    </row>
    <row r="7088" spans="13:19" ht="15" customHeight="1" x14ac:dyDescent="0.25">
      <c r="M7088"/>
      <c r="N7088"/>
      <c r="O7088"/>
      <c r="P7088" s="216"/>
      <c r="Q7088" s="217"/>
      <c r="R7088" s="217"/>
      <c r="S7088" s="218"/>
    </row>
    <row r="7089" spans="13:19" ht="15" customHeight="1" x14ac:dyDescent="0.25">
      <c r="M7089"/>
      <c r="N7089"/>
      <c r="O7089"/>
      <c r="P7089" s="216"/>
      <c r="Q7089" s="217"/>
      <c r="R7089" s="217"/>
      <c r="S7089" s="218"/>
    </row>
    <row r="7090" spans="13:19" ht="15" customHeight="1" x14ac:dyDescent="0.25">
      <c r="M7090"/>
      <c r="N7090"/>
      <c r="O7090"/>
      <c r="P7090" s="216"/>
      <c r="Q7090" s="217"/>
      <c r="R7090" s="217"/>
      <c r="S7090" s="218"/>
    </row>
    <row r="7091" spans="13:19" ht="15" customHeight="1" x14ac:dyDescent="0.25">
      <c r="M7091"/>
      <c r="N7091"/>
      <c r="O7091"/>
      <c r="P7091" s="216"/>
      <c r="Q7091" s="217"/>
      <c r="R7091" s="217"/>
      <c r="S7091" s="218"/>
    </row>
    <row r="7092" spans="13:19" ht="15" customHeight="1" x14ac:dyDescent="0.25">
      <c r="M7092"/>
      <c r="N7092"/>
      <c r="O7092"/>
      <c r="P7092" s="216"/>
      <c r="Q7092" s="217"/>
      <c r="R7092" s="217"/>
      <c r="S7092" s="218"/>
    </row>
    <row r="7093" spans="13:19" ht="15" customHeight="1" x14ac:dyDescent="0.25">
      <c r="M7093"/>
      <c r="N7093"/>
      <c r="O7093"/>
      <c r="P7093" s="216"/>
      <c r="Q7093" s="217"/>
      <c r="R7093" s="217"/>
      <c r="S7093" s="218"/>
    </row>
    <row r="7094" spans="13:19" ht="15" customHeight="1" x14ac:dyDescent="0.25">
      <c r="M7094"/>
      <c r="N7094"/>
      <c r="O7094"/>
      <c r="P7094" s="216"/>
      <c r="Q7094" s="217"/>
      <c r="R7094" s="217"/>
      <c r="S7094" s="218"/>
    </row>
    <row r="7095" spans="13:19" ht="15" customHeight="1" x14ac:dyDescent="0.25">
      <c r="M7095"/>
      <c r="N7095"/>
      <c r="O7095"/>
      <c r="P7095" s="216"/>
      <c r="Q7095" s="217"/>
      <c r="R7095" s="217"/>
      <c r="S7095" s="218"/>
    </row>
    <row r="7096" spans="13:19" ht="15" customHeight="1" x14ac:dyDescent="0.25">
      <c r="M7096"/>
      <c r="N7096"/>
      <c r="O7096"/>
      <c r="P7096" s="216"/>
      <c r="Q7096" s="217"/>
      <c r="R7096" s="217"/>
      <c r="S7096" s="218"/>
    </row>
    <row r="7097" spans="13:19" ht="15" customHeight="1" x14ac:dyDescent="0.25">
      <c r="M7097"/>
      <c r="N7097"/>
      <c r="O7097"/>
      <c r="P7097" s="216"/>
      <c r="Q7097" s="217"/>
      <c r="R7097" s="217"/>
      <c r="S7097" s="218"/>
    </row>
    <row r="7098" spans="13:19" ht="15" customHeight="1" x14ac:dyDescent="0.25">
      <c r="M7098"/>
      <c r="N7098"/>
      <c r="O7098"/>
      <c r="P7098" s="216"/>
      <c r="Q7098" s="217"/>
      <c r="R7098" s="217"/>
      <c r="S7098" s="218"/>
    </row>
    <row r="7099" spans="13:19" ht="15" customHeight="1" x14ac:dyDescent="0.25">
      <c r="M7099"/>
      <c r="N7099"/>
      <c r="O7099"/>
      <c r="P7099" s="216"/>
      <c r="Q7099" s="217"/>
      <c r="R7099" s="217"/>
      <c r="S7099" s="218"/>
    </row>
    <row r="7100" spans="13:19" ht="15" customHeight="1" x14ac:dyDescent="0.25">
      <c r="M7100"/>
      <c r="N7100"/>
      <c r="O7100"/>
      <c r="P7100" s="216"/>
      <c r="Q7100" s="217"/>
      <c r="R7100" s="217"/>
      <c r="S7100" s="218"/>
    </row>
    <row r="7101" spans="13:19" ht="15" customHeight="1" x14ac:dyDescent="0.25">
      <c r="M7101"/>
      <c r="N7101"/>
      <c r="O7101"/>
      <c r="P7101" s="216"/>
      <c r="Q7101" s="217"/>
      <c r="R7101" s="217"/>
      <c r="S7101" s="218"/>
    </row>
    <row r="7102" spans="13:19" ht="15" customHeight="1" x14ac:dyDescent="0.25">
      <c r="M7102"/>
      <c r="N7102"/>
      <c r="O7102"/>
      <c r="P7102" s="216"/>
      <c r="Q7102" s="217"/>
      <c r="R7102" s="217"/>
      <c r="S7102" s="218"/>
    </row>
    <row r="7103" spans="13:19" ht="15" customHeight="1" x14ac:dyDescent="0.25">
      <c r="M7103"/>
      <c r="N7103"/>
      <c r="O7103"/>
      <c r="P7103" s="216"/>
      <c r="Q7103" s="217"/>
      <c r="R7103" s="217"/>
      <c r="S7103" s="218"/>
    </row>
    <row r="7104" spans="13:19" ht="15" customHeight="1" x14ac:dyDescent="0.25">
      <c r="M7104"/>
      <c r="N7104"/>
      <c r="O7104"/>
      <c r="P7104" s="216"/>
      <c r="Q7104" s="217"/>
      <c r="R7104" s="217"/>
      <c r="S7104" s="218"/>
    </row>
    <row r="7105" spans="13:19" ht="15" customHeight="1" x14ac:dyDescent="0.25">
      <c r="M7105"/>
      <c r="N7105"/>
      <c r="O7105"/>
      <c r="P7105" s="216"/>
      <c r="Q7105" s="217"/>
      <c r="R7105" s="217"/>
      <c r="S7105" s="218"/>
    </row>
    <row r="7106" spans="13:19" ht="15" customHeight="1" x14ac:dyDescent="0.25">
      <c r="M7106"/>
      <c r="N7106"/>
      <c r="O7106"/>
      <c r="P7106" s="216"/>
      <c r="Q7106" s="217"/>
      <c r="R7106" s="217"/>
      <c r="S7106" s="218"/>
    </row>
    <row r="7107" spans="13:19" ht="15" customHeight="1" x14ac:dyDescent="0.25">
      <c r="M7107"/>
      <c r="N7107"/>
      <c r="O7107"/>
      <c r="P7107" s="216"/>
      <c r="Q7107" s="217"/>
      <c r="R7107" s="217"/>
      <c r="S7107" s="218"/>
    </row>
    <row r="7108" spans="13:19" ht="15" customHeight="1" x14ac:dyDescent="0.25">
      <c r="M7108"/>
      <c r="N7108"/>
      <c r="O7108"/>
      <c r="P7108" s="216"/>
      <c r="Q7108" s="217"/>
      <c r="R7108" s="217"/>
      <c r="S7108" s="218"/>
    </row>
    <row r="7109" spans="13:19" ht="15" customHeight="1" x14ac:dyDescent="0.25">
      <c r="M7109"/>
      <c r="N7109"/>
      <c r="O7109"/>
      <c r="P7109" s="216"/>
      <c r="Q7109" s="217"/>
      <c r="R7109" s="217"/>
      <c r="S7109" s="218"/>
    </row>
    <row r="7110" spans="13:19" ht="15" customHeight="1" x14ac:dyDescent="0.25">
      <c r="M7110"/>
      <c r="N7110"/>
      <c r="O7110"/>
      <c r="P7110" s="216"/>
      <c r="Q7110" s="217"/>
      <c r="R7110" s="217"/>
      <c r="S7110" s="218"/>
    </row>
    <row r="7111" spans="13:19" ht="15" customHeight="1" x14ac:dyDescent="0.25">
      <c r="M7111"/>
      <c r="N7111"/>
      <c r="O7111"/>
      <c r="P7111" s="216"/>
      <c r="Q7111" s="217"/>
      <c r="R7111" s="217"/>
      <c r="S7111" s="218"/>
    </row>
    <row r="7112" spans="13:19" ht="15" customHeight="1" x14ac:dyDescent="0.25">
      <c r="M7112"/>
      <c r="N7112"/>
      <c r="O7112"/>
      <c r="P7112" s="216"/>
      <c r="Q7112" s="217"/>
      <c r="R7112" s="217"/>
      <c r="S7112" s="218"/>
    </row>
    <row r="7113" spans="13:19" ht="15" customHeight="1" x14ac:dyDescent="0.25">
      <c r="M7113"/>
      <c r="N7113"/>
      <c r="O7113"/>
      <c r="P7113" s="216"/>
      <c r="Q7113" s="217"/>
      <c r="R7113" s="217"/>
      <c r="S7113" s="218"/>
    </row>
    <row r="7114" spans="13:19" ht="15" customHeight="1" x14ac:dyDescent="0.25">
      <c r="M7114"/>
      <c r="N7114"/>
      <c r="O7114"/>
      <c r="P7114" s="216"/>
      <c r="Q7114" s="217"/>
      <c r="R7114" s="217"/>
      <c r="S7114" s="218"/>
    </row>
    <row r="7115" spans="13:19" ht="15" customHeight="1" x14ac:dyDescent="0.25">
      <c r="M7115"/>
      <c r="N7115"/>
      <c r="O7115"/>
      <c r="P7115" s="216"/>
      <c r="Q7115" s="217"/>
      <c r="R7115" s="217"/>
      <c r="S7115" s="218"/>
    </row>
    <row r="7116" spans="13:19" ht="15" customHeight="1" x14ac:dyDescent="0.25">
      <c r="M7116"/>
      <c r="N7116"/>
      <c r="O7116"/>
      <c r="P7116" s="216"/>
      <c r="Q7116" s="217"/>
      <c r="R7116" s="217"/>
      <c r="S7116" s="218"/>
    </row>
    <row r="7117" spans="13:19" ht="15" customHeight="1" x14ac:dyDescent="0.25">
      <c r="M7117"/>
      <c r="N7117"/>
      <c r="O7117"/>
      <c r="P7117" s="216"/>
      <c r="Q7117" s="217"/>
      <c r="R7117" s="217"/>
      <c r="S7117" s="218"/>
    </row>
    <row r="7118" spans="13:19" ht="15" customHeight="1" x14ac:dyDescent="0.25">
      <c r="M7118"/>
      <c r="N7118"/>
      <c r="O7118"/>
      <c r="P7118" s="216"/>
      <c r="Q7118" s="217"/>
      <c r="R7118" s="217"/>
      <c r="S7118" s="218"/>
    </row>
    <row r="7119" spans="13:19" ht="15" customHeight="1" x14ac:dyDescent="0.25">
      <c r="M7119"/>
      <c r="N7119"/>
      <c r="O7119"/>
      <c r="P7119" s="216"/>
      <c r="Q7119" s="217"/>
      <c r="R7119" s="217"/>
      <c r="S7119" s="218"/>
    </row>
    <row r="7120" spans="13:19" ht="15" customHeight="1" x14ac:dyDescent="0.25">
      <c r="M7120"/>
      <c r="N7120"/>
      <c r="O7120"/>
      <c r="P7120" s="216"/>
      <c r="Q7120" s="217"/>
      <c r="R7120" s="217"/>
      <c r="S7120" s="218"/>
    </row>
    <row r="7121" spans="13:19" ht="15" customHeight="1" x14ac:dyDescent="0.25">
      <c r="M7121"/>
      <c r="N7121"/>
      <c r="O7121"/>
      <c r="P7121" s="216"/>
      <c r="Q7121" s="217"/>
      <c r="R7121" s="217"/>
      <c r="S7121" s="218"/>
    </row>
    <row r="7122" spans="13:19" ht="15" customHeight="1" x14ac:dyDescent="0.25">
      <c r="M7122"/>
      <c r="N7122"/>
      <c r="O7122"/>
      <c r="P7122" s="216"/>
      <c r="Q7122" s="217"/>
      <c r="R7122" s="217"/>
      <c r="S7122" s="218"/>
    </row>
    <row r="7123" spans="13:19" ht="15" customHeight="1" x14ac:dyDescent="0.25">
      <c r="M7123"/>
      <c r="N7123"/>
      <c r="O7123"/>
      <c r="P7123" s="216"/>
      <c r="Q7123" s="217"/>
      <c r="R7123" s="217"/>
      <c r="S7123" s="218"/>
    </row>
    <row r="7124" spans="13:19" ht="15" customHeight="1" x14ac:dyDescent="0.25">
      <c r="M7124"/>
      <c r="N7124"/>
      <c r="O7124"/>
      <c r="P7124" s="216"/>
      <c r="Q7124" s="217"/>
      <c r="R7124" s="217"/>
      <c r="S7124" s="218"/>
    </row>
    <row r="7125" spans="13:19" ht="15" customHeight="1" x14ac:dyDescent="0.25">
      <c r="M7125"/>
      <c r="N7125"/>
      <c r="O7125"/>
      <c r="P7125" s="216"/>
      <c r="Q7125" s="217"/>
      <c r="R7125" s="217"/>
      <c r="S7125" s="218"/>
    </row>
    <row r="7126" spans="13:19" ht="15" customHeight="1" x14ac:dyDescent="0.25">
      <c r="M7126"/>
      <c r="N7126"/>
      <c r="O7126"/>
      <c r="P7126" s="216"/>
      <c r="Q7126" s="217"/>
      <c r="R7126" s="217"/>
      <c r="S7126" s="218"/>
    </row>
    <row r="7127" spans="13:19" ht="15" customHeight="1" x14ac:dyDescent="0.25">
      <c r="M7127"/>
      <c r="N7127"/>
      <c r="O7127"/>
      <c r="P7127" s="216"/>
      <c r="Q7127" s="217"/>
      <c r="R7127" s="217"/>
      <c r="S7127" s="218"/>
    </row>
    <row r="7128" spans="13:19" ht="15" customHeight="1" x14ac:dyDescent="0.25">
      <c r="M7128"/>
      <c r="N7128"/>
      <c r="O7128"/>
      <c r="P7128" s="216"/>
      <c r="Q7128" s="217"/>
      <c r="R7128" s="217"/>
      <c r="S7128" s="218"/>
    </row>
    <row r="7129" spans="13:19" ht="15" customHeight="1" x14ac:dyDescent="0.25">
      <c r="M7129"/>
      <c r="N7129"/>
      <c r="O7129"/>
      <c r="P7129" s="216"/>
      <c r="Q7129" s="217"/>
      <c r="R7129" s="217"/>
      <c r="S7129" s="218"/>
    </row>
    <row r="7130" spans="13:19" ht="15" customHeight="1" x14ac:dyDescent="0.25">
      <c r="M7130"/>
      <c r="N7130"/>
      <c r="O7130"/>
      <c r="P7130" s="216"/>
      <c r="Q7130" s="217"/>
      <c r="R7130" s="217"/>
      <c r="S7130" s="218"/>
    </row>
    <row r="7131" spans="13:19" ht="15" customHeight="1" x14ac:dyDescent="0.25">
      <c r="M7131"/>
      <c r="N7131"/>
      <c r="O7131"/>
      <c r="P7131" s="216"/>
      <c r="Q7131" s="217"/>
      <c r="R7131" s="217"/>
      <c r="S7131" s="218"/>
    </row>
    <row r="7132" spans="13:19" ht="15" customHeight="1" x14ac:dyDescent="0.25">
      <c r="M7132"/>
      <c r="N7132"/>
      <c r="O7132"/>
      <c r="P7132" s="216"/>
      <c r="Q7132" s="217"/>
      <c r="R7132" s="217"/>
      <c r="S7132" s="218"/>
    </row>
    <row r="7133" spans="13:19" ht="15" customHeight="1" x14ac:dyDescent="0.25">
      <c r="M7133"/>
      <c r="N7133"/>
      <c r="O7133"/>
      <c r="P7133" s="216"/>
      <c r="Q7133" s="217"/>
      <c r="R7133" s="217"/>
      <c r="S7133" s="218"/>
    </row>
    <row r="7134" spans="13:19" ht="15" customHeight="1" x14ac:dyDescent="0.25">
      <c r="M7134"/>
      <c r="N7134"/>
      <c r="O7134"/>
      <c r="P7134" s="216"/>
      <c r="Q7134" s="217"/>
      <c r="R7134" s="217"/>
      <c r="S7134" s="218"/>
    </row>
    <row r="7135" spans="13:19" ht="15" customHeight="1" x14ac:dyDescent="0.25">
      <c r="M7135"/>
      <c r="N7135"/>
      <c r="O7135"/>
      <c r="P7135" s="216"/>
      <c r="Q7135" s="217"/>
      <c r="R7135" s="217"/>
      <c r="S7135" s="218"/>
    </row>
    <row r="7136" spans="13:19" ht="15" customHeight="1" x14ac:dyDescent="0.25">
      <c r="M7136"/>
      <c r="N7136"/>
      <c r="O7136"/>
      <c r="P7136" s="216"/>
      <c r="Q7136" s="217"/>
      <c r="R7136" s="217"/>
      <c r="S7136" s="218"/>
    </row>
    <row r="7137" spans="13:19" ht="15" customHeight="1" x14ac:dyDescent="0.25">
      <c r="M7137"/>
      <c r="N7137"/>
      <c r="O7137"/>
      <c r="P7137" s="216"/>
      <c r="Q7137" s="217"/>
      <c r="R7137" s="217"/>
      <c r="S7137" s="218"/>
    </row>
    <row r="7138" spans="13:19" ht="15" customHeight="1" x14ac:dyDescent="0.25">
      <c r="M7138"/>
      <c r="N7138"/>
      <c r="O7138"/>
      <c r="P7138" s="216"/>
      <c r="Q7138" s="217"/>
      <c r="R7138" s="217"/>
      <c r="S7138" s="218"/>
    </row>
    <row r="7139" spans="13:19" ht="15" customHeight="1" x14ac:dyDescent="0.25">
      <c r="M7139"/>
      <c r="N7139"/>
      <c r="O7139"/>
      <c r="P7139" s="216"/>
      <c r="Q7139" s="217"/>
      <c r="R7139" s="217"/>
      <c r="S7139" s="218"/>
    </row>
    <row r="7140" spans="13:19" ht="15" customHeight="1" x14ac:dyDescent="0.25">
      <c r="M7140"/>
      <c r="N7140"/>
      <c r="O7140"/>
      <c r="P7140" s="216"/>
      <c r="Q7140" s="217"/>
      <c r="R7140" s="217"/>
      <c r="S7140" s="218"/>
    </row>
    <row r="7141" spans="13:19" ht="15" customHeight="1" x14ac:dyDescent="0.25">
      <c r="M7141"/>
      <c r="N7141"/>
      <c r="O7141"/>
      <c r="P7141" s="216"/>
      <c r="Q7141" s="217"/>
      <c r="R7141" s="217"/>
      <c r="S7141" s="218"/>
    </row>
    <row r="7142" spans="13:19" ht="15" customHeight="1" x14ac:dyDescent="0.25">
      <c r="M7142"/>
      <c r="N7142"/>
      <c r="O7142"/>
      <c r="P7142" s="216"/>
      <c r="Q7142" s="217"/>
      <c r="R7142" s="217"/>
      <c r="S7142" s="218"/>
    </row>
    <row r="7143" spans="13:19" ht="15" customHeight="1" x14ac:dyDescent="0.25">
      <c r="M7143"/>
      <c r="N7143"/>
      <c r="O7143"/>
      <c r="P7143" s="216"/>
      <c r="Q7143" s="217"/>
      <c r="R7143" s="217"/>
      <c r="S7143" s="218"/>
    </row>
    <row r="7144" spans="13:19" ht="15" customHeight="1" x14ac:dyDescent="0.25">
      <c r="M7144"/>
      <c r="N7144"/>
      <c r="O7144"/>
      <c r="P7144" s="216"/>
      <c r="Q7144" s="217"/>
      <c r="R7144" s="217"/>
      <c r="S7144" s="218"/>
    </row>
    <row r="7145" spans="13:19" ht="15" customHeight="1" x14ac:dyDescent="0.25">
      <c r="M7145"/>
      <c r="N7145"/>
      <c r="O7145"/>
      <c r="P7145" s="216"/>
      <c r="Q7145" s="217"/>
      <c r="R7145" s="217"/>
      <c r="S7145" s="218"/>
    </row>
    <row r="7146" spans="13:19" ht="15" customHeight="1" x14ac:dyDescent="0.25">
      <c r="M7146"/>
      <c r="N7146"/>
      <c r="O7146"/>
      <c r="P7146" s="216"/>
      <c r="Q7146" s="217"/>
      <c r="R7146" s="217"/>
      <c r="S7146" s="218"/>
    </row>
    <row r="7147" spans="13:19" ht="15" customHeight="1" x14ac:dyDescent="0.25">
      <c r="M7147"/>
      <c r="N7147"/>
      <c r="O7147"/>
      <c r="P7147" s="216"/>
      <c r="Q7147" s="217"/>
      <c r="R7147" s="217"/>
      <c r="S7147" s="218"/>
    </row>
    <row r="7148" spans="13:19" ht="15" customHeight="1" x14ac:dyDescent="0.25">
      <c r="M7148"/>
      <c r="N7148"/>
      <c r="O7148"/>
      <c r="P7148" s="216"/>
      <c r="Q7148" s="217"/>
      <c r="R7148" s="217"/>
      <c r="S7148" s="218"/>
    </row>
    <row r="7149" spans="13:19" ht="15" customHeight="1" x14ac:dyDescent="0.25">
      <c r="M7149"/>
      <c r="N7149"/>
      <c r="O7149"/>
      <c r="P7149" s="216"/>
      <c r="Q7149" s="217"/>
      <c r="R7149" s="217"/>
      <c r="S7149" s="218"/>
    </row>
    <row r="7150" spans="13:19" ht="15" customHeight="1" x14ac:dyDescent="0.25">
      <c r="M7150"/>
      <c r="N7150"/>
      <c r="O7150"/>
      <c r="P7150" s="216"/>
      <c r="Q7150" s="217"/>
      <c r="R7150" s="217"/>
      <c r="S7150" s="218"/>
    </row>
    <row r="7151" spans="13:19" ht="15" customHeight="1" x14ac:dyDescent="0.25">
      <c r="M7151"/>
      <c r="N7151"/>
      <c r="O7151"/>
      <c r="P7151" s="216"/>
      <c r="Q7151" s="217"/>
      <c r="R7151" s="217"/>
      <c r="S7151" s="218"/>
    </row>
    <row r="7152" spans="13:19" ht="15" customHeight="1" x14ac:dyDescent="0.25">
      <c r="M7152"/>
      <c r="N7152"/>
      <c r="O7152"/>
      <c r="P7152" s="216"/>
      <c r="Q7152" s="217"/>
      <c r="R7152" s="217"/>
      <c r="S7152" s="218"/>
    </row>
    <row r="7153" spans="13:19" ht="15" customHeight="1" x14ac:dyDescent="0.25">
      <c r="M7153"/>
      <c r="N7153"/>
      <c r="O7153"/>
      <c r="P7153" s="216"/>
      <c r="Q7153" s="217"/>
      <c r="R7153" s="217"/>
      <c r="S7153" s="218"/>
    </row>
    <row r="7154" spans="13:19" ht="15" customHeight="1" x14ac:dyDescent="0.25">
      <c r="M7154"/>
      <c r="N7154"/>
      <c r="O7154"/>
      <c r="P7154" s="216"/>
      <c r="Q7154" s="217"/>
      <c r="R7154" s="217"/>
      <c r="S7154" s="218"/>
    </row>
    <row r="7155" spans="13:19" ht="15" customHeight="1" x14ac:dyDescent="0.25">
      <c r="M7155"/>
      <c r="N7155"/>
      <c r="O7155"/>
      <c r="P7155" s="216"/>
      <c r="Q7155" s="217"/>
      <c r="R7155" s="217"/>
      <c r="S7155" s="218"/>
    </row>
    <row r="7156" spans="13:19" ht="15" customHeight="1" x14ac:dyDescent="0.25">
      <c r="M7156"/>
      <c r="N7156"/>
      <c r="O7156"/>
      <c r="P7156" s="216"/>
      <c r="Q7156" s="217"/>
      <c r="R7156" s="217"/>
      <c r="S7156" s="218"/>
    </row>
    <row r="7157" spans="13:19" ht="15" customHeight="1" x14ac:dyDescent="0.25">
      <c r="M7157"/>
      <c r="N7157"/>
      <c r="O7157"/>
      <c r="P7157" s="216"/>
      <c r="Q7157" s="217"/>
      <c r="R7157" s="217"/>
      <c r="S7157" s="218"/>
    </row>
    <row r="7158" spans="13:19" ht="15" customHeight="1" x14ac:dyDescent="0.25">
      <c r="M7158"/>
      <c r="N7158"/>
      <c r="O7158"/>
      <c r="P7158" s="216"/>
      <c r="Q7158" s="217"/>
      <c r="R7158" s="217"/>
      <c r="S7158" s="218"/>
    </row>
    <row r="7159" spans="13:19" ht="15" customHeight="1" x14ac:dyDescent="0.25">
      <c r="M7159"/>
      <c r="N7159"/>
      <c r="O7159"/>
      <c r="P7159" s="216"/>
      <c r="Q7159" s="217"/>
      <c r="R7159" s="217"/>
      <c r="S7159" s="218"/>
    </row>
    <row r="7160" spans="13:19" ht="15" customHeight="1" x14ac:dyDescent="0.25">
      <c r="M7160"/>
      <c r="N7160"/>
      <c r="O7160"/>
      <c r="P7160" s="216"/>
      <c r="Q7160" s="217"/>
      <c r="R7160" s="217"/>
      <c r="S7160" s="218"/>
    </row>
    <row r="7161" spans="13:19" ht="15" customHeight="1" x14ac:dyDescent="0.25">
      <c r="M7161"/>
      <c r="N7161"/>
      <c r="O7161"/>
      <c r="P7161" s="216"/>
      <c r="Q7161" s="217"/>
      <c r="R7161" s="217"/>
      <c r="S7161" s="218"/>
    </row>
    <row r="7162" spans="13:19" ht="15" customHeight="1" x14ac:dyDescent="0.25">
      <c r="M7162"/>
      <c r="N7162"/>
      <c r="O7162"/>
      <c r="P7162" s="216"/>
      <c r="Q7162" s="217"/>
      <c r="R7162" s="217"/>
      <c r="S7162" s="218"/>
    </row>
    <row r="7163" spans="13:19" ht="15" customHeight="1" x14ac:dyDescent="0.25">
      <c r="M7163"/>
      <c r="N7163"/>
      <c r="O7163"/>
      <c r="P7163" s="216"/>
      <c r="Q7163" s="217"/>
      <c r="R7163" s="217"/>
      <c r="S7163" s="218"/>
    </row>
    <row r="7164" spans="13:19" ht="15" customHeight="1" x14ac:dyDescent="0.25">
      <c r="M7164"/>
      <c r="N7164"/>
      <c r="O7164"/>
      <c r="P7164" s="216"/>
      <c r="Q7164" s="217"/>
      <c r="R7164" s="217"/>
      <c r="S7164" s="218"/>
    </row>
    <row r="7165" spans="13:19" ht="15" customHeight="1" x14ac:dyDescent="0.25">
      <c r="M7165"/>
      <c r="N7165"/>
      <c r="O7165"/>
      <c r="P7165" s="216"/>
      <c r="Q7165" s="217"/>
      <c r="R7165" s="217"/>
      <c r="S7165" s="218"/>
    </row>
    <row r="7166" spans="13:19" ht="15" customHeight="1" x14ac:dyDescent="0.25">
      <c r="M7166"/>
      <c r="N7166"/>
      <c r="O7166"/>
      <c r="P7166" s="216"/>
      <c r="Q7166" s="217"/>
      <c r="R7166" s="217"/>
      <c r="S7166" s="218"/>
    </row>
    <row r="7167" spans="13:19" ht="15" customHeight="1" x14ac:dyDescent="0.25">
      <c r="M7167"/>
      <c r="N7167"/>
      <c r="O7167"/>
      <c r="P7167" s="216"/>
      <c r="Q7167" s="217"/>
      <c r="R7167" s="217"/>
      <c r="S7167" s="218"/>
    </row>
    <row r="7168" spans="13:19" ht="15" customHeight="1" x14ac:dyDescent="0.25">
      <c r="M7168"/>
      <c r="N7168"/>
      <c r="O7168"/>
      <c r="P7168" s="216"/>
      <c r="Q7168" s="217"/>
      <c r="R7168" s="217"/>
      <c r="S7168" s="218"/>
    </row>
    <row r="7169" spans="13:19" ht="15" customHeight="1" x14ac:dyDescent="0.25">
      <c r="M7169"/>
      <c r="N7169"/>
      <c r="O7169"/>
      <c r="P7169" s="216"/>
      <c r="Q7169" s="217"/>
      <c r="R7169" s="217"/>
      <c r="S7169" s="218"/>
    </row>
    <row r="7170" spans="13:19" ht="15" customHeight="1" x14ac:dyDescent="0.25">
      <c r="M7170"/>
      <c r="N7170"/>
      <c r="O7170"/>
      <c r="P7170" s="216"/>
      <c r="Q7170" s="217"/>
      <c r="R7170" s="217"/>
      <c r="S7170" s="218"/>
    </row>
    <row r="7171" spans="13:19" ht="15" customHeight="1" x14ac:dyDescent="0.25">
      <c r="M7171"/>
      <c r="N7171"/>
      <c r="O7171"/>
      <c r="P7171" s="216"/>
      <c r="Q7171" s="217"/>
      <c r="R7171" s="217"/>
      <c r="S7171" s="218"/>
    </row>
    <row r="7172" spans="13:19" ht="15" customHeight="1" x14ac:dyDescent="0.25">
      <c r="M7172"/>
      <c r="N7172"/>
      <c r="O7172"/>
      <c r="P7172" s="216"/>
      <c r="Q7172" s="217"/>
      <c r="R7172" s="217"/>
      <c r="S7172" s="218"/>
    </row>
    <row r="7173" spans="13:19" ht="15" customHeight="1" x14ac:dyDescent="0.25">
      <c r="M7173"/>
      <c r="N7173"/>
      <c r="O7173"/>
      <c r="P7173" s="216"/>
      <c r="Q7173" s="217"/>
      <c r="R7173" s="217"/>
      <c r="S7173" s="218"/>
    </row>
    <row r="7174" spans="13:19" ht="15" customHeight="1" x14ac:dyDescent="0.25">
      <c r="M7174"/>
      <c r="N7174"/>
      <c r="O7174"/>
      <c r="P7174" s="216"/>
      <c r="Q7174" s="217"/>
      <c r="R7174" s="217"/>
      <c r="S7174" s="218"/>
    </row>
    <row r="7175" spans="13:19" ht="15" customHeight="1" x14ac:dyDescent="0.25">
      <c r="M7175"/>
      <c r="N7175"/>
      <c r="O7175"/>
      <c r="P7175" s="216"/>
      <c r="Q7175" s="217"/>
      <c r="R7175" s="217"/>
      <c r="S7175" s="218"/>
    </row>
    <row r="7176" spans="13:19" ht="15" customHeight="1" x14ac:dyDescent="0.25">
      <c r="M7176"/>
      <c r="N7176"/>
      <c r="O7176"/>
      <c r="P7176" s="216"/>
      <c r="Q7176" s="217"/>
      <c r="R7176" s="217"/>
      <c r="S7176" s="218"/>
    </row>
    <row r="7177" spans="13:19" ht="15" customHeight="1" x14ac:dyDescent="0.25">
      <c r="M7177"/>
      <c r="N7177"/>
      <c r="O7177"/>
      <c r="P7177" s="216"/>
      <c r="Q7177" s="217"/>
      <c r="R7177" s="217"/>
      <c r="S7177" s="218"/>
    </row>
    <row r="7178" spans="13:19" ht="15" customHeight="1" x14ac:dyDescent="0.25">
      <c r="M7178"/>
      <c r="N7178"/>
      <c r="O7178"/>
      <c r="P7178" s="216"/>
      <c r="Q7178" s="217"/>
      <c r="R7178" s="217"/>
      <c r="S7178" s="218"/>
    </row>
    <row r="7179" spans="13:19" ht="15" customHeight="1" x14ac:dyDescent="0.25">
      <c r="M7179"/>
      <c r="N7179"/>
      <c r="O7179"/>
      <c r="P7179" s="216"/>
      <c r="Q7179" s="217"/>
      <c r="R7179" s="217"/>
      <c r="S7179" s="218"/>
    </row>
    <row r="7180" spans="13:19" ht="15" customHeight="1" x14ac:dyDescent="0.25">
      <c r="M7180"/>
      <c r="N7180"/>
      <c r="O7180"/>
      <c r="P7180" s="216"/>
      <c r="Q7180" s="217"/>
      <c r="R7180" s="217"/>
      <c r="S7180" s="218"/>
    </row>
    <row r="7181" spans="13:19" ht="15" customHeight="1" x14ac:dyDescent="0.25">
      <c r="M7181"/>
      <c r="N7181"/>
      <c r="O7181"/>
      <c r="P7181" s="216"/>
      <c r="Q7181" s="217"/>
      <c r="R7181" s="217"/>
      <c r="S7181" s="218"/>
    </row>
    <row r="7182" spans="13:19" ht="15" customHeight="1" x14ac:dyDescent="0.25">
      <c r="M7182"/>
      <c r="N7182"/>
      <c r="O7182"/>
      <c r="P7182" s="216"/>
      <c r="Q7182" s="217"/>
      <c r="R7182" s="217"/>
      <c r="S7182" s="218"/>
    </row>
    <row r="7183" spans="13:19" ht="15" customHeight="1" x14ac:dyDescent="0.25">
      <c r="M7183"/>
      <c r="N7183"/>
      <c r="O7183"/>
      <c r="P7183" s="216"/>
      <c r="Q7183" s="217"/>
      <c r="R7183" s="217"/>
      <c r="S7183" s="218"/>
    </row>
    <row r="7184" spans="13:19" ht="15" customHeight="1" x14ac:dyDescent="0.25">
      <c r="M7184"/>
      <c r="N7184"/>
      <c r="O7184"/>
      <c r="P7184" s="216"/>
      <c r="Q7184" s="217"/>
      <c r="R7184" s="217"/>
      <c r="S7184" s="218"/>
    </row>
    <row r="7185" spans="13:19" ht="15" customHeight="1" x14ac:dyDescent="0.25">
      <c r="M7185"/>
      <c r="N7185"/>
      <c r="O7185"/>
      <c r="P7185" s="216"/>
      <c r="Q7185" s="217"/>
      <c r="R7185" s="217"/>
      <c r="S7185" s="218"/>
    </row>
    <row r="7186" spans="13:19" ht="15" customHeight="1" x14ac:dyDescent="0.25">
      <c r="M7186"/>
      <c r="N7186"/>
      <c r="O7186"/>
      <c r="P7186" s="216"/>
      <c r="Q7186" s="217"/>
      <c r="R7186" s="217"/>
      <c r="S7186" s="218"/>
    </row>
    <row r="7187" spans="13:19" ht="15" customHeight="1" x14ac:dyDescent="0.25">
      <c r="M7187"/>
      <c r="N7187"/>
      <c r="O7187"/>
      <c r="P7187" s="216"/>
      <c r="Q7187" s="217"/>
      <c r="R7187" s="217"/>
      <c r="S7187" s="218"/>
    </row>
    <row r="7188" spans="13:19" ht="15" customHeight="1" x14ac:dyDescent="0.25">
      <c r="M7188"/>
      <c r="N7188"/>
      <c r="O7188"/>
      <c r="P7188" s="216"/>
      <c r="Q7188" s="217"/>
      <c r="R7188" s="217"/>
      <c r="S7188" s="218"/>
    </row>
    <row r="7189" spans="13:19" ht="15" customHeight="1" x14ac:dyDescent="0.25">
      <c r="M7189"/>
      <c r="N7189"/>
      <c r="O7189"/>
      <c r="P7189" s="216"/>
      <c r="Q7189" s="217"/>
      <c r="R7189" s="217"/>
      <c r="S7189" s="218"/>
    </row>
    <row r="7190" spans="13:19" ht="15" customHeight="1" x14ac:dyDescent="0.25">
      <c r="M7190"/>
      <c r="N7190"/>
      <c r="O7190"/>
      <c r="P7190" s="216"/>
      <c r="Q7190" s="217"/>
      <c r="R7190" s="217"/>
      <c r="S7190" s="218"/>
    </row>
    <row r="7191" spans="13:19" ht="15" customHeight="1" x14ac:dyDescent="0.25">
      <c r="M7191"/>
      <c r="N7191"/>
      <c r="O7191"/>
      <c r="P7191" s="216"/>
      <c r="Q7191" s="217"/>
      <c r="R7191" s="217"/>
      <c r="S7191" s="218"/>
    </row>
    <row r="7192" spans="13:19" ht="15" customHeight="1" x14ac:dyDescent="0.25">
      <c r="M7192"/>
      <c r="N7192"/>
      <c r="O7192"/>
      <c r="P7192" s="216"/>
      <c r="Q7192" s="217"/>
      <c r="R7192" s="217"/>
      <c r="S7192" s="218"/>
    </row>
    <row r="7193" spans="13:19" ht="15" customHeight="1" x14ac:dyDescent="0.25">
      <c r="M7193"/>
      <c r="N7193"/>
      <c r="O7193"/>
      <c r="P7193" s="216"/>
      <c r="Q7193" s="217"/>
      <c r="R7193" s="217"/>
      <c r="S7193" s="218"/>
    </row>
    <row r="7194" spans="13:19" ht="15" customHeight="1" x14ac:dyDescent="0.25">
      <c r="M7194"/>
      <c r="N7194"/>
      <c r="O7194"/>
      <c r="P7194" s="216"/>
      <c r="Q7194" s="217"/>
      <c r="R7194" s="217"/>
      <c r="S7194" s="218"/>
    </row>
    <row r="7195" spans="13:19" ht="15" customHeight="1" x14ac:dyDescent="0.25">
      <c r="M7195"/>
      <c r="N7195"/>
      <c r="O7195"/>
      <c r="P7195" s="216"/>
      <c r="Q7195" s="217"/>
      <c r="R7195" s="217"/>
      <c r="S7195" s="218"/>
    </row>
    <row r="7196" spans="13:19" ht="15" customHeight="1" x14ac:dyDescent="0.25">
      <c r="M7196"/>
      <c r="N7196"/>
      <c r="O7196"/>
      <c r="P7196" s="216"/>
      <c r="Q7196" s="217"/>
      <c r="R7196" s="217"/>
      <c r="S7196" s="218"/>
    </row>
    <row r="7197" spans="13:19" ht="15" customHeight="1" x14ac:dyDescent="0.25">
      <c r="M7197"/>
      <c r="N7197"/>
      <c r="O7197"/>
      <c r="P7197" s="216"/>
      <c r="Q7197" s="217"/>
      <c r="R7197" s="217"/>
      <c r="S7197" s="218"/>
    </row>
    <row r="7198" spans="13:19" ht="15" customHeight="1" x14ac:dyDescent="0.25">
      <c r="M7198"/>
      <c r="N7198"/>
      <c r="O7198"/>
      <c r="P7198" s="216"/>
      <c r="Q7198" s="217"/>
      <c r="R7198" s="217"/>
      <c r="S7198" s="218"/>
    </row>
    <row r="7199" spans="13:19" ht="15" customHeight="1" x14ac:dyDescent="0.25">
      <c r="M7199"/>
      <c r="N7199"/>
      <c r="O7199"/>
      <c r="P7199" s="216"/>
      <c r="Q7199" s="217"/>
      <c r="R7199" s="217"/>
      <c r="S7199" s="218"/>
    </row>
    <row r="7200" spans="13:19" ht="15" customHeight="1" x14ac:dyDescent="0.25">
      <c r="M7200"/>
      <c r="N7200"/>
      <c r="O7200"/>
      <c r="P7200" s="216"/>
      <c r="Q7200" s="217"/>
      <c r="R7200" s="217"/>
      <c r="S7200" s="218"/>
    </row>
    <row r="7201" spans="13:19" ht="15" customHeight="1" x14ac:dyDescent="0.25">
      <c r="M7201"/>
      <c r="N7201"/>
      <c r="O7201"/>
      <c r="P7201" s="216"/>
      <c r="Q7201" s="217"/>
      <c r="R7201" s="217"/>
      <c r="S7201" s="218"/>
    </row>
    <row r="7202" spans="13:19" ht="15" customHeight="1" x14ac:dyDescent="0.25">
      <c r="M7202"/>
      <c r="N7202"/>
      <c r="O7202"/>
      <c r="P7202" s="216"/>
      <c r="Q7202" s="217"/>
      <c r="R7202" s="217"/>
      <c r="S7202" s="218"/>
    </row>
    <row r="7203" spans="13:19" ht="15" customHeight="1" x14ac:dyDescent="0.25">
      <c r="M7203"/>
      <c r="N7203"/>
      <c r="O7203"/>
      <c r="P7203" s="216"/>
      <c r="Q7203" s="217"/>
      <c r="R7203" s="217"/>
      <c r="S7203" s="218"/>
    </row>
    <row r="7204" spans="13:19" ht="15" customHeight="1" x14ac:dyDescent="0.25">
      <c r="M7204"/>
      <c r="N7204"/>
      <c r="O7204"/>
      <c r="P7204" s="216"/>
      <c r="Q7204" s="217"/>
      <c r="R7204" s="217"/>
      <c r="S7204" s="218"/>
    </row>
    <row r="7205" spans="13:19" ht="15" customHeight="1" x14ac:dyDescent="0.25">
      <c r="M7205"/>
      <c r="N7205"/>
      <c r="O7205"/>
      <c r="P7205" s="216"/>
      <c r="Q7205" s="217"/>
      <c r="R7205" s="217"/>
      <c r="S7205" s="218"/>
    </row>
    <row r="7206" spans="13:19" ht="15" customHeight="1" x14ac:dyDescent="0.25">
      <c r="M7206"/>
      <c r="N7206"/>
      <c r="O7206"/>
      <c r="P7206" s="216"/>
      <c r="Q7206" s="217"/>
      <c r="R7206" s="217"/>
      <c r="S7206" s="218"/>
    </row>
    <row r="7207" spans="13:19" ht="15" customHeight="1" x14ac:dyDescent="0.25">
      <c r="M7207"/>
      <c r="N7207"/>
      <c r="O7207"/>
      <c r="P7207" s="216"/>
      <c r="Q7207" s="217"/>
      <c r="R7207" s="217"/>
      <c r="S7207" s="218"/>
    </row>
    <row r="7208" spans="13:19" ht="15" customHeight="1" x14ac:dyDescent="0.25">
      <c r="M7208"/>
      <c r="N7208"/>
      <c r="O7208"/>
      <c r="P7208" s="216"/>
      <c r="Q7208" s="217"/>
      <c r="R7208" s="217"/>
      <c r="S7208" s="218"/>
    </row>
    <row r="7209" spans="13:19" ht="15" customHeight="1" x14ac:dyDescent="0.25">
      <c r="M7209"/>
      <c r="N7209"/>
      <c r="O7209"/>
      <c r="P7209" s="216"/>
      <c r="Q7209" s="217"/>
      <c r="R7209" s="217"/>
      <c r="S7209" s="218"/>
    </row>
    <row r="7210" spans="13:19" ht="15" customHeight="1" x14ac:dyDescent="0.25">
      <c r="M7210"/>
      <c r="N7210"/>
      <c r="O7210"/>
      <c r="P7210" s="216"/>
      <c r="Q7210" s="217"/>
      <c r="R7210" s="217"/>
      <c r="S7210" s="218"/>
    </row>
    <row r="7211" spans="13:19" ht="15" customHeight="1" x14ac:dyDescent="0.25">
      <c r="M7211"/>
      <c r="N7211"/>
      <c r="O7211"/>
      <c r="P7211" s="216"/>
      <c r="Q7211" s="217"/>
      <c r="R7211" s="217"/>
      <c r="S7211" s="218"/>
    </row>
    <row r="7212" spans="13:19" ht="15" customHeight="1" x14ac:dyDescent="0.25">
      <c r="M7212"/>
      <c r="N7212"/>
      <c r="O7212"/>
      <c r="P7212" s="216"/>
      <c r="Q7212" s="217"/>
      <c r="R7212" s="217"/>
      <c r="S7212" s="218"/>
    </row>
    <row r="7213" spans="13:19" ht="15" customHeight="1" x14ac:dyDescent="0.25">
      <c r="M7213"/>
      <c r="N7213"/>
      <c r="O7213"/>
      <c r="P7213" s="216"/>
      <c r="Q7213" s="217"/>
      <c r="R7213" s="217"/>
      <c r="S7213" s="218"/>
    </row>
    <row r="7214" spans="13:19" ht="15" customHeight="1" x14ac:dyDescent="0.25">
      <c r="M7214"/>
      <c r="N7214"/>
      <c r="O7214"/>
      <c r="P7214" s="216"/>
      <c r="Q7214" s="217"/>
      <c r="R7214" s="217"/>
      <c r="S7214" s="218"/>
    </row>
    <row r="7215" spans="13:19" ht="15" customHeight="1" x14ac:dyDescent="0.25">
      <c r="M7215"/>
      <c r="N7215"/>
      <c r="O7215"/>
      <c r="P7215" s="216"/>
      <c r="Q7215" s="217"/>
      <c r="R7215" s="217"/>
      <c r="S7215" s="218"/>
    </row>
    <row r="7216" spans="13:19" ht="15" customHeight="1" x14ac:dyDescent="0.25">
      <c r="M7216"/>
      <c r="N7216"/>
      <c r="O7216"/>
      <c r="P7216" s="216"/>
      <c r="Q7216" s="217"/>
      <c r="R7216" s="217"/>
      <c r="S7216" s="218"/>
    </row>
    <row r="7217" spans="13:19" ht="15" customHeight="1" x14ac:dyDescent="0.25">
      <c r="M7217"/>
      <c r="N7217"/>
      <c r="O7217"/>
      <c r="P7217" s="216"/>
      <c r="Q7217" s="217"/>
      <c r="R7217" s="217"/>
      <c r="S7217" s="218"/>
    </row>
    <row r="7218" spans="13:19" ht="15" customHeight="1" x14ac:dyDescent="0.25">
      <c r="M7218"/>
      <c r="N7218"/>
      <c r="O7218"/>
      <c r="P7218" s="216"/>
      <c r="Q7218" s="217"/>
      <c r="R7218" s="217"/>
      <c r="S7218" s="218"/>
    </row>
    <row r="7219" spans="13:19" ht="15" customHeight="1" x14ac:dyDescent="0.25">
      <c r="M7219"/>
      <c r="N7219"/>
      <c r="O7219"/>
      <c r="P7219" s="216"/>
      <c r="Q7219" s="217"/>
      <c r="R7219" s="217"/>
      <c r="S7219" s="218"/>
    </row>
    <row r="7220" spans="13:19" ht="15" customHeight="1" x14ac:dyDescent="0.25">
      <c r="M7220"/>
      <c r="N7220"/>
      <c r="O7220"/>
      <c r="P7220" s="216"/>
      <c r="Q7220" s="217"/>
      <c r="R7220" s="217"/>
      <c r="S7220" s="218"/>
    </row>
    <row r="7221" spans="13:19" ht="15" customHeight="1" x14ac:dyDescent="0.25">
      <c r="M7221"/>
      <c r="N7221"/>
      <c r="O7221"/>
      <c r="P7221" s="216"/>
      <c r="Q7221" s="217"/>
      <c r="R7221" s="217"/>
      <c r="S7221" s="218"/>
    </row>
    <row r="7222" spans="13:19" ht="15" customHeight="1" x14ac:dyDescent="0.25">
      <c r="M7222"/>
      <c r="N7222"/>
      <c r="O7222"/>
      <c r="P7222" s="216"/>
      <c r="Q7222" s="217"/>
      <c r="R7222" s="217"/>
      <c r="S7222" s="218"/>
    </row>
    <row r="7223" spans="13:19" ht="15" customHeight="1" x14ac:dyDescent="0.25">
      <c r="M7223"/>
      <c r="N7223"/>
      <c r="O7223"/>
      <c r="P7223" s="216"/>
      <c r="Q7223" s="217"/>
      <c r="R7223" s="217"/>
      <c r="S7223" s="218"/>
    </row>
    <row r="7224" spans="13:19" ht="15" customHeight="1" x14ac:dyDescent="0.25">
      <c r="M7224"/>
      <c r="N7224"/>
      <c r="O7224"/>
      <c r="P7224" s="216"/>
      <c r="Q7224" s="217"/>
      <c r="R7224" s="217"/>
      <c r="S7224" s="218"/>
    </row>
    <row r="7225" spans="13:19" ht="15" customHeight="1" x14ac:dyDescent="0.25">
      <c r="M7225"/>
      <c r="N7225"/>
      <c r="O7225"/>
      <c r="P7225" s="216"/>
      <c r="Q7225" s="217"/>
      <c r="R7225" s="217"/>
      <c r="S7225" s="218"/>
    </row>
    <row r="7226" spans="13:19" ht="15" customHeight="1" x14ac:dyDescent="0.25">
      <c r="M7226"/>
      <c r="N7226"/>
      <c r="O7226"/>
      <c r="P7226" s="216"/>
      <c r="Q7226" s="217"/>
      <c r="R7226" s="217"/>
      <c r="S7226" s="218"/>
    </row>
    <row r="7227" spans="13:19" ht="15" customHeight="1" x14ac:dyDescent="0.25">
      <c r="M7227"/>
      <c r="N7227"/>
      <c r="O7227"/>
      <c r="P7227" s="216"/>
      <c r="Q7227" s="217"/>
      <c r="R7227" s="217"/>
      <c r="S7227" s="218"/>
    </row>
    <row r="7228" spans="13:19" ht="15" customHeight="1" x14ac:dyDescent="0.25">
      <c r="M7228"/>
      <c r="N7228"/>
      <c r="O7228"/>
      <c r="P7228" s="216"/>
      <c r="Q7228" s="217"/>
      <c r="R7228" s="217"/>
      <c r="S7228" s="218"/>
    </row>
    <row r="7229" spans="13:19" ht="15" customHeight="1" x14ac:dyDescent="0.25">
      <c r="M7229"/>
      <c r="N7229"/>
      <c r="O7229"/>
      <c r="P7229" s="216"/>
      <c r="Q7229" s="217"/>
      <c r="R7229" s="217"/>
      <c r="S7229" s="218"/>
    </row>
    <row r="7230" spans="13:19" ht="15" customHeight="1" x14ac:dyDescent="0.25">
      <c r="M7230"/>
      <c r="N7230"/>
      <c r="O7230"/>
      <c r="P7230" s="216"/>
      <c r="Q7230" s="217"/>
      <c r="R7230" s="217"/>
      <c r="S7230" s="218"/>
    </row>
    <row r="7231" spans="13:19" ht="15" customHeight="1" x14ac:dyDescent="0.25">
      <c r="M7231"/>
      <c r="N7231"/>
      <c r="O7231"/>
      <c r="P7231" s="216"/>
      <c r="Q7231" s="217"/>
      <c r="R7231" s="217"/>
      <c r="S7231" s="218"/>
    </row>
    <row r="7232" spans="13:19" ht="15" customHeight="1" x14ac:dyDescent="0.25">
      <c r="M7232"/>
      <c r="N7232"/>
      <c r="O7232"/>
      <c r="P7232" s="216"/>
      <c r="Q7232" s="217"/>
      <c r="R7232" s="217"/>
      <c r="S7232" s="218"/>
    </row>
    <row r="7233" spans="13:19" ht="15" customHeight="1" x14ac:dyDescent="0.25">
      <c r="M7233"/>
      <c r="N7233"/>
      <c r="O7233"/>
      <c r="P7233" s="216"/>
      <c r="Q7233" s="217"/>
      <c r="R7233" s="217"/>
      <c r="S7233" s="218"/>
    </row>
    <row r="7234" spans="13:19" ht="15" customHeight="1" x14ac:dyDescent="0.25">
      <c r="M7234"/>
      <c r="N7234"/>
      <c r="O7234"/>
      <c r="P7234" s="216"/>
      <c r="Q7234" s="217"/>
      <c r="R7234" s="217"/>
      <c r="S7234" s="218"/>
    </row>
    <row r="7235" spans="13:19" ht="15" customHeight="1" x14ac:dyDescent="0.25">
      <c r="M7235"/>
      <c r="N7235"/>
      <c r="O7235"/>
      <c r="P7235" s="216"/>
      <c r="Q7235" s="217"/>
      <c r="R7235" s="217"/>
      <c r="S7235" s="218"/>
    </row>
    <row r="7236" spans="13:19" ht="15" customHeight="1" x14ac:dyDescent="0.25">
      <c r="M7236"/>
      <c r="N7236"/>
      <c r="O7236"/>
      <c r="P7236" s="216"/>
      <c r="Q7236" s="217"/>
      <c r="R7236" s="217"/>
      <c r="S7236" s="218"/>
    </row>
    <row r="7237" spans="13:19" ht="15" customHeight="1" x14ac:dyDescent="0.25">
      <c r="M7237"/>
      <c r="N7237"/>
      <c r="O7237"/>
      <c r="P7237" s="216"/>
      <c r="Q7237" s="217"/>
      <c r="R7237" s="217"/>
      <c r="S7237" s="218"/>
    </row>
    <row r="7238" spans="13:19" ht="15" customHeight="1" x14ac:dyDescent="0.25">
      <c r="M7238"/>
      <c r="N7238"/>
      <c r="O7238"/>
      <c r="P7238" s="216"/>
      <c r="Q7238" s="217"/>
      <c r="R7238" s="217"/>
      <c r="S7238" s="218"/>
    </row>
    <row r="7239" spans="13:19" ht="15" customHeight="1" x14ac:dyDescent="0.25">
      <c r="M7239"/>
      <c r="N7239"/>
      <c r="O7239"/>
      <c r="P7239" s="216"/>
      <c r="Q7239" s="217"/>
      <c r="R7239" s="217"/>
      <c r="S7239" s="218"/>
    </row>
    <row r="7240" spans="13:19" ht="15" customHeight="1" x14ac:dyDescent="0.25">
      <c r="M7240"/>
      <c r="N7240"/>
      <c r="O7240"/>
      <c r="P7240" s="216"/>
      <c r="Q7240" s="217"/>
      <c r="R7240" s="217"/>
      <c r="S7240" s="218"/>
    </row>
    <row r="7241" spans="13:19" ht="15" customHeight="1" x14ac:dyDescent="0.25">
      <c r="M7241"/>
      <c r="N7241"/>
      <c r="O7241"/>
      <c r="P7241" s="216"/>
      <c r="Q7241" s="217"/>
      <c r="R7241" s="217"/>
      <c r="S7241" s="218"/>
    </row>
    <row r="7242" spans="13:19" ht="15" customHeight="1" x14ac:dyDescent="0.25">
      <c r="M7242"/>
      <c r="N7242"/>
      <c r="O7242"/>
      <c r="P7242" s="216"/>
      <c r="Q7242" s="217"/>
      <c r="R7242" s="217"/>
      <c r="S7242" s="218"/>
    </row>
    <row r="7243" spans="13:19" ht="15" customHeight="1" x14ac:dyDescent="0.25">
      <c r="M7243"/>
      <c r="N7243"/>
      <c r="O7243"/>
      <c r="P7243" s="216"/>
      <c r="Q7243" s="217"/>
      <c r="R7243" s="217"/>
      <c r="S7243" s="218"/>
    </row>
    <row r="7244" spans="13:19" ht="15" customHeight="1" x14ac:dyDescent="0.25">
      <c r="M7244"/>
      <c r="N7244"/>
      <c r="O7244"/>
      <c r="P7244" s="216"/>
      <c r="Q7244" s="217"/>
      <c r="R7244" s="217"/>
      <c r="S7244" s="218"/>
    </row>
    <row r="7245" spans="13:19" ht="15" customHeight="1" x14ac:dyDescent="0.25">
      <c r="M7245"/>
      <c r="N7245"/>
      <c r="O7245"/>
      <c r="P7245" s="216"/>
      <c r="Q7245" s="217"/>
      <c r="R7245" s="217"/>
      <c r="S7245" s="218"/>
    </row>
    <row r="7246" spans="13:19" ht="15" customHeight="1" x14ac:dyDescent="0.25">
      <c r="M7246"/>
      <c r="N7246"/>
      <c r="O7246"/>
      <c r="P7246" s="216"/>
      <c r="Q7246" s="217"/>
      <c r="R7246" s="217"/>
      <c r="S7246" s="218"/>
    </row>
    <row r="7247" spans="13:19" ht="15" customHeight="1" x14ac:dyDescent="0.25">
      <c r="M7247"/>
      <c r="N7247"/>
      <c r="O7247"/>
      <c r="P7247" s="216"/>
      <c r="Q7247" s="217"/>
      <c r="R7247" s="217"/>
      <c r="S7247" s="218"/>
    </row>
    <row r="7248" spans="13:19" ht="15" customHeight="1" x14ac:dyDescent="0.25">
      <c r="M7248"/>
      <c r="N7248"/>
      <c r="O7248"/>
      <c r="P7248" s="216"/>
      <c r="Q7248" s="217"/>
      <c r="R7248" s="217"/>
      <c r="S7248" s="218"/>
    </row>
    <row r="7249" spans="13:19" ht="15" customHeight="1" x14ac:dyDescent="0.25">
      <c r="M7249"/>
      <c r="N7249"/>
      <c r="O7249"/>
      <c r="P7249" s="216"/>
      <c r="Q7249" s="217"/>
      <c r="R7249" s="217"/>
      <c r="S7249" s="218"/>
    </row>
    <row r="7250" spans="13:19" ht="15" customHeight="1" x14ac:dyDescent="0.25">
      <c r="M7250"/>
      <c r="N7250"/>
      <c r="O7250"/>
      <c r="P7250" s="216"/>
      <c r="Q7250" s="217"/>
      <c r="R7250" s="217"/>
      <c r="S7250" s="218"/>
    </row>
    <row r="7251" spans="13:19" ht="15" customHeight="1" x14ac:dyDescent="0.25">
      <c r="M7251"/>
      <c r="N7251"/>
      <c r="O7251"/>
      <c r="P7251" s="216"/>
      <c r="Q7251" s="217"/>
      <c r="R7251" s="217"/>
      <c r="S7251" s="218"/>
    </row>
    <row r="7252" spans="13:19" ht="15" customHeight="1" x14ac:dyDescent="0.25">
      <c r="M7252"/>
      <c r="N7252"/>
      <c r="O7252"/>
      <c r="P7252" s="216"/>
      <c r="Q7252" s="217"/>
      <c r="R7252" s="217"/>
      <c r="S7252" s="218"/>
    </row>
    <row r="7253" spans="13:19" ht="15" customHeight="1" x14ac:dyDescent="0.25">
      <c r="M7253"/>
      <c r="N7253"/>
      <c r="O7253"/>
      <c r="P7253" s="216"/>
      <c r="Q7253" s="217"/>
      <c r="R7253" s="217"/>
      <c r="S7253" s="218"/>
    </row>
    <row r="7254" spans="13:19" ht="15" customHeight="1" x14ac:dyDescent="0.25">
      <c r="M7254"/>
      <c r="N7254"/>
      <c r="O7254"/>
      <c r="P7254" s="216"/>
      <c r="Q7254" s="217"/>
      <c r="R7254" s="217"/>
      <c r="S7254" s="218"/>
    </row>
    <row r="7255" spans="13:19" ht="15" customHeight="1" x14ac:dyDescent="0.25">
      <c r="M7255"/>
      <c r="N7255"/>
      <c r="O7255"/>
      <c r="P7255" s="216"/>
      <c r="Q7255" s="217"/>
      <c r="R7255" s="217"/>
      <c r="S7255" s="218"/>
    </row>
    <row r="7256" spans="13:19" ht="15" customHeight="1" x14ac:dyDescent="0.25">
      <c r="M7256"/>
      <c r="N7256"/>
      <c r="O7256"/>
      <c r="P7256" s="216"/>
      <c r="Q7256" s="217"/>
      <c r="R7256" s="217"/>
      <c r="S7256" s="218"/>
    </row>
    <row r="7257" spans="13:19" ht="15" customHeight="1" x14ac:dyDescent="0.25">
      <c r="M7257"/>
      <c r="N7257"/>
      <c r="O7257"/>
      <c r="P7257" s="216"/>
      <c r="Q7257" s="217"/>
      <c r="R7257" s="217"/>
      <c r="S7257" s="218"/>
    </row>
    <row r="7258" spans="13:19" ht="15" customHeight="1" x14ac:dyDescent="0.25">
      <c r="M7258"/>
      <c r="N7258"/>
      <c r="O7258"/>
      <c r="P7258" s="216"/>
      <c r="Q7258" s="217"/>
      <c r="R7258" s="217"/>
      <c r="S7258" s="218"/>
    </row>
    <row r="7259" spans="13:19" ht="15" customHeight="1" x14ac:dyDescent="0.25">
      <c r="M7259"/>
      <c r="N7259"/>
      <c r="O7259"/>
      <c r="P7259" s="216"/>
      <c r="Q7259" s="217"/>
      <c r="R7259" s="217"/>
      <c r="S7259" s="218"/>
    </row>
    <row r="7260" spans="13:19" ht="15" customHeight="1" x14ac:dyDescent="0.25">
      <c r="M7260"/>
      <c r="N7260"/>
      <c r="O7260"/>
      <c r="P7260" s="216"/>
      <c r="Q7260" s="217"/>
      <c r="R7260" s="217"/>
      <c r="S7260" s="218"/>
    </row>
    <row r="7261" spans="13:19" ht="15" customHeight="1" x14ac:dyDescent="0.25">
      <c r="M7261"/>
      <c r="N7261"/>
      <c r="O7261"/>
      <c r="P7261" s="216"/>
      <c r="Q7261" s="217"/>
      <c r="R7261" s="217"/>
      <c r="S7261" s="218"/>
    </row>
    <row r="7262" spans="13:19" ht="15" customHeight="1" x14ac:dyDescent="0.25">
      <c r="M7262"/>
      <c r="N7262"/>
      <c r="O7262"/>
      <c r="P7262" s="216"/>
      <c r="Q7262" s="217"/>
      <c r="R7262" s="217"/>
      <c r="S7262" s="218"/>
    </row>
    <row r="7263" spans="13:19" ht="15" customHeight="1" x14ac:dyDescent="0.25">
      <c r="M7263"/>
      <c r="N7263"/>
      <c r="O7263"/>
      <c r="P7263" s="216"/>
      <c r="Q7263" s="217"/>
      <c r="R7263" s="217"/>
      <c r="S7263" s="218"/>
    </row>
    <row r="7264" spans="13:19" ht="15" customHeight="1" x14ac:dyDescent="0.25">
      <c r="M7264"/>
      <c r="N7264"/>
      <c r="O7264"/>
      <c r="P7264" s="216"/>
      <c r="Q7264" s="217"/>
      <c r="R7264" s="217"/>
      <c r="S7264" s="218"/>
    </row>
    <row r="7265" spans="13:19" ht="15" customHeight="1" x14ac:dyDescent="0.25">
      <c r="M7265"/>
      <c r="N7265"/>
      <c r="O7265"/>
      <c r="P7265" s="216"/>
      <c r="Q7265" s="217"/>
      <c r="R7265" s="217"/>
      <c r="S7265" s="218"/>
    </row>
    <row r="7266" spans="13:19" ht="15" customHeight="1" x14ac:dyDescent="0.25">
      <c r="M7266"/>
      <c r="N7266"/>
      <c r="O7266"/>
      <c r="P7266" s="216"/>
      <c r="Q7266" s="217"/>
      <c r="R7266" s="217"/>
      <c r="S7266" s="218"/>
    </row>
    <row r="7267" spans="13:19" ht="15" customHeight="1" x14ac:dyDescent="0.25">
      <c r="M7267"/>
      <c r="N7267"/>
      <c r="O7267"/>
      <c r="P7267" s="216"/>
      <c r="Q7267" s="217"/>
      <c r="R7267" s="217"/>
      <c r="S7267" s="218"/>
    </row>
    <row r="7268" spans="13:19" ht="15" customHeight="1" x14ac:dyDescent="0.25">
      <c r="M7268"/>
      <c r="N7268"/>
      <c r="O7268"/>
      <c r="P7268" s="216"/>
      <c r="Q7268" s="217"/>
      <c r="R7268" s="217"/>
      <c r="S7268" s="218"/>
    </row>
    <row r="7269" spans="13:19" ht="15" customHeight="1" x14ac:dyDescent="0.25">
      <c r="M7269"/>
      <c r="N7269"/>
      <c r="O7269"/>
      <c r="P7269" s="216"/>
      <c r="Q7269" s="217"/>
      <c r="R7269" s="217"/>
      <c r="S7269" s="218"/>
    </row>
    <row r="7270" spans="13:19" ht="15" customHeight="1" x14ac:dyDescent="0.25">
      <c r="M7270"/>
      <c r="N7270"/>
      <c r="O7270"/>
      <c r="P7270" s="216"/>
      <c r="Q7270" s="217"/>
      <c r="R7270" s="217"/>
      <c r="S7270" s="218"/>
    </row>
    <row r="7271" spans="13:19" ht="15" customHeight="1" x14ac:dyDescent="0.25">
      <c r="M7271"/>
      <c r="N7271"/>
      <c r="O7271"/>
      <c r="P7271" s="216"/>
      <c r="Q7271" s="217"/>
      <c r="R7271" s="217"/>
      <c r="S7271" s="218"/>
    </row>
    <row r="7272" spans="13:19" ht="15" customHeight="1" x14ac:dyDescent="0.25">
      <c r="M7272"/>
      <c r="N7272"/>
      <c r="O7272"/>
      <c r="P7272" s="216"/>
      <c r="Q7272" s="217"/>
      <c r="R7272" s="217"/>
      <c r="S7272" s="218"/>
    </row>
    <row r="7273" spans="13:19" ht="15" customHeight="1" x14ac:dyDescent="0.25">
      <c r="M7273"/>
      <c r="N7273"/>
      <c r="O7273"/>
      <c r="P7273" s="216"/>
      <c r="Q7273" s="217"/>
      <c r="R7273" s="217"/>
      <c r="S7273" s="218"/>
    </row>
    <row r="7274" spans="13:19" ht="15" customHeight="1" x14ac:dyDescent="0.25">
      <c r="M7274"/>
      <c r="N7274"/>
      <c r="O7274"/>
      <c r="P7274" s="216"/>
      <c r="Q7274" s="217"/>
      <c r="R7274" s="217"/>
      <c r="S7274" s="218"/>
    </row>
    <row r="7275" spans="13:19" ht="15" customHeight="1" x14ac:dyDescent="0.25">
      <c r="M7275"/>
      <c r="N7275"/>
      <c r="O7275"/>
      <c r="P7275" s="216"/>
      <c r="Q7275" s="217"/>
      <c r="R7275" s="217"/>
      <c r="S7275" s="218"/>
    </row>
    <row r="7276" spans="13:19" ht="15" customHeight="1" x14ac:dyDescent="0.25">
      <c r="M7276"/>
      <c r="N7276"/>
      <c r="O7276"/>
      <c r="P7276" s="216"/>
      <c r="Q7276" s="217"/>
      <c r="R7276" s="217"/>
      <c r="S7276" s="218"/>
    </row>
    <row r="7277" spans="13:19" ht="15" customHeight="1" x14ac:dyDescent="0.25">
      <c r="M7277"/>
      <c r="N7277"/>
      <c r="O7277"/>
      <c r="P7277" s="216"/>
      <c r="Q7277" s="217"/>
      <c r="R7277" s="217"/>
      <c r="S7277" s="218"/>
    </row>
    <row r="7278" spans="13:19" ht="15" customHeight="1" x14ac:dyDescent="0.25">
      <c r="M7278"/>
      <c r="N7278"/>
      <c r="O7278"/>
      <c r="P7278" s="216"/>
      <c r="Q7278" s="217"/>
      <c r="R7278" s="217"/>
      <c r="S7278" s="218"/>
    </row>
    <row r="7279" spans="13:19" ht="15" customHeight="1" x14ac:dyDescent="0.25">
      <c r="M7279"/>
      <c r="N7279"/>
      <c r="O7279"/>
      <c r="P7279" s="216"/>
      <c r="Q7279" s="217"/>
      <c r="R7279" s="217"/>
      <c r="S7279" s="218"/>
    </row>
    <row r="7280" spans="13:19" ht="15" customHeight="1" x14ac:dyDescent="0.25">
      <c r="M7280"/>
      <c r="N7280"/>
      <c r="O7280"/>
      <c r="P7280" s="216"/>
      <c r="Q7280" s="217"/>
      <c r="R7280" s="217"/>
      <c r="S7280" s="218"/>
    </row>
    <row r="7281" spans="13:19" ht="15" customHeight="1" x14ac:dyDescent="0.25">
      <c r="M7281"/>
      <c r="N7281"/>
      <c r="O7281"/>
      <c r="P7281" s="216"/>
      <c r="Q7281" s="217"/>
      <c r="R7281" s="217"/>
      <c r="S7281" s="218"/>
    </row>
    <row r="7282" spans="13:19" ht="15" customHeight="1" x14ac:dyDescent="0.25">
      <c r="M7282"/>
      <c r="N7282"/>
      <c r="O7282"/>
      <c r="P7282" s="216"/>
      <c r="Q7282" s="217"/>
      <c r="R7282" s="217"/>
      <c r="S7282" s="218"/>
    </row>
    <row r="7283" spans="13:19" ht="15" customHeight="1" x14ac:dyDescent="0.25">
      <c r="M7283"/>
      <c r="N7283"/>
      <c r="O7283"/>
      <c r="P7283" s="216"/>
      <c r="Q7283" s="217"/>
      <c r="R7283" s="217"/>
      <c r="S7283" s="218"/>
    </row>
    <row r="7284" spans="13:19" ht="15" customHeight="1" x14ac:dyDescent="0.25">
      <c r="M7284"/>
      <c r="N7284"/>
      <c r="O7284"/>
      <c r="P7284" s="216"/>
      <c r="Q7284" s="217"/>
      <c r="R7284" s="217"/>
      <c r="S7284" s="218"/>
    </row>
    <row r="7285" spans="13:19" ht="15" customHeight="1" x14ac:dyDescent="0.25">
      <c r="M7285"/>
      <c r="N7285"/>
      <c r="O7285"/>
      <c r="P7285" s="216"/>
      <c r="Q7285" s="217"/>
      <c r="R7285" s="217"/>
      <c r="S7285" s="218"/>
    </row>
    <row r="7286" spans="13:19" ht="15" customHeight="1" x14ac:dyDescent="0.25">
      <c r="M7286"/>
      <c r="N7286"/>
      <c r="O7286"/>
      <c r="P7286" s="216"/>
      <c r="Q7286" s="217"/>
      <c r="R7286" s="217"/>
      <c r="S7286" s="218"/>
    </row>
    <row r="7287" spans="13:19" ht="15" customHeight="1" x14ac:dyDescent="0.25">
      <c r="M7287"/>
      <c r="N7287"/>
      <c r="O7287"/>
      <c r="P7287" s="216"/>
      <c r="Q7287" s="217"/>
      <c r="R7287" s="217"/>
      <c r="S7287" s="218"/>
    </row>
    <row r="7288" spans="13:19" ht="15" customHeight="1" x14ac:dyDescent="0.25">
      <c r="M7288"/>
      <c r="N7288"/>
      <c r="O7288"/>
      <c r="P7288" s="216"/>
      <c r="Q7288" s="217"/>
      <c r="R7288" s="217"/>
      <c r="S7288" s="218"/>
    </row>
    <row r="7289" spans="13:19" ht="15" customHeight="1" x14ac:dyDescent="0.25">
      <c r="M7289"/>
      <c r="N7289"/>
      <c r="O7289"/>
      <c r="P7289" s="216"/>
      <c r="Q7289" s="217"/>
      <c r="R7289" s="217"/>
      <c r="S7289" s="218"/>
    </row>
    <row r="7290" spans="13:19" ht="15" customHeight="1" x14ac:dyDescent="0.25">
      <c r="M7290"/>
      <c r="N7290"/>
      <c r="O7290"/>
      <c r="P7290" s="216"/>
      <c r="Q7290" s="217"/>
      <c r="R7290" s="217"/>
      <c r="S7290" s="218"/>
    </row>
    <row r="7291" spans="13:19" ht="15" customHeight="1" x14ac:dyDescent="0.25">
      <c r="M7291"/>
      <c r="N7291"/>
      <c r="O7291"/>
      <c r="P7291" s="216"/>
      <c r="Q7291" s="217"/>
      <c r="R7291" s="217"/>
      <c r="S7291" s="218"/>
    </row>
    <row r="7292" spans="13:19" ht="15" customHeight="1" x14ac:dyDescent="0.25">
      <c r="M7292"/>
      <c r="N7292"/>
      <c r="O7292"/>
      <c r="P7292" s="216"/>
      <c r="Q7292" s="217"/>
      <c r="R7292" s="217"/>
      <c r="S7292" s="218"/>
    </row>
    <row r="7293" spans="13:19" ht="15" customHeight="1" x14ac:dyDescent="0.25">
      <c r="M7293"/>
      <c r="N7293"/>
      <c r="O7293"/>
      <c r="P7293" s="216"/>
      <c r="Q7293" s="217"/>
      <c r="R7293" s="217"/>
      <c r="S7293" s="218"/>
    </row>
    <row r="7294" spans="13:19" ht="15" customHeight="1" x14ac:dyDescent="0.25">
      <c r="M7294"/>
      <c r="N7294"/>
      <c r="O7294"/>
      <c r="P7294" s="216"/>
      <c r="Q7294" s="217"/>
      <c r="R7294" s="217"/>
      <c r="S7294" s="218"/>
    </row>
    <row r="7295" spans="13:19" ht="15" customHeight="1" x14ac:dyDescent="0.25">
      <c r="M7295"/>
      <c r="N7295"/>
      <c r="O7295"/>
      <c r="P7295" s="216"/>
      <c r="Q7295" s="217"/>
      <c r="R7295" s="217"/>
      <c r="S7295" s="218"/>
    </row>
    <row r="7296" spans="13:19" ht="15" customHeight="1" x14ac:dyDescent="0.25">
      <c r="M7296"/>
      <c r="N7296"/>
      <c r="O7296"/>
      <c r="P7296" s="216"/>
      <c r="Q7296" s="217"/>
      <c r="R7296" s="217"/>
      <c r="S7296" s="218"/>
    </row>
    <row r="7297" spans="13:19" ht="15" customHeight="1" x14ac:dyDescent="0.25">
      <c r="M7297"/>
      <c r="N7297"/>
      <c r="O7297"/>
      <c r="P7297" s="216"/>
      <c r="Q7297" s="217"/>
      <c r="R7297" s="217"/>
      <c r="S7297" s="218"/>
    </row>
    <row r="7298" spans="13:19" ht="15" customHeight="1" x14ac:dyDescent="0.25">
      <c r="M7298"/>
      <c r="N7298"/>
      <c r="O7298"/>
      <c r="P7298" s="216"/>
      <c r="Q7298" s="217"/>
      <c r="R7298" s="217"/>
      <c r="S7298" s="218"/>
    </row>
    <row r="7299" spans="13:19" ht="15" customHeight="1" x14ac:dyDescent="0.25">
      <c r="M7299"/>
      <c r="N7299"/>
      <c r="O7299"/>
      <c r="P7299" s="216"/>
      <c r="Q7299" s="217"/>
      <c r="R7299" s="217"/>
      <c r="S7299" s="218"/>
    </row>
    <row r="7300" spans="13:19" ht="15" customHeight="1" x14ac:dyDescent="0.25">
      <c r="M7300"/>
      <c r="N7300"/>
      <c r="O7300"/>
      <c r="P7300" s="216"/>
      <c r="Q7300" s="217"/>
      <c r="R7300" s="217"/>
      <c r="S7300" s="218"/>
    </row>
    <row r="7301" spans="13:19" ht="15" customHeight="1" x14ac:dyDescent="0.25">
      <c r="M7301"/>
      <c r="N7301"/>
      <c r="O7301"/>
      <c r="P7301" s="216"/>
      <c r="Q7301" s="217"/>
      <c r="R7301" s="217"/>
      <c r="S7301" s="218"/>
    </row>
    <row r="7302" spans="13:19" ht="15" customHeight="1" x14ac:dyDescent="0.25">
      <c r="M7302"/>
      <c r="N7302"/>
      <c r="O7302"/>
      <c r="P7302" s="216"/>
      <c r="Q7302" s="217"/>
      <c r="R7302" s="217"/>
      <c r="S7302" s="218"/>
    </row>
    <row r="7303" spans="13:19" ht="15" customHeight="1" x14ac:dyDescent="0.25">
      <c r="M7303"/>
      <c r="N7303"/>
      <c r="O7303"/>
      <c r="P7303" s="216"/>
      <c r="Q7303" s="217"/>
      <c r="R7303" s="217"/>
      <c r="S7303" s="218"/>
    </row>
    <row r="7304" spans="13:19" ht="15" customHeight="1" x14ac:dyDescent="0.25">
      <c r="M7304"/>
      <c r="N7304"/>
      <c r="O7304"/>
      <c r="P7304" s="216"/>
      <c r="Q7304" s="217"/>
      <c r="R7304" s="217"/>
      <c r="S7304" s="218"/>
    </row>
    <row r="7305" spans="13:19" ht="15" customHeight="1" x14ac:dyDescent="0.25">
      <c r="M7305"/>
      <c r="N7305"/>
      <c r="O7305"/>
      <c r="P7305" s="216"/>
      <c r="Q7305" s="217"/>
      <c r="R7305" s="217"/>
      <c r="S7305" s="218"/>
    </row>
    <row r="7306" spans="13:19" ht="15" customHeight="1" x14ac:dyDescent="0.25">
      <c r="M7306"/>
      <c r="N7306"/>
      <c r="O7306"/>
      <c r="P7306" s="216"/>
      <c r="Q7306" s="217"/>
      <c r="R7306" s="217"/>
      <c r="S7306" s="218"/>
    </row>
    <row r="7307" spans="13:19" ht="15" customHeight="1" x14ac:dyDescent="0.25">
      <c r="M7307"/>
      <c r="N7307"/>
      <c r="O7307"/>
      <c r="P7307" s="216"/>
      <c r="Q7307" s="217"/>
      <c r="R7307" s="217"/>
      <c r="S7307" s="218"/>
    </row>
    <row r="7308" spans="13:19" ht="15" customHeight="1" x14ac:dyDescent="0.25">
      <c r="M7308"/>
      <c r="N7308"/>
      <c r="O7308"/>
      <c r="P7308" s="216"/>
      <c r="Q7308" s="217"/>
      <c r="R7308" s="217"/>
      <c r="S7308" s="218"/>
    </row>
    <row r="7309" spans="13:19" ht="15" customHeight="1" x14ac:dyDescent="0.25">
      <c r="M7309"/>
      <c r="N7309"/>
      <c r="O7309"/>
      <c r="P7309" s="216"/>
      <c r="Q7309" s="217"/>
      <c r="R7309" s="217"/>
      <c r="S7309" s="218"/>
    </row>
    <row r="7310" spans="13:19" ht="15" customHeight="1" x14ac:dyDescent="0.25">
      <c r="M7310"/>
      <c r="N7310"/>
      <c r="O7310"/>
      <c r="P7310" s="216"/>
      <c r="Q7310" s="217"/>
      <c r="R7310" s="217"/>
      <c r="S7310" s="218"/>
    </row>
    <row r="7311" spans="13:19" ht="15" customHeight="1" x14ac:dyDescent="0.25">
      <c r="M7311"/>
      <c r="N7311"/>
      <c r="O7311"/>
      <c r="P7311" s="216"/>
      <c r="Q7311" s="217"/>
      <c r="R7311" s="217"/>
      <c r="S7311" s="218"/>
    </row>
    <row r="7312" spans="13:19" ht="15" customHeight="1" x14ac:dyDescent="0.25">
      <c r="M7312"/>
      <c r="N7312"/>
      <c r="O7312"/>
      <c r="P7312" s="216"/>
      <c r="Q7312" s="217"/>
      <c r="R7312" s="217"/>
      <c r="S7312" s="218"/>
    </row>
    <row r="7313" spans="13:19" ht="15" customHeight="1" x14ac:dyDescent="0.25">
      <c r="M7313"/>
      <c r="N7313"/>
      <c r="O7313"/>
      <c r="P7313" s="216"/>
      <c r="Q7313" s="217"/>
      <c r="R7313" s="217"/>
      <c r="S7313" s="218"/>
    </row>
    <row r="7314" spans="13:19" ht="15" customHeight="1" x14ac:dyDescent="0.25">
      <c r="M7314"/>
      <c r="N7314"/>
      <c r="O7314"/>
      <c r="P7314" s="216"/>
      <c r="Q7314" s="217"/>
      <c r="R7314" s="217"/>
      <c r="S7314" s="218"/>
    </row>
    <row r="7315" spans="13:19" ht="15" customHeight="1" x14ac:dyDescent="0.25">
      <c r="M7315"/>
      <c r="N7315"/>
      <c r="O7315"/>
      <c r="P7315" s="216"/>
      <c r="Q7315" s="217"/>
      <c r="R7315" s="217"/>
      <c r="S7315" s="218"/>
    </row>
    <row r="7316" spans="13:19" ht="15" customHeight="1" x14ac:dyDescent="0.25">
      <c r="M7316"/>
      <c r="N7316"/>
      <c r="O7316"/>
      <c r="P7316" s="216"/>
      <c r="Q7316" s="217"/>
      <c r="R7316" s="217"/>
      <c r="S7316" s="218"/>
    </row>
    <row r="7317" spans="13:19" ht="15" customHeight="1" x14ac:dyDescent="0.25">
      <c r="M7317"/>
      <c r="N7317"/>
      <c r="O7317"/>
      <c r="P7317" s="216"/>
      <c r="Q7317" s="217"/>
      <c r="R7317" s="217"/>
      <c r="S7317" s="218"/>
    </row>
    <row r="7318" spans="13:19" ht="15" customHeight="1" x14ac:dyDescent="0.25">
      <c r="M7318"/>
      <c r="N7318"/>
      <c r="O7318"/>
      <c r="P7318" s="216"/>
      <c r="Q7318" s="217"/>
      <c r="R7318" s="217"/>
      <c r="S7318" s="218"/>
    </row>
    <row r="7319" spans="13:19" ht="15" customHeight="1" x14ac:dyDescent="0.25">
      <c r="M7319"/>
      <c r="N7319"/>
      <c r="O7319"/>
      <c r="P7319" s="216"/>
      <c r="Q7319" s="217"/>
      <c r="R7319" s="217"/>
      <c r="S7319" s="218"/>
    </row>
    <row r="7320" spans="13:19" ht="15" customHeight="1" x14ac:dyDescent="0.25">
      <c r="M7320"/>
      <c r="N7320"/>
      <c r="O7320"/>
      <c r="P7320" s="216"/>
      <c r="Q7320" s="217"/>
      <c r="R7320" s="217"/>
      <c r="S7320" s="218"/>
    </row>
    <row r="7321" spans="13:19" ht="15" customHeight="1" x14ac:dyDescent="0.25">
      <c r="M7321"/>
      <c r="N7321"/>
      <c r="O7321"/>
      <c r="P7321" s="216"/>
      <c r="Q7321" s="217"/>
      <c r="R7321" s="217"/>
      <c r="S7321" s="218"/>
    </row>
    <row r="7322" spans="13:19" ht="15" customHeight="1" x14ac:dyDescent="0.25">
      <c r="M7322"/>
      <c r="N7322"/>
      <c r="O7322"/>
      <c r="P7322" s="216"/>
      <c r="Q7322" s="217"/>
      <c r="R7322" s="217"/>
      <c r="S7322" s="218"/>
    </row>
    <row r="7323" spans="13:19" ht="15" customHeight="1" x14ac:dyDescent="0.25">
      <c r="M7323"/>
      <c r="N7323"/>
      <c r="O7323"/>
      <c r="P7323" s="216"/>
      <c r="Q7323" s="217"/>
      <c r="R7323" s="217"/>
      <c r="S7323" s="218"/>
    </row>
    <row r="7324" spans="13:19" ht="15" customHeight="1" x14ac:dyDescent="0.25">
      <c r="M7324"/>
      <c r="N7324"/>
      <c r="O7324"/>
      <c r="P7324" s="216"/>
      <c r="Q7324" s="217"/>
      <c r="R7324" s="217"/>
      <c r="S7324" s="218"/>
    </row>
    <row r="7325" spans="13:19" ht="15" customHeight="1" x14ac:dyDescent="0.25">
      <c r="M7325"/>
      <c r="N7325"/>
      <c r="O7325"/>
      <c r="P7325" s="216"/>
      <c r="Q7325" s="217"/>
      <c r="R7325" s="217"/>
      <c r="S7325" s="218"/>
    </row>
    <row r="7326" spans="13:19" ht="15" customHeight="1" x14ac:dyDescent="0.25">
      <c r="M7326"/>
      <c r="N7326"/>
      <c r="O7326"/>
      <c r="P7326" s="216"/>
      <c r="Q7326" s="217"/>
      <c r="R7326" s="217"/>
      <c r="S7326" s="218"/>
    </row>
    <row r="7327" spans="13:19" ht="15" customHeight="1" x14ac:dyDescent="0.25">
      <c r="M7327"/>
      <c r="N7327"/>
      <c r="O7327"/>
      <c r="P7327" s="216"/>
      <c r="Q7327" s="217"/>
      <c r="R7327" s="217"/>
      <c r="S7327" s="218"/>
    </row>
    <row r="7328" spans="13:19" ht="15" customHeight="1" x14ac:dyDescent="0.25">
      <c r="M7328"/>
      <c r="N7328"/>
      <c r="O7328"/>
      <c r="P7328" s="216"/>
      <c r="Q7328" s="217"/>
      <c r="R7328" s="217"/>
      <c r="S7328" s="218"/>
    </row>
    <row r="7329" spans="13:19" ht="15" customHeight="1" x14ac:dyDescent="0.25">
      <c r="M7329"/>
      <c r="N7329"/>
      <c r="O7329"/>
      <c r="P7329" s="216"/>
      <c r="Q7329" s="217"/>
      <c r="R7329" s="217"/>
      <c r="S7329" s="218"/>
    </row>
    <row r="7330" spans="13:19" ht="15" customHeight="1" x14ac:dyDescent="0.25">
      <c r="M7330"/>
      <c r="N7330"/>
      <c r="O7330"/>
      <c r="P7330" s="216"/>
      <c r="Q7330" s="217"/>
      <c r="R7330" s="217"/>
      <c r="S7330" s="218"/>
    </row>
    <row r="7331" spans="13:19" ht="15" customHeight="1" x14ac:dyDescent="0.25">
      <c r="M7331"/>
      <c r="N7331"/>
      <c r="O7331"/>
      <c r="P7331" s="216"/>
      <c r="Q7331" s="217"/>
      <c r="R7331" s="217"/>
      <c r="S7331" s="218"/>
    </row>
    <row r="7332" spans="13:19" ht="15" customHeight="1" x14ac:dyDescent="0.25">
      <c r="M7332"/>
      <c r="N7332"/>
      <c r="O7332"/>
      <c r="P7332" s="216"/>
      <c r="Q7332" s="217"/>
      <c r="R7332" s="217"/>
      <c r="S7332" s="218"/>
    </row>
    <row r="7333" spans="13:19" ht="15" customHeight="1" x14ac:dyDescent="0.25">
      <c r="M7333"/>
      <c r="N7333"/>
      <c r="O7333"/>
      <c r="P7333" s="216"/>
      <c r="Q7333" s="217"/>
      <c r="R7333" s="217"/>
      <c r="S7333" s="218"/>
    </row>
    <row r="7334" spans="13:19" ht="15" customHeight="1" x14ac:dyDescent="0.25">
      <c r="M7334"/>
      <c r="N7334"/>
      <c r="O7334"/>
      <c r="P7334" s="216"/>
      <c r="Q7334" s="217"/>
      <c r="R7334" s="217"/>
      <c r="S7334" s="218"/>
    </row>
    <row r="7335" spans="13:19" ht="15" customHeight="1" x14ac:dyDescent="0.25">
      <c r="M7335"/>
      <c r="N7335"/>
      <c r="O7335"/>
      <c r="P7335" s="216"/>
      <c r="Q7335" s="217"/>
      <c r="R7335" s="217"/>
      <c r="S7335" s="218"/>
    </row>
    <row r="7336" spans="13:19" ht="15" customHeight="1" x14ac:dyDescent="0.25">
      <c r="M7336"/>
      <c r="N7336"/>
      <c r="O7336"/>
      <c r="P7336" s="216"/>
      <c r="Q7336" s="217"/>
      <c r="R7336" s="217"/>
      <c r="S7336" s="218"/>
    </row>
    <row r="7337" spans="13:19" ht="15" customHeight="1" x14ac:dyDescent="0.25">
      <c r="M7337"/>
      <c r="N7337"/>
      <c r="O7337"/>
      <c r="P7337" s="216"/>
      <c r="Q7337" s="217"/>
      <c r="R7337" s="217"/>
      <c r="S7337" s="218"/>
    </row>
    <row r="7338" spans="13:19" ht="15" customHeight="1" x14ac:dyDescent="0.25">
      <c r="M7338"/>
      <c r="N7338"/>
      <c r="O7338"/>
      <c r="P7338" s="216"/>
      <c r="Q7338" s="217"/>
      <c r="R7338" s="217"/>
      <c r="S7338" s="218"/>
    </row>
    <row r="7339" spans="13:19" ht="15" customHeight="1" x14ac:dyDescent="0.25">
      <c r="M7339"/>
      <c r="N7339"/>
      <c r="O7339"/>
      <c r="P7339" s="216"/>
      <c r="Q7339" s="217"/>
      <c r="R7339" s="217"/>
      <c r="S7339" s="218"/>
    </row>
    <row r="7340" spans="13:19" ht="15" customHeight="1" x14ac:dyDescent="0.25">
      <c r="M7340"/>
      <c r="N7340"/>
      <c r="O7340"/>
      <c r="P7340" s="216"/>
      <c r="Q7340" s="217"/>
      <c r="R7340" s="217"/>
      <c r="S7340" s="218"/>
    </row>
    <row r="7341" spans="13:19" ht="15" customHeight="1" x14ac:dyDescent="0.25">
      <c r="M7341"/>
      <c r="N7341"/>
      <c r="O7341"/>
      <c r="P7341" s="216"/>
      <c r="Q7341" s="217"/>
      <c r="R7341" s="217"/>
      <c r="S7341" s="218"/>
    </row>
    <row r="7342" spans="13:19" ht="15" customHeight="1" x14ac:dyDescent="0.25">
      <c r="M7342"/>
      <c r="N7342"/>
      <c r="O7342"/>
      <c r="P7342" s="216"/>
      <c r="Q7342" s="217"/>
      <c r="R7342" s="217"/>
      <c r="S7342" s="218"/>
    </row>
    <row r="7343" spans="13:19" ht="15" customHeight="1" x14ac:dyDescent="0.25">
      <c r="M7343"/>
      <c r="N7343"/>
      <c r="O7343"/>
      <c r="P7343" s="216"/>
      <c r="Q7343" s="217"/>
      <c r="R7343" s="217"/>
      <c r="S7343" s="218"/>
    </row>
    <row r="7344" spans="13:19" ht="15" customHeight="1" x14ac:dyDescent="0.25">
      <c r="M7344"/>
      <c r="N7344"/>
      <c r="O7344"/>
      <c r="P7344" s="216"/>
      <c r="Q7344" s="217"/>
      <c r="R7344" s="217"/>
      <c r="S7344" s="218"/>
    </row>
    <row r="7345" spans="13:19" ht="15" customHeight="1" x14ac:dyDescent="0.25">
      <c r="M7345"/>
      <c r="N7345"/>
      <c r="O7345"/>
      <c r="P7345" s="216"/>
      <c r="Q7345" s="217"/>
      <c r="R7345" s="217"/>
      <c r="S7345" s="218"/>
    </row>
    <row r="7346" spans="13:19" ht="15" customHeight="1" x14ac:dyDescent="0.25">
      <c r="M7346"/>
      <c r="N7346"/>
      <c r="O7346"/>
      <c r="P7346" s="216"/>
      <c r="Q7346" s="217"/>
      <c r="R7346" s="217"/>
      <c r="S7346" s="218"/>
    </row>
    <row r="7347" spans="13:19" ht="15" customHeight="1" x14ac:dyDescent="0.25">
      <c r="M7347"/>
      <c r="N7347"/>
      <c r="O7347"/>
      <c r="P7347" s="216"/>
      <c r="Q7347" s="217"/>
      <c r="R7347" s="217"/>
      <c r="S7347" s="218"/>
    </row>
    <row r="7348" spans="13:19" ht="15" customHeight="1" x14ac:dyDescent="0.25">
      <c r="M7348"/>
      <c r="N7348"/>
      <c r="O7348"/>
      <c r="P7348" s="216"/>
      <c r="Q7348" s="217"/>
      <c r="R7348" s="217"/>
      <c r="S7348" s="218"/>
    </row>
    <row r="7349" spans="13:19" ht="15" customHeight="1" x14ac:dyDescent="0.25">
      <c r="M7349"/>
      <c r="N7349"/>
      <c r="O7349"/>
      <c r="P7349" s="216"/>
      <c r="Q7349" s="217"/>
      <c r="R7349" s="217"/>
      <c r="S7349" s="218"/>
    </row>
    <row r="7350" spans="13:19" ht="15" customHeight="1" x14ac:dyDescent="0.25">
      <c r="M7350"/>
      <c r="N7350"/>
      <c r="O7350"/>
      <c r="P7350" s="216"/>
      <c r="Q7350" s="217"/>
      <c r="R7350" s="217"/>
      <c r="S7350" s="218"/>
    </row>
    <row r="7351" spans="13:19" ht="15" customHeight="1" x14ac:dyDescent="0.25">
      <c r="M7351"/>
      <c r="N7351"/>
      <c r="O7351"/>
      <c r="P7351" s="216"/>
      <c r="Q7351" s="217"/>
      <c r="R7351" s="217"/>
      <c r="S7351" s="218"/>
    </row>
    <row r="7352" spans="13:19" ht="15" customHeight="1" x14ac:dyDescent="0.25">
      <c r="M7352"/>
      <c r="N7352"/>
      <c r="O7352"/>
      <c r="P7352" s="216"/>
      <c r="Q7352" s="217"/>
      <c r="R7352" s="217"/>
      <c r="S7352" s="218"/>
    </row>
    <row r="7353" spans="13:19" ht="15" customHeight="1" x14ac:dyDescent="0.25">
      <c r="M7353"/>
      <c r="N7353"/>
      <c r="O7353"/>
      <c r="P7353" s="216"/>
      <c r="Q7353" s="217"/>
      <c r="R7353" s="217"/>
      <c r="S7353" s="218"/>
    </row>
    <row r="7354" spans="13:19" ht="15" customHeight="1" x14ac:dyDescent="0.25">
      <c r="M7354"/>
      <c r="N7354"/>
      <c r="O7354"/>
      <c r="P7354" s="216"/>
      <c r="Q7354" s="217"/>
      <c r="R7354" s="217"/>
      <c r="S7354" s="218"/>
    </row>
    <row r="7355" spans="13:19" ht="15" customHeight="1" x14ac:dyDescent="0.25">
      <c r="M7355"/>
      <c r="N7355"/>
      <c r="O7355"/>
      <c r="P7355" s="216"/>
      <c r="Q7355" s="217"/>
      <c r="R7355" s="217"/>
      <c r="S7355" s="218"/>
    </row>
    <row r="7356" spans="13:19" ht="15" customHeight="1" x14ac:dyDescent="0.25">
      <c r="M7356"/>
      <c r="N7356"/>
      <c r="O7356"/>
      <c r="P7356" s="216"/>
      <c r="Q7356" s="217"/>
      <c r="R7356" s="217"/>
      <c r="S7356" s="218"/>
    </row>
    <row r="7357" spans="13:19" ht="15" customHeight="1" x14ac:dyDescent="0.25">
      <c r="M7357"/>
      <c r="N7357"/>
      <c r="O7357"/>
      <c r="P7357" s="216"/>
      <c r="Q7357" s="217"/>
      <c r="R7357" s="217"/>
      <c r="S7357" s="218"/>
    </row>
    <row r="7358" spans="13:19" ht="15" customHeight="1" x14ac:dyDescent="0.25">
      <c r="M7358"/>
      <c r="N7358"/>
      <c r="O7358"/>
      <c r="P7358" s="216"/>
      <c r="Q7358" s="217"/>
      <c r="R7358" s="217"/>
      <c r="S7358" s="218"/>
    </row>
    <row r="7359" spans="13:19" ht="15" customHeight="1" x14ac:dyDescent="0.25">
      <c r="M7359"/>
      <c r="N7359"/>
      <c r="O7359"/>
      <c r="P7359" s="216"/>
      <c r="Q7359" s="217"/>
      <c r="R7359" s="217"/>
      <c r="S7359" s="218"/>
    </row>
    <row r="7360" spans="13:19" ht="15" customHeight="1" x14ac:dyDescent="0.25">
      <c r="M7360"/>
      <c r="N7360"/>
      <c r="O7360"/>
      <c r="P7360" s="216"/>
      <c r="Q7360" s="217"/>
      <c r="R7360" s="217"/>
      <c r="S7360" s="218"/>
    </row>
    <row r="7361" spans="13:19" ht="15" customHeight="1" x14ac:dyDescent="0.25">
      <c r="M7361"/>
      <c r="N7361"/>
      <c r="O7361"/>
      <c r="P7361" s="216"/>
      <c r="Q7361" s="217"/>
      <c r="R7361" s="217"/>
      <c r="S7361" s="218"/>
    </row>
    <row r="7362" spans="13:19" ht="15" customHeight="1" x14ac:dyDescent="0.25">
      <c r="M7362"/>
      <c r="N7362"/>
      <c r="O7362"/>
      <c r="P7362" s="216"/>
      <c r="Q7362" s="217"/>
      <c r="R7362" s="217"/>
      <c r="S7362" s="218"/>
    </row>
    <row r="7363" spans="13:19" ht="15" customHeight="1" x14ac:dyDescent="0.25">
      <c r="M7363"/>
      <c r="N7363"/>
      <c r="O7363"/>
      <c r="P7363" s="216"/>
      <c r="Q7363" s="217"/>
      <c r="R7363" s="217"/>
      <c r="S7363" s="218"/>
    </row>
    <row r="7364" spans="13:19" ht="15" customHeight="1" x14ac:dyDescent="0.25">
      <c r="M7364"/>
      <c r="N7364"/>
      <c r="O7364"/>
      <c r="P7364" s="216"/>
      <c r="Q7364" s="217"/>
      <c r="R7364" s="217"/>
      <c r="S7364" s="218"/>
    </row>
    <row r="7365" spans="13:19" ht="15" customHeight="1" x14ac:dyDescent="0.25">
      <c r="M7365"/>
      <c r="N7365"/>
      <c r="O7365"/>
      <c r="P7365" s="216"/>
      <c r="Q7365" s="217"/>
      <c r="R7365" s="217"/>
      <c r="S7365" s="218"/>
    </row>
    <row r="7366" spans="13:19" ht="15" customHeight="1" x14ac:dyDescent="0.25">
      <c r="M7366"/>
      <c r="N7366"/>
      <c r="O7366"/>
      <c r="P7366" s="216"/>
      <c r="Q7366" s="217"/>
      <c r="R7366" s="217"/>
      <c r="S7366" s="218"/>
    </row>
    <row r="7367" spans="13:19" ht="15" customHeight="1" x14ac:dyDescent="0.25">
      <c r="M7367"/>
      <c r="N7367"/>
      <c r="O7367"/>
      <c r="P7367" s="216"/>
      <c r="Q7367" s="217"/>
      <c r="R7367" s="217"/>
      <c r="S7367" s="218"/>
    </row>
    <row r="7368" spans="13:19" ht="15" customHeight="1" x14ac:dyDescent="0.25">
      <c r="M7368"/>
      <c r="N7368"/>
      <c r="O7368"/>
      <c r="P7368" s="216"/>
      <c r="Q7368" s="217"/>
      <c r="R7368" s="217"/>
      <c r="S7368" s="218"/>
    </row>
    <row r="7369" spans="13:19" ht="15" customHeight="1" x14ac:dyDescent="0.25">
      <c r="M7369"/>
      <c r="N7369"/>
      <c r="O7369"/>
      <c r="P7369" s="216"/>
      <c r="Q7369" s="217"/>
      <c r="R7369" s="217"/>
      <c r="S7369" s="218"/>
    </row>
    <row r="7370" spans="13:19" ht="15" customHeight="1" x14ac:dyDescent="0.25">
      <c r="M7370"/>
      <c r="N7370"/>
      <c r="O7370"/>
      <c r="P7370" s="216"/>
      <c r="Q7370" s="217"/>
      <c r="R7370" s="217"/>
      <c r="S7370" s="218"/>
    </row>
    <row r="7371" spans="13:19" ht="15" customHeight="1" x14ac:dyDescent="0.25">
      <c r="M7371"/>
      <c r="N7371"/>
      <c r="O7371"/>
      <c r="P7371" s="216"/>
      <c r="Q7371" s="217"/>
      <c r="R7371" s="217"/>
      <c r="S7371" s="218"/>
    </row>
    <row r="7372" spans="13:19" ht="15" customHeight="1" x14ac:dyDescent="0.25">
      <c r="M7372"/>
      <c r="N7372"/>
      <c r="O7372"/>
      <c r="P7372" s="216"/>
      <c r="Q7372" s="217"/>
      <c r="R7372" s="217"/>
      <c r="S7372" s="218"/>
    </row>
    <row r="7373" spans="13:19" ht="15" customHeight="1" x14ac:dyDescent="0.25">
      <c r="M7373"/>
      <c r="N7373"/>
      <c r="O7373"/>
      <c r="P7373" s="216"/>
      <c r="Q7373" s="217"/>
      <c r="R7373" s="217"/>
      <c r="S7373" s="218"/>
    </row>
    <row r="7374" spans="13:19" ht="15" customHeight="1" x14ac:dyDescent="0.25">
      <c r="M7374"/>
      <c r="N7374"/>
      <c r="O7374"/>
      <c r="P7374" s="216"/>
      <c r="Q7374" s="217"/>
      <c r="R7374" s="217"/>
      <c r="S7374" s="218"/>
    </row>
    <row r="7375" spans="13:19" ht="15" customHeight="1" x14ac:dyDescent="0.25">
      <c r="M7375"/>
      <c r="N7375"/>
      <c r="O7375"/>
      <c r="P7375" s="216"/>
      <c r="Q7375" s="217"/>
      <c r="R7375" s="217"/>
      <c r="S7375" s="218"/>
    </row>
    <row r="7376" spans="13:19" ht="15" customHeight="1" x14ac:dyDescent="0.25">
      <c r="M7376"/>
      <c r="N7376"/>
      <c r="O7376"/>
      <c r="P7376" s="216"/>
      <c r="Q7376" s="217"/>
      <c r="R7376" s="217"/>
      <c r="S7376" s="218"/>
    </row>
    <row r="7377" spans="13:19" ht="15" customHeight="1" x14ac:dyDescent="0.25">
      <c r="M7377"/>
      <c r="N7377"/>
      <c r="O7377"/>
      <c r="P7377" s="216"/>
      <c r="Q7377" s="217"/>
      <c r="R7377" s="217"/>
      <c r="S7377" s="218"/>
    </row>
    <row r="7378" spans="13:19" ht="15" customHeight="1" x14ac:dyDescent="0.25">
      <c r="M7378"/>
      <c r="N7378"/>
      <c r="O7378"/>
      <c r="P7378" s="216"/>
      <c r="Q7378" s="217"/>
      <c r="R7378" s="217"/>
      <c r="S7378" s="218"/>
    </row>
    <row r="7379" spans="13:19" ht="15" customHeight="1" x14ac:dyDescent="0.25">
      <c r="M7379"/>
      <c r="N7379"/>
      <c r="O7379"/>
      <c r="P7379" s="216"/>
      <c r="Q7379" s="217"/>
      <c r="R7379" s="217"/>
      <c r="S7379" s="218"/>
    </row>
    <row r="7380" spans="13:19" ht="15" customHeight="1" x14ac:dyDescent="0.25">
      <c r="M7380"/>
      <c r="N7380"/>
      <c r="O7380"/>
      <c r="P7380" s="216"/>
      <c r="Q7380" s="217"/>
      <c r="R7380" s="217"/>
      <c r="S7380" s="218"/>
    </row>
    <row r="7381" spans="13:19" ht="15" customHeight="1" x14ac:dyDescent="0.25">
      <c r="M7381"/>
      <c r="N7381"/>
      <c r="O7381"/>
      <c r="P7381" s="216"/>
      <c r="Q7381" s="217"/>
      <c r="R7381" s="217"/>
      <c r="S7381" s="218"/>
    </row>
    <row r="7382" spans="13:19" ht="15" customHeight="1" x14ac:dyDescent="0.25">
      <c r="M7382"/>
      <c r="N7382"/>
      <c r="O7382"/>
      <c r="P7382" s="216"/>
      <c r="Q7382" s="217"/>
      <c r="R7382" s="217"/>
      <c r="S7382" s="218"/>
    </row>
    <row r="7383" spans="13:19" ht="15" customHeight="1" x14ac:dyDescent="0.25">
      <c r="M7383"/>
      <c r="N7383"/>
      <c r="O7383"/>
      <c r="P7383" s="216"/>
      <c r="Q7383" s="217"/>
      <c r="R7383" s="217"/>
      <c r="S7383" s="218"/>
    </row>
    <row r="7384" spans="13:19" ht="15" customHeight="1" x14ac:dyDescent="0.25">
      <c r="M7384"/>
      <c r="N7384"/>
      <c r="O7384"/>
      <c r="P7384" s="216"/>
      <c r="Q7384" s="217"/>
      <c r="R7384" s="217"/>
      <c r="S7384" s="218"/>
    </row>
    <row r="7385" spans="13:19" ht="15" customHeight="1" x14ac:dyDescent="0.25">
      <c r="M7385"/>
      <c r="N7385"/>
      <c r="O7385"/>
      <c r="P7385" s="216"/>
      <c r="Q7385" s="217"/>
      <c r="R7385" s="217"/>
      <c r="S7385" s="218"/>
    </row>
    <row r="7386" spans="13:19" ht="15" customHeight="1" x14ac:dyDescent="0.25">
      <c r="M7386"/>
      <c r="N7386"/>
      <c r="O7386"/>
      <c r="P7386" s="216"/>
      <c r="Q7386" s="217"/>
      <c r="R7386" s="217"/>
      <c r="S7386" s="218"/>
    </row>
    <row r="7387" spans="13:19" ht="15" customHeight="1" x14ac:dyDescent="0.25">
      <c r="M7387"/>
      <c r="N7387"/>
      <c r="O7387"/>
      <c r="P7387" s="216"/>
      <c r="Q7387" s="217"/>
      <c r="R7387" s="217"/>
      <c r="S7387" s="218"/>
    </row>
    <row r="7388" spans="13:19" ht="15" customHeight="1" x14ac:dyDescent="0.25">
      <c r="M7388"/>
      <c r="N7388"/>
      <c r="O7388"/>
      <c r="P7388" s="216"/>
      <c r="Q7388" s="217"/>
      <c r="R7388" s="217"/>
      <c r="S7388" s="218"/>
    </row>
    <row r="7389" spans="13:19" ht="15" customHeight="1" x14ac:dyDescent="0.25">
      <c r="M7389"/>
      <c r="N7389"/>
      <c r="O7389"/>
      <c r="P7389" s="216"/>
      <c r="Q7389" s="217"/>
      <c r="R7389" s="217"/>
      <c r="S7389" s="218"/>
    </row>
    <row r="7390" spans="13:19" ht="15" customHeight="1" x14ac:dyDescent="0.25">
      <c r="M7390"/>
      <c r="N7390"/>
      <c r="O7390"/>
      <c r="P7390" s="216"/>
      <c r="Q7390" s="217"/>
      <c r="R7390" s="217"/>
      <c r="S7390" s="218"/>
    </row>
    <row r="7391" spans="13:19" ht="15" customHeight="1" x14ac:dyDescent="0.25">
      <c r="M7391"/>
      <c r="N7391"/>
      <c r="O7391"/>
      <c r="P7391" s="216"/>
      <c r="Q7391" s="217"/>
      <c r="R7391" s="217"/>
      <c r="S7391" s="218"/>
    </row>
    <row r="7392" spans="13:19" ht="15" customHeight="1" x14ac:dyDescent="0.25">
      <c r="M7392"/>
      <c r="N7392"/>
      <c r="O7392"/>
      <c r="P7392" s="216"/>
      <c r="Q7392" s="217"/>
      <c r="R7392" s="217"/>
      <c r="S7392" s="218"/>
    </row>
    <row r="7393" spans="13:19" ht="15" customHeight="1" x14ac:dyDescent="0.25">
      <c r="M7393"/>
      <c r="N7393"/>
      <c r="O7393"/>
      <c r="P7393" s="216"/>
      <c r="Q7393" s="217"/>
      <c r="R7393" s="217"/>
      <c r="S7393" s="218"/>
    </row>
    <row r="7394" spans="13:19" ht="15" customHeight="1" x14ac:dyDescent="0.25">
      <c r="M7394"/>
      <c r="N7394"/>
      <c r="O7394"/>
      <c r="P7394" s="216"/>
      <c r="Q7394" s="217"/>
      <c r="R7394" s="217"/>
      <c r="S7394" s="218"/>
    </row>
    <row r="7395" spans="13:19" ht="15" customHeight="1" x14ac:dyDescent="0.25">
      <c r="M7395"/>
      <c r="N7395"/>
      <c r="O7395"/>
      <c r="P7395" s="216"/>
      <c r="Q7395" s="217"/>
      <c r="R7395" s="217"/>
      <c r="S7395" s="218"/>
    </row>
    <row r="7396" spans="13:19" ht="15" customHeight="1" x14ac:dyDescent="0.25">
      <c r="M7396"/>
      <c r="N7396"/>
      <c r="O7396"/>
      <c r="P7396" s="216"/>
      <c r="Q7396" s="217"/>
      <c r="R7396" s="217"/>
      <c r="S7396" s="218"/>
    </row>
    <row r="7397" spans="13:19" ht="15" customHeight="1" x14ac:dyDescent="0.25">
      <c r="M7397"/>
      <c r="N7397"/>
      <c r="O7397"/>
      <c r="P7397" s="216"/>
      <c r="Q7397" s="217"/>
      <c r="R7397" s="217"/>
      <c r="S7397" s="218"/>
    </row>
    <row r="7398" spans="13:19" ht="15" customHeight="1" x14ac:dyDescent="0.25">
      <c r="M7398"/>
      <c r="N7398"/>
      <c r="O7398"/>
      <c r="P7398" s="216"/>
      <c r="Q7398" s="217"/>
      <c r="R7398" s="217"/>
      <c r="S7398" s="218"/>
    </row>
    <row r="7399" spans="13:19" ht="15" customHeight="1" x14ac:dyDescent="0.25">
      <c r="M7399"/>
      <c r="N7399"/>
      <c r="O7399"/>
      <c r="P7399" s="216"/>
      <c r="Q7399" s="217"/>
      <c r="R7399" s="217"/>
      <c r="S7399" s="218"/>
    </row>
    <row r="7400" spans="13:19" ht="15" customHeight="1" x14ac:dyDescent="0.25">
      <c r="M7400"/>
      <c r="N7400"/>
      <c r="O7400"/>
      <c r="P7400" s="216"/>
      <c r="Q7400" s="217"/>
      <c r="R7400" s="217"/>
      <c r="S7400" s="218"/>
    </row>
    <row r="7401" spans="13:19" ht="15" customHeight="1" x14ac:dyDescent="0.25">
      <c r="M7401"/>
      <c r="N7401"/>
      <c r="O7401"/>
      <c r="P7401" s="216"/>
      <c r="Q7401" s="217"/>
      <c r="R7401" s="217"/>
      <c r="S7401" s="218"/>
    </row>
    <row r="7402" spans="13:19" ht="15" customHeight="1" x14ac:dyDescent="0.25">
      <c r="M7402"/>
      <c r="N7402"/>
      <c r="O7402"/>
      <c r="P7402" s="216"/>
      <c r="Q7402" s="217"/>
      <c r="R7402" s="217"/>
      <c r="S7402" s="218"/>
    </row>
    <row r="7403" spans="13:19" ht="15" customHeight="1" x14ac:dyDescent="0.25">
      <c r="M7403"/>
      <c r="N7403"/>
      <c r="O7403"/>
      <c r="P7403" s="216"/>
      <c r="Q7403" s="217"/>
      <c r="R7403" s="217"/>
      <c r="S7403" s="218"/>
    </row>
    <row r="7404" spans="13:19" ht="15" customHeight="1" x14ac:dyDescent="0.25">
      <c r="M7404"/>
      <c r="N7404"/>
      <c r="O7404"/>
      <c r="P7404" s="216"/>
      <c r="Q7404" s="217"/>
      <c r="R7404" s="217"/>
      <c r="S7404" s="218"/>
    </row>
    <row r="7405" spans="13:19" ht="15" customHeight="1" x14ac:dyDescent="0.25">
      <c r="M7405"/>
      <c r="N7405"/>
      <c r="O7405"/>
      <c r="P7405" s="216"/>
      <c r="Q7405" s="217"/>
      <c r="R7405" s="217"/>
      <c r="S7405" s="218"/>
    </row>
    <row r="7406" spans="13:19" ht="15" customHeight="1" x14ac:dyDescent="0.25">
      <c r="M7406"/>
      <c r="N7406"/>
      <c r="O7406"/>
      <c r="P7406" s="216"/>
      <c r="Q7406" s="217"/>
      <c r="R7406" s="217"/>
      <c r="S7406" s="218"/>
    </row>
    <row r="7407" spans="13:19" ht="15" customHeight="1" x14ac:dyDescent="0.25">
      <c r="M7407"/>
      <c r="N7407"/>
      <c r="O7407"/>
      <c r="P7407" s="216"/>
      <c r="Q7407" s="217"/>
      <c r="R7407" s="217"/>
      <c r="S7407" s="218"/>
    </row>
    <row r="7408" spans="13:19" ht="15" customHeight="1" x14ac:dyDescent="0.25">
      <c r="M7408"/>
      <c r="N7408"/>
      <c r="O7408"/>
      <c r="P7408" s="216"/>
      <c r="Q7408" s="217"/>
      <c r="R7408" s="217"/>
      <c r="S7408" s="218"/>
    </row>
    <row r="7409" spans="13:19" ht="15" customHeight="1" x14ac:dyDescent="0.25">
      <c r="M7409"/>
      <c r="N7409"/>
      <c r="O7409"/>
      <c r="P7409" s="216"/>
      <c r="Q7409" s="217"/>
      <c r="R7409" s="217"/>
      <c r="S7409" s="218"/>
    </row>
    <row r="7410" spans="13:19" ht="15" customHeight="1" x14ac:dyDescent="0.25">
      <c r="M7410"/>
      <c r="N7410"/>
      <c r="O7410"/>
      <c r="P7410" s="216"/>
      <c r="Q7410" s="217"/>
      <c r="R7410" s="217"/>
      <c r="S7410" s="218"/>
    </row>
    <row r="7411" spans="13:19" ht="15" customHeight="1" x14ac:dyDescent="0.25">
      <c r="M7411"/>
      <c r="N7411"/>
      <c r="O7411"/>
      <c r="P7411" s="216"/>
      <c r="Q7411" s="217"/>
      <c r="R7411" s="217"/>
      <c r="S7411" s="218"/>
    </row>
    <row r="7412" spans="13:19" ht="15" customHeight="1" x14ac:dyDescent="0.25">
      <c r="M7412"/>
      <c r="N7412"/>
      <c r="O7412"/>
      <c r="P7412" s="216"/>
      <c r="Q7412" s="217"/>
      <c r="R7412" s="217"/>
      <c r="S7412" s="218"/>
    </row>
    <row r="7413" spans="13:19" ht="15" customHeight="1" x14ac:dyDescent="0.25">
      <c r="M7413"/>
      <c r="N7413"/>
      <c r="O7413"/>
      <c r="P7413" s="216"/>
      <c r="Q7413" s="217"/>
      <c r="R7413" s="217"/>
      <c r="S7413" s="218"/>
    </row>
    <row r="7414" spans="13:19" ht="15" customHeight="1" x14ac:dyDescent="0.25">
      <c r="M7414"/>
      <c r="N7414"/>
      <c r="O7414"/>
      <c r="P7414" s="216"/>
      <c r="Q7414" s="217"/>
      <c r="R7414" s="217"/>
      <c r="S7414" s="218"/>
    </row>
    <row r="7415" spans="13:19" ht="15" customHeight="1" x14ac:dyDescent="0.25">
      <c r="M7415"/>
      <c r="N7415"/>
      <c r="O7415"/>
      <c r="P7415" s="216"/>
      <c r="Q7415" s="217"/>
      <c r="R7415" s="217"/>
      <c r="S7415" s="218"/>
    </row>
    <row r="7416" spans="13:19" ht="15" customHeight="1" x14ac:dyDescent="0.25">
      <c r="M7416"/>
      <c r="N7416"/>
      <c r="O7416"/>
      <c r="P7416" s="216"/>
      <c r="Q7416" s="217"/>
      <c r="R7416" s="217"/>
      <c r="S7416" s="218"/>
    </row>
    <row r="7417" spans="13:19" ht="15" customHeight="1" x14ac:dyDescent="0.25">
      <c r="M7417"/>
      <c r="N7417"/>
      <c r="O7417"/>
      <c r="P7417" s="216"/>
      <c r="Q7417" s="217"/>
      <c r="R7417" s="217"/>
      <c r="S7417" s="218"/>
    </row>
    <row r="7418" spans="13:19" ht="15" customHeight="1" x14ac:dyDescent="0.25">
      <c r="M7418"/>
      <c r="N7418"/>
      <c r="O7418"/>
      <c r="P7418" s="216"/>
      <c r="Q7418" s="217"/>
      <c r="R7418" s="217"/>
      <c r="S7418" s="218"/>
    </row>
    <row r="7419" spans="13:19" ht="15" customHeight="1" x14ac:dyDescent="0.25">
      <c r="M7419"/>
      <c r="N7419"/>
      <c r="O7419"/>
      <c r="P7419" s="216"/>
      <c r="Q7419" s="217"/>
      <c r="R7419" s="217"/>
      <c r="S7419" s="218"/>
    </row>
    <row r="7420" spans="13:19" ht="15" customHeight="1" x14ac:dyDescent="0.25">
      <c r="M7420"/>
      <c r="N7420"/>
      <c r="O7420"/>
      <c r="P7420" s="216"/>
      <c r="Q7420" s="217"/>
      <c r="R7420" s="217"/>
      <c r="S7420" s="218"/>
    </row>
    <row r="7421" spans="13:19" ht="15" customHeight="1" x14ac:dyDescent="0.25">
      <c r="M7421"/>
      <c r="N7421"/>
      <c r="O7421"/>
      <c r="P7421" s="216"/>
      <c r="Q7421" s="217"/>
      <c r="R7421" s="217"/>
      <c r="S7421" s="218"/>
    </row>
    <row r="7422" spans="13:19" ht="15" customHeight="1" x14ac:dyDescent="0.25">
      <c r="M7422"/>
      <c r="N7422"/>
      <c r="O7422"/>
      <c r="P7422" s="216"/>
      <c r="Q7422" s="217"/>
      <c r="R7422" s="217"/>
      <c r="S7422" s="218"/>
    </row>
    <row r="7423" spans="13:19" ht="15" customHeight="1" x14ac:dyDescent="0.25">
      <c r="M7423"/>
      <c r="N7423"/>
      <c r="O7423"/>
      <c r="P7423" s="216"/>
      <c r="Q7423" s="217"/>
      <c r="R7423" s="217"/>
      <c r="S7423" s="218"/>
    </row>
    <row r="7424" spans="13:19" ht="15" customHeight="1" x14ac:dyDescent="0.25">
      <c r="M7424"/>
      <c r="N7424"/>
      <c r="O7424"/>
      <c r="P7424" s="216"/>
      <c r="Q7424" s="217"/>
      <c r="R7424" s="217"/>
      <c r="S7424" s="218"/>
    </row>
    <row r="7425" spans="13:19" ht="15" customHeight="1" x14ac:dyDescent="0.25">
      <c r="M7425"/>
      <c r="N7425"/>
      <c r="O7425"/>
      <c r="P7425" s="216"/>
      <c r="Q7425" s="217"/>
      <c r="R7425" s="217"/>
      <c r="S7425" s="218"/>
    </row>
    <row r="7426" spans="13:19" ht="15" customHeight="1" x14ac:dyDescent="0.25">
      <c r="M7426"/>
      <c r="N7426"/>
      <c r="O7426"/>
      <c r="P7426" s="216"/>
      <c r="Q7426" s="217"/>
      <c r="R7426" s="217"/>
      <c r="S7426" s="218"/>
    </row>
    <row r="7427" spans="13:19" ht="15" customHeight="1" x14ac:dyDescent="0.25">
      <c r="M7427"/>
      <c r="N7427"/>
      <c r="O7427"/>
      <c r="P7427" s="216"/>
      <c r="Q7427" s="217"/>
      <c r="R7427" s="217"/>
      <c r="S7427" s="218"/>
    </row>
    <row r="7428" spans="13:19" ht="15" customHeight="1" x14ac:dyDescent="0.25">
      <c r="M7428"/>
      <c r="N7428"/>
      <c r="O7428"/>
      <c r="P7428" s="216"/>
      <c r="Q7428" s="217"/>
      <c r="R7428" s="217"/>
      <c r="S7428" s="218"/>
    </row>
    <row r="7429" spans="13:19" ht="15" customHeight="1" x14ac:dyDescent="0.25">
      <c r="M7429"/>
      <c r="N7429"/>
      <c r="O7429"/>
      <c r="P7429" s="216"/>
      <c r="Q7429" s="217"/>
      <c r="R7429" s="217"/>
      <c r="S7429" s="218"/>
    </row>
    <row r="7430" spans="13:19" ht="15" customHeight="1" x14ac:dyDescent="0.25">
      <c r="M7430"/>
      <c r="N7430"/>
      <c r="O7430"/>
      <c r="P7430" s="216"/>
      <c r="Q7430" s="217"/>
      <c r="R7430" s="217"/>
      <c r="S7430" s="218"/>
    </row>
    <row r="7431" spans="13:19" ht="15" customHeight="1" x14ac:dyDescent="0.25">
      <c r="M7431"/>
      <c r="N7431"/>
      <c r="O7431"/>
      <c r="P7431" s="216"/>
      <c r="Q7431" s="217"/>
      <c r="R7431" s="217"/>
      <c r="S7431" s="218"/>
    </row>
    <row r="7432" spans="13:19" ht="15" customHeight="1" x14ac:dyDescent="0.25">
      <c r="M7432"/>
      <c r="N7432"/>
      <c r="O7432"/>
      <c r="P7432" s="216"/>
      <c r="Q7432" s="217"/>
      <c r="R7432" s="217"/>
      <c r="S7432" s="218"/>
    </row>
    <row r="7433" spans="13:19" ht="15" customHeight="1" x14ac:dyDescent="0.25">
      <c r="M7433"/>
      <c r="N7433"/>
      <c r="O7433"/>
      <c r="P7433" s="216"/>
      <c r="Q7433" s="217"/>
      <c r="R7433" s="217"/>
      <c r="S7433" s="218"/>
    </row>
    <row r="7434" spans="13:19" ht="15" customHeight="1" x14ac:dyDescent="0.25">
      <c r="M7434"/>
      <c r="N7434"/>
      <c r="O7434"/>
      <c r="P7434" s="216"/>
      <c r="Q7434" s="217"/>
      <c r="R7434" s="217"/>
      <c r="S7434" s="218"/>
    </row>
    <row r="7435" spans="13:19" ht="15" customHeight="1" x14ac:dyDescent="0.25">
      <c r="M7435"/>
      <c r="N7435"/>
      <c r="O7435"/>
      <c r="P7435" s="216"/>
      <c r="Q7435" s="217"/>
      <c r="R7435" s="217"/>
      <c r="S7435" s="218"/>
    </row>
    <row r="7436" spans="13:19" ht="15" customHeight="1" x14ac:dyDescent="0.25">
      <c r="M7436"/>
      <c r="N7436"/>
      <c r="O7436"/>
      <c r="P7436" s="216"/>
      <c r="Q7436" s="217"/>
      <c r="R7436" s="217"/>
      <c r="S7436" s="218"/>
    </row>
    <row r="7437" spans="13:19" ht="15" customHeight="1" x14ac:dyDescent="0.25">
      <c r="M7437"/>
      <c r="N7437"/>
      <c r="O7437"/>
      <c r="P7437" s="216"/>
      <c r="Q7437" s="217"/>
      <c r="R7437" s="217"/>
      <c r="S7437" s="218"/>
    </row>
    <row r="7438" spans="13:19" ht="15" customHeight="1" x14ac:dyDescent="0.25">
      <c r="M7438"/>
      <c r="N7438"/>
      <c r="O7438"/>
      <c r="P7438" s="216"/>
      <c r="Q7438" s="217"/>
      <c r="R7438" s="217"/>
      <c r="S7438" s="218"/>
    </row>
    <row r="7439" spans="13:19" ht="15" customHeight="1" x14ac:dyDescent="0.25">
      <c r="M7439"/>
      <c r="N7439"/>
      <c r="O7439"/>
      <c r="P7439" s="216"/>
      <c r="Q7439" s="217"/>
      <c r="R7439" s="217"/>
      <c r="S7439" s="218"/>
    </row>
    <row r="7440" spans="13:19" ht="15" customHeight="1" x14ac:dyDescent="0.25">
      <c r="M7440"/>
      <c r="N7440"/>
      <c r="O7440"/>
      <c r="P7440" s="216"/>
      <c r="Q7440" s="217"/>
      <c r="R7440" s="217"/>
      <c r="S7440" s="218"/>
    </row>
    <row r="7441" spans="13:19" ht="15" customHeight="1" x14ac:dyDescent="0.25">
      <c r="M7441"/>
      <c r="N7441"/>
      <c r="O7441"/>
      <c r="P7441" s="216"/>
      <c r="Q7441" s="217"/>
      <c r="R7441" s="217"/>
      <c r="S7441" s="218"/>
    </row>
    <row r="7442" spans="13:19" ht="15" customHeight="1" x14ac:dyDescent="0.25">
      <c r="M7442"/>
      <c r="N7442"/>
      <c r="O7442"/>
      <c r="P7442" s="216"/>
      <c r="Q7442" s="217"/>
      <c r="R7442" s="217"/>
      <c r="S7442" s="218"/>
    </row>
    <row r="7443" spans="13:19" ht="15" customHeight="1" x14ac:dyDescent="0.25">
      <c r="M7443"/>
      <c r="N7443"/>
      <c r="O7443"/>
      <c r="P7443" s="216"/>
      <c r="Q7443" s="217"/>
      <c r="R7443" s="217"/>
      <c r="S7443" s="218"/>
    </row>
    <row r="7444" spans="13:19" ht="15" customHeight="1" x14ac:dyDescent="0.25">
      <c r="M7444"/>
      <c r="N7444"/>
      <c r="O7444"/>
      <c r="P7444" s="216"/>
      <c r="Q7444" s="217"/>
      <c r="R7444" s="217"/>
      <c r="S7444" s="218"/>
    </row>
    <row r="7445" spans="13:19" ht="15" customHeight="1" x14ac:dyDescent="0.25">
      <c r="M7445"/>
      <c r="N7445"/>
      <c r="O7445"/>
      <c r="P7445" s="216"/>
      <c r="Q7445" s="217"/>
      <c r="R7445" s="217"/>
      <c r="S7445" s="218"/>
    </row>
    <row r="7446" spans="13:19" ht="15" customHeight="1" x14ac:dyDescent="0.25">
      <c r="M7446"/>
      <c r="N7446"/>
      <c r="O7446"/>
      <c r="P7446" s="216"/>
      <c r="Q7446" s="217"/>
      <c r="R7446" s="217"/>
      <c r="S7446" s="218"/>
    </row>
    <row r="7447" spans="13:19" ht="15" customHeight="1" x14ac:dyDescent="0.25">
      <c r="M7447"/>
      <c r="N7447"/>
      <c r="O7447"/>
      <c r="P7447" s="216"/>
      <c r="Q7447" s="217"/>
      <c r="R7447" s="217"/>
      <c r="S7447" s="218"/>
    </row>
    <row r="7448" spans="13:19" ht="15" customHeight="1" x14ac:dyDescent="0.25">
      <c r="M7448"/>
      <c r="N7448"/>
      <c r="O7448"/>
      <c r="P7448" s="216"/>
      <c r="Q7448" s="217"/>
      <c r="R7448" s="217"/>
      <c r="S7448" s="218"/>
    </row>
    <row r="7449" spans="13:19" ht="15" customHeight="1" x14ac:dyDescent="0.25">
      <c r="M7449"/>
      <c r="N7449"/>
      <c r="O7449"/>
      <c r="P7449" s="216"/>
      <c r="Q7449" s="217"/>
      <c r="R7449" s="217"/>
      <c r="S7449" s="218"/>
    </row>
    <row r="7450" spans="13:19" ht="15" customHeight="1" x14ac:dyDescent="0.25">
      <c r="M7450"/>
      <c r="N7450"/>
      <c r="O7450"/>
      <c r="P7450" s="216"/>
      <c r="Q7450" s="217"/>
      <c r="R7450" s="217"/>
      <c r="S7450" s="218"/>
    </row>
    <row r="7451" spans="13:19" ht="15" customHeight="1" x14ac:dyDescent="0.25">
      <c r="M7451"/>
      <c r="N7451"/>
      <c r="O7451"/>
      <c r="P7451" s="216"/>
      <c r="Q7451" s="217"/>
      <c r="R7451" s="217"/>
      <c r="S7451" s="218"/>
    </row>
    <row r="7452" spans="13:19" ht="15" customHeight="1" x14ac:dyDescent="0.25">
      <c r="M7452"/>
      <c r="N7452"/>
      <c r="O7452"/>
      <c r="P7452" s="216"/>
      <c r="Q7452" s="217"/>
      <c r="R7452" s="217"/>
      <c r="S7452" s="218"/>
    </row>
    <row r="7453" spans="13:19" ht="15" customHeight="1" x14ac:dyDescent="0.25">
      <c r="M7453"/>
      <c r="N7453"/>
      <c r="O7453"/>
      <c r="P7453" s="216"/>
      <c r="Q7453" s="217"/>
      <c r="R7453" s="217"/>
      <c r="S7453" s="218"/>
    </row>
    <row r="7454" spans="13:19" ht="15" customHeight="1" x14ac:dyDescent="0.25">
      <c r="M7454"/>
      <c r="N7454"/>
      <c r="O7454"/>
      <c r="P7454" s="216"/>
      <c r="Q7454" s="217"/>
      <c r="R7454" s="217"/>
      <c r="S7454" s="218"/>
    </row>
    <row r="7455" spans="13:19" ht="15" customHeight="1" x14ac:dyDescent="0.25">
      <c r="M7455"/>
      <c r="N7455"/>
      <c r="O7455"/>
      <c r="P7455" s="216"/>
      <c r="Q7455" s="217"/>
      <c r="R7455" s="217"/>
      <c r="S7455" s="218"/>
    </row>
    <row r="7456" spans="13:19" ht="15" customHeight="1" x14ac:dyDescent="0.25">
      <c r="M7456"/>
      <c r="N7456"/>
      <c r="O7456"/>
      <c r="P7456" s="216"/>
      <c r="Q7456" s="217"/>
      <c r="R7456" s="217"/>
      <c r="S7456" s="218"/>
    </row>
    <row r="7457" spans="13:19" ht="15" customHeight="1" x14ac:dyDescent="0.25">
      <c r="M7457"/>
      <c r="N7457"/>
      <c r="O7457"/>
      <c r="P7457" s="216"/>
      <c r="Q7457" s="217"/>
      <c r="R7457" s="217"/>
      <c r="S7457" s="218"/>
    </row>
    <row r="7458" spans="13:19" ht="15" customHeight="1" x14ac:dyDescent="0.25">
      <c r="M7458"/>
      <c r="N7458"/>
      <c r="O7458"/>
      <c r="P7458" s="216"/>
      <c r="Q7458" s="217"/>
      <c r="R7458" s="217"/>
      <c r="S7458" s="218"/>
    </row>
    <row r="7459" spans="13:19" ht="15" customHeight="1" x14ac:dyDescent="0.25">
      <c r="M7459"/>
      <c r="N7459"/>
      <c r="O7459"/>
      <c r="P7459" s="216"/>
      <c r="Q7459" s="217"/>
      <c r="R7459" s="217"/>
      <c r="S7459" s="218"/>
    </row>
    <row r="7460" spans="13:19" ht="15" customHeight="1" x14ac:dyDescent="0.25">
      <c r="M7460"/>
      <c r="N7460"/>
      <c r="O7460"/>
      <c r="P7460" s="216"/>
      <c r="Q7460" s="217"/>
      <c r="R7460" s="217"/>
      <c r="S7460" s="218"/>
    </row>
    <row r="7461" spans="13:19" ht="15" customHeight="1" x14ac:dyDescent="0.25">
      <c r="M7461"/>
      <c r="N7461"/>
      <c r="O7461"/>
      <c r="P7461" s="216"/>
      <c r="Q7461" s="217"/>
      <c r="R7461" s="217"/>
      <c r="S7461" s="218"/>
    </row>
    <row r="7462" spans="13:19" ht="15" customHeight="1" x14ac:dyDescent="0.25">
      <c r="M7462"/>
      <c r="N7462"/>
      <c r="O7462"/>
      <c r="P7462" s="216"/>
      <c r="Q7462" s="217"/>
      <c r="R7462" s="217"/>
      <c r="S7462" s="218"/>
    </row>
    <row r="7463" spans="13:19" ht="15" customHeight="1" x14ac:dyDescent="0.25">
      <c r="M7463"/>
      <c r="N7463"/>
      <c r="O7463"/>
      <c r="P7463" s="216"/>
      <c r="Q7463" s="217"/>
      <c r="R7463" s="217"/>
      <c r="S7463" s="218"/>
    </row>
    <row r="7464" spans="13:19" ht="15" customHeight="1" x14ac:dyDescent="0.25">
      <c r="M7464"/>
      <c r="N7464"/>
      <c r="O7464"/>
      <c r="P7464" s="216"/>
      <c r="Q7464" s="217"/>
      <c r="R7464" s="217"/>
      <c r="S7464" s="218"/>
    </row>
    <row r="7465" spans="13:19" ht="15" customHeight="1" x14ac:dyDescent="0.25">
      <c r="M7465"/>
      <c r="N7465"/>
      <c r="O7465"/>
      <c r="P7465" s="216"/>
      <c r="Q7465" s="217"/>
      <c r="R7465" s="217"/>
      <c r="S7465" s="218"/>
    </row>
    <row r="7466" spans="13:19" ht="15" customHeight="1" x14ac:dyDescent="0.25">
      <c r="M7466"/>
      <c r="N7466"/>
      <c r="O7466"/>
      <c r="P7466" s="216"/>
      <c r="Q7466" s="217"/>
      <c r="R7466" s="217"/>
      <c r="S7466" s="218"/>
    </row>
    <row r="7467" spans="13:19" ht="15" customHeight="1" x14ac:dyDescent="0.25">
      <c r="M7467"/>
      <c r="N7467"/>
      <c r="O7467"/>
      <c r="P7467" s="216"/>
      <c r="Q7467" s="217"/>
      <c r="R7467" s="217"/>
      <c r="S7467" s="218"/>
    </row>
    <row r="7468" spans="13:19" ht="15" customHeight="1" x14ac:dyDescent="0.25">
      <c r="M7468"/>
      <c r="N7468"/>
      <c r="O7468"/>
      <c r="P7468" s="216"/>
      <c r="Q7468" s="217"/>
      <c r="R7468" s="217"/>
      <c r="S7468" s="218"/>
    </row>
    <row r="7469" spans="13:19" ht="15" customHeight="1" x14ac:dyDescent="0.25">
      <c r="M7469"/>
      <c r="N7469"/>
      <c r="O7469"/>
      <c r="P7469" s="216"/>
      <c r="Q7469" s="217"/>
      <c r="R7469" s="217"/>
      <c r="S7469" s="218"/>
    </row>
    <row r="7470" spans="13:19" ht="15" customHeight="1" x14ac:dyDescent="0.25">
      <c r="M7470"/>
      <c r="N7470"/>
      <c r="O7470"/>
      <c r="P7470" s="216"/>
      <c r="Q7470" s="217"/>
      <c r="R7470" s="217"/>
      <c r="S7470" s="218"/>
    </row>
    <row r="7471" spans="13:19" ht="15" customHeight="1" x14ac:dyDescent="0.25">
      <c r="M7471"/>
      <c r="N7471"/>
      <c r="O7471"/>
      <c r="P7471" s="216"/>
      <c r="Q7471" s="217"/>
      <c r="R7471" s="217"/>
      <c r="S7471" s="218"/>
    </row>
    <row r="7472" spans="13:19" ht="15" customHeight="1" x14ac:dyDescent="0.25">
      <c r="M7472"/>
      <c r="N7472"/>
      <c r="O7472"/>
      <c r="P7472" s="216"/>
      <c r="Q7472" s="217"/>
      <c r="R7472" s="217"/>
      <c r="S7472" s="218"/>
    </row>
    <row r="7473" spans="13:19" ht="15" customHeight="1" x14ac:dyDescent="0.25">
      <c r="M7473"/>
      <c r="N7473"/>
      <c r="O7473"/>
      <c r="P7473" s="216"/>
      <c r="Q7473" s="217"/>
      <c r="R7473" s="217"/>
      <c r="S7473" s="218"/>
    </row>
    <row r="7474" spans="13:19" ht="15" customHeight="1" x14ac:dyDescent="0.25">
      <c r="M7474"/>
      <c r="N7474"/>
      <c r="O7474"/>
      <c r="P7474" s="216"/>
      <c r="Q7474" s="217"/>
      <c r="R7474" s="217"/>
      <c r="S7474" s="218"/>
    </row>
    <row r="7475" spans="13:19" ht="15" customHeight="1" x14ac:dyDescent="0.25">
      <c r="M7475"/>
      <c r="N7475"/>
      <c r="O7475"/>
      <c r="P7475" s="216"/>
      <c r="Q7475" s="217"/>
      <c r="R7475" s="217"/>
      <c r="S7475" s="218"/>
    </row>
    <row r="7476" spans="13:19" ht="15" customHeight="1" x14ac:dyDescent="0.25">
      <c r="M7476"/>
      <c r="N7476"/>
      <c r="O7476"/>
      <c r="P7476" s="216"/>
      <c r="Q7476" s="217"/>
      <c r="R7476" s="217"/>
      <c r="S7476" s="218"/>
    </row>
    <row r="7477" spans="13:19" ht="15" customHeight="1" x14ac:dyDescent="0.25">
      <c r="M7477"/>
      <c r="N7477"/>
      <c r="O7477"/>
      <c r="P7477" s="216"/>
      <c r="Q7477" s="217"/>
      <c r="R7477" s="217"/>
      <c r="S7477" s="218"/>
    </row>
    <row r="7478" spans="13:19" ht="15" customHeight="1" x14ac:dyDescent="0.25">
      <c r="M7478"/>
      <c r="N7478"/>
      <c r="O7478"/>
      <c r="P7478" s="216"/>
      <c r="Q7478" s="217"/>
      <c r="R7478" s="217"/>
      <c r="S7478" s="218"/>
    </row>
    <row r="7479" spans="13:19" ht="15" customHeight="1" x14ac:dyDescent="0.25">
      <c r="M7479"/>
      <c r="N7479"/>
      <c r="O7479"/>
      <c r="P7479" s="216"/>
      <c r="Q7479" s="217"/>
      <c r="R7479" s="217"/>
      <c r="S7479" s="218"/>
    </row>
    <row r="7480" spans="13:19" ht="15" customHeight="1" x14ac:dyDescent="0.25">
      <c r="M7480"/>
      <c r="N7480"/>
      <c r="O7480"/>
      <c r="P7480" s="216"/>
      <c r="Q7480" s="217"/>
      <c r="R7480" s="217"/>
      <c r="S7480" s="218"/>
    </row>
    <row r="7481" spans="13:19" ht="15" customHeight="1" x14ac:dyDescent="0.25">
      <c r="M7481"/>
      <c r="N7481"/>
      <c r="O7481"/>
      <c r="P7481" s="216"/>
      <c r="Q7481" s="217"/>
      <c r="R7481" s="217"/>
      <c r="S7481" s="218"/>
    </row>
    <row r="7482" spans="13:19" ht="15" customHeight="1" x14ac:dyDescent="0.25">
      <c r="M7482"/>
      <c r="N7482"/>
      <c r="O7482"/>
      <c r="P7482" s="216"/>
      <c r="Q7482" s="217"/>
      <c r="R7482" s="217"/>
      <c r="S7482" s="218"/>
    </row>
    <row r="7483" spans="13:19" ht="15" customHeight="1" x14ac:dyDescent="0.25">
      <c r="M7483"/>
      <c r="N7483"/>
      <c r="O7483"/>
      <c r="P7483" s="216"/>
      <c r="Q7483" s="217"/>
      <c r="R7483" s="217"/>
      <c r="S7483" s="218"/>
    </row>
    <row r="7484" spans="13:19" ht="15" customHeight="1" x14ac:dyDescent="0.25">
      <c r="M7484"/>
      <c r="N7484"/>
      <c r="O7484"/>
      <c r="P7484" s="216"/>
      <c r="Q7484" s="217"/>
      <c r="R7484" s="217"/>
      <c r="S7484" s="218"/>
    </row>
    <row r="7485" spans="13:19" ht="15" customHeight="1" x14ac:dyDescent="0.25">
      <c r="M7485"/>
      <c r="N7485"/>
      <c r="O7485"/>
      <c r="P7485" s="216"/>
      <c r="Q7485" s="217"/>
      <c r="R7485" s="217"/>
      <c r="S7485" s="218"/>
    </row>
    <row r="7486" spans="13:19" ht="15" customHeight="1" x14ac:dyDescent="0.25">
      <c r="M7486"/>
      <c r="N7486"/>
      <c r="O7486"/>
      <c r="P7486" s="216"/>
      <c r="Q7486" s="217"/>
      <c r="R7486" s="217"/>
      <c r="S7486" s="218"/>
    </row>
    <row r="7487" spans="13:19" ht="15" customHeight="1" x14ac:dyDescent="0.25">
      <c r="M7487"/>
      <c r="N7487"/>
      <c r="O7487"/>
      <c r="P7487" s="216"/>
      <c r="Q7487" s="217"/>
      <c r="R7487" s="217"/>
      <c r="S7487" s="218"/>
    </row>
    <row r="7488" spans="13:19" ht="15" customHeight="1" x14ac:dyDescent="0.25">
      <c r="M7488"/>
      <c r="N7488"/>
      <c r="O7488"/>
      <c r="P7488" s="216"/>
      <c r="Q7488" s="217"/>
      <c r="R7488" s="217"/>
      <c r="S7488" s="218"/>
    </row>
    <row r="7489" spans="13:19" ht="15" customHeight="1" x14ac:dyDescent="0.25">
      <c r="M7489"/>
      <c r="N7489"/>
      <c r="O7489"/>
      <c r="P7489" s="216"/>
      <c r="Q7489" s="217"/>
      <c r="R7489" s="217"/>
      <c r="S7489" s="218"/>
    </row>
    <row r="7490" spans="13:19" ht="15" customHeight="1" x14ac:dyDescent="0.25">
      <c r="M7490"/>
      <c r="N7490"/>
      <c r="O7490"/>
      <c r="P7490" s="216"/>
      <c r="Q7490" s="217"/>
      <c r="R7490" s="217"/>
      <c r="S7490" s="218"/>
    </row>
    <row r="7491" spans="13:19" ht="15" customHeight="1" x14ac:dyDescent="0.25">
      <c r="M7491"/>
      <c r="N7491"/>
      <c r="O7491"/>
      <c r="P7491" s="216"/>
      <c r="Q7491" s="217"/>
      <c r="R7491" s="217"/>
      <c r="S7491" s="218"/>
    </row>
    <row r="7492" spans="13:19" ht="15" customHeight="1" x14ac:dyDescent="0.25">
      <c r="M7492"/>
      <c r="N7492"/>
      <c r="O7492"/>
      <c r="P7492" s="216"/>
      <c r="Q7492" s="217"/>
      <c r="R7492" s="217"/>
      <c r="S7492" s="218"/>
    </row>
    <row r="7493" spans="13:19" ht="15" customHeight="1" x14ac:dyDescent="0.25">
      <c r="M7493"/>
      <c r="N7493"/>
      <c r="O7493"/>
      <c r="P7493" s="216"/>
      <c r="Q7493" s="217"/>
      <c r="R7493" s="217"/>
      <c r="S7493" s="218"/>
    </row>
    <row r="7494" spans="13:19" ht="15" customHeight="1" x14ac:dyDescent="0.25">
      <c r="M7494"/>
      <c r="N7494"/>
      <c r="O7494"/>
      <c r="P7494" s="216"/>
      <c r="Q7494" s="217"/>
      <c r="R7494" s="217"/>
      <c r="S7494" s="218"/>
    </row>
    <row r="7495" spans="13:19" ht="15" customHeight="1" x14ac:dyDescent="0.25">
      <c r="M7495"/>
      <c r="N7495"/>
      <c r="O7495"/>
      <c r="P7495" s="216"/>
      <c r="Q7495" s="217"/>
      <c r="R7495" s="217"/>
      <c r="S7495" s="218"/>
    </row>
    <row r="7496" spans="13:19" ht="15" customHeight="1" x14ac:dyDescent="0.25">
      <c r="M7496"/>
      <c r="N7496"/>
      <c r="O7496"/>
      <c r="P7496" s="216"/>
      <c r="Q7496" s="217"/>
      <c r="R7496" s="217"/>
      <c r="S7496" s="218"/>
    </row>
    <row r="7497" spans="13:19" ht="15" customHeight="1" x14ac:dyDescent="0.25">
      <c r="M7497"/>
      <c r="N7497"/>
      <c r="O7497"/>
      <c r="P7497" s="216"/>
      <c r="Q7497" s="217"/>
      <c r="R7497" s="217"/>
      <c r="S7497" s="218"/>
    </row>
    <row r="7498" spans="13:19" ht="15" customHeight="1" x14ac:dyDescent="0.25">
      <c r="M7498"/>
      <c r="N7498"/>
      <c r="O7498"/>
      <c r="P7498" s="216"/>
      <c r="Q7498" s="217"/>
      <c r="R7498" s="217"/>
      <c r="S7498" s="218"/>
    </row>
    <row r="7499" spans="13:19" ht="15" customHeight="1" x14ac:dyDescent="0.25">
      <c r="M7499"/>
      <c r="N7499"/>
      <c r="O7499"/>
      <c r="P7499" s="216"/>
      <c r="Q7499" s="217"/>
      <c r="R7499" s="217"/>
      <c r="S7499" s="218"/>
    </row>
    <row r="7500" spans="13:19" ht="15" customHeight="1" x14ac:dyDescent="0.25">
      <c r="M7500"/>
      <c r="N7500"/>
      <c r="O7500"/>
      <c r="P7500" s="216"/>
      <c r="Q7500" s="217"/>
      <c r="R7500" s="217"/>
      <c r="S7500" s="218"/>
    </row>
    <row r="7501" spans="13:19" ht="15" customHeight="1" x14ac:dyDescent="0.25">
      <c r="M7501"/>
      <c r="N7501"/>
      <c r="O7501"/>
      <c r="P7501" s="216"/>
      <c r="Q7501" s="217"/>
      <c r="R7501" s="217"/>
      <c r="S7501" s="218"/>
    </row>
    <row r="7502" spans="13:19" ht="15" customHeight="1" x14ac:dyDescent="0.25">
      <c r="M7502"/>
      <c r="N7502"/>
      <c r="O7502"/>
      <c r="P7502" s="216"/>
      <c r="Q7502" s="217"/>
      <c r="R7502" s="217"/>
      <c r="S7502" s="218"/>
    </row>
    <row r="7503" spans="13:19" ht="15" customHeight="1" x14ac:dyDescent="0.25">
      <c r="M7503"/>
      <c r="N7503"/>
      <c r="O7503"/>
      <c r="P7503" s="216"/>
      <c r="Q7503" s="217"/>
      <c r="R7503" s="217"/>
      <c r="S7503" s="218"/>
    </row>
    <row r="7504" spans="13:19" ht="15" customHeight="1" x14ac:dyDescent="0.25">
      <c r="M7504"/>
      <c r="N7504"/>
      <c r="O7504"/>
      <c r="P7504" s="216"/>
      <c r="Q7504" s="217"/>
      <c r="R7504" s="217"/>
      <c r="S7504" s="218"/>
    </row>
    <row r="7505" spans="13:19" ht="15" customHeight="1" x14ac:dyDescent="0.25">
      <c r="M7505"/>
      <c r="N7505"/>
      <c r="O7505"/>
      <c r="P7505" s="216"/>
      <c r="Q7505" s="217"/>
      <c r="R7505" s="217"/>
      <c r="S7505" s="218"/>
    </row>
    <row r="7506" spans="13:19" ht="15" customHeight="1" x14ac:dyDescent="0.25">
      <c r="M7506"/>
      <c r="N7506"/>
      <c r="O7506"/>
      <c r="P7506" s="216"/>
      <c r="Q7506" s="217"/>
      <c r="R7506" s="217"/>
      <c r="S7506" s="218"/>
    </row>
    <row r="7507" spans="13:19" ht="15" customHeight="1" x14ac:dyDescent="0.25">
      <c r="M7507"/>
      <c r="N7507"/>
      <c r="O7507"/>
      <c r="P7507" s="216"/>
      <c r="Q7507" s="217"/>
      <c r="R7507" s="217"/>
      <c r="S7507" s="218"/>
    </row>
    <row r="7508" spans="13:19" ht="15" customHeight="1" x14ac:dyDescent="0.25">
      <c r="M7508"/>
      <c r="N7508"/>
      <c r="O7508"/>
      <c r="P7508" s="216"/>
      <c r="Q7508" s="217"/>
      <c r="R7508" s="217"/>
      <c r="S7508" s="218"/>
    </row>
    <row r="7509" spans="13:19" ht="15" customHeight="1" x14ac:dyDescent="0.25">
      <c r="M7509"/>
      <c r="N7509"/>
      <c r="O7509"/>
      <c r="P7509" s="216"/>
      <c r="Q7509" s="217"/>
      <c r="R7509" s="217"/>
      <c r="S7509" s="218"/>
    </row>
    <row r="7510" spans="13:19" ht="15" customHeight="1" x14ac:dyDescent="0.25">
      <c r="M7510"/>
      <c r="N7510"/>
      <c r="O7510"/>
      <c r="P7510" s="216"/>
      <c r="Q7510" s="217"/>
      <c r="R7510" s="217"/>
      <c r="S7510" s="218"/>
    </row>
    <row r="7511" spans="13:19" ht="15" customHeight="1" x14ac:dyDescent="0.25">
      <c r="M7511"/>
      <c r="N7511"/>
      <c r="O7511"/>
      <c r="P7511" s="216"/>
      <c r="Q7511" s="217"/>
      <c r="R7511" s="217"/>
      <c r="S7511" s="218"/>
    </row>
    <row r="7512" spans="13:19" ht="15" customHeight="1" x14ac:dyDescent="0.25">
      <c r="M7512"/>
      <c r="N7512"/>
      <c r="O7512"/>
      <c r="P7512" s="216"/>
      <c r="Q7512" s="217"/>
      <c r="R7512" s="217"/>
      <c r="S7512" s="218"/>
    </row>
    <row r="7513" spans="13:19" ht="15" customHeight="1" x14ac:dyDescent="0.25">
      <c r="M7513"/>
      <c r="N7513"/>
      <c r="O7513"/>
      <c r="P7513" s="216"/>
      <c r="Q7513" s="217"/>
      <c r="R7513" s="217"/>
      <c r="S7513" s="218"/>
    </row>
    <row r="7514" spans="13:19" ht="15" customHeight="1" x14ac:dyDescent="0.25">
      <c r="M7514"/>
      <c r="N7514"/>
      <c r="O7514"/>
      <c r="P7514" s="216"/>
      <c r="Q7514" s="217"/>
      <c r="R7514" s="217"/>
      <c r="S7514" s="218"/>
    </row>
    <row r="7515" spans="13:19" ht="15" customHeight="1" x14ac:dyDescent="0.25">
      <c r="M7515"/>
      <c r="N7515"/>
      <c r="O7515"/>
      <c r="P7515" s="216"/>
      <c r="Q7515" s="217"/>
      <c r="R7515" s="217"/>
      <c r="S7515" s="218"/>
    </row>
    <row r="7516" spans="13:19" ht="15" customHeight="1" x14ac:dyDescent="0.25">
      <c r="M7516"/>
      <c r="N7516"/>
      <c r="O7516"/>
      <c r="P7516" s="216"/>
      <c r="Q7516" s="217"/>
      <c r="R7516" s="217"/>
      <c r="S7516" s="218"/>
    </row>
    <row r="7517" spans="13:19" ht="15" customHeight="1" x14ac:dyDescent="0.25">
      <c r="M7517"/>
      <c r="N7517"/>
      <c r="O7517"/>
      <c r="P7517" s="216"/>
      <c r="Q7517" s="217"/>
      <c r="R7517" s="217"/>
      <c r="S7517" s="218"/>
    </row>
    <row r="7518" spans="13:19" ht="15" customHeight="1" x14ac:dyDescent="0.25">
      <c r="M7518"/>
      <c r="N7518"/>
      <c r="O7518"/>
      <c r="P7518" s="216"/>
      <c r="Q7518" s="217"/>
      <c r="R7518" s="217"/>
      <c r="S7518" s="218"/>
    </row>
    <row r="7519" spans="13:19" ht="15" customHeight="1" x14ac:dyDescent="0.25">
      <c r="M7519"/>
      <c r="N7519"/>
      <c r="O7519"/>
      <c r="P7519" s="216"/>
      <c r="Q7519" s="217"/>
      <c r="R7519" s="217"/>
      <c r="S7519" s="218"/>
    </row>
    <row r="7520" spans="13:19" ht="15" customHeight="1" x14ac:dyDescent="0.25">
      <c r="M7520"/>
      <c r="N7520"/>
      <c r="O7520"/>
      <c r="P7520" s="216"/>
      <c r="Q7520" s="217"/>
      <c r="R7520" s="217"/>
      <c r="S7520" s="218"/>
    </row>
    <row r="7521" spans="13:19" ht="15" customHeight="1" x14ac:dyDescent="0.25">
      <c r="M7521"/>
      <c r="N7521"/>
      <c r="O7521"/>
      <c r="P7521" s="216"/>
      <c r="Q7521" s="217"/>
      <c r="R7521" s="217"/>
      <c r="S7521" s="218"/>
    </row>
    <row r="7522" spans="13:19" ht="15" customHeight="1" x14ac:dyDescent="0.25">
      <c r="M7522"/>
      <c r="N7522"/>
      <c r="O7522"/>
      <c r="P7522" s="216"/>
      <c r="Q7522" s="217"/>
      <c r="R7522" s="217"/>
      <c r="S7522" s="218"/>
    </row>
    <row r="7523" spans="13:19" ht="15" customHeight="1" x14ac:dyDescent="0.25">
      <c r="M7523"/>
      <c r="N7523"/>
      <c r="O7523"/>
      <c r="P7523" s="216"/>
      <c r="Q7523" s="217"/>
      <c r="R7523" s="217"/>
      <c r="S7523" s="218"/>
    </row>
    <row r="7524" spans="13:19" ht="15" customHeight="1" x14ac:dyDescent="0.25">
      <c r="M7524"/>
      <c r="N7524"/>
      <c r="O7524"/>
      <c r="P7524" s="216"/>
      <c r="Q7524" s="217"/>
      <c r="R7524" s="217"/>
      <c r="S7524" s="218"/>
    </row>
    <row r="7525" spans="13:19" ht="15" customHeight="1" x14ac:dyDescent="0.25">
      <c r="M7525"/>
      <c r="N7525"/>
      <c r="O7525"/>
      <c r="P7525" s="216"/>
      <c r="Q7525" s="217"/>
      <c r="R7525" s="217"/>
      <c r="S7525" s="218"/>
    </row>
    <row r="7526" spans="13:19" ht="15" customHeight="1" x14ac:dyDescent="0.25">
      <c r="M7526"/>
      <c r="N7526"/>
      <c r="O7526"/>
      <c r="P7526" s="216"/>
      <c r="Q7526" s="217"/>
      <c r="R7526" s="217"/>
      <c r="S7526" s="218"/>
    </row>
    <row r="7527" spans="13:19" ht="15" customHeight="1" x14ac:dyDescent="0.25">
      <c r="M7527"/>
      <c r="N7527"/>
      <c r="O7527"/>
      <c r="P7527" s="216"/>
      <c r="Q7527" s="217"/>
      <c r="R7527" s="217"/>
      <c r="S7527" s="218"/>
    </row>
    <row r="7528" spans="13:19" ht="15" customHeight="1" x14ac:dyDescent="0.25">
      <c r="M7528"/>
      <c r="N7528"/>
      <c r="O7528"/>
      <c r="P7528" s="216"/>
      <c r="Q7528" s="217"/>
      <c r="R7528" s="217"/>
      <c r="S7528" s="218"/>
    </row>
    <row r="7529" spans="13:19" ht="15" customHeight="1" x14ac:dyDescent="0.25">
      <c r="M7529"/>
      <c r="N7529"/>
      <c r="O7529"/>
      <c r="P7529" s="216"/>
      <c r="Q7529" s="217"/>
      <c r="R7529" s="217"/>
      <c r="S7529" s="218"/>
    </row>
    <row r="7530" spans="13:19" ht="15" customHeight="1" x14ac:dyDescent="0.25">
      <c r="M7530"/>
      <c r="N7530"/>
      <c r="O7530"/>
      <c r="P7530" s="216"/>
      <c r="Q7530" s="217"/>
      <c r="R7530" s="217"/>
      <c r="S7530" s="218"/>
    </row>
    <row r="7531" spans="13:19" ht="15" customHeight="1" x14ac:dyDescent="0.25">
      <c r="M7531"/>
      <c r="N7531"/>
      <c r="O7531"/>
      <c r="P7531" s="216"/>
      <c r="Q7531" s="217"/>
      <c r="R7531" s="217"/>
      <c r="S7531" s="218"/>
    </row>
    <row r="7532" spans="13:19" ht="15" customHeight="1" x14ac:dyDescent="0.25">
      <c r="M7532"/>
      <c r="N7532"/>
      <c r="O7532"/>
      <c r="P7532" s="216"/>
      <c r="Q7532" s="217"/>
      <c r="R7532" s="217"/>
      <c r="S7532" s="218"/>
    </row>
    <row r="7533" spans="13:19" ht="15" customHeight="1" x14ac:dyDescent="0.25">
      <c r="M7533"/>
      <c r="N7533"/>
      <c r="O7533"/>
      <c r="P7533" s="216"/>
      <c r="Q7533" s="217"/>
      <c r="R7533" s="217"/>
      <c r="S7533" s="218"/>
    </row>
    <row r="7534" spans="13:19" ht="15" customHeight="1" x14ac:dyDescent="0.25">
      <c r="M7534"/>
      <c r="N7534"/>
      <c r="O7534"/>
      <c r="P7534" s="216"/>
      <c r="Q7534" s="217"/>
      <c r="R7534" s="217"/>
      <c r="S7534" s="218"/>
    </row>
    <row r="7535" spans="13:19" ht="15" customHeight="1" x14ac:dyDescent="0.25">
      <c r="M7535"/>
      <c r="N7535"/>
      <c r="O7535"/>
      <c r="P7535" s="216"/>
      <c r="Q7535" s="217"/>
      <c r="R7535" s="217"/>
      <c r="S7535" s="218"/>
    </row>
    <row r="7536" spans="13:19" ht="15" customHeight="1" x14ac:dyDescent="0.25">
      <c r="M7536"/>
      <c r="N7536"/>
      <c r="O7536"/>
      <c r="P7536" s="216"/>
      <c r="Q7536" s="217"/>
      <c r="R7536" s="217"/>
      <c r="S7536" s="218"/>
    </row>
    <row r="7537" spans="13:19" ht="15" customHeight="1" x14ac:dyDescent="0.25">
      <c r="M7537"/>
      <c r="N7537"/>
      <c r="O7537"/>
      <c r="P7537" s="216"/>
      <c r="Q7537" s="217"/>
      <c r="R7537" s="217"/>
      <c r="S7537" s="218"/>
    </row>
    <row r="7538" spans="13:19" ht="15" customHeight="1" x14ac:dyDescent="0.25">
      <c r="M7538"/>
      <c r="N7538"/>
      <c r="O7538"/>
      <c r="P7538" s="216"/>
      <c r="Q7538" s="217"/>
      <c r="R7538" s="217"/>
      <c r="S7538" s="218"/>
    </row>
    <row r="7539" spans="13:19" ht="15" customHeight="1" x14ac:dyDescent="0.25">
      <c r="M7539"/>
      <c r="N7539"/>
      <c r="O7539"/>
      <c r="P7539" s="216"/>
      <c r="Q7539" s="217"/>
      <c r="R7539" s="217"/>
      <c r="S7539" s="218"/>
    </row>
    <row r="7540" spans="13:19" ht="15" customHeight="1" x14ac:dyDescent="0.25">
      <c r="M7540"/>
      <c r="N7540"/>
      <c r="O7540"/>
      <c r="P7540" s="216"/>
      <c r="Q7540" s="217"/>
      <c r="R7540" s="217"/>
      <c r="S7540" s="218"/>
    </row>
    <row r="7541" spans="13:19" ht="15" customHeight="1" x14ac:dyDescent="0.25">
      <c r="M7541"/>
      <c r="N7541"/>
      <c r="O7541"/>
      <c r="P7541" s="216"/>
      <c r="Q7541" s="217"/>
      <c r="R7541" s="217"/>
      <c r="S7541" s="218"/>
    </row>
    <row r="7542" spans="13:19" ht="15" customHeight="1" x14ac:dyDescent="0.25">
      <c r="M7542"/>
      <c r="N7542"/>
      <c r="O7542"/>
      <c r="P7542" s="216"/>
      <c r="Q7542" s="217"/>
      <c r="R7542" s="217"/>
      <c r="S7542" s="218"/>
    </row>
    <row r="7543" spans="13:19" ht="15" customHeight="1" x14ac:dyDescent="0.25">
      <c r="M7543"/>
      <c r="N7543"/>
      <c r="O7543"/>
      <c r="P7543" s="216"/>
      <c r="Q7543" s="217"/>
      <c r="R7543" s="217"/>
      <c r="S7543" s="218"/>
    </row>
    <row r="7544" spans="13:19" ht="15" customHeight="1" x14ac:dyDescent="0.25">
      <c r="M7544"/>
      <c r="N7544"/>
      <c r="O7544"/>
      <c r="P7544" s="216"/>
      <c r="Q7544" s="217"/>
      <c r="R7544" s="217"/>
      <c r="S7544" s="218"/>
    </row>
    <row r="7545" spans="13:19" ht="15" customHeight="1" x14ac:dyDescent="0.25">
      <c r="M7545"/>
      <c r="N7545"/>
      <c r="O7545"/>
      <c r="P7545" s="216"/>
      <c r="Q7545" s="217"/>
      <c r="R7545" s="217"/>
      <c r="S7545" s="218"/>
    </row>
    <row r="7546" spans="13:19" ht="15" customHeight="1" x14ac:dyDescent="0.25">
      <c r="M7546"/>
      <c r="N7546"/>
      <c r="O7546"/>
      <c r="P7546" s="216"/>
      <c r="Q7546" s="217"/>
      <c r="R7546" s="217"/>
      <c r="S7546" s="218"/>
    </row>
    <row r="7547" spans="13:19" ht="15" customHeight="1" x14ac:dyDescent="0.25">
      <c r="M7547"/>
      <c r="N7547"/>
      <c r="O7547"/>
      <c r="P7547" s="216"/>
      <c r="Q7547" s="217"/>
      <c r="R7547" s="217"/>
      <c r="S7547" s="218"/>
    </row>
    <row r="7548" spans="13:19" ht="15" customHeight="1" x14ac:dyDescent="0.25">
      <c r="M7548"/>
      <c r="N7548"/>
      <c r="O7548"/>
      <c r="P7548" s="216"/>
      <c r="Q7548" s="217"/>
      <c r="R7548" s="217"/>
      <c r="S7548" s="218"/>
    </row>
    <row r="7549" spans="13:19" ht="15" customHeight="1" x14ac:dyDescent="0.25">
      <c r="M7549"/>
      <c r="N7549"/>
      <c r="O7549"/>
      <c r="P7549" s="216"/>
      <c r="Q7549" s="217"/>
      <c r="R7549" s="217"/>
      <c r="S7549" s="218"/>
    </row>
    <row r="7550" spans="13:19" ht="15" customHeight="1" x14ac:dyDescent="0.25">
      <c r="M7550"/>
      <c r="N7550"/>
      <c r="O7550"/>
      <c r="P7550" s="216"/>
      <c r="Q7550" s="217"/>
      <c r="R7550" s="217"/>
      <c r="S7550" s="218"/>
    </row>
    <row r="7551" spans="13:19" ht="15" customHeight="1" x14ac:dyDescent="0.25">
      <c r="M7551"/>
      <c r="N7551"/>
      <c r="O7551"/>
      <c r="P7551" s="216"/>
      <c r="Q7551" s="217"/>
      <c r="R7551" s="217"/>
      <c r="S7551" s="218"/>
    </row>
    <row r="7552" spans="13:19" ht="15" customHeight="1" x14ac:dyDescent="0.25">
      <c r="M7552"/>
      <c r="N7552"/>
      <c r="O7552"/>
      <c r="P7552" s="216"/>
      <c r="Q7552" s="217"/>
      <c r="R7552" s="217"/>
      <c r="S7552" s="218"/>
    </row>
    <row r="7553" spans="13:19" ht="15" customHeight="1" x14ac:dyDescent="0.25">
      <c r="M7553"/>
      <c r="N7553"/>
      <c r="O7553"/>
      <c r="P7553" s="216"/>
      <c r="Q7553" s="217"/>
      <c r="R7553" s="217"/>
      <c r="S7553" s="218"/>
    </row>
    <row r="7554" spans="13:19" ht="15" customHeight="1" x14ac:dyDescent="0.25">
      <c r="M7554"/>
      <c r="N7554"/>
      <c r="O7554"/>
      <c r="P7554" s="216"/>
      <c r="Q7554" s="217"/>
      <c r="R7554" s="217"/>
      <c r="S7554" s="218"/>
    </row>
    <row r="7555" spans="13:19" ht="15" customHeight="1" x14ac:dyDescent="0.25">
      <c r="M7555"/>
      <c r="N7555"/>
      <c r="O7555"/>
      <c r="P7555" s="216"/>
      <c r="Q7555" s="217"/>
      <c r="R7555" s="217"/>
      <c r="S7555" s="218"/>
    </row>
    <row r="7556" spans="13:19" ht="15" customHeight="1" x14ac:dyDescent="0.25">
      <c r="M7556"/>
      <c r="N7556"/>
      <c r="O7556"/>
      <c r="P7556" s="216"/>
      <c r="Q7556" s="217"/>
      <c r="R7556" s="217"/>
      <c r="S7556" s="218"/>
    </row>
    <row r="7557" spans="13:19" ht="15" customHeight="1" x14ac:dyDescent="0.25">
      <c r="M7557"/>
      <c r="N7557"/>
      <c r="O7557"/>
      <c r="P7557" s="216"/>
      <c r="Q7557" s="217"/>
      <c r="R7557" s="217"/>
      <c r="S7557" s="218"/>
    </row>
    <row r="7558" spans="13:19" ht="15" customHeight="1" x14ac:dyDescent="0.25">
      <c r="M7558"/>
      <c r="N7558"/>
      <c r="O7558"/>
      <c r="P7558" s="216"/>
      <c r="Q7558" s="217"/>
      <c r="R7558" s="217"/>
      <c r="S7558" s="218"/>
    </row>
    <row r="7559" spans="13:19" ht="15" customHeight="1" x14ac:dyDescent="0.25">
      <c r="M7559"/>
      <c r="N7559"/>
      <c r="O7559"/>
      <c r="P7559" s="216"/>
      <c r="Q7559" s="217"/>
      <c r="R7559" s="217"/>
      <c r="S7559" s="218"/>
    </row>
    <row r="7560" spans="13:19" ht="15" customHeight="1" x14ac:dyDescent="0.25">
      <c r="M7560"/>
      <c r="N7560"/>
      <c r="O7560"/>
      <c r="P7560" s="216"/>
      <c r="Q7560" s="217"/>
      <c r="R7560" s="217"/>
      <c r="S7560" s="218"/>
    </row>
    <row r="7561" spans="13:19" ht="15" customHeight="1" x14ac:dyDescent="0.25">
      <c r="M7561"/>
      <c r="N7561"/>
      <c r="O7561"/>
      <c r="P7561" s="216"/>
      <c r="Q7561" s="217"/>
      <c r="R7561" s="217"/>
      <c r="S7561" s="218"/>
    </row>
    <row r="7562" spans="13:19" ht="15" customHeight="1" x14ac:dyDescent="0.25">
      <c r="M7562"/>
      <c r="N7562"/>
      <c r="O7562"/>
      <c r="P7562" s="216"/>
      <c r="Q7562" s="217"/>
      <c r="R7562" s="217"/>
      <c r="S7562" s="218"/>
    </row>
    <row r="7563" spans="13:19" ht="15" customHeight="1" x14ac:dyDescent="0.25">
      <c r="M7563"/>
      <c r="N7563"/>
      <c r="O7563"/>
      <c r="P7563" s="216"/>
      <c r="Q7563" s="217"/>
      <c r="R7563" s="217"/>
      <c r="S7563" s="218"/>
    </row>
    <row r="7564" spans="13:19" ht="15" customHeight="1" x14ac:dyDescent="0.25">
      <c r="M7564"/>
      <c r="N7564"/>
      <c r="O7564"/>
      <c r="P7564" s="216"/>
      <c r="Q7564" s="217"/>
      <c r="R7564" s="217"/>
      <c r="S7564" s="218"/>
    </row>
    <row r="7565" spans="13:19" ht="15" customHeight="1" x14ac:dyDescent="0.25">
      <c r="M7565"/>
      <c r="N7565"/>
      <c r="O7565"/>
      <c r="P7565" s="216"/>
      <c r="Q7565" s="217"/>
      <c r="R7565" s="217"/>
      <c r="S7565" s="218"/>
    </row>
    <row r="7566" spans="13:19" ht="15" customHeight="1" x14ac:dyDescent="0.25">
      <c r="M7566"/>
      <c r="N7566"/>
      <c r="O7566"/>
      <c r="P7566" s="216"/>
      <c r="Q7566" s="217"/>
      <c r="R7566" s="217"/>
      <c r="S7566" s="218"/>
    </row>
    <row r="7567" spans="13:19" ht="15" customHeight="1" x14ac:dyDescent="0.25">
      <c r="M7567"/>
      <c r="N7567"/>
      <c r="O7567"/>
      <c r="P7567" s="216"/>
      <c r="Q7567" s="217"/>
      <c r="R7567" s="217"/>
      <c r="S7567" s="218"/>
    </row>
    <row r="7568" spans="13:19" ht="15" customHeight="1" x14ac:dyDescent="0.25">
      <c r="M7568"/>
      <c r="N7568"/>
      <c r="O7568"/>
      <c r="P7568" s="216"/>
      <c r="Q7568" s="217"/>
      <c r="R7568" s="217"/>
      <c r="S7568" s="218"/>
    </row>
    <row r="7569" spans="13:19" ht="15" customHeight="1" x14ac:dyDescent="0.25">
      <c r="M7569"/>
      <c r="N7569"/>
      <c r="O7569"/>
      <c r="P7569" s="216"/>
      <c r="Q7569" s="217"/>
      <c r="R7569" s="217"/>
      <c r="S7569" s="218"/>
    </row>
    <row r="7570" spans="13:19" ht="15" customHeight="1" x14ac:dyDescent="0.25">
      <c r="M7570"/>
      <c r="N7570"/>
      <c r="O7570"/>
      <c r="P7570" s="216"/>
      <c r="Q7570" s="217"/>
      <c r="R7570" s="217"/>
      <c r="S7570" s="218"/>
    </row>
    <row r="7571" spans="13:19" ht="15" customHeight="1" x14ac:dyDescent="0.25">
      <c r="M7571"/>
      <c r="N7571"/>
      <c r="O7571"/>
      <c r="P7571" s="216"/>
      <c r="Q7571" s="217"/>
      <c r="R7571" s="217"/>
      <c r="S7571" s="218"/>
    </row>
    <row r="7572" spans="13:19" ht="15" customHeight="1" x14ac:dyDescent="0.25">
      <c r="M7572"/>
      <c r="N7572"/>
      <c r="O7572"/>
      <c r="P7572" s="216"/>
      <c r="Q7572" s="217"/>
      <c r="R7572" s="217"/>
      <c r="S7572" s="218"/>
    </row>
    <row r="7573" spans="13:19" ht="15" customHeight="1" x14ac:dyDescent="0.25">
      <c r="M7573"/>
      <c r="N7573"/>
      <c r="O7573"/>
      <c r="P7573" s="216"/>
      <c r="Q7573" s="217"/>
      <c r="R7573" s="217"/>
      <c r="S7573" s="218"/>
    </row>
    <row r="7574" spans="13:19" ht="15" customHeight="1" x14ac:dyDescent="0.25">
      <c r="M7574"/>
      <c r="N7574"/>
      <c r="O7574"/>
      <c r="P7574" s="216"/>
      <c r="Q7574" s="217"/>
      <c r="R7574" s="217"/>
      <c r="S7574" s="218"/>
    </row>
    <row r="7575" spans="13:19" ht="15" customHeight="1" x14ac:dyDescent="0.25">
      <c r="M7575"/>
      <c r="N7575"/>
      <c r="O7575"/>
      <c r="P7575" s="216"/>
      <c r="Q7575" s="217"/>
      <c r="R7575" s="217"/>
      <c r="S7575" s="218"/>
    </row>
    <row r="7576" spans="13:19" ht="15" customHeight="1" x14ac:dyDescent="0.25">
      <c r="M7576"/>
      <c r="N7576"/>
      <c r="O7576"/>
      <c r="P7576" s="216"/>
      <c r="Q7576" s="217"/>
      <c r="R7576" s="217"/>
      <c r="S7576" s="218"/>
    </row>
    <row r="7577" spans="13:19" ht="15" customHeight="1" x14ac:dyDescent="0.25">
      <c r="M7577"/>
      <c r="N7577"/>
      <c r="O7577"/>
      <c r="P7577" s="216"/>
      <c r="Q7577" s="217"/>
      <c r="R7577" s="217"/>
      <c r="S7577" s="218"/>
    </row>
    <row r="7578" spans="13:19" ht="15" customHeight="1" x14ac:dyDescent="0.25">
      <c r="M7578"/>
      <c r="N7578"/>
      <c r="O7578"/>
      <c r="P7578" s="216"/>
      <c r="Q7578" s="217"/>
      <c r="R7578" s="217"/>
      <c r="S7578" s="218"/>
    </row>
    <row r="7579" spans="13:19" ht="15" customHeight="1" x14ac:dyDescent="0.25">
      <c r="M7579"/>
      <c r="N7579"/>
      <c r="O7579"/>
      <c r="P7579" s="216"/>
      <c r="Q7579" s="217"/>
      <c r="R7579" s="217"/>
      <c r="S7579" s="218"/>
    </row>
    <row r="7580" spans="13:19" ht="15" customHeight="1" x14ac:dyDescent="0.25">
      <c r="M7580"/>
      <c r="N7580"/>
      <c r="O7580"/>
      <c r="P7580" s="216"/>
      <c r="Q7580" s="217"/>
      <c r="R7580" s="217"/>
      <c r="S7580" s="218"/>
    </row>
    <row r="7581" spans="13:19" ht="15" customHeight="1" x14ac:dyDescent="0.25">
      <c r="M7581"/>
      <c r="N7581"/>
      <c r="O7581"/>
      <c r="P7581" s="216"/>
      <c r="Q7581" s="217"/>
      <c r="R7581" s="217"/>
      <c r="S7581" s="218"/>
    </row>
    <row r="7582" spans="13:19" ht="15" customHeight="1" x14ac:dyDescent="0.25">
      <c r="M7582"/>
      <c r="N7582"/>
      <c r="O7582"/>
      <c r="P7582" s="216"/>
      <c r="Q7582" s="217"/>
      <c r="R7582" s="217"/>
      <c r="S7582" s="218"/>
    </row>
    <row r="7583" spans="13:19" ht="15" customHeight="1" x14ac:dyDescent="0.25">
      <c r="M7583"/>
      <c r="N7583"/>
      <c r="O7583"/>
      <c r="P7583" s="216"/>
      <c r="Q7583" s="217"/>
      <c r="R7583" s="217"/>
      <c r="S7583" s="218"/>
    </row>
    <row r="7584" spans="13:19" ht="15" customHeight="1" x14ac:dyDescent="0.25">
      <c r="M7584"/>
      <c r="N7584"/>
      <c r="O7584"/>
      <c r="P7584" s="216"/>
      <c r="Q7584" s="217"/>
      <c r="R7584" s="217"/>
      <c r="S7584" s="218"/>
    </row>
    <row r="7585" spans="13:19" ht="15" customHeight="1" x14ac:dyDescent="0.25">
      <c r="M7585"/>
      <c r="N7585"/>
      <c r="O7585"/>
      <c r="P7585" s="216"/>
      <c r="Q7585" s="217"/>
      <c r="R7585" s="217"/>
      <c r="S7585" s="218"/>
    </row>
    <row r="7586" spans="13:19" ht="15" customHeight="1" x14ac:dyDescent="0.25">
      <c r="M7586"/>
      <c r="N7586"/>
      <c r="O7586"/>
      <c r="P7586" s="216"/>
      <c r="Q7586" s="217"/>
      <c r="R7586" s="217"/>
      <c r="S7586" s="218"/>
    </row>
    <row r="7587" spans="13:19" ht="15" customHeight="1" x14ac:dyDescent="0.25">
      <c r="M7587"/>
      <c r="N7587"/>
      <c r="O7587"/>
      <c r="P7587" s="216"/>
      <c r="Q7587" s="217"/>
      <c r="R7587" s="217"/>
      <c r="S7587" s="218"/>
    </row>
    <row r="7588" spans="13:19" ht="15" customHeight="1" x14ac:dyDescent="0.25">
      <c r="M7588"/>
      <c r="N7588"/>
      <c r="O7588"/>
      <c r="P7588" s="216"/>
      <c r="Q7588" s="217"/>
      <c r="R7588" s="217"/>
      <c r="S7588" s="218"/>
    </row>
    <row r="7589" spans="13:19" ht="15" customHeight="1" x14ac:dyDescent="0.25">
      <c r="M7589"/>
      <c r="N7589"/>
      <c r="O7589"/>
      <c r="P7589" s="216"/>
      <c r="Q7589" s="217"/>
      <c r="R7589" s="217"/>
      <c r="S7589" s="218"/>
    </row>
    <row r="7590" spans="13:19" ht="15" customHeight="1" x14ac:dyDescent="0.25">
      <c r="M7590"/>
      <c r="N7590"/>
      <c r="O7590"/>
      <c r="P7590" s="216"/>
      <c r="Q7590" s="217"/>
      <c r="R7590" s="217"/>
      <c r="S7590" s="218"/>
    </row>
    <row r="7591" spans="13:19" ht="15" customHeight="1" x14ac:dyDescent="0.25">
      <c r="M7591"/>
      <c r="N7591"/>
      <c r="O7591"/>
      <c r="P7591" s="216"/>
      <c r="Q7591" s="217"/>
      <c r="R7591" s="217"/>
      <c r="S7591" s="218"/>
    </row>
    <row r="7592" spans="13:19" ht="15" customHeight="1" x14ac:dyDescent="0.25">
      <c r="M7592"/>
      <c r="N7592"/>
      <c r="O7592"/>
      <c r="P7592" s="216"/>
      <c r="Q7592" s="217"/>
      <c r="R7592" s="217"/>
      <c r="S7592" s="218"/>
    </row>
    <row r="7593" spans="13:19" ht="15" customHeight="1" x14ac:dyDescent="0.25">
      <c r="M7593"/>
      <c r="N7593"/>
      <c r="O7593"/>
      <c r="P7593" s="216"/>
      <c r="Q7593" s="217"/>
      <c r="R7593" s="217"/>
      <c r="S7593" s="218"/>
    </row>
    <row r="7594" spans="13:19" ht="15" customHeight="1" x14ac:dyDescent="0.25">
      <c r="M7594"/>
      <c r="N7594"/>
      <c r="O7594"/>
      <c r="P7594" s="216"/>
      <c r="Q7594" s="217"/>
      <c r="R7594" s="217"/>
      <c r="S7594" s="218"/>
    </row>
    <row r="7595" spans="13:19" ht="15" customHeight="1" x14ac:dyDescent="0.25">
      <c r="M7595"/>
      <c r="N7595"/>
      <c r="O7595"/>
      <c r="P7595" s="216"/>
      <c r="Q7595" s="217"/>
      <c r="R7595" s="217"/>
      <c r="S7595" s="218"/>
    </row>
    <row r="7596" spans="13:19" ht="15" customHeight="1" x14ac:dyDescent="0.25">
      <c r="M7596"/>
      <c r="N7596"/>
      <c r="O7596"/>
      <c r="P7596" s="216"/>
      <c r="Q7596" s="217"/>
      <c r="R7596" s="217"/>
      <c r="S7596" s="218"/>
    </row>
    <row r="7597" spans="13:19" ht="15" customHeight="1" x14ac:dyDescent="0.25">
      <c r="M7597"/>
      <c r="N7597"/>
      <c r="O7597"/>
      <c r="P7597" s="216"/>
      <c r="Q7597" s="217"/>
      <c r="R7597" s="217"/>
      <c r="S7597" s="218"/>
    </row>
    <row r="7598" spans="13:19" ht="15" customHeight="1" x14ac:dyDescent="0.25">
      <c r="M7598"/>
      <c r="N7598"/>
      <c r="O7598"/>
      <c r="P7598" s="216"/>
      <c r="Q7598" s="217"/>
      <c r="R7598" s="217"/>
      <c r="S7598" s="218"/>
    </row>
    <row r="7599" spans="13:19" ht="15" customHeight="1" x14ac:dyDescent="0.25">
      <c r="M7599"/>
      <c r="N7599"/>
      <c r="O7599"/>
      <c r="P7599" s="216"/>
      <c r="Q7599" s="217"/>
      <c r="R7599" s="217"/>
      <c r="S7599" s="218"/>
    </row>
    <row r="7600" spans="13:19" ht="15" customHeight="1" x14ac:dyDescent="0.25">
      <c r="M7600"/>
      <c r="N7600"/>
      <c r="O7600"/>
      <c r="P7600" s="216"/>
      <c r="Q7600" s="217"/>
      <c r="R7600" s="217"/>
      <c r="S7600" s="218"/>
    </row>
    <row r="7601" spans="13:19" ht="15" customHeight="1" x14ac:dyDescent="0.25">
      <c r="M7601"/>
      <c r="N7601"/>
      <c r="O7601"/>
      <c r="P7601" s="216"/>
      <c r="Q7601" s="217"/>
      <c r="R7601" s="217"/>
      <c r="S7601" s="218"/>
    </row>
    <row r="7602" spans="13:19" ht="15" customHeight="1" x14ac:dyDescent="0.25">
      <c r="M7602"/>
      <c r="N7602"/>
      <c r="O7602"/>
      <c r="P7602" s="216"/>
      <c r="Q7602" s="217"/>
      <c r="R7602" s="217"/>
      <c r="S7602" s="218"/>
    </row>
    <row r="7603" spans="13:19" ht="15" customHeight="1" x14ac:dyDescent="0.25">
      <c r="M7603"/>
      <c r="N7603"/>
      <c r="O7603"/>
      <c r="P7603" s="216"/>
      <c r="Q7603" s="217"/>
      <c r="R7603" s="217"/>
      <c r="S7603" s="218"/>
    </row>
    <row r="7604" spans="13:19" ht="15" customHeight="1" x14ac:dyDescent="0.25">
      <c r="M7604"/>
      <c r="N7604"/>
      <c r="O7604"/>
      <c r="P7604" s="216"/>
      <c r="Q7604" s="217"/>
      <c r="R7604" s="217"/>
      <c r="S7604" s="218"/>
    </row>
    <row r="7605" spans="13:19" ht="15" customHeight="1" x14ac:dyDescent="0.25">
      <c r="M7605"/>
      <c r="N7605"/>
      <c r="O7605"/>
      <c r="P7605" s="216"/>
      <c r="Q7605" s="217"/>
      <c r="R7605" s="217"/>
      <c r="S7605" s="218"/>
    </row>
    <row r="7606" spans="13:19" ht="15" customHeight="1" x14ac:dyDescent="0.25">
      <c r="M7606"/>
      <c r="N7606"/>
      <c r="O7606"/>
      <c r="P7606" s="216"/>
      <c r="Q7606" s="217"/>
      <c r="R7606" s="217"/>
      <c r="S7606" s="218"/>
    </row>
    <row r="7607" spans="13:19" ht="15" customHeight="1" x14ac:dyDescent="0.25">
      <c r="M7607"/>
      <c r="N7607"/>
      <c r="O7607"/>
      <c r="P7607" s="216"/>
      <c r="Q7607" s="217"/>
      <c r="R7607" s="217"/>
      <c r="S7607" s="218"/>
    </row>
    <row r="7608" spans="13:19" ht="15" customHeight="1" x14ac:dyDescent="0.25">
      <c r="M7608"/>
      <c r="N7608"/>
      <c r="O7608"/>
      <c r="P7608" s="216"/>
      <c r="Q7608" s="217"/>
      <c r="R7608" s="217"/>
      <c r="S7608" s="218"/>
    </row>
    <row r="7609" spans="13:19" ht="15" customHeight="1" x14ac:dyDescent="0.25">
      <c r="M7609"/>
      <c r="N7609"/>
      <c r="O7609"/>
      <c r="P7609" s="216"/>
      <c r="Q7609" s="217"/>
      <c r="R7609" s="217"/>
      <c r="S7609" s="218"/>
    </row>
    <row r="7610" spans="13:19" ht="15" customHeight="1" x14ac:dyDescent="0.25">
      <c r="M7610"/>
      <c r="N7610"/>
      <c r="O7610"/>
      <c r="P7610" s="216"/>
      <c r="Q7610" s="217"/>
      <c r="R7610" s="217"/>
      <c r="S7610" s="218"/>
    </row>
    <row r="7611" spans="13:19" ht="15" customHeight="1" x14ac:dyDescent="0.25">
      <c r="M7611"/>
      <c r="N7611"/>
      <c r="O7611"/>
      <c r="P7611" s="216"/>
      <c r="Q7611" s="217"/>
      <c r="R7611" s="217"/>
      <c r="S7611" s="218"/>
    </row>
    <row r="7612" spans="13:19" ht="15" customHeight="1" x14ac:dyDescent="0.25">
      <c r="M7612"/>
      <c r="N7612"/>
      <c r="O7612"/>
      <c r="P7612" s="216"/>
      <c r="Q7612" s="217"/>
      <c r="R7612" s="217"/>
      <c r="S7612" s="218"/>
    </row>
    <row r="7613" spans="13:19" ht="15" customHeight="1" x14ac:dyDescent="0.25">
      <c r="M7613"/>
      <c r="N7613"/>
      <c r="O7613"/>
      <c r="P7613" s="216"/>
      <c r="Q7613" s="217"/>
      <c r="R7613" s="217"/>
      <c r="S7613" s="218"/>
    </row>
    <row r="7614" spans="13:19" ht="15" customHeight="1" x14ac:dyDescent="0.25">
      <c r="M7614"/>
      <c r="N7614"/>
      <c r="O7614"/>
      <c r="P7614" s="216"/>
      <c r="Q7614" s="217"/>
      <c r="R7614" s="217"/>
      <c r="S7614" s="218"/>
    </row>
    <row r="7615" spans="13:19" ht="15" customHeight="1" x14ac:dyDescent="0.25">
      <c r="M7615"/>
      <c r="N7615"/>
      <c r="O7615"/>
      <c r="P7615" s="216"/>
      <c r="Q7615" s="217"/>
      <c r="R7615" s="217"/>
      <c r="S7615" s="218"/>
    </row>
    <row r="7616" spans="13:19" ht="15" customHeight="1" x14ac:dyDescent="0.25">
      <c r="M7616"/>
      <c r="N7616"/>
      <c r="O7616"/>
      <c r="P7616" s="216"/>
      <c r="Q7616" s="217"/>
      <c r="R7616" s="217"/>
      <c r="S7616" s="218"/>
    </row>
    <row r="7617" spans="13:19" ht="15" customHeight="1" x14ac:dyDescent="0.25">
      <c r="M7617"/>
      <c r="N7617"/>
      <c r="O7617"/>
      <c r="P7617" s="216"/>
      <c r="Q7617" s="217"/>
      <c r="R7617" s="217"/>
      <c r="S7617" s="218"/>
    </row>
    <row r="7618" spans="13:19" ht="15" customHeight="1" x14ac:dyDescent="0.25">
      <c r="M7618"/>
      <c r="N7618"/>
      <c r="O7618"/>
      <c r="P7618" s="216"/>
      <c r="Q7618" s="217"/>
      <c r="R7618" s="217"/>
      <c r="S7618" s="218"/>
    </row>
    <row r="7619" spans="13:19" ht="15" customHeight="1" x14ac:dyDescent="0.25">
      <c r="M7619"/>
      <c r="N7619"/>
      <c r="O7619"/>
      <c r="P7619" s="216"/>
      <c r="Q7619" s="217"/>
      <c r="R7619" s="217"/>
      <c r="S7619" s="218"/>
    </row>
    <row r="7620" spans="13:19" ht="15" customHeight="1" x14ac:dyDescent="0.25">
      <c r="M7620"/>
      <c r="N7620"/>
      <c r="O7620"/>
      <c r="P7620" s="216"/>
      <c r="Q7620" s="217"/>
      <c r="R7620" s="217"/>
      <c r="S7620" s="218"/>
    </row>
    <row r="7621" spans="13:19" ht="15" customHeight="1" x14ac:dyDescent="0.25">
      <c r="M7621"/>
      <c r="N7621"/>
      <c r="O7621"/>
      <c r="P7621" s="216"/>
      <c r="Q7621" s="217"/>
      <c r="R7621" s="217"/>
      <c r="S7621" s="218"/>
    </row>
    <row r="7622" spans="13:19" ht="15" customHeight="1" x14ac:dyDescent="0.25">
      <c r="M7622"/>
      <c r="N7622"/>
      <c r="O7622"/>
      <c r="P7622" s="216"/>
      <c r="Q7622" s="217"/>
      <c r="R7622" s="217"/>
      <c r="S7622" s="218"/>
    </row>
    <row r="7623" spans="13:19" ht="15" customHeight="1" x14ac:dyDescent="0.25">
      <c r="M7623"/>
      <c r="N7623"/>
      <c r="O7623"/>
      <c r="P7623" s="216"/>
      <c r="Q7623" s="217"/>
      <c r="R7623" s="217"/>
      <c r="S7623" s="218"/>
    </row>
    <row r="7624" spans="13:19" ht="15" customHeight="1" x14ac:dyDescent="0.25">
      <c r="M7624"/>
      <c r="N7624"/>
      <c r="O7624"/>
      <c r="P7624" s="216"/>
      <c r="Q7624" s="217"/>
      <c r="R7624" s="217"/>
      <c r="S7624" s="218"/>
    </row>
    <row r="7625" spans="13:19" ht="15" customHeight="1" x14ac:dyDescent="0.25">
      <c r="M7625"/>
      <c r="N7625"/>
      <c r="O7625"/>
      <c r="P7625" s="216"/>
      <c r="Q7625" s="217"/>
      <c r="R7625" s="217"/>
      <c r="S7625" s="218"/>
    </row>
    <row r="7626" spans="13:19" ht="15" customHeight="1" x14ac:dyDescent="0.25">
      <c r="M7626"/>
      <c r="N7626"/>
      <c r="O7626"/>
      <c r="P7626" s="216"/>
      <c r="Q7626" s="217"/>
      <c r="R7626" s="217"/>
      <c r="S7626" s="218"/>
    </row>
    <row r="7627" spans="13:19" ht="15" customHeight="1" x14ac:dyDescent="0.25">
      <c r="M7627"/>
      <c r="N7627"/>
      <c r="O7627"/>
      <c r="P7627" s="216"/>
      <c r="Q7627" s="217"/>
      <c r="R7627" s="217"/>
      <c r="S7627" s="218"/>
    </row>
    <row r="7628" spans="13:19" ht="15" customHeight="1" x14ac:dyDescent="0.25">
      <c r="M7628"/>
      <c r="N7628"/>
      <c r="O7628"/>
      <c r="P7628" s="216"/>
      <c r="Q7628" s="217"/>
      <c r="R7628" s="217"/>
      <c r="S7628" s="218"/>
    </row>
    <row r="7629" spans="13:19" ht="15" customHeight="1" x14ac:dyDescent="0.25">
      <c r="M7629"/>
      <c r="N7629"/>
      <c r="O7629"/>
      <c r="P7629" s="216"/>
      <c r="Q7629" s="217"/>
      <c r="R7629" s="217"/>
      <c r="S7629" s="218"/>
    </row>
    <row r="7630" spans="13:19" ht="15" customHeight="1" x14ac:dyDescent="0.25">
      <c r="M7630"/>
      <c r="N7630"/>
      <c r="O7630"/>
      <c r="P7630" s="216"/>
      <c r="Q7630" s="217"/>
      <c r="R7630" s="217"/>
      <c r="S7630" s="218"/>
    </row>
    <row r="7631" spans="13:19" ht="15" customHeight="1" x14ac:dyDescent="0.25">
      <c r="M7631"/>
      <c r="N7631"/>
      <c r="O7631"/>
      <c r="P7631" s="216"/>
      <c r="Q7631" s="217"/>
      <c r="R7631" s="217"/>
      <c r="S7631" s="218"/>
    </row>
    <row r="7632" spans="13:19" ht="15" customHeight="1" x14ac:dyDescent="0.25">
      <c r="M7632"/>
      <c r="N7632"/>
      <c r="O7632"/>
      <c r="P7632" s="216"/>
      <c r="Q7632" s="217"/>
      <c r="R7632" s="217"/>
      <c r="S7632" s="218"/>
    </row>
    <row r="7633" spans="13:19" ht="15" customHeight="1" x14ac:dyDescent="0.25">
      <c r="M7633"/>
      <c r="N7633"/>
      <c r="O7633"/>
      <c r="P7633" s="216"/>
      <c r="Q7633" s="217"/>
      <c r="R7633" s="217"/>
      <c r="S7633" s="218"/>
    </row>
    <row r="7634" spans="13:19" ht="15" customHeight="1" x14ac:dyDescent="0.25">
      <c r="M7634"/>
      <c r="N7634"/>
      <c r="O7634"/>
      <c r="P7634" s="216"/>
      <c r="Q7634" s="217"/>
      <c r="R7634" s="217"/>
      <c r="S7634" s="218"/>
    </row>
    <row r="7635" spans="13:19" ht="15" customHeight="1" x14ac:dyDescent="0.25">
      <c r="M7635"/>
      <c r="N7635"/>
      <c r="O7635"/>
      <c r="P7635" s="216"/>
      <c r="Q7635" s="217"/>
      <c r="R7635" s="217"/>
      <c r="S7635" s="218"/>
    </row>
    <row r="7636" spans="13:19" ht="15" customHeight="1" x14ac:dyDescent="0.25">
      <c r="M7636"/>
      <c r="N7636"/>
      <c r="O7636"/>
      <c r="P7636" s="216"/>
      <c r="Q7636" s="217"/>
      <c r="R7636" s="217"/>
      <c r="S7636" s="218"/>
    </row>
    <row r="7637" spans="13:19" ht="15" customHeight="1" x14ac:dyDescent="0.25">
      <c r="M7637"/>
      <c r="N7637"/>
      <c r="O7637"/>
      <c r="P7637" s="216"/>
      <c r="Q7637" s="217"/>
      <c r="R7637" s="217"/>
      <c r="S7637" s="218"/>
    </row>
    <row r="7638" spans="13:19" ht="15" customHeight="1" x14ac:dyDescent="0.25">
      <c r="M7638"/>
      <c r="N7638"/>
      <c r="O7638"/>
      <c r="P7638" s="216"/>
      <c r="Q7638" s="217"/>
      <c r="R7638" s="217"/>
      <c r="S7638" s="218"/>
    </row>
    <row r="7639" spans="13:19" ht="15" customHeight="1" x14ac:dyDescent="0.25">
      <c r="M7639"/>
      <c r="N7639"/>
      <c r="O7639"/>
      <c r="P7639" s="216"/>
      <c r="Q7639" s="217"/>
      <c r="R7639" s="217"/>
      <c r="S7639" s="218"/>
    </row>
    <row r="7640" spans="13:19" ht="15" customHeight="1" x14ac:dyDescent="0.25">
      <c r="M7640"/>
      <c r="N7640"/>
      <c r="O7640"/>
      <c r="P7640" s="216"/>
      <c r="Q7640" s="217"/>
      <c r="R7640" s="217"/>
      <c r="S7640" s="218"/>
    </row>
    <row r="7641" spans="13:19" ht="15" customHeight="1" x14ac:dyDescent="0.25">
      <c r="M7641"/>
      <c r="N7641"/>
      <c r="O7641"/>
      <c r="P7641" s="216"/>
      <c r="Q7641" s="217"/>
      <c r="R7641" s="217"/>
      <c r="S7641" s="218"/>
    </row>
    <row r="7642" spans="13:19" ht="15" customHeight="1" x14ac:dyDescent="0.25">
      <c r="M7642"/>
      <c r="N7642"/>
      <c r="O7642"/>
      <c r="P7642" s="216"/>
      <c r="Q7642" s="217"/>
      <c r="R7642" s="217"/>
      <c r="S7642" s="218"/>
    </row>
    <row r="7643" spans="13:19" ht="15" customHeight="1" x14ac:dyDescent="0.25">
      <c r="M7643"/>
      <c r="N7643"/>
      <c r="O7643"/>
      <c r="P7643" s="216"/>
      <c r="Q7643" s="217"/>
      <c r="R7643" s="217"/>
      <c r="S7643" s="218"/>
    </row>
    <row r="7644" spans="13:19" ht="15" customHeight="1" x14ac:dyDescent="0.25">
      <c r="M7644"/>
      <c r="N7644"/>
      <c r="O7644"/>
      <c r="P7644" s="216"/>
      <c r="Q7644" s="217"/>
      <c r="R7644" s="217"/>
      <c r="S7644" s="218"/>
    </row>
    <row r="7645" spans="13:19" ht="15" customHeight="1" x14ac:dyDescent="0.25">
      <c r="M7645"/>
      <c r="N7645"/>
      <c r="O7645"/>
      <c r="P7645" s="216"/>
      <c r="Q7645" s="217"/>
      <c r="R7645" s="217"/>
      <c r="S7645" s="218"/>
    </row>
    <row r="7646" spans="13:19" ht="15" customHeight="1" x14ac:dyDescent="0.25">
      <c r="M7646"/>
      <c r="N7646"/>
      <c r="O7646"/>
      <c r="P7646" s="216"/>
      <c r="Q7646" s="217"/>
      <c r="R7646" s="217"/>
      <c r="S7646" s="218"/>
    </row>
    <row r="7647" spans="13:19" ht="15" customHeight="1" x14ac:dyDescent="0.25">
      <c r="M7647"/>
      <c r="N7647"/>
      <c r="O7647"/>
      <c r="P7647" s="216"/>
      <c r="Q7647" s="217"/>
      <c r="R7647" s="217"/>
      <c r="S7647" s="218"/>
    </row>
    <row r="7648" spans="13:19" ht="15" customHeight="1" x14ac:dyDescent="0.25">
      <c r="M7648"/>
      <c r="N7648"/>
      <c r="O7648"/>
      <c r="P7648" s="216"/>
      <c r="Q7648" s="217"/>
      <c r="R7648" s="217"/>
      <c r="S7648" s="218"/>
    </row>
    <row r="7649" spans="13:19" ht="15" customHeight="1" x14ac:dyDescent="0.25">
      <c r="M7649"/>
      <c r="N7649"/>
      <c r="O7649"/>
      <c r="P7649" s="216"/>
      <c r="Q7649" s="217"/>
      <c r="R7649" s="217"/>
      <c r="S7649" s="218"/>
    </row>
    <row r="7650" spans="13:19" ht="15" customHeight="1" x14ac:dyDescent="0.25">
      <c r="M7650"/>
      <c r="N7650"/>
      <c r="O7650"/>
      <c r="P7650" s="216"/>
      <c r="Q7650" s="217"/>
      <c r="R7650" s="217"/>
      <c r="S7650" s="218"/>
    </row>
    <row r="7651" spans="13:19" ht="15" customHeight="1" x14ac:dyDescent="0.25">
      <c r="M7651"/>
      <c r="N7651"/>
      <c r="O7651"/>
      <c r="P7651" s="216"/>
      <c r="Q7651" s="217"/>
      <c r="R7651" s="217"/>
      <c r="S7651" s="218"/>
    </row>
    <row r="7652" spans="13:19" ht="15" customHeight="1" x14ac:dyDescent="0.25">
      <c r="M7652"/>
      <c r="N7652"/>
      <c r="O7652"/>
      <c r="P7652" s="216"/>
      <c r="Q7652" s="217"/>
      <c r="R7652" s="217"/>
      <c r="S7652" s="218"/>
    </row>
    <row r="7653" spans="13:19" ht="15" customHeight="1" x14ac:dyDescent="0.25">
      <c r="M7653"/>
      <c r="N7653"/>
      <c r="O7653"/>
      <c r="P7653" s="216"/>
      <c r="Q7653" s="217"/>
      <c r="R7653" s="217"/>
      <c r="S7653" s="218"/>
    </row>
    <row r="7654" spans="13:19" ht="15" customHeight="1" x14ac:dyDescent="0.25">
      <c r="M7654"/>
      <c r="N7654"/>
      <c r="O7654"/>
      <c r="P7654" s="216"/>
      <c r="Q7654" s="217"/>
      <c r="R7654" s="217"/>
      <c r="S7654" s="218"/>
    </row>
    <row r="7655" spans="13:19" ht="15" customHeight="1" x14ac:dyDescent="0.25">
      <c r="M7655"/>
      <c r="N7655"/>
      <c r="O7655"/>
      <c r="P7655" s="216"/>
      <c r="Q7655" s="217"/>
      <c r="R7655" s="217"/>
      <c r="S7655" s="218"/>
    </row>
    <row r="7656" spans="13:19" ht="15" customHeight="1" x14ac:dyDescent="0.25">
      <c r="M7656"/>
      <c r="N7656"/>
      <c r="O7656"/>
      <c r="P7656" s="216"/>
      <c r="Q7656" s="217"/>
      <c r="R7656" s="217"/>
      <c r="S7656" s="218"/>
    </row>
    <row r="7657" spans="13:19" ht="15" customHeight="1" x14ac:dyDescent="0.25">
      <c r="M7657"/>
      <c r="N7657"/>
      <c r="O7657"/>
      <c r="P7657" s="216"/>
      <c r="Q7657" s="217"/>
      <c r="R7657" s="217"/>
      <c r="S7657" s="218"/>
    </row>
    <row r="7658" spans="13:19" ht="15" customHeight="1" x14ac:dyDescent="0.25">
      <c r="M7658"/>
      <c r="N7658"/>
      <c r="O7658"/>
      <c r="P7658" s="216"/>
      <c r="Q7658" s="217"/>
      <c r="R7658" s="217"/>
      <c r="S7658" s="218"/>
    </row>
    <row r="7659" spans="13:19" ht="15" customHeight="1" x14ac:dyDescent="0.25">
      <c r="M7659"/>
      <c r="N7659"/>
      <c r="O7659"/>
      <c r="P7659" s="216"/>
      <c r="Q7659" s="217"/>
      <c r="R7659" s="217"/>
      <c r="S7659" s="218"/>
    </row>
    <row r="7660" spans="13:19" ht="15" customHeight="1" x14ac:dyDescent="0.25">
      <c r="M7660"/>
      <c r="N7660"/>
      <c r="O7660"/>
      <c r="P7660" s="216"/>
      <c r="Q7660" s="217"/>
      <c r="R7660" s="217"/>
      <c r="S7660" s="218"/>
    </row>
    <row r="7661" spans="13:19" ht="15" customHeight="1" x14ac:dyDescent="0.25">
      <c r="M7661"/>
      <c r="N7661"/>
      <c r="O7661"/>
      <c r="P7661" s="216"/>
      <c r="Q7661" s="217"/>
      <c r="R7661" s="217"/>
      <c r="S7661" s="218"/>
    </row>
    <row r="7662" spans="13:19" ht="15" customHeight="1" x14ac:dyDescent="0.25">
      <c r="M7662"/>
      <c r="N7662"/>
      <c r="O7662"/>
      <c r="P7662" s="216"/>
      <c r="Q7662" s="217"/>
      <c r="R7662" s="217"/>
      <c r="S7662" s="218"/>
    </row>
    <row r="7663" spans="13:19" ht="15" customHeight="1" x14ac:dyDescent="0.25">
      <c r="M7663"/>
      <c r="N7663"/>
      <c r="O7663"/>
      <c r="P7663" s="216"/>
      <c r="Q7663" s="217"/>
      <c r="R7663" s="217"/>
      <c r="S7663" s="218"/>
    </row>
    <row r="7664" spans="13:19" ht="15" customHeight="1" x14ac:dyDescent="0.25">
      <c r="M7664"/>
      <c r="N7664"/>
      <c r="O7664"/>
      <c r="P7664" s="216"/>
      <c r="Q7664" s="217"/>
      <c r="R7664" s="217"/>
      <c r="S7664" s="218"/>
    </row>
    <row r="7665" spans="13:19" ht="15" customHeight="1" x14ac:dyDescent="0.25">
      <c r="M7665"/>
      <c r="N7665"/>
      <c r="O7665"/>
      <c r="P7665" s="216"/>
      <c r="Q7665" s="217"/>
      <c r="R7665" s="217"/>
      <c r="S7665" s="218"/>
    </row>
    <row r="7666" spans="13:19" ht="15" customHeight="1" x14ac:dyDescent="0.25">
      <c r="M7666"/>
      <c r="N7666"/>
      <c r="O7666"/>
      <c r="P7666" s="216"/>
      <c r="Q7666" s="217"/>
      <c r="R7666" s="217"/>
      <c r="S7666" s="218"/>
    </row>
    <row r="7667" spans="13:19" ht="15" customHeight="1" x14ac:dyDescent="0.25">
      <c r="M7667"/>
      <c r="N7667"/>
      <c r="O7667"/>
      <c r="P7667" s="216"/>
      <c r="Q7667" s="217"/>
      <c r="R7667" s="217"/>
      <c r="S7667" s="218"/>
    </row>
    <row r="7668" spans="13:19" ht="15" customHeight="1" x14ac:dyDescent="0.25">
      <c r="M7668"/>
      <c r="N7668"/>
      <c r="O7668"/>
      <c r="P7668" s="216"/>
      <c r="Q7668" s="217"/>
      <c r="R7668" s="217"/>
      <c r="S7668" s="218"/>
    </row>
    <row r="7669" spans="13:19" ht="15" customHeight="1" x14ac:dyDescent="0.25">
      <c r="M7669"/>
      <c r="N7669"/>
      <c r="O7669"/>
      <c r="P7669" s="216"/>
      <c r="Q7669" s="217"/>
      <c r="R7669" s="217"/>
      <c r="S7669" s="218"/>
    </row>
    <row r="7670" spans="13:19" ht="15" customHeight="1" x14ac:dyDescent="0.25">
      <c r="M7670"/>
      <c r="N7670"/>
      <c r="O7670"/>
      <c r="P7670" s="216"/>
      <c r="Q7670" s="217"/>
      <c r="R7670" s="217"/>
      <c r="S7670" s="218"/>
    </row>
    <row r="7671" spans="13:19" ht="15" customHeight="1" x14ac:dyDescent="0.25">
      <c r="M7671"/>
      <c r="N7671"/>
      <c r="O7671"/>
      <c r="P7671" s="216"/>
      <c r="Q7671" s="217"/>
      <c r="R7671" s="217"/>
      <c r="S7671" s="218"/>
    </row>
    <row r="7672" spans="13:19" ht="15" customHeight="1" x14ac:dyDescent="0.25">
      <c r="M7672"/>
      <c r="N7672"/>
      <c r="O7672"/>
      <c r="P7672" s="216"/>
      <c r="Q7672" s="217"/>
      <c r="R7672" s="217"/>
      <c r="S7672" s="218"/>
    </row>
    <row r="7673" spans="13:19" ht="15" customHeight="1" x14ac:dyDescent="0.25">
      <c r="M7673"/>
      <c r="N7673"/>
      <c r="O7673"/>
      <c r="P7673" s="216"/>
      <c r="Q7673" s="217"/>
      <c r="R7673" s="217"/>
      <c r="S7673" s="218"/>
    </row>
    <row r="7674" spans="13:19" ht="15" customHeight="1" x14ac:dyDescent="0.25">
      <c r="M7674"/>
      <c r="N7674"/>
      <c r="O7674"/>
      <c r="P7674" s="216"/>
      <c r="Q7674" s="217"/>
      <c r="R7674" s="217"/>
      <c r="S7674" s="218"/>
    </row>
    <row r="7675" spans="13:19" ht="15" customHeight="1" x14ac:dyDescent="0.25">
      <c r="M7675"/>
      <c r="N7675"/>
      <c r="O7675"/>
      <c r="P7675" s="216"/>
      <c r="Q7675" s="217"/>
      <c r="R7675" s="217"/>
      <c r="S7675" s="218"/>
    </row>
    <row r="7676" spans="13:19" ht="15" customHeight="1" x14ac:dyDescent="0.25">
      <c r="M7676"/>
      <c r="N7676"/>
      <c r="O7676"/>
      <c r="P7676" s="216"/>
      <c r="Q7676" s="217"/>
      <c r="R7676" s="217"/>
      <c r="S7676" s="218"/>
    </row>
    <row r="7677" spans="13:19" ht="15" customHeight="1" x14ac:dyDescent="0.25">
      <c r="M7677"/>
      <c r="N7677"/>
      <c r="O7677"/>
      <c r="P7677" s="216"/>
      <c r="Q7677" s="217"/>
      <c r="R7677" s="217"/>
      <c r="S7677" s="218"/>
    </row>
    <row r="7678" spans="13:19" ht="15" customHeight="1" x14ac:dyDescent="0.25">
      <c r="M7678"/>
      <c r="N7678"/>
      <c r="O7678"/>
      <c r="P7678" s="216"/>
      <c r="Q7678" s="217"/>
      <c r="R7678" s="217"/>
      <c r="S7678" s="218"/>
    </row>
    <row r="7679" spans="13:19" ht="15" customHeight="1" x14ac:dyDescent="0.25">
      <c r="M7679"/>
      <c r="N7679"/>
      <c r="O7679"/>
      <c r="P7679" s="216"/>
      <c r="Q7679" s="217"/>
      <c r="R7679" s="217"/>
      <c r="S7679" s="218"/>
    </row>
    <row r="7680" spans="13:19" ht="15" customHeight="1" x14ac:dyDescent="0.25">
      <c r="M7680"/>
      <c r="N7680"/>
      <c r="O7680"/>
      <c r="P7680" s="216"/>
      <c r="Q7680" s="217"/>
      <c r="R7680" s="217"/>
      <c r="S7680" s="218"/>
    </row>
    <row r="7681" spans="13:19" ht="15" customHeight="1" x14ac:dyDescent="0.25">
      <c r="M7681"/>
      <c r="N7681"/>
      <c r="O7681"/>
      <c r="P7681" s="216"/>
      <c r="Q7681" s="217"/>
      <c r="R7681" s="217"/>
      <c r="S7681" s="218"/>
    </row>
    <row r="7682" spans="13:19" ht="15" customHeight="1" x14ac:dyDescent="0.25">
      <c r="M7682"/>
      <c r="N7682"/>
      <c r="O7682"/>
      <c r="P7682" s="216"/>
      <c r="Q7682" s="217"/>
      <c r="R7682" s="217"/>
      <c r="S7682" s="218"/>
    </row>
    <row r="7683" spans="13:19" ht="15" customHeight="1" x14ac:dyDescent="0.25">
      <c r="M7683"/>
      <c r="N7683"/>
      <c r="O7683"/>
      <c r="P7683" s="216"/>
      <c r="Q7683" s="217"/>
      <c r="R7683" s="217"/>
      <c r="S7683" s="218"/>
    </row>
    <row r="7684" spans="13:19" ht="15" customHeight="1" x14ac:dyDescent="0.25">
      <c r="M7684"/>
      <c r="N7684"/>
      <c r="O7684"/>
      <c r="P7684" s="216"/>
      <c r="Q7684" s="217"/>
      <c r="R7684" s="217"/>
      <c r="S7684" s="218"/>
    </row>
    <row r="7685" spans="13:19" ht="15" customHeight="1" x14ac:dyDescent="0.25">
      <c r="M7685"/>
      <c r="N7685"/>
      <c r="O7685"/>
      <c r="P7685" s="216"/>
      <c r="Q7685" s="217"/>
      <c r="R7685" s="217"/>
      <c r="S7685" s="218"/>
    </row>
    <row r="7686" spans="13:19" ht="15" customHeight="1" x14ac:dyDescent="0.25">
      <c r="M7686"/>
      <c r="N7686"/>
      <c r="O7686"/>
      <c r="P7686" s="216"/>
      <c r="Q7686" s="217"/>
      <c r="R7686" s="217"/>
      <c r="S7686" s="218"/>
    </row>
    <row r="7687" spans="13:19" ht="15" customHeight="1" x14ac:dyDescent="0.25">
      <c r="M7687"/>
      <c r="N7687"/>
      <c r="O7687"/>
      <c r="P7687" s="216"/>
      <c r="Q7687" s="217"/>
      <c r="R7687" s="217"/>
      <c r="S7687" s="218"/>
    </row>
    <row r="7688" spans="13:19" ht="15" customHeight="1" x14ac:dyDescent="0.25">
      <c r="M7688"/>
      <c r="N7688"/>
      <c r="O7688"/>
      <c r="P7688" s="216"/>
      <c r="Q7688" s="217"/>
      <c r="R7688" s="217"/>
      <c r="S7688" s="218"/>
    </row>
    <row r="7689" spans="13:19" ht="15" customHeight="1" x14ac:dyDescent="0.25">
      <c r="M7689"/>
      <c r="N7689"/>
      <c r="O7689"/>
      <c r="P7689" s="216"/>
      <c r="Q7689" s="217"/>
      <c r="R7689" s="217"/>
      <c r="S7689" s="218"/>
    </row>
    <row r="7690" spans="13:19" ht="15" customHeight="1" x14ac:dyDescent="0.25">
      <c r="M7690"/>
      <c r="N7690"/>
      <c r="O7690"/>
      <c r="P7690" s="216"/>
      <c r="Q7690" s="217"/>
      <c r="R7690" s="217"/>
      <c r="S7690" s="218"/>
    </row>
    <row r="7691" spans="13:19" ht="15" customHeight="1" x14ac:dyDescent="0.25">
      <c r="M7691"/>
      <c r="N7691"/>
      <c r="O7691"/>
      <c r="P7691" s="216"/>
      <c r="Q7691" s="217"/>
      <c r="R7691" s="217"/>
      <c r="S7691" s="218"/>
    </row>
    <row r="7692" spans="13:19" ht="15" customHeight="1" x14ac:dyDescent="0.25">
      <c r="M7692"/>
      <c r="N7692"/>
      <c r="O7692"/>
      <c r="P7692" s="216"/>
      <c r="Q7692" s="217"/>
      <c r="R7692" s="217"/>
      <c r="S7692" s="218"/>
    </row>
    <row r="7693" spans="13:19" ht="15" customHeight="1" x14ac:dyDescent="0.25">
      <c r="M7693"/>
      <c r="N7693"/>
      <c r="O7693"/>
      <c r="P7693" s="216"/>
      <c r="Q7693" s="217"/>
      <c r="R7693" s="217"/>
      <c r="S7693" s="218"/>
    </row>
    <row r="7694" spans="13:19" ht="15" customHeight="1" x14ac:dyDescent="0.25">
      <c r="M7694"/>
      <c r="N7694"/>
      <c r="O7694"/>
      <c r="P7694" s="216"/>
      <c r="Q7694" s="217"/>
      <c r="R7694" s="217"/>
      <c r="S7694" s="218"/>
    </row>
    <row r="7695" spans="13:19" ht="15" customHeight="1" x14ac:dyDescent="0.25">
      <c r="M7695"/>
      <c r="N7695"/>
      <c r="O7695"/>
      <c r="P7695" s="216"/>
      <c r="Q7695" s="217"/>
      <c r="R7695" s="217"/>
      <c r="S7695" s="218"/>
    </row>
    <row r="7696" spans="13:19" ht="15" customHeight="1" x14ac:dyDescent="0.25">
      <c r="M7696"/>
      <c r="N7696"/>
      <c r="O7696"/>
      <c r="P7696" s="216"/>
      <c r="Q7696" s="217"/>
      <c r="R7696" s="217"/>
      <c r="S7696" s="218"/>
    </row>
    <row r="7697" spans="13:19" ht="15" customHeight="1" x14ac:dyDescent="0.25">
      <c r="M7697"/>
      <c r="N7697"/>
      <c r="O7697"/>
      <c r="P7697" s="216"/>
      <c r="Q7697" s="217"/>
      <c r="R7697" s="217"/>
      <c r="S7697" s="218"/>
    </row>
    <row r="7698" spans="13:19" ht="15" customHeight="1" x14ac:dyDescent="0.25">
      <c r="M7698"/>
      <c r="N7698"/>
      <c r="O7698"/>
      <c r="P7698" s="216"/>
      <c r="Q7698" s="217"/>
      <c r="R7698" s="217"/>
      <c r="S7698" s="218"/>
    </row>
    <row r="7699" spans="13:19" ht="15" customHeight="1" x14ac:dyDescent="0.25">
      <c r="M7699"/>
      <c r="N7699"/>
      <c r="O7699"/>
      <c r="P7699" s="216"/>
      <c r="Q7699" s="217"/>
      <c r="R7699" s="217"/>
      <c r="S7699" s="218"/>
    </row>
    <row r="7700" spans="13:19" ht="15" customHeight="1" x14ac:dyDescent="0.25">
      <c r="M7700"/>
      <c r="N7700"/>
      <c r="O7700"/>
      <c r="P7700" s="216"/>
      <c r="Q7700" s="217"/>
      <c r="R7700" s="217"/>
      <c r="S7700" s="218"/>
    </row>
    <row r="7701" spans="13:19" ht="15" customHeight="1" x14ac:dyDescent="0.25">
      <c r="M7701"/>
      <c r="N7701"/>
      <c r="O7701"/>
      <c r="P7701" s="216"/>
      <c r="Q7701" s="217"/>
      <c r="R7701" s="217"/>
      <c r="S7701" s="218"/>
    </row>
    <row r="7702" spans="13:19" ht="15" customHeight="1" x14ac:dyDescent="0.25">
      <c r="M7702"/>
      <c r="N7702"/>
      <c r="O7702"/>
      <c r="P7702" s="216"/>
      <c r="Q7702" s="217"/>
      <c r="R7702" s="217"/>
      <c r="S7702" s="218"/>
    </row>
    <row r="7703" spans="13:19" ht="15" customHeight="1" x14ac:dyDescent="0.25">
      <c r="M7703"/>
      <c r="N7703"/>
      <c r="O7703"/>
      <c r="P7703" s="216"/>
      <c r="Q7703" s="217"/>
      <c r="R7703" s="217"/>
      <c r="S7703" s="218"/>
    </row>
    <row r="7704" spans="13:19" ht="15" customHeight="1" x14ac:dyDescent="0.25">
      <c r="M7704"/>
      <c r="N7704"/>
      <c r="O7704"/>
      <c r="P7704" s="216"/>
      <c r="Q7704" s="217"/>
      <c r="R7704" s="217"/>
      <c r="S7704" s="218"/>
    </row>
    <row r="7705" spans="13:19" ht="15" customHeight="1" x14ac:dyDescent="0.25">
      <c r="M7705"/>
      <c r="N7705"/>
      <c r="O7705"/>
      <c r="P7705" s="216"/>
      <c r="Q7705" s="217"/>
      <c r="R7705" s="217"/>
      <c r="S7705" s="218"/>
    </row>
    <row r="7706" spans="13:19" ht="15" customHeight="1" x14ac:dyDescent="0.25">
      <c r="M7706"/>
      <c r="N7706"/>
      <c r="O7706"/>
      <c r="P7706" s="216"/>
      <c r="Q7706" s="217"/>
      <c r="R7706" s="217"/>
      <c r="S7706" s="218"/>
    </row>
    <row r="7707" spans="13:19" ht="15" customHeight="1" x14ac:dyDescent="0.25">
      <c r="M7707"/>
      <c r="N7707"/>
      <c r="O7707"/>
      <c r="P7707" s="216"/>
      <c r="Q7707" s="217"/>
      <c r="R7707" s="217"/>
      <c r="S7707" s="218"/>
    </row>
    <row r="7708" spans="13:19" ht="15" customHeight="1" x14ac:dyDescent="0.25">
      <c r="M7708"/>
      <c r="N7708"/>
      <c r="O7708"/>
      <c r="P7708" s="216"/>
      <c r="Q7708" s="217"/>
      <c r="R7708" s="217"/>
      <c r="S7708" s="218"/>
    </row>
    <row r="7709" spans="13:19" ht="15" customHeight="1" x14ac:dyDescent="0.25">
      <c r="M7709"/>
      <c r="N7709"/>
      <c r="O7709"/>
      <c r="P7709" s="216"/>
      <c r="Q7709" s="217"/>
      <c r="R7709" s="217"/>
      <c r="S7709" s="218"/>
    </row>
    <row r="7710" spans="13:19" ht="15" customHeight="1" x14ac:dyDescent="0.25">
      <c r="M7710"/>
      <c r="N7710"/>
      <c r="O7710"/>
      <c r="P7710" s="216"/>
      <c r="Q7710" s="217"/>
      <c r="R7710" s="217"/>
      <c r="S7710" s="218"/>
    </row>
    <row r="7711" spans="13:19" ht="15" customHeight="1" x14ac:dyDescent="0.25">
      <c r="M7711"/>
      <c r="N7711"/>
      <c r="O7711"/>
      <c r="P7711" s="216"/>
      <c r="Q7711" s="217"/>
      <c r="R7711" s="217"/>
      <c r="S7711" s="218"/>
    </row>
    <row r="7712" spans="13:19" ht="15" customHeight="1" x14ac:dyDescent="0.25">
      <c r="M7712"/>
      <c r="N7712"/>
      <c r="O7712"/>
      <c r="P7712" s="216"/>
      <c r="Q7712" s="217"/>
      <c r="R7712" s="217"/>
      <c r="S7712" s="218"/>
    </row>
    <row r="7713" spans="13:19" ht="15" customHeight="1" x14ac:dyDescent="0.25">
      <c r="M7713"/>
      <c r="N7713"/>
      <c r="O7713"/>
      <c r="P7713" s="216"/>
      <c r="Q7713" s="217"/>
      <c r="R7713" s="217"/>
      <c r="S7713" s="218"/>
    </row>
    <row r="7714" spans="13:19" ht="15" customHeight="1" x14ac:dyDescent="0.25">
      <c r="M7714"/>
      <c r="N7714"/>
      <c r="O7714"/>
      <c r="P7714" s="216"/>
      <c r="Q7714" s="217"/>
      <c r="R7714" s="217"/>
      <c r="S7714" s="218"/>
    </row>
    <row r="7715" spans="13:19" ht="15" customHeight="1" x14ac:dyDescent="0.25">
      <c r="M7715"/>
      <c r="N7715"/>
      <c r="O7715"/>
      <c r="P7715" s="216"/>
      <c r="Q7715" s="217"/>
      <c r="R7715" s="217"/>
      <c r="S7715" s="218"/>
    </row>
    <row r="7716" spans="13:19" ht="15" customHeight="1" x14ac:dyDescent="0.25">
      <c r="M7716"/>
      <c r="N7716"/>
      <c r="O7716"/>
      <c r="P7716" s="216"/>
      <c r="Q7716" s="217"/>
      <c r="R7716" s="217"/>
      <c r="S7716" s="218"/>
    </row>
    <row r="7717" spans="13:19" ht="15" customHeight="1" x14ac:dyDescent="0.25">
      <c r="M7717"/>
      <c r="N7717"/>
      <c r="O7717"/>
      <c r="P7717" s="216"/>
      <c r="Q7717" s="217"/>
      <c r="R7717" s="217"/>
      <c r="S7717" s="218"/>
    </row>
    <row r="7718" spans="13:19" ht="15" customHeight="1" x14ac:dyDescent="0.25">
      <c r="M7718"/>
      <c r="N7718"/>
      <c r="O7718"/>
      <c r="P7718" s="216"/>
      <c r="Q7718" s="217"/>
      <c r="R7718" s="217"/>
      <c r="S7718" s="218"/>
    </row>
    <row r="7719" spans="13:19" ht="15" customHeight="1" x14ac:dyDescent="0.25">
      <c r="M7719"/>
      <c r="N7719"/>
      <c r="O7719"/>
      <c r="P7719" s="216"/>
      <c r="Q7719" s="217"/>
      <c r="R7719" s="217"/>
      <c r="S7719" s="218"/>
    </row>
    <row r="7720" spans="13:19" ht="15" customHeight="1" x14ac:dyDescent="0.25">
      <c r="M7720"/>
      <c r="N7720"/>
      <c r="O7720"/>
      <c r="P7720" s="216"/>
      <c r="Q7720" s="217"/>
      <c r="R7720" s="217"/>
      <c r="S7720" s="218"/>
    </row>
    <row r="7721" spans="13:19" ht="15" customHeight="1" x14ac:dyDescent="0.25">
      <c r="M7721"/>
      <c r="N7721"/>
      <c r="O7721"/>
      <c r="P7721" s="216"/>
      <c r="Q7721" s="217"/>
      <c r="R7721" s="217"/>
      <c r="S7721" s="218"/>
    </row>
    <row r="7722" spans="13:19" ht="15" customHeight="1" x14ac:dyDescent="0.25">
      <c r="M7722"/>
      <c r="N7722"/>
      <c r="O7722"/>
      <c r="P7722" s="216"/>
      <c r="Q7722" s="217"/>
      <c r="R7722" s="217"/>
      <c r="S7722" s="218"/>
    </row>
    <row r="7723" spans="13:19" ht="15" customHeight="1" x14ac:dyDescent="0.25">
      <c r="M7723"/>
      <c r="N7723"/>
      <c r="O7723"/>
      <c r="P7723" s="216"/>
      <c r="Q7723" s="217"/>
      <c r="R7723" s="217"/>
      <c r="S7723" s="218"/>
    </row>
    <row r="7724" spans="13:19" ht="15" customHeight="1" x14ac:dyDescent="0.25">
      <c r="M7724"/>
      <c r="N7724"/>
      <c r="O7724"/>
      <c r="P7724" s="216"/>
      <c r="Q7724" s="217"/>
      <c r="R7724" s="217"/>
      <c r="S7724" s="218"/>
    </row>
    <row r="7725" spans="13:19" ht="15" customHeight="1" x14ac:dyDescent="0.25">
      <c r="M7725"/>
      <c r="N7725"/>
      <c r="O7725"/>
      <c r="P7725" s="216"/>
      <c r="Q7725" s="217"/>
      <c r="R7725" s="217"/>
      <c r="S7725" s="218"/>
    </row>
    <row r="7726" spans="13:19" ht="15" customHeight="1" x14ac:dyDescent="0.25">
      <c r="M7726"/>
      <c r="N7726"/>
      <c r="O7726"/>
      <c r="P7726" s="216"/>
      <c r="Q7726" s="217"/>
      <c r="R7726" s="217"/>
      <c r="S7726" s="218"/>
    </row>
    <row r="7727" spans="13:19" ht="15" customHeight="1" x14ac:dyDescent="0.25">
      <c r="M7727"/>
      <c r="N7727"/>
      <c r="O7727"/>
      <c r="P7727" s="216"/>
      <c r="Q7727" s="217"/>
      <c r="R7727" s="217"/>
      <c r="S7727" s="218"/>
    </row>
    <row r="7728" spans="13:19" ht="15" customHeight="1" x14ac:dyDescent="0.25">
      <c r="M7728"/>
      <c r="N7728"/>
      <c r="O7728"/>
      <c r="P7728" s="216"/>
      <c r="Q7728" s="217"/>
      <c r="R7728" s="217"/>
      <c r="S7728" s="218"/>
    </row>
    <row r="7729" spans="13:19" ht="15" customHeight="1" x14ac:dyDescent="0.25">
      <c r="M7729"/>
      <c r="N7729"/>
      <c r="O7729"/>
      <c r="P7729" s="216"/>
      <c r="Q7729" s="217"/>
      <c r="R7729" s="217"/>
      <c r="S7729" s="218"/>
    </row>
    <row r="7730" spans="13:19" ht="15" customHeight="1" x14ac:dyDescent="0.25">
      <c r="M7730"/>
      <c r="N7730"/>
      <c r="O7730"/>
      <c r="P7730" s="216"/>
      <c r="Q7730" s="217"/>
      <c r="R7730" s="217"/>
      <c r="S7730" s="218"/>
    </row>
    <row r="7731" spans="13:19" ht="15" customHeight="1" x14ac:dyDescent="0.25">
      <c r="M7731"/>
      <c r="N7731"/>
      <c r="O7731"/>
      <c r="P7731" s="216"/>
      <c r="Q7731" s="217"/>
      <c r="R7731" s="217"/>
      <c r="S7731" s="218"/>
    </row>
    <row r="7732" spans="13:19" ht="15" customHeight="1" x14ac:dyDescent="0.25">
      <c r="M7732"/>
      <c r="N7732"/>
      <c r="O7732"/>
      <c r="P7732" s="216"/>
      <c r="Q7732" s="217"/>
      <c r="R7732" s="217"/>
      <c r="S7732" s="218"/>
    </row>
    <row r="7733" spans="13:19" ht="15" customHeight="1" x14ac:dyDescent="0.25">
      <c r="M7733"/>
      <c r="N7733"/>
      <c r="O7733"/>
      <c r="P7733" s="216"/>
      <c r="Q7733" s="217"/>
      <c r="R7733" s="217"/>
      <c r="S7733" s="218"/>
    </row>
    <row r="7734" spans="13:19" ht="15" customHeight="1" x14ac:dyDescent="0.25">
      <c r="M7734"/>
      <c r="N7734"/>
      <c r="O7734"/>
      <c r="P7734" s="216"/>
      <c r="Q7734" s="217"/>
      <c r="R7734" s="217"/>
      <c r="S7734" s="218"/>
    </row>
    <row r="7735" spans="13:19" ht="15" customHeight="1" x14ac:dyDescent="0.25">
      <c r="M7735"/>
      <c r="N7735"/>
      <c r="O7735"/>
      <c r="P7735" s="216"/>
      <c r="Q7735" s="217"/>
      <c r="R7735" s="217"/>
      <c r="S7735" s="218"/>
    </row>
    <row r="7736" spans="13:19" ht="15" customHeight="1" x14ac:dyDescent="0.25">
      <c r="M7736"/>
      <c r="N7736"/>
      <c r="O7736"/>
      <c r="P7736" s="216"/>
      <c r="Q7736" s="217"/>
      <c r="R7736" s="217"/>
      <c r="S7736" s="218"/>
    </row>
    <row r="7737" spans="13:19" ht="15" customHeight="1" x14ac:dyDescent="0.25">
      <c r="M7737"/>
      <c r="N7737"/>
      <c r="O7737"/>
      <c r="P7737" s="216"/>
      <c r="Q7737" s="217"/>
      <c r="R7737" s="217"/>
      <c r="S7737" s="218"/>
    </row>
    <row r="7738" spans="13:19" ht="15" customHeight="1" x14ac:dyDescent="0.25">
      <c r="M7738"/>
      <c r="N7738"/>
      <c r="O7738"/>
      <c r="P7738" s="216"/>
      <c r="Q7738" s="217"/>
      <c r="R7738" s="217"/>
      <c r="S7738" s="218"/>
    </row>
    <row r="7739" spans="13:19" ht="15" customHeight="1" x14ac:dyDescent="0.25">
      <c r="M7739"/>
      <c r="N7739"/>
      <c r="O7739"/>
      <c r="P7739" s="216"/>
      <c r="Q7739" s="217"/>
      <c r="R7739" s="217"/>
      <c r="S7739" s="218"/>
    </row>
    <row r="7740" spans="13:19" ht="15" customHeight="1" x14ac:dyDescent="0.25">
      <c r="M7740"/>
      <c r="N7740"/>
      <c r="O7740"/>
      <c r="P7740" s="216"/>
      <c r="Q7740" s="217"/>
      <c r="R7740" s="217"/>
      <c r="S7740" s="218"/>
    </row>
    <row r="7741" spans="13:19" ht="15" customHeight="1" x14ac:dyDescent="0.25">
      <c r="M7741"/>
      <c r="N7741"/>
      <c r="O7741"/>
      <c r="P7741" s="216"/>
      <c r="Q7741" s="217"/>
      <c r="R7741" s="217"/>
      <c r="S7741" s="218"/>
    </row>
    <row r="7742" spans="13:19" ht="15" customHeight="1" x14ac:dyDescent="0.25">
      <c r="M7742"/>
      <c r="N7742"/>
      <c r="O7742"/>
      <c r="P7742" s="216"/>
      <c r="Q7742" s="217"/>
      <c r="R7742" s="217"/>
      <c r="S7742" s="218"/>
    </row>
    <row r="7743" spans="13:19" ht="15" customHeight="1" x14ac:dyDescent="0.25">
      <c r="M7743"/>
      <c r="N7743"/>
      <c r="O7743"/>
      <c r="P7743" s="216"/>
      <c r="Q7743" s="217"/>
      <c r="R7743" s="217"/>
      <c r="S7743" s="218"/>
    </row>
    <row r="7744" spans="13:19" ht="15" customHeight="1" x14ac:dyDescent="0.25">
      <c r="M7744"/>
      <c r="N7744"/>
      <c r="O7744"/>
      <c r="P7744" s="216"/>
      <c r="Q7744" s="217"/>
      <c r="R7744" s="217"/>
      <c r="S7744" s="218"/>
    </row>
    <row r="7745" spans="13:19" ht="15" customHeight="1" x14ac:dyDescent="0.25">
      <c r="M7745"/>
      <c r="N7745"/>
      <c r="O7745"/>
      <c r="P7745" s="216"/>
      <c r="Q7745" s="217"/>
      <c r="R7745" s="217"/>
      <c r="S7745" s="218"/>
    </row>
    <row r="7746" spans="13:19" ht="15" customHeight="1" x14ac:dyDescent="0.25">
      <c r="M7746"/>
      <c r="N7746"/>
      <c r="O7746"/>
      <c r="P7746" s="216"/>
      <c r="Q7746" s="217"/>
      <c r="R7746" s="217"/>
      <c r="S7746" s="218"/>
    </row>
    <row r="7747" spans="13:19" ht="15" customHeight="1" x14ac:dyDescent="0.25">
      <c r="M7747"/>
      <c r="N7747"/>
      <c r="O7747"/>
      <c r="P7747" s="216"/>
      <c r="Q7747" s="217"/>
      <c r="R7747" s="217"/>
      <c r="S7747" s="218"/>
    </row>
    <row r="7748" spans="13:19" ht="15" customHeight="1" x14ac:dyDescent="0.25">
      <c r="M7748"/>
      <c r="N7748"/>
      <c r="O7748"/>
      <c r="P7748" s="216"/>
      <c r="Q7748" s="217"/>
      <c r="R7748" s="217"/>
      <c r="S7748" s="218"/>
    </row>
    <row r="7749" spans="13:19" ht="15" customHeight="1" x14ac:dyDescent="0.25">
      <c r="M7749"/>
      <c r="N7749"/>
      <c r="O7749"/>
      <c r="P7749" s="216"/>
      <c r="Q7749" s="217"/>
      <c r="R7749" s="217"/>
      <c r="S7749" s="218"/>
    </row>
    <row r="7750" spans="13:19" ht="15" customHeight="1" x14ac:dyDescent="0.25">
      <c r="M7750"/>
      <c r="N7750"/>
      <c r="O7750"/>
      <c r="P7750" s="216"/>
      <c r="Q7750" s="217"/>
      <c r="R7750" s="217"/>
      <c r="S7750" s="218"/>
    </row>
    <row r="7751" spans="13:19" ht="15" customHeight="1" x14ac:dyDescent="0.25">
      <c r="M7751"/>
      <c r="N7751"/>
      <c r="O7751"/>
      <c r="P7751" s="216"/>
      <c r="Q7751" s="217"/>
      <c r="R7751" s="217"/>
      <c r="S7751" s="218"/>
    </row>
    <row r="7752" spans="13:19" ht="15" customHeight="1" x14ac:dyDescent="0.25">
      <c r="M7752"/>
      <c r="N7752"/>
      <c r="O7752"/>
      <c r="P7752" s="216"/>
      <c r="Q7752" s="217"/>
      <c r="R7752" s="217"/>
      <c r="S7752" s="218"/>
    </row>
    <row r="7753" spans="13:19" ht="15" customHeight="1" x14ac:dyDescent="0.25">
      <c r="M7753"/>
      <c r="N7753"/>
      <c r="O7753"/>
      <c r="P7753" s="216"/>
      <c r="Q7753" s="217"/>
      <c r="R7753" s="217"/>
      <c r="S7753" s="218"/>
    </row>
    <row r="7754" spans="13:19" ht="15" customHeight="1" x14ac:dyDescent="0.25">
      <c r="M7754"/>
      <c r="N7754"/>
      <c r="O7754"/>
      <c r="P7754" s="216"/>
      <c r="Q7754" s="217"/>
      <c r="R7754" s="217"/>
      <c r="S7754" s="218"/>
    </row>
    <row r="7755" spans="13:19" ht="15" customHeight="1" x14ac:dyDescent="0.25">
      <c r="M7755"/>
      <c r="N7755"/>
      <c r="O7755"/>
      <c r="P7755" s="216"/>
      <c r="Q7755" s="217"/>
      <c r="R7755" s="217"/>
      <c r="S7755" s="218"/>
    </row>
    <row r="7756" spans="13:19" ht="15" customHeight="1" x14ac:dyDescent="0.25">
      <c r="M7756"/>
      <c r="N7756"/>
      <c r="O7756"/>
      <c r="P7756" s="216"/>
      <c r="Q7756" s="217"/>
      <c r="R7756" s="217"/>
      <c r="S7756" s="218"/>
    </row>
    <row r="7757" spans="13:19" ht="15" customHeight="1" x14ac:dyDescent="0.25">
      <c r="M7757"/>
      <c r="N7757"/>
      <c r="O7757"/>
      <c r="P7757" s="216"/>
      <c r="Q7757" s="217"/>
      <c r="R7757" s="217"/>
      <c r="S7757" s="218"/>
    </row>
    <row r="7758" spans="13:19" ht="15" customHeight="1" x14ac:dyDescent="0.25">
      <c r="M7758"/>
      <c r="N7758"/>
      <c r="O7758"/>
      <c r="P7758" s="216"/>
      <c r="Q7758" s="217"/>
      <c r="R7758" s="217"/>
      <c r="S7758" s="218"/>
    </row>
    <row r="7759" spans="13:19" ht="15" customHeight="1" x14ac:dyDescent="0.25">
      <c r="M7759"/>
      <c r="N7759"/>
      <c r="O7759"/>
      <c r="P7759" s="216"/>
      <c r="Q7759" s="217"/>
      <c r="R7759" s="217"/>
      <c r="S7759" s="218"/>
    </row>
    <row r="7760" spans="13:19" ht="15" customHeight="1" x14ac:dyDescent="0.25">
      <c r="M7760"/>
      <c r="N7760"/>
      <c r="O7760"/>
      <c r="P7760" s="216"/>
      <c r="Q7760" s="217"/>
      <c r="R7760" s="217"/>
      <c r="S7760" s="218"/>
    </row>
    <row r="7761" spans="13:19" ht="15" customHeight="1" x14ac:dyDescent="0.25">
      <c r="M7761"/>
      <c r="N7761"/>
      <c r="O7761"/>
      <c r="P7761" s="216"/>
      <c r="Q7761" s="217"/>
      <c r="R7761" s="217"/>
      <c r="S7761" s="218"/>
    </row>
    <row r="7762" spans="13:19" ht="15" customHeight="1" x14ac:dyDescent="0.25">
      <c r="M7762"/>
      <c r="N7762"/>
      <c r="O7762"/>
      <c r="P7762" s="216"/>
      <c r="Q7762" s="217"/>
      <c r="R7762" s="217"/>
      <c r="S7762" s="218"/>
    </row>
    <row r="7763" spans="13:19" ht="15" customHeight="1" x14ac:dyDescent="0.25">
      <c r="M7763"/>
      <c r="N7763"/>
      <c r="O7763"/>
      <c r="P7763" s="216"/>
      <c r="Q7763" s="217"/>
      <c r="R7763" s="217"/>
      <c r="S7763" s="218"/>
    </row>
    <row r="7764" spans="13:19" ht="15" customHeight="1" x14ac:dyDescent="0.25">
      <c r="M7764"/>
      <c r="N7764"/>
      <c r="O7764"/>
      <c r="P7764" s="216"/>
      <c r="Q7764" s="217"/>
      <c r="R7764" s="217"/>
      <c r="S7764" s="218"/>
    </row>
    <row r="7765" spans="13:19" ht="15" customHeight="1" x14ac:dyDescent="0.25">
      <c r="M7765"/>
      <c r="N7765"/>
      <c r="O7765"/>
      <c r="P7765" s="216"/>
      <c r="Q7765" s="217"/>
      <c r="R7765" s="217"/>
      <c r="S7765" s="218"/>
    </row>
    <row r="7766" spans="13:19" ht="15" customHeight="1" x14ac:dyDescent="0.25">
      <c r="M7766"/>
      <c r="N7766"/>
      <c r="O7766"/>
      <c r="P7766" s="216"/>
      <c r="Q7766" s="217"/>
      <c r="R7766" s="217"/>
      <c r="S7766" s="218"/>
    </row>
    <row r="7767" spans="13:19" ht="15" customHeight="1" x14ac:dyDescent="0.25">
      <c r="M7767"/>
      <c r="N7767"/>
      <c r="O7767"/>
      <c r="P7767" s="216"/>
      <c r="Q7767" s="217"/>
      <c r="R7767" s="217"/>
      <c r="S7767" s="218"/>
    </row>
    <row r="7768" spans="13:19" ht="15" customHeight="1" x14ac:dyDescent="0.25">
      <c r="M7768"/>
      <c r="N7768"/>
      <c r="O7768"/>
      <c r="P7768" s="216"/>
      <c r="Q7768" s="217"/>
      <c r="R7768" s="217"/>
      <c r="S7768" s="218"/>
    </row>
    <row r="7769" spans="13:19" ht="15" customHeight="1" x14ac:dyDescent="0.25">
      <c r="M7769"/>
      <c r="N7769"/>
      <c r="O7769"/>
      <c r="P7769" s="216"/>
      <c r="Q7769" s="217"/>
      <c r="R7769" s="217"/>
      <c r="S7769" s="218"/>
    </row>
    <row r="7770" spans="13:19" ht="15" customHeight="1" x14ac:dyDescent="0.25">
      <c r="M7770"/>
      <c r="N7770"/>
      <c r="O7770"/>
      <c r="P7770" s="216"/>
      <c r="Q7770" s="217"/>
      <c r="R7770" s="217"/>
      <c r="S7770" s="218"/>
    </row>
    <row r="7771" spans="13:19" ht="15" customHeight="1" x14ac:dyDescent="0.25">
      <c r="M7771"/>
      <c r="N7771"/>
      <c r="O7771"/>
      <c r="P7771" s="216"/>
      <c r="Q7771" s="217"/>
      <c r="R7771" s="217"/>
      <c r="S7771" s="218"/>
    </row>
    <row r="7772" spans="13:19" ht="15" customHeight="1" x14ac:dyDescent="0.25">
      <c r="M7772"/>
      <c r="N7772"/>
      <c r="O7772"/>
      <c r="P7772" s="216"/>
      <c r="Q7772" s="217"/>
      <c r="R7772" s="217"/>
      <c r="S7772" s="218"/>
    </row>
    <row r="7773" spans="13:19" ht="15" customHeight="1" x14ac:dyDescent="0.25">
      <c r="M7773"/>
      <c r="N7773"/>
      <c r="O7773"/>
      <c r="P7773" s="216"/>
      <c r="Q7773" s="217"/>
      <c r="R7773" s="217"/>
      <c r="S7773" s="218"/>
    </row>
    <row r="7774" spans="13:19" ht="15" customHeight="1" x14ac:dyDescent="0.25">
      <c r="M7774"/>
      <c r="N7774"/>
      <c r="O7774"/>
      <c r="P7774" s="216"/>
      <c r="Q7774" s="217"/>
      <c r="R7774" s="217"/>
      <c r="S7774" s="218"/>
    </row>
    <row r="7775" spans="13:19" ht="15" customHeight="1" x14ac:dyDescent="0.25">
      <c r="M7775"/>
      <c r="N7775"/>
      <c r="O7775"/>
      <c r="P7775" s="216"/>
      <c r="Q7775" s="217"/>
      <c r="R7775" s="217"/>
      <c r="S7775" s="218"/>
    </row>
    <row r="7776" spans="13:19" ht="15" customHeight="1" x14ac:dyDescent="0.25">
      <c r="M7776"/>
      <c r="N7776"/>
      <c r="O7776"/>
      <c r="P7776" s="216"/>
      <c r="Q7776" s="217"/>
      <c r="R7776" s="217"/>
      <c r="S7776" s="218"/>
    </row>
    <row r="7777" spans="13:19" ht="15" customHeight="1" x14ac:dyDescent="0.25">
      <c r="M7777"/>
      <c r="N7777"/>
      <c r="O7777"/>
      <c r="P7777" s="216"/>
      <c r="Q7777" s="217"/>
      <c r="R7777" s="217"/>
      <c r="S7777" s="218"/>
    </row>
    <row r="7778" spans="13:19" ht="15" customHeight="1" x14ac:dyDescent="0.25">
      <c r="M7778"/>
      <c r="N7778"/>
      <c r="O7778"/>
      <c r="P7778" s="216"/>
      <c r="Q7778" s="217"/>
      <c r="R7778" s="217"/>
      <c r="S7778" s="218"/>
    </row>
    <row r="7779" spans="13:19" ht="15" customHeight="1" x14ac:dyDescent="0.25">
      <c r="M7779"/>
      <c r="N7779"/>
      <c r="O7779"/>
      <c r="P7779" s="216"/>
      <c r="Q7779" s="217"/>
      <c r="R7779" s="217"/>
      <c r="S7779" s="218"/>
    </row>
    <row r="7780" spans="13:19" ht="15" customHeight="1" x14ac:dyDescent="0.25">
      <c r="M7780"/>
      <c r="N7780"/>
      <c r="O7780"/>
      <c r="P7780" s="216"/>
      <c r="Q7780" s="217"/>
      <c r="R7780" s="217"/>
      <c r="S7780" s="218"/>
    </row>
    <row r="7781" spans="13:19" ht="15" customHeight="1" x14ac:dyDescent="0.25">
      <c r="M7781"/>
      <c r="N7781"/>
      <c r="O7781"/>
      <c r="P7781" s="216"/>
      <c r="Q7781" s="217"/>
      <c r="R7781" s="217"/>
      <c r="S7781" s="218"/>
    </row>
    <row r="7782" spans="13:19" ht="15" customHeight="1" x14ac:dyDescent="0.25">
      <c r="M7782"/>
      <c r="N7782"/>
      <c r="O7782"/>
      <c r="P7782" s="216"/>
      <c r="Q7782" s="217"/>
      <c r="R7782" s="217"/>
      <c r="S7782" s="218"/>
    </row>
    <row r="7783" spans="13:19" ht="15" customHeight="1" x14ac:dyDescent="0.25">
      <c r="M7783"/>
      <c r="N7783"/>
      <c r="O7783"/>
      <c r="P7783" s="216"/>
      <c r="Q7783" s="217"/>
      <c r="R7783" s="217"/>
      <c r="S7783" s="218"/>
    </row>
    <row r="7784" spans="13:19" ht="15" customHeight="1" x14ac:dyDescent="0.25">
      <c r="M7784"/>
      <c r="N7784"/>
      <c r="O7784"/>
      <c r="P7784" s="216"/>
      <c r="Q7784" s="217"/>
      <c r="R7784" s="217"/>
      <c r="S7784" s="218"/>
    </row>
    <row r="7785" spans="13:19" ht="15" customHeight="1" x14ac:dyDescent="0.25">
      <c r="M7785"/>
      <c r="N7785"/>
      <c r="O7785"/>
      <c r="P7785" s="216"/>
      <c r="Q7785" s="217"/>
      <c r="R7785" s="217"/>
      <c r="S7785" s="218"/>
    </row>
    <row r="7786" spans="13:19" ht="15" customHeight="1" x14ac:dyDescent="0.25">
      <c r="M7786"/>
      <c r="N7786"/>
      <c r="O7786"/>
      <c r="P7786" s="216"/>
      <c r="Q7786" s="217"/>
      <c r="R7786" s="217"/>
      <c r="S7786" s="218"/>
    </row>
    <row r="7787" spans="13:19" ht="15" customHeight="1" x14ac:dyDescent="0.25">
      <c r="M7787"/>
      <c r="N7787"/>
      <c r="O7787"/>
      <c r="P7787" s="216"/>
      <c r="Q7787" s="217"/>
      <c r="R7787" s="217"/>
      <c r="S7787" s="218"/>
    </row>
    <row r="7788" spans="13:19" ht="15" customHeight="1" x14ac:dyDescent="0.25">
      <c r="M7788"/>
      <c r="N7788"/>
      <c r="O7788"/>
      <c r="P7788" s="216"/>
      <c r="Q7788" s="217"/>
      <c r="R7788" s="217"/>
      <c r="S7788" s="218"/>
    </row>
    <row r="7789" spans="13:19" ht="15" customHeight="1" x14ac:dyDescent="0.25">
      <c r="M7789"/>
      <c r="N7789"/>
      <c r="O7789"/>
      <c r="P7789" s="216"/>
      <c r="Q7789" s="217"/>
      <c r="R7789" s="217"/>
      <c r="S7789" s="218"/>
    </row>
    <row r="7790" spans="13:19" ht="15" customHeight="1" x14ac:dyDescent="0.25">
      <c r="M7790"/>
      <c r="N7790"/>
      <c r="O7790"/>
      <c r="P7790" s="216"/>
      <c r="Q7790" s="217"/>
      <c r="R7790" s="217"/>
      <c r="S7790" s="218"/>
    </row>
    <row r="7791" spans="13:19" ht="15" customHeight="1" x14ac:dyDescent="0.25">
      <c r="M7791"/>
      <c r="N7791"/>
      <c r="O7791"/>
      <c r="P7791" s="216"/>
      <c r="Q7791" s="217"/>
      <c r="R7791" s="217"/>
      <c r="S7791" s="218"/>
    </row>
    <row r="7792" spans="13:19" ht="15" customHeight="1" x14ac:dyDescent="0.25">
      <c r="M7792"/>
      <c r="N7792"/>
      <c r="O7792"/>
      <c r="P7792" s="216"/>
      <c r="Q7792" s="217"/>
      <c r="R7792" s="217"/>
      <c r="S7792" s="218"/>
    </row>
    <row r="7793" spans="13:19" ht="15" customHeight="1" x14ac:dyDescent="0.25">
      <c r="M7793"/>
      <c r="N7793"/>
      <c r="O7793"/>
      <c r="P7793" s="216"/>
      <c r="Q7793" s="217"/>
      <c r="R7793" s="217"/>
      <c r="S7793" s="218"/>
    </row>
    <row r="7794" spans="13:19" ht="15" customHeight="1" x14ac:dyDescent="0.25">
      <c r="M7794"/>
      <c r="N7794"/>
      <c r="O7794"/>
      <c r="P7794" s="216"/>
      <c r="Q7794" s="217"/>
      <c r="R7794" s="217"/>
      <c r="S7794" s="218"/>
    </row>
    <row r="7795" spans="13:19" ht="15" customHeight="1" x14ac:dyDescent="0.25">
      <c r="M7795"/>
      <c r="N7795"/>
      <c r="O7795"/>
      <c r="P7795" s="216"/>
      <c r="Q7795" s="217"/>
      <c r="R7795" s="217"/>
      <c r="S7795" s="218"/>
    </row>
    <row r="7796" spans="13:19" ht="15" customHeight="1" x14ac:dyDescent="0.25">
      <c r="M7796"/>
      <c r="N7796"/>
      <c r="O7796"/>
      <c r="P7796" s="216"/>
      <c r="Q7796" s="217"/>
      <c r="R7796" s="217"/>
      <c r="S7796" s="218"/>
    </row>
    <row r="7797" spans="13:19" ht="15" customHeight="1" x14ac:dyDescent="0.25">
      <c r="M7797"/>
      <c r="N7797"/>
      <c r="O7797"/>
      <c r="P7797" s="216"/>
      <c r="Q7797" s="217"/>
      <c r="R7797" s="217"/>
      <c r="S7797" s="218"/>
    </row>
    <row r="7798" spans="13:19" ht="15" customHeight="1" x14ac:dyDescent="0.25">
      <c r="M7798"/>
      <c r="N7798"/>
      <c r="O7798"/>
      <c r="P7798" s="216"/>
      <c r="Q7798" s="217"/>
      <c r="R7798" s="217"/>
      <c r="S7798" s="218"/>
    </row>
    <row r="7799" spans="13:19" ht="15" customHeight="1" x14ac:dyDescent="0.25">
      <c r="M7799"/>
      <c r="N7799"/>
      <c r="O7799"/>
      <c r="P7799" s="216"/>
      <c r="Q7799" s="217"/>
      <c r="R7799" s="217"/>
      <c r="S7799" s="218"/>
    </row>
    <row r="7800" spans="13:19" ht="15" customHeight="1" x14ac:dyDescent="0.25">
      <c r="M7800"/>
      <c r="N7800"/>
      <c r="O7800"/>
      <c r="P7800" s="216"/>
      <c r="Q7800" s="217"/>
      <c r="R7800" s="217"/>
      <c r="S7800" s="218"/>
    </row>
    <row r="7801" spans="13:19" ht="15" customHeight="1" x14ac:dyDescent="0.25">
      <c r="M7801"/>
      <c r="N7801"/>
      <c r="O7801"/>
      <c r="P7801" s="216"/>
      <c r="Q7801" s="217"/>
      <c r="R7801" s="217"/>
      <c r="S7801" s="218"/>
    </row>
    <row r="7802" spans="13:19" ht="15" customHeight="1" x14ac:dyDescent="0.25">
      <c r="M7802"/>
      <c r="N7802"/>
      <c r="O7802"/>
      <c r="P7802" s="216"/>
      <c r="Q7802" s="217"/>
      <c r="R7802" s="217"/>
      <c r="S7802" s="218"/>
    </row>
    <row r="7803" spans="13:19" ht="15" customHeight="1" x14ac:dyDescent="0.25">
      <c r="M7803"/>
      <c r="N7803"/>
      <c r="O7803"/>
      <c r="P7803" s="216"/>
      <c r="Q7803" s="217"/>
      <c r="R7803" s="217"/>
      <c r="S7803" s="218"/>
    </row>
    <row r="7804" spans="13:19" ht="15" customHeight="1" x14ac:dyDescent="0.25">
      <c r="M7804"/>
      <c r="N7804"/>
      <c r="O7804"/>
      <c r="P7804" s="216"/>
      <c r="Q7804" s="217"/>
      <c r="R7804" s="217"/>
      <c r="S7804" s="218"/>
    </row>
    <row r="7805" spans="13:19" ht="15" customHeight="1" x14ac:dyDescent="0.25">
      <c r="M7805"/>
      <c r="N7805"/>
      <c r="O7805"/>
      <c r="P7805" s="216"/>
      <c r="Q7805" s="217"/>
      <c r="R7805" s="217"/>
      <c r="S7805" s="218"/>
    </row>
    <row r="7806" spans="13:19" ht="15" customHeight="1" x14ac:dyDescent="0.25">
      <c r="M7806"/>
      <c r="N7806"/>
      <c r="O7806"/>
      <c r="P7806" s="216"/>
      <c r="Q7806" s="217"/>
      <c r="R7806" s="217"/>
      <c r="S7806" s="218"/>
    </row>
    <row r="7807" spans="13:19" ht="15" customHeight="1" x14ac:dyDescent="0.25">
      <c r="M7807"/>
      <c r="N7807"/>
      <c r="O7807"/>
      <c r="P7807" s="216"/>
      <c r="Q7807" s="217"/>
      <c r="R7807" s="217"/>
      <c r="S7807" s="218"/>
    </row>
    <row r="7808" spans="13:19" ht="15" customHeight="1" x14ac:dyDescent="0.25">
      <c r="M7808"/>
      <c r="N7808"/>
      <c r="O7808"/>
      <c r="P7808" s="216"/>
      <c r="Q7808" s="217"/>
      <c r="R7808" s="217"/>
      <c r="S7808" s="218"/>
    </row>
    <row r="7809" spans="13:19" ht="15" customHeight="1" x14ac:dyDescent="0.25">
      <c r="M7809"/>
      <c r="N7809"/>
      <c r="O7809"/>
      <c r="P7809" s="216"/>
      <c r="Q7809" s="217"/>
      <c r="R7809" s="217"/>
      <c r="S7809" s="218"/>
    </row>
    <row r="7810" spans="13:19" ht="15" customHeight="1" x14ac:dyDescent="0.25">
      <c r="M7810"/>
      <c r="N7810"/>
      <c r="O7810"/>
      <c r="P7810" s="216"/>
      <c r="Q7810" s="217"/>
      <c r="R7810" s="217"/>
      <c r="S7810" s="218"/>
    </row>
    <row r="7811" spans="13:19" ht="15" customHeight="1" x14ac:dyDescent="0.25">
      <c r="M7811"/>
      <c r="N7811"/>
      <c r="O7811"/>
      <c r="P7811" s="216"/>
      <c r="Q7811" s="217"/>
      <c r="R7811" s="217"/>
      <c r="S7811" s="218"/>
    </row>
    <row r="7812" spans="13:19" ht="15" customHeight="1" x14ac:dyDescent="0.25">
      <c r="M7812"/>
      <c r="N7812"/>
      <c r="O7812"/>
      <c r="P7812" s="216"/>
      <c r="Q7812" s="217"/>
      <c r="R7812" s="217"/>
      <c r="S7812" s="218"/>
    </row>
    <row r="7813" spans="13:19" ht="15" customHeight="1" x14ac:dyDescent="0.25">
      <c r="M7813"/>
      <c r="N7813"/>
      <c r="O7813"/>
      <c r="P7813" s="216"/>
      <c r="Q7813" s="217"/>
      <c r="R7813" s="217"/>
      <c r="S7813" s="218"/>
    </row>
    <row r="7814" spans="13:19" ht="15" customHeight="1" x14ac:dyDescent="0.25">
      <c r="M7814"/>
      <c r="N7814"/>
      <c r="O7814"/>
      <c r="P7814" s="216"/>
      <c r="Q7814" s="217"/>
      <c r="R7814" s="217"/>
      <c r="S7814" s="218"/>
    </row>
    <row r="7815" spans="13:19" ht="15" customHeight="1" x14ac:dyDescent="0.25">
      <c r="M7815"/>
      <c r="N7815"/>
      <c r="O7815"/>
      <c r="P7815" s="216"/>
      <c r="Q7815" s="217"/>
      <c r="R7815" s="217"/>
      <c r="S7815" s="218"/>
    </row>
    <row r="7816" spans="13:19" ht="15" customHeight="1" x14ac:dyDescent="0.25">
      <c r="M7816"/>
      <c r="N7816"/>
      <c r="O7816"/>
      <c r="P7816" s="216"/>
      <c r="Q7816" s="217"/>
      <c r="R7816" s="217"/>
      <c r="S7816" s="218"/>
    </row>
    <row r="7817" spans="13:19" ht="15" customHeight="1" x14ac:dyDescent="0.25">
      <c r="M7817"/>
      <c r="N7817"/>
      <c r="O7817"/>
      <c r="P7817" s="216"/>
      <c r="Q7817" s="217"/>
      <c r="R7817" s="217"/>
      <c r="S7817" s="218"/>
    </row>
    <row r="7818" spans="13:19" ht="15" customHeight="1" x14ac:dyDescent="0.25">
      <c r="M7818"/>
      <c r="N7818"/>
      <c r="O7818"/>
      <c r="P7818" s="216"/>
      <c r="Q7818" s="217"/>
      <c r="R7818" s="217"/>
      <c r="S7818" s="218"/>
    </row>
    <row r="7819" spans="13:19" ht="15" customHeight="1" x14ac:dyDescent="0.25">
      <c r="M7819"/>
      <c r="N7819"/>
      <c r="O7819"/>
      <c r="P7819" s="216"/>
      <c r="Q7819" s="217"/>
      <c r="R7819" s="217"/>
      <c r="S7819" s="218"/>
    </row>
    <row r="7820" spans="13:19" ht="15" customHeight="1" x14ac:dyDescent="0.25">
      <c r="M7820"/>
      <c r="N7820"/>
      <c r="O7820"/>
      <c r="P7820" s="216"/>
      <c r="Q7820" s="217"/>
      <c r="R7820" s="217"/>
      <c r="S7820" s="218"/>
    </row>
    <row r="7821" spans="13:19" ht="15" customHeight="1" x14ac:dyDescent="0.25">
      <c r="M7821"/>
      <c r="N7821"/>
      <c r="O7821"/>
      <c r="P7821" s="216"/>
      <c r="Q7821" s="217"/>
      <c r="R7821" s="217"/>
      <c r="S7821" s="218"/>
    </row>
    <row r="7822" spans="13:19" ht="15" customHeight="1" x14ac:dyDescent="0.25">
      <c r="M7822"/>
      <c r="N7822"/>
      <c r="O7822"/>
      <c r="P7822" s="216"/>
      <c r="Q7822" s="217"/>
      <c r="R7822" s="217"/>
      <c r="S7822" s="218"/>
    </row>
    <row r="7823" spans="13:19" ht="15" customHeight="1" x14ac:dyDescent="0.25">
      <c r="M7823"/>
      <c r="N7823"/>
      <c r="O7823"/>
      <c r="P7823" s="216"/>
      <c r="Q7823" s="217"/>
      <c r="R7823" s="217"/>
      <c r="S7823" s="218"/>
    </row>
    <row r="7824" spans="13:19" ht="15" customHeight="1" x14ac:dyDescent="0.25">
      <c r="M7824"/>
      <c r="N7824"/>
      <c r="O7824"/>
      <c r="P7824" s="216"/>
      <c r="Q7824" s="217"/>
      <c r="R7824" s="217"/>
      <c r="S7824" s="218"/>
    </row>
    <row r="7825" spans="13:19" ht="15" customHeight="1" x14ac:dyDescent="0.25">
      <c r="M7825"/>
      <c r="N7825"/>
      <c r="O7825"/>
      <c r="P7825" s="216"/>
      <c r="Q7825" s="217"/>
      <c r="R7825" s="217"/>
      <c r="S7825" s="218"/>
    </row>
    <row r="7826" spans="13:19" ht="15" customHeight="1" x14ac:dyDescent="0.25">
      <c r="M7826"/>
      <c r="N7826"/>
      <c r="O7826"/>
      <c r="P7826" s="216"/>
      <c r="Q7826" s="217"/>
      <c r="R7826" s="217"/>
      <c r="S7826" s="218"/>
    </row>
    <row r="7827" spans="13:19" ht="15" customHeight="1" x14ac:dyDescent="0.25">
      <c r="M7827"/>
      <c r="N7827"/>
      <c r="O7827"/>
      <c r="P7827" s="216"/>
      <c r="Q7827" s="217"/>
      <c r="R7827" s="217"/>
      <c r="S7827" s="218"/>
    </row>
    <row r="7828" spans="13:19" ht="15" customHeight="1" x14ac:dyDescent="0.25">
      <c r="M7828"/>
      <c r="N7828"/>
      <c r="O7828"/>
      <c r="P7828" s="216"/>
      <c r="Q7828" s="217"/>
      <c r="R7828" s="217"/>
      <c r="S7828" s="218"/>
    </row>
    <row r="7829" spans="13:19" ht="15" customHeight="1" x14ac:dyDescent="0.25">
      <c r="M7829"/>
      <c r="N7829"/>
      <c r="O7829"/>
      <c r="P7829" s="216"/>
      <c r="Q7829" s="217"/>
      <c r="R7829" s="217"/>
      <c r="S7829" s="218"/>
    </row>
    <row r="7830" spans="13:19" ht="15" customHeight="1" x14ac:dyDescent="0.25">
      <c r="M7830"/>
      <c r="N7830"/>
      <c r="O7830"/>
      <c r="P7830" s="216"/>
      <c r="Q7830" s="217"/>
      <c r="R7830" s="217"/>
      <c r="S7830" s="218"/>
    </row>
    <row r="7831" spans="13:19" ht="15" customHeight="1" x14ac:dyDescent="0.25">
      <c r="M7831"/>
      <c r="N7831"/>
      <c r="O7831"/>
      <c r="P7831" s="216"/>
      <c r="Q7831" s="217"/>
      <c r="R7831" s="217"/>
      <c r="S7831" s="218"/>
    </row>
    <row r="7832" spans="13:19" ht="15" customHeight="1" x14ac:dyDescent="0.25">
      <c r="M7832"/>
      <c r="N7832"/>
      <c r="O7832"/>
      <c r="P7832" s="216"/>
      <c r="Q7832" s="217"/>
      <c r="R7832" s="217"/>
      <c r="S7832" s="218"/>
    </row>
    <row r="7833" spans="13:19" ht="15" customHeight="1" x14ac:dyDescent="0.25">
      <c r="M7833"/>
      <c r="N7833"/>
      <c r="O7833"/>
      <c r="P7833" s="216"/>
      <c r="Q7833" s="217"/>
      <c r="R7833" s="217"/>
      <c r="S7833" s="218"/>
    </row>
    <row r="7834" spans="13:19" ht="15" customHeight="1" x14ac:dyDescent="0.25">
      <c r="M7834"/>
      <c r="N7834"/>
      <c r="O7834"/>
      <c r="P7834" s="216"/>
      <c r="Q7834" s="217"/>
      <c r="R7834" s="217"/>
      <c r="S7834" s="218"/>
    </row>
    <row r="7835" spans="13:19" ht="15" customHeight="1" x14ac:dyDescent="0.25">
      <c r="M7835"/>
      <c r="N7835"/>
      <c r="O7835"/>
      <c r="P7835" s="216"/>
      <c r="Q7835" s="217"/>
      <c r="R7835" s="217"/>
      <c r="S7835" s="218"/>
    </row>
    <row r="7836" spans="13:19" ht="15" customHeight="1" x14ac:dyDescent="0.25">
      <c r="M7836"/>
      <c r="N7836"/>
      <c r="O7836"/>
      <c r="P7836" s="216"/>
      <c r="Q7836" s="217"/>
      <c r="R7836" s="217"/>
      <c r="S7836" s="218"/>
    </row>
    <row r="7837" spans="13:19" ht="15" customHeight="1" x14ac:dyDescent="0.25">
      <c r="M7837"/>
      <c r="N7837"/>
      <c r="O7837"/>
      <c r="P7837" s="216"/>
      <c r="Q7837" s="217"/>
      <c r="R7837" s="217"/>
      <c r="S7837" s="218"/>
    </row>
    <row r="7838" spans="13:19" ht="15" customHeight="1" x14ac:dyDescent="0.25">
      <c r="M7838"/>
      <c r="N7838"/>
      <c r="O7838"/>
      <c r="P7838" s="216"/>
      <c r="Q7838" s="217"/>
      <c r="R7838" s="217"/>
      <c r="S7838" s="218"/>
    </row>
    <row r="7839" spans="13:19" ht="15" customHeight="1" x14ac:dyDescent="0.25">
      <c r="M7839"/>
      <c r="N7839"/>
      <c r="O7839"/>
      <c r="P7839" s="216"/>
      <c r="Q7839" s="217"/>
      <c r="R7839" s="217"/>
      <c r="S7839" s="218"/>
    </row>
    <row r="7840" spans="13:19" ht="15" customHeight="1" x14ac:dyDescent="0.25">
      <c r="M7840"/>
      <c r="N7840"/>
      <c r="O7840"/>
      <c r="P7840" s="216"/>
      <c r="Q7840" s="217"/>
      <c r="R7840" s="217"/>
      <c r="S7840" s="218"/>
    </row>
    <row r="7841" spans="13:19" ht="15" customHeight="1" x14ac:dyDescent="0.25">
      <c r="M7841"/>
      <c r="N7841"/>
      <c r="O7841"/>
      <c r="P7841" s="216"/>
      <c r="Q7841" s="217"/>
      <c r="R7841" s="217"/>
      <c r="S7841" s="218"/>
    </row>
    <row r="7842" spans="13:19" ht="15" customHeight="1" x14ac:dyDescent="0.25">
      <c r="M7842"/>
      <c r="N7842"/>
      <c r="O7842"/>
      <c r="P7842" s="216"/>
      <c r="Q7842" s="217"/>
      <c r="R7842" s="217"/>
      <c r="S7842" s="218"/>
    </row>
    <row r="7843" spans="13:19" ht="15" customHeight="1" x14ac:dyDescent="0.25">
      <c r="M7843"/>
      <c r="N7843"/>
      <c r="O7843"/>
      <c r="P7843" s="216"/>
      <c r="Q7843" s="217"/>
      <c r="R7843" s="217"/>
      <c r="S7843" s="218"/>
    </row>
    <row r="7844" spans="13:19" ht="15" customHeight="1" x14ac:dyDescent="0.25">
      <c r="M7844"/>
      <c r="N7844"/>
      <c r="O7844"/>
      <c r="P7844" s="216"/>
      <c r="Q7844" s="217"/>
      <c r="R7844" s="217"/>
      <c r="S7844" s="218"/>
    </row>
    <row r="7845" spans="13:19" ht="15" customHeight="1" x14ac:dyDescent="0.25">
      <c r="M7845"/>
      <c r="N7845"/>
      <c r="O7845"/>
      <c r="P7845" s="216"/>
      <c r="Q7845" s="217"/>
      <c r="R7845" s="217"/>
      <c r="S7845" s="218"/>
    </row>
    <row r="7846" spans="13:19" ht="15" customHeight="1" x14ac:dyDescent="0.25">
      <c r="M7846"/>
      <c r="N7846"/>
      <c r="O7846"/>
      <c r="P7846" s="216"/>
      <c r="Q7846" s="217"/>
      <c r="R7846" s="217"/>
      <c r="S7846" s="218"/>
    </row>
    <row r="7847" spans="13:19" ht="15" customHeight="1" x14ac:dyDescent="0.25">
      <c r="M7847"/>
      <c r="N7847"/>
      <c r="O7847"/>
      <c r="P7847" s="216"/>
      <c r="Q7847" s="217"/>
      <c r="R7847" s="217"/>
      <c r="S7847" s="218"/>
    </row>
    <row r="7848" spans="13:19" ht="15" customHeight="1" x14ac:dyDescent="0.25">
      <c r="M7848"/>
      <c r="N7848"/>
      <c r="O7848"/>
      <c r="P7848" s="216"/>
      <c r="Q7848" s="217"/>
      <c r="R7848" s="217"/>
      <c r="S7848" s="218"/>
    </row>
    <row r="7849" spans="13:19" ht="15" customHeight="1" x14ac:dyDescent="0.25">
      <c r="M7849"/>
      <c r="N7849"/>
      <c r="O7849"/>
      <c r="P7849" s="216"/>
      <c r="Q7849" s="217"/>
      <c r="R7849" s="217"/>
      <c r="S7849" s="218"/>
    </row>
    <row r="7850" spans="13:19" ht="15" customHeight="1" x14ac:dyDescent="0.25">
      <c r="M7850"/>
      <c r="N7850"/>
      <c r="O7850"/>
      <c r="P7850" s="216"/>
      <c r="Q7850" s="217"/>
      <c r="R7850" s="217"/>
      <c r="S7850" s="218"/>
    </row>
    <row r="7851" spans="13:19" ht="15" customHeight="1" x14ac:dyDescent="0.25">
      <c r="M7851"/>
      <c r="N7851"/>
      <c r="O7851"/>
      <c r="P7851" s="216"/>
      <c r="Q7851" s="217"/>
      <c r="R7851" s="217"/>
      <c r="S7851" s="218"/>
    </row>
    <row r="7852" spans="13:19" ht="15" customHeight="1" x14ac:dyDescent="0.25">
      <c r="M7852"/>
      <c r="N7852"/>
      <c r="O7852"/>
      <c r="P7852" s="216"/>
      <c r="Q7852" s="217"/>
      <c r="R7852" s="217"/>
      <c r="S7852" s="218"/>
    </row>
    <row r="7853" spans="13:19" ht="15" customHeight="1" x14ac:dyDescent="0.25">
      <c r="M7853"/>
      <c r="N7853"/>
      <c r="O7853"/>
      <c r="P7853" s="216"/>
      <c r="Q7853" s="217"/>
      <c r="R7853" s="217"/>
      <c r="S7853" s="218"/>
    </row>
    <row r="7854" spans="13:19" ht="15" customHeight="1" x14ac:dyDescent="0.25">
      <c r="M7854"/>
      <c r="N7854"/>
      <c r="O7854"/>
      <c r="P7854" s="216"/>
      <c r="Q7854" s="217"/>
      <c r="R7854" s="217"/>
      <c r="S7854" s="218"/>
    </row>
    <row r="7855" spans="13:19" ht="15" customHeight="1" x14ac:dyDescent="0.25">
      <c r="M7855"/>
      <c r="N7855"/>
      <c r="O7855"/>
      <c r="P7855" s="216"/>
      <c r="Q7855" s="217"/>
      <c r="R7855" s="217"/>
      <c r="S7855" s="218"/>
    </row>
    <row r="7856" spans="13:19" ht="15" customHeight="1" x14ac:dyDescent="0.25">
      <c r="M7856"/>
      <c r="N7856"/>
      <c r="O7856"/>
      <c r="P7856" s="216"/>
      <c r="Q7856" s="217"/>
      <c r="R7856" s="217"/>
      <c r="S7856" s="218"/>
    </row>
    <row r="7857" spans="13:19" ht="15" customHeight="1" x14ac:dyDescent="0.25">
      <c r="M7857"/>
      <c r="N7857"/>
      <c r="O7857"/>
      <c r="P7857" s="216"/>
      <c r="Q7857" s="217"/>
      <c r="R7857" s="217"/>
      <c r="S7857" s="218"/>
    </row>
    <row r="7858" spans="13:19" ht="15" customHeight="1" x14ac:dyDescent="0.25">
      <c r="M7858"/>
      <c r="N7858"/>
      <c r="O7858"/>
      <c r="P7858" s="216"/>
      <c r="Q7858" s="217"/>
      <c r="R7858" s="217"/>
      <c r="S7858" s="218"/>
    </row>
    <row r="7859" spans="13:19" ht="15" customHeight="1" x14ac:dyDescent="0.25">
      <c r="M7859"/>
      <c r="N7859"/>
      <c r="O7859"/>
      <c r="P7859" s="216"/>
      <c r="Q7859" s="217"/>
      <c r="R7859" s="217"/>
      <c r="S7859" s="218"/>
    </row>
    <row r="7860" spans="13:19" ht="15" customHeight="1" x14ac:dyDescent="0.25">
      <c r="M7860"/>
      <c r="N7860"/>
      <c r="O7860"/>
      <c r="P7860" s="216"/>
      <c r="Q7860" s="217"/>
      <c r="R7860" s="217"/>
      <c r="S7860" s="218"/>
    </row>
    <row r="7861" spans="13:19" ht="15" customHeight="1" x14ac:dyDescent="0.25">
      <c r="M7861"/>
      <c r="N7861"/>
      <c r="O7861"/>
      <c r="P7861" s="216"/>
      <c r="Q7861" s="217"/>
      <c r="R7861" s="217"/>
      <c r="S7861" s="218"/>
    </row>
    <row r="7862" spans="13:19" ht="15" customHeight="1" x14ac:dyDescent="0.25">
      <c r="M7862"/>
      <c r="N7862"/>
      <c r="O7862"/>
      <c r="P7862" s="216"/>
      <c r="Q7862" s="217"/>
      <c r="R7862" s="217"/>
      <c r="S7862" s="218"/>
    </row>
    <row r="7863" spans="13:19" ht="15" customHeight="1" x14ac:dyDescent="0.25">
      <c r="M7863"/>
      <c r="N7863"/>
      <c r="O7863"/>
      <c r="P7863" s="216"/>
      <c r="Q7863" s="217"/>
      <c r="R7863" s="217"/>
      <c r="S7863" s="218"/>
    </row>
    <row r="7864" spans="13:19" ht="15" customHeight="1" x14ac:dyDescent="0.25">
      <c r="M7864"/>
      <c r="N7864"/>
      <c r="O7864"/>
      <c r="P7864" s="216"/>
      <c r="Q7864" s="217"/>
      <c r="R7864" s="217"/>
      <c r="S7864" s="218"/>
    </row>
    <row r="7865" spans="13:19" ht="15" customHeight="1" x14ac:dyDescent="0.25">
      <c r="M7865"/>
      <c r="N7865"/>
      <c r="O7865"/>
      <c r="P7865" s="216"/>
      <c r="Q7865" s="217"/>
      <c r="R7865" s="217"/>
      <c r="S7865" s="218"/>
    </row>
    <row r="7866" spans="13:19" ht="15" customHeight="1" x14ac:dyDescent="0.25">
      <c r="M7866"/>
      <c r="N7866"/>
      <c r="O7866"/>
      <c r="P7866" s="216"/>
      <c r="Q7866" s="217"/>
      <c r="R7866" s="217"/>
      <c r="S7866" s="218"/>
    </row>
    <row r="7867" spans="13:19" ht="15" customHeight="1" x14ac:dyDescent="0.25">
      <c r="M7867"/>
      <c r="N7867"/>
      <c r="O7867"/>
      <c r="P7867" s="216"/>
      <c r="Q7867" s="217"/>
      <c r="R7867" s="217"/>
      <c r="S7867" s="218"/>
    </row>
    <row r="7868" spans="13:19" ht="15" customHeight="1" x14ac:dyDescent="0.25">
      <c r="M7868"/>
      <c r="N7868"/>
      <c r="O7868"/>
      <c r="P7868" s="216"/>
      <c r="Q7868" s="217"/>
      <c r="R7868" s="217"/>
      <c r="S7868" s="218"/>
    </row>
    <row r="7869" spans="13:19" ht="15" customHeight="1" x14ac:dyDescent="0.25">
      <c r="M7869"/>
      <c r="N7869"/>
      <c r="O7869"/>
      <c r="P7869" s="216"/>
      <c r="Q7869" s="217"/>
      <c r="R7869" s="217"/>
      <c r="S7869" s="218"/>
    </row>
    <row r="7870" spans="13:19" ht="15" customHeight="1" x14ac:dyDescent="0.25">
      <c r="M7870"/>
      <c r="N7870"/>
      <c r="O7870"/>
      <c r="P7870" s="216"/>
      <c r="Q7870" s="217"/>
      <c r="R7870" s="217"/>
      <c r="S7870" s="218"/>
    </row>
    <row r="7871" spans="13:19" ht="15" customHeight="1" x14ac:dyDescent="0.25">
      <c r="M7871"/>
      <c r="N7871"/>
      <c r="O7871"/>
      <c r="P7871" s="216"/>
      <c r="Q7871" s="217"/>
      <c r="R7871" s="217"/>
      <c r="S7871" s="218"/>
    </row>
    <row r="7872" spans="13:19" ht="15" customHeight="1" x14ac:dyDescent="0.25">
      <c r="M7872"/>
      <c r="N7872"/>
      <c r="O7872"/>
      <c r="P7872" s="216"/>
      <c r="Q7872" s="217"/>
      <c r="R7872" s="217"/>
      <c r="S7872" s="218"/>
    </row>
    <row r="7873" spans="13:19" ht="15" customHeight="1" x14ac:dyDescent="0.25">
      <c r="M7873"/>
      <c r="N7873"/>
      <c r="O7873"/>
      <c r="P7873" s="216"/>
      <c r="Q7873" s="217"/>
      <c r="R7873" s="217"/>
      <c r="S7873" s="218"/>
    </row>
    <row r="7874" spans="13:19" ht="15" customHeight="1" x14ac:dyDescent="0.25">
      <c r="M7874"/>
      <c r="N7874"/>
      <c r="O7874"/>
      <c r="P7874" s="216"/>
      <c r="Q7874" s="217"/>
      <c r="R7874" s="217"/>
      <c r="S7874" s="218"/>
    </row>
    <row r="7875" spans="13:19" ht="15" customHeight="1" x14ac:dyDescent="0.25">
      <c r="M7875"/>
      <c r="N7875"/>
      <c r="O7875"/>
      <c r="P7875" s="216"/>
      <c r="Q7875" s="217"/>
      <c r="R7875" s="217"/>
      <c r="S7875" s="218"/>
    </row>
    <row r="7876" spans="13:19" ht="15" customHeight="1" x14ac:dyDescent="0.25">
      <c r="M7876"/>
      <c r="N7876"/>
      <c r="O7876"/>
      <c r="P7876" s="216"/>
      <c r="Q7876" s="217"/>
      <c r="R7876" s="217"/>
      <c r="S7876" s="218"/>
    </row>
    <row r="7877" spans="13:19" ht="15" customHeight="1" x14ac:dyDescent="0.25">
      <c r="M7877"/>
      <c r="N7877"/>
      <c r="O7877"/>
      <c r="P7877" s="216"/>
      <c r="Q7877" s="217"/>
      <c r="R7877" s="217"/>
      <c r="S7877" s="218"/>
    </row>
    <row r="7878" spans="13:19" ht="15" customHeight="1" x14ac:dyDescent="0.25">
      <c r="M7878"/>
      <c r="N7878"/>
      <c r="O7878"/>
      <c r="P7878" s="216"/>
      <c r="Q7878" s="217"/>
      <c r="R7878" s="217"/>
      <c r="S7878" s="218"/>
    </row>
    <row r="7879" spans="13:19" ht="15" customHeight="1" x14ac:dyDescent="0.25">
      <c r="M7879"/>
      <c r="N7879"/>
      <c r="O7879"/>
      <c r="P7879" s="216"/>
      <c r="Q7879" s="217"/>
      <c r="R7879" s="217"/>
      <c r="S7879" s="218"/>
    </row>
    <row r="7880" spans="13:19" ht="15" customHeight="1" x14ac:dyDescent="0.25">
      <c r="M7880"/>
      <c r="N7880"/>
      <c r="O7880"/>
      <c r="P7880" s="216"/>
      <c r="Q7880" s="217"/>
      <c r="R7880" s="217"/>
      <c r="S7880" s="218"/>
    </row>
    <row r="7881" spans="13:19" ht="15" customHeight="1" x14ac:dyDescent="0.25">
      <c r="M7881"/>
      <c r="N7881"/>
      <c r="O7881"/>
      <c r="P7881" s="216"/>
      <c r="Q7881" s="217"/>
      <c r="R7881" s="217"/>
      <c r="S7881" s="218"/>
    </row>
    <row r="7882" spans="13:19" ht="15" customHeight="1" x14ac:dyDescent="0.25">
      <c r="M7882"/>
      <c r="N7882"/>
      <c r="O7882"/>
      <c r="P7882" s="216"/>
      <c r="Q7882" s="217"/>
      <c r="R7882" s="217"/>
      <c r="S7882" s="218"/>
    </row>
    <row r="7883" spans="13:19" ht="15" customHeight="1" x14ac:dyDescent="0.25">
      <c r="M7883"/>
      <c r="N7883"/>
      <c r="O7883"/>
      <c r="P7883" s="216"/>
      <c r="Q7883" s="217"/>
      <c r="R7883" s="217"/>
      <c r="S7883" s="218"/>
    </row>
    <row r="7884" spans="13:19" ht="15" customHeight="1" x14ac:dyDescent="0.25">
      <c r="M7884"/>
      <c r="N7884"/>
      <c r="O7884"/>
      <c r="P7884" s="216"/>
      <c r="Q7884" s="217"/>
      <c r="R7884" s="217"/>
      <c r="S7884" s="218"/>
    </row>
    <row r="7885" spans="13:19" ht="15" customHeight="1" x14ac:dyDescent="0.25">
      <c r="M7885"/>
      <c r="N7885"/>
      <c r="O7885"/>
      <c r="P7885" s="216"/>
      <c r="Q7885" s="217"/>
      <c r="R7885" s="217"/>
      <c r="S7885" s="218"/>
    </row>
    <row r="7886" spans="13:19" ht="15" customHeight="1" x14ac:dyDescent="0.25">
      <c r="M7886"/>
      <c r="N7886"/>
      <c r="O7886"/>
      <c r="P7886" s="216"/>
      <c r="Q7886" s="217"/>
      <c r="R7886" s="217"/>
      <c r="S7886" s="218"/>
    </row>
    <row r="7887" spans="13:19" ht="15" customHeight="1" x14ac:dyDescent="0.25">
      <c r="M7887"/>
      <c r="N7887"/>
      <c r="O7887"/>
      <c r="P7887" s="216"/>
      <c r="Q7887" s="217"/>
      <c r="R7887" s="217"/>
      <c r="S7887" s="218"/>
    </row>
    <row r="7888" spans="13:19" ht="15" customHeight="1" x14ac:dyDescent="0.25">
      <c r="M7888"/>
      <c r="N7888"/>
      <c r="O7888"/>
      <c r="P7888" s="216"/>
      <c r="Q7888" s="217"/>
      <c r="R7888" s="217"/>
      <c r="S7888" s="218"/>
    </row>
    <row r="7889" spans="13:19" ht="15" customHeight="1" x14ac:dyDescent="0.25">
      <c r="M7889"/>
      <c r="N7889"/>
      <c r="O7889"/>
      <c r="P7889" s="216"/>
      <c r="Q7889" s="217"/>
      <c r="R7889" s="217"/>
      <c r="S7889" s="218"/>
    </row>
    <row r="7890" spans="13:19" ht="15" customHeight="1" x14ac:dyDescent="0.25">
      <c r="M7890"/>
      <c r="N7890"/>
      <c r="O7890"/>
      <c r="P7890" s="216"/>
      <c r="Q7890" s="217"/>
      <c r="R7890" s="217"/>
      <c r="S7890" s="218"/>
    </row>
    <row r="7891" spans="13:19" ht="15" customHeight="1" x14ac:dyDescent="0.25">
      <c r="M7891"/>
      <c r="N7891"/>
      <c r="O7891"/>
      <c r="P7891" s="216"/>
      <c r="Q7891" s="217"/>
      <c r="R7891" s="217"/>
      <c r="S7891" s="218"/>
    </row>
    <row r="7892" spans="13:19" ht="15" customHeight="1" x14ac:dyDescent="0.25">
      <c r="M7892"/>
      <c r="N7892"/>
      <c r="O7892"/>
      <c r="P7892" s="216"/>
      <c r="Q7892" s="217"/>
      <c r="R7892" s="217"/>
      <c r="S7892" s="218"/>
    </row>
    <row r="7893" spans="13:19" ht="15" customHeight="1" x14ac:dyDescent="0.25">
      <c r="M7893"/>
      <c r="N7893"/>
      <c r="O7893"/>
      <c r="P7893" s="216"/>
      <c r="Q7893" s="217"/>
      <c r="R7893" s="217"/>
      <c r="S7893" s="218"/>
    </row>
    <row r="7894" spans="13:19" ht="15" customHeight="1" x14ac:dyDescent="0.25">
      <c r="M7894"/>
      <c r="N7894"/>
      <c r="O7894"/>
      <c r="P7894" s="216"/>
      <c r="Q7894" s="217"/>
      <c r="R7894" s="217"/>
      <c r="S7894" s="218"/>
    </row>
    <row r="7895" spans="13:19" ht="15" customHeight="1" x14ac:dyDescent="0.25">
      <c r="M7895"/>
      <c r="N7895"/>
      <c r="O7895"/>
      <c r="P7895" s="216"/>
      <c r="Q7895" s="217"/>
      <c r="R7895" s="217"/>
      <c r="S7895" s="218"/>
    </row>
    <row r="7896" spans="13:19" ht="15" customHeight="1" x14ac:dyDescent="0.25">
      <c r="M7896"/>
      <c r="N7896"/>
      <c r="O7896"/>
      <c r="P7896" s="216"/>
      <c r="Q7896" s="217"/>
      <c r="R7896" s="217"/>
      <c r="S7896" s="218"/>
    </row>
    <row r="7897" spans="13:19" ht="15" customHeight="1" x14ac:dyDescent="0.25">
      <c r="M7897"/>
      <c r="N7897"/>
      <c r="O7897"/>
      <c r="P7897" s="216"/>
      <c r="Q7897" s="217"/>
      <c r="R7897" s="217"/>
      <c r="S7897" s="218"/>
    </row>
    <row r="7898" spans="13:19" ht="15" customHeight="1" x14ac:dyDescent="0.25">
      <c r="M7898"/>
      <c r="N7898"/>
      <c r="O7898"/>
      <c r="P7898" s="216"/>
      <c r="Q7898" s="217"/>
      <c r="R7898" s="217"/>
      <c r="S7898" s="218"/>
    </row>
    <row r="7899" spans="13:19" ht="15" customHeight="1" x14ac:dyDescent="0.25">
      <c r="M7899"/>
      <c r="N7899"/>
      <c r="O7899"/>
      <c r="P7899" s="216"/>
      <c r="Q7899" s="217"/>
      <c r="R7899" s="217"/>
      <c r="S7899" s="218"/>
    </row>
    <row r="7900" spans="13:19" ht="15" customHeight="1" x14ac:dyDescent="0.25">
      <c r="M7900"/>
      <c r="N7900"/>
      <c r="O7900"/>
      <c r="P7900" s="216"/>
      <c r="Q7900" s="217"/>
      <c r="R7900" s="217"/>
      <c r="S7900" s="218"/>
    </row>
    <row r="7901" spans="13:19" ht="15" customHeight="1" x14ac:dyDescent="0.25">
      <c r="M7901"/>
      <c r="N7901"/>
      <c r="O7901"/>
      <c r="P7901" s="216"/>
      <c r="Q7901" s="217"/>
      <c r="R7901" s="217"/>
      <c r="S7901" s="218"/>
    </row>
    <row r="7902" spans="13:19" ht="15" customHeight="1" x14ac:dyDescent="0.25">
      <c r="M7902"/>
      <c r="N7902"/>
      <c r="O7902"/>
      <c r="P7902" s="216"/>
      <c r="Q7902" s="217"/>
      <c r="R7902" s="217"/>
      <c r="S7902" s="218"/>
    </row>
    <row r="7903" spans="13:19" ht="15" customHeight="1" x14ac:dyDescent="0.25">
      <c r="M7903"/>
      <c r="N7903"/>
      <c r="O7903"/>
      <c r="P7903" s="216"/>
      <c r="Q7903" s="217"/>
      <c r="R7903" s="217"/>
      <c r="S7903" s="218"/>
    </row>
    <row r="7904" spans="13:19" ht="15" customHeight="1" x14ac:dyDescent="0.25">
      <c r="M7904"/>
      <c r="N7904"/>
      <c r="O7904"/>
      <c r="P7904" s="216"/>
      <c r="Q7904" s="217"/>
      <c r="R7904" s="217"/>
      <c r="S7904" s="218"/>
    </row>
    <row r="7905" spans="13:19" ht="15" customHeight="1" x14ac:dyDescent="0.25">
      <c r="M7905"/>
      <c r="N7905"/>
      <c r="O7905"/>
      <c r="P7905" s="216"/>
      <c r="Q7905" s="217"/>
      <c r="R7905" s="217"/>
      <c r="S7905" s="218"/>
    </row>
    <row r="7906" spans="13:19" ht="15" customHeight="1" x14ac:dyDescent="0.25">
      <c r="M7906"/>
      <c r="N7906"/>
      <c r="O7906"/>
      <c r="P7906" s="216"/>
      <c r="Q7906" s="217"/>
      <c r="R7906" s="217"/>
      <c r="S7906" s="218"/>
    </row>
    <row r="7907" spans="13:19" ht="15" customHeight="1" x14ac:dyDescent="0.25">
      <c r="M7907"/>
      <c r="N7907"/>
      <c r="O7907"/>
      <c r="P7907" s="216"/>
      <c r="Q7907" s="217"/>
      <c r="R7907" s="217"/>
      <c r="S7907" s="218"/>
    </row>
    <row r="7908" spans="13:19" ht="15" customHeight="1" x14ac:dyDescent="0.25">
      <c r="M7908"/>
      <c r="N7908"/>
      <c r="O7908"/>
      <c r="P7908" s="216"/>
      <c r="Q7908" s="217"/>
      <c r="R7908" s="217"/>
      <c r="S7908" s="218"/>
    </row>
    <row r="7909" spans="13:19" ht="15" customHeight="1" x14ac:dyDescent="0.25">
      <c r="M7909"/>
      <c r="N7909"/>
      <c r="O7909"/>
      <c r="P7909" s="216"/>
      <c r="Q7909" s="217"/>
      <c r="R7909" s="217"/>
      <c r="S7909" s="218"/>
    </row>
    <row r="7910" spans="13:19" ht="15" customHeight="1" x14ac:dyDescent="0.25">
      <c r="M7910"/>
      <c r="N7910"/>
      <c r="O7910"/>
      <c r="P7910" s="216"/>
      <c r="Q7910" s="217"/>
      <c r="R7910" s="217"/>
      <c r="S7910" s="218"/>
    </row>
    <row r="7911" spans="13:19" ht="15" customHeight="1" x14ac:dyDescent="0.25">
      <c r="M7911"/>
      <c r="N7911"/>
      <c r="O7911"/>
      <c r="P7911" s="216"/>
      <c r="Q7911" s="217"/>
      <c r="R7911" s="217"/>
      <c r="S7911" s="218"/>
    </row>
    <row r="7912" spans="13:19" ht="15" customHeight="1" x14ac:dyDescent="0.25">
      <c r="M7912"/>
      <c r="N7912"/>
      <c r="O7912"/>
      <c r="P7912" s="216"/>
      <c r="Q7912" s="217"/>
      <c r="R7912" s="217"/>
      <c r="S7912" s="218"/>
    </row>
    <row r="7913" spans="13:19" ht="15" customHeight="1" x14ac:dyDescent="0.25">
      <c r="M7913"/>
      <c r="N7913"/>
      <c r="O7913"/>
      <c r="P7913" s="216"/>
      <c r="Q7913" s="217"/>
      <c r="R7913" s="217"/>
      <c r="S7913" s="218"/>
    </row>
    <row r="7914" spans="13:19" ht="15" customHeight="1" x14ac:dyDescent="0.25">
      <c r="M7914"/>
      <c r="N7914"/>
      <c r="O7914"/>
      <c r="P7914" s="216"/>
      <c r="Q7914" s="217"/>
      <c r="R7914" s="217"/>
      <c r="S7914" s="218"/>
    </row>
    <row r="7915" spans="13:19" ht="15" customHeight="1" x14ac:dyDescent="0.25">
      <c r="M7915"/>
      <c r="N7915"/>
      <c r="O7915"/>
      <c r="P7915" s="216"/>
      <c r="Q7915" s="217"/>
      <c r="R7915" s="217"/>
      <c r="S7915" s="218"/>
    </row>
    <row r="7916" spans="13:19" ht="15" customHeight="1" x14ac:dyDescent="0.25">
      <c r="M7916"/>
      <c r="N7916"/>
      <c r="O7916"/>
      <c r="P7916" s="216"/>
      <c r="Q7916" s="217"/>
      <c r="R7916" s="217"/>
      <c r="S7916" s="218"/>
    </row>
    <row r="7917" spans="13:19" ht="15" customHeight="1" x14ac:dyDescent="0.25">
      <c r="M7917"/>
      <c r="N7917"/>
      <c r="O7917"/>
      <c r="P7917" s="216"/>
      <c r="Q7917" s="217"/>
      <c r="R7917" s="217"/>
      <c r="S7917" s="218"/>
    </row>
    <row r="7918" spans="13:19" ht="15" customHeight="1" x14ac:dyDescent="0.25">
      <c r="M7918"/>
      <c r="N7918"/>
      <c r="O7918"/>
      <c r="P7918" s="216"/>
      <c r="Q7918" s="217"/>
      <c r="R7918" s="217"/>
      <c r="S7918" s="218"/>
    </row>
    <row r="7919" spans="13:19" ht="15" customHeight="1" x14ac:dyDescent="0.25">
      <c r="M7919"/>
      <c r="N7919"/>
      <c r="O7919"/>
      <c r="P7919" s="216"/>
      <c r="Q7919" s="217"/>
      <c r="R7919" s="217"/>
      <c r="S7919" s="218"/>
    </row>
    <row r="7920" spans="13:19" ht="15" customHeight="1" x14ac:dyDescent="0.25">
      <c r="M7920"/>
      <c r="N7920"/>
      <c r="O7920"/>
      <c r="P7920" s="216"/>
      <c r="Q7920" s="217"/>
      <c r="R7920" s="217"/>
      <c r="S7920" s="218"/>
    </row>
    <row r="7921" spans="13:19" ht="15" customHeight="1" x14ac:dyDescent="0.25">
      <c r="M7921"/>
      <c r="N7921"/>
      <c r="O7921"/>
      <c r="P7921" s="216"/>
      <c r="Q7921" s="217"/>
      <c r="R7921" s="217"/>
      <c r="S7921" s="218"/>
    </row>
    <row r="7922" spans="13:19" ht="15" customHeight="1" x14ac:dyDescent="0.25">
      <c r="M7922"/>
      <c r="N7922"/>
      <c r="O7922"/>
      <c r="P7922" s="216"/>
      <c r="Q7922" s="217"/>
      <c r="R7922" s="217"/>
      <c r="S7922" s="218"/>
    </row>
    <row r="7923" spans="13:19" ht="15" customHeight="1" x14ac:dyDescent="0.25">
      <c r="M7923"/>
      <c r="N7923"/>
      <c r="O7923"/>
      <c r="P7923" s="216"/>
      <c r="Q7923" s="217"/>
      <c r="R7923" s="217"/>
      <c r="S7923" s="218"/>
    </row>
    <row r="7924" spans="13:19" ht="15" customHeight="1" x14ac:dyDescent="0.25">
      <c r="M7924"/>
      <c r="N7924"/>
      <c r="O7924"/>
      <c r="P7924" s="216"/>
      <c r="Q7924" s="217"/>
      <c r="R7924" s="217"/>
      <c r="S7924" s="218"/>
    </row>
    <row r="7925" spans="13:19" ht="15" customHeight="1" x14ac:dyDescent="0.25">
      <c r="M7925"/>
      <c r="N7925"/>
      <c r="O7925"/>
      <c r="P7925" s="216"/>
      <c r="Q7925" s="217"/>
      <c r="R7925" s="217"/>
      <c r="S7925" s="218"/>
    </row>
    <row r="7926" spans="13:19" ht="15" customHeight="1" x14ac:dyDescent="0.25">
      <c r="M7926"/>
      <c r="N7926"/>
      <c r="O7926"/>
      <c r="P7926" s="216"/>
      <c r="Q7926" s="217"/>
      <c r="R7926" s="217"/>
      <c r="S7926" s="218"/>
    </row>
    <row r="7927" spans="13:19" ht="15" customHeight="1" x14ac:dyDescent="0.25">
      <c r="M7927"/>
      <c r="N7927"/>
      <c r="O7927"/>
      <c r="P7927" s="216"/>
      <c r="Q7927" s="217"/>
      <c r="R7927" s="217"/>
      <c r="S7927" s="218"/>
    </row>
    <row r="7928" spans="13:19" ht="15" customHeight="1" x14ac:dyDescent="0.25">
      <c r="M7928"/>
      <c r="N7928"/>
      <c r="O7928"/>
      <c r="P7928" s="216"/>
      <c r="Q7928" s="217"/>
      <c r="R7928" s="217"/>
      <c r="S7928" s="218"/>
    </row>
    <row r="7929" spans="13:19" ht="15" customHeight="1" x14ac:dyDescent="0.25">
      <c r="M7929"/>
      <c r="N7929"/>
      <c r="O7929"/>
      <c r="P7929" s="216"/>
      <c r="Q7929" s="217"/>
      <c r="R7929" s="217"/>
      <c r="S7929" s="218"/>
    </row>
    <row r="7930" spans="13:19" ht="15" customHeight="1" x14ac:dyDescent="0.25">
      <c r="M7930"/>
      <c r="N7930"/>
      <c r="O7930"/>
      <c r="P7930" s="216"/>
      <c r="Q7930" s="217"/>
      <c r="R7930" s="217"/>
      <c r="S7930" s="218"/>
    </row>
    <row r="7931" spans="13:19" ht="15" customHeight="1" x14ac:dyDescent="0.25">
      <c r="M7931"/>
      <c r="N7931"/>
      <c r="O7931"/>
      <c r="P7931" s="216"/>
      <c r="Q7931" s="217"/>
      <c r="R7931" s="217"/>
      <c r="S7931" s="218"/>
    </row>
    <row r="7932" spans="13:19" ht="15" customHeight="1" x14ac:dyDescent="0.25">
      <c r="M7932"/>
      <c r="N7932"/>
      <c r="O7932"/>
      <c r="P7932" s="216"/>
      <c r="Q7932" s="217"/>
      <c r="R7932" s="217"/>
      <c r="S7932" s="218"/>
    </row>
    <row r="7933" spans="13:19" ht="15" customHeight="1" x14ac:dyDescent="0.25">
      <c r="M7933"/>
      <c r="N7933"/>
      <c r="O7933"/>
      <c r="P7933" s="216"/>
      <c r="Q7933" s="217"/>
      <c r="R7933" s="217"/>
      <c r="S7933" s="218"/>
    </row>
    <row r="7934" spans="13:19" ht="15" customHeight="1" x14ac:dyDescent="0.25">
      <c r="M7934"/>
      <c r="N7934"/>
      <c r="O7934"/>
      <c r="P7934" s="216"/>
      <c r="Q7934" s="217"/>
      <c r="R7934" s="217"/>
      <c r="S7934" s="218"/>
    </row>
    <row r="7935" spans="13:19" ht="15" customHeight="1" x14ac:dyDescent="0.25">
      <c r="M7935"/>
      <c r="N7935"/>
      <c r="O7935"/>
      <c r="P7935" s="216"/>
      <c r="Q7935" s="217"/>
      <c r="R7935" s="217"/>
      <c r="S7935" s="218"/>
    </row>
    <row r="7936" spans="13:19" ht="15" customHeight="1" x14ac:dyDescent="0.25">
      <c r="M7936"/>
      <c r="N7936"/>
      <c r="O7936"/>
      <c r="P7936" s="216"/>
      <c r="Q7936" s="217"/>
      <c r="R7936" s="217"/>
      <c r="S7936" s="218"/>
    </row>
    <row r="7937" spans="13:19" ht="15" customHeight="1" x14ac:dyDescent="0.25">
      <c r="M7937"/>
      <c r="N7937"/>
      <c r="O7937"/>
      <c r="P7937" s="216"/>
      <c r="Q7937" s="217"/>
      <c r="R7937" s="217"/>
      <c r="S7937" s="218"/>
    </row>
    <row r="7938" spans="13:19" ht="15" customHeight="1" x14ac:dyDescent="0.25">
      <c r="M7938"/>
      <c r="N7938"/>
      <c r="O7938"/>
      <c r="P7938" s="216"/>
      <c r="Q7938" s="217"/>
      <c r="R7938" s="217"/>
      <c r="S7938" s="218"/>
    </row>
    <row r="7939" spans="13:19" ht="15" customHeight="1" x14ac:dyDescent="0.25">
      <c r="M7939"/>
      <c r="N7939"/>
      <c r="O7939"/>
      <c r="P7939" s="216"/>
      <c r="Q7939" s="217"/>
      <c r="R7939" s="217"/>
      <c r="S7939" s="218"/>
    </row>
    <row r="7940" spans="13:19" ht="15" customHeight="1" x14ac:dyDescent="0.25">
      <c r="M7940"/>
      <c r="N7940"/>
      <c r="O7940"/>
      <c r="P7940" s="216"/>
      <c r="Q7940" s="217"/>
      <c r="R7940" s="217"/>
      <c r="S7940" s="218"/>
    </row>
    <row r="7941" spans="13:19" ht="15" customHeight="1" x14ac:dyDescent="0.25">
      <c r="M7941"/>
      <c r="N7941"/>
      <c r="O7941"/>
      <c r="P7941" s="216"/>
      <c r="Q7941" s="217"/>
      <c r="R7941" s="217"/>
      <c r="S7941" s="218"/>
    </row>
    <row r="7942" spans="13:19" ht="15" customHeight="1" x14ac:dyDescent="0.25">
      <c r="M7942"/>
      <c r="N7942"/>
      <c r="O7942"/>
      <c r="P7942" s="216"/>
      <c r="Q7942" s="217"/>
      <c r="R7942" s="217"/>
      <c r="S7942" s="218"/>
    </row>
    <row r="7943" spans="13:19" ht="15" customHeight="1" x14ac:dyDescent="0.25">
      <c r="M7943"/>
      <c r="N7943"/>
      <c r="O7943"/>
      <c r="P7943" s="216"/>
      <c r="Q7943" s="217"/>
      <c r="R7943" s="217"/>
      <c r="S7943" s="218"/>
    </row>
    <row r="7944" spans="13:19" ht="15" customHeight="1" x14ac:dyDescent="0.25">
      <c r="M7944"/>
      <c r="N7944"/>
      <c r="O7944"/>
      <c r="P7944" s="216"/>
      <c r="Q7944" s="217"/>
      <c r="R7944" s="217"/>
      <c r="S7944" s="218"/>
    </row>
    <row r="7945" spans="13:19" ht="15" customHeight="1" x14ac:dyDescent="0.25">
      <c r="M7945"/>
      <c r="N7945"/>
      <c r="O7945"/>
      <c r="P7945" s="216"/>
      <c r="Q7945" s="217"/>
      <c r="R7945" s="217"/>
      <c r="S7945" s="218"/>
    </row>
    <row r="7946" spans="13:19" ht="15" customHeight="1" x14ac:dyDescent="0.25">
      <c r="M7946"/>
      <c r="N7946"/>
      <c r="O7946"/>
      <c r="P7946" s="216"/>
      <c r="Q7946" s="217"/>
      <c r="R7946" s="217"/>
      <c r="S7946" s="218"/>
    </row>
    <row r="7947" spans="13:19" ht="15" customHeight="1" x14ac:dyDescent="0.25">
      <c r="M7947"/>
      <c r="N7947"/>
      <c r="O7947"/>
      <c r="P7947" s="216"/>
      <c r="Q7947" s="217"/>
      <c r="R7947" s="217"/>
      <c r="S7947" s="218"/>
    </row>
    <row r="7948" spans="13:19" ht="15" customHeight="1" x14ac:dyDescent="0.25">
      <c r="M7948"/>
      <c r="N7948"/>
      <c r="O7948"/>
      <c r="P7948" s="216"/>
      <c r="Q7948" s="217"/>
      <c r="R7948" s="217"/>
      <c r="S7948" s="218"/>
    </row>
    <row r="7949" spans="13:19" ht="15" customHeight="1" x14ac:dyDescent="0.25">
      <c r="M7949"/>
      <c r="N7949"/>
      <c r="O7949"/>
      <c r="P7949" s="216"/>
      <c r="Q7949" s="217"/>
      <c r="R7949" s="217"/>
      <c r="S7949" s="218"/>
    </row>
    <row r="7950" spans="13:19" ht="15" customHeight="1" x14ac:dyDescent="0.25">
      <c r="M7950"/>
      <c r="N7950"/>
      <c r="O7950"/>
      <c r="P7950" s="216"/>
      <c r="Q7950" s="217"/>
      <c r="R7950" s="217"/>
      <c r="S7950" s="218"/>
    </row>
    <row r="7951" spans="13:19" ht="15" customHeight="1" x14ac:dyDescent="0.25">
      <c r="M7951"/>
      <c r="N7951"/>
      <c r="O7951"/>
      <c r="P7951" s="216"/>
      <c r="Q7951" s="217"/>
      <c r="R7951" s="217"/>
      <c r="S7951" s="218"/>
    </row>
    <row r="7952" spans="13:19" ht="15" customHeight="1" x14ac:dyDescent="0.25">
      <c r="M7952"/>
      <c r="N7952"/>
      <c r="O7952"/>
      <c r="P7952" s="216"/>
      <c r="Q7952" s="217"/>
      <c r="R7952" s="217"/>
      <c r="S7952" s="218"/>
    </row>
    <row r="7953" spans="13:19" ht="15" customHeight="1" x14ac:dyDescent="0.25">
      <c r="M7953"/>
      <c r="N7953"/>
      <c r="O7953"/>
      <c r="P7953" s="216"/>
      <c r="Q7953" s="217"/>
      <c r="R7953" s="217"/>
      <c r="S7953" s="218"/>
    </row>
    <row r="7954" spans="13:19" ht="15" customHeight="1" x14ac:dyDescent="0.25">
      <c r="M7954"/>
      <c r="N7954"/>
      <c r="O7954"/>
      <c r="P7954" s="216"/>
      <c r="Q7954" s="217"/>
      <c r="R7954" s="217"/>
      <c r="S7954" s="218"/>
    </row>
    <row r="7955" spans="13:19" ht="15" customHeight="1" x14ac:dyDescent="0.25">
      <c r="M7955"/>
      <c r="N7955"/>
      <c r="O7955"/>
      <c r="P7955" s="216"/>
      <c r="Q7955" s="217"/>
      <c r="R7955" s="217"/>
      <c r="S7955" s="218"/>
    </row>
    <row r="7956" spans="13:19" ht="15" customHeight="1" x14ac:dyDescent="0.25">
      <c r="M7956"/>
      <c r="N7956"/>
      <c r="O7956"/>
      <c r="P7956" s="216"/>
      <c r="Q7956" s="217"/>
      <c r="R7956" s="217"/>
      <c r="S7956" s="218"/>
    </row>
    <row r="7957" spans="13:19" ht="15" customHeight="1" x14ac:dyDescent="0.25">
      <c r="M7957"/>
      <c r="N7957"/>
      <c r="O7957"/>
      <c r="P7957" s="216"/>
      <c r="Q7957" s="217"/>
      <c r="R7957" s="217"/>
      <c r="S7957" s="218"/>
    </row>
    <row r="7958" spans="13:19" ht="15" customHeight="1" x14ac:dyDescent="0.25">
      <c r="M7958"/>
      <c r="N7958"/>
      <c r="O7958"/>
      <c r="P7958" s="216"/>
      <c r="Q7958" s="217"/>
      <c r="R7958" s="217"/>
      <c r="S7958" s="218"/>
    </row>
    <row r="7959" spans="13:19" ht="15" customHeight="1" x14ac:dyDescent="0.25">
      <c r="M7959"/>
      <c r="N7959"/>
      <c r="O7959"/>
      <c r="P7959" s="216"/>
      <c r="Q7959" s="217"/>
      <c r="R7959" s="217"/>
      <c r="S7959" s="218"/>
    </row>
    <row r="7960" spans="13:19" ht="15" customHeight="1" x14ac:dyDescent="0.25">
      <c r="M7960"/>
      <c r="N7960"/>
      <c r="O7960"/>
      <c r="P7960" s="216"/>
      <c r="Q7960" s="217"/>
      <c r="R7960" s="217"/>
      <c r="S7960" s="218"/>
    </row>
    <row r="7961" spans="13:19" ht="15" customHeight="1" x14ac:dyDescent="0.25">
      <c r="M7961"/>
      <c r="N7961"/>
      <c r="O7961"/>
      <c r="P7961" s="216"/>
      <c r="Q7961" s="217"/>
      <c r="R7961" s="217"/>
      <c r="S7961" s="218"/>
    </row>
    <row r="7962" spans="13:19" ht="15" customHeight="1" x14ac:dyDescent="0.25">
      <c r="M7962"/>
      <c r="N7962"/>
      <c r="O7962"/>
      <c r="P7962" s="216"/>
      <c r="Q7962" s="217"/>
      <c r="R7962" s="217"/>
      <c r="S7962" s="218"/>
    </row>
    <row r="7963" spans="13:19" ht="15" customHeight="1" x14ac:dyDescent="0.25">
      <c r="M7963"/>
      <c r="N7963"/>
      <c r="O7963"/>
      <c r="P7963" s="216"/>
      <c r="Q7963" s="217"/>
      <c r="R7963" s="217"/>
      <c r="S7963" s="218"/>
    </row>
    <row r="7964" spans="13:19" ht="15" customHeight="1" x14ac:dyDescent="0.25">
      <c r="M7964"/>
      <c r="N7964"/>
      <c r="O7964"/>
      <c r="P7964" s="216"/>
      <c r="Q7964" s="217"/>
      <c r="R7964" s="217"/>
      <c r="S7964" s="218"/>
    </row>
    <row r="7965" spans="13:19" ht="15" customHeight="1" x14ac:dyDescent="0.25">
      <c r="M7965"/>
      <c r="N7965"/>
      <c r="O7965"/>
      <c r="P7965" s="216"/>
      <c r="Q7965" s="217"/>
      <c r="R7965" s="217"/>
      <c r="S7965" s="218"/>
    </row>
    <row r="7966" spans="13:19" ht="15" customHeight="1" x14ac:dyDescent="0.25">
      <c r="M7966"/>
      <c r="N7966"/>
      <c r="O7966"/>
      <c r="P7966" s="216"/>
      <c r="Q7966" s="217"/>
      <c r="R7966" s="217"/>
      <c r="S7966" s="218"/>
    </row>
    <row r="7967" spans="13:19" ht="15" customHeight="1" x14ac:dyDescent="0.25">
      <c r="M7967"/>
      <c r="N7967"/>
      <c r="O7967"/>
      <c r="P7967" s="216"/>
      <c r="Q7967" s="217"/>
      <c r="R7967" s="217"/>
      <c r="S7967" s="218"/>
    </row>
    <row r="7968" spans="13:19" ht="15" customHeight="1" x14ac:dyDescent="0.25">
      <c r="M7968"/>
      <c r="N7968"/>
      <c r="O7968"/>
      <c r="P7968" s="216"/>
      <c r="Q7968" s="217"/>
      <c r="R7968" s="217"/>
      <c r="S7968" s="218"/>
    </row>
    <row r="7969" spans="13:19" ht="15" customHeight="1" x14ac:dyDescent="0.25">
      <c r="M7969"/>
      <c r="N7969"/>
      <c r="O7969"/>
      <c r="P7969" s="216"/>
      <c r="Q7969" s="217"/>
      <c r="R7969" s="217"/>
      <c r="S7969" s="218"/>
    </row>
    <row r="7970" spans="13:19" ht="15" customHeight="1" x14ac:dyDescent="0.25">
      <c r="M7970"/>
      <c r="N7970"/>
      <c r="O7970"/>
      <c r="P7970" s="216"/>
      <c r="Q7970" s="217"/>
      <c r="R7970" s="217"/>
      <c r="S7970" s="218"/>
    </row>
    <row r="7971" spans="13:19" ht="15" customHeight="1" x14ac:dyDescent="0.25">
      <c r="M7971"/>
      <c r="N7971"/>
      <c r="O7971"/>
      <c r="P7971" s="216"/>
      <c r="Q7971" s="217"/>
      <c r="R7971" s="217"/>
      <c r="S7971" s="218"/>
    </row>
    <row r="7972" spans="13:19" ht="15" customHeight="1" x14ac:dyDescent="0.25">
      <c r="M7972"/>
      <c r="N7972"/>
      <c r="O7972"/>
      <c r="P7972" s="216"/>
      <c r="Q7972" s="217"/>
      <c r="R7972" s="217"/>
      <c r="S7972" s="218"/>
    </row>
    <row r="7973" spans="13:19" ht="15" customHeight="1" x14ac:dyDescent="0.25">
      <c r="M7973"/>
      <c r="N7973"/>
      <c r="O7973"/>
      <c r="P7973" s="216"/>
      <c r="Q7973" s="217"/>
      <c r="R7973" s="217"/>
      <c r="S7973" s="218"/>
    </row>
    <row r="7974" spans="13:19" ht="15" customHeight="1" x14ac:dyDescent="0.25">
      <c r="M7974"/>
      <c r="N7974"/>
      <c r="O7974"/>
      <c r="P7974" s="216"/>
      <c r="Q7974" s="217"/>
      <c r="R7974" s="217"/>
      <c r="S7974" s="218"/>
    </row>
    <row r="7975" spans="13:19" ht="15" customHeight="1" x14ac:dyDescent="0.25">
      <c r="M7975"/>
      <c r="N7975"/>
      <c r="O7975"/>
      <c r="P7975" s="216"/>
      <c r="Q7975" s="217"/>
      <c r="R7975" s="217"/>
      <c r="S7975" s="218"/>
    </row>
    <row r="7976" spans="13:19" ht="15" customHeight="1" x14ac:dyDescent="0.25">
      <c r="M7976"/>
      <c r="N7976"/>
      <c r="O7976"/>
      <c r="P7976" s="216"/>
      <c r="Q7976" s="217"/>
      <c r="R7976" s="217"/>
      <c r="S7976" s="218"/>
    </row>
    <row r="7977" spans="13:19" ht="15" customHeight="1" x14ac:dyDescent="0.25">
      <c r="M7977"/>
      <c r="N7977"/>
      <c r="O7977"/>
      <c r="P7977" s="216"/>
      <c r="Q7977" s="217"/>
      <c r="R7977" s="217"/>
      <c r="S7977" s="218"/>
    </row>
    <row r="7978" spans="13:19" ht="15" customHeight="1" x14ac:dyDescent="0.25">
      <c r="M7978"/>
      <c r="N7978"/>
      <c r="O7978"/>
      <c r="P7978" s="216"/>
      <c r="Q7978" s="217"/>
      <c r="R7978" s="217"/>
      <c r="S7978" s="218"/>
    </row>
    <row r="7979" spans="13:19" ht="15" customHeight="1" x14ac:dyDescent="0.25">
      <c r="M7979"/>
      <c r="N7979"/>
      <c r="O7979"/>
      <c r="P7979" s="216"/>
      <c r="Q7979" s="217"/>
      <c r="R7979" s="217"/>
      <c r="S7979" s="218"/>
    </row>
    <row r="7980" spans="13:19" ht="15" customHeight="1" x14ac:dyDescent="0.25">
      <c r="M7980"/>
      <c r="N7980"/>
      <c r="O7980"/>
      <c r="P7980" s="216"/>
      <c r="Q7980" s="217"/>
      <c r="R7980" s="217"/>
      <c r="S7980" s="218"/>
    </row>
    <row r="7981" spans="13:19" ht="15" customHeight="1" x14ac:dyDescent="0.25">
      <c r="M7981"/>
      <c r="N7981"/>
      <c r="O7981"/>
      <c r="P7981" s="216"/>
      <c r="Q7981" s="217"/>
      <c r="R7981" s="217"/>
      <c r="S7981" s="218"/>
    </row>
    <row r="7982" spans="13:19" ht="15" customHeight="1" x14ac:dyDescent="0.25">
      <c r="M7982"/>
      <c r="N7982"/>
      <c r="O7982"/>
      <c r="P7982" s="216"/>
      <c r="Q7982" s="217"/>
      <c r="R7982" s="217"/>
      <c r="S7982" s="218"/>
    </row>
    <row r="7983" spans="13:19" ht="15" customHeight="1" x14ac:dyDescent="0.25">
      <c r="M7983"/>
      <c r="N7983"/>
      <c r="O7983"/>
      <c r="P7983" s="216"/>
      <c r="Q7983" s="217"/>
      <c r="R7983" s="217"/>
      <c r="S7983" s="218"/>
    </row>
    <row r="7984" spans="13:19" ht="15" customHeight="1" x14ac:dyDescent="0.25">
      <c r="M7984"/>
      <c r="N7984"/>
      <c r="O7984"/>
      <c r="P7984" s="216"/>
      <c r="Q7984" s="217"/>
      <c r="R7984" s="217"/>
      <c r="S7984" s="218"/>
    </row>
    <row r="7985" spans="13:19" ht="15" customHeight="1" x14ac:dyDescent="0.25">
      <c r="M7985"/>
      <c r="N7985"/>
      <c r="O7985"/>
      <c r="P7985" s="216"/>
      <c r="Q7985" s="217"/>
      <c r="R7985" s="217"/>
      <c r="S7985" s="218"/>
    </row>
    <row r="7986" spans="13:19" ht="15" customHeight="1" x14ac:dyDescent="0.25">
      <c r="M7986"/>
      <c r="N7986"/>
      <c r="O7986"/>
      <c r="P7986" s="216"/>
      <c r="Q7986" s="217"/>
      <c r="R7986" s="217"/>
      <c r="S7986" s="218"/>
    </row>
    <row r="7987" spans="13:19" ht="15" customHeight="1" x14ac:dyDescent="0.25">
      <c r="M7987"/>
      <c r="N7987"/>
      <c r="O7987"/>
      <c r="P7987" s="216"/>
      <c r="Q7987" s="217"/>
      <c r="R7987" s="217"/>
      <c r="S7987" s="218"/>
    </row>
    <row r="7988" spans="13:19" ht="15" customHeight="1" x14ac:dyDescent="0.25">
      <c r="M7988"/>
      <c r="N7988"/>
      <c r="O7988"/>
      <c r="P7988" s="216"/>
      <c r="Q7988" s="217"/>
      <c r="R7988" s="217"/>
      <c r="S7988" s="218"/>
    </row>
    <row r="7989" spans="13:19" ht="15" customHeight="1" x14ac:dyDescent="0.25">
      <c r="M7989"/>
      <c r="N7989"/>
      <c r="O7989"/>
      <c r="P7989" s="216"/>
      <c r="Q7989" s="217"/>
      <c r="R7989" s="217"/>
      <c r="S7989" s="218"/>
    </row>
    <row r="7990" spans="13:19" ht="15" customHeight="1" x14ac:dyDescent="0.25">
      <c r="M7990"/>
      <c r="N7990"/>
      <c r="O7990"/>
      <c r="P7990" s="216"/>
      <c r="Q7990" s="217"/>
      <c r="R7990" s="217"/>
      <c r="S7990" s="218"/>
    </row>
    <row r="7991" spans="13:19" ht="15" customHeight="1" x14ac:dyDescent="0.25">
      <c r="M7991"/>
      <c r="N7991"/>
      <c r="O7991"/>
      <c r="P7991" s="216"/>
      <c r="Q7991" s="217"/>
      <c r="R7991" s="217"/>
      <c r="S7991" s="218"/>
    </row>
    <row r="7992" spans="13:19" ht="15" customHeight="1" x14ac:dyDescent="0.25">
      <c r="M7992"/>
      <c r="N7992"/>
      <c r="O7992"/>
      <c r="P7992" s="216"/>
      <c r="Q7992" s="217"/>
      <c r="R7992" s="217"/>
      <c r="S7992" s="218"/>
    </row>
    <row r="7993" spans="13:19" ht="15" customHeight="1" x14ac:dyDescent="0.25">
      <c r="M7993"/>
      <c r="N7993"/>
      <c r="O7993"/>
      <c r="P7993" s="216"/>
      <c r="Q7993" s="217"/>
      <c r="R7993" s="217"/>
      <c r="S7993" s="218"/>
    </row>
    <row r="7994" spans="13:19" ht="15" customHeight="1" x14ac:dyDescent="0.25">
      <c r="M7994"/>
      <c r="N7994"/>
      <c r="O7994"/>
      <c r="P7994" s="216"/>
      <c r="Q7994" s="217"/>
      <c r="R7994" s="217"/>
      <c r="S7994" s="218"/>
    </row>
    <row r="7995" spans="13:19" ht="15" customHeight="1" x14ac:dyDescent="0.25">
      <c r="M7995"/>
      <c r="N7995"/>
      <c r="O7995"/>
      <c r="P7995" s="216"/>
      <c r="Q7995" s="217"/>
      <c r="R7995" s="217"/>
      <c r="S7995" s="218"/>
    </row>
    <row r="7996" spans="13:19" ht="15" customHeight="1" x14ac:dyDescent="0.25">
      <c r="M7996"/>
      <c r="N7996"/>
      <c r="O7996"/>
      <c r="P7996" s="216"/>
      <c r="Q7996" s="217"/>
      <c r="R7996" s="217"/>
      <c r="S7996" s="218"/>
    </row>
    <row r="7997" spans="13:19" ht="15" customHeight="1" x14ac:dyDescent="0.25">
      <c r="M7997"/>
      <c r="N7997"/>
      <c r="O7997"/>
      <c r="P7997" s="216"/>
      <c r="Q7997" s="217"/>
      <c r="R7997" s="217"/>
      <c r="S7997" s="218"/>
    </row>
    <row r="7998" spans="13:19" ht="15" customHeight="1" x14ac:dyDescent="0.25">
      <c r="M7998"/>
      <c r="N7998"/>
      <c r="O7998"/>
      <c r="P7998" s="216"/>
      <c r="Q7998" s="217"/>
      <c r="R7998" s="217"/>
      <c r="S7998" s="218"/>
    </row>
    <row r="7999" spans="13:19" ht="15" customHeight="1" x14ac:dyDescent="0.25">
      <c r="M7999"/>
      <c r="N7999"/>
      <c r="O7999"/>
      <c r="P7999" s="216"/>
      <c r="Q7999" s="217"/>
      <c r="R7999" s="217"/>
      <c r="S7999" s="218"/>
    </row>
    <row r="8000" spans="13:19" ht="15" customHeight="1" x14ac:dyDescent="0.25">
      <c r="M8000"/>
      <c r="N8000"/>
      <c r="O8000"/>
      <c r="P8000" s="216"/>
      <c r="Q8000" s="217"/>
      <c r="R8000" s="217"/>
      <c r="S8000" s="218"/>
    </row>
    <row r="8001" spans="13:19" ht="15" customHeight="1" x14ac:dyDescent="0.25">
      <c r="M8001"/>
      <c r="N8001"/>
      <c r="O8001"/>
      <c r="P8001" s="216"/>
      <c r="Q8001" s="217"/>
      <c r="R8001" s="217"/>
      <c r="S8001" s="218"/>
    </row>
    <row r="8002" spans="13:19" ht="15" customHeight="1" x14ac:dyDescent="0.25">
      <c r="M8002"/>
      <c r="N8002"/>
      <c r="O8002"/>
      <c r="P8002" s="216"/>
      <c r="Q8002" s="217"/>
      <c r="R8002" s="217"/>
      <c r="S8002" s="218"/>
    </row>
    <row r="8003" spans="13:19" ht="15" customHeight="1" x14ac:dyDescent="0.25">
      <c r="M8003"/>
      <c r="N8003"/>
      <c r="O8003"/>
      <c r="P8003" s="216"/>
      <c r="Q8003" s="217"/>
      <c r="R8003" s="217"/>
      <c r="S8003" s="218"/>
    </row>
    <row r="8004" spans="13:19" ht="15" customHeight="1" x14ac:dyDescent="0.25">
      <c r="M8004"/>
      <c r="N8004"/>
      <c r="O8004"/>
      <c r="P8004" s="216"/>
      <c r="Q8004" s="217"/>
      <c r="R8004" s="217"/>
      <c r="S8004" s="218"/>
    </row>
    <row r="8005" spans="13:19" ht="15" customHeight="1" x14ac:dyDescent="0.25">
      <c r="M8005"/>
      <c r="N8005"/>
      <c r="O8005"/>
      <c r="P8005" s="216"/>
      <c r="Q8005" s="217"/>
      <c r="R8005" s="217"/>
      <c r="S8005" s="218"/>
    </row>
    <row r="8006" spans="13:19" ht="15" customHeight="1" x14ac:dyDescent="0.25">
      <c r="M8006"/>
      <c r="N8006"/>
      <c r="O8006"/>
      <c r="P8006" s="216"/>
      <c r="Q8006" s="217"/>
      <c r="R8006" s="217"/>
      <c r="S8006" s="218"/>
    </row>
    <row r="8007" spans="13:19" ht="15" customHeight="1" x14ac:dyDescent="0.25">
      <c r="M8007"/>
      <c r="N8007"/>
      <c r="O8007"/>
      <c r="P8007" s="216"/>
      <c r="Q8007" s="217"/>
      <c r="R8007" s="217"/>
      <c r="S8007" s="218"/>
    </row>
    <row r="8008" spans="13:19" ht="15" customHeight="1" x14ac:dyDescent="0.25">
      <c r="M8008"/>
      <c r="N8008"/>
      <c r="O8008"/>
      <c r="P8008" s="216"/>
      <c r="Q8008" s="217"/>
      <c r="R8008" s="217"/>
      <c r="S8008" s="218"/>
    </row>
    <row r="8009" spans="13:19" ht="15" customHeight="1" x14ac:dyDescent="0.25">
      <c r="M8009"/>
      <c r="N8009"/>
      <c r="O8009"/>
      <c r="P8009" s="216"/>
      <c r="Q8009" s="217"/>
      <c r="R8009" s="217"/>
      <c r="S8009" s="218"/>
    </row>
    <row r="8010" spans="13:19" ht="15" customHeight="1" x14ac:dyDescent="0.25">
      <c r="M8010"/>
      <c r="N8010"/>
      <c r="O8010"/>
      <c r="P8010" s="216"/>
      <c r="Q8010" s="217"/>
      <c r="R8010" s="217"/>
      <c r="S8010" s="218"/>
    </row>
    <row r="8011" spans="13:19" ht="15" customHeight="1" x14ac:dyDescent="0.25">
      <c r="M8011"/>
      <c r="N8011"/>
      <c r="O8011"/>
      <c r="P8011" s="216"/>
      <c r="Q8011" s="217"/>
      <c r="R8011" s="217"/>
      <c r="S8011" s="218"/>
    </row>
    <row r="8012" spans="13:19" ht="15" customHeight="1" x14ac:dyDescent="0.25">
      <c r="M8012"/>
      <c r="N8012"/>
      <c r="O8012"/>
      <c r="P8012" s="216"/>
      <c r="Q8012" s="217"/>
      <c r="R8012" s="217"/>
      <c r="S8012" s="218"/>
    </row>
    <row r="8013" spans="13:19" ht="15" customHeight="1" x14ac:dyDescent="0.25">
      <c r="M8013"/>
      <c r="N8013"/>
      <c r="O8013"/>
      <c r="P8013" s="216"/>
      <c r="Q8013" s="217"/>
      <c r="R8013" s="217"/>
      <c r="S8013" s="218"/>
    </row>
    <row r="8014" spans="13:19" ht="15" customHeight="1" x14ac:dyDescent="0.25">
      <c r="M8014"/>
      <c r="N8014"/>
      <c r="O8014"/>
      <c r="P8014" s="216"/>
      <c r="Q8014" s="217"/>
      <c r="R8014" s="217"/>
      <c r="S8014" s="218"/>
    </row>
    <row r="8015" spans="13:19" ht="15" customHeight="1" x14ac:dyDescent="0.25">
      <c r="M8015"/>
      <c r="N8015"/>
      <c r="O8015"/>
      <c r="P8015" s="216"/>
      <c r="Q8015" s="217"/>
      <c r="R8015" s="217"/>
      <c r="S8015" s="218"/>
    </row>
    <row r="8016" spans="13:19" ht="15" customHeight="1" x14ac:dyDescent="0.25">
      <c r="M8016"/>
      <c r="N8016"/>
      <c r="O8016"/>
      <c r="P8016" s="216"/>
      <c r="Q8016" s="217"/>
      <c r="R8016" s="217"/>
      <c r="S8016" s="218"/>
    </row>
    <row r="8017" spans="13:19" ht="15" customHeight="1" x14ac:dyDescent="0.25">
      <c r="M8017"/>
      <c r="N8017"/>
      <c r="O8017"/>
      <c r="P8017" s="216"/>
      <c r="Q8017" s="217"/>
      <c r="R8017" s="217"/>
      <c r="S8017" s="218"/>
    </row>
    <row r="8018" spans="13:19" ht="15" customHeight="1" x14ac:dyDescent="0.25">
      <c r="M8018"/>
      <c r="N8018"/>
      <c r="O8018"/>
      <c r="P8018" s="216"/>
      <c r="Q8018" s="217"/>
      <c r="R8018" s="217"/>
      <c r="S8018" s="218"/>
    </row>
    <row r="8019" spans="13:19" ht="15" customHeight="1" x14ac:dyDescent="0.25">
      <c r="M8019"/>
      <c r="N8019"/>
      <c r="O8019"/>
      <c r="P8019" s="216"/>
      <c r="Q8019" s="217"/>
      <c r="R8019" s="217"/>
      <c r="S8019" s="218"/>
    </row>
    <row r="8020" spans="13:19" ht="15" customHeight="1" x14ac:dyDescent="0.25">
      <c r="M8020"/>
      <c r="N8020"/>
      <c r="O8020"/>
      <c r="P8020" s="216"/>
      <c r="Q8020" s="217"/>
      <c r="R8020" s="217"/>
      <c r="S8020" s="218"/>
    </row>
    <row r="8021" spans="13:19" ht="15" customHeight="1" x14ac:dyDescent="0.25">
      <c r="M8021"/>
      <c r="N8021"/>
      <c r="O8021"/>
      <c r="P8021" s="216"/>
      <c r="Q8021" s="217"/>
      <c r="R8021" s="217"/>
      <c r="S8021" s="218"/>
    </row>
    <row r="8022" spans="13:19" ht="15" customHeight="1" x14ac:dyDescent="0.25">
      <c r="M8022"/>
      <c r="N8022"/>
      <c r="O8022"/>
      <c r="P8022" s="216"/>
      <c r="Q8022" s="217"/>
      <c r="R8022" s="217"/>
      <c r="S8022" s="218"/>
    </row>
    <row r="8023" spans="13:19" ht="15" customHeight="1" x14ac:dyDescent="0.25">
      <c r="M8023"/>
      <c r="N8023"/>
      <c r="O8023"/>
      <c r="P8023" s="216"/>
      <c r="Q8023" s="217"/>
      <c r="R8023" s="217"/>
      <c r="S8023" s="218"/>
    </row>
    <row r="8024" spans="13:19" ht="15" customHeight="1" x14ac:dyDescent="0.25">
      <c r="M8024"/>
      <c r="N8024"/>
      <c r="O8024"/>
      <c r="P8024" s="216"/>
      <c r="Q8024" s="217"/>
      <c r="R8024" s="217"/>
      <c r="S8024" s="218"/>
    </row>
    <row r="8025" spans="13:19" ht="15" customHeight="1" x14ac:dyDescent="0.25">
      <c r="M8025"/>
      <c r="N8025"/>
      <c r="O8025"/>
      <c r="P8025" s="216"/>
      <c r="Q8025" s="217"/>
      <c r="R8025" s="217"/>
      <c r="S8025" s="218"/>
    </row>
    <row r="8026" spans="13:19" ht="15" customHeight="1" x14ac:dyDescent="0.25">
      <c r="M8026"/>
      <c r="N8026"/>
      <c r="O8026"/>
      <c r="P8026" s="216"/>
      <c r="Q8026" s="217"/>
      <c r="R8026" s="217"/>
      <c r="S8026" s="218"/>
    </row>
    <row r="8027" spans="13:19" ht="15" customHeight="1" x14ac:dyDescent="0.25">
      <c r="M8027"/>
      <c r="N8027"/>
      <c r="O8027"/>
      <c r="P8027" s="216"/>
      <c r="Q8027" s="217"/>
      <c r="R8027" s="217"/>
      <c r="S8027" s="218"/>
    </row>
    <row r="8028" spans="13:19" ht="15" customHeight="1" x14ac:dyDescent="0.25">
      <c r="M8028"/>
      <c r="N8028"/>
      <c r="O8028"/>
      <c r="P8028" s="216"/>
      <c r="Q8028" s="217"/>
      <c r="R8028" s="217"/>
      <c r="S8028" s="218"/>
    </row>
    <row r="8029" spans="13:19" ht="15" customHeight="1" x14ac:dyDescent="0.25">
      <c r="M8029"/>
      <c r="N8029"/>
      <c r="O8029"/>
      <c r="P8029" s="216"/>
      <c r="Q8029" s="217"/>
      <c r="R8029" s="217"/>
      <c r="S8029" s="218"/>
    </row>
    <row r="8030" spans="13:19" ht="15" customHeight="1" x14ac:dyDescent="0.25">
      <c r="M8030"/>
      <c r="N8030"/>
      <c r="O8030"/>
      <c r="P8030" s="216"/>
      <c r="Q8030" s="217"/>
      <c r="R8030" s="217"/>
      <c r="S8030" s="218"/>
    </row>
    <row r="8031" spans="13:19" ht="15" customHeight="1" x14ac:dyDescent="0.25">
      <c r="M8031"/>
      <c r="N8031"/>
      <c r="O8031"/>
      <c r="P8031" s="216"/>
      <c r="Q8031" s="217"/>
      <c r="R8031" s="217"/>
      <c r="S8031" s="218"/>
    </row>
    <row r="8032" spans="13:19" ht="15" customHeight="1" x14ac:dyDescent="0.25">
      <c r="M8032"/>
      <c r="N8032"/>
      <c r="O8032"/>
      <c r="P8032" s="216"/>
      <c r="Q8032" s="217"/>
      <c r="R8032" s="217"/>
      <c r="S8032" s="218"/>
    </row>
    <row r="8033" spans="13:19" ht="15" customHeight="1" x14ac:dyDescent="0.25">
      <c r="M8033"/>
      <c r="N8033"/>
      <c r="O8033"/>
      <c r="P8033" s="216"/>
      <c r="Q8033" s="217"/>
      <c r="R8033" s="217"/>
      <c r="S8033" s="218"/>
    </row>
    <row r="8034" spans="13:19" ht="15" customHeight="1" x14ac:dyDescent="0.25">
      <c r="M8034"/>
      <c r="N8034"/>
      <c r="O8034"/>
      <c r="P8034" s="216"/>
      <c r="Q8034" s="217"/>
      <c r="R8034" s="217"/>
      <c r="S8034" s="218"/>
    </row>
    <row r="8035" spans="13:19" ht="15" customHeight="1" x14ac:dyDescent="0.25">
      <c r="M8035"/>
      <c r="N8035"/>
      <c r="O8035"/>
      <c r="P8035" s="216"/>
      <c r="Q8035" s="217"/>
      <c r="R8035" s="217"/>
      <c r="S8035" s="218"/>
    </row>
    <row r="8036" spans="13:19" ht="15" customHeight="1" x14ac:dyDescent="0.25">
      <c r="M8036"/>
      <c r="N8036"/>
      <c r="O8036"/>
      <c r="P8036" s="216"/>
      <c r="Q8036" s="217"/>
      <c r="R8036" s="217"/>
      <c r="S8036" s="218"/>
    </row>
    <row r="8037" spans="13:19" ht="15" customHeight="1" x14ac:dyDescent="0.25">
      <c r="M8037"/>
      <c r="N8037"/>
      <c r="O8037"/>
      <c r="P8037" s="216"/>
      <c r="Q8037" s="217"/>
      <c r="R8037" s="217"/>
      <c r="S8037" s="218"/>
    </row>
    <row r="8038" spans="13:19" ht="15" customHeight="1" x14ac:dyDescent="0.25">
      <c r="M8038"/>
      <c r="N8038"/>
      <c r="O8038"/>
      <c r="P8038" s="216"/>
      <c r="Q8038" s="217"/>
      <c r="R8038" s="217"/>
      <c r="S8038" s="218"/>
    </row>
    <row r="8039" spans="13:19" ht="15" customHeight="1" x14ac:dyDescent="0.25">
      <c r="M8039"/>
      <c r="N8039"/>
      <c r="O8039"/>
      <c r="P8039" s="216"/>
      <c r="Q8039" s="217"/>
      <c r="R8039" s="217"/>
      <c r="S8039" s="218"/>
    </row>
    <row r="8040" spans="13:19" ht="15" customHeight="1" x14ac:dyDescent="0.25">
      <c r="M8040"/>
      <c r="N8040"/>
      <c r="O8040"/>
      <c r="P8040" s="216"/>
      <c r="Q8040" s="217"/>
      <c r="R8040" s="217"/>
      <c r="S8040" s="218"/>
    </row>
    <row r="8041" spans="13:19" ht="15" customHeight="1" x14ac:dyDescent="0.25">
      <c r="M8041"/>
      <c r="N8041"/>
      <c r="O8041"/>
      <c r="P8041" s="216"/>
      <c r="Q8041" s="217"/>
      <c r="R8041" s="217"/>
      <c r="S8041" s="218"/>
    </row>
    <row r="8042" spans="13:19" ht="15" customHeight="1" x14ac:dyDescent="0.25">
      <c r="M8042"/>
      <c r="N8042"/>
      <c r="O8042"/>
      <c r="P8042" s="216"/>
      <c r="Q8042" s="217"/>
      <c r="R8042" s="217"/>
      <c r="S8042" s="218"/>
    </row>
    <row r="8043" spans="13:19" ht="15" customHeight="1" x14ac:dyDescent="0.25">
      <c r="M8043"/>
      <c r="N8043"/>
      <c r="O8043"/>
      <c r="P8043" s="216"/>
      <c r="Q8043" s="217"/>
      <c r="R8043" s="217"/>
      <c r="S8043" s="218"/>
    </row>
    <row r="8044" spans="13:19" ht="15" customHeight="1" x14ac:dyDescent="0.25">
      <c r="M8044"/>
      <c r="N8044"/>
      <c r="O8044"/>
      <c r="P8044" s="216"/>
      <c r="Q8044" s="217"/>
      <c r="R8044" s="217"/>
      <c r="S8044" s="218"/>
    </row>
    <row r="8045" spans="13:19" ht="15" customHeight="1" x14ac:dyDescent="0.25">
      <c r="M8045"/>
      <c r="N8045"/>
      <c r="O8045"/>
      <c r="P8045" s="216"/>
      <c r="Q8045" s="217"/>
      <c r="R8045" s="217"/>
      <c r="S8045" s="218"/>
    </row>
    <row r="8046" spans="13:19" ht="15" customHeight="1" x14ac:dyDescent="0.25">
      <c r="M8046"/>
      <c r="N8046"/>
      <c r="O8046"/>
      <c r="P8046" s="216"/>
      <c r="Q8046" s="217"/>
      <c r="R8046" s="217"/>
      <c r="S8046" s="218"/>
    </row>
    <row r="8047" spans="13:19" ht="15" customHeight="1" x14ac:dyDescent="0.25">
      <c r="M8047"/>
      <c r="N8047"/>
      <c r="O8047"/>
      <c r="P8047" s="216"/>
      <c r="Q8047" s="217"/>
      <c r="R8047" s="217"/>
      <c r="S8047" s="218"/>
    </row>
    <row r="8048" spans="13:19" ht="15" customHeight="1" x14ac:dyDescent="0.25">
      <c r="M8048"/>
      <c r="N8048"/>
      <c r="O8048"/>
      <c r="P8048" s="216"/>
      <c r="Q8048" s="217"/>
      <c r="R8048" s="217"/>
      <c r="S8048" s="218"/>
    </row>
    <row r="8049" spans="13:19" ht="15" customHeight="1" x14ac:dyDescent="0.25">
      <c r="M8049"/>
      <c r="N8049"/>
      <c r="O8049"/>
      <c r="P8049" s="216"/>
      <c r="Q8049" s="217"/>
      <c r="R8049" s="217"/>
      <c r="S8049" s="218"/>
    </row>
    <row r="8050" spans="13:19" ht="15" customHeight="1" x14ac:dyDescent="0.25">
      <c r="M8050"/>
      <c r="N8050"/>
      <c r="O8050"/>
      <c r="P8050" s="216"/>
      <c r="Q8050" s="217"/>
      <c r="R8050" s="217"/>
      <c r="S8050" s="218"/>
    </row>
    <row r="8051" spans="13:19" ht="15" customHeight="1" x14ac:dyDescent="0.25">
      <c r="M8051"/>
      <c r="N8051"/>
      <c r="O8051"/>
      <c r="P8051" s="216"/>
      <c r="Q8051" s="217"/>
      <c r="R8051" s="217"/>
      <c r="S8051" s="218"/>
    </row>
    <row r="8052" spans="13:19" ht="15" customHeight="1" x14ac:dyDescent="0.25">
      <c r="M8052"/>
      <c r="N8052"/>
      <c r="O8052"/>
      <c r="P8052" s="216"/>
      <c r="Q8052" s="217"/>
      <c r="R8052" s="217"/>
      <c r="S8052" s="218"/>
    </row>
    <row r="8053" spans="13:19" ht="15" customHeight="1" x14ac:dyDescent="0.25">
      <c r="M8053"/>
      <c r="N8053"/>
      <c r="O8053"/>
      <c r="P8053" s="216"/>
      <c r="Q8053" s="217"/>
      <c r="R8053" s="217"/>
      <c r="S8053" s="218"/>
    </row>
    <row r="8054" spans="13:19" ht="15" customHeight="1" x14ac:dyDescent="0.25">
      <c r="M8054"/>
      <c r="N8054"/>
      <c r="O8054"/>
      <c r="P8054" s="216"/>
      <c r="Q8054" s="217"/>
      <c r="R8054" s="217"/>
      <c r="S8054" s="218"/>
    </row>
    <row r="8055" spans="13:19" ht="15" customHeight="1" x14ac:dyDescent="0.25">
      <c r="M8055"/>
      <c r="N8055"/>
      <c r="O8055"/>
      <c r="P8055" s="216"/>
      <c r="Q8055" s="217"/>
      <c r="R8055" s="217"/>
      <c r="S8055" s="218"/>
    </row>
    <row r="8056" spans="13:19" ht="15" customHeight="1" x14ac:dyDescent="0.25">
      <c r="M8056"/>
      <c r="N8056"/>
      <c r="O8056"/>
      <c r="P8056" s="216"/>
      <c r="Q8056" s="217"/>
      <c r="R8056" s="217"/>
      <c r="S8056" s="218"/>
    </row>
    <row r="8057" spans="13:19" ht="15" customHeight="1" x14ac:dyDescent="0.25">
      <c r="M8057"/>
      <c r="N8057"/>
      <c r="O8057"/>
      <c r="P8057" s="216"/>
      <c r="Q8057" s="217"/>
      <c r="R8057" s="217"/>
      <c r="S8057" s="218"/>
    </row>
    <row r="8058" spans="13:19" ht="15" customHeight="1" x14ac:dyDescent="0.25">
      <c r="M8058"/>
      <c r="N8058"/>
      <c r="O8058"/>
      <c r="P8058" s="216"/>
      <c r="Q8058" s="217"/>
      <c r="R8058" s="217"/>
      <c r="S8058" s="218"/>
    </row>
    <row r="8059" spans="13:19" ht="15" customHeight="1" x14ac:dyDescent="0.25">
      <c r="M8059"/>
      <c r="N8059"/>
      <c r="O8059"/>
      <c r="P8059" s="216"/>
      <c r="Q8059" s="217"/>
      <c r="R8059" s="217"/>
      <c r="S8059" s="218"/>
    </row>
    <row r="8060" spans="13:19" ht="15" customHeight="1" x14ac:dyDescent="0.25">
      <c r="M8060"/>
      <c r="N8060"/>
      <c r="O8060"/>
      <c r="P8060" s="216"/>
      <c r="Q8060" s="217"/>
      <c r="R8060" s="217"/>
      <c r="S8060" s="218"/>
    </row>
    <row r="8061" spans="13:19" ht="15" customHeight="1" x14ac:dyDescent="0.25">
      <c r="M8061"/>
      <c r="N8061"/>
      <c r="O8061"/>
      <c r="P8061" s="216"/>
      <c r="Q8061" s="217"/>
      <c r="R8061" s="217"/>
      <c r="S8061" s="218"/>
    </row>
    <row r="8062" spans="13:19" ht="15" customHeight="1" x14ac:dyDescent="0.25">
      <c r="M8062"/>
      <c r="N8062"/>
      <c r="O8062"/>
      <c r="P8062" s="216"/>
      <c r="Q8062" s="217"/>
      <c r="R8062" s="217"/>
      <c r="S8062" s="218"/>
    </row>
    <row r="8063" spans="13:19" ht="15" customHeight="1" x14ac:dyDescent="0.25">
      <c r="M8063"/>
      <c r="N8063"/>
      <c r="O8063"/>
      <c r="P8063" s="216"/>
      <c r="Q8063" s="217"/>
      <c r="R8063" s="217"/>
      <c r="S8063" s="218"/>
    </row>
    <row r="8064" spans="13:19" ht="15" customHeight="1" x14ac:dyDescent="0.25">
      <c r="M8064"/>
      <c r="N8064"/>
      <c r="O8064"/>
      <c r="P8064" s="216"/>
      <c r="Q8064" s="217"/>
      <c r="R8064" s="217"/>
      <c r="S8064" s="218"/>
    </row>
    <row r="8065" spans="13:19" ht="15" customHeight="1" x14ac:dyDescent="0.25">
      <c r="M8065"/>
      <c r="N8065"/>
      <c r="O8065"/>
      <c r="P8065" s="216"/>
      <c r="Q8065" s="217"/>
      <c r="R8065" s="217"/>
      <c r="S8065" s="218"/>
    </row>
    <row r="8066" spans="13:19" ht="15" customHeight="1" x14ac:dyDescent="0.25">
      <c r="M8066"/>
      <c r="N8066"/>
      <c r="O8066"/>
      <c r="P8066" s="216"/>
      <c r="Q8066" s="217"/>
      <c r="R8066" s="217"/>
      <c r="S8066" s="218"/>
    </row>
    <row r="8067" spans="13:19" ht="15" customHeight="1" x14ac:dyDescent="0.25">
      <c r="M8067"/>
      <c r="N8067"/>
      <c r="O8067"/>
      <c r="P8067" s="216"/>
      <c r="Q8067" s="217"/>
      <c r="R8067" s="217"/>
      <c r="S8067" s="218"/>
    </row>
    <row r="8068" spans="13:19" ht="15" customHeight="1" x14ac:dyDescent="0.25">
      <c r="M8068"/>
      <c r="N8068"/>
      <c r="O8068"/>
      <c r="P8068" s="216"/>
      <c r="Q8068" s="217"/>
      <c r="R8068" s="217"/>
      <c r="S8068" s="218"/>
    </row>
    <row r="8069" spans="13:19" ht="15" customHeight="1" x14ac:dyDescent="0.25">
      <c r="M8069"/>
      <c r="N8069"/>
      <c r="O8069"/>
      <c r="P8069" s="216"/>
      <c r="Q8069" s="217"/>
      <c r="R8069" s="217"/>
      <c r="S8069" s="218"/>
    </row>
    <row r="8070" spans="13:19" ht="15" customHeight="1" x14ac:dyDescent="0.25">
      <c r="M8070"/>
      <c r="N8070"/>
      <c r="O8070"/>
      <c r="P8070" s="216"/>
      <c r="Q8070" s="217"/>
      <c r="R8070" s="217"/>
      <c r="S8070" s="218"/>
    </row>
    <row r="8071" spans="13:19" ht="15" customHeight="1" x14ac:dyDescent="0.25">
      <c r="M8071"/>
      <c r="N8071"/>
      <c r="O8071"/>
      <c r="P8071" s="216"/>
      <c r="Q8071" s="217"/>
      <c r="R8071" s="217"/>
      <c r="S8071" s="218"/>
    </row>
    <row r="8072" spans="13:19" ht="15" customHeight="1" x14ac:dyDescent="0.25">
      <c r="M8072"/>
      <c r="N8072"/>
      <c r="O8072"/>
      <c r="P8072" s="216"/>
      <c r="Q8072" s="217"/>
      <c r="R8072" s="217"/>
      <c r="S8072" s="218"/>
    </row>
    <row r="8073" spans="13:19" ht="15" customHeight="1" x14ac:dyDescent="0.25">
      <c r="M8073"/>
      <c r="N8073"/>
      <c r="O8073"/>
      <c r="P8073" s="216"/>
      <c r="Q8073" s="217"/>
      <c r="R8073" s="217"/>
      <c r="S8073" s="218"/>
    </row>
    <row r="8074" spans="13:19" ht="15" customHeight="1" x14ac:dyDescent="0.25">
      <c r="M8074"/>
      <c r="N8074"/>
      <c r="O8074"/>
      <c r="P8074" s="216"/>
      <c r="Q8074" s="217"/>
      <c r="R8074" s="217"/>
      <c r="S8074" s="218"/>
    </row>
    <row r="8075" spans="13:19" ht="15" customHeight="1" x14ac:dyDescent="0.25">
      <c r="M8075"/>
      <c r="N8075"/>
      <c r="O8075"/>
      <c r="P8075" s="216"/>
      <c r="Q8075" s="217"/>
      <c r="R8075" s="217"/>
      <c r="S8075" s="218"/>
    </row>
    <row r="8076" spans="13:19" ht="15" customHeight="1" x14ac:dyDescent="0.25">
      <c r="M8076"/>
      <c r="N8076"/>
      <c r="O8076"/>
      <c r="P8076" s="216"/>
      <c r="Q8076" s="217"/>
      <c r="R8076" s="217"/>
      <c r="S8076" s="218"/>
    </row>
    <row r="8077" spans="13:19" ht="15" customHeight="1" x14ac:dyDescent="0.25">
      <c r="M8077"/>
      <c r="N8077"/>
      <c r="O8077"/>
      <c r="P8077" s="216"/>
      <c r="Q8077" s="217"/>
      <c r="R8077" s="217"/>
      <c r="S8077" s="218"/>
    </row>
    <row r="8078" spans="13:19" ht="15" customHeight="1" x14ac:dyDescent="0.25">
      <c r="M8078"/>
      <c r="N8078"/>
      <c r="O8078"/>
      <c r="P8078" s="216"/>
      <c r="Q8078" s="217"/>
      <c r="R8078" s="217"/>
      <c r="S8078" s="218"/>
    </row>
    <row r="8079" spans="13:19" ht="15" customHeight="1" x14ac:dyDescent="0.25">
      <c r="M8079"/>
      <c r="N8079"/>
      <c r="O8079"/>
      <c r="P8079" s="216"/>
      <c r="Q8079" s="217"/>
      <c r="R8079" s="217"/>
      <c r="S8079" s="218"/>
    </row>
    <row r="8080" spans="13:19" ht="15" customHeight="1" x14ac:dyDescent="0.25">
      <c r="M8080"/>
      <c r="N8080"/>
      <c r="O8080"/>
      <c r="P8080" s="216"/>
      <c r="Q8080" s="217"/>
      <c r="R8080" s="217"/>
      <c r="S8080" s="218"/>
    </row>
    <row r="8081" spans="13:19" ht="15" customHeight="1" x14ac:dyDescent="0.25">
      <c r="M8081"/>
      <c r="N8081"/>
      <c r="O8081"/>
      <c r="P8081" s="216"/>
      <c r="Q8081" s="217"/>
      <c r="R8081" s="217"/>
      <c r="S8081" s="218"/>
    </row>
    <row r="8082" spans="13:19" ht="15" customHeight="1" x14ac:dyDescent="0.25">
      <c r="M8082"/>
      <c r="N8082"/>
      <c r="O8082"/>
      <c r="P8082" s="216"/>
      <c r="Q8082" s="217"/>
      <c r="R8082" s="217"/>
      <c r="S8082" s="218"/>
    </row>
    <row r="8083" spans="13:19" ht="15" customHeight="1" x14ac:dyDescent="0.25">
      <c r="M8083"/>
      <c r="N8083"/>
      <c r="O8083"/>
      <c r="P8083" s="216"/>
      <c r="Q8083" s="217"/>
      <c r="R8083" s="217"/>
      <c r="S8083" s="218"/>
    </row>
    <row r="8084" spans="13:19" ht="15" customHeight="1" x14ac:dyDescent="0.25">
      <c r="M8084"/>
      <c r="N8084"/>
      <c r="O8084"/>
      <c r="P8084" s="216"/>
      <c r="Q8084" s="217"/>
      <c r="R8084" s="217"/>
      <c r="S8084" s="218"/>
    </row>
    <row r="8085" spans="13:19" ht="15" customHeight="1" x14ac:dyDescent="0.25">
      <c r="M8085"/>
      <c r="N8085"/>
      <c r="O8085"/>
      <c r="P8085" s="216"/>
      <c r="Q8085" s="217"/>
      <c r="R8085" s="217"/>
      <c r="S8085" s="218"/>
    </row>
    <row r="8086" spans="13:19" ht="15" customHeight="1" x14ac:dyDescent="0.25">
      <c r="M8086"/>
      <c r="N8086"/>
      <c r="O8086"/>
      <c r="P8086" s="216"/>
      <c r="Q8086" s="217"/>
      <c r="R8086" s="217"/>
      <c r="S8086" s="218"/>
    </row>
    <row r="8087" spans="13:19" ht="15" customHeight="1" x14ac:dyDescent="0.25">
      <c r="M8087"/>
      <c r="N8087"/>
      <c r="O8087"/>
      <c r="P8087" s="216"/>
      <c r="Q8087" s="217"/>
      <c r="R8087" s="217"/>
      <c r="S8087" s="218"/>
    </row>
    <row r="8088" spans="13:19" ht="15" customHeight="1" x14ac:dyDescent="0.25">
      <c r="M8088"/>
      <c r="N8088"/>
      <c r="O8088"/>
      <c r="P8088" s="216"/>
      <c r="Q8088" s="217"/>
      <c r="R8088" s="217"/>
      <c r="S8088" s="218"/>
    </row>
    <row r="8089" spans="13:19" ht="15" customHeight="1" x14ac:dyDescent="0.25">
      <c r="M8089"/>
      <c r="N8089"/>
      <c r="O8089"/>
      <c r="P8089" s="216"/>
      <c r="Q8089" s="217"/>
      <c r="R8089" s="217"/>
      <c r="S8089" s="218"/>
    </row>
    <row r="8090" spans="13:19" ht="15" customHeight="1" x14ac:dyDescent="0.25">
      <c r="M8090"/>
      <c r="N8090"/>
      <c r="O8090"/>
      <c r="P8090" s="216"/>
      <c r="Q8090" s="217"/>
      <c r="R8090" s="217"/>
      <c r="S8090" s="218"/>
    </row>
    <row r="8091" spans="13:19" ht="15" customHeight="1" x14ac:dyDescent="0.25">
      <c r="M8091"/>
      <c r="N8091"/>
      <c r="O8091"/>
      <c r="P8091" s="216"/>
      <c r="Q8091" s="217"/>
      <c r="R8091" s="217"/>
      <c r="S8091" s="218"/>
    </row>
    <row r="8092" spans="13:19" ht="15" customHeight="1" x14ac:dyDescent="0.25">
      <c r="M8092"/>
      <c r="N8092"/>
      <c r="O8092"/>
      <c r="P8092" s="216"/>
      <c r="Q8092" s="217"/>
      <c r="R8092" s="217"/>
      <c r="S8092" s="218"/>
    </row>
    <row r="8093" spans="13:19" ht="15" customHeight="1" x14ac:dyDescent="0.25">
      <c r="M8093"/>
      <c r="N8093"/>
      <c r="O8093"/>
      <c r="P8093" s="216"/>
      <c r="Q8093" s="217"/>
      <c r="R8093" s="217"/>
      <c r="S8093" s="218"/>
    </row>
    <row r="8094" spans="13:19" ht="15" customHeight="1" x14ac:dyDescent="0.25">
      <c r="M8094"/>
      <c r="N8094"/>
      <c r="O8094"/>
      <c r="P8094" s="216"/>
      <c r="Q8094" s="217"/>
      <c r="R8094" s="217"/>
      <c r="S8094" s="218"/>
    </row>
    <row r="8095" spans="13:19" ht="15" customHeight="1" x14ac:dyDescent="0.25">
      <c r="M8095"/>
      <c r="N8095"/>
      <c r="O8095"/>
      <c r="P8095" s="216"/>
      <c r="Q8095" s="217"/>
      <c r="R8095" s="217"/>
      <c r="S8095" s="218"/>
    </row>
    <row r="8096" spans="13:19" ht="15" customHeight="1" x14ac:dyDescent="0.25">
      <c r="M8096"/>
      <c r="N8096"/>
      <c r="O8096"/>
      <c r="P8096" s="216"/>
      <c r="Q8096" s="217"/>
      <c r="R8096" s="217"/>
      <c r="S8096" s="218"/>
    </row>
    <row r="8097" spans="13:19" ht="15" customHeight="1" x14ac:dyDescent="0.25">
      <c r="M8097"/>
      <c r="N8097"/>
      <c r="O8097"/>
      <c r="P8097" s="216"/>
      <c r="Q8097" s="217"/>
      <c r="R8097" s="217"/>
      <c r="S8097" s="218"/>
    </row>
    <row r="8098" spans="13:19" ht="15" customHeight="1" x14ac:dyDescent="0.25">
      <c r="M8098"/>
      <c r="N8098"/>
      <c r="O8098"/>
      <c r="P8098" s="216"/>
      <c r="Q8098" s="217"/>
      <c r="R8098" s="217"/>
      <c r="S8098" s="218"/>
    </row>
    <row r="8099" spans="13:19" ht="15" customHeight="1" x14ac:dyDescent="0.25">
      <c r="M8099"/>
      <c r="N8099"/>
      <c r="O8099"/>
      <c r="P8099" s="216"/>
      <c r="Q8099" s="217"/>
      <c r="R8099" s="217"/>
      <c r="S8099" s="218"/>
    </row>
    <row r="8100" spans="13:19" ht="15" customHeight="1" x14ac:dyDescent="0.25">
      <c r="M8100"/>
      <c r="N8100"/>
      <c r="O8100"/>
      <c r="P8100" s="216"/>
      <c r="Q8100" s="217"/>
      <c r="R8100" s="217"/>
      <c r="S8100" s="218"/>
    </row>
    <row r="8101" spans="13:19" ht="15" customHeight="1" x14ac:dyDescent="0.25">
      <c r="M8101"/>
      <c r="N8101"/>
      <c r="O8101"/>
      <c r="P8101" s="216"/>
      <c r="Q8101" s="217"/>
      <c r="R8101" s="217"/>
      <c r="S8101" s="218"/>
    </row>
    <row r="8102" spans="13:19" ht="15" customHeight="1" x14ac:dyDescent="0.25">
      <c r="M8102"/>
      <c r="N8102"/>
      <c r="O8102"/>
      <c r="P8102" s="216"/>
      <c r="Q8102" s="217"/>
      <c r="R8102" s="217"/>
      <c r="S8102" s="218"/>
    </row>
    <row r="8103" spans="13:19" ht="15" customHeight="1" x14ac:dyDescent="0.25">
      <c r="M8103"/>
      <c r="N8103"/>
      <c r="O8103"/>
      <c r="P8103" s="216"/>
      <c r="Q8103" s="217"/>
      <c r="R8103" s="217"/>
      <c r="S8103" s="218"/>
    </row>
    <row r="8104" spans="13:19" ht="15" customHeight="1" x14ac:dyDescent="0.25">
      <c r="M8104"/>
      <c r="N8104"/>
      <c r="O8104"/>
      <c r="P8104" s="216"/>
      <c r="Q8104" s="217"/>
      <c r="R8104" s="217"/>
      <c r="S8104" s="218"/>
    </row>
    <row r="8105" spans="13:19" ht="15" customHeight="1" x14ac:dyDescent="0.25">
      <c r="M8105"/>
      <c r="N8105"/>
      <c r="O8105"/>
      <c r="P8105" s="216"/>
      <c r="Q8105" s="217"/>
      <c r="R8105" s="217"/>
      <c r="S8105" s="218"/>
    </row>
    <row r="8106" spans="13:19" ht="15" customHeight="1" x14ac:dyDescent="0.25">
      <c r="M8106"/>
      <c r="N8106"/>
      <c r="O8106"/>
      <c r="P8106" s="216"/>
      <c r="Q8106" s="217"/>
      <c r="R8106" s="217"/>
      <c r="S8106" s="218"/>
    </row>
    <row r="8107" spans="13:19" ht="15" customHeight="1" x14ac:dyDescent="0.25">
      <c r="M8107"/>
      <c r="N8107"/>
      <c r="O8107"/>
      <c r="P8107" s="216"/>
      <c r="Q8107" s="217"/>
      <c r="R8107" s="217"/>
      <c r="S8107" s="218"/>
    </row>
    <row r="8108" spans="13:19" ht="15" customHeight="1" x14ac:dyDescent="0.25">
      <c r="M8108"/>
      <c r="N8108"/>
      <c r="O8108"/>
      <c r="P8108" s="216"/>
      <c r="Q8108" s="217"/>
      <c r="R8108" s="217"/>
      <c r="S8108" s="218"/>
    </row>
    <row r="8109" spans="13:19" ht="15" customHeight="1" x14ac:dyDescent="0.25">
      <c r="M8109"/>
      <c r="N8109"/>
      <c r="O8109"/>
      <c r="P8109" s="216"/>
      <c r="Q8109" s="217"/>
      <c r="R8109" s="217"/>
      <c r="S8109" s="218"/>
    </row>
    <row r="8110" spans="13:19" ht="15" customHeight="1" x14ac:dyDescent="0.25">
      <c r="M8110"/>
      <c r="N8110"/>
      <c r="O8110"/>
      <c r="P8110" s="216"/>
      <c r="Q8110" s="217"/>
      <c r="R8110" s="217"/>
      <c r="S8110" s="218"/>
    </row>
    <row r="8111" spans="13:19" ht="15" customHeight="1" x14ac:dyDescent="0.25">
      <c r="M8111"/>
      <c r="N8111"/>
      <c r="O8111"/>
      <c r="P8111" s="216"/>
      <c r="Q8111" s="217"/>
      <c r="R8111" s="217"/>
      <c r="S8111" s="218"/>
    </row>
    <row r="8112" spans="13:19" ht="15" customHeight="1" x14ac:dyDescent="0.25">
      <c r="M8112"/>
      <c r="N8112"/>
      <c r="O8112"/>
      <c r="P8112" s="216"/>
      <c r="Q8112" s="217"/>
      <c r="R8112" s="217"/>
      <c r="S8112" s="218"/>
    </row>
    <row r="8113" spans="13:19" ht="15" customHeight="1" x14ac:dyDescent="0.25">
      <c r="M8113"/>
      <c r="N8113"/>
      <c r="O8113"/>
      <c r="P8113" s="216"/>
      <c r="Q8113" s="217"/>
      <c r="R8113" s="217"/>
      <c r="S8113" s="218"/>
    </row>
    <row r="8114" spans="13:19" ht="15" customHeight="1" x14ac:dyDescent="0.25">
      <c r="M8114"/>
      <c r="N8114"/>
      <c r="O8114"/>
      <c r="P8114" s="216"/>
      <c r="Q8114" s="217"/>
      <c r="R8114" s="217"/>
      <c r="S8114" s="218"/>
    </row>
    <row r="8115" spans="13:19" ht="15" customHeight="1" x14ac:dyDescent="0.25">
      <c r="M8115"/>
      <c r="N8115"/>
      <c r="O8115"/>
      <c r="P8115" s="216"/>
      <c r="Q8115" s="217"/>
      <c r="R8115" s="217"/>
      <c r="S8115" s="218"/>
    </row>
    <row r="8116" spans="13:19" ht="15" customHeight="1" x14ac:dyDescent="0.25">
      <c r="M8116"/>
      <c r="N8116"/>
      <c r="O8116"/>
      <c r="P8116" s="216"/>
      <c r="Q8116" s="217"/>
      <c r="R8116" s="217"/>
      <c r="S8116" s="218"/>
    </row>
    <row r="8117" spans="13:19" ht="15" customHeight="1" x14ac:dyDescent="0.25">
      <c r="M8117"/>
      <c r="N8117"/>
      <c r="O8117"/>
      <c r="P8117" s="216"/>
      <c r="Q8117" s="217"/>
      <c r="R8117" s="217"/>
      <c r="S8117" s="218"/>
    </row>
    <row r="8118" spans="13:19" ht="15" customHeight="1" x14ac:dyDescent="0.25">
      <c r="M8118"/>
      <c r="N8118"/>
      <c r="O8118"/>
      <c r="P8118" s="216"/>
      <c r="Q8118" s="217"/>
      <c r="R8118" s="217"/>
      <c r="S8118" s="218"/>
    </row>
    <row r="8119" spans="13:19" ht="15" customHeight="1" x14ac:dyDescent="0.25">
      <c r="M8119"/>
      <c r="N8119"/>
      <c r="O8119"/>
      <c r="P8119" s="216"/>
      <c r="Q8119" s="217"/>
      <c r="R8119" s="217"/>
      <c r="S8119" s="218"/>
    </row>
    <row r="8120" spans="13:19" ht="15" customHeight="1" x14ac:dyDescent="0.25">
      <c r="M8120"/>
      <c r="N8120"/>
      <c r="O8120"/>
      <c r="P8120" s="216"/>
      <c r="Q8120" s="217"/>
      <c r="R8120" s="217"/>
      <c r="S8120" s="218"/>
    </row>
    <row r="8121" spans="13:19" ht="15" customHeight="1" x14ac:dyDescent="0.25">
      <c r="M8121"/>
      <c r="N8121"/>
      <c r="O8121"/>
      <c r="P8121" s="216"/>
      <c r="Q8121" s="217"/>
      <c r="R8121" s="217"/>
      <c r="S8121" s="218"/>
    </row>
    <row r="8122" spans="13:19" ht="15" customHeight="1" x14ac:dyDescent="0.25">
      <c r="M8122"/>
      <c r="N8122"/>
      <c r="O8122"/>
      <c r="P8122" s="216"/>
      <c r="Q8122" s="217"/>
      <c r="R8122" s="217"/>
      <c r="S8122" s="218"/>
    </row>
    <row r="8123" spans="13:19" ht="15" customHeight="1" x14ac:dyDescent="0.25">
      <c r="M8123"/>
      <c r="N8123"/>
      <c r="O8123"/>
      <c r="P8123" s="216"/>
      <c r="Q8123" s="217"/>
      <c r="R8123" s="217"/>
      <c r="S8123" s="218"/>
    </row>
    <row r="8124" spans="13:19" ht="15" customHeight="1" x14ac:dyDescent="0.25">
      <c r="M8124"/>
      <c r="N8124"/>
      <c r="O8124"/>
      <c r="P8124" s="216"/>
      <c r="Q8124" s="217"/>
      <c r="R8124" s="217"/>
      <c r="S8124" s="218"/>
    </row>
    <row r="8125" spans="13:19" ht="15" customHeight="1" x14ac:dyDescent="0.25">
      <c r="M8125"/>
      <c r="N8125"/>
      <c r="O8125"/>
      <c r="P8125" s="216"/>
      <c r="Q8125" s="217"/>
      <c r="R8125" s="217"/>
      <c r="S8125" s="218"/>
    </row>
    <row r="8126" spans="13:19" ht="15" customHeight="1" x14ac:dyDescent="0.25">
      <c r="M8126"/>
      <c r="N8126"/>
      <c r="O8126"/>
      <c r="P8126" s="216"/>
      <c r="Q8126" s="217"/>
      <c r="R8126" s="217"/>
      <c r="S8126" s="218"/>
    </row>
    <row r="8127" spans="13:19" ht="15" customHeight="1" x14ac:dyDescent="0.25">
      <c r="M8127"/>
      <c r="N8127"/>
      <c r="O8127"/>
      <c r="P8127" s="216"/>
      <c r="Q8127" s="217"/>
      <c r="R8127" s="217"/>
      <c r="S8127" s="218"/>
    </row>
    <row r="8128" spans="13:19" ht="15" customHeight="1" x14ac:dyDescent="0.25">
      <c r="M8128"/>
      <c r="N8128"/>
      <c r="O8128"/>
      <c r="P8128" s="216"/>
      <c r="Q8128" s="217"/>
      <c r="R8128" s="217"/>
      <c r="S8128" s="218"/>
    </row>
    <row r="8129" spans="13:19" ht="15" customHeight="1" x14ac:dyDescent="0.25">
      <c r="M8129"/>
      <c r="N8129"/>
      <c r="O8129"/>
      <c r="P8129" s="216"/>
      <c r="Q8129" s="217"/>
      <c r="R8129" s="217"/>
      <c r="S8129" s="218"/>
    </row>
    <row r="8130" spans="13:19" ht="15" customHeight="1" x14ac:dyDescent="0.25">
      <c r="M8130"/>
      <c r="N8130"/>
      <c r="O8130"/>
      <c r="P8130" s="216"/>
      <c r="Q8130" s="217"/>
      <c r="R8130" s="217"/>
      <c r="S8130" s="218"/>
    </row>
    <row r="8131" spans="13:19" ht="15" customHeight="1" x14ac:dyDescent="0.25">
      <c r="M8131"/>
      <c r="N8131"/>
      <c r="O8131"/>
      <c r="P8131" s="216"/>
      <c r="Q8131" s="217"/>
      <c r="R8131" s="217"/>
      <c r="S8131" s="218"/>
    </row>
    <row r="8132" spans="13:19" ht="15" customHeight="1" x14ac:dyDescent="0.25">
      <c r="M8132"/>
      <c r="N8132"/>
      <c r="O8132"/>
      <c r="P8132" s="216"/>
      <c r="Q8132" s="217"/>
      <c r="R8132" s="217"/>
      <c r="S8132" s="218"/>
    </row>
    <row r="8133" spans="13:19" ht="15" customHeight="1" x14ac:dyDescent="0.25">
      <c r="M8133"/>
      <c r="N8133"/>
      <c r="O8133"/>
      <c r="P8133" s="216"/>
      <c r="Q8133" s="217"/>
      <c r="R8133" s="217"/>
      <c r="S8133" s="218"/>
    </row>
    <row r="8134" spans="13:19" ht="15" customHeight="1" x14ac:dyDescent="0.25">
      <c r="M8134"/>
      <c r="N8134"/>
      <c r="O8134"/>
      <c r="P8134" s="216"/>
      <c r="Q8134" s="217"/>
      <c r="R8134" s="217"/>
      <c r="S8134" s="218"/>
    </row>
    <row r="8135" spans="13:19" ht="15" customHeight="1" x14ac:dyDescent="0.25">
      <c r="M8135"/>
      <c r="N8135"/>
      <c r="O8135"/>
      <c r="P8135" s="216"/>
      <c r="Q8135" s="217"/>
      <c r="R8135" s="217"/>
      <c r="S8135" s="218"/>
    </row>
    <row r="8136" spans="13:19" ht="15" customHeight="1" x14ac:dyDescent="0.25">
      <c r="M8136"/>
      <c r="N8136"/>
      <c r="O8136"/>
      <c r="P8136" s="216"/>
      <c r="Q8136" s="217"/>
      <c r="R8136" s="217"/>
      <c r="S8136" s="218"/>
    </row>
    <row r="8137" spans="13:19" ht="15" customHeight="1" x14ac:dyDescent="0.25">
      <c r="M8137"/>
      <c r="N8137"/>
      <c r="O8137"/>
      <c r="P8137" s="216"/>
      <c r="Q8137" s="217"/>
      <c r="R8137" s="217"/>
      <c r="S8137" s="218"/>
    </row>
    <row r="8138" spans="13:19" ht="15" customHeight="1" x14ac:dyDescent="0.25">
      <c r="M8138"/>
      <c r="N8138"/>
      <c r="O8138"/>
      <c r="P8138" s="216"/>
      <c r="Q8138" s="217"/>
      <c r="R8138" s="217"/>
      <c r="S8138" s="218"/>
    </row>
    <row r="8139" spans="13:19" ht="15" customHeight="1" x14ac:dyDescent="0.25">
      <c r="M8139"/>
      <c r="N8139"/>
      <c r="O8139"/>
      <c r="P8139" s="216"/>
      <c r="Q8139" s="217"/>
      <c r="R8139" s="217"/>
      <c r="S8139" s="218"/>
    </row>
    <row r="8140" spans="13:19" ht="15" customHeight="1" x14ac:dyDescent="0.25">
      <c r="M8140"/>
      <c r="N8140"/>
      <c r="O8140"/>
      <c r="P8140" s="216"/>
      <c r="Q8140" s="217"/>
      <c r="R8140" s="217"/>
      <c r="S8140" s="218"/>
    </row>
    <row r="8141" spans="13:19" ht="15" customHeight="1" x14ac:dyDescent="0.25">
      <c r="M8141"/>
      <c r="N8141"/>
      <c r="O8141"/>
      <c r="P8141" s="216"/>
      <c r="Q8141" s="217"/>
      <c r="R8141" s="217"/>
      <c r="S8141" s="218"/>
    </row>
    <row r="8142" spans="13:19" ht="15" customHeight="1" x14ac:dyDescent="0.25">
      <c r="M8142"/>
      <c r="N8142"/>
      <c r="O8142"/>
      <c r="P8142" s="216"/>
      <c r="Q8142" s="217"/>
      <c r="R8142" s="217"/>
      <c r="S8142" s="218"/>
    </row>
    <row r="8143" spans="13:19" ht="15" customHeight="1" x14ac:dyDescent="0.25">
      <c r="M8143"/>
      <c r="N8143"/>
      <c r="O8143"/>
      <c r="P8143" s="216"/>
      <c r="Q8143" s="217"/>
      <c r="R8143" s="217"/>
      <c r="S8143" s="218"/>
    </row>
    <row r="8144" spans="13:19" ht="15" customHeight="1" x14ac:dyDescent="0.25">
      <c r="M8144"/>
      <c r="N8144"/>
      <c r="O8144"/>
      <c r="P8144" s="216"/>
      <c r="Q8144" s="217"/>
      <c r="R8144" s="217"/>
      <c r="S8144" s="218"/>
    </row>
    <row r="8145" spans="13:19" ht="15" customHeight="1" x14ac:dyDescent="0.25">
      <c r="M8145"/>
      <c r="N8145"/>
      <c r="O8145"/>
      <c r="P8145" s="216"/>
      <c r="Q8145" s="217"/>
      <c r="R8145" s="217"/>
      <c r="S8145" s="218"/>
    </row>
    <row r="8146" spans="13:19" ht="15" customHeight="1" x14ac:dyDescent="0.25">
      <c r="M8146"/>
      <c r="N8146"/>
      <c r="O8146"/>
      <c r="P8146" s="216"/>
      <c r="Q8146" s="217"/>
      <c r="R8146" s="217"/>
      <c r="S8146" s="218"/>
    </row>
    <row r="8147" spans="13:19" ht="15" customHeight="1" x14ac:dyDescent="0.25">
      <c r="M8147"/>
      <c r="N8147"/>
      <c r="O8147"/>
      <c r="P8147" s="216"/>
      <c r="Q8147" s="217"/>
      <c r="R8147" s="217"/>
      <c r="S8147" s="218"/>
    </row>
    <row r="8148" spans="13:19" ht="15" customHeight="1" x14ac:dyDescent="0.25">
      <c r="M8148"/>
      <c r="N8148"/>
      <c r="O8148"/>
      <c r="P8148" s="216"/>
      <c r="Q8148" s="217"/>
      <c r="R8148" s="217"/>
      <c r="S8148" s="218"/>
    </row>
    <row r="8149" spans="13:19" ht="15" customHeight="1" x14ac:dyDescent="0.25">
      <c r="M8149"/>
      <c r="N8149"/>
      <c r="O8149"/>
      <c r="P8149" s="216"/>
      <c r="Q8149" s="217"/>
      <c r="R8149" s="217"/>
      <c r="S8149" s="218"/>
    </row>
    <row r="8150" spans="13:19" ht="15" customHeight="1" x14ac:dyDescent="0.25">
      <c r="M8150"/>
      <c r="N8150"/>
      <c r="O8150"/>
      <c r="P8150" s="216"/>
      <c r="Q8150" s="217"/>
      <c r="R8150" s="217"/>
      <c r="S8150" s="218"/>
    </row>
    <row r="8151" spans="13:19" ht="15" customHeight="1" x14ac:dyDescent="0.25">
      <c r="M8151"/>
      <c r="N8151"/>
      <c r="O8151"/>
      <c r="P8151" s="216"/>
      <c r="Q8151" s="217"/>
      <c r="R8151" s="217"/>
      <c r="S8151" s="218"/>
    </row>
    <row r="8152" spans="13:19" ht="15" customHeight="1" x14ac:dyDescent="0.25">
      <c r="M8152"/>
      <c r="N8152"/>
      <c r="O8152"/>
      <c r="P8152" s="216"/>
      <c r="Q8152" s="217"/>
      <c r="R8152" s="217"/>
      <c r="S8152" s="218"/>
    </row>
    <row r="8153" spans="13:19" ht="15" customHeight="1" x14ac:dyDescent="0.25">
      <c r="M8153"/>
      <c r="N8153"/>
      <c r="O8153"/>
      <c r="P8153" s="216"/>
      <c r="Q8153" s="217"/>
      <c r="R8153" s="217"/>
      <c r="S8153" s="218"/>
    </row>
    <row r="8154" spans="13:19" ht="15" customHeight="1" x14ac:dyDescent="0.25">
      <c r="M8154"/>
      <c r="N8154"/>
      <c r="O8154"/>
      <c r="P8154" s="216"/>
      <c r="Q8154" s="217"/>
      <c r="R8154" s="217"/>
      <c r="S8154" s="218"/>
    </row>
    <row r="8155" spans="13:19" ht="15" customHeight="1" x14ac:dyDescent="0.25">
      <c r="M8155"/>
      <c r="N8155"/>
      <c r="O8155"/>
      <c r="P8155" s="216"/>
      <c r="Q8155" s="217"/>
      <c r="R8155" s="217"/>
      <c r="S8155" s="218"/>
    </row>
    <row r="8156" spans="13:19" ht="15" customHeight="1" x14ac:dyDescent="0.25">
      <c r="M8156"/>
      <c r="N8156"/>
      <c r="O8156"/>
      <c r="P8156" s="216"/>
      <c r="Q8156" s="217"/>
      <c r="R8156" s="217"/>
      <c r="S8156" s="218"/>
    </row>
    <row r="8157" spans="13:19" ht="15" customHeight="1" x14ac:dyDescent="0.25">
      <c r="M8157"/>
      <c r="N8157"/>
      <c r="O8157"/>
      <c r="P8157" s="216"/>
      <c r="Q8157" s="217"/>
      <c r="R8157" s="217"/>
      <c r="S8157" s="218"/>
    </row>
    <row r="8158" spans="13:19" ht="15" customHeight="1" x14ac:dyDescent="0.25">
      <c r="M8158"/>
      <c r="N8158"/>
      <c r="O8158"/>
      <c r="P8158" s="216"/>
      <c r="Q8158" s="217"/>
      <c r="R8158" s="217"/>
      <c r="S8158" s="218"/>
    </row>
    <row r="8159" spans="13:19" ht="15" customHeight="1" x14ac:dyDescent="0.25">
      <c r="M8159"/>
      <c r="N8159"/>
      <c r="O8159"/>
      <c r="P8159" s="216"/>
      <c r="Q8159" s="217"/>
      <c r="R8159" s="217"/>
      <c r="S8159" s="218"/>
    </row>
    <row r="8160" spans="13:19" ht="15" customHeight="1" x14ac:dyDescent="0.25">
      <c r="M8160"/>
      <c r="N8160"/>
      <c r="O8160"/>
      <c r="P8160" s="216"/>
      <c r="Q8160" s="217"/>
      <c r="R8160" s="217"/>
      <c r="S8160" s="218"/>
    </row>
    <row r="8161" spans="13:19" ht="15" customHeight="1" x14ac:dyDescent="0.25">
      <c r="M8161"/>
      <c r="N8161"/>
      <c r="O8161"/>
      <c r="P8161" s="216"/>
      <c r="Q8161" s="217"/>
      <c r="R8161" s="217"/>
      <c r="S8161" s="218"/>
    </row>
    <row r="8162" spans="13:19" ht="15" customHeight="1" x14ac:dyDescent="0.25">
      <c r="M8162"/>
      <c r="N8162"/>
      <c r="O8162"/>
      <c r="P8162" s="216"/>
      <c r="Q8162" s="217"/>
      <c r="R8162" s="217"/>
      <c r="S8162" s="218"/>
    </row>
    <row r="8163" spans="13:19" ht="15" customHeight="1" x14ac:dyDescent="0.25">
      <c r="M8163"/>
      <c r="N8163"/>
      <c r="O8163"/>
      <c r="P8163" s="216"/>
      <c r="Q8163" s="217"/>
      <c r="R8163" s="217"/>
      <c r="S8163" s="218"/>
    </row>
    <row r="8164" spans="13:19" ht="15" customHeight="1" x14ac:dyDescent="0.25">
      <c r="M8164"/>
      <c r="N8164"/>
      <c r="O8164"/>
      <c r="P8164" s="216"/>
      <c r="Q8164" s="217"/>
      <c r="R8164" s="217"/>
      <c r="S8164" s="218"/>
    </row>
    <row r="8165" spans="13:19" ht="15" customHeight="1" x14ac:dyDescent="0.25">
      <c r="M8165"/>
      <c r="N8165"/>
      <c r="O8165"/>
      <c r="P8165" s="216"/>
      <c r="Q8165" s="217"/>
      <c r="R8165" s="217"/>
      <c r="S8165" s="218"/>
    </row>
    <row r="8166" spans="13:19" ht="15" customHeight="1" x14ac:dyDescent="0.25">
      <c r="M8166"/>
      <c r="N8166"/>
      <c r="O8166"/>
      <c r="P8166" s="216"/>
      <c r="Q8166" s="217"/>
      <c r="R8166" s="217"/>
      <c r="S8166" s="218"/>
    </row>
    <row r="8167" spans="13:19" ht="15" customHeight="1" x14ac:dyDescent="0.25">
      <c r="M8167"/>
      <c r="N8167"/>
      <c r="O8167"/>
      <c r="P8167" s="216"/>
      <c r="Q8167" s="217"/>
      <c r="R8167" s="217"/>
      <c r="S8167" s="218"/>
    </row>
    <row r="8168" spans="13:19" ht="15" customHeight="1" x14ac:dyDescent="0.25">
      <c r="M8168"/>
      <c r="N8168"/>
      <c r="O8168"/>
      <c r="P8168" s="216"/>
      <c r="Q8168" s="217"/>
      <c r="R8168" s="217"/>
      <c r="S8168" s="218"/>
    </row>
    <row r="8169" spans="13:19" ht="15" customHeight="1" x14ac:dyDescent="0.25">
      <c r="M8169"/>
      <c r="N8169"/>
      <c r="O8169"/>
      <c r="P8169" s="216"/>
      <c r="Q8169" s="217"/>
      <c r="R8169" s="217"/>
      <c r="S8169" s="218"/>
    </row>
    <row r="8170" spans="13:19" ht="15" customHeight="1" x14ac:dyDescent="0.25">
      <c r="M8170"/>
      <c r="N8170"/>
      <c r="O8170"/>
      <c r="P8170" s="216"/>
      <c r="Q8170" s="217"/>
      <c r="R8170" s="217"/>
      <c r="S8170" s="218"/>
    </row>
    <row r="8171" spans="13:19" ht="15" customHeight="1" x14ac:dyDescent="0.25">
      <c r="M8171"/>
      <c r="N8171"/>
      <c r="O8171"/>
      <c r="P8171" s="216"/>
      <c r="Q8171" s="217"/>
      <c r="R8171" s="217"/>
      <c r="S8171" s="218"/>
    </row>
    <row r="8172" spans="13:19" ht="15" customHeight="1" x14ac:dyDescent="0.25">
      <c r="M8172"/>
      <c r="N8172"/>
      <c r="O8172"/>
      <c r="P8172" s="216"/>
      <c r="Q8172" s="217"/>
      <c r="R8172" s="217"/>
      <c r="S8172" s="218"/>
    </row>
    <row r="8173" spans="13:19" ht="15" customHeight="1" x14ac:dyDescent="0.25">
      <c r="M8173"/>
      <c r="N8173"/>
      <c r="O8173"/>
      <c r="P8173" s="216"/>
      <c r="Q8173" s="217"/>
      <c r="R8173" s="217"/>
      <c r="S8173" s="218"/>
    </row>
    <row r="8174" spans="13:19" ht="15" customHeight="1" x14ac:dyDescent="0.25">
      <c r="M8174"/>
      <c r="N8174"/>
      <c r="O8174"/>
      <c r="P8174" s="216"/>
      <c r="Q8174" s="217"/>
      <c r="R8174" s="217"/>
      <c r="S8174" s="218"/>
    </row>
    <row r="8175" spans="13:19" ht="15" customHeight="1" x14ac:dyDescent="0.25">
      <c r="M8175"/>
      <c r="N8175"/>
      <c r="O8175"/>
      <c r="P8175" s="216"/>
      <c r="Q8175" s="217"/>
      <c r="R8175" s="217"/>
      <c r="S8175" s="218"/>
    </row>
    <row r="8176" spans="13:19" ht="15" customHeight="1" x14ac:dyDescent="0.25">
      <c r="M8176"/>
      <c r="N8176"/>
      <c r="O8176"/>
      <c r="P8176" s="216"/>
      <c r="Q8176" s="217"/>
      <c r="R8176" s="217"/>
      <c r="S8176" s="218"/>
    </row>
    <row r="8177" spans="13:19" ht="15" customHeight="1" x14ac:dyDescent="0.25">
      <c r="M8177"/>
      <c r="N8177"/>
      <c r="O8177"/>
      <c r="P8177" s="216"/>
      <c r="Q8177" s="217"/>
      <c r="R8177" s="217"/>
      <c r="S8177" s="218"/>
    </row>
    <row r="8178" spans="13:19" ht="15" customHeight="1" x14ac:dyDescent="0.25">
      <c r="M8178"/>
      <c r="N8178"/>
      <c r="O8178"/>
      <c r="P8178" s="216"/>
      <c r="Q8178" s="217"/>
      <c r="R8178" s="217"/>
      <c r="S8178" s="218"/>
    </row>
    <row r="8179" spans="13:19" ht="15" customHeight="1" x14ac:dyDescent="0.25">
      <c r="M8179"/>
      <c r="N8179"/>
      <c r="O8179"/>
      <c r="P8179" s="216"/>
      <c r="Q8179" s="217"/>
      <c r="R8179" s="217"/>
      <c r="S8179" s="218"/>
    </row>
    <row r="8180" spans="13:19" ht="15" customHeight="1" x14ac:dyDescent="0.25">
      <c r="M8180"/>
      <c r="N8180"/>
      <c r="O8180"/>
      <c r="P8180" s="216"/>
      <c r="Q8180" s="217"/>
      <c r="R8180" s="217"/>
      <c r="S8180" s="218"/>
    </row>
    <row r="8181" spans="13:19" ht="15" customHeight="1" x14ac:dyDescent="0.25">
      <c r="M8181"/>
      <c r="N8181"/>
      <c r="O8181"/>
      <c r="P8181" s="216"/>
      <c r="Q8181" s="217"/>
      <c r="R8181" s="217"/>
      <c r="S8181" s="218"/>
    </row>
    <row r="8182" spans="13:19" ht="15" customHeight="1" x14ac:dyDescent="0.25">
      <c r="M8182"/>
      <c r="N8182"/>
      <c r="O8182"/>
      <c r="P8182" s="216"/>
      <c r="Q8182" s="217"/>
      <c r="R8182" s="217"/>
      <c r="S8182" s="218"/>
    </row>
    <row r="8183" spans="13:19" ht="15" customHeight="1" x14ac:dyDescent="0.25">
      <c r="M8183"/>
      <c r="N8183"/>
      <c r="O8183"/>
      <c r="P8183" s="216"/>
      <c r="Q8183" s="217"/>
      <c r="R8183" s="217"/>
      <c r="S8183" s="218"/>
    </row>
    <row r="8184" spans="13:19" ht="15" customHeight="1" x14ac:dyDescent="0.25">
      <c r="M8184"/>
      <c r="N8184"/>
      <c r="O8184"/>
      <c r="P8184" s="216"/>
      <c r="Q8184" s="217"/>
      <c r="R8184" s="217"/>
      <c r="S8184" s="218"/>
    </row>
    <row r="8185" spans="13:19" ht="15" customHeight="1" x14ac:dyDescent="0.25">
      <c r="M8185"/>
      <c r="N8185"/>
      <c r="O8185"/>
      <c r="P8185" s="216"/>
      <c r="Q8185" s="217"/>
      <c r="R8185" s="217"/>
      <c r="S8185" s="218"/>
    </row>
    <row r="8186" spans="13:19" ht="15" customHeight="1" x14ac:dyDescent="0.25">
      <c r="M8186"/>
      <c r="N8186"/>
      <c r="O8186"/>
      <c r="P8186" s="216"/>
      <c r="Q8186" s="217"/>
      <c r="R8186" s="217"/>
      <c r="S8186" s="218"/>
    </row>
    <row r="8187" spans="13:19" ht="15" customHeight="1" x14ac:dyDescent="0.25">
      <c r="M8187"/>
      <c r="N8187"/>
      <c r="O8187"/>
      <c r="P8187" s="216"/>
      <c r="Q8187" s="217"/>
      <c r="R8187" s="217"/>
      <c r="S8187" s="218"/>
    </row>
    <row r="8188" spans="13:19" ht="15" customHeight="1" x14ac:dyDescent="0.25">
      <c r="M8188"/>
      <c r="N8188"/>
      <c r="O8188"/>
      <c r="P8188" s="216"/>
      <c r="Q8188" s="217"/>
      <c r="R8188" s="217"/>
      <c r="S8188" s="218"/>
    </row>
    <row r="8189" spans="13:19" ht="15" customHeight="1" x14ac:dyDescent="0.25">
      <c r="M8189"/>
      <c r="N8189"/>
      <c r="O8189"/>
      <c r="P8189" s="216"/>
      <c r="Q8189" s="217"/>
      <c r="R8189" s="217"/>
      <c r="S8189" s="218"/>
    </row>
    <row r="8190" spans="13:19" ht="15" customHeight="1" x14ac:dyDescent="0.25">
      <c r="M8190"/>
      <c r="N8190"/>
      <c r="O8190"/>
      <c r="P8190" s="216"/>
      <c r="Q8190" s="217"/>
      <c r="R8190" s="217"/>
      <c r="S8190" s="218"/>
    </row>
    <row r="8191" spans="13:19" ht="15" customHeight="1" x14ac:dyDescent="0.25">
      <c r="M8191"/>
      <c r="N8191"/>
      <c r="O8191"/>
      <c r="P8191" s="216"/>
      <c r="Q8191" s="217"/>
      <c r="R8191" s="217"/>
      <c r="S8191" s="218"/>
    </row>
    <row r="8192" spans="13:19" ht="15" customHeight="1" x14ac:dyDescent="0.25">
      <c r="M8192"/>
      <c r="N8192"/>
      <c r="O8192"/>
      <c r="P8192" s="216"/>
      <c r="Q8192" s="217"/>
      <c r="R8192" s="217"/>
      <c r="S8192" s="218"/>
    </row>
    <row r="8193" spans="13:19" ht="15" customHeight="1" x14ac:dyDescent="0.25">
      <c r="M8193"/>
      <c r="N8193"/>
      <c r="O8193"/>
      <c r="P8193" s="216"/>
      <c r="Q8193" s="217"/>
      <c r="R8193" s="217"/>
      <c r="S8193" s="218"/>
    </row>
    <row r="8194" spans="13:19" ht="15" customHeight="1" x14ac:dyDescent="0.25">
      <c r="M8194"/>
      <c r="N8194"/>
      <c r="O8194"/>
      <c r="P8194" s="216"/>
      <c r="Q8194" s="217"/>
      <c r="R8194" s="217"/>
      <c r="S8194" s="218"/>
    </row>
    <row r="8195" spans="13:19" ht="15" customHeight="1" x14ac:dyDescent="0.25">
      <c r="M8195"/>
      <c r="N8195"/>
      <c r="O8195"/>
      <c r="P8195" s="216"/>
      <c r="Q8195" s="217"/>
      <c r="R8195" s="217"/>
      <c r="S8195" s="218"/>
    </row>
    <row r="8196" spans="13:19" ht="15" customHeight="1" x14ac:dyDescent="0.25">
      <c r="M8196"/>
      <c r="N8196"/>
      <c r="O8196"/>
      <c r="P8196" s="216"/>
      <c r="Q8196" s="217"/>
      <c r="R8196" s="217"/>
      <c r="S8196" s="218"/>
    </row>
    <row r="8197" spans="13:19" ht="15" customHeight="1" x14ac:dyDescent="0.25">
      <c r="M8197"/>
      <c r="N8197"/>
      <c r="O8197"/>
      <c r="P8197" s="216"/>
      <c r="Q8197" s="217"/>
      <c r="R8197" s="217"/>
      <c r="S8197" s="218"/>
    </row>
    <row r="8198" spans="13:19" ht="15" customHeight="1" x14ac:dyDescent="0.25">
      <c r="M8198"/>
      <c r="N8198"/>
      <c r="O8198"/>
      <c r="P8198" s="216"/>
      <c r="Q8198" s="217"/>
      <c r="R8198" s="217"/>
      <c r="S8198" s="218"/>
    </row>
    <row r="8199" spans="13:19" ht="15" customHeight="1" x14ac:dyDescent="0.25">
      <c r="M8199"/>
      <c r="N8199"/>
      <c r="O8199"/>
      <c r="P8199" s="216"/>
      <c r="Q8199" s="217"/>
      <c r="R8199" s="217"/>
      <c r="S8199" s="218"/>
    </row>
    <row r="8200" spans="13:19" ht="15" customHeight="1" x14ac:dyDescent="0.25">
      <c r="M8200"/>
      <c r="N8200"/>
      <c r="O8200"/>
      <c r="P8200" s="216"/>
      <c r="Q8200" s="217"/>
      <c r="R8200" s="217"/>
      <c r="S8200" s="218"/>
    </row>
    <row r="8201" spans="13:19" ht="15" customHeight="1" x14ac:dyDescent="0.25">
      <c r="M8201"/>
      <c r="N8201"/>
      <c r="O8201"/>
      <c r="P8201" s="216"/>
      <c r="Q8201" s="217"/>
      <c r="R8201" s="217"/>
      <c r="S8201" s="218"/>
    </row>
    <row r="8202" spans="13:19" ht="15" customHeight="1" x14ac:dyDescent="0.25">
      <c r="M8202"/>
      <c r="N8202"/>
      <c r="O8202"/>
      <c r="P8202" s="216"/>
      <c r="Q8202" s="217"/>
      <c r="R8202" s="217"/>
      <c r="S8202" s="218"/>
    </row>
    <row r="8203" spans="13:19" ht="15" customHeight="1" x14ac:dyDescent="0.25">
      <c r="M8203"/>
      <c r="N8203"/>
      <c r="O8203"/>
      <c r="P8203" s="216"/>
      <c r="Q8203" s="217"/>
      <c r="R8203" s="217"/>
      <c r="S8203" s="218"/>
    </row>
    <row r="8204" spans="13:19" ht="15" customHeight="1" x14ac:dyDescent="0.25">
      <c r="M8204"/>
      <c r="N8204"/>
      <c r="O8204"/>
      <c r="P8204" s="216"/>
      <c r="Q8204" s="217"/>
      <c r="R8204" s="217"/>
      <c r="S8204" s="218"/>
    </row>
    <row r="8205" spans="13:19" ht="15" customHeight="1" x14ac:dyDescent="0.25">
      <c r="M8205"/>
      <c r="N8205"/>
      <c r="O8205"/>
      <c r="P8205" s="216"/>
      <c r="Q8205" s="217"/>
      <c r="R8205" s="217"/>
      <c r="S8205" s="218"/>
    </row>
    <row r="8206" spans="13:19" ht="15" customHeight="1" x14ac:dyDescent="0.25">
      <c r="M8206"/>
      <c r="N8206"/>
      <c r="O8206"/>
      <c r="P8206" s="216"/>
      <c r="Q8206" s="217"/>
      <c r="R8206" s="217"/>
      <c r="S8206" s="218"/>
    </row>
    <row r="8207" spans="13:19" ht="15" customHeight="1" x14ac:dyDescent="0.25">
      <c r="M8207"/>
      <c r="N8207"/>
      <c r="O8207"/>
      <c r="P8207" s="216"/>
      <c r="Q8207" s="217"/>
      <c r="R8207" s="217"/>
      <c r="S8207" s="218"/>
    </row>
    <row r="8208" spans="13:19" ht="15" customHeight="1" x14ac:dyDescent="0.25">
      <c r="M8208"/>
      <c r="N8208"/>
      <c r="O8208"/>
      <c r="P8208" s="216"/>
      <c r="Q8208" s="217"/>
      <c r="R8208" s="217"/>
      <c r="S8208" s="218"/>
    </row>
    <row r="8209" spans="13:19" ht="15" customHeight="1" x14ac:dyDescent="0.25">
      <c r="M8209"/>
      <c r="N8209"/>
      <c r="O8209"/>
      <c r="P8209" s="216"/>
      <c r="Q8209" s="217"/>
      <c r="R8209" s="217"/>
      <c r="S8209" s="218"/>
    </row>
    <row r="8210" spans="13:19" ht="15" customHeight="1" x14ac:dyDescent="0.25">
      <c r="M8210"/>
      <c r="N8210"/>
      <c r="O8210"/>
      <c r="P8210" s="216"/>
      <c r="Q8210" s="217"/>
      <c r="R8210" s="217"/>
      <c r="S8210" s="218"/>
    </row>
    <row r="8211" spans="13:19" ht="15" customHeight="1" x14ac:dyDescent="0.25">
      <c r="M8211"/>
      <c r="N8211"/>
      <c r="O8211"/>
      <c r="P8211" s="216"/>
      <c r="Q8211" s="217"/>
      <c r="R8211" s="217"/>
      <c r="S8211" s="218"/>
    </row>
    <row r="8212" spans="13:19" ht="15" customHeight="1" x14ac:dyDescent="0.25">
      <c r="M8212"/>
      <c r="N8212"/>
      <c r="O8212"/>
      <c r="P8212" s="216"/>
      <c r="Q8212" s="217"/>
      <c r="R8212" s="217"/>
      <c r="S8212" s="218"/>
    </row>
    <row r="8213" spans="13:19" ht="15" customHeight="1" x14ac:dyDescent="0.25">
      <c r="M8213"/>
      <c r="N8213"/>
      <c r="O8213"/>
      <c r="P8213" s="216"/>
      <c r="Q8213" s="217"/>
      <c r="R8213" s="217"/>
      <c r="S8213" s="218"/>
    </row>
    <row r="8214" spans="13:19" ht="15" customHeight="1" x14ac:dyDescent="0.25">
      <c r="M8214"/>
      <c r="N8214"/>
      <c r="O8214"/>
      <c r="P8214" s="216"/>
      <c r="Q8214" s="217"/>
      <c r="R8214" s="217"/>
      <c r="S8214" s="218"/>
    </row>
    <row r="8215" spans="13:19" ht="15" customHeight="1" x14ac:dyDescent="0.25">
      <c r="M8215"/>
      <c r="N8215"/>
      <c r="O8215"/>
      <c r="P8215" s="216"/>
      <c r="Q8215" s="217"/>
      <c r="R8215" s="217"/>
      <c r="S8215" s="218"/>
    </row>
    <row r="8216" spans="13:19" ht="15" customHeight="1" x14ac:dyDescent="0.25">
      <c r="M8216"/>
      <c r="N8216"/>
      <c r="O8216"/>
      <c r="P8216" s="216"/>
      <c r="Q8216" s="217"/>
      <c r="R8216" s="217"/>
      <c r="S8216" s="218"/>
    </row>
    <row r="8217" spans="13:19" ht="15" customHeight="1" x14ac:dyDescent="0.25">
      <c r="M8217"/>
      <c r="N8217"/>
      <c r="O8217"/>
      <c r="P8217" s="216"/>
      <c r="Q8217" s="217"/>
      <c r="R8217" s="217"/>
      <c r="S8217" s="218"/>
    </row>
    <row r="8218" spans="13:19" ht="15" customHeight="1" x14ac:dyDescent="0.25">
      <c r="M8218"/>
      <c r="N8218"/>
      <c r="O8218"/>
      <c r="P8218" s="216"/>
      <c r="Q8218" s="217"/>
      <c r="R8218" s="217"/>
      <c r="S8218" s="218"/>
    </row>
    <row r="8219" spans="13:19" ht="15" customHeight="1" x14ac:dyDescent="0.25">
      <c r="M8219"/>
      <c r="N8219"/>
      <c r="O8219"/>
      <c r="P8219" s="216"/>
      <c r="Q8219" s="217"/>
      <c r="R8219" s="217"/>
      <c r="S8219" s="218"/>
    </row>
    <row r="8220" spans="13:19" ht="15" customHeight="1" x14ac:dyDescent="0.25">
      <c r="M8220"/>
      <c r="N8220"/>
      <c r="O8220"/>
      <c r="P8220" s="216"/>
      <c r="Q8220" s="217"/>
      <c r="R8220" s="217"/>
      <c r="S8220" s="218"/>
    </row>
    <row r="8221" spans="13:19" ht="15" customHeight="1" x14ac:dyDescent="0.25">
      <c r="M8221"/>
      <c r="N8221"/>
      <c r="O8221"/>
      <c r="P8221" s="216"/>
      <c r="Q8221" s="217"/>
      <c r="R8221" s="217"/>
      <c r="S8221" s="218"/>
    </row>
    <row r="8222" spans="13:19" ht="15" customHeight="1" x14ac:dyDescent="0.25">
      <c r="M8222"/>
      <c r="N8222"/>
      <c r="O8222"/>
      <c r="P8222" s="216"/>
      <c r="Q8222" s="217"/>
      <c r="R8222" s="217"/>
      <c r="S8222" s="218"/>
    </row>
    <row r="8223" spans="13:19" ht="15" customHeight="1" x14ac:dyDescent="0.25">
      <c r="M8223"/>
      <c r="N8223"/>
      <c r="O8223"/>
      <c r="P8223" s="216"/>
      <c r="Q8223" s="217"/>
      <c r="R8223" s="217"/>
      <c r="S8223" s="218"/>
    </row>
    <row r="8224" spans="13:19" ht="15" customHeight="1" x14ac:dyDescent="0.25">
      <c r="M8224"/>
      <c r="N8224"/>
      <c r="O8224"/>
      <c r="P8224" s="216"/>
      <c r="Q8224" s="217"/>
      <c r="R8224" s="217"/>
      <c r="S8224" s="218"/>
    </row>
    <row r="8225" spans="13:19" ht="15" customHeight="1" x14ac:dyDescent="0.25">
      <c r="M8225"/>
      <c r="N8225"/>
      <c r="O8225"/>
      <c r="P8225" s="216"/>
      <c r="Q8225" s="217"/>
      <c r="R8225" s="217"/>
      <c r="S8225" s="218"/>
    </row>
    <row r="8226" spans="13:19" ht="15" customHeight="1" x14ac:dyDescent="0.25">
      <c r="M8226"/>
      <c r="N8226"/>
      <c r="O8226"/>
      <c r="P8226" s="216"/>
      <c r="Q8226" s="217"/>
      <c r="R8226" s="217"/>
      <c r="S8226" s="218"/>
    </row>
    <row r="8227" spans="13:19" ht="15" customHeight="1" x14ac:dyDescent="0.25">
      <c r="M8227"/>
      <c r="N8227"/>
      <c r="O8227"/>
      <c r="P8227" s="216"/>
      <c r="Q8227" s="217"/>
      <c r="R8227" s="217"/>
      <c r="S8227" s="218"/>
    </row>
    <row r="8228" spans="13:19" ht="15" customHeight="1" x14ac:dyDescent="0.25">
      <c r="M8228"/>
      <c r="N8228"/>
      <c r="O8228"/>
      <c r="P8228" s="216"/>
      <c r="Q8228" s="217"/>
      <c r="R8228" s="217"/>
      <c r="S8228" s="218"/>
    </row>
    <row r="8229" spans="13:19" ht="15" customHeight="1" x14ac:dyDescent="0.25">
      <c r="M8229"/>
      <c r="N8229"/>
      <c r="O8229"/>
      <c r="P8229" s="216"/>
      <c r="Q8229" s="217"/>
      <c r="R8229" s="217"/>
      <c r="S8229" s="218"/>
    </row>
    <row r="8230" spans="13:19" ht="15" customHeight="1" x14ac:dyDescent="0.25">
      <c r="M8230"/>
      <c r="N8230"/>
      <c r="O8230"/>
      <c r="P8230" s="216"/>
      <c r="Q8230" s="217"/>
      <c r="R8230" s="217"/>
      <c r="S8230" s="218"/>
    </row>
    <row r="8231" spans="13:19" ht="15" customHeight="1" x14ac:dyDescent="0.25">
      <c r="M8231"/>
      <c r="N8231"/>
      <c r="O8231"/>
      <c r="P8231" s="216"/>
      <c r="Q8231" s="217"/>
      <c r="R8231" s="217"/>
      <c r="S8231" s="218"/>
    </row>
    <row r="8232" spans="13:19" ht="15" customHeight="1" x14ac:dyDescent="0.25">
      <c r="M8232"/>
      <c r="N8232"/>
      <c r="O8232"/>
      <c r="P8232" s="216"/>
      <c r="Q8232" s="217"/>
      <c r="R8232" s="217"/>
      <c r="S8232" s="218"/>
    </row>
    <row r="8233" spans="13:19" ht="15" customHeight="1" x14ac:dyDescent="0.25">
      <c r="M8233"/>
      <c r="N8233"/>
      <c r="O8233"/>
      <c r="P8233" s="216"/>
      <c r="Q8233" s="217"/>
      <c r="R8233" s="217"/>
      <c r="S8233" s="218"/>
    </row>
    <row r="8234" spans="13:19" ht="15" customHeight="1" x14ac:dyDescent="0.25">
      <c r="M8234"/>
      <c r="N8234"/>
      <c r="O8234"/>
      <c r="P8234" s="216"/>
      <c r="Q8234" s="217"/>
      <c r="R8234" s="217"/>
      <c r="S8234" s="218"/>
    </row>
    <row r="8235" spans="13:19" ht="15" customHeight="1" x14ac:dyDescent="0.25">
      <c r="M8235"/>
      <c r="N8235"/>
      <c r="O8235"/>
      <c r="P8235" s="216"/>
      <c r="Q8235" s="217"/>
      <c r="R8235" s="217"/>
      <c r="S8235" s="218"/>
    </row>
    <row r="8236" spans="13:19" ht="15" customHeight="1" x14ac:dyDescent="0.25">
      <c r="M8236"/>
      <c r="N8236"/>
      <c r="O8236"/>
      <c r="P8236" s="216"/>
      <c r="Q8236" s="217"/>
      <c r="R8236" s="217"/>
      <c r="S8236" s="218"/>
    </row>
    <row r="8237" spans="13:19" ht="15" customHeight="1" x14ac:dyDescent="0.25">
      <c r="M8237"/>
      <c r="N8237"/>
      <c r="O8237"/>
      <c r="P8237" s="216"/>
      <c r="Q8237" s="217"/>
      <c r="R8237" s="217"/>
      <c r="S8237" s="218"/>
    </row>
    <row r="8238" spans="13:19" ht="15" customHeight="1" x14ac:dyDescent="0.25">
      <c r="M8238"/>
      <c r="N8238"/>
      <c r="O8238"/>
      <c r="P8238" s="216"/>
      <c r="Q8238" s="217"/>
      <c r="R8238" s="217"/>
      <c r="S8238" s="218"/>
    </row>
    <row r="8239" spans="13:19" ht="15" customHeight="1" x14ac:dyDescent="0.25">
      <c r="M8239"/>
      <c r="N8239"/>
      <c r="O8239"/>
      <c r="P8239" s="216"/>
      <c r="Q8239" s="217"/>
      <c r="R8239" s="217"/>
      <c r="S8239" s="218"/>
    </row>
    <row r="8240" spans="13:19" ht="15" customHeight="1" x14ac:dyDescent="0.25">
      <c r="M8240"/>
      <c r="N8240"/>
      <c r="O8240"/>
      <c r="P8240" s="216"/>
      <c r="Q8240" s="217"/>
      <c r="R8240" s="217"/>
      <c r="S8240" s="218"/>
    </row>
    <row r="8241" spans="13:19" ht="15" customHeight="1" x14ac:dyDescent="0.25">
      <c r="M8241"/>
      <c r="N8241"/>
      <c r="O8241"/>
      <c r="P8241" s="216"/>
      <c r="Q8241" s="217"/>
      <c r="R8241" s="217"/>
      <c r="S8241" s="218"/>
    </row>
    <row r="8242" spans="13:19" ht="15" customHeight="1" x14ac:dyDescent="0.25">
      <c r="M8242"/>
      <c r="N8242"/>
      <c r="O8242"/>
      <c r="P8242" s="216"/>
      <c r="Q8242" s="217"/>
      <c r="R8242" s="217"/>
      <c r="S8242" s="218"/>
    </row>
    <row r="8243" spans="13:19" ht="15" customHeight="1" x14ac:dyDescent="0.25">
      <c r="M8243"/>
      <c r="N8243"/>
      <c r="O8243"/>
      <c r="P8243" s="216"/>
      <c r="Q8243" s="217"/>
      <c r="R8243" s="217"/>
      <c r="S8243" s="218"/>
    </row>
    <row r="8244" spans="13:19" ht="15" customHeight="1" x14ac:dyDescent="0.25">
      <c r="M8244"/>
      <c r="N8244"/>
      <c r="O8244"/>
      <c r="P8244" s="216"/>
      <c r="Q8244" s="217"/>
      <c r="R8244" s="217"/>
      <c r="S8244" s="218"/>
    </row>
    <row r="8245" spans="13:19" ht="15" customHeight="1" x14ac:dyDescent="0.25">
      <c r="M8245"/>
      <c r="N8245"/>
      <c r="O8245"/>
      <c r="P8245" s="216"/>
      <c r="Q8245" s="217"/>
      <c r="R8245" s="217"/>
      <c r="S8245" s="218"/>
    </row>
    <row r="8246" spans="13:19" ht="15" customHeight="1" x14ac:dyDescent="0.25">
      <c r="M8246"/>
      <c r="N8246"/>
      <c r="O8246"/>
      <c r="P8246" s="216"/>
      <c r="Q8246" s="217"/>
      <c r="R8246" s="217"/>
      <c r="S8246" s="218"/>
    </row>
    <row r="8247" spans="13:19" ht="15" customHeight="1" x14ac:dyDescent="0.25">
      <c r="M8247"/>
      <c r="N8247"/>
      <c r="O8247"/>
      <c r="P8247" s="216"/>
      <c r="Q8247" s="217"/>
      <c r="R8247" s="217"/>
      <c r="S8247" s="218"/>
    </row>
    <row r="8248" spans="13:19" ht="15" customHeight="1" x14ac:dyDescent="0.25">
      <c r="M8248"/>
      <c r="N8248"/>
      <c r="O8248"/>
      <c r="P8248" s="216"/>
      <c r="Q8248" s="217"/>
      <c r="R8248" s="217"/>
      <c r="S8248" s="218"/>
    </row>
    <row r="8249" spans="13:19" ht="15" customHeight="1" x14ac:dyDescent="0.25">
      <c r="M8249"/>
      <c r="N8249"/>
      <c r="O8249"/>
      <c r="P8249" s="216"/>
      <c r="Q8249" s="217"/>
      <c r="R8249" s="217"/>
      <c r="S8249" s="218"/>
    </row>
    <row r="8250" spans="13:19" ht="15" customHeight="1" x14ac:dyDescent="0.25">
      <c r="M8250"/>
      <c r="N8250"/>
      <c r="O8250"/>
      <c r="P8250" s="216"/>
      <c r="Q8250" s="217"/>
      <c r="R8250" s="217"/>
      <c r="S8250" s="218"/>
    </row>
    <row r="8251" spans="13:19" ht="15" customHeight="1" x14ac:dyDescent="0.25">
      <c r="M8251"/>
      <c r="N8251"/>
      <c r="O8251"/>
      <c r="P8251" s="216"/>
      <c r="Q8251" s="217"/>
      <c r="R8251" s="217"/>
      <c r="S8251" s="218"/>
    </row>
    <row r="8252" spans="13:19" ht="15" customHeight="1" x14ac:dyDescent="0.25">
      <c r="M8252"/>
      <c r="N8252"/>
      <c r="O8252"/>
      <c r="P8252" s="216"/>
      <c r="Q8252" s="217"/>
      <c r="R8252" s="217"/>
      <c r="S8252" s="218"/>
    </row>
    <row r="8253" spans="13:19" ht="15" customHeight="1" x14ac:dyDescent="0.25">
      <c r="M8253"/>
      <c r="N8253"/>
      <c r="O8253"/>
      <c r="P8253" s="216"/>
      <c r="Q8253" s="217"/>
      <c r="R8253" s="217"/>
      <c r="S8253" s="218"/>
    </row>
    <row r="8254" spans="13:19" ht="15" customHeight="1" x14ac:dyDescent="0.25">
      <c r="M8254"/>
      <c r="N8254"/>
      <c r="O8254"/>
      <c r="P8254" s="216"/>
      <c r="Q8254" s="217"/>
      <c r="R8254" s="217"/>
      <c r="S8254" s="218"/>
    </row>
    <row r="8255" spans="13:19" ht="15" customHeight="1" x14ac:dyDescent="0.25">
      <c r="M8255"/>
      <c r="N8255"/>
      <c r="O8255"/>
      <c r="P8255" s="216"/>
      <c r="Q8255" s="217"/>
      <c r="R8255" s="217"/>
      <c r="S8255" s="218"/>
    </row>
    <row r="8256" spans="13:19" ht="15" customHeight="1" x14ac:dyDescent="0.25">
      <c r="M8256"/>
      <c r="N8256"/>
      <c r="O8256"/>
      <c r="P8256" s="216"/>
      <c r="Q8256" s="217"/>
      <c r="R8256" s="217"/>
      <c r="S8256" s="218"/>
    </row>
    <row r="8257" spans="13:19" ht="15" customHeight="1" x14ac:dyDescent="0.25">
      <c r="M8257"/>
      <c r="N8257"/>
      <c r="O8257"/>
      <c r="P8257" s="216"/>
      <c r="Q8257" s="217"/>
      <c r="R8257" s="217"/>
      <c r="S8257" s="218"/>
    </row>
    <row r="8258" spans="13:19" ht="15" customHeight="1" x14ac:dyDescent="0.25">
      <c r="M8258"/>
      <c r="N8258"/>
      <c r="O8258"/>
      <c r="P8258" s="216"/>
      <c r="Q8258" s="217"/>
      <c r="R8258" s="217"/>
      <c r="S8258" s="218"/>
    </row>
    <row r="8259" spans="13:19" ht="15" customHeight="1" x14ac:dyDescent="0.25">
      <c r="M8259"/>
      <c r="N8259"/>
      <c r="O8259"/>
      <c r="P8259" s="216"/>
      <c r="Q8259" s="217"/>
      <c r="R8259" s="217"/>
      <c r="S8259" s="218"/>
    </row>
    <row r="8260" spans="13:19" ht="15" customHeight="1" x14ac:dyDescent="0.25">
      <c r="M8260"/>
      <c r="N8260"/>
      <c r="O8260"/>
      <c r="P8260" s="216"/>
      <c r="Q8260" s="217"/>
      <c r="R8260" s="217"/>
      <c r="S8260" s="218"/>
    </row>
    <row r="8261" spans="13:19" ht="15" customHeight="1" x14ac:dyDescent="0.25">
      <c r="M8261"/>
      <c r="N8261"/>
      <c r="O8261"/>
      <c r="P8261" s="216"/>
      <c r="Q8261" s="217"/>
      <c r="R8261" s="217"/>
      <c r="S8261" s="218"/>
    </row>
    <row r="8262" spans="13:19" ht="15" customHeight="1" x14ac:dyDescent="0.25">
      <c r="M8262"/>
      <c r="N8262"/>
      <c r="O8262"/>
      <c r="P8262" s="216"/>
      <c r="Q8262" s="217"/>
      <c r="R8262" s="217"/>
      <c r="S8262" s="218"/>
    </row>
    <row r="8263" spans="13:19" ht="15" customHeight="1" x14ac:dyDescent="0.25">
      <c r="M8263"/>
      <c r="N8263"/>
      <c r="O8263"/>
      <c r="P8263" s="216"/>
      <c r="Q8263" s="217"/>
      <c r="R8263" s="217"/>
      <c r="S8263" s="218"/>
    </row>
    <row r="8264" spans="13:19" ht="15" customHeight="1" x14ac:dyDescent="0.25">
      <c r="M8264"/>
      <c r="N8264"/>
      <c r="O8264"/>
      <c r="P8264" s="216"/>
      <c r="Q8264" s="217"/>
      <c r="R8264" s="217"/>
      <c r="S8264" s="218"/>
    </row>
    <row r="8265" spans="13:19" ht="15" customHeight="1" x14ac:dyDescent="0.25">
      <c r="M8265"/>
      <c r="N8265"/>
      <c r="O8265"/>
      <c r="P8265" s="216"/>
      <c r="Q8265" s="217"/>
      <c r="R8265" s="217"/>
      <c r="S8265" s="218"/>
    </row>
    <row r="8266" spans="13:19" ht="15" customHeight="1" x14ac:dyDescent="0.25">
      <c r="M8266"/>
      <c r="N8266"/>
      <c r="O8266"/>
      <c r="P8266" s="216"/>
      <c r="Q8266" s="217"/>
      <c r="R8266" s="217"/>
      <c r="S8266" s="218"/>
    </row>
    <row r="8267" spans="13:19" ht="15" customHeight="1" x14ac:dyDescent="0.25">
      <c r="M8267"/>
      <c r="N8267"/>
      <c r="O8267"/>
      <c r="P8267" s="216"/>
      <c r="Q8267" s="217"/>
      <c r="R8267" s="217"/>
      <c r="S8267" s="218"/>
    </row>
    <row r="8268" spans="13:19" ht="15" customHeight="1" x14ac:dyDescent="0.25">
      <c r="M8268"/>
      <c r="N8268"/>
      <c r="O8268"/>
      <c r="P8268" s="216"/>
      <c r="Q8268" s="217"/>
      <c r="R8268" s="217"/>
      <c r="S8268" s="218"/>
    </row>
    <row r="8269" spans="13:19" ht="15" customHeight="1" x14ac:dyDescent="0.25">
      <c r="M8269"/>
      <c r="N8269"/>
      <c r="O8269"/>
      <c r="P8269" s="216"/>
      <c r="Q8269" s="217"/>
      <c r="R8269" s="217"/>
      <c r="S8269" s="218"/>
    </row>
    <row r="8270" spans="13:19" ht="15" customHeight="1" x14ac:dyDescent="0.25">
      <c r="M8270"/>
      <c r="N8270"/>
      <c r="O8270"/>
      <c r="P8270" s="216"/>
      <c r="Q8270" s="217"/>
      <c r="R8270" s="217"/>
      <c r="S8270" s="218"/>
    </row>
    <row r="8271" spans="13:19" ht="15" customHeight="1" x14ac:dyDescent="0.25">
      <c r="M8271"/>
      <c r="N8271"/>
      <c r="O8271"/>
      <c r="P8271" s="216"/>
      <c r="Q8271" s="217"/>
      <c r="R8271" s="217"/>
      <c r="S8271" s="218"/>
    </row>
    <row r="8272" spans="13:19" ht="15" customHeight="1" x14ac:dyDescent="0.25">
      <c r="M8272"/>
      <c r="N8272"/>
      <c r="O8272"/>
      <c r="P8272" s="216"/>
      <c r="Q8272" s="217"/>
      <c r="R8272" s="217"/>
      <c r="S8272" s="218"/>
    </row>
    <row r="8273" spans="13:19" ht="15" customHeight="1" x14ac:dyDescent="0.25">
      <c r="M8273"/>
      <c r="N8273"/>
      <c r="O8273"/>
      <c r="P8273" s="216"/>
      <c r="Q8273" s="217"/>
      <c r="R8273" s="217"/>
      <c r="S8273" s="218"/>
    </row>
    <row r="8274" spans="13:19" ht="15" customHeight="1" x14ac:dyDescent="0.25">
      <c r="M8274"/>
      <c r="N8274"/>
      <c r="O8274"/>
      <c r="P8274" s="216"/>
      <c r="Q8274" s="217"/>
      <c r="R8274" s="217"/>
      <c r="S8274" s="218"/>
    </row>
    <row r="8275" spans="13:19" ht="15" customHeight="1" x14ac:dyDescent="0.25">
      <c r="M8275"/>
      <c r="N8275"/>
      <c r="O8275"/>
      <c r="P8275" s="216"/>
      <c r="Q8275" s="217"/>
      <c r="R8275" s="217"/>
      <c r="S8275" s="218"/>
    </row>
    <row r="8276" spans="13:19" ht="15" customHeight="1" x14ac:dyDescent="0.25">
      <c r="M8276"/>
      <c r="N8276"/>
      <c r="O8276"/>
      <c r="P8276" s="216"/>
      <c r="Q8276" s="217"/>
      <c r="R8276" s="217"/>
      <c r="S8276" s="218"/>
    </row>
    <row r="8277" spans="13:19" ht="15" customHeight="1" x14ac:dyDescent="0.25">
      <c r="M8277"/>
      <c r="N8277"/>
      <c r="O8277"/>
      <c r="P8277" s="216"/>
      <c r="Q8277" s="217"/>
      <c r="R8277" s="217"/>
      <c r="S8277" s="218"/>
    </row>
    <row r="8278" spans="13:19" ht="15" customHeight="1" x14ac:dyDescent="0.25">
      <c r="M8278"/>
      <c r="N8278"/>
      <c r="O8278"/>
      <c r="P8278" s="216"/>
      <c r="Q8278" s="217"/>
      <c r="R8278" s="217"/>
      <c r="S8278" s="218"/>
    </row>
    <row r="8279" spans="13:19" ht="15" customHeight="1" x14ac:dyDescent="0.25">
      <c r="M8279"/>
      <c r="N8279"/>
      <c r="O8279"/>
      <c r="P8279" s="216"/>
      <c r="Q8279" s="217"/>
      <c r="R8279" s="217"/>
      <c r="S8279" s="218"/>
    </row>
    <row r="8280" spans="13:19" ht="15" customHeight="1" x14ac:dyDescent="0.25">
      <c r="M8280"/>
      <c r="N8280"/>
      <c r="O8280"/>
      <c r="P8280" s="216"/>
      <c r="Q8280" s="217"/>
      <c r="R8280" s="217"/>
      <c r="S8280" s="218"/>
    </row>
    <row r="8281" spans="13:19" ht="15" customHeight="1" x14ac:dyDescent="0.25">
      <c r="M8281"/>
      <c r="N8281"/>
      <c r="O8281"/>
      <c r="P8281" s="216"/>
      <c r="Q8281" s="217"/>
      <c r="R8281" s="217"/>
      <c r="S8281" s="218"/>
    </row>
    <row r="8282" spans="13:19" ht="15" customHeight="1" x14ac:dyDescent="0.25">
      <c r="M8282"/>
      <c r="N8282"/>
      <c r="O8282"/>
      <c r="P8282" s="216"/>
      <c r="Q8282" s="217"/>
      <c r="R8282" s="217"/>
      <c r="S8282" s="218"/>
    </row>
    <row r="8283" spans="13:19" ht="15" customHeight="1" x14ac:dyDescent="0.25">
      <c r="M8283"/>
      <c r="N8283"/>
      <c r="O8283"/>
      <c r="P8283" s="216"/>
      <c r="Q8283" s="217"/>
      <c r="R8283" s="217"/>
      <c r="S8283" s="218"/>
    </row>
    <row r="8284" spans="13:19" ht="15" customHeight="1" x14ac:dyDescent="0.25">
      <c r="M8284"/>
      <c r="N8284"/>
      <c r="O8284"/>
      <c r="P8284" s="216"/>
      <c r="Q8284" s="217"/>
      <c r="R8284" s="217"/>
      <c r="S8284" s="218"/>
    </row>
    <row r="8285" spans="13:19" ht="15" customHeight="1" x14ac:dyDescent="0.25">
      <c r="M8285"/>
      <c r="N8285"/>
      <c r="O8285"/>
      <c r="P8285" s="216"/>
      <c r="Q8285" s="217"/>
      <c r="R8285" s="217"/>
      <c r="S8285" s="218"/>
    </row>
    <row r="8286" spans="13:19" ht="15" customHeight="1" x14ac:dyDescent="0.25">
      <c r="M8286"/>
      <c r="N8286"/>
      <c r="O8286"/>
      <c r="P8286" s="216"/>
      <c r="Q8286" s="217"/>
      <c r="R8286" s="217"/>
      <c r="S8286" s="218"/>
    </row>
    <row r="8287" spans="13:19" ht="15" customHeight="1" x14ac:dyDescent="0.25">
      <c r="M8287"/>
      <c r="N8287"/>
      <c r="O8287"/>
      <c r="P8287" s="216"/>
      <c r="Q8287" s="217"/>
      <c r="R8287" s="217"/>
      <c r="S8287" s="218"/>
    </row>
    <row r="8288" spans="13:19" ht="15" customHeight="1" x14ac:dyDescent="0.25">
      <c r="M8288"/>
      <c r="N8288"/>
      <c r="O8288"/>
      <c r="P8288" s="216"/>
      <c r="Q8288" s="217"/>
      <c r="R8288" s="217"/>
      <c r="S8288" s="218"/>
    </row>
    <row r="8289" spans="13:19" ht="15" customHeight="1" x14ac:dyDescent="0.25">
      <c r="M8289"/>
      <c r="N8289"/>
      <c r="O8289"/>
      <c r="P8289" s="216"/>
      <c r="Q8289" s="217"/>
      <c r="R8289" s="217"/>
      <c r="S8289" s="218"/>
    </row>
    <row r="8290" spans="13:19" ht="15" customHeight="1" x14ac:dyDescent="0.25">
      <c r="M8290"/>
      <c r="N8290"/>
      <c r="O8290"/>
      <c r="P8290" s="216"/>
      <c r="Q8290" s="217"/>
      <c r="R8290" s="217"/>
      <c r="S8290" s="218"/>
    </row>
    <row r="8291" spans="13:19" ht="15" customHeight="1" x14ac:dyDescent="0.25">
      <c r="M8291"/>
      <c r="N8291"/>
      <c r="O8291"/>
      <c r="P8291" s="216"/>
      <c r="Q8291" s="217"/>
      <c r="R8291" s="217"/>
      <c r="S8291" s="218"/>
    </row>
    <row r="8292" spans="13:19" ht="15" customHeight="1" x14ac:dyDescent="0.25">
      <c r="M8292"/>
      <c r="N8292"/>
      <c r="O8292"/>
      <c r="P8292" s="216"/>
      <c r="Q8292" s="217"/>
      <c r="R8292" s="217"/>
      <c r="S8292" s="218"/>
    </row>
    <row r="8293" spans="13:19" ht="15" customHeight="1" x14ac:dyDescent="0.25">
      <c r="M8293"/>
      <c r="N8293"/>
      <c r="O8293"/>
      <c r="P8293" s="216"/>
      <c r="Q8293" s="217"/>
      <c r="R8293" s="217"/>
      <c r="S8293" s="218"/>
    </row>
    <row r="8294" spans="13:19" ht="15" customHeight="1" x14ac:dyDescent="0.25">
      <c r="M8294"/>
      <c r="N8294"/>
      <c r="O8294"/>
      <c r="P8294" s="216"/>
      <c r="Q8294" s="217"/>
      <c r="R8294" s="217"/>
      <c r="S8294" s="218"/>
    </row>
    <row r="8295" spans="13:19" ht="15" customHeight="1" x14ac:dyDescent="0.25">
      <c r="M8295"/>
      <c r="N8295"/>
      <c r="O8295"/>
      <c r="P8295" s="216"/>
      <c r="Q8295" s="217"/>
      <c r="R8295" s="217"/>
      <c r="S8295" s="218"/>
    </row>
    <row r="8296" spans="13:19" ht="15" customHeight="1" x14ac:dyDescent="0.25">
      <c r="M8296"/>
      <c r="N8296"/>
      <c r="O8296"/>
      <c r="P8296" s="216"/>
      <c r="Q8296" s="217"/>
      <c r="R8296" s="217"/>
      <c r="S8296" s="218"/>
    </row>
    <row r="8297" spans="13:19" ht="15" customHeight="1" x14ac:dyDescent="0.25">
      <c r="M8297"/>
      <c r="N8297"/>
      <c r="O8297"/>
      <c r="P8297" s="216"/>
      <c r="Q8297" s="217"/>
      <c r="R8297" s="217"/>
      <c r="S8297" s="218"/>
    </row>
    <row r="8298" spans="13:19" ht="15" customHeight="1" x14ac:dyDescent="0.25">
      <c r="M8298"/>
      <c r="N8298"/>
      <c r="O8298"/>
      <c r="P8298" s="216"/>
      <c r="Q8298" s="217"/>
      <c r="R8298" s="217"/>
      <c r="S8298" s="218"/>
    </row>
    <row r="8299" spans="13:19" ht="15" customHeight="1" x14ac:dyDescent="0.25">
      <c r="M8299"/>
      <c r="N8299"/>
      <c r="O8299"/>
      <c r="P8299" s="216"/>
      <c r="Q8299" s="217"/>
      <c r="R8299" s="217"/>
      <c r="S8299" s="218"/>
    </row>
    <row r="8300" spans="13:19" ht="15" customHeight="1" x14ac:dyDescent="0.25">
      <c r="M8300"/>
      <c r="N8300"/>
      <c r="O8300"/>
      <c r="P8300" s="216"/>
      <c r="Q8300" s="217"/>
      <c r="R8300" s="217"/>
      <c r="S8300" s="218"/>
    </row>
    <row r="8301" spans="13:19" ht="15" customHeight="1" x14ac:dyDescent="0.25">
      <c r="M8301"/>
      <c r="N8301"/>
      <c r="O8301"/>
      <c r="P8301" s="216"/>
      <c r="Q8301" s="217"/>
      <c r="R8301" s="217"/>
      <c r="S8301" s="218"/>
    </row>
    <row r="8302" spans="13:19" ht="15" customHeight="1" x14ac:dyDescent="0.25">
      <c r="M8302"/>
      <c r="N8302"/>
      <c r="O8302"/>
      <c r="P8302" s="216"/>
      <c r="Q8302" s="217"/>
      <c r="R8302" s="217"/>
      <c r="S8302" s="218"/>
    </row>
    <row r="8303" spans="13:19" ht="15" customHeight="1" x14ac:dyDescent="0.25">
      <c r="M8303"/>
      <c r="N8303"/>
      <c r="O8303"/>
      <c r="P8303" s="216"/>
      <c r="Q8303" s="217"/>
      <c r="R8303" s="217"/>
      <c r="S8303" s="218"/>
    </row>
    <row r="8304" spans="13:19" ht="15" customHeight="1" x14ac:dyDescent="0.25">
      <c r="M8304"/>
      <c r="N8304"/>
      <c r="O8304"/>
      <c r="P8304" s="216"/>
      <c r="Q8304" s="217"/>
      <c r="R8304" s="217"/>
      <c r="S8304" s="218"/>
    </row>
    <row r="8305" spans="13:19" ht="15" customHeight="1" x14ac:dyDescent="0.25">
      <c r="M8305"/>
      <c r="N8305"/>
      <c r="O8305"/>
      <c r="P8305" s="216"/>
      <c r="Q8305" s="217"/>
      <c r="R8305" s="217"/>
      <c r="S8305" s="218"/>
    </row>
    <row r="8306" spans="13:19" ht="15" customHeight="1" x14ac:dyDescent="0.25">
      <c r="M8306"/>
      <c r="N8306"/>
      <c r="O8306"/>
      <c r="P8306" s="216"/>
      <c r="Q8306" s="217"/>
      <c r="R8306" s="217"/>
      <c r="S8306" s="218"/>
    </row>
    <row r="8307" spans="13:19" ht="15" customHeight="1" x14ac:dyDescent="0.25">
      <c r="M8307"/>
      <c r="N8307"/>
      <c r="O8307"/>
      <c r="P8307" s="216"/>
      <c r="Q8307" s="217"/>
      <c r="R8307" s="217"/>
      <c r="S8307" s="218"/>
    </row>
    <row r="8308" spans="13:19" ht="15" customHeight="1" x14ac:dyDescent="0.25">
      <c r="M8308"/>
      <c r="N8308"/>
      <c r="O8308"/>
      <c r="P8308" s="216"/>
      <c r="Q8308" s="217"/>
      <c r="R8308" s="217"/>
      <c r="S8308" s="218"/>
    </row>
    <row r="8309" spans="13:19" ht="15" customHeight="1" x14ac:dyDescent="0.25">
      <c r="M8309"/>
      <c r="N8309"/>
      <c r="O8309"/>
      <c r="P8309" s="216"/>
      <c r="Q8309" s="217"/>
      <c r="R8309" s="217"/>
      <c r="S8309" s="218"/>
    </row>
    <row r="8310" spans="13:19" ht="15" customHeight="1" x14ac:dyDescent="0.25">
      <c r="M8310"/>
      <c r="N8310"/>
      <c r="O8310"/>
      <c r="P8310" s="216"/>
      <c r="Q8310" s="217"/>
      <c r="R8310" s="217"/>
      <c r="S8310" s="218"/>
    </row>
    <row r="8311" spans="13:19" ht="15" customHeight="1" x14ac:dyDescent="0.25">
      <c r="M8311"/>
      <c r="N8311"/>
      <c r="O8311"/>
      <c r="P8311" s="216"/>
      <c r="Q8311" s="217"/>
      <c r="R8311" s="217"/>
      <c r="S8311" s="218"/>
    </row>
    <row r="8312" spans="13:19" ht="15" customHeight="1" x14ac:dyDescent="0.25">
      <c r="M8312"/>
      <c r="N8312"/>
      <c r="O8312"/>
      <c r="P8312" s="216"/>
      <c r="Q8312" s="217"/>
      <c r="R8312" s="217"/>
      <c r="S8312" s="218"/>
    </row>
    <row r="8313" spans="13:19" ht="15" customHeight="1" x14ac:dyDescent="0.25">
      <c r="M8313"/>
      <c r="N8313"/>
      <c r="O8313"/>
      <c r="P8313" s="216"/>
      <c r="Q8313" s="217"/>
      <c r="R8313" s="217"/>
      <c r="S8313" s="218"/>
    </row>
    <row r="8314" spans="13:19" ht="15" customHeight="1" x14ac:dyDescent="0.25">
      <c r="M8314"/>
      <c r="N8314"/>
      <c r="O8314"/>
      <c r="P8314" s="216"/>
      <c r="Q8314" s="217"/>
      <c r="R8314" s="217"/>
      <c r="S8314" s="218"/>
    </row>
    <row r="8315" spans="13:19" ht="15" customHeight="1" x14ac:dyDescent="0.25">
      <c r="M8315"/>
      <c r="N8315"/>
      <c r="O8315"/>
      <c r="P8315" s="216"/>
      <c r="Q8315" s="217"/>
      <c r="R8315" s="217"/>
      <c r="S8315" s="218"/>
    </row>
    <row r="8316" spans="13:19" ht="15" customHeight="1" x14ac:dyDescent="0.25">
      <c r="M8316"/>
      <c r="N8316"/>
      <c r="O8316"/>
      <c r="P8316" s="216"/>
      <c r="Q8316" s="217"/>
      <c r="R8316" s="217"/>
      <c r="S8316" s="218"/>
    </row>
    <row r="8317" spans="13:19" ht="15" customHeight="1" x14ac:dyDescent="0.25">
      <c r="M8317"/>
      <c r="N8317"/>
      <c r="O8317"/>
      <c r="P8317" s="216"/>
      <c r="Q8317" s="217"/>
      <c r="R8317" s="217"/>
      <c r="S8317" s="218"/>
    </row>
    <row r="8318" spans="13:19" ht="15" customHeight="1" x14ac:dyDescent="0.25">
      <c r="M8318"/>
      <c r="N8318"/>
      <c r="O8318"/>
      <c r="P8318" s="216"/>
      <c r="Q8318" s="217"/>
      <c r="R8318" s="217"/>
      <c r="S8318" s="218"/>
    </row>
    <row r="8319" spans="13:19" ht="15" customHeight="1" x14ac:dyDescent="0.25">
      <c r="M8319"/>
      <c r="N8319"/>
      <c r="O8319"/>
      <c r="P8319" s="216"/>
      <c r="Q8319" s="217"/>
      <c r="R8319" s="217"/>
      <c r="S8319" s="218"/>
    </row>
    <row r="8320" spans="13:19" ht="15" customHeight="1" x14ac:dyDescent="0.25">
      <c r="M8320"/>
      <c r="N8320"/>
      <c r="O8320"/>
      <c r="P8320" s="216"/>
      <c r="Q8320" s="217"/>
      <c r="R8320" s="217"/>
      <c r="S8320" s="218"/>
    </row>
    <row r="8321" spans="13:19" ht="15" customHeight="1" x14ac:dyDescent="0.25">
      <c r="M8321"/>
      <c r="N8321"/>
      <c r="O8321"/>
      <c r="P8321" s="216"/>
      <c r="Q8321" s="217"/>
      <c r="R8321" s="217"/>
      <c r="S8321" s="218"/>
    </row>
    <row r="8322" spans="13:19" ht="15" customHeight="1" x14ac:dyDescent="0.25">
      <c r="M8322"/>
      <c r="N8322"/>
      <c r="O8322"/>
      <c r="P8322" s="216"/>
      <c r="Q8322" s="217"/>
      <c r="R8322" s="217"/>
      <c r="S8322" s="218"/>
    </row>
    <row r="8323" spans="13:19" ht="15" customHeight="1" x14ac:dyDescent="0.25">
      <c r="M8323"/>
      <c r="N8323"/>
      <c r="O8323"/>
      <c r="P8323" s="216"/>
      <c r="Q8323" s="217"/>
      <c r="R8323" s="217"/>
      <c r="S8323" s="218"/>
    </row>
    <row r="8324" spans="13:19" ht="15" customHeight="1" x14ac:dyDescent="0.25">
      <c r="M8324"/>
      <c r="N8324"/>
      <c r="O8324"/>
      <c r="P8324" s="216"/>
      <c r="Q8324" s="217"/>
      <c r="R8324" s="217"/>
      <c r="S8324" s="218"/>
    </row>
    <row r="8325" spans="13:19" ht="15" customHeight="1" x14ac:dyDescent="0.25">
      <c r="M8325"/>
      <c r="N8325"/>
      <c r="O8325"/>
      <c r="P8325" s="216"/>
      <c r="Q8325" s="217"/>
      <c r="R8325" s="217"/>
      <c r="S8325" s="218"/>
    </row>
    <row r="8326" spans="13:19" ht="15" customHeight="1" x14ac:dyDescent="0.25">
      <c r="M8326"/>
      <c r="N8326"/>
      <c r="O8326"/>
      <c r="P8326" s="216"/>
      <c r="Q8326" s="217"/>
      <c r="R8326" s="217"/>
      <c r="S8326" s="218"/>
    </row>
    <row r="8327" spans="13:19" ht="15" customHeight="1" x14ac:dyDescent="0.25">
      <c r="M8327"/>
      <c r="N8327"/>
      <c r="O8327"/>
      <c r="P8327" s="216"/>
      <c r="Q8327" s="217"/>
      <c r="R8327" s="217"/>
      <c r="S8327" s="218"/>
    </row>
    <row r="8328" spans="13:19" ht="15" customHeight="1" x14ac:dyDescent="0.25">
      <c r="M8328"/>
      <c r="N8328"/>
      <c r="O8328"/>
      <c r="P8328" s="216"/>
      <c r="Q8328" s="217"/>
      <c r="R8328" s="217"/>
      <c r="S8328" s="218"/>
    </row>
    <row r="8329" spans="13:19" ht="15" customHeight="1" x14ac:dyDescent="0.25">
      <c r="M8329"/>
      <c r="N8329"/>
      <c r="O8329"/>
      <c r="P8329" s="216"/>
      <c r="Q8329" s="217"/>
      <c r="R8329" s="217"/>
      <c r="S8329" s="218"/>
    </row>
    <row r="8330" spans="13:19" ht="15" customHeight="1" x14ac:dyDescent="0.25">
      <c r="M8330"/>
      <c r="N8330"/>
      <c r="O8330"/>
      <c r="P8330" s="216"/>
      <c r="Q8330" s="217"/>
      <c r="R8330" s="217"/>
      <c r="S8330" s="218"/>
    </row>
    <row r="8331" spans="13:19" ht="15" customHeight="1" x14ac:dyDescent="0.25">
      <c r="M8331"/>
      <c r="N8331"/>
      <c r="O8331"/>
      <c r="P8331" s="216"/>
      <c r="Q8331" s="217"/>
      <c r="R8331" s="217"/>
      <c r="S8331" s="218"/>
    </row>
    <row r="8332" spans="13:19" ht="15" customHeight="1" x14ac:dyDescent="0.25">
      <c r="M8332"/>
      <c r="N8332"/>
      <c r="O8332"/>
      <c r="P8332" s="216"/>
      <c r="Q8332" s="217"/>
      <c r="R8332" s="217"/>
      <c r="S8332" s="218"/>
    </row>
    <row r="8333" spans="13:19" ht="15" customHeight="1" x14ac:dyDescent="0.25">
      <c r="M8333"/>
      <c r="N8333"/>
      <c r="O8333"/>
      <c r="P8333" s="216"/>
      <c r="Q8333" s="217"/>
      <c r="R8333" s="217"/>
      <c r="S8333" s="218"/>
    </row>
    <row r="8334" spans="13:19" ht="15" customHeight="1" x14ac:dyDescent="0.25">
      <c r="M8334"/>
      <c r="N8334"/>
      <c r="O8334"/>
      <c r="P8334" s="216"/>
      <c r="Q8334" s="217"/>
      <c r="R8334" s="217"/>
      <c r="S8334" s="218"/>
    </row>
    <row r="8335" spans="13:19" ht="15" customHeight="1" x14ac:dyDescent="0.25">
      <c r="M8335"/>
      <c r="N8335"/>
      <c r="O8335"/>
      <c r="P8335" s="216"/>
      <c r="Q8335" s="217"/>
      <c r="R8335" s="217"/>
      <c r="S8335" s="218"/>
    </row>
    <row r="8336" spans="13:19" ht="15" customHeight="1" x14ac:dyDescent="0.25">
      <c r="M8336"/>
      <c r="N8336"/>
      <c r="O8336"/>
      <c r="P8336" s="216"/>
      <c r="Q8336" s="217"/>
      <c r="R8336" s="217"/>
      <c r="S8336" s="218"/>
    </row>
    <row r="8337" spans="13:19" ht="15" customHeight="1" x14ac:dyDescent="0.25">
      <c r="M8337"/>
      <c r="N8337"/>
      <c r="O8337"/>
      <c r="P8337" s="216"/>
      <c r="Q8337" s="217"/>
      <c r="R8337" s="217"/>
      <c r="S8337" s="218"/>
    </row>
    <row r="8338" spans="13:19" ht="15" customHeight="1" x14ac:dyDescent="0.25">
      <c r="M8338"/>
      <c r="N8338"/>
      <c r="O8338"/>
      <c r="P8338" s="216"/>
      <c r="Q8338" s="217"/>
      <c r="R8338" s="217"/>
      <c r="S8338" s="218"/>
    </row>
    <row r="8339" spans="13:19" ht="15" customHeight="1" x14ac:dyDescent="0.25">
      <c r="M8339"/>
      <c r="N8339"/>
      <c r="O8339"/>
      <c r="P8339" s="216"/>
      <c r="Q8339" s="217"/>
      <c r="R8339" s="217"/>
      <c r="S8339" s="218"/>
    </row>
    <row r="8340" spans="13:19" ht="15" customHeight="1" x14ac:dyDescent="0.25">
      <c r="M8340"/>
      <c r="N8340"/>
      <c r="O8340"/>
      <c r="P8340" s="216"/>
      <c r="Q8340" s="217"/>
      <c r="R8340" s="217"/>
      <c r="S8340" s="218"/>
    </row>
    <row r="8341" spans="13:19" ht="15" customHeight="1" x14ac:dyDescent="0.25">
      <c r="M8341"/>
      <c r="N8341"/>
      <c r="O8341"/>
      <c r="P8341" s="216"/>
      <c r="Q8341" s="217"/>
      <c r="R8341" s="217"/>
      <c r="S8341" s="218"/>
    </row>
    <row r="8342" spans="13:19" ht="15" customHeight="1" x14ac:dyDescent="0.25">
      <c r="M8342"/>
      <c r="N8342"/>
      <c r="O8342"/>
      <c r="P8342" s="216"/>
      <c r="Q8342" s="217"/>
      <c r="R8342" s="217"/>
      <c r="S8342" s="218"/>
    </row>
    <row r="8343" spans="13:19" ht="15" customHeight="1" x14ac:dyDescent="0.25">
      <c r="M8343"/>
      <c r="N8343"/>
      <c r="O8343"/>
      <c r="P8343" s="216"/>
      <c r="Q8343" s="217"/>
      <c r="R8343" s="217"/>
      <c r="S8343" s="218"/>
    </row>
    <row r="8344" spans="13:19" ht="15" customHeight="1" x14ac:dyDescent="0.25">
      <c r="M8344"/>
      <c r="N8344"/>
      <c r="O8344"/>
      <c r="P8344" s="216"/>
      <c r="Q8344" s="217"/>
      <c r="R8344" s="217"/>
      <c r="S8344" s="218"/>
    </row>
    <row r="8345" spans="13:19" ht="15" customHeight="1" x14ac:dyDescent="0.25">
      <c r="M8345"/>
      <c r="N8345"/>
      <c r="O8345"/>
      <c r="P8345" s="216"/>
      <c r="Q8345" s="217"/>
      <c r="R8345" s="217"/>
      <c r="S8345" s="218"/>
    </row>
    <row r="8346" spans="13:19" ht="15" customHeight="1" x14ac:dyDescent="0.25">
      <c r="M8346"/>
      <c r="N8346"/>
      <c r="O8346"/>
      <c r="P8346" s="216"/>
      <c r="Q8346" s="217"/>
      <c r="R8346" s="217"/>
      <c r="S8346" s="218"/>
    </row>
    <row r="8347" spans="13:19" ht="15" customHeight="1" x14ac:dyDescent="0.25">
      <c r="M8347"/>
      <c r="N8347"/>
      <c r="O8347"/>
      <c r="P8347" s="216"/>
      <c r="Q8347" s="217"/>
      <c r="R8347" s="217"/>
      <c r="S8347" s="218"/>
    </row>
    <row r="8348" spans="13:19" ht="15" customHeight="1" x14ac:dyDescent="0.25">
      <c r="M8348"/>
      <c r="N8348"/>
      <c r="O8348"/>
      <c r="P8348" s="216"/>
      <c r="Q8348" s="217"/>
      <c r="R8348" s="217"/>
      <c r="S8348" s="218"/>
    </row>
    <row r="8349" spans="13:19" ht="15" customHeight="1" x14ac:dyDescent="0.25">
      <c r="M8349"/>
      <c r="N8349"/>
      <c r="O8349"/>
      <c r="P8349" s="216"/>
      <c r="Q8349" s="217"/>
      <c r="R8349" s="217"/>
      <c r="S8349" s="218"/>
    </row>
    <row r="8350" spans="13:19" ht="15" customHeight="1" x14ac:dyDescent="0.25">
      <c r="M8350"/>
      <c r="N8350"/>
      <c r="O8350"/>
      <c r="P8350" s="216"/>
      <c r="Q8350" s="217"/>
      <c r="R8350" s="217"/>
      <c r="S8350" s="218"/>
    </row>
    <row r="8351" spans="13:19" ht="15" customHeight="1" x14ac:dyDescent="0.25">
      <c r="M8351"/>
      <c r="N8351"/>
      <c r="O8351"/>
      <c r="P8351" s="216"/>
      <c r="Q8351" s="217"/>
      <c r="R8351" s="217"/>
      <c r="S8351" s="218"/>
    </row>
    <row r="8352" spans="13:19" ht="15" customHeight="1" x14ac:dyDescent="0.25">
      <c r="M8352"/>
      <c r="N8352"/>
      <c r="O8352"/>
      <c r="P8352" s="216"/>
      <c r="Q8352" s="217"/>
      <c r="R8352" s="217"/>
      <c r="S8352" s="218"/>
    </row>
    <row r="8353" spans="13:19" ht="15" customHeight="1" x14ac:dyDescent="0.25">
      <c r="M8353"/>
      <c r="N8353"/>
      <c r="O8353"/>
      <c r="P8353" s="216"/>
      <c r="Q8353" s="217"/>
      <c r="R8353" s="217"/>
      <c r="S8353" s="218"/>
    </row>
    <row r="8354" spans="13:19" ht="15" customHeight="1" x14ac:dyDescent="0.25">
      <c r="M8354"/>
      <c r="N8354"/>
      <c r="O8354"/>
      <c r="P8354" s="216"/>
      <c r="Q8354" s="217"/>
      <c r="R8354" s="217"/>
      <c r="S8354" s="218"/>
    </row>
    <row r="8355" spans="13:19" ht="15" customHeight="1" x14ac:dyDescent="0.25">
      <c r="M8355"/>
      <c r="N8355"/>
      <c r="O8355"/>
      <c r="P8355" s="216"/>
      <c r="Q8355" s="217"/>
      <c r="R8355" s="217"/>
      <c r="S8355" s="218"/>
    </row>
    <row r="8356" spans="13:19" ht="15" customHeight="1" x14ac:dyDescent="0.25">
      <c r="M8356"/>
      <c r="N8356"/>
      <c r="O8356"/>
      <c r="P8356" s="216"/>
      <c r="Q8356" s="217"/>
      <c r="R8356" s="217"/>
      <c r="S8356" s="218"/>
    </row>
    <row r="8357" spans="13:19" ht="15" customHeight="1" x14ac:dyDescent="0.25">
      <c r="M8357"/>
      <c r="N8357"/>
      <c r="O8357"/>
      <c r="P8357" s="216"/>
      <c r="Q8357" s="217"/>
      <c r="R8357" s="217"/>
      <c r="S8357" s="218"/>
    </row>
    <row r="8358" spans="13:19" ht="15" customHeight="1" x14ac:dyDescent="0.25">
      <c r="M8358"/>
      <c r="N8358"/>
      <c r="O8358"/>
      <c r="P8358" s="216"/>
      <c r="Q8358" s="217"/>
      <c r="R8358" s="217"/>
      <c r="S8358" s="218"/>
    </row>
    <row r="8359" spans="13:19" ht="15" customHeight="1" x14ac:dyDescent="0.25">
      <c r="M8359"/>
      <c r="N8359"/>
      <c r="O8359"/>
      <c r="P8359" s="216"/>
      <c r="Q8359" s="217"/>
      <c r="R8359" s="217"/>
      <c r="S8359" s="218"/>
    </row>
    <row r="8360" spans="13:19" ht="15" customHeight="1" x14ac:dyDescent="0.25">
      <c r="M8360"/>
      <c r="N8360"/>
      <c r="O8360"/>
      <c r="P8360" s="216"/>
      <c r="Q8360" s="217"/>
      <c r="R8360" s="217"/>
      <c r="S8360" s="218"/>
    </row>
    <row r="8361" spans="13:19" ht="15" customHeight="1" x14ac:dyDescent="0.25">
      <c r="M8361"/>
      <c r="N8361"/>
      <c r="O8361"/>
      <c r="P8361" s="216"/>
      <c r="Q8361" s="217"/>
      <c r="R8361" s="217"/>
      <c r="S8361" s="218"/>
    </row>
    <row r="8362" spans="13:19" ht="15" customHeight="1" x14ac:dyDescent="0.25">
      <c r="M8362"/>
      <c r="N8362"/>
      <c r="O8362"/>
      <c r="P8362" s="216"/>
      <c r="Q8362" s="217"/>
      <c r="R8362" s="217"/>
      <c r="S8362" s="218"/>
    </row>
    <row r="8363" spans="13:19" ht="15" customHeight="1" x14ac:dyDescent="0.25">
      <c r="M8363"/>
      <c r="N8363"/>
      <c r="O8363"/>
      <c r="P8363" s="216"/>
      <c r="Q8363" s="217"/>
      <c r="R8363" s="217"/>
      <c r="S8363" s="218"/>
    </row>
    <row r="8364" spans="13:19" ht="15" customHeight="1" x14ac:dyDescent="0.25">
      <c r="M8364"/>
      <c r="N8364"/>
      <c r="O8364"/>
      <c r="P8364" s="216"/>
      <c r="Q8364" s="217"/>
      <c r="R8364" s="217"/>
      <c r="S8364" s="218"/>
    </row>
    <row r="8365" spans="13:19" ht="15" customHeight="1" x14ac:dyDescent="0.25">
      <c r="M8365"/>
      <c r="N8365"/>
      <c r="O8365"/>
      <c r="P8365" s="216"/>
      <c r="Q8365" s="217"/>
      <c r="R8365" s="217"/>
      <c r="S8365" s="218"/>
    </row>
    <row r="8366" spans="13:19" ht="15" customHeight="1" x14ac:dyDescent="0.25">
      <c r="M8366"/>
      <c r="N8366"/>
      <c r="O8366"/>
      <c r="P8366" s="216"/>
      <c r="Q8366" s="217"/>
      <c r="R8366" s="217"/>
      <c r="S8366" s="218"/>
    </row>
    <row r="8367" spans="13:19" ht="15" customHeight="1" x14ac:dyDescent="0.25">
      <c r="M8367"/>
      <c r="N8367"/>
      <c r="O8367"/>
      <c r="P8367" s="216"/>
      <c r="Q8367" s="217"/>
      <c r="R8367" s="217"/>
      <c r="S8367" s="218"/>
    </row>
    <row r="8368" spans="13:19" ht="15" customHeight="1" x14ac:dyDescent="0.25">
      <c r="M8368"/>
      <c r="N8368"/>
      <c r="O8368"/>
      <c r="P8368" s="216"/>
      <c r="Q8368" s="217"/>
      <c r="R8368" s="217"/>
      <c r="S8368" s="218"/>
    </row>
    <row r="8369" spans="13:19" ht="15" customHeight="1" x14ac:dyDescent="0.25">
      <c r="M8369"/>
      <c r="N8369"/>
      <c r="O8369"/>
      <c r="P8369" s="216"/>
      <c r="Q8369" s="217"/>
      <c r="R8369" s="217"/>
      <c r="S8369" s="218"/>
    </row>
    <row r="8370" spans="13:19" ht="15" customHeight="1" x14ac:dyDescent="0.25">
      <c r="M8370"/>
      <c r="N8370"/>
      <c r="O8370"/>
      <c r="P8370" s="216"/>
      <c r="Q8370" s="217"/>
      <c r="R8370" s="217"/>
      <c r="S8370" s="218"/>
    </row>
    <row r="8371" spans="13:19" ht="15" customHeight="1" x14ac:dyDescent="0.25">
      <c r="M8371"/>
      <c r="N8371"/>
      <c r="O8371"/>
      <c r="P8371" s="216"/>
      <c r="Q8371" s="217"/>
      <c r="R8371" s="217"/>
      <c r="S8371" s="218"/>
    </row>
    <row r="8372" spans="13:19" ht="15" customHeight="1" x14ac:dyDescent="0.25">
      <c r="M8372"/>
      <c r="N8372"/>
      <c r="O8372"/>
      <c r="P8372" s="216"/>
      <c r="Q8372" s="217"/>
      <c r="R8372" s="217"/>
      <c r="S8372" s="218"/>
    </row>
    <row r="8373" spans="13:19" ht="15" customHeight="1" x14ac:dyDescent="0.25">
      <c r="M8373"/>
      <c r="N8373"/>
      <c r="O8373"/>
      <c r="P8373" s="216"/>
      <c r="Q8373" s="217"/>
      <c r="R8373" s="217"/>
      <c r="S8373" s="218"/>
    </row>
    <row r="8374" spans="13:19" ht="15" customHeight="1" x14ac:dyDescent="0.25">
      <c r="M8374"/>
      <c r="N8374"/>
      <c r="O8374"/>
      <c r="P8374" s="216"/>
      <c r="Q8374" s="217"/>
      <c r="R8374" s="217"/>
      <c r="S8374" s="218"/>
    </row>
    <row r="8375" spans="13:19" ht="15" customHeight="1" x14ac:dyDescent="0.25">
      <c r="M8375"/>
      <c r="N8375"/>
      <c r="O8375"/>
      <c r="P8375" s="216"/>
      <c r="Q8375" s="217"/>
      <c r="R8375" s="217"/>
      <c r="S8375" s="218"/>
    </row>
    <row r="8376" spans="13:19" ht="15" customHeight="1" x14ac:dyDescent="0.25">
      <c r="M8376"/>
      <c r="N8376"/>
      <c r="O8376"/>
      <c r="P8376" s="216"/>
      <c r="Q8376" s="217"/>
      <c r="R8376" s="217"/>
      <c r="S8376" s="218"/>
    </row>
    <row r="8377" spans="13:19" ht="15" customHeight="1" x14ac:dyDescent="0.25">
      <c r="M8377"/>
      <c r="N8377"/>
      <c r="O8377"/>
      <c r="P8377" s="216"/>
      <c r="Q8377" s="217"/>
      <c r="R8377" s="217"/>
      <c r="S8377" s="218"/>
    </row>
    <row r="8378" spans="13:19" ht="15" customHeight="1" x14ac:dyDescent="0.25">
      <c r="M8378"/>
      <c r="N8378"/>
      <c r="O8378"/>
      <c r="P8378" s="216"/>
      <c r="Q8378" s="217"/>
      <c r="R8378" s="217"/>
      <c r="S8378" s="218"/>
    </row>
    <row r="8379" spans="13:19" ht="15" customHeight="1" x14ac:dyDescent="0.25">
      <c r="M8379"/>
      <c r="N8379"/>
      <c r="O8379"/>
      <c r="P8379" s="216"/>
      <c r="Q8379" s="217"/>
      <c r="R8379" s="217"/>
      <c r="S8379" s="218"/>
    </row>
    <row r="8380" spans="13:19" ht="15" customHeight="1" x14ac:dyDescent="0.25">
      <c r="M8380"/>
      <c r="N8380"/>
      <c r="O8380"/>
      <c r="P8380" s="216"/>
      <c r="Q8380" s="217"/>
      <c r="R8380" s="217"/>
      <c r="S8380" s="218"/>
    </row>
    <row r="8381" spans="13:19" ht="15" customHeight="1" x14ac:dyDescent="0.25">
      <c r="M8381"/>
      <c r="N8381"/>
      <c r="O8381"/>
      <c r="P8381" s="216"/>
      <c r="Q8381" s="217"/>
      <c r="R8381" s="217"/>
      <c r="S8381" s="218"/>
    </row>
    <row r="8382" spans="13:19" ht="15" customHeight="1" x14ac:dyDescent="0.25">
      <c r="M8382"/>
      <c r="N8382"/>
      <c r="O8382"/>
      <c r="P8382" s="216"/>
      <c r="Q8382" s="217"/>
      <c r="R8382" s="217"/>
      <c r="S8382" s="218"/>
    </row>
    <row r="8383" spans="13:19" ht="15" customHeight="1" x14ac:dyDescent="0.25">
      <c r="M8383"/>
      <c r="N8383"/>
      <c r="O8383"/>
      <c r="P8383" s="216"/>
      <c r="Q8383" s="217"/>
      <c r="R8383" s="217"/>
      <c r="S8383" s="218"/>
    </row>
    <row r="8384" spans="13:19" ht="15" customHeight="1" x14ac:dyDescent="0.25">
      <c r="M8384"/>
      <c r="N8384"/>
      <c r="O8384"/>
      <c r="P8384" s="216"/>
      <c r="Q8384" s="217"/>
      <c r="R8384" s="217"/>
      <c r="S8384" s="218"/>
    </row>
    <row r="8385" spans="13:19" ht="15" customHeight="1" x14ac:dyDescent="0.25">
      <c r="M8385"/>
      <c r="N8385"/>
      <c r="O8385"/>
      <c r="P8385" s="216"/>
      <c r="Q8385" s="217"/>
      <c r="R8385" s="217"/>
      <c r="S8385" s="218"/>
    </row>
    <row r="8386" spans="13:19" ht="15" customHeight="1" x14ac:dyDescent="0.25">
      <c r="M8386"/>
      <c r="N8386"/>
      <c r="O8386"/>
      <c r="P8386" s="216"/>
      <c r="Q8386" s="217"/>
      <c r="R8386" s="217"/>
      <c r="S8386" s="218"/>
    </row>
    <row r="8387" spans="13:19" ht="15" customHeight="1" x14ac:dyDescent="0.25">
      <c r="M8387"/>
      <c r="N8387"/>
      <c r="O8387"/>
      <c r="P8387" s="216"/>
      <c r="Q8387" s="217"/>
      <c r="R8387" s="217"/>
      <c r="S8387" s="218"/>
    </row>
    <row r="8388" spans="13:19" ht="15" customHeight="1" x14ac:dyDescent="0.25">
      <c r="M8388"/>
      <c r="N8388"/>
      <c r="O8388"/>
      <c r="P8388" s="216"/>
      <c r="Q8388" s="217"/>
      <c r="R8388" s="217"/>
      <c r="S8388" s="218"/>
    </row>
    <row r="8389" spans="13:19" ht="15" customHeight="1" x14ac:dyDescent="0.25">
      <c r="M8389"/>
      <c r="N8389"/>
      <c r="O8389"/>
      <c r="P8389" s="216"/>
      <c r="Q8389" s="217"/>
      <c r="R8389" s="217"/>
      <c r="S8389" s="218"/>
    </row>
    <row r="8390" spans="13:19" ht="15" customHeight="1" x14ac:dyDescent="0.25">
      <c r="M8390"/>
      <c r="N8390"/>
      <c r="O8390"/>
      <c r="P8390" s="216"/>
      <c r="Q8390" s="217"/>
      <c r="R8390" s="217"/>
      <c r="S8390" s="218"/>
    </row>
    <row r="8391" spans="13:19" ht="15" customHeight="1" x14ac:dyDescent="0.25">
      <c r="M8391"/>
      <c r="N8391"/>
      <c r="O8391"/>
      <c r="P8391" s="216"/>
      <c r="Q8391" s="217"/>
      <c r="R8391" s="217"/>
      <c r="S8391" s="218"/>
    </row>
    <row r="8392" spans="13:19" ht="15" customHeight="1" x14ac:dyDescent="0.25">
      <c r="M8392"/>
      <c r="N8392"/>
      <c r="O8392"/>
      <c r="P8392" s="216"/>
      <c r="Q8392" s="217"/>
      <c r="R8392" s="217"/>
      <c r="S8392" s="218"/>
    </row>
    <row r="8393" spans="13:19" ht="15" customHeight="1" x14ac:dyDescent="0.25">
      <c r="M8393"/>
      <c r="N8393"/>
      <c r="O8393"/>
      <c r="P8393" s="216"/>
      <c r="Q8393" s="217"/>
      <c r="R8393" s="217"/>
      <c r="S8393" s="218"/>
    </row>
    <row r="8394" spans="13:19" ht="15" customHeight="1" x14ac:dyDescent="0.25">
      <c r="M8394"/>
      <c r="N8394"/>
      <c r="O8394"/>
      <c r="P8394" s="216"/>
      <c r="Q8394" s="217"/>
      <c r="R8394" s="217"/>
      <c r="S8394" s="218"/>
    </row>
    <row r="8395" spans="13:19" ht="15" customHeight="1" x14ac:dyDescent="0.25">
      <c r="M8395"/>
      <c r="N8395"/>
      <c r="O8395"/>
      <c r="P8395" s="216"/>
      <c r="Q8395" s="217"/>
      <c r="R8395" s="217"/>
      <c r="S8395" s="218"/>
    </row>
    <row r="8396" spans="13:19" ht="15" customHeight="1" x14ac:dyDescent="0.25">
      <c r="M8396"/>
      <c r="N8396"/>
      <c r="O8396"/>
      <c r="P8396" s="216"/>
      <c r="Q8396" s="217"/>
      <c r="R8396" s="217"/>
      <c r="S8396" s="218"/>
    </row>
    <row r="8397" spans="13:19" ht="15" customHeight="1" x14ac:dyDescent="0.25">
      <c r="M8397"/>
      <c r="N8397"/>
      <c r="O8397"/>
      <c r="P8397" s="216"/>
      <c r="Q8397" s="217"/>
      <c r="R8397" s="217"/>
      <c r="S8397" s="218"/>
    </row>
    <row r="8398" spans="13:19" ht="15" customHeight="1" x14ac:dyDescent="0.25">
      <c r="M8398"/>
      <c r="N8398"/>
      <c r="O8398"/>
      <c r="P8398" s="216"/>
      <c r="Q8398" s="217"/>
      <c r="R8398" s="217"/>
      <c r="S8398" s="218"/>
    </row>
    <row r="8399" spans="13:19" ht="15" customHeight="1" x14ac:dyDescent="0.25">
      <c r="M8399"/>
      <c r="N8399"/>
      <c r="O8399"/>
      <c r="P8399" s="216"/>
      <c r="Q8399" s="217"/>
      <c r="R8399" s="217"/>
      <c r="S8399" s="218"/>
    </row>
    <row r="8400" spans="13:19" ht="15" customHeight="1" x14ac:dyDescent="0.25">
      <c r="M8400"/>
      <c r="N8400"/>
      <c r="O8400"/>
      <c r="P8400" s="216"/>
      <c r="Q8400" s="217"/>
      <c r="R8400" s="217"/>
      <c r="S8400" s="218"/>
    </row>
    <row r="8401" spans="13:19" ht="15" customHeight="1" x14ac:dyDescent="0.25">
      <c r="M8401"/>
      <c r="N8401"/>
      <c r="O8401"/>
      <c r="P8401" s="216"/>
      <c r="Q8401" s="217"/>
      <c r="R8401" s="217"/>
      <c r="S8401" s="218"/>
    </row>
    <row r="8402" spans="13:19" ht="15" customHeight="1" x14ac:dyDescent="0.25">
      <c r="M8402"/>
      <c r="N8402"/>
      <c r="O8402"/>
      <c r="P8402" s="216"/>
      <c r="Q8402" s="217"/>
      <c r="R8402" s="217"/>
      <c r="S8402" s="218"/>
    </row>
    <row r="8403" spans="13:19" ht="15" customHeight="1" x14ac:dyDescent="0.25">
      <c r="M8403"/>
      <c r="N8403"/>
      <c r="O8403"/>
      <c r="P8403" s="216"/>
      <c r="Q8403" s="217"/>
      <c r="R8403" s="217"/>
      <c r="S8403" s="218"/>
    </row>
    <row r="8404" spans="13:19" ht="15" customHeight="1" x14ac:dyDescent="0.25">
      <c r="M8404"/>
      <c r="N8404"/>
      <c r="O8404"/>
      <c r="P8404" s="216"/>
      <c r="Q8404" s="217"/>
      <c r="R8404" s="217"/>
      <c r="S8404" s="218"/>
    </row>
    <row r="8405" spans="13:19" ht="15" customHeight="1" x14ac:dyDescent="0.25">
      <c r="M8405"/>
      <c r="N8405"/>
      <c r="O8405"/>
      <c r="P8405" s="216"/>
      <c r="Q8405" s="217"/>
      <c r="R8405" s="217"/>
      <c r="S8405" s="218"/>
    </row>
    <row r="8406" spans="13:19" ht="15" customHeight="1" x14ac:dyDescent="0.25">
      <c r="M8406"/>
      <c r="N8406"/>
      <c r="O8406"/>
      <c r="P8406" s="216"/>
      <c r="Q8406" s="217"/>
      <c r="R8406" s="217"/>
      <c r="S8406" s="218"/>
    </row>
    <row r="8407" spans="13:19" ht="15" customHeight="1" x14ac:dyDescent="0.25">
      <c r="M8407"/>
      <c r="N8407"/>
      <c r="O8407"/>
      <c r="P8407" s="216"/>
      <c r="Q8407" s="217"/>
      <c r="R8407" s="217"/>
      <c r="S8407" s="218"/>
    </row>
    <row r="8408" spans="13:19" ht="15" customHeight="1" x14ac:dyDescent="0.25">
      <c r="M8408"/>
      <c r="N8408"/>
      <c r="O8408"/>
      <c r="P8408" s="216"/>
      <c r="Q8408" s="217"/>
      <c r="R8408" s="217"/>
      <c r="S8408" s="218"/>
    </row>
    <row r="8409" spans="13:19" ht="15" customHeight="1" x14ac:dyDescent="0.25">
      <c r="M8409"/>
      <c r="N8409"/>
      <c r="O8409"/>
      <c r="P8409" s="216"/>
      <c r="Q8409" s="217"/>
      <c r="R8409" s="217"/>
      <c r="S8409" s="218"/>
    </row>
    <row r="8410" spans="13:19" ht="15" customHeight="1" x14ac:dyDescent="0.25">
      <c r="M8410"/>
      <c r="N8410"/>
      <c r="O8410"/>
      <c r="P8410" s="216"/>
      <c r="Q8410" s="217"/>
      <c r="R8410" s="217"/>
      <c r="S8410" s="218"/>
    </row>
    <row r="8411" spans="13:19" ht="15" customHeight="1" x14ac:dyDescent="0.25">
      <c r="M8411"/>
      <c r="N8411"/>
      <c r="O8411"/>
      <c r="P8411" s="216"/>
      <c r="Q8411" s="217"/>
      <c r="R8411" s="217"/>
      <c r="S8411" s="218"/>
    </row>
    <row r="8412" spans="13:19" ht="15" customHeight="1" x14ac:dyDescent="0.25">
      <c r="M8412"/>
      <c r="N8412"/>
      <c r="O8412"/>
      <c r="P8412" s="216"/>
      <c r="Q8412" s="217"/>
      <c r="R8412" s="217"/>
      <c r="S8412" s="218"/>
    </row>
    <row r="8413" spans="13:19" ht="15" customHeight="1" x14ac:dyDescent="0.25">
      <c r="M8413"/>
      <c r="N8413"/>
      <c r="O8413"/>
      <c r="P8413" s="216"/>
      <c r="Q8413" s="217"/>
      <c r="R8413" s="217"/>
      <c r="S8413" s="218"/>
    </row>
    <row r="8414" spans="13:19" ht="15" customHeight="1" x14ac:dyDescent="0.25">
      <c r="M8414"/>
      <c r="N8414"/>
      <c r="O8414"/>
      <c r="P8414" s="216"/>
      <c r="Q8414" s="217"/>
      <c r="R8414" s="217"/>
      <c r="S8414" s="218"/>
    </row>
    <row r="8415" spans="13:19" ht="15" customHeight="1" x14ac:dyDescent="0.25">
      <c r="M8415"/>
      <c r="N8415"/>
      <c r="O8415"/>
      <c r="P8415" s="216"/>
      <c r="Q8415" s="217"/>
      <c r="R8415" s="217"/>
      <c r="S8415" s="218"/>
    </row>
    <row r="8416" spans="13:19" ht="15" customHeight="1" x14ac:dyDescent="0.25">
      <c r="M8416"/>
      <c r="N8416"/>
      <c r="O8416"/>
      <c r="P8416" s="216"/>
      <c r="Q8416" s="217"/>
      <c r="R8416" s="217"/>
      <c r="S8416" s="218"/>
    </row>
    <row r="8417" spans="13:19" ht="15" customHeight="1" x14ac:dyDescent="0.25">
      <c r="M8417"/>
      <c r="N8417"/>
      <c r="O8417"/>
      <c r="P8417" s="216"/>
      <c r="Q8417" s="217"/>
      <c r="R8417" s="217"/>
      <c r="S8417" s="218"/>
    </row>
    <row r="8418" spans="13:19" ht="15" customHeight="1" x14ac:dyDescent="0.25">
      <c r="M8418"/>
      <c r="N8418"/>
      <c r="O8418"/>
      <c r="P8418" s="216"/>
      <c r="Q8418" s="217"/>
      <c r="R8418" s="217"/>
      <c r="S8418" s="218"/>
    </row>
    <row r="8419" spans="13:19" ht="15" customHeight="1" x14ac:dyDescent="0.25">
      <c r="M8419"/>
      <c r="N8419"/>
      <c r="O8419"/>
      <c r="P8419" s="216"/>
      <c r="Q8419" s="217"/>
      <c r="R8419" s="217"/>
      <c r="S8419" s="218"/>
    </row>
    <row r="8420" spans="13:19" ht="15" customHeight="1" x14ac:dyDescent="0.25">
      <c r="M8420"/>
      <c r="N8420"/>
      <c r="O8420"/>
      <c r="P8420" s="216"/>
      <c r="Q8420" s="217"/>
      <c r="R8420" s="217"/>
      <c r="S8420" s="218"/>
    </row>
    <row r="8421" spans="13:19" ht="15" customHeight="1" x14ac:dyDescent="0.25">
      <c r="M8421"/>
      <c r="N8421"/>
      <c r="O8421"/>
      <c r="P8421" s="216"/>
      <c r="Q8421" s="217"/>
      <c r="R8421" s="217"/>
      <c r="S8421" s="218"/>
    </row>
    <row r="8422" spans="13:19" ht="15" customHeight="1" x14ac:dyDescent="0.25">
      <c r="M8422"/>
      <c r="N8422"/>
      <c r="O8422"/>
      <c r="P8422" s="216"/>
      <c r="Q8422" s="217"/>
      <c r="R8422" s="217"/>
      <c r="S8422" s="218"/>
    </row>
    <row r="8423" spans="13:19" ht="15" customHeight="1" x14ac:dyDescent="0.25">
      <c r="M8423"/>
      <c r="N8423"/>
      <c r="O8423"/>
      <c r="P8423" s="216"/>
      <c r="Q8423" s="217"/>
      <c r="R8423" s="217"/>
      <c r="S8423" s="218"/>
    </row>
    <row r="8424" spans="13:19" ht="15" customHeight="1" x14ac:dyDescent="0.25">
      <c r="M8424"/>
      <c r="N8424"/>
      <c r="O8424"/>
      <c r="P8424" s="216"/>
      <c r="Q8424" s="217"/>
      <c r="R8424" s="217"/>
      <c r="S8424" s="218"/>
    </row>
    <row r="8425" spans="13:19" ht="15" customHeight="1" x14ac:dyDescent="0.25">
      <c r="M8425"/>
      <c r="N8425"/>
      <c r="O8425"/>
      <c r="P8425" s="216"/>
      <c r="Q8425" s="217"/>
      <c r="R8425" s="217"/>
      <c r="S8425" s="218"/>
    </row>
    <row r="8426" spans="13:19" ht="15" customHeight="1" x14ac:dyDescent="0.25">
      <c r="M8426"/>
      <c r="N8426"/>
      <c r="O8426"/>
      <c r="P8426" s="216"/>
      <c r="Q8426" s="217"/>
      <c r="R8426" s="217"/>
      <c r="S8426" s="218"/>
    </row>
    <row r="8427" spans="13:19" ht="15" customHeight="1" x14ac:dyDescent="0.25">
      <c r="M8427"/>
      <c r="N8427"/>
      <c r="O8427"/>
      <c r="P8427" s="216"/>
      <c r="Q8427" s="217"/>
      <c r="R8427" s="217"/>
      <c r="S8427" s="218"/>
    </row>
    <row r="8428" spans="13:19" ht="15" customHeight="1" x14ac:dyDescent="0.25">
      <c r="M8428"/>
      <c r="N8428"/>
      <c r="O8428"/>
      <c r="P8428" s="216"/>
      <c r="Q8428" s="217"/>
      <c r="R8428" s="217"/>
      <c r="S8428" s="218"/>
    </row>
    <row r="8429" spans="13:19" ht="15" customHeight="1" x14ac:dyDescent="0.25">
      <c r="M8429"/>
      <c r="N8429"/>
      <c r="O8429"/>
      <c r="P8429" s="216"/>
      <c r="Q8429" s="217"/>
      <c r="R8429" s="217"/>
      <c r="S8429" s="218"/>
    </row>
    <row r="8430" spans="13:19" ht="15" customHeight="1" x14ac:dyDescent="0.25">
      <c r="M8430"/>
      <c r="N8430"/>
      <c r="O8430"/>
      <c r="P8430" s="216"/>
      <c r="Q8430" s="217"/>
      <c r="R8430" s="217"/>
      <c r="S8430" s="218"/>
    </row>
    <row r="8431" spans="13:19" ht="15" customHeight="1" x14ac:dyDescent="0.25">
      <c r="M8431"/>
      <c r="N8431"/>
      <c r="O8431"/>
      <c r="P8431" s="216"/>
      <c r="Q8431" s="217"/>
      <c r="R8431" s="217"/>
      <c r="S8431" s="218"/>
    </row>
    <row r="8432" spans="13:19" ht="15" customHeight="1" x14ac:dyDescent="0.25">
      <c r="M8432"/>
      <c r="N8432"/>
      <c r="O8432"/>
      <c r="P8432" s="216"/>
      <c r="Q8432" s="217"/>
      <c r="R8432" s="217"/>
      <c r="S8432" s="218"/>
    </row>
    <row r="8433" spans="13:19" ht="15" customHeight="1" x14ac:dyDescent="0.25">
      <c r="M8433"/>
      <c r="N8433"/>
      <c r="O8433"/>
      <c r="P8433" s="216"/>
      <c r="Q8433" s="217"/>
      <c r="R8433" s="217"/>
      <c r="S8433" s="218"/>
    </row>
    <row r="8434" spans="13:19" ht="15" customHeight="1" x14ac:dyDescent="0.25">
      <c r="M8434"/>
      <c r="N8434"/>
      <c r="O8434"/>
      <c r="P8434" s="216"/>
      <c r="Q8434" s="217"/>
      <c r="R8434" s="217"/>
      <c r="S8434" s="218"/>
    </row>
    <row r="8435" spans="13:19" ht="15" customHeight="1" x14ac:dyDescent="0.25">
      <c r="M8435"/>
      <c r="N8435"/>
      <c r="O8435"/>
      <c r="P8435" s="216"/>
      <c r="Q8435" s="217"/>
      <c r="R8435" s="217"/>
      <c r="S8435" s="218"/>
    </row>
    <row r="8436" spans="13:19" ht="15" customHeight="1" x14ac:dyDescent="0.25">
      <c r="M8436"/>
      <c r="N8436"/>
      <c r="O8436"/>
      <c r="P8436" s="216"/>
      <c r="Q8436" s="217"/>
      <c r="R8436" s="217"/>
      <c r="S8436" s="218"/>
    </row>
    <row r="8437" spans="13:19" ht="15" customHeight="1" x14ac:dyDescent="0.25">
      <c r="M8437"/>
      <c r="N8437"/>
      <c r="O8437"/>
      <c r="P8437" s="216"/>
      <c r="Q8437" s="217"/>
      <c r="R8437" s="217"/>
      <c r="S8437" s="218"/>
    </row>
    <row r="8438" spans="13:19" ht="15" customHeight="1" x14ac:dyDescent="0.25">
      <c r="M8438"/>
      <c r="N8438"/>
      <c r="O8438"/>
      <c r="P8438" s="216"/>
      <c r="Q8438" s="217"/>
      <c r="R8438" s="217"/>
      <c r="S8438" s="218"/>
    </row>
    <row r="8439" spans="13:19" ht="15" customHeight="1" x14ac:dyDescent="0.25">
      <c r="M8439"/>
      <c r="N8439"/>
      <c r="O8439"/>
      <c r="P8439" s="216"/>
      <c r="Q8439" s="217"/>
      <c r="R8439" s="217"/>
      <c r="S8439" s="218"/>
    </row>
    <row r="8440" spans="13:19" ht="15" customHeight="1" x14ac:dyDescent="0.25">
      <c r="M8440"/>
      <c r="N8440"/>
      <c r="O8440"/>
      <c r="P8440" s="216"/>
      <c r="Q8440" s="217"/>
      <c r="R8440" s="217"/>
      <c r="S8440" s="218"/>
    </row>
    <row r="8441" spans="13:19" ht="15" customHeight="1" x14ac:dyDescent="0.25">
      <c r="M8441"/>
      <c r="N8441"/>
      <c r="O8441"/>
      <c r="P8441" s="216"/>
      <c r="Q8441" s="217"/>
      <c r="R8441" s="217"/>
      <c r="S8441" s="218"/>
    </row>
    <row r="8442" spans="13:19" ht="15" customHeight="1" x14ac:dyDescent="0.25">
      <c r="M8442"/>
      <c r="N8442"/>
      <c r="O8442"/>
      <c r="P8442" s="216"/>
      <c r="Q8442" s="217"/>
      <c r="R8442" s="217"/>
      <c r="S8442" s="218"/>
    </row>
    <row r="8443" spans="13:19" ht="15" customHeight="1" x14ac:dyDescent="0.25">
      <c r="M8443"/>
      <c r="N8443"/>
      <c r="O8443"/>
      <c r="P8443" s="216"/>
      <c r="Q8443" s="217"/>
      <c r="R8443" s="217"/>
      <c r="S8443" s="218"/>
    </row>
    <row r="8444" spans="13:19" ht="15" customHeight="1" x14ac:dyDescent="0.25">
      <c r="M8444"/>
      <c r="N8444"/>
      <c r="O8444"/>
      <c r="P8444" s="216"/>
      <c r="Q8444" s="217"/>
      <c r="R8444" s="217"/>
      <c r="S8444" s="218"/>
    </row>
    <row r="8445" spans="13:19" ht="15" customHeight="1" x14ac:dyDescent="0.25">
      <c r="M8445"/>
      <c r="N8445"/>
      <c r="O8445"/>
      <c r="P8445" s="216"/>
      <c r="Q8445" s="217"/>
      <c r="R8445" s="217"/>
      <c r="S8445" s="218"/>
    </row>
    <row r="8446" spans="13:19" ht="15" customHeight="1" x14ac:dyDescent="0.25">
      <c r="M8446"/>
      <c r="N8446"/>
      <c r="O8446"/>
      <c r="P8446" s="216"/>
      <c r="Q8446" s="217"/>
      <c r="R8446" s="217"/>
      <c r="S8446" s="218"/>
    </row>
    <row r="8447" spans="13:19" ht="15" customHeight="1" x14ac:dyDescent="0.25">
      <c r="M8447"/>
      <c r="N8447"/>
      <c r="O8447"/>
      <c r="P8447" s="216"/>
      <c r="Q8447" s="217"/>
      <c r="R8447" s="217"/>
      <c r="S8447" s="218"/>
    </row>
    <row r="8448" spans="13:19" ht="15" customHeight="1" x14ac:dyDescent="0.25">
      <c r="M8448"/>
      <c r="N8448"/>
      <c r="O8448"/>
      <c r="P8448" s="216"/>
      <c r="Q8448" s="217"/>
      <c r="R8448" s="217"/>
      <c r="S8448" s="218"/>
    </row>
    <row r="8449" spans="13:19" ht="15" customHeight="1" x14ac:dyDescent="0.25">
      <c r="M8449"/>
      <c r="N8449"/>
      <c r="O8449"/>
      <c r="P8449" s="216"/>
      <c r="Q8449" s="217"/>
      <c r="R8449" s="217"/>
      <c r="S8449" s="218"/>
    </row>
    <row r="8450" spans="13:19" ht="15" customHeight="1" x14ac:dyDescent="0.25">
      <c r="M8450"/>
      <c r="N8450"/>
      <c r="O8450"/>
      <c r="P8450" s="216"/>
      <c r="Q8450" s="217"/>
      <c r="R8450" s="217"/>
      <c r="S8450" s="218"/>
    </row>
    <row r="8451" spans="13:19" ht="15" customHeight="1" x14ac:dyDescent="0.25">
      <c r="M8451"/>
      <c r="N8451"/>
      <c r="O8451"/>
      <c r="P8451" s="216"/>
      <c r="Q8451" s="217"/>
      <c r="R8451" s="217"/>
      <c r="S8451" s="218"/>
    </row>
    <row r="8452" spans="13:19" ht="15" customHeight="1" x14ac:dyDescent="0.25">
      <c r="M8452"/>
      <c r="N8452"/>
      <c r="O8452"/>
      <c r="P8452" s="216"/>
      <c r="Q8452" s="217"/>
      <c r="R8452" s="217"/>
      <c r="S8452" s="218"/>
    </row>
    <row r="8453" spans="13:19" ht="15" customHeight="1" x14ac:dyDescent="0.25">
      <c r="M8453"/>
      <c r="N8453"/>
      <c r="O8453"/>
      <c r="P8453" s="216"/>
      <c r="Q8453" s="217"/>
      <c r="R8453" s="217"/>
      <c r="S8453" s="218"/>
    </row>
    <row r="8454" spans="13:19" ht="15" customHeight="1" x14ac:dyDescent="0.25">
      <c r="M8454"/>
      <c r="N8454"/>
      <c r="O8454"/>
      <c r="P8454" s="216"/>
      <c r="Q8454" s="217"/>
      <c r="R8454" s="217"/>
      <c r="S8454" s="218"/>
    </row>
    <row r="8455" spans="13:19" ht="15" customHeight="1" x14ac:dyDescent="0.25">
      <c r="M8455"/>
      <c r="N8455"/>
      <c r="O8455"/>
      <c r="P8455" s="216"/>
      <c r="Q8455" s="217"/>
      <c r="R8455" s="217"/>
      <c r="S8455" s="218"/>
    </row>
    <row r="8456" spans="13:19" ht="15" customHeight="1" x14ac:dyDescent="0.25">
      <c r="M8456"/>
      <c r="N8456"/>
      <c r="O8456"/>
      <c r="P8456" s="216"/>
      <c r="Q8456" s="217"/>
      <c r="R8456" s="217"/>
      <c r="S8456" s="218"/>
    </row>
    <row r="8457" spans="13:19" ht="15" customHeight="1" x14ac:dyDescent="0.25">
      <c r="M8457"/>
      <c r="N8457"/>
      <c r="O8457"/>
      <c r="P8457" s="216"/>
      <c r="Q8457" s="217"/>
      <c r="R8457" s="217"/>
      <c r="S8457" s="218"/>
    </row>
    <row r="8458" spans="13:19" ht="15" customHeight="1" x14ac:dyDescent="0.25">
      <c r="M8458"/>
      <c r="N8458"/>
      <c r="O8458"/>
      <c r="P8458" s="216"/>
      <c r="Q8458" s="217"/>
      <c r="R8458" s="217"/>
      <c r="S8458" s="218"/>
    </row>
    <row r="8459" spans="13:19" ht="15" customHeight="1" x14ac:dyDescent="0.25">
      <c r="M8459"/>
      <c r="N8459"/>
      <c r="O8459"/>
      <c r="P8459" s="216"/>
      <c r="Q8459" s="217"/>
      <c r="R8459" s="217"/>
      <c r="S8459" s="218"/>
    </row>
    <row r="8460" spans="13:19" ht="15" customHeight="1" x14ac:dyDescent="0.25">
      <c r="M8460"/>
      <c r="N8460"/>
      <c r="O8460"/>
      <c r="P8460" s="216"/>
      <c r="Q8460" s="217"/>
      <c r="R8460" s="217"/>
      <c r="S8460" s="218"/>
    </row>
    <row r="8461" spans="13:19" ht="15" customHeight="1" x14ac:dyDescent="0.25">
      <c r="M8461"/>
      <c r="N8461"/>
      <c r="O8461"/>
      <c r="P8461" s="216"/>
      <c r="Q8461" s="217"/>
      <c r="R8461" s="217"/>
      <c r="S8461" s="218"/>
    </row>
    <row r="8462" spans="13:19" ht="15" customHeight="1" x14ac:dyDescent="0.25">
      <c r="M8462"/>
      <c r="N8462"/>
      <c r="O8462"/>
      <c r="P8462" s="216"/>
      <c r="Q8462" s="217"/>
      <c r="R8462" s="217"/>
      <c r="S8462" s="218"/>
    </row>
    <row r="8463" spans="13:19" ht="15" customHeight="1" x14ac:dyDescent="0.25">
      <c r="M8463"/>
      <c r="N8463"/>
      <c r="O8463"/>
      <c r="P8463" s="216"/>
      <c r="Q8463" s="217"/>
      <c r="R8463" s="217"/>
      <c r="S8463" s="218"/>
    </row>
    <row r="8464" spans="13:19" ht="15" customHeight="1" x14ac:dyDescent="0.25">
      <c r="M8464"/>
      <c r="N8464"/>
      <c r="O8464"/>
      <c r="P8464" s="216"/>
      <c r="Q8464" s="217"/>
      <c r="R8464" s="217"/>
      <c r="S8464" s="218"/>
    </row>
    <row r="8465" spans="13:19" ht="15" customHeight="1" x14ac:dyDescent="0.25">
      <c r="M8465"/>
      <c r="N8465"/>
      <c r="O8465"/>
      <c r="P8465" s="216"/>
      <c r="Q8465" s="217"/>
      <c r="R8465" s="217"/>
      <c r="S8465" s="218"/>
    </row>
    <row r="8466" spans="13:19" ht="15" customHeight="1" x14ac:dyDescent="0.25">
      <c r="M8466"/>
      <c r="N8466"/>
      <c r="O8466"/>
      <c r="P8466" s="216"/>
      <c r="Q8466" s="217"/>
      <c r="R8466" s="217"/>
      <c r="S8466" s="218"/>
    </row>
    <row r="8467" spans="13:19" ht="15" customHeight="1" x14ac:dyDescent="0.25">
      <c r="M8467"/>
      <c r="N8467"/>
      <c r="O8467"/>
      <c r="P8467" s="216"/>
      <c r="Q8467" s="217"/>
      <c r="R8467" s="217"/>
      <c r="S8467" s="218"/>
    </row>
    <row r="8468" spans="13:19" ht="15" customHeight="1" x14ac:dyDescent="0.25">
      <c r="M8468"/>
      <c r="N8468"/>
      <c r="O8468"/>
      <c r="P8468" s="216"/>
      <c r="Q8468" s="217"/>
      <c r="R8468" s="217"/>
      <c r="S8468" s="218"/>
    </row>
    <row r="8469" spans="13:19" ht="15" customHeight="1" x14ac:dyDescent="0.25">
      <c r="M8469"/>
      <c r="N8469"/>
      <c r="O8469"/>
      <c r="P8469" s="216"/>
      <c r="Q8469" s="217"/>
      <c r="R8469" s="217"/>
      <c r="S8469" s="218"/>
    </row>
    <row r="8470" spans="13:19" ht="15" customHeight="1" x14ac:dyDescent="0.25">
      <c r="M8470"/>
      <c r="N8470"/>
      <c r="O8470"/>
      <c r="P8470" s="216"/>
      <c r="Q8470" s="217"/>
      <c r="R8470" s="217"/>
      <c r="S8470" s="218"/>
    </row>
    <row r="8471" spans="13:19" ht="15" customHeight="1" x14ac:dyDescent="0.25">
      <c r="M8471"/>
      <c r="N8471"/>
      <c r="O8471"/>
      <c r="P8471" s="216"/>
      <c r="Q8471" s="217"/>
      <c r="R8471" s="217"/>
      <c r="S8471" s="218"/>
    </row>
    <row r="8472" spans="13:19" ht="15" customHeight="1" x14ac:dyDescent="0.25">
      <c r="M8472"/>
      <c r="N8472"/>
      <c r="O8472"/>
      <c r="P8472" s="216"/>
      <c r="Q8472" s="217"/>
      <c r="R8472" s="217"/>
      <c r="S8472" s="218"/>
    </row>
    <row r="8473" spans="13:19" ht="15" customHeight="1" x14ac:dyDescent="0.25">
      <c r="M8473"/>
      <c r="N8473"/>
      <c r="O8473"/>
      <c r="P8473" s="216"/>
      <c r="Q8473" s="217"/>
      <c r="R8473" s="217"/>
      <c r="S8473" s="218"/>
    </row>
    <row r="8474" spans="13:19" ht="15" customHeight="1" x14ac:dyDescent="0.25">
      <c r="M8474"/>
      <c r="N8474"/>
      <c r="O8474"/>
      <c r="P8474" s="216"/>
      <c r="Q8474" s="217"/>
      <c r="R8474" s="217"/>
      <c r="S8474" s="218"/>
    </row>
    <row r="8475" spans="13:19" ht="15" customHeight="1" x14ac:dyDescent="0.25">
      <c r="M8475"/>
      <c r="N8475"/>
      <c r="O8475"/>
      <c r="P8475" s="216"/>
      <c r="Q8475" s="217"/>
      <c r="R8475" s="217"/>
      <c r="S8475" s="218"/>
    </row>
    <row r="8476" spans="13:19" ht="15" customHeight="1" x14ac:dyDescent="0.25">
      <c r="M8476"/>
      <c r="N8476"/>
      <c r="O8476"/>
      <c r="P8476" s="216"/>
      <c r="Q8476" s="217"/>
      <c r="R8476" s="217"/>
      <c r="S8476" s="218"/>
    </row>
    <row r="8477" spans="13:19" ht="15" customHeight="1" x14ac:dyDescent="0.25">
      <c r="M8477"/>
      <c r="N8477"/>
      <c r="O8477"/>
      <c r="P8477" s="216"/>
      <c r="Q8477" s="217"/>
      <c r="R8477" s="217"/>
      <c r="S8477" s="218"/>
    </row>
    <row r="8478" spans="13:19" ht="15" customHeight="1" x14ac:dyDescent="0.25">
      <c r="M8478"/>
      <c r="N8478"/>
      <c r="O8478"/>
      <c r="P8478" s="216"/>
      <c r="Q8478" s="217"/>
      <c r="R8478" s="217"/>
      <c r="S8478" s="218"/>
    </row>
    <row r="8479" spans="13:19" ht="15" customHeight="1" x14ac:dyDescent="0.25">
      <c r="M8479"/>
      <c r="N8479"/>
      <c r="O8479"/>
      <c r="P8479" s="216"/>
      <c r="Q8479" s="217"/>
      <c r="R8479" s="217"/>
      <c r="S8479" s="218"/>
    </row>
    <row r="8480" spans="13:19" ht="15" customHeight="1" x14ac:dyDescent="0.25">
      <c r="M8480"/>
      <c r="N8480"/>
      <c r="O8480"/>
      <c r="P8480" s="216"/>
      <c r="Q8480" s="217"/>
      <c r="R8480" s="217"/>
      <c r="S8480" s="218"/>
    </row>
    <row r="8481" spans="13:19" ht="15" customHeight="1" x14ac:dyDescent="0.25">
      <c r="M8481"/>
      <c r="N8481"/>
      <c r="O8481"/>
      <c r="P8481" s="216"/>
      <c r="Q8481" s="217"/>
      <c r="R8481" s="217"/>
      <c r="S8481" s="218"/>
    </row>
    <row r="8482" spans="13:19" ht="15" customHeight="1" x14ac:dyDescent="0.25">
      <c r="M8482"/>
      <c r="N8482"/>
      <c r="O8482"/>
      <c r="P8482" s="216"/>
      <c r="Q8482" s="217"/>
      <c r="R8482" s="217"/>
      <c r="S8482" s="218"/>
    </row>
    <row r="8483" spans="13:19" ht="15" customHeight="1" x14ac:dyDescent="0.25">
      <c r="M8483"/>
      <c r="N8483"/>
      <c r="O8483"/>
      <c r="P8483" s="216"/>
      <c r="Q8483" s="217"/>
      <c r="R8483" s="217"/>
      <c r="S8483" s="218"/>
    </row>
    <row r="8484" spans="13:19" ht="15" customHeight="1" x14ac:dyDescent="0.25">
      <c r="M8484"/>
      <c r="N8484"/>
      <c r="O8484"/>
      <c r="P8484" s="216"/>
      <c r="Q8484" s="217"/>
      <c r="R8484" s="217"/>
      <c r="S8484" s="218"/>
    </row>
    <row r="8485" spans="13:19" ht="15" customHeight="1" x14ac:dyDescent="0.25">
      <c r="M8485"/>
      <c r="N8485"/>
      <c r="O8485"/>
      <c r="P8485" s="216"/>
      <c r="Q8485" s="217"/>
      <c r="R8485" s="217"/>
      <c r="S8485" s="218"/>
    </row>
    <row r="8486" spans="13:19" ht="15" customHeight="1" x14ac:dyDescent="0.25">
      <c r="M8486"/>
      <c r="N8486"/>
      <c r="O8486"/>
      <c r="P8486" s="216"/>
      <c r="Q8486" s="217"/>
      <c r="R8486" s="217"/>
      <c r="S8486" s="218"/>
    </row>
    <row r="8487" spans="13:19" ht="15" customHeight="1" x14ac:dyDescent="0.25">
      <c r="M8487"/>
      <c r="N8487"/>
      <c r="O8487"/>
      <c r="P8487" s="216"/>
      <c r="Q8487" s="217"/>
      <c r="R8487" s="217"/>
      <c r="S8487" s="218"/>
    </row>
    <row r="8488" spans="13:19" ht="15" customHeight="1" x14ac:dyDescent="0.25">
      <c r="M8488"/>
      <c r="N8488"/>
      <c r="O8488"/>
      <c r="P8488" s="216"/>
      <c r="Q8488" s="217"/>
      <c r="R8488" s="217"/>
      <c r="S8488" s="218"/>
    </row>
    <row r="8489" spans="13:19" ht="15" customHeight="1" x14ac:dyDescent="0.25">
      <c r="M8489"/>
      <c r="N8489"/>
      <c r="O8489"/>
      <c r="P8489" s="216"/>
      <c r="Q8489" s="217"/>
      <c r="R8489" s="217"/>
      <c r="S8489" s="218"/>
    </row>
    <row r="8490" spans="13:19" ht="15" customHeight="1" x14ac:dyDescent="0.25">
      <c r="M8490"/>
      <c r="N8490"/>
      <c r="O8490"/>
      <c r="P8490" s="216"/>
      <c r="Q8490" s="217"/>
      <c r="R8490" s="217"/>
      <c r="S8490" s="218"/>
    </row>
    <row r="8491" spans="13:19" ht="15" customHeight="1" x14ac:dyDescent="0.25">
      <c r="M8491"/>
      <c r="N8491"/>
      <c r="O8491"/>
      <c r="P8491" s="216"/>
      <c r="Q8491" s="217"/>
      <c r="R8491" s="217"/>
      <c r="S8491" s="218"/>
    </row>
    <row r="8492" spans="13:19" ht="15" customHeight="1" x14ac:dyDescent="0.25">
      <c r="M8492"/>
      <c r="N8492"/>
      <c r="O8492"/>
      <c r="P8492" s="216"/>
      <c r="Q8492" s="217"/>
      <c r="R8492" s="217"/>
      <c r="S8492" s="218"/>
    </row>
    <row r="8493" spans="13:19" ht="15" customHeight="1" x14ac:dyDescent="0.25">
      <c r="M8493"/>
      <c r="N8493"/>
      <c r="O8493"/>
      <c r="P8493" s="216"/>
      <c r="Q8493" s="217"/>
      <c r="R8493" s="217"/>
      <c r="S8493" s="218"/>
    </row>
    <row r="8494" spans="13:19" ht="15" customHeight="1" x14ac:dyDescent="0.25">
      <c r="M8494"/>
      <c r="N8494"/>
      <c r="O8494"/>
      <c r="P8494" s="216"/>
      <c r="Q8494" s="217"/>
      <c r="R8494" s="217"/>
      <c r="S8494" s="218"/>
    </row>
    <row r="8495" spans="13:19" ht="15" customHeight="1" x14ac:dyDescent="0.25">
      <c r="M8495"/>
      <c r="N8495"/>
      <c r="O8495"/>
      <c r="P8495" s="216"/>
      <c r="Q8495" s="217"/>
      <c r="R8495" s="217"/>
      <c r="S8495" s="218"/>
    </row>
    <row r="8496" spans="13:19" ht="15" customHeight="1" x14ac:dyDescent="0.25">
      <c r="M8496"/>
      <c r="N8496"/>
      <c r="O8496"/>
      <c r="P8496" s="216"/>
      <c r="Q8496" s="217"/>
      <c r="R8496" s="217"/>
      <c r="S8496" s="218"/>
    </row>
    <row r="8497" spans="13:19" ht="15" customHeight="1" x14ac:dyDescent="0.25">
      <c r="M8497"/>
      <c r="N8497"/>
      <c r="O8497"/>
      <c r="P8497" s="216"/>
      <c r="Q8497" s="217"/>
      <c r="R8497" s="217"/>
      <c r="S8497" s="218"/>
    </row>
    <row r="8498" spans="13:19" ht="15" customHeight="1" x14ac:dyDescent="0.25">
      <c r="M8498"/>
      <c r="N8498"/>
      <c r="O8498"/>
      <c r="P8498" s="216"/>
      <c r="Q8498" s="217"/>
      <c r="R8498" s="217"/>
      <c r="S8498" s="218"/>
    </row>
    <row r="8499" spans="13:19" ht="15" customHeight="1" x14ac:dyDescent="0.25">
      <c r="M8499"/>
      <c r="N8499"/>
      <c r="O8499"/>
      <c r="P8499" s="216"/>
      <c r="Q8499" s="217"/>
      <c r="R8499" s="217"/>
      <c r="S8499" s="218"/>
    </row>
    <row r="8500" spans="13:19" ht="15" customHeight="1" x14ac:dyDescent="0.25">
      <c r="M8500"/>
      <c r="N8500"/>
      <c r="O8500"/>
      <c r="P8500" s="216"/>
      <c r="Q8500" s="217"/>
      <c r="R8500" s="217"/>
      <c r="S8500" s="218"/>
    </row>
    <row r="8501" spans="13:19" ht="15" customHeight="1" x14ac:dyDescent="0.25">
      <c r="M8501"/>
      <c r="N8501"/>
      <c r="O8501"/>
      <c r="P8501" s="216"/>
      <c r="Q8501" s="217"/>
      <c r="R8501" s="217"/>
      <c r="S8501" s="218"/>
    </row>
    <row r="8502" spans="13:19" ht="15" customHeight="1" x14ac:dyDescent="0.25">
      <c r="M8502"/>
      <c r="N8502"/>
      <c r="O8502"/>
      <c r="P8502" s="216"/>
      <c r="Q8502" s="217"/>
      <c r="R8502" s="217"/>
      <c r="S8502" s="218"/>
    </row>
    <row r="8503" spans="13:19" ht="15" customHeight="1" x14ac:dyDescent="0.25">
      <c r="M8503"/>
      <c r="N8503"/>
      <c r="O8503"/>
      <c r="P8503" s="216"/>
      <c r="Q8503" s="217"/>
      <c r="R8503" s="217"/>
      <c r="S8503" s="218"/>
    </row>
    <row r="8504" spans="13:19" ht="15" customHeight="1" x14ac:dyDescent="0.25">
      <c r="M8504"/>
      <c r="N8504"/>
      <c r="O8504"/>
      <c r="P8504" s="216"/>
      <c r="Q8504" s="217"/>
      <c r="R8504" s="217"/>
      <c r="S8504" s="218"/>
    </row>
    <row r="8505" spans="13:19" ht="15" customHeight="1" x14ac:dyDescent="0.25">
      <c r="M8505"/>
      <c r="N8505"/>
      <c r="O8505"/>
      <c r="P8505" s="216"/>
      <c r="Q8505" s="217"/>
      <c r="R8505" s="217"/>
      <c r="S8505" s="218"/>
    </row>
    <row r="8506" spans="13:19" ht="15" customHeight="1" x14ac:dyDescent="0.25">
      <c r="M8506"/>
      <c r="N8506"/>
      <c r="O8506"/>
      <c r="P8506" s="216"/>
      <c r="Q8506" s="217"/>
      <c r="R8506" s="217"/>
      <c r="S8506" s="218"/>
    </row>
    <row r="8507" spans="13:19" ht="15" customHeight="1" x14ac:dyDescent="0.25">
      <c r="M8507"/>
      <c r="N8507"/>
      <c r="O8507"/>
      <c r="P8507" s="216"/>
      <c r="Q8507" s="217"/>
      <c r="R8507" s="217"/>
      <c r="S8507" s="218"/>
    </row>
    <row r="8508" spans="13:19" ht="15" customHeight="1" x14ac:dyDescent="0.25">
      <c r="M8508"/>
      <c r="N8508"/>
      <c r="O8508"/>
      <c r="P8508" s="216"/>
      <c r="Q8508" s="217"/>
      <c r="R8508" s="217"/>
      <c r="S8508" s="218"/>
    </row>
    <row r="8509" spans="13:19" ht="15" customHeight="1" x14ac:dyDescent="0.25">
      <c r="M8509"/>
      <c r="N8509"/>
      <c r="O8509"/>
      <c r="P8509" s="216"/>
      <c r="Q8509" s="217"/>
      <c r="R8509" s="217"/>
      <c r="S8509" s="218"/>
    </row>
    <row r="8510" spans="13:19" ht="15" customHeight="1" x14ac:dyDescent="0.25">
      <c r="M8510"/>
      <c r="N8510"/>
      <c r="O8510"/>
      <c r="P8510" s="216"/>
      <c r="Q8510" s="217"/>
      <c r="R8510" s="217"/>
      <c r="S8510" s="218"/>
    </row>
    <row r="8511" spans="13:19" ht="15" customHeight="1" x14ac:dyDescent="0.25">
      <c r="M8511"/>
      <c r="N8511"/>
      <c r="O8511"/>
      <c r="P8511" s="216"/>
      <c r="Q8511" s="217"/>
      <c r="R8511" s="217"/>
      <c r="S8511" s="218"/>
    </row>
    <row r="8512" spans="13:19" ht="15" customHeight="1" x14ac:dyDescent="0.25">
      <c r="M8512"/>
      <c r="N8512"/>
      <c r="O8512"/>
      <c r="P8512" s="216"/>
      <c r="Q8512" s="217"/>
      <c r="R8512" s="217"/>
      <c r="S8512" s="218"/>
    </row>
    <row r="8513" spans="13:19" ht="15" customHeight="1" x14ac:dyDescent="0.25">
      <c r="M8513"/>
      <c r="N8513"/>
      <c r="O8513"/>
      <c r="P8513" s="216"/>
      <c r="Q8513" s="217"/>
      <c r="R8513" s="217"/>
      <c r="S8513" s="218"/>
    </row>
    <row r="8514" spans="13:19" ht="15" customHeight="1" x14ac:dyDescent="0.25">
      <c r="M8514"/>
      <c r="N8514"/>
      <c r="O8514"/>
      <c r="P8514" s="216"/>
      <c r="Q8514" s="217"/>
      <c r="R8514" s="217"/>
      <c r="S8514" s="218"/>
    </row>
    <row r="8515" spans="13:19" ht="15" customHeight="1" x14ac:dyDescent="0.25">
      <c r="M8515"/>
      <c r="N8515"/>
      <c r="O8515"/>
      <c r="P8515" s="216"/>
      <c r="Q8515" s="217"/>
      <c r="R8515" s="217"/>
      <c r="S8515" s="218"/>
    </row>
    <row r="8516" spans="13:19" ht="15" customHeight="1" x14ac:dyDescent="0.25">
      <c r="M8516"/>
      <c r="N8516"/>
      <c r="O8516"/>
      <c r="P8516" s="216"/>
      <c r="Q8516" s="217"/>
      <c r="R8516" s="217"/>
      <c r="S8516" s="218"/>
    </row>
    <row r="8517" spans="13:19" ht="15" customHeight="1" x14ac:dyDescent="0.25">
      <c r="M8517"/>
      <c r="N8517"/>
      <c r="O8517"/>
      <c r="P8517" s="216"/>
      <c r="Q8517" s="217"/>
      <c r="R8517" s="217"/>
      <c r="S8517" s="218"/>
    </row>
    <row r="8518" spans="13:19" ht="15" customHeight="1" x14ac:dyDescent="0.25">
      <c r="M8518"/>
      <c r="N8518"/>
      <c r="O8518"/>
      <c r="P8518" s="216"/>
      <c r="Q8518" s="217"/>
      <c r="R8518" s="217"/>
      <c r="S8518" s="218"/>
    </row>
    <row r="8519" spans="13:19" ht="15" customHeight="1" x14ac:dyDescent="0.25">
      <c r="M8519"/>
      <c r="N8519"/>
      <c r="O8519"/>
      <c r="P8519" s="216"/>
      <c r="Q8519" s="217"/>
      <c r="R8519" s="217"/>
      <c r="S8519" s="218"/>
    </row>
    <row r="8520" spans="13:19" ht="15" customHeight="1" x14ac:dyDescent="0.25">
      <c r="M8520"/>
      <c r="N8520"/>
      <c r="O8520"/>
      <c r="P8520" s="216"/>
      <c r="Q8520" s="217"/>
      <c r="R8520" s="217"/>
      <c r="S8520" s="218"/>
    </row>
    <row r="8521" spans="13:19" ht="15" customHeight="1" x14ac:dyDescent="0.25">
      <c r="M8521"/>
      <c r="N8521"/>
      <c r="O8521"/>
      <c r="P8521" s="216"/>
      <c r="Q8521" s="217"/>
      <c r="R8521" s="217"/>
      <c r="S8521" s="218"/>
    </row>
    <row r="8522" spans="13:19" ht="15" customHeight="1" x14ac:dyDescent="0.25">
      <c r="M8522"/>
      <c r="N8522"/>
      <c r="O8522"/>
      <c r="P8522" s="216"/>
      <c r="Q8522" s="217"/>
      <c r="R8522" s="217"/>
      <c r="S8522" s="218"/>
    </row>
    <row r="8523" spans="13:19" ht="15" customHeight="1" x14ac:dyDescent="0.25">
      <c r="M8523"/>
      <c r="N8523"/>
      <c r="O8523"/>
      <c r="P8523" s="216"/>
      <c r="Q8523" s="217"/>
      <c r="R8523" s="217"/>
      <c r="S8523" s="218"/>
    </row>
    <row r="8524" spans="13:19" ht="15" customHeight="1" x14ac:dyDescent="0.25">
      <c r="M8524"/>
      <c r="N8524"/>
      <c r="O8524"/>
      <c r="P8524" s="216"/>
      <c r="Q8524" s="217"/>
      <c r="R8524" s="217"/>
      <c r="S8524" s="218"/>
    </row>
    <row r="8525" spans="13:19" ht="15" customHeight="1" x14ac:dyDescent="0.25">
      <c r="M8525"/>
      <c r="N8525"/>
      <c r="O8525"/>
      <c r="P8525" s="216"/>
      <c r="Q8525" s="217"/>
      <c r="R8525" s="217"/>
      <c r="S8525" s="218"/>
    </row>
    <row r="8526" spans="13:19" ht="15" customHeight="1" x14ac:dyDescent="0.25">
      <c r="M8526"/>
      <c r="N8526"/>
      <c r="O8526"/>
      <c r="P8526" s="216"/>
      <c r="Q8526" s="217"/>
      <c r="R8526" s="217"/>
      <c r="S8526" s="218"/>
    </row>
    <row r="8527" spans="13:19" ht="15" customHeight="1" x14ac:dyDescent="0.25">
      <c r="M8527"/>
      <c r="N8527"/>
      <c r="O8527"/>
      <c r="P8527" s="216"/>
      <c r="Q8527" s="217"/>
      <c r="R8527" s="217"/>
      <c r="S8527" s="218"/>
    </row>
    <row r="8528" spans="13:19" ht="15" customHeight="1" x14ac:dyDescent="0.25">
      <c r="M8528"/>
      <c r="N8528"/>
      <c r="O8528"/>
      <c r="P8528" s="216"/>
      <c r="Q8528" s="217"/>
      <c r="R8528" s="217"/>
      <c r="S8528" s="218"/>
    </row>
    <row r="8529" spans="13:19" ht="15" customHeight="1" x14ac:dyDescent="0.25">
      <c r="M8529"/>
      <c r="N8529"/>
      <c r="O8529"/>
      <c r="P8529" s="216"/>
      <c r="Q8529" s="217"/>
      <c r="R8529" s="217"/>
      <c r="S8529" s="218"/>
    </row>
    <row r="8530" spans="13:19" ht="15" customHeight="1" x14ac:dyDescent="0.25">
      <c r="M8530"/>
      <c r="N8530"/>
      <c r="O8530"/>
      <c r="P8530" s="216"/>
      <c r="Q8530" s="217"/>
      <c r="R8530" s="217"/>
      <c r="S8530" s="218"/>
    </row>
    <row r="8531" spans="13:19" ht="15" customHeight="1" x14ac:dyDescent="0.25">
      <c r="M8531"/>
      <c r="N8531"/>
      <c r="O8531"/>
      <c r="P8531" s="216"/>
      <c r="Q8531" s="217"/>
      <c r="R8531" s="217"/>
      <c r="S8531" s="218"/>
    </row>
    <row r="8532" spans="13:19" ht="15" customHeight="1" x14ac:dyDescent="0.25">
      <c r="M8532"/>
      <c r="N8532"/>
      <c r="O8532"/>
      <c r="P8532" s="216"/>
      <c r="Q8532" s="217"/>
      <c r="R8532" s="217"/>
      <c r="S8532" s="218"/>
    </row>
    <row r="8533" spans="13:19" ht="15" customHeight="1" x14ac:dyDescent="0.25">
      <c r="M8533"/>
      <c r="N8533"/>
      <c r="O8533"/>
      <c r="P8533" s="216"/>
      <c r="Q8533" s="217"/>
      <c r="R8533" s="217"/>
      <c r="S8533" s="218"/>
    </row>
    <row r="8534" spans="13:19" ht="15" customHeight="1" x14ac:dyDescent="0.25">
      <c r="M8534"/>
      <c r="N8534"/>
      <c r="O8534"/>
      <c r="P8534" s="216"/>
      <c r="Q8534" s="217"/>
      <c r="R8534" s="217"/>
      <c r="S8534" s="218"/>
    </row>
    <row r="8535" spans="13:19" ht="15" customHeight="1" x14ac:dyDescent="0.25">
      <c r="M8535"/>
      <c r="N8535"/>
      <c r="O8535"/>
      <c r="P8535" s="216"/>
      <c r="Q8535" s="217"/>
      <c r="R8535" s="217"/>
      <c r="S8535" s="218"/>
    </row>
    <row r="8536" spans="13:19" ht="15" customHeight="1" x14ac:dyDescent="0.25">
      <c r="M8536"/>
      <c r="N8536"/>
      <c r="O8536"/>
      <c r="P8536" s="216"/>
      <c r="Q8536" s="217"/>
      <c r="R8536" s="217"/>
      <c r="S8536" s="218"/>
    </row>
    <row r="8537" spans="13:19" ht="15" customHeight="1" x14ac:dyDescent="0.25">
      <c r="M8537"/>
      <c r="N8537"/>
      <c r="O8537"/>
      <c r="P8537" s="216"/>
      <c r="Q8537" s="217"/>
      <c r="R8537" s="217"/>
      <c r="S8537" s="218"/>
    </row>
    <row r="8538" spans="13:19" ht="15" customHeight="1" x14ac:dyDescent="0.25">
      <c r="M8538"/>
      <c r="N8538"/>
      <c r="O8538"/>
      <c r="P8538" s="216"/>
      <c r="Q8538" s="217"/>
      <c r="R8538" s="217"/>
      <c r="S8538" s="218"/>
    </row>
    <row r="8539" spans="13:19" ht="15" customHeight="1" x14ac:dyDescent="0.25">
      <c r="M8539"/>
      <c r="N8539"/>
      <c r="O8539"/>
      <c r="P8539" s="216"/>
      <c r="Q8539" s="217"/>
      <c r="R8539" s="217"/>
      <c r="S8539" s="218"/>
    </row>
    <row r="8540" spans="13:19" ht="15" customHeight="1" x14ac:dyDescent="0.25">
      <c r="M8540"/>
      <c r="N8540"/>
      <c r="O8540"/>
      <c r="P8540" s="216"/>
      <c r="Q8540" s="217"/>
      <c r="R8540" s="217"/>
      <c r="S8540" s="218"/>
    </row>
    <row r="8541" spans="13:19" ht="15" customHeight="1" x14ac:dyDescent="0.25">
      <c r="M8541"/>
      <c r="N8541"/>
      <c r="O8541"/>
      <c r="P8541" s="216"/>
      <c r="Q8541" s="217"/>
      <c r="R8541" s="217"/>
      <c r="S8541" s="218"/>
    </row>
    <row r="8542" spans="13:19" ht="15" customHeight="1" x14ac:dyDescent="0.25">
      <c r="M8542"/>
      <c r="N8542"/>
      <c r="O8542"/>
      <c r="P8542" s="216"/>
      <c r="Q8542" s="217"/>
      <c r="R8542" s="217"/>
      <c r="S8542" s="218"/>
    </row>
    <row r="8543" spans="13:19" ht="15" customHeight="1" x14ac:dyDescent="0.25">
      <c r="M8543"/>
      <c r="N8543"/>
      <c r="O8543"/>
      <c r="P8543" s="216"/>
      <c r="Q8543" s="217"/>
      <c r="R8543" s="217"/>
      <c r="S8543" s="218"/>
    </row>
    <row r="8544" spans="13:19" ht="15" customHeight="1" x14ac:dyDescent="0.25">
      <c r="M8544"/>
      <c r="N8544"/>
      <c r="O8544"/>
      <c r="P8544" s="216"/>
      <c r="Q8544" s="217"/>
      <c r="R8544" s="217"/>
      <c r="S8544" s="218"/>
    </row>
    <row r="8545" spans="13:19" ht="15" customHeight="1" x14ac:dyDescent="0.25">
      <c r="M8545"/>
      <c r="N8545"/>
      <c r="O8545"/>
      <c r="P8545" s="216"/>
      <c r="Q8545" s="217"/>
      <c r="R8545" s="217"/>
      <c r="S8545" s="218"/>
    </row>
    <row r="8546" spans="13:19" ht="15" customHeight="1" x14ac:dyDescent="0.25">
      <c r="M8546"/>
      <c r="N8546"/>
      <c r="O8546"/>
      <c r="P8546" s="216"/>
      <c r="Q8546" s="217"/>
      <c r="R8546" s="217"/>
      <c r="S8546" s="218"/>
    </row>
    <row r="8547" spans="13:19" ht="15" customHeight="1" x14ac:dyDescent="0.25">
      <c r="M8547"/>
      <c r="N8547"/>
      <c r="O8547"/>
      <c r="P8547" s="216"/>
      <c r="Q8547" s="217"/>
      <c r="R8547" s="217"/>
      <c r="S8547" s="218"/>
    </row>
    <row r="8548" spans="13:19" ht="15" customHeight="1" x14ac:dyDescent="0.25">
      <c r="M8548"/>
      <c r="N8548"/>
      <c r="O8548"/>
      <c r="P8548" s="216"/>
      <c r="Q8548" s="217"/>
      <c r="R8548" s="217"/>
      <c r="S8548" s="218"/>
    </row>
    <row r="8549" spans="13:19" ht="15" customHeight="1" x14ac:dyDescent="0.25">
      <c r="M8549"/>
      <c r="N8549"/>
      <c r="O8549"/>
      <c r="P8549" s="216"/>
      <c r="Q8549" s="217"/>
      <c r="R8549" s="217"/>
      <c r="S8549" s="218"/>
    </row>
    <row r="8550" spans="13:19" ht="15" customHeight="1" x14ac:dyDescent="0.25">
      <c r="M8550"/>
      <c r="N8550"/>
      <c r="O8550"/>
      <c r="P8550" s="216"/>
      <c r="Q8550" s="217"/>
      <c r="R8550" s="217"/>
      <c r="S8550" s="218"/>
    </row>
    <row r="8551" spans="13:19" ht="15" customHeight="1" x14ac:dyDescent="0.25">
      <c r="M8551"/>
      <c r="N8551"/>
      <c r="O8551"/>
      <c r="P8551" s="216"/>
      <c r="Q8551" s="217"/>
      <c r="R8551" s="217"/>
      <c r="S8551" s="218"/>
    </row>
    <row r="8552" spans="13:19" ht="15" customHeight="1" x14ac:dyDescent="0.25">
      <c r="M8552"/>
      <c r="N8552"/>
      <c r="O8552"/>
      <c r="P8552" s="216"/>
      <c r="Q8552" s="217"/>
      <c r="R8552" s="217"/>
      <c r="S8552" s="218"/>
    </row>
    <row r="8553" spans="13:19" ht="15" customHeight="1" x14ac:dyDescent="0.25">
      <c r="M8553"/>
      <c r="N8553"/>
      <c r="O8553"/>
      <c r="P8553" s="216"/>
      <c r="Q8553" s="217"/>
      <c r="R8553" s="217"/>
      <c r="S8553" s="218"/>
    </row>
    <row r="8554" spans="13:19" ht="15" customHeight="1" x14ac:dyDescent="0.25">
      <c r="M8554"/>
      <c r="N8554"/>
      <c r="O8554"/>
      <c r="P8554" s="216"/>
      <c r="Q8554" s="217"/>
      <c r="R8554" s="217"/>
      <c r="S8554" s="218"/>
    </row>
    <row r="8555" spans="13:19" ht="15" customHeight="1" x14ac:dyDescent="0.25">
      <c r="M8555"/>
      <c r="N8555"/>
      <c r="O8555"/>
      <c r="P8555" s="216"/>
      <c r="Q8555" s="217"/>
      <c r="R8555" s="217"/>
      <c r="S8555" s="218"/>
    </row>
    <row r="8556" spans="13:19" ht="15" customHeight="1" x14ac:dyDescent="0.25">
      <c r="M8556"/>
      <c r="N8556"/>
      <c r="O8556"/>
      <c r="P8556" s="216"/>
      <c r="Q8556" s="217"/>
      <c r="R8556" s="217"/>
      <c r="S8556" s="218"/>
    </row>
    <row r="8557" spans="13:19" ht="15" customHeight="1" x14ac:dyDescent="0.25">
      <c r="M8557"/>
      <c r="N8557"/>
      <c r="O8557"/>
      <c r="P8557" s="216"/>
      <c r="Q8557" s="217"/>
      <c r="R8557" s="217"/>
      <c r="S8557" s="218"/>
    </row>
    <row r="8558" spans="13:19" ht="15" customHeight="1" x14ac:dyDescent="0.25">
      <c r="M8558"/>
      <c r="N8558"/>
      <c r="O8558"/>
      <c r="P8558" s="216"/>
      <c r="Q8558" s="217"/>
      <c r="R8558" s="217"/>
      <c r="S8558" s="218"/>
    </row>
    <row r="8559" spans="13:19" ht="15" customHeight="1" x14ac:dyDescent="0.25">
      <c r="M8559"/>
      <c r="N8559"/>
      <c r="O8559"/>
      <c r="P8559" s="216"/>
      <c r="Q8559" s="217"/>
      <c r="R8559" s="217"/>
      <c r="S8559" s="218"/>
    </row>
    <row r="8560" spans="13:19" ht="15" customHeight="1" x14ac:dyDescent="0.25">
      <c r="M8560"/>
      <c r="N8560"/>
      <c r="O8560"/>
      <c r="P8560" s="216"/>
      <c r="Q8560" s="217"/>
      <c r="R8560" s="217"/>
      <c r="S8560" s="218"/>
    </row>
    <row r="8561" spans="13:19" ht="15" customHeight="1" x14ac:dyDescent="0.25">
      <c r="M8561"/>
      <c r="N8561"/>
      <c r="O8561"/>
      <c r="P8561" s="216"/>
      <c r="Q8561" s="217"/>
      <c r="R8561" s="217"/>
      <c r="S8561" s="218"/>
    </row>
    <row r="8562" spans="13:19" ht="15" customHeight="1" x14ac:dyDescent="0.25">
      <c r="M8562"/>
      <c r="N8562"/>
      <c r="O8562"/>
      <c r="P8562" s="216"/>
      <c r="Q8562" s="217"/>
      <c r="R8562" s="217"/>
      <c r="S8562" s="218"/>
    </row>
    <row r="8563" spans="13:19" ht="15" customHeight="1" x14ac:dyDescent="0.25">
      <c r="M8563"/>
      <c r="N8563"/>
      <c r="O8563"/>
      <c r="P8563" s="216"/>
      <c r="Q8563" s="217"/>
      <c r="R8563" s="217"/>
      <c r="S8563" s="218"/>
    </row>
    <row r="8564" spans="13:19" ht="15" customHeight="1" x14ac:dyDescent="0.25">
      <c r="M8564"/>
      <c r="N8564"/>
      <c r="O8564"/>
      <c r="P8564" s="216"/>
      <c r="Q8564" s="217"/>
      <c r="R8564" s="217"/>
      <c r="S8564" s="218"/>
    </row>
    <row r="8565" spans="13:19" ht="15" customHeight="1" x14ac:dyDescent="0.25">
      <c r="M8565"/>
      <c r="N8565"/>
      <c r="O8565"/>
      <c r="P8565" s="216"/>
      <c r="Q8565" s="217"/>
      <c r="R8565" s="217"/>
      <c r="S8565" s="218"/>
    </row>
    <row r="8566" spans="13:19" ht="15" customHeight="1" x14ac:dyDescent="0.25">
      <c r="M8566"/>
      <c r="N8566"/>
      <c r="O8566"/>
      <c r="P8566" s="216"/>
      <c r="Q8566" s="217"/>
      <c r="R8566" s="217"/>
      <c r="S8566" s="218"/>
    </row>
    <row r="8567" spans="13:19" ht="15" customHeight="1" x14ac:dyDescent="0.25">
      <c r="M8567"/>
      <c r="N8567"/>
      <c r="O8567"/>
      <c r="P8567" s="216"/>
      <c r="Q8567" s="217"/>
      <c r="R8567" s="217"/>
      <c r="S8567" s="218"/>
    </row>
    <row r="8568" spans="13:19" ht="15" customHeight="1" x14ac:dyDescent="0.25">
      <c r="M8568"/>
      <c r="N8568"/>
      <c r="O8568"/>
      <c r="P8568" s="216"/>
      <c r="Q8568" s="217"/>
      <c r="R8568" s="217"/>
      <c r="S8568" s="218"/>
    </row>
    <row r="8569" spans="13:19" ht="15" customHeight="1" x14ac:dyDescent="0.25">
      <c r="M8569"/>
      <c r="N8569"/>
      <c r="O8569"/>
      <c r="P8569" s="216"/>
      <c r="Q8569" s="217"/>
      <c r="R8569" s="217"/>
      <c r="S8569" s="218"/>
    </row>
    <row r="8570" spans="13:19" ht="15" customHeight="1" x14ac:dyDescent="0.25">
      <c r="M8570"/>
      <c r="N8570"/>
      <c r="O8570"/>
      <c r="P8570" s="216"/>
      <c r="Q8570" s="217"/>
      <c r="R8570" s="217"/>
      <c r="S8570" s="218"/>
    </row>
    <row r="8571" spans="13:19" ht="15" customHeight="1" x14ac:dyDescent="0.25">
      <c r="M8571"/>
      <c r="N8571"/>
      <c r="O8571"/>
      <c r="P8571" s="216"/>
      <c r="Q8571" s="217"/>
      <c r="R8571" s="217"/>
      <c r="S8571" s="218"/>
    </row>
    <row r="8572" spans="13:19" ht="15" customHeight="1" x14ac:dyDescent="0.25">
      <c r="M8572"/>
      <c r="N8572"/>
      <c r="O8572"/>
      <c r="P8572" s="216"/>
      <c r="Q8572" s="217"/>
      <c r="R8572" s="217"/>
      <c r="S8572" s="218"/>
    </row>
    <row r="8573" spans="13:19" ht="15" customHeight="1" x14ac:dyDescent="0.25">
      <c r="M8573"/>
      <c r="N8573"/>
      <c r="O8573"/>
      <c r="P8573" s="216"/>
      <c r="Q8573" s="217"/>
      <c r="R8573" s="217"/>
      <c r="S8573" s="218"/>
    </row>
    <row r="8574" spans="13:19" ht="15" customHeight="1" x14ac:dyDescent="0.25">
      <c r="M8574"/>
      <c r="N8574"/>
      <c r="O8574"/>
      <c r="P8574" s="216"/>
      <c r="Q8574" s="217"/>
      <c r="R8574" s="217"/>
      <c r="S8574" s="218"/>
    </row>
    <row r="8575" spans="13:19" ht="15" customHeight="1" x14ac:dyDescent="0.25">
      <c r="M8575"/>
      <c r="N8575"/>
      <c r="O8575"/>
      <c r="P8575" s="216"/>
      <c r="Q8575" s="217"/>
      <c r="R8575" s="217"/>
      <c r="S8575" s="218"/>
    </row>
    <row r="8576" spans="13:19" ht="15" customHeight="1" x14ac:dyDescent="0.25">
      <c r="M8576"/>
      <c r="N8576"/>
      <c r="O8576"/>
      <c r="P8576" s="216"/>
      <c r="Q8576" s="217"/>
      <c r="R8576" s="217"/>
      <c r="S8576" s="218"/>
    </row>
    <row r="8577" spans="13:19" ht="15" customHeight="1" x14ac:dyDescent="0.25">
      <c r="M8577"/>
      <c r="N8577"/>
      <c r="O8577"/>
      <c r="P8577" s="216"/>
      <c r="Q8577" s="217"/>
      <c r="R8577" s="217"/>
      <c r="S8577" s="218"/>
    </row>
    <row r="8578" spans="13:19" ht="15" customHeight="1" x14ac:dyDescent="0.25">
      <c r="M8578"/>
      <c r="N8578"/>
      <c r="O8578"/>
      <c r="P8578" s="216"/>
      <c r="Q8578" s="217"/>
      <c r="R8578" s="217"/>
      <c r="S8578" s="218"/>
    </row>
    <row r="8579" spans="13:19" ht="15" customHeight="1" x14ac:dyDescent="0.25">
      <c r="M8579"/>
      <c r="N8579"/>
      <c r="O8579"/>
      <c r="P8579" s="216"/>
      <c r="Q8579" s="217"/>
      <c r="R8579" s="217"/>
      <c r="S8579" s="218"/>
    </row>
    <row r="8580" spans="13:19" ht="15" customHeight="1" x14ac:dyDescent="0.25">
      <c r="M8580"/>
      <c r="N8580"/>
      <c r="O8580"/>
      <c r="P8580" s="216"/>
      <c r="Q8580" s="217"/>
      <c r="R8580" s="217"/>
      <c r="S8580" s="218"/>
    </row>
    <row r="8581" spans="13:19" ht="15" customHeight="1" x14ac:dyDescent="0.25">
      <c r="M8581"/>
      <c r="N8581"/>
      <c r="O8581"/>
      <c r="P8581" s="216"/>
      <c r="Q8581" s="217"/>
      <c r="R8581" s="217"/>
      <c r="S8581" s="218"/>
    </row>
    <row r="8582" spans="13:19" ht="15" customHeight="1" x14ac:dyDescent="0.25">
      <c r="M8582"/>
      <c r="N8582"/>
      <c r="O8582"/>
      <c r="P8582" s="216"/>
      <c r="Q8582" s="217"/>
      <c r="R8582" s="217"/>
      <c r="S8582" s="218"/>
    </row>
    <row r="8583" spans="13:19" ht="15" customHeight="1" x14ac:dyDescent="0.25">
      <c r="M8583"/>
      <c r="N8583"/>
      <c r="O8583"/>
      <c r="P8583" s="216"/>
      <c r="Q8583" s="217"/>
      <c r="R8583" s="217"/>
      <c r="S8583" s="218"/>
    </row>
    <row r="8584" spans="13:19" ht="15" customHeight="1" x14ac:dyDescent="0.25">
      <c r="M8584"/>
      <c r="N8584"/>
      <c r="O8584"/>
      <c r="P8584" s="216"/>
      <c r="Q8584" s="217"/>
      <c r="R8584" s="217"/>
      <c r="S8584" s="218"/>
    </row>
    <row r="8585" spans="13:19" ht="15" customHeight="1" x14ac:dyDescent="0.25">
      <c r="M8585"/>
      <c r="N8585"/>
      <c r="O8585"/>
      <c r="P8585" s="216"/>
      <c r="Q8585" s="217"/>
      <c r="R8585" s="217"/>
      <c r="S8585" s="218"/>
    </row>
    <row r="8586" spans="13:19" ht="15" customHeight="1" x14ac:dyDescent="0.25">
      <c r="M8586"/>
      <c r="N8586"/>
      <c r="O8586"/>
      <c r="P8586" s="216"/>
      <c r="Q8586" s="217"/>
      <c r="R8586" s="217"/>
      <c r="S8586" s="218"/>
    </row>
    <row r="8587" spans="13:19" ht="15" customHeight="1" x14ac:dyDescent="0.25">
      <c r="M8587"/>
      <c r="N8587"/>
      <c r="O8587"/>
      <c r="P8587" s="216"/>
      <c r="Q8587" s="217"/>
      <c r="R8587" s="217"/>
      <c r="S8587" s="218"/>
    </row>
    <row r="8588" spans="13:19" ht="15" customHeight="1" x14ac:dyDescent="0.25">
      <c r="M8588"/>
      <c r="N8588"/>
      <c r="O8588"/>
      <c r="P8588" s="216"/>
      <c r="Q8588" s="217"/>
      <c r="R8588" s="217"/>
      <c r="S8588" s="218"/>
    </row>
    <row r="8589" spans="13:19" ht="15" customHeight="1" x14ac:dyDescent="0.25">
      <c r="M8589"/>
      <c r="N8589"/>
      <c r="O8589"/>
      <c r="P8589" s="216"/>
      <c r="Q8589" s="217"/>
      <c r="R8589" s="217"/>
      <c r="S8589" s="218"/>
    </row>
    <row r="8590" spans="13:19" ht="15" customHeight="1" x14ac:dyDescent="0.25">
      <c r="M8590"/>
      <c r="N8590"/>
      <c r="O8590"/>
      <c r="P8590" s="216"/>
      <c r="Q8590" s="217"/>
      <c r="R8590" s="217"/>
      <c r="S8590" s="218"/>
    </row>
    <row r="8591" spans="13:19" ht="15" customHeight="1" x14ac:dyDescent="0.25">
      <c r="M8591"/>
      <c r="N8591"/>
      <c r="O8591"/>
      <c r="P8591" s="216"/>
      <c r="Q8591" s="217"/>
      <c r="R8591" s="217"/>
      <c r="S8591" s="218"/>
    </row>
    <row r="8592" spans="13:19" ht="15" customHeight="1" x14ac:dyDescent="0.25">
      <c r="M8592"/>
      <c r="N8592"/>
      <c r="O8592"/>
      <c r="P8592" s="216"/>
      <c r="Q8592" s="217"/>
      <c r="R8592" s="217"/>
      <c r="S8592" s="218"/>
    </row>
    <row r="8593" spans="13:19" ht="15" customHeight="1" x14ac:dyDescent="0.25">
      <c r="M8593"/>
      <c r="N8593"/>
      <c r="O8593"/>
      <c r="P8593" s="216"/>
      <c r="Q8593" s="217"/>
      <c r="R8593" s="217"/>
      <c r="S8593" s="218"/>
    </row>
    <row r="8594" spans="13:19" ht="15" customHeight="1" x14ac:dyDescent="0.25">
      <c r="M8594"/>
      <c r="N8594"/>
      <c r="O8594"/>
      <c r="P8594" s="216"/>
      <c r="Q8594" s="217"/>
      <c r="R8594" s="217"/>
      <c r="S8594" s="218"/>
    </row>
    <row r="8595" spans="13:19" ht="15" customHeight="1" x14ac:dyDescent="0.25">
      <c r="M8595"/>
      <c r="N8595"/>
      <c r="O8595"/>
      <c r="P8595" s="216"/>
      <c r="Q8595" s="217"/>
      <c r="R8595" s="217"/>
      <c r="S8595" s="218"/>
    </row>
    <row r="8596" spans="13:19" ht="15" customHeight="1" x14ac:dyDescent="0.25">
      <c r="M8596"/>
      <c r="N8596"/>
      <c r="O8596"/>
      <c r="P8596" s="216"/>
      <c r="Q8596" s="217"/>
      <c r="R8596" s="217"/>
      <c r="S8596" s="218"/>
    </row>
    <row r="8597" spans="13:19" ht="15" customHeight="1" x14ac:dyDescent="0.25">
      <c r="M8597"/>
      <c r="N8597"/>
      <c r="O8597"/>
      <c r="P8597" s="216"/>
      <c r="Q8597" s="217"/>
      <c r="R8597" s="217"/>
      <c r="S8597" s="218"/>
    </row>
    <row r="8598" spans="13:19" ht="15" customHeight="1" x14ac:dyDescent="0.25">
      <c r="M8598"/>
      <c r="N8598"/>
      <c r="O8598"/>
      <c r="P8598" s="216"/>
      <c r="Q8598" s="217"/>
      <c r="R8598" s="217"/>
      <c r="S8598" s="218"/>
    </row>
    <row r="8599" spans="13:19" ht="15" customHeight="1" x14ac:dyDescent="0.25">
      <c r="M8599"/>
      <c r="N8599"/>
      <c r="O8599"/>
      <c r="P8599" s="216"/>
      <c r="Q8599" s="217"/>
      <c r="R8599" s="217"/>
      <c r="S8599" s="218"/>
    </row>
    <row r="8600" spans="13:19" ht="15" customHeight="1" x14ac:dyDescent="0.25">
      <c r="M8600"/>
      <c r="N8600"/>
      <c r="O8600"/>
      <c r="P8600" s="216"/>
      <c r="Q8600" s="217"/>
      <c r="R8600" s="217"/>
      <c r="S8600" s="218"/>
    </row>
    <row r="8601" spans="13:19" ht="15" customHeight="1" x14ac:dyDescent="0.25">
      <c r="M8601"/>
      <c r="N8601"/>
      <c r="O8601"/>
      <c r="P8601" s="216"/>
      <c r="Q8601" s="217"/>
      <c r="R8601" s="217"/>
      <c r="S8601" s="218"/>
    </row>
    <row r="8602" spans="13:19" ht="15" customHeight="1" x14ac:dyDescent="0.25">
      <c r="M8602"/>
      <c r="N8602"/>
      <c r="O8602"/>
      <c r="P8602" s="216"/>
      <c r="Q8602" s="217"/>
      <c r="R8602" s="217"/>
      <c r="S8602" s="218"/>
    </row>
    <row r="8603" spans="13:19" ht="15" customHeight="1" x14ac:dyDescent="0.25">
      <c r="M8603"/>
      <c r="N8603"/>
      <c r="O8603"/>
      <c r="P8603" s="216"/>
      <c r="Q8603" s="217"/>
      <c r="R8603" s="217"/>
      <c r="S8603" s="218"/>
    </row>
    <row r="8604" spans="13:19" ht="15" customHeight="1" x14ac:dyDescent="0.25">
      <c r="M8604"/>
      <c r="N8604"/>
      <c r="O8604"/>
      <c r="P8604" s="216"/>
      <c r="Q8604" s="217"/>
      <c r="R8604" s="217"/>
      <c r="S8604" s="218"/>
    </row>
    <row r="8605" spans="13:19" ht="15" customHeight="1" x14ac:dyDescent="0.25">
      <c r="M8605"/>
      <c r="N8605"/>
      <c r="O8605"/>
      <c r="P8605" s="216"/>
      <c r="Q8605" s="217"/>
      <c r="R8605" s="217"/>
      <c r="S8605" s="218"/>
    </row>
    <row r="8606" spans="13:19" ht="15" customHeight="1" x14ac:dyDescent="0.25">
      <c r="M8606"/>
      <c r="N8606"/>
      <c r="O8606"/>
      <c r="P8606" s="216"/>
      <c r="Q8606" s="217"/>
      <c r="R8606" s="217"/>
      <c r="S8606" s="218"/>
    </row>
    <row r="8607" spans="13:19" ht="15" customHeight="1" x14ac:dyDescent="0.25">
      <c r="M8607"/>
      <c r="N8607"/>
      <c r="O8607"/>
      <c r="P8607" s="216"/>
      <c r="Q8607" s="217"/>
      <c r="R8607" s="217"/>
      <c r="S8607" s="218"/>
    </row>
    <row r="8608" spans="13:19" ht="15" customHeight="1" x14ac:dyDescent="0.25">
      <c r="M8608"/>
      <c r="N8608"/>
      <c r="O8608"/>
      <c r="P8608" s="216"/>
      <c r="Q8608" s="217"/>
      <c r="R8608" s="217"/>
      <c r="S8608" s="218"/>
    </row>
    <row r="8609" spans="13:19" ht="15" customHeight="1" x14ac:dyDescent="0.25">
      <c r="M8609"/>
      <c r="N8609"/>
      <c r="O8609"/>
      <c r="P8609" s="216"/>
      <c r="Q8609" s="217"/>
      <c r="R8609" s="217"/>
      <c r="S8609" s="218"/>
    </row>
    <row r="8610" spans="13:19" ht="15" customHeight="1" x14ac:dyDescent="0.25">
      <c r="M8610"/>
      <c r="N8610"/>
      <c r="O8610"/>
      <c r="P8610" s="216"/>
      <c r="Q8610" s="217"/>
      <c r="R8610" s="217"/>
      <c r="S8610" s="218"/>
    </row>
    <row r="8611" spans="13:19" ht="15" customHeight="1" x14ac:dyDescent="0.25">
      <c r="M8611"/>
      <c r="N8611"/>
      <c r="O8611"/>
      <c r="P8611" s="216"/>
      <c r="Q8611" s="217"/>
      <c r="R8611" s="217"/>
      <c r="S8611" s="218"/>
    </row>
    <row r="8612" spans="13:19" ht="15" customHeight="1" x14ac:dyDescent="0.25">
      <c r="M8612"/>
      <c r="N8612"/>
      <c r="O8612"/>
      <c r="P8612" s="216"/>
      <c r="Q8612" s="217"/>
      <c r="R8612" s="217"/>
      <c r="S8612" s="218"/>
    </row>
    <row r="8613" spans="13:19" ht="15" customHeight="1" x14ac:dyDescent="0.25">
      <c r="M8613"/>
      <c r="N8613"/>
      <c r="O8613"/>
      <c r="P8613" s="216"/>
      <c r="Q8613" s="217"/>
      <c r="R8613" s="217"/>
      <c r="S8613" s="218"/>
    </row>
    <row r="8614" spans="13:19" ht="15" customHeight="1" x14ac:dyDescent="0.25">
      <c r="M8614"/>
      <c r="N8614"/>
      <c r="O8614"/>
      <c r="P8614" s="216"/>
      <c r="Q8614" s="217"/>
      <c r="R8614" s="217"/>
      <c r="S8614" s="218"/>
    </row>
    <row r="8615" spans="13:19" ht="15" customHeight="1" x14ac:dyDescent="0.25">
      <c r="M8615"/>
      <c r="N8615"/>
      <c r="O8615"/>
      <c r="P8615" s="216"/>
      <c r="Q8615" s="217"/>
      <c r="R8615" s="217"/>
      <c r="S8615" s="218"/>
    </row>
    <row r="8616" spans="13:19" ht="15" customHeight="1" x14ac:dyDescent="0.25">
      <c r="M8616"/>
      <c r="N8616"/>
      <c r="O8616"/>
      <c r="P8616" s="216"/>
      <c r="Q8616" s="217"/>
      <c r="R8616" s="217"/>
      <c r="S8616" s="218"/>
    </row>
    <row r="8617" spans="13:19" ht="15" customHeight="1" x14ac:dyDescent="0.25">
      <c r="M8617"/>
      <c r="N8617"/>
      <c r="O8617"/>
      <c r="P8617" s="216"/>
      <c r="Q8617" s="217"/>
      <c r="R8617" s="217"/>
      <c r="S8617" s="218"/>
    </row>
    <row r="8618" spans="13:19" ht="15" customHeight="1" x14ac:dyDescent="0.25">
      <c r="M8618"/>
      <c r="N8618"/>
      <c r="O8618"/>
      <c r="P8618" s="216"/>
      <c r="Q8618" s="217"/>
      <c r="R8618" s="217"/>
      <c r="S8618" s="218"/>
    </row>
    <row r="8619" spans="13:19" ht="15" customHeight="1" x14ac:dyDescent="0.25">
      <c r="M8619"/>
      <c r="N8619"/>
      <c r="O8619"/>
      <c r="P8619" s="216"/>
      <c r="Q8619" s="217"/>
      <c r="R8619" s="217"/>
      <c r="S8619" s="218"/>
    </row>
    <row r="8620" spans="13:19" ht="15" customHeight="1" x14ac:dyDescent="0.25">
      <c r="M8620"/>
      <c r="N8620"/>
      <c r="O8620"/>
      <c r="P8620" s="216"/>
      <c r="Q8620" s="217"/>
      <c r="R8620" s="217"/>
      <c r="S8620" s="218"/>
    </row>
    <row r="8621" spans="13:19" ht="15" customHeight="1" x14ac:dyDescent="0.25">
      <c r="M8621"/>
      <c r="N8621"/>
      <c r="O8621"/>
      <c r="P8621" s="216"/>
      <c r="Q8621" s="217"/>
      <c r="R8621" s="217"/>
      <c r="S8621" s="218"/>
    </row>
    <row r="8622" spans="13:19" ht="15" customHeight="1" x14ac:dyDescent="0.25">
      <c r="M8622"/>
      <c r="N8622"/>
      <c r="O8622"/>
      <c r="P8622" s="216"/>
      <c r="Q8622" s="217"/>
      <c r="R8622" s="217"/>
      <c r="S8622" s="218"/>
    </row>
    <row r="8623" spans="13:19" ht="15" customHeight="1" x14ac:dyDescent="0.25">
      <c r="M8623"/>
      <c r="N8623"/>
      <c r="O8623"/>
      <c r="P8623" s="216"/>
      <c r="Q8623" s="217"/>
      <c r="R8623" s="217"/>
      <c r="S8623" s="218"/>
    </row>
    <row r="8624" spans="13:19" ht="15" customHeight="1" x14ac:dyDescent="0.25">
      <c r="M8624"/>
      <c r="N8624"/>
      <c r="O8624"/>
      <c r="P8624" s="216"/>
      <c r="Q8624" s="217"/>
      <c r="R8624" s="217"/>
      <c r="S8624" s="218"/>
    </row>
    <row r="8625" spans="13:19" ht="15" customHeight="1" x14ac:dyDescent="0.25">
      <c r="M8625"/>
      <c r="N8625"/>
      <c r="O8625"/>
      <c r="P8625" s="216"/>
      <c r="Q8625" s="217"/>
      <c r="R8625" s="217"/>
      <c r="S8625" s="218"/>
    </row>
    <row r="8626" spans="13:19" ht="15" customHeight="1" x14ac:dyDescent="0.25">
      <c r="M8626"/>
      <c r="N8626"/>
      <c r="O8626"/>
      <c r="P8626" s="216"/>
      <c r="Q8626" s="217"/>
      <c r="R8626" s="217"/>
      <c r="S8626" s="218"/>
    </row>
    <row r="8627" spans="13:19" ht="15" customHeight="1" x14ac:dyDescent="0.25">
      <c r="M8627"/>
      <c r="N8627"/>
      <c r="O8627"/>
      <c r="P8627" s="216"/>
      <c r="Q8627" s="217"/>
      <c r="R8627" s="217"/>
      <c r="S8627" s="218"/>
    </row>
    <row r="8628" spans="13:19" ht="15" customHeight="1" x14ac:dyDescent="0.25">
      <c r="M8628"/>
      <c r="N8628"/>
      <c r="O8628"/>
      <c r="P8628" s="216"/>
      <c r="Q8628" s="217"/>
      <c r="R8628" s="217"/>
      <c r="S8628" s="218"/>
    </row>
    <row r="8629" spans="13:19" ht="15" customHeight="1" x14ac:dyDescent="0.25">
      <c r="M8629"/>
      <c r="N8629"/>
      <c r="O8629"/>
      <c r="P8629" s="216"/>
      <c r="Q8629" s="217"/>
      <c r="R8629" s="217"/>
      <c r="S8629" s="218"/>
    </row>
    <row r="8630" spans="13:19" ht="15" customHeight="1" x14ac:dyDescent="0.25">
      <c r="M8630"/>
      <c r="N8630"/>
      <c r="O8630"/>
      <c r="P8630" s="216"/>
      <c r="Q8630" s="217"/>
      <c r="R8630" s="217"/>
      <c r="S8630" s="218"/>
    </row>
    <row r="8631" spans="13:19" ht="15" customHeight="1" x14ac:dyDescent="0.25">
      <c r="M8631"/>
      <c r="N8631"/>
      <c r="O8631"/>
      <c r="P8631" s="216"/>
      <c r="Q8631" s="217"/>
      <c r="R8631" s="217"/>
      <c r="S8631" s="218"/>
    </row>
    <row r="8632" spans="13:19" ht="15" customHeight="1" x14ac:dyDescent="0.25">
      <c r="M8632"/>
      <c r="N8632"/>
      <c r="O8632"/>
      <c r="P8632" s="216"/>
      <c r="Q8632" s="217"/>
      <c r="R8632" s="217"/>
      <c r="S8632" s="218"/>
    </row>
    <row r="8633" spans="13:19" ht="15" customHeight="1" x14ac:dyDescent="0.25">
      <c r="M8633"/>
      <c r="N8633"/>
      <c r="O8633"/>
      <c r="P8633" s="216"/>
      <c r="Q8633" s="217"/>
      <c r="R8633" s="217"/>
      <c r="S8633" s="218"/>
    </row>
    <row r="8634" spans="13:19" ht="15" customHeight="1" x14ac:dyDescent="0.25">
      <c r="M8634"/>
      <c r="N8634"/>
      <c r="O8634"/>
      <c r="P8634" s="216"/>
      <c r="Q8634" s="217"/>
      <c r="R8634" s="217"/>
      <c r="S8634" s="218"/>
    </row>
    <row r="8635" spans="13:19" ht="15" customHeight="1" x14ac:dyDescent="0.25">
      <c r="M8635"/>
      <c r="N8635"/>
      <c r="O8635"/>
      <c r="P8635" s="216"/>
      <c r="Q8635" s="217"/>
      <c r="R8635" s="217"/>
      <c r="S8635" s="218"/>
    </row>
    <row r="8636" spans="13:19" ht="15" customHeight="1" x14ac:dyDescent="0.25">
      <c r="M8636"/>
      <c r="N8636"/>
      <c r="O8636"/>
      <c r="P8636" s="216"/>
      <c r="Q8636" s="217"/>
      <c r="R8636" s="217"/>
      <c r="S8636" s="218"/>
    </row>
    <row r="8637" spans="13:19" ht="15" customHeight="1" x14ac:dyDescent="0.25">
      <c r="M8637"/>
      <c r="N8637"/>
      <c r="O8637"/>
      <c r="P8637" s="216"/>
      <c r="Q8637" s="217"/>
      <c r="R8637" s="217"/>
      <c r="S8637" s="218"/>
    </row>
    <row r="8638" spans="13:19" ht="15" customHeight="1" x14ac:dyDescent="0.25">
      <c r="M8638"/>
      <c r="N8638"/>
      <c r="O8638"/>
      <c r="P8638" s="216"/>
      <c r="Q8638" s="217"/>
      <c r="R8638" s="217"/>
      <c r="S8638" s="218"/>
    </row>
    <row r="8639" spans="13:19" ht="15" customHeight="1" x14ac:dyDescent="0.25">
      <c r="M8639"/>
      <c r="N8639"/>
      <c r="O8639"/>
      <c r="P8639" s="216"/>
      <c r="Q8639" s="217"/>
      <c r="R8639" s="217"/>
      <c r="S8639" s="218"/>
    </row>
    <row r="8640" spans="13:19" ht="15" customHeight="1" x14ac:dyDescent="0.25">
      <c r="M8640"/>
      <c r="N8640"/>
      <c r="O8640"/>
      <c r="P8640" s="216"/>
      <c r="Q8640" s="217"/>
      <c r="R8640" s="217"/>
      <c r="S8640" s="218"/>
    </row>
    <row r="8641" spans="13:19" ht="15" customHeight="1" x14ac:dyDescent="0.25">
      <c r="M8641"/>
      <c r="N8641"/>
      <c r="O8641"/>
      <c r="P8641" s="216"/>
      <c r="Q8641" s="217"/>
      <c r="R8641" s="217"/>
      <c r="S8641" s="218"/>
    </row>
    <row r="8642" spans="13:19" ht="15" customHeight="1" x14ac:dyDescent="0.25">
      <c r="M8642"/>
      <c r="N8642"/>
      <c r="O8642"/>
      <c r="P8642" s="216"/>
      <c r="Q8642" s="217"/>
      <c r="R8642" s="217"/>
      <c r="S8642" s="218"/>
    </row>
    <row r="8643" spans="13:19" ht="15" customHeight="1" x14ac:dyDescent="0.25">
      <c r="M8643"/>
      <c r="N8643"/>
      <c r="O8643"/>
      <c r="P8643" s="216"/>
      <c r="Q8643" s="217"/>
      <c r="R8643" s="217"/>
      <c r="S8643" s="218"/>
    </row>
    <row r="8644" spans="13:19" ht="15" customHeight="1" x14ac:dyDescent="0.25">
      <c r="M8644"/>
      <c r="N8644"/>
      <c r="O8644"/>
      <c r="P8644" s="216"/>
      <c r="Q8644" s="217"/>
      <c r="R8644" s="217"/>
      <c r="S8644" s="218"/>
    </row>
    <row r="8645" spans="13:19" ht="15" customHeight="1" x14ac:dyDescent="0.25">
      <c r="M8645"/>
      <c r="N8645"/>
      <c r="O8645"/>
      <c r="P8645" s="216"/>
      <c r="Q8645" s="217"/>
      <c r="R8645" s="217"/>
      <c r="S8645" s="218"/>
    </row>
    <row r="8646" spans="13:19" ht="15" customHeight="1" x14ac:dyDescent="0.25">
      <c r="M8646"/>
      <c r="N8646"/>
      <c r="O8646"/>
      <c r="P8646" s="216"/>
      <c r="Q8646" s="217"/>
      <c r="R8646" s="217"/>
      <c r="S8646" s="218"/>
    </row>
    <row r="8647" spans="13:19" ht="15" customHeight="1" x14ac:dyDescent="0.25">
      <c r="M8647"/>
      <c r="N8647"/>
      <c r="O8647"/>
      <c r="P8647" s="216"/>
      <c r="Q8647" s="217"/>
      <c r="R8647" s="217"/>
      <c r="S8647" s="218"/>
    </row>
    <row r="8648" spans="13:19" ht="15" customHeight="1" x14ac:dyDescent="0.25">
      <c r="M8648"/>
      <c r="N8648"/>
      <c r="O8648"/>
      <c r="P8648" s="216"/>
      <c r="Q8648" s="217"/>
      <c r="R8648" s="217"/>
      <c r="S8648" s="218"/>
    </row>
    <row r="8649" spans="13:19" ht="15" customHeight="1" x14ac:dyDescent="0.25">
      <c r="M8649"/>
      <c r="N8649"/>
      <c r="O8649"/>
      <c r="P8649" s="216"/>
      <c r="Q8649" s="217"/>
      <c r="R8649" s="217"/>
      <c r="S8649" s="218"/>
    </row>
    <row r="8650" spans="13:19" ht="15" customHeight="1" x14ac:dyDescent="0.25">
      <c r="M8650"/>
      <c r="N8650"/>
      <c r="O8650"/>
      <c r="P8650" s="216"/>
      <c r="Q8650" s="217"/>
      <c r="R8650" s="217"/>
      <c r="S8650" s="218"/>
    </row>
    <row r="8651" spans="13:19" ht="15" customHeight="1" x14ac:dyDescent="0.25">
      <c r="M8651"/>
      <c r="N8651"/>
      <c r="O8651"/>
      <c r="P8651" s="216"/>
      <c r="Q8651" s="217"/>
      <c r="R8651" s="217"/>
      <c r="S8651" s="218"/>
    </row>
    <row r="8652" spans="13:19" ht="15" customHeight="1" x14ac:dyDescent="0.25">
      <c r="M8652"/>
      <c r="N8652"/>
      <c r="O8652"/>
      <c r="P8652" s="216"/>
      <c r="Q8652" s="217"/>
      <c r="R8652" s="217"/>
      <c r="S8652" s="218"/>
    </row>
    <row r="8653" spans="13:19" ht="15" customHeight="1" x14ac:dyDescent="0.25">
      <c r="M8653"/>
      <c r="N8653"/>
      <c r="O8653"/>
      <c r="P8653" s="216"/>
      <c r="Q8653" s="217"/>
      <c r="R8653" s="217"/>
      <c r="S8653" s="218"/>
    </row>
    <row r="8654" spans="13:19" ht="15" customHeight="1" x14ac:dyDescent="0.25">
      <c r="M8654"/>
      <c r="N8654"/>
      <c r="O8654"/>
      <c r="P8654" s="216"/>
      <c r="Q8654" s="217"/>
      <c r="R8654" s="217"/>
      <c r="S8654" s="218"/>
    </row>
    <row r="8655" spans="13:19" ht="15" customHeight="1" x14ac:dyDescent="0.25">
      <c r="M8655"/>
      <c r="N8655"/>
      <c r="O8655"/>
      <c r="P8655" s="216"/>
      <c r="Q8655" s="217"/>
      <c r="R8655" s="217"/>
      <c r="S8655" s="218"/>
    </row>
    <row r="8656" spans="13:19" ht="15" customHeight="1" x14ac:dyDescent="0.25">
      <c r="M8656"/>
      <c r="N8656"/>
      <c r="O8656"/>
      <c r="P8656" s="216"/>
      <c r="Q8656" s="217"/>
      <c r="R8656" s="217"/>
      <c r="S8656" s="218"/>
    </row>
    <row r="8657" spans="13:19" ht="15" customHeight="1" x14ac:dyDescent="0.25">
      <c r="M8657"/>
      <c r="N8657"/>
      <c r="O8657"/>
      <c r="P8657" s="216"/>
      <c r="Q8657" s="217"/>
      <c r="R8657" s="217"/>
      <c r="S8657" s="218"/>
    </row>
    <row r="8658" spans="13:19" ht="15" customHeight="1" x14ac:dyDescent="0.25">
      <c r="M8658"/>
      <c r="N8658"/>
      <c r="O8658"/>
      <c r="P8658" s="216"/>
      <c r="Q8658" s="217"/>
      <c r="R8658" s="217"/>
      <c r="S8658" s="218"/>
    </row>
    <row r="8659" spans="13:19" ht="15" customHeight="1" x14ac:dyDescent="0.25">
      <c r="M8659"/>
      <c r="N8659"/>
      <c r="O8659"/>
      <c r="P8659" s="216"/>
      <c r="Q8659" s="217"/>
      <c r="R8659" s="217"/>
      <c r="S8659" s="218"/>
    </row>
    <row r="8660" spans="13:19" ht="15" customHeight="1" x14ac:dyDescent="0.25">
      <c r="M8660"/>
      <c r="N8660"/>
      <c r="O8660"/>
      <c r="P8660" s="216"/>
      <c r="Q8660" s="217"/>
      <c r="R8660" s="217"/>
      <c r="S8660" s="218"/>
    </row>
    <row r="8661" spans="13:19" ht="15" customHeight="1" x14ac:dyDescent="0.25">
      <c r="M8661"/>
      <c r="N8661"/>
      <c r="O8661"/>
      <c r="P8661" s="216"/>
      <c r="Q8661" s="217"/>
      <c r="R8661" s="217"/>
      <c r="S8661" s="218"/>
    </row>
    <row r="8662" spans="13:19" ht="15" customHeight="1" x14ac:dyDescent="0.25">
      <c r="M8662"/>
      <c r="N8662"/>
      <c r="O8662"/>
      <c r="P8662" s="216"/>
      <c r="Q8662" s="217"/>
      <c r="R8662" s="217"/>
      <c r="S8662" s="218"/>
    </row>
    <row r="8663" spans="13:19" ht="15" customHeight="1" x14ac:dyDescent="0.25">
      <c r="M8663"/>
      <c r="N8663"/>
      <c r="O8663"/>
      <c r="P8663" s="216"/>
      <c r="Q8663" s="217"/>
      <c r="R8663" s="217"/>
      <c r="S8663" s="218"/>
    </row>
    <row r="8664" spans="13:19" ht="15" customHeight="1" x14ac:dyDescent="0.25">
      <c r="M8664"/>
      <c r="N8664"/>
      <c r="O8664"/>
      <c r="P8664" s="216"/>
      <c r="Q8664" s="217"/>
      <c r="R8664" s="217"/>
      <c r="S8664" s="218"/>
    </row>
    <row r="8665" spans="13:19" ht="15" customHeight="1" x14ac:dyDescent="0.25">
      <c r="M8665"/>
      <c r="N8665"/>
      <c r="O8665"/>
      <c r="P8665" s="216"/>
      <c r="Q8665" s="217"/>
      <c r="R8665" s="217"/>
      <c r="S8665" s="218"/>
    </row>
    <row r="8666" spans="13:19" ht="15" customHeight="1" x14ac:dyDescent="0.25">
      <c r="M8666"/>
      <c r="N8666"/>
      <c r="O8666"/>
      <c r="P8666" s="216"/>
      <c r="Q8666" s="217"/>
      <c r="R8666" s="217"/>
      <c r="S8666" s="218"/>
    </row>
    <row r="8667" spans="13:19" ht="15" customHeight="1" x14ac:dyDescent="0.25">
      <c r="M8667"/>
      <c r="N8667"/>
      <c r="O8667"/>
      <c r="P8667" s="216"/>
      <c r="Q8667" s="217"/>
      <c r="R8667" s="217"/>
      <c r="S8667" s="218"/>
    </row>
    <row r="8668" spans="13:19" ht="15" customHeight="1" x14ac:dyDescent="0.25">
      <c r="M8668"/>
      <c r="N8668"/>
      <c r="O8668"/>
      <c r="P8668" s="216"/>
      <c r="Q8668" s="217"/>
      <c r="R8668" s="217"/>
      <c r="S8668" s="218"/>
    </row>
    <row r="8669" spans="13:19" ht="15" customHeight="1" x14ac:dyDescent="0.25">
      <c r="M8669"/>
      <c r="N8669"/>
      <c r="O8669"/>
      <c r="P8669" s="216"/>
      <c r="Q8669" s="217"/>
      <c r="R8669" s="217"/>
      <c r="S8669" s="218"/>
    </row>
    <row r="8670" spans="13:19" ht="15" customHeight="1" x14ac:dyDescent="0.25">
      <c r="M8670"/>
      <c r="N8670"/>
      <c r="O8670"/>
      <c r="P8670" s="216"/>
      <c r="Q8670" s="217"/>
      <c r="R8670" s="217"/>
      <c r="S8670" s="218"/>
    </row>
    <row r="8671" spans="13:19" ht="15" customHeight="1" x14ac:dyDescent="0.25">
      <c r="M8671"/>
      <c r="N8671"/>
      <c r="O8671"/>
      <c r="P8671" s="216"/>
      <c r="Q8671" s="217"/>
      <c r="R8671" s="217"/>
      <c r="S8671" s="218"/>
    </row>
    <row r="8672" spans="13:19" ht="15" customHeight="1" x14ac:dyDescent="0.25">
      <c r="M8672"/>
      <c r="N8672"/>
      <c r="O8672"/>
      <c r="P8672" s="216"/>
      <c r="Q8672" s="217"/>
      <c r="R8672" s="217"/>
      <c r="S8672" s="218"/>
    </row>
    <row r="8673" spans="13:19" ht="15" customHeight="1" x14ac:dyDescent="0.25">
      <c r="M8673"/>
      <c r="N8673"/>
      <c r="O8673"/>
      <c r="P8673" s="216"/>
      <c r="Q8673" s="217"/>
      <c r="R8673" s="217"/>
      <c r="S8673" s="218"/>
    </row>
    <row r="8674" spans="13:19" ht="15" customHeight="1" x14ac:dyDescent="0.25">
      <c r="M8674"/>
      <c r="N8674"/>
      <c r="O8674"/>
      <c r="P8674" s="216"/>
      <c r="Q8674" s="217"/>
      <c r="R8674" s="217"/>
      <c r="S8674" s="218"/>
    </row>
    <row r="8675" spans="13:19" ht="15" customHeight="1" x14ac:dyDescent="0.25">
      <c r="M8675"/>
      <c r="N8675"/>
      <c r="O8675"/>
      <c r="P8675" s="216"/>
      <c r="Q8675" s="217"/>
      <c r="R8675" s="217"/>
      <c r="S8675" s="218"/>
    </row>
    <row r="8676" spans="13:19" ht="15" customHeight="1" x14ac:dyDescent="0.25">
      <c r="M8676"/>
      <c r="N8676"/>
      <c r="O8676"/>
      <c r="P8676" s="216"/>
      <c r="Q8676" s="217"/>
      <c r="R8676" s="217"/>
      <c r="S8676" s="218"/>
    </row>
    <row r="8677" spans="13:19" ht="15" customHeight="1" x14ac:dyDescent="0.25">
      <c r="M8677"/>
      <c r="N8677"/>
      <c r="O8677"/>
      <c r="P8677" s="216"/>
      <c r="Q8677" s="217"/>
      <c r="R8677" s="217"/>
      <c r="S8677" s="218"/>
    </row>
    <row r="8678" spans="13:19" ht="15" customHeight="1" x14ac:dyDescent="0.25">
      <c r="M8678"/>
      <c r="N8678"/>
      <c r="O8678"/>
      <c r="P8678" s="216"/>
      <c r="Q8678" s="217"/>
      <c r="R8678" s="217"/>
      <c r="S8678" s="218"/>
    </row>
    <row r="8679" spans="13:19" ht="15" customHeight="1" x14ac:dyDescent="0.25">
      <c r="M8679"/>
      <c r="N8679"/>
      <c r="O8679"/>
      <c r="P8679" s="216"/>
      <c r="Q8679" s="217"/>
      <c r="R8679" s="217"/>
      <c r="S8679" s="218"/>
    </row>
    <row r="8680" spans="13:19" ht="15" customHeight="1" x14ac:dyDescent="0.25">
      <c r="M8680"/>
      <c r="N8680"/>
      <c r="O8680"/>
      <c r="P8680" s="216"/>
      <c r="Q8680" s="217"/>
      <c r="R8680" s="217"/>
      <c r="S8680" s="218"/>
    </row>
    <row r="8681" spans="13:19" ht="15" customHeight="1" x14ac:dyDescent="0.25">
      <c r="M8681"/>
      <c r="N8681"/>
      <c r="O8681"/>
      <c r="P8681" s="216"/>
      <c r="Q8681" s="217"/>
      <c r="R8681" s="217"/>
      <c r="S8681" s="218"/>
    </row>
    <row r="8682" spans="13:19" ht="15" customHeight="1" x14ac:dyDescent="0.25">
      <c r="M8682"/>
      <c r="N8682"/>
      <c r="O8682"/>
      <c r="P8682" s="216"/>
      <c r="Q8682" s="217"/>
      <c r="R8682" s="217"/>
      <c r="S8682" s="218"/>
    </row>
    <row r="8683" spans="13:19" ht="15" customHeight="1" x14ac:dyDescent="0.25">
      <c r="M8683"/>
      <c r="N8683"/>
      <c r="O8683"/>
      <c r="P8683" s="216"/>
      <c r="Q8683" s="217"/>
      <c r="R8683" s="217"/>
      <c r="S8683" s="218"/>
    </row>
    <row r="8684" spans="13:19" ht="15" customHeight="1" x14ac:dyDescent="0.25">
      <c r="M8684"/>
      <c r="N8684"/>
      <c r="O8684"/>
      <c r="P8684" s="216"/>
      <c r="Q8684" s="217"/>
      <c r="R8684" s="217"/>
      <c r="S8684" s="218"/>
    </row>
    <row r="8685" spans="13:19" ht="15" customHeight="1" x14ac:dyDescent="0.25">
      <c r="M8685"/>
      <c r="N8685"/>
      <c r="O8685"/>
      <c r="P8685" s="216"/>
      <c r="Q8685" s="217"/>
      <c r="R8685" s="217"/>
      <c r="S8685" s="218"/>
    </row>
    <row r="8686" spans="13:19" ht="15" customHeight="1" x14ac:dyDescent="0.25">
      <c r="M8686"/>
      <c r="N8686"/>
      <c r="O8686"/>
      <c r="P8686" s="216"/>
      <c r="Q8686" s="217"/>
      <c r="R8686" s="217"/>
      <c r="S8686" s="218"/>
    </row>
    <row r="8687" spans="13:19" ht="15" customHeight="1" x14ac:dyDescent="0.25">
      <c r="M8687"/>
      <c r="N8687"/>
      <c r="O8687"/>
      <c r="P8687" s="216"/>
      <c r="Q8687" s="217"/>
      <c r="R8687" s="217"/>
      <c r="S8687" s="218"/>
    </row>
    <row r="8688" spans="13:19" ht="15" customHeight="1" x14ac:dyDescent="0.25">
      <c r="M8688"/>
      <c r="N8688"/>
      <c r="O8688"/>
      <c r="P8688" s="216"/>
      <c r="Q8688" s="217"/>
      <c r="R8688" s="217"/>
      <c r="S8688" s="218"/>
    </row>
    <row r="8689" spans="13:19" ht="15" customHeight="1" x14ac:dyDescent="0.25">
      <c r="M8689"/>
      <c r="N8689"/>
      <c r="O8689"/>
      <c r="P8689" s="216"/>
      <c r="Q8689" s="217"/>
      <c r="R8689" s="217"/>
      <c r="S8689" s="218"/>
    </row>
    <row r="8690" spans="13:19" ht="15" customHeight="1" x14ac:dyDescent="0.25">
      <c r="M8690"/>
      <c r="N8690"/>
      <c r="O8690"/>
      <c r="P8690" s="216"/>
      <c r="Q8690" s="217"/>
      <c r="R8690" s="217"/>
      <c r="S8690" s="218"/>
    </row>
    <row r="8691" spans="13:19" ht="15" customHeight="1" x14ac:dyDescent="0.25">
      <c r="M8691"/>
      <c r="N8691"/>
      <c r="O8691"/>
      <c r="P8691" s="216"/>
      <c r="Q8691" s="217"/>
      <c r="R8691" s="217"/>
      <c r="S8691" s="218"/>
    </row>
    <row r="8692" spans="13:19" ht="15" customHeight="1" x14ac:dyDescent="0.25">
      <c r="M8692"/>
      <c r="N8692"/>
      <c r="O8692"/>
      <c r="P8692" s="216"/>
      <c r="Q8692" s="217"/>
      <c r="R8692" s="217"/>
      <c r="S8692" s="218"/>
    </row>
    <row r="8693" spans="13:19" ht="15" customHeight="1" x14ac:dyDescent="0.25">
      <c r="M8693"/>
      <c r="N8693"/>
      <c r="O8693"/>
      <c r="P8693" s="216"/>
      <c r="Q8693" s="217"/>
      <c r="R8693" s="217"/>
      <c r="S8693" s="218"/>
    </row>
    <row r="8694" spans="13:19" ht="15" customHeight="1" x14ac:dyDescent="0.25">
      <c r="M8694"/>
      <c r="N8694"/>
      <c r="O8694"/>
      <c r="P8694" s="216"/>
      <c r="Q8694" s="217"/>
      <c r="R8694" s="217"/>
      <c r="S8694" s="218"/>
    </row>
    <row r="8695" spans="13:19" ht="15" customHeight="1" x14ac:dyDescent="0.25">
      <c r="M8695"/>
      <c r="N8695"/>
      <c r="O8695"/>
      <c r="P8695" s="216"/>
      <c r="Q8695" s="217"/>
      <c r="R8695" s="217"/>
      <c r="S8695" s="218"/>
    </row>
    <row r="8696" spans="13:19" ht="15" customHeight="1" x14ac:dyDescent="0.25">
      <c r="M8696"/>
      <c r="N8696"/>
      <c r="O8696"/>
      <c r="P8696" s="216"/>
      <c r="Q8696" s="217"/>
      <c r="R8696" s="217"/>
      <c r="S8696" s="218"/>
    </row>
    <row r="8697" spans="13:19" ht="15" customHeight="1" x14ac:dyDescent="0.25">
      <c r="M8697"/>
      <c r="N8697"/>
      <c r="O8697"/>
      <c r="P8697" s="216"/>
      <c r="Q8697" s="217"/>
      <c r="R8697" s="217"/>
      <c r="S8697" s="218"/>
    </row>
    <row r="8698" spans="13:19" ht="15" customHeight="1" x14ac:dyDescent="0.25">
      <c r="M8698"/>
      <c r="N8698"/>
      <c r="O8698"/>
      <c r="P8698" s="216"/>
      <c r="Q8698" s="217"/>
      <c r="R8698" s="217"/>
      <c r="S8698" s="218"/>
    </row>
    <row r="8699" spans="13:19" ht="15" customHeight="1" x14ac:dyDescent="0.25">
      <c r="M8699"/>
      <c r="N8699"/>
      <c r="O8699"/>
      <c r="P8699" s="216"/>
      <c r="Q8699" s="217"/>
      <c r="R8699" s="217"/>
      <c r="S8699" s="218"/>
    </row>
    <row r="8700" spans="13:19" ht="15" customHeight="1" x14ac:dyDescent="0.25">
      <c r="M8700"/>
      <c r="N8700"/>
      <c r="O8700"/>
      <c r="P8700" s="216"/>
      <c r="Q8700" s="217"/>
      <c r="R8700" s="217"/>
      <c r="S8700" s="218"/>
    </row>
    <row r="8701" spans="13:19" ht="15" customHeight="1" x14ac:dyDescent="0.25">
      <c r="M8701"/>
      <c r="N8701"/>
      <c r="O8701"/>
      <c r="P8701" s="216"/>
      <c r="Q8701" s="217"/>
      <c r="R8701" s="217"/>
      <c r="S8701" s="218"/>
    </row>
    <row r="8702" spans="13:19" ht="15" customHeight="1" x14ac:dyDescent="0.25">
      <c r="M8702"/>
      <c r="N8702"/>
      <c r="O8702"/>
      <c r="P8702" s="216"/>
      <c r="Q8702" s="217"/>
      <c r="R8702" s="217"/>
      <c r="S8702" s="218"/>
    </row>
    <row r="8703" spans="13:19" ht="15" customHeight="1" x14ac:dyDescent="0.25">
      <c r="M8703"/>
      <c r="N8703"/>
      <c r="O8703"/>
      <c r="P8703" s="216"/>
      <c r="Q8703" s="217"/>
      <c r="R8703" s="217"/>
      <c r="S8703" s="218"/>
    </row>
    <row r="8704" spans="13:19" ht="15" customHeight="1" x14ac:dyDescent="0.25">
      <c r="M8704"/>
      <c r="N8704"/>
      <c r="O8704"/>
      <c r="P8704" s="216"/>
      <c r="Q8704" s="217"/>
      <c r="R8704" s="217"/>
      <c r="S8704" s="218"/>
    </row>
    <row r="8705" spans="13:19" ht="15" customHeight="1" x14ac:dyDescent="0.25">
      <c r="M8705"/>
      <c r="N8705"/>
      <c r="O8705"/>
      <c r="P8705" s="216"/>
      <c r="Q8705" s="217"/>
      <c r="R8705" s="217"/>
      <c r="S8705" s="218"/>
    </row>
    <row r="8706" spans="13:19" ht="15" customHeight="1" x14ac:dyDescent="0.25">
      <c r="M8706"/>
      <c r="N8706"/>
      <c r="O8706"/>
      <c r="P8706" s="216"/>
      <c r="Q8706" s="217"/>
      <c r="R8706" s="217"/>
      <c r="S8706" s="218"/>
    </row>
    <row r="8707" spans="13:19" ht="15" customHeight="1" x14ac:dyDescent="0.25">
      <c r="M8707"/>
      <c r="N8707"/>
      <c r="O8707"/>
      <c r="P8707" s="216"/>
      <c r="Q8707" s="217"/>
      <c r="R8707" s="217"/>
      <c r="S8707" s="218"/>
    </row>
    <row r="8708" spans="13:19" ht="15" customHeight="1" x14ac:dyDescent="0.25">
      <c r="M8708"/>
      <c r="N8708"/>
      <c r="O8708"/>
      <c r="P8708" s="216"/>
      <c r="Q8708" s="217"/>
      <c r="R8708" s="217"/>
      <c r="S8708" s="218"/>
    </row>
    <row r="8709" spans="13:19" ht="15" customHeight="1" x14ac:dyDescent="0.25">
      <c r="M8709"/>
      <c r="N8709"/>
      <c r="O8709"/>
      <c r="P8709" s="216"/>
      <c r="Q8709" s="217"/>
      <c r="R8709" s="217"/>
      <c r="S8709" s="218"/>
    </row>
    <row r="8710" spans="13:19" ht="15" customHeight="1" x14ac:dyDescent="0.25">
      <c r="M8710"/>
      <c r="N8710"/>
      <c r="O8710"/>
      <c r="P8710" s="216"/>
      <c r="Q8710" s="217"/>
      <c r="R8710" s="217"/>
      <c r="S8710" s="218"/>
    </row>
    <row r="8711" spans="13:19" ht="15" customHeight="1" x14ac:dyDescent="0.25">
      <c r="M8711"/>
      <c r="N8711"/>
      <c r="O8711"/>
      <c r="P8711" s="216"/>
      <c r="Q8711" s="217"/>
      <c r="R8711" s="217"/>
      <c r="S8711" s="218"/>
    </row>
    <row r="8712" spans="13:19" ht="15" customHeight="1" x14ac:dyDescent="0.25">
      <c r="M8712"/>
      <c r="N8712"/>
      <c r="O8712"/>
      <c r="P8712" s="216"/>
      <c r="Q8712" s="217"/>
      <c r="R8712" s="217"/>
      <c r="S8712" s="218"/>
    </row>
    <row r="8713" spans="13:19" ht="15" customHeight="1" x14ac:dyDescent="0.25">
      <c r="M8713"/>
      <c r="N8713"/>
      <c r="O8713"/>
      <c r="P8713" s="216"/>
      <c r="Q8713" s="217"/>
      <c r="R8713" s="217"/>
      <c r="S8713" s="218"/>
    </row>
    <row r="8714" spans="13:19" ht="15" customHeight="1" x14ac:dyDescent="0.25">
      <c r="M8714"/>
      <c r="N8714"/>
      <c r="O8714"/>
      <c r="P8714" s="216"/>
      <c r="Q8714" s="217"/>
      <c r="R8714" s="217"/>
      <c r="S8714" s="218"/>
    </row>
    <row r="8715" spans="13:19" ht="15" customHeight="1" x14ac:dyDescent="0.25">
      <c r="M8715"/>
      <c r="N8715"/>
      <c r="O8715"/>
      <c r="P8715" s="216"/>
      <c r="Q8715" s="217"/>
      <c r="R8715" s="217"/>
      <c r="S8715" s="218"/>
    </row>
    <row r="8716" spans="13:19" ht="15" customHeight="1" x14ac:dyDescent="0.25">
      <c r="M8716"/>
      <c r="N8716"/>
      <c r="O8716"/>
      <c r="P8716" s="216"/>
      <c r="Q8716" s="217"/>
      <c r="R8716" s="217"/>
      <c r="S8716" s="218"/>
    </row>
    <row r="8717" spans="13:19" ht="15" customHeight="1" x14ac:dyDescent="0.25">
      <c r="M8717"/>
      <c r="N8717"/>
      <c r="O8717"/>
      <c r="P8717" s="216"/>
      <c r="Q8717" s="217"/>
      <c r="R8717" s="217"/>
      <c r="S8717" s="218"/>
    </row>
    <row r="8718" spans="13:19" ht="15" customHeight="1" x14ac:dyDescent="0.25">
      <c r="M8718"/>
      <c r="N8718"/>
      <c r="O8718"/>
      <c r="P8718" s="216"/>
      <c r="Q8718" s="217"/>
      <c r="R8718" s="217"/>
      <c r="S8718" s="218"/>
    </row>
    <row r="8719" spans="13:19" ht="15" customHeight="1" x14ac:dyDescent="0.25">
      <c r="M8719"/>
      <c r="N8719"/>
      <c r="O8719"/>
      <c r="P8719" s="216"/>
      <c r="Q8719" s="217"/>
      <c r="R8719" s="217"/>
      <c r="S8719" s="218"/>
    </row>
    <row r="8720" spans="13:19" ht="15" customHeight="1" x14ac:dyDescent="0.25">
      <c r="M8720"/>
      <c r="N8720"/>
      <c r="O8720"/>
      <c r="P8720" s="216"/>
      <c r="Q8720" s="217"/>
      <c r="R8720" s="217"/>
      <c r="S8720" s="218"/>
    </row>
    <row r="8721" spans="13:19" ht="15" customHeight="1" x14ac:dyDescent="0.25">
      <c r="M8721"/>
      <c r="N8721"/>
      <c r="O8721"/>
      <c r="P8721" s="216"/>
      <c r="Q8721" s="217"/>
      <c r="R8721" s="217"/>
      <c r="S8721" s="218"/>
    </row>
    <row r="8722" spans="13:19" ht="15" customHeight="1" x14ac:dyDescent="0.25">
      <c r="M8722"/>
      <c r="N8722"/>
      <c r="O8722"/>
      <c r="P8722" s="216"/>
      <c r="Q8722" s="217"/>
      <c r="R8722" s="217"/>
      <c r="S8722" s="218"/>
    </row>
    <row r="8723" spans="13:19" ht="15" customHeight="1" x14ac:dyDescent="0.25">
      <c r="M8723"/>
      <c r="N8723"/>
      <c r="O8723"/>
      <c r="P8723" s="216"/>
      <c r="Q8723" s="217"/>
      <c r="R8723" s="217"/>
      <c r="S8723" s="218"/>
    </row>
    <row r="8724" spans="13:19" ht="15" customHeight="1" x14ac:dyDescent="0.25">
      <c r="M8724"/>
      <c r="N8724"/>
      <c r="O8724"/>
      <c r="P8724" s="216"/>
      <c r="Q8724" s="217"/>
      <c r="R8724" s="217"/>
      <c r="S8724" s="218"/>
    </row>
    <row r="8725" spans="13:19" ht="15" customHeight="1" x14ac:dyDescent="0.25">
      <c r="M8725"/>
      <c r="N8725"/>
      <c r="O8725"/>
      <c r="P8725" s="216"/>
      <c r="Q8725" s="217"/>
      <c r="R8725" s="217"/>
      <c r="S8725" s="218"/>
    </row>
    <row r="8726" spans="13:19" ht="15" customHeight="1" x14ac:dyDescent="0.25">
      <c r="M8726"/>
      <c r="N8726"/>
      <c r="O8726"/>
      <c r="P8726" s="216"/>
      <c r="Q8726" s="217"/>
      <c r="R8726" s="217"/>
      <c r="S8726" s="218"/>
    </row>
    <row r="8727" spans="13:19" ht="15" customHeight="1" x14ac:dyDescent="0.25">
      <c r="M8727"/>
      <c r="N8727"/>
      <c r="O8727"/>
      <c r="P8727" s="216"/>
      <c r="Q8727" s="217"/>
      <c r="R8727" s="217"/>
      <c r="S8727" s="218"/>
    </row>
    <row r="8728" spans="13:19" ht="15" customHeight="1" x14ac:dyDescent="0.25">
      <c r="M8728"/>
      <c r="N8728"/>
      <c r="O8728"/>
      <c r="P8728" s="216"/>
      <c r="Q8728" s="217"/>
      <c r="R8728" s="217"/>
      <c r="S8728" s="218"/>
    </row>
    <row r="8729" spans="13:19" ht="15" customHeight="1" x14ac:dyDescent="0.25">
      <c r="M8729"/>
      <c r="N8729"/>
      <c r="O8729"/>
      <c r="P8729" s="216"/>
      <c r="Q8729" s="217"/>
      <c r="R8729" s="217"/>
      <c r="S8729" s="218"/>
    </row>
    <row r="8730" spans="13:19" ht="15" customHeight="1" x14ac:dyDescent="0.25">
      <c r="M8730"/>
      <c r="N8730"/>
      <c r="O8730"/>
      <c r="P8730" s="216"/>
      <c r="Q8730" s="217"/>
      <c r="R8730" s="217"/>
      <c r="S8730" s="218"/>
    </row>
    <row r="8731" spans="13:19" ht="15" customHeight="1" x14ac:dyDescent="0.25">
      <c r="M8731"/>
      <c r="N8731"/>
      <c r="O8731"/>
      <c r="P8731" s="216"/>
      <c r="Q8731" s="217"/>
      <c r="R8731" s="217"/>
      <c r="S8731" s="218"/>
    </row>
    <row r="8732" spans="13:19" ht="15" customHeight="1" x14ac:dyDescent="0.25">
      <c r="M8732"/>
      <c r="N8732"/>
      <c r="O8732"/>
      <c r="P8732" s="216"/>
      <c r="Q8732" s="217"/>
      <c r="R8732" s="217"/>
      <c r="S8732" s="218"/>
    </row>
    <row r="8733" spans="13:19" ht="15" customHeight="1" x14ac:dyDescent="0.25">
      <c r="M8733"/>
      <c r="N8733"/>
      <c r="O8733"/>
      <c r="P8733" s="216"/>
      <c r="Q8733" s="217"/>
      <c r="R8733" s="217"/>
      <c r="S8733" s="218"/>
    </row>
    <row r="8734" spans="13:19" ht="15" customHeight="1" x14ac:dyDescent="0.25">
      <c r="M8734"/>
      <c r="N8734"/>
      <c r="O8734"/>
      <c r="P8734" s="216"/>
      <c r="Q8734" s="217"/>
      <c r="R8734" s="217"/>
      <c r="S8734" s="218"/>
    </row>
    <row r="8735" spans="13:19" ht="15" customHeight="1" x14ac:dyDescent="0.25">
      <c r="M8735"/>
      <c r="N8735"/>
      <c r="O8735"/>
      <c r="P8735" s="216"/>
      <c r="Q8735" s="217"/>
      <c r="R8735" s="217"/>
      <c r="S8735" s="218"/>
    </row>
    <row r="8736" spans="13:19" ht="15" customHeight="1" x14ac:dyDescent="0.25">
      <c r="M8736"/>
      <c r="N8736"/>
      <c r="O8736"/>
      <c r="P8736" s="216"/>
      <c r="Q8736" s="217"/>
      <c r="R8736" s="217"/>
      <c r="S8736" s="218"/>
    </row>
    <row r="8737" spans="13:19" ht="15" customHeight="1" x14ac:dyDescent="0.25">
      <c r="M8737"/>
      <c r="N8737"/>
      <c r="O8737"/>
      <c r="P8737" s="216"/>
      <c r="Q8737" s="217"/>
      <c r="R8737" s="217"/>
      <c r="S8737" s="218"/>
    </row>
    <row r="8738" spans="13:19" ht="15" customHeight="1" x14ac:dyDescent="0.25">
      <c r="M8738"/>
      <c r="N8738"/>
      <c r="O8738"/>
      <c r="P8738" s="216"/>
      <c r="Q8738" s="217"/>
      <c r="R8738" s="217"/>
      <c r="S8738" s="218"/>
    </row>
    <row r="8739" spans="13:19" ht="15" customHeight="1" x14ac:dyDescent="0.25">
      <c r="M8739"/>
      <c r="N8739"/>
      <c r="O8739"/>
      <c r="P8739" s="216"/>
      <c r="Q8739" s="217"/>
      <c r="R8739" s="217"/>
      <c r="S8739" s="218"/>
    </row>
    <row r="8740" spans="13:19" ht="15" customHeight="1" x14ac:dyDescent="0.25">
      <c r="M8740"/>
      <c r="N8740"/>
      <c r="O8740"/>
      <c r="P8740" s="216"/>
      <c r="Q8740" s="217"/>
      <c r="R8740" s="217"/>
      <c r="S8740" s="218"/>
    </row>
    <row r="8741" spans="13:19" ht="15" customHeight="1" x14ac:dyDescent="0.25">
      <c r="M8741"/>
      <c r="N8741"/>
      <c r="O8741"/>
      <c r="P8741" s="216"/>
      <c r="Q8741" s="217"/>
      <c r="R8741" s="217"/>
      <c r="S8741" s="218"/>
    </row>
    <row r="8742" spans="13:19" ht="15" customHeight="1" x14ac:dyDescent="0.25">
      <c r="M8742"/>
      <c r="N8742"/>
      <c r="O8742"/>
      <c r="P8742" s="216"/>
      <c r="Q8742" s="217"/>
      <c r="R8742" s="217"/>
      <c r="S8742" s="218"/>
    </row>
    <row r="8743" spans="13:19" ht="15" customHeight="1" x14ac:dyDescent="0.25">
      <c r="M8743"/>
      <c r="N8743"/>
      <c r="O8743"/>
      <c r="P8743" s="216"/>
      <c r="Q8743" s="217"/>
      <c r="R8743" s="217"/>
      <c r="S8743" s="218"/>
    </row>
    <row r="8744" spans="13:19" ht="15" customHeight="1" x14ac:dyDescent="0.25">
      <c r="M8744"/>
      <c r="N8744"/>
      <c r="O8744"/>
      <c r="P8744" s="216"/>
      <c r="Q8744" s="217"/>
      <c r="R8744" s="217"/>
      <c r="S8744" s="218"/>
    </row>
    <row r="8745" spans="13:19" ht="15" customHeight="1" x14ac:dyDescent="0.25">
      <c r="M8745"/>
      <c r="N8745"/>
      <c r="O8745"/>
      <c r="P8745" s="216"/>
      <c r="Q8745" s="217"/>
      <c r="R8745" s="217"/>
      <c r="S8745" s="218"/>
    </row>
    <row r="8746" spans="13:19" ht="15" customHeight="1" x14ac:dyDescent="0.25">
      <c r="M8746"/>
      <c r="N8746"/>
      <c r="O8746"/>
      <c r="P8746" s="216"/>
      <c r="Q8746" s="217"/>
      <c r="R8746" s="217"/>
      <c r="S8746" s="218"/>
    </row>
    <row r="8747" spans="13:19" ht="15" customHeight="1" x14ac:dyDescent="0.25">
      <c r="M8747"/>
      <c r="N8747"/>
      <c r="O8747"/>
      <c r="P8747" s="216"/>
      <c r="Q8747" s="217"/>
      <c r="R8747" s="217"/>
      <c r="S8747" s="218"/>
    </row>
    <row r="8748" spans="13:19" ht="15" customHeight="1" x14ac:dyDescent="0.25">
      <c r="M8748"/>
      <c r="N8748"/>
      <c r="O8748"/>
      <c r="P8748" s="216"/>
      <c r="Q8748" s="217"/>
      <c r="R8748" s="217"/>
      <c r="S8748" s="218"/>
    </row>
    <row r="8749" spans="13:19" ht="15" customHeight="1" x14ac:dyDescent="0.25">
      <c r="M8749"/>
      <c r="N8749"/>
      <c r="O8749"/>
      <c r="P8749" s="216"/>
      <c r="Q8749" s="217"/>
      <c r="R8749" s="217"/>
      <c r="S8749" s="218"/>
    </row>
    <row r="8750" spans="13:19" ht="15" customHeight="1" x14ac:dyDescent="0.25">
      <c r="M8750"/>
      <c r="N8750"/>
      <c r="O8750"/>
      <c r="P8750" s="216"/>
      <c r="Q8750" s="217"/>
      <c r="R8750" s="217"/>
      <c r="S8750" s="218"/>
    </row>
    <row r="8751" spans="13:19" ht="15" customHeight="1" x14ac:dyDescent="0.25">
      <c r="M8751"/>
      <c r="N8751"/>
      <c r="O8751"/>
      <c r="P8751" s="216"/>
      <c r="Q8751" s="217"/>
      <c r="R8751" s="217"/>
      <c r="S8751" s="218"/>
    </row>
    <row r="8752" spans="13:19" ht="15" customHeight="1" x14ac:dyDescent="0.25">
      <c r="M8752"/>
      <c r="N8752"/>
      <c r="O8752"/>
      <c r="P8752" s="216"/>
      <c r="Q8752" s="217"/>
      <c r="R8752" s="217"/>
      <c r="S8752" s="218"/>
    </row>
    <row r="8753" spans="13:19" ht="15" customHeight="1" x14ac:dyDescent="0.25">
      <c r="M8753"/>
      <c r="N8753"/>
      <c r="O8753"/>
      <c r="P8753" s="216"/>
      <c r="Q8753" s="217"/>
      <c r="R8753" s="217"/>
      <c r="S8753" s="218"/>
    </row>
    <row r="8754" spans="13:19" ht="15" customHeight="1" x14ac:dyDescent="0.25">
      <c r="M8754"/>
      <c r="N8754"/>
      <c r="O8754"/>
      <c r="P8754" s="216"/>
      <c r="Q8754" s="217"/>
      <c r="R8754" s="217"/>
      <c r="S8754" s="218"/>
    </row>
    <row r="8755" spans="13:19" ht="15" customHeight="1" x14ac:dyDescent="0.25">
      <c r="M8755"/>
      <c r="N8755"/>
      <c r="O8755"/>
      <c r="P8755" s="216"/>
      <c r="Q8755" s="217"/>
      <c r="R8755" s="217"/>
      <c r="S8755" s="218"/>
    </row>
    <row r="8756" spans="13:19" ht="15" customHeight="1" x14ac:dyDescent="0.25">
      <c r="M8756"/>
      <c r="N8756"/>
      <c r="O8756"/>
      <c r="P8756" s="216"/>
      <c r="Q8756" s="217"/>
      <c r="R8756" s="217"/>
      <c r="S8756" s="218"/>
    </row>
    <row r="8757" spans="13:19" ht="15" customHeight="1" x14ac:dyDescent="0.25">
      <c r="M8757"/>
      <c r="N8757"/>
      <c r="O8757"/>
      <c r="P8757" s="216"/>
      <c r="Q8757" s="217"/>
      <c r="R8757" s="217"/>
      <c r="S8757" s="218"/>
    </row>
    <row r="8758" spans="13:19" ht="15" customHeight="1" x14ac:dyDescent="0.25">
      <c r="M8758"/>
      <c r="N8758"/>
      <c r="O8758"/>
      <c r="P8758" s="216"/>
      <c r="Q8758" s="217"/>
      <c r="R8758" s="217"/>
      <c r="S8758" s="218"/>
    </row>
    <row r="8759" spans="13:19" ht="15" customHeight="1" x14ac:dyDescent="0.25">
      <c r="M8759"/>
      <c r="N8759"/>
      <c r="O8759"/>
      <c r="P8759" s="216"/>
      <c r="Q8759" s="217"/>
      <c r="R8759" s="217"/>
      <c r="S8759" s="218"/>
    </row>
    <row r="8760" spans="13:19" ht="15" customHeight="1" x14ac:dyDescent="0.25">
      <c r="M8760"/>
      <c r="N8760"/>
      <c r="O8760"/>
      <c r="P8760" s="216"/>
      <c r="Q8760" s="217"/>
      <c r="R8760" s="217"/>
      <c r="S8760" s="218"/>
    </row>
    <row r="8761" spans="13:19" ht="15" customHeight="1" x14ac:dyDescent="0.25">
      <c r="M8761"/>
      <c r="N8761"/>
      <c r="O8761"/>
      <c r="P8761" s="216"/>
      <c r="Q8761" s="217"/>
      <c r="R8761" s="217"/>
      <c r="S8761" s="218"/>
    </row>
    <row r="8762" spans="13:19" ht="15" customHeight="1" x14ac:dyDescent="0.25">
      <c r="M8762"/>
      <c r="N8762"/>
      <c r="O8762"/>
      <c r="P8762" s="216"/>
      <c r="Q8762" s="217"/>
      <c r="R8762" s="217"/>
      <c r="S8762" s="218"/>
    </row>
    <row r="8763" spans="13:19" ht="15" customHeight="1" x14ac:dyDescent="0.25">
      <c r="M8763"/>
      <c r="N8763"/>
      <c r="O8763"/>
      <c r="P8763" s="216"/>
      <c r="Q8763" s="217"/>
      <c r="R8763" s="217"/>
      <c r="S8763" s="218"/>
    </row>
    <row r="8764" spans="13:19" ht="15" customHeight="1" x14ac:dyDescent="0.25">
      <c r="M8764"/>
      <c r="N8764"/>
      <c r="O8764"/>
      <c r="P8764" s="216"/>
      <c r="Q8764" s="217"/>
      <c r="R8764" s="217"/>
      <c r="S8764" s="218"/>
    </row>
    <row r="8765" spans="13:19" ht="15" customHeight="1" x14ac:dyDescent="0.25">
      <c r="M8765"/>
      <c r="N8765"/>
      <c r="O8765"/>
      <c r="P8765" s="216"/>
      <c r="Q8765" s="217"/>
      <c r="R8765" s="217"/>
      <c r="S8765" s="218"/>
    </row>
    <row r="8766" spans="13:19" ht="15" customHeight="1" x14ac:dyDescent="0.25">
      <c r="M8766"/>
      <c r="N8766"/>
      <c r="O8766"/>
      <c r="P8766" s="216"/>
      <c r="Q8766" s="217"/>
      <c r="R8766" s="217"/>
      <c r="S8766" s="218"/>
    </row>
    <row r="8767" spans="13:19" ht="15" customHeight="1" x14ac:dyDescent="0.25">
      <c r="M8767"/>
      <c r="N8767"/>
      <c r="O8767"/>
      <c r="P8767" s="216"/>
      <c r="Q8767" s="217"/>
      <c r="R8767" s="217"/>
      <c r="S8767" s="218"/>
    </row>
    <row r="8768" spans="13:19" ht="15" customHeight="1" x14ac:dyDescent="0.25">
      <c r="M8768"/>
      <c r="N8768"/>
      <c r="O8768"/>
      <c r="P8768" s="216"/>
      <c r="Q8768" s="217"/>
      <c r="R8768" s="217"/>
      <c r="S8768" s="218"/>
    </row>
    <row r="8769" spans="13:19" ht="15" customHeight="1" x14ac:dyDescent="0.25">
      <c r="M8769"/>
      <c r="N8769"/>
      <c r="O8769"/>
      <c r="P8769" s="216"/>
      <c r="Q8769" s="217"/>
      <c r="R8769" s="217"/>
      <c r="S8769" s="218"/>
    </row>
    <row r="8770" spans="13:19" ht="15" customHeight="1" x14ac:dyDescent="0.25">
      <c r="M8770"/>
      <c r="N8770"/>
      <c r="O8770"/>
      <c r="P8770" s="216"/>
      <c r="Q8770" s="217"/>
      <c r="R8770" s="217"/>
      <c r="S8770" s="218"/>
    </row>
    <row r="8771" spans="13:19" ht="15" customHeight="1" x14ac:dyDescent="0.25">
      <c r="M8771"/>
      <c r="N8771"/>
      <c r="O8771"/>
      <c r="P8771" s="216"/>
      <c r="Q8771" s="217"/>
      <c r="R8771" s="217"/>
      <c r="S8771" s="218"/>
    </row>
    <row r="8772" spans="13:19" ht="15" customHeight="1" x14ac:dyDescent="0.25">
      <c r="M8772"/>
      <c r="N8772"/>
      <c r="O8772"/>
      <c r="P8772" s="216"/>
      <c r="Q8772" s="217"/>
      <c r="R8772" s="217"/>
      <c r="S8772" s="218"/>
    </row>
    <row r="8773" spans="13:19" ht="15" customHeight="1" x14ac:dyDescent="0.25">
      <c r="M8773"/>
      <c r="N8773"/>
      <c r="O8773"/>
      <c r="P8773" s="216"/>
      <c r="Q8773" s="217"/>
      <c r="R8773" s="217"/>
      <c r="S8773" s="218"/>
    </row>
    <row r="8774" spans="13:19" ht="15" customHeight="1" x14ac:dyDescent="0.25">
      <c r="M8774"/>
      <c r="N8774"/>
      <c r="O8774"/>
      <c r="P8774" s="216"/>
      <c r="Q8774" s="217"/>
      <c r="R8774" s="217"/>
      <c r="S8774" s="218"/>
    </row>
    <row r="8775" spans="13:19" ht="15" customHeight="1" x14ac:dyDescent="0.25">
      <c r="M8775"/>
      <c r="N8775"/>
      <c r="O8775"/>
      <c r="P8775" s="216"/>
      <c r="Q8775" s="217"/>
      <c r="R8775" s="217"/>
      <c r="S8775" s="218"/>
    </row>
    <row r="8776" spans="13:19" ht="15" customHeight="1" x14ac:dyDescent="0.25">
      <c r="M8776"/>
      <c r="N8776"/>
      <c r="O8776"/>
      <c r="P8776" s="216"/>
      <c r="Q8776" s="217"/>
      <c r="R8776" s="217"/>
      <c r="S8776" s="218"/>
    </row>
    <row r="8777" spans="13:19" ht="15" customHeight="1" x14ac:dyDescent="0.25">
      <c r="M8777"/>
      <c r="N8777"/>
      <c r="O8777"/>
      <c r="P8777" s="216"/>
      <c r="Q8777" s="217"/>
      <c r="R8777" s="217"/>
      <c r="S8777" s="218"/>
    </row>
    <row r="8778" spans="13:19" ht="15" customHeight="1" x14ac:dyDescent="0.25">
      <c r="M8778"/>
      <c r="N8778"/>
      <c r="O8778"/>
      <c r="P8778" s="216"/>
      <c r="Q8778" s="217"/>
      <c r="R8778" s="217"/>
      <c r="S8778" s="218"/>
    </row>
    <row r="8779" spans="13:19" ht="15" customHeight="1" x14ac:dyDescent="0.25">
      <c r="M8779"/>
      <c r="N8779"/>
      <c r="O8779"/>
      <c r="P8779" s="216"/>
      <c r="Q8779" s="217"/>
      <c r="R8779" s="217"/>
      <c r="S8779" s="218"/>
    </row>
    <row r="8780" spans="13:19" ht="15" customHeight="1" x14ac:dyDescent="0.25">
      <c r="M8780"/>
      <c r="N8780"/>
      <c r="O8780"/>
      <c r="P8780" s="216"/>
      <c r="Q8780" s="217"/>
      <c r="R8780" s="217"/>
      <c r="S8780" s="218"/>
    </row>
    <row r="8781" spans="13:19" ht="15" customHeight="1" x14ac:dyDescent="0.25">
      <c r="M8781"/>
      <c r="N8781"/>
      <c r="O8781"/>
      <c r="P8781" s="216"/>
      <c r="Q8781" s="217"/>
      <c r="R8781" s="217"/>
      <c r="S8781" s="218"/>
    </row>
    <row r="8782" spans="13:19" ht="15" customHeight="1" x14ac:dyDescent="0.25">
      <c r="M8782"/>
      <c r="N8782"/>
      <c r="O8782"/>
      <c r="P8782" s="216"/>
      <c r="Q8782" s="217"/>
      <c r="R8782" s="217"/>
      <c r="S8782" s="218"/>
    </row>
    <row r="8783" spans="13:19" ht="15" customHeight="1" x14ac:dyDescent="0.25">
      <c r="M8783"/>
      <c r="N8783"/>
      <c r="O8783"/>
      <c r="P8783" s="216"/>
      <c r="Q8783" s="217"/>
      <c r="R8783" s="217"/>
      <c r="S8783" s="218"/>
    </row>
    <row r="8784" spans="13:19" ht="15" customHeight="1" x14ac:dyDescent="0.25">
      <c r="M8784"/>
      <c r="N8784"/>
      <c r="O8784"/>
      <c r="P8784" s="216"/>
      <c r="Q8784" s="217"/>
      <c r="R8784" s="217"/>
      <c r="S8784" s="218"/>
    </row>
    <row r="8785" spans="13:19" ht="15" customHeight="1" x14ac:dyDescent="0.25">
      <c r="M8785"/>
      <c r="N8785"/>
      <c r="O8785"/>
      <c r="P8785" s="216"/>
      <c r="Q8785" s="217"/>
      <c r="R8785" s="217"/>
      <c r="S8785" s="218"/>
    </row>
    <row r="8786" spans="13:19" ht="15" customHeight="1" x14ac:dyDescent="0.25">
      <c r="M8786"/>
      <c r="N8786"/>
      <c r="O8786"/>
      <c r="P8786" s="216"/>
      <c r="Q8786" s="217"/>
      <c r="R8786" s="217"/>
      <c r="S8786" s="218"/>
    </row>
    <row r="8787" spans="13:19" ht="15" customHeight="1" x14ac:dyDescent="0.25">
      <c r="M8787"/>
      <c r="N8787"/>
      <c r="O8787"/>
      <c r="P8787" s="216"/>
      <c r="Q8787" s="217"/>
      <c r="R8787" s="217"/>
      <c r="S8787" s="218"/>
    </row>
    <row r="8788" spans="13:19" ht="15" customHeight="1" x14ac:dyDescent="0.25">
      <c r="M8788"/>
      <c r="N8788"/>
      <c r="O8788"/>
      <c r="P8788" s="216"/>
      <c r="Q8788" s="217"/>
      <c r="R8788" s="217"/>
      <c r="S8788" s="218"/>
    </row>
    <row r="8789" spans="13:19" ht="15" customHeight="1" x14ac:dyDescent="0.25">
      <c r="M8789"/>
      <c r="N8789"/>
      <c r="O8789"/>
      <c r="P8789" s="216"/>
      <c r="Q8789" s="217"/>
      <c r="R8789" s="217"/>
      <c r="S8789" s="218"/>
    </row>
    <row r="8790" spans="13:19" ht="15" customHeight="1" x14ac:dyDescent="0.25">
      <c r="M8790"/>
      <c r="N8790"/>
      <c r="O8790"/>
      <c r="P8790" s="216"/>
      <c r="Q8790" s="217"/>
      <c r="R8790" s="217"/>
      <c r="S8790" s="218"/>
    </row>
    <row r="8791" spans="13:19" ht="15" customHeight="1" x14ac:dyDescent="0.25">
      <c r="M8791"/>
      <c r="N8791"/>
      <c r="O8791"/>
      <c r="P8791" s="216"/>
      <c r="Q8791" s="217"/>
      <c r="R8791" s="217"/>
      <c r="S8791" s="218"/>
    </row>
    <row r="8792" spans="13:19" ht="15" customHeight="1" x14ac:dyDescent="0.25">
      <c r="M8792"/>
      <c r="N8792"/>
      <c r="O8792"/>
      <c r="P8792" s="216"/>
      <c r="Q8792" s="217"/>
      <c r="R8792" s="217"/>
      <c r="S8792" s="218"/>
    </row>
    <row r="8793" spans="13:19" ht="15" customHeight="1" x14ac:dyDescent="0.25">
      <c r="M8793"/>
      <c r="N8793"/>
      <c r="O8793"/>
      <c r="P8793" s="216"/>
      <c r="Q8793" s="217"/>
      <c r="R8793" s="217"/>
      <c r="S8793" s="218"/>
    </row>
    <row r="8794" spans="13:19" ht="15" customHeight="1" x14ac:dyDescent="0.25">
      <c r="M8794"/>
      <c r="N8794"/>
      <c r="O8794"/>
      <c r="P8794" s="216"/>
      <c r="Q8794" s="217"/>
      <c r="R8794" s="217"/>
      <c r="S8794" s="218"/>
    </row>
    <row r="8795" spans="13:19" ht="15" customHeight="1" x14ac:dyDescent="0.25">
      <c r="M8795"/>
      <c r="N8795"/>
      <c r="O8795"/>
      <c r="P8795" s="216"/>
      <c r="Q8795" s="217"/>
      <c r="R8795" s="217"/>
      <c r="S8795" s="218"/>
    </row>
    <row r="8796" spans="13:19" ht="15" customHeight="1" x14ac:dyDescent="0.25">
      <c r="M8796"/>
      <c r="N8796"/>
      <c r="O8796"/>
      <c r="P8796" s="216"/>
      <c r="Q8796" s="217"/>
      <c r="R8796" s="217"/>
      <c r="S8796" s="218"/>
    </row>
    <row r="8797" spans="13:19" ht="15" customHeight="1" x14ac:dyDescent="0.25">
      <c r="M8797"/>
      <c r="N8797"/>
      <c r="O8797"/>
      <c r="P8797" s="216"/>
      <c r="Q8797" s="217"/>
      <c r="R8797" s="217"/>
      <c r="S8797" s="218"/>
    </row>
    <row r="8798" spans="13:19" ht="15" customHeight="1" x14ac:dyDescent="0.25">
      <c r="M8798"/>
      <c r="N8798"/>
      <c r="O8798"/>
      <c r="P8798" s="216"/>
      <c r="Q8798" s="217"/>
      <c r="R8798" s="217"/>
      <c r="S8798" s="218"/>
    </row>
    <row r="8799" spans="13:19" ht="15" customHeight="1" x14ac:dyDescent="0.25">
      <c r="M8799"/>
      <c r="N8799"/>
      <c r="O8799"/>
      <c r="P8799" s="216"/>
      <c r="Q8799" s="217"/>
      <c r="R8799" s="217"/>
      <c r="S8799" s="218"/>
    </row>
    <row r="8800" spans="13:19" ht="15" customHeight="1" x14ac:dyDescent="0.25">
      <c r="M8800"/>
      <c r="N8800"/>
      <c r="O8800"/>
      <c r="P8800" s="216"/>
      <c r="Q8800" s="217"/>
      <c r="R8800" s="217"/>
      <c r="S8800" s="218"/>
    </row>
    <row r="8801" spans="13:19" ht="15" customHeight="1" x14ac:dyDescent="0.25">
      <c r="M8801"/>
      <c r="N8801"/>
      <c r="O8801"/>
      <c r="P8801" s="216"/>
      <c r="Q8801" s="217"/>
      <c r="R8801" s="217"/>
      <c r="S8801" s="218"/>
    </row>
    <row r="8802" spans="13:19" ht="15" customHeight="1" x14ac:dyDescent="0.25">
      <c r="M8802"/>
      <c r="N8802"/>
      <c r="O8802"/>
      <c r="P8802" s="216"/>
      <c r="Q8802" s="217"/>
      <c r="R8802" s="217"/>
      <c r="S8802" s="218"/>
    </row>
    <row r="8803" spans="13:19" ht="15" customHeight="1" x14ac:dyDescent="0.25">
      <c r="M8803"/>
      <c r="N8803"/>
      <c r="O8803"/>
      <c r="P8803" s="216"/>
      <c r="Q8803" s="217"/>
      <c r="R8803" s="217"/>
      <c r="S8803" s="218"/>
    </row>
    <row r="8804" spans="13:19" ht="15" customHeight="1" x14ac:dyDescent="0.25">
      <c r="M8804"/>
      <c r="N8804"/>
      <c r="O8804"/>
      <c r="P8804" s="216"/>
      <c r="Q8804" s="217"/>
      <c r="R8804" s="217"/>
      <c r="S8804" s="218"/>
    </row>
    <row r="8805" spans="13:19" ht="15" customHeight="1" x14ac:dyDescent="0.25">
      <c r="M8805"/>
      <c r="N8805"/>
      <c r="O8805"/>
      <c r="P8805" s="216"/>
      <c r="Q8805" s="217"/>
      <c r="R8805" s="217"/>
      <c r="S8805" s="218"/>
    </row>
    <row r="8806" spans="13:19" ht="15" customHeight="1" x14ac:dyDescent="0.25">
      <c r="M8806"/>
      <c r="N8806"/>
      <c r="O8806"/>
      <c r="P8806" s="216"/>
      <c r="Q8806" s="217"/>
      <c r="R8806" s="217"/>
      <c r="S8806" s="218"/>
    </row>
    <row r="8807" spans="13:19" ht="15" customHeight="1" x14ac:dyDescent="0.25">
      <c r="M8807"/>
      <c r="N8807"/>
      <c r="O8807"/>
      <c r="P8807" s="216"/>
      <c r="Q8807" s="217"/>
      <c r="R8807" s="217"/>
      <c r="S8807" s="218"/>
    </row>
    <row r="8808" spans="13:19" ht="15" customHeight="1" x14ac:dyDescent="0.25">
      <c r="M8808"/>
      <c r="N8808"/>
      <c r="O8808"/>
      <c r="P8808" s="216"/>
      <c r="Q8808" s="217"/>
      <c r="R8808" s="217"/>
      <c r="S8808" s="218"/>
    </row>
    <row r="8809" spans="13:19" ht="15" customHeight="1" x14ac:dyDescent="0.25">
      <c r="M8809"/>
      <c r="N8809"/>
      <c r="O8809"/>
      <c r="P8809" s="216"/>
      <c r="Q8809" s="217"/>
      <c r="R8809" s="217"/>
      <c r="S8809" s="218"/>
    </row>
    <row r="8810" spans="13:19" ht="15" customHeight="1" x14ac:dyDescent="0.25">
      <c r="M8810"/>
      <c r="N8810"/>
      <c r="O8810"/>
      <c r="P8810" s="216"/>
      <c r="Q8810" s="217"/>
      <c r="R8810" s="217"/>
      <c r="S8810" s="218"/>
    </row>
    <row r="8811" spans="13:19" ht="15" customHeight="1" x14ac:dyDescent="0.25">
      <c r="M8811"/>
      <c r="N8811"/>
      <c r="O8811"/>
      <c r="P8811" s="216"/>
      <c r="Q8811" s="217"/>
      <c r="R8811" s="217"/>
      <c r="S8811" s="218"/>
    </row>
    <row r="8812" spans="13:19" ht="15" customHeight="1" x14ac:dyDescent="0.25">
      <c r="M8812"/>
      <c r="N8812"/>
      <c r="O8812"/>
      <c r="P8812" s="216"/>
      <c r="Q8812" s="217"/>
      <c r="R8812" s="217"/>
      <c r="S8812" s="218"/>
    </row>
    <row r="8813" spans="13:19" ht="15" customHeight="1" x14ac:dyDescent="0.25">
      <c r="M8813"/>
      <c r="N8813"/>
      <c r="O8813"/>
      <c r="P8813" s="216"/>
      <c r="Q8813" s="217"/>
      <c r="R8813" s="217"/>
      <c r="S8813" s="218"/>
    </row>
    <row r="8814" spans="13:19" ht="15" customHeight="1" x14ac:dyDescent="0.25">
      <c r="M8814"/>
      <c r="N8814"/>
      <c r="O8814"/>
      <c r="P8814" s="216"/>
      <c r="Q8814" s="217"/>
      <c r="R8814" s="217"/>
      <c r="S8814" s="218"/>
    </row>
    <row r="8815" spans="13:19" ht="15" customHeight="1" x14ac:dyDescent="0.25">
      <c r="M8815"/>
      <c r="N8815"/>
      <c r="O8815"/>
      <c r="P8815" s="216"/>
      <c r="Q8815" s="217"/>
      <c r="R8815" s="217"/>
      <c r="S8815" s="218"/>
    </row>
    <row r="8816" spans="13:19" ht="15" customHeight="1" x14ac:dyDescent="0.25">
      <c r="M8816"/>
      <c r="N8816"/>
      <c r="O8816"/>
      <c r="P8816" s="216"/>
      <c r="Q8816" s="217"/>
      <c r="R8816" s="217"/>
      <c r="S8816" s="218"/>
    </row>
    <row r="8817" spans="13:19" ht="15" customHeight="1" x14ac:dyDescent="0.25">
      <c r="M8817"/>
      <c r="N8817"/>
      <c r="O8817"/>
      <c r="P8817" s="216"/>
      <c r="Q8817" s="217"/>
      <c r="R8817" s="217"/>
      <c r="S8817" s="218"/>
    </row>
    <row r="8818" spans="13:19" ht="15" customHeight="1" x14ac:dyDescent="0.25">
      <c r="M8818"/>
      <c r="N8818"/>
      <c r="O8818"/>
      <c r="P8818" s="216"/>
      <c r="Q8818" s="217"/>
      <c r="R8818" s="217"/>
      <c r="S8818" s="218"/>
    </row>
    <row r="8819" spans="13:19" ht="15" customHeight="1" x14ac:dyDescent="0.25">
      <c r="M8819"/>
      <c r="N8819"/>
      <c r="O8819"/>
      <c r="P8819" s="216"/>
      <c r="Q8819" s="217"/>
      <c r="R8819" s="217"/>
      <c r="S8819" s="218"/>
    </row>
    <row r="8820" spans="13:19" ht="15" customHeight="1" x14ac:dyDescent="0.25">
      <c r="M8820"/>
      <c r="N8820"/>
      <c r="O8820"/>
      <c r="P8820" s="216"/>
      <c r="Q8820" s="217"/>
      <c r="R8820" s="217"/>
      <c r="S8820" s="218"/>
    </row>
    <row r="8821" spans="13:19" ht="15" customHeight="1" x14ac:dyDescent="0.25">
      <c r="M8821"/>
      <c r="N8821"/>
      <c r="O8821"/>
      <c r="P8821" s="216"/>
      <c r="Q8821" s="217"/>
      <c r="R8821" s="217"/>
      <c r="S8821" s="218"/>
    </row>
    <row r="8822" spans="13:19" ht="15" customHeight="1" x14ac:dyDescent="0.25">
      <c r="M8822"/>
      <c r="N8822"/>
      <c r="O8822"/>
      <c r="P8822" s="216"/>
      <c r="Q8822" s="217"/>
      <c r="R8822" s="217"/>
      <c r="S8822" s="218"/>
    </row>
    <row r="8823" spans="13:19" ht="15" customHeight="1" x14ac:dyDescent="0.25">
      <c r="M8823"/>
      <c r="N8823"/>
      <c r="O8823"/>
      <c r="P8823" s="216"/>
      <c r="Q8823" s="217"/>
      <c r="R8823" s="217"/>
      <c r="S8823" s="218"/>
    </row>
    <row r="8824" spans="13:19" ht="15" customHeight="1" x14ac:dyDescent="0.25">
      <c r="M8824"/>
      <c r="N8824"/>
      <c r="O8824"/>
      <c r="P8824" s="216"/>
      <c r="Q8824" s="217"/>
      <c r="R8824" s="217"/>
      <c r="S8824" s="218"/>
    </row>
    <row r="8825" spans="13:19" ht="15" customHeight="1" x14ac:dyDescent="0.25">
      <c r="M8825"/>
      <c r="N8825"/>
      <c r="O8825"/>
      <c r="P8825" s="216"/>
      <c r="Q8825" s="217"/>
      <c r="R8825" s="217"/>
      <c r="S8825" s="218"/>
    </row>
    <row r="8826" spans="13:19" ht="15" customHeight="1" x14ac:dyDescent="0.25">
      <c r="M8826"/>
      <c r="N8826"/>
      <c r="O8826"/>
      <c r="P8826" s="216"/>
      <c r="Q8826" s="217"/>
      <c r="R8826" s="217"/>
      <c r="S8826" s="218"/>
    </row>
    <row r="8827" spans="13:19" ht="15" customHeight="1" x14ac:dyDescent="0.25">
      <c r="M8827"/>
      <c r="N8827"/>
      <c r="O8827"/>
      <c r="P8827" s="216"/>
      <c r="Q8827" s="217"/>
      <c r="R8827" s="217"/>
      <c r="S8827" s="218"/>
    </row>
    <row r="8828" spans="13:19" ht="15" customHeight="1" x14ac:dyDescent="0.25">
      <c r="M8828"/>
      <c r="N8828"/>
      <c r="O8828"/>
      <c r="P8828" s="216"/>
      <c r="Q8828" s="217"/>
      <c r="R8828" s="217"/>
      <c r="S8828" s="218"/>
    </row>
    <row r="8829" spans="13:19" ht="15" customHeight="1" x14ac:dyDescent="0.25">
      <c r="M8829"/>
      <c r="N8829"/>
      <c r="O8829"/>
      <c r="P8829" s="216"/>
      <c r="Q8829" s="217"/>
      <c r="R8829" s="217"/>
      <c r="S8829" s="218"/>
    </row>
    <row r="8830" spans="13:19" ht="15" customHeight="1" x14ac:dyDescent="0.25">
      <c r="M8830"/>
      <c r="N8830"/>
      <c r="O8830"/>
      <c r="P8830" s="216"/>
      <c r="Q8830" s="217"/>
      <c r="R8830" s="217"/>
      <c r="S8830" s="218"/>
    </row>
    <row r="8831" spans="13:19" ht="15" customHeight="1" x14ac:dyDescent="0.25">
      <c r="M8831"/>
      <c r="N8831"/>
      <c r="O8831"/>
      <c r="P8831" s="216"/>
      <c r="Q8831" s="217"/>
      <c r="R8831" s="217"/>
      <c r="S8831" s="218"/>
    </row>
    <row r="8832" spans="13:19" ht="15" customHeight="1" x14ac:dyDescent="0.25">
      <c r="M8832"/>
      <c r="N8832"/>
      <c r="O8832"/>
      <c r="P8832" s="216"/>
      <c r="Q8832" s="217"/>
      <c r="R8832" s="217"/>
      <c r="S8832" s="218"/>
    </row>
    <row r="8833" spans="13:19" ht="15" customHeight="1" x14ac:dyDescent="0.25">
      <c r="M8833"/>
      <c r="N8833"/>
      <c r="O8833"/>
      <c r="P8833" s="216"/>
      <c r="Q8833" s="217"/>
      <c r="R8833" s="217"/>
      <c r="S8833" s="218"/>
    </row>
    <row r="8834" spans="13:19" ht="15" customHeight="1" x14ac:dyDescent="0.25">
      <c r="M8834"/>
      <c r="N8834"/>
      <c r="O8834"/>
      <c r="P8834" s="216"/>
      <c r="Q8834" s="217"/>
      <c r="R8834" s="217"/>
      <c r="S8834" s="218"/>
    </row>
    <row r="8835" spans="13:19" ht="15" customHeight="1" x14ac:dyDescent="0.25">
      <c r="M8835"/>
      <c r="N8835"/>
      <c r="O8835"/>
      <c r="P8835" s="216"/>
      <c r="Q8835" s="217"/>
      <c r="R8835" s="217"/>
      <c r="S8835" s="218"/>
    </row>
    <row r="8836" spans="13:19" ht="15" customHeight="1" x14ac:dyDescent="0.25">
      <c r="M8836"/>
      <c r="N8836"/>
      <c r="O8836"/>
      <c r="P8836" s="216"/>
      <c r="Q8836" s="217"/>
      <c r="R8836" s="217"/>
      <c r="S8836" s="218"/>
    </row>
    <row r="8837" spans="13:19" ht="15" customHeight="1" x14ac:dyDescent="0.25">
      <c r="M8837"/>
      <c r="N8837"/>
      <c r="O8837"/>
      <c r="P8837" s="216"/>
      <c r="Q8837" s="217"/>
      <c r="R8837" s="217"/>
      <c r="S8837" s="218"/>
    </row>
    <row r="8838" spans="13:19" ht="15" customHeight="1" x14ac:dyDescent="0.25">
      <c r="M8838"/>
      <c r="N8838"/>
      <c r="O8838"/>
      <c r="P8838" s="216"/>
      <c r="Q8838" s="217"/>
      <c r="R8838" s="217"/>
      <c r="S8838" s="218"/>
    </row>
    <row r="8839" spans="13:19" ht="15" customHeight="1" x14ac:dyDescent="0.25">
      <c r="M8839"/>
      <c r="N8839"/>
      <c r="O8839"/>
      <c r="P8839" s="216"/>
      <c r="Q8839" s="217"/>
      <c r="R8839" s="217"/>
      <c r="S8839" s="218"/>
    </row>
    <row r="8840" spans="13:19" ht="15" customHeight="1" x14ac:dyDescent="0.25">
      <c r="M8840"/>
      <c r="N8840"/>
      <c r="O8840"/>
      <c r="P8840" s="216"/>
      <c r="Q8840" s="217"/>
      <c r="R8840" s="217"/>
      <c r="S8840" s="218"/>
    </row>
    <row r="8841" spans="13:19" ht="15" customHeight="1" x14ac:dyDescent="0.25">
      <c r="M8841"/>
      <c r="N8841"/>
      <c r="O8841"/>
      <c r="P8841" s="216"/>
      <c r="Q8841" s="217"/>
      <c r="R8841" s="217"/>
      <c r="S8841" s="218"/>
    </row>
    <row r="8842" spans="13:19" ht="15" customHeight="1" x14ac:dyDescent="0.25">
      <c r="M8842"/>
      <c r="N8842"/>
      <c r="O8842"/>
      <c r="P8842" s="216"/>
      <c r="Q8842" s="217"/>
      <c r="R8842" s="217"/>
      <c r="S8842" s="218"/>
    </row>
    <row r="8843" spans="13:19" ht="15" customHeight="1" x14ac:dyDescent="0.25">
      <c r="M8843"/>
      <c r="N8843"/>
      <c r="O8843"/>
      <c r="P8843" s="216"/>
      <c r="Q8843" s="217"/>
      <c r="R8843" s="217"/>
      <c r="S8843" s="218"/>
    </row>
    <row r="8844" spans="13:19" ht="15" customHeight="1" x14ac:dyDescent="0.25">
      <c r="M8844"/>
      <c r="N8844"/>
      <c r="O8844"/>
      <c r="P8844" s="216"/>
      <c r="Q8844" s="217"/>
      <c r="R8844" s="217"/>
      <c r="S8844" s="218"/>
    </row>
    <row r="8845" spans="13:19" ht="15" customHeight="1" x14ac:dyDescent="0.25">
      <c r="M8845"/>
      <c r="N8845"/>
      <c r="O8845"/>
      <c r="P8845" s="216"/>
      <c r="Q8845" s="217"/>
      <c r="R8845" s="217"/>
      <c r="S8845" s="218"/>
    </row>
    <row r="8846" spans="13:19" ht="15" customHeight="1" x14ac:dyDescent="0.25">
      <c r="M8846"/>
      <c r="N8846"/>
      <c r="O8846"/>
      <c r="P8846" s="216"/>
      <c r="Q8846" s="217"/>
      <c r="R8846" s="217"/>
      <c r="S8846" s="218"/>
    </row>
    <row r="8847" spans="13:19" ht="15" customHeight="1" x14ac:dyDescent="0.25">
      <c r="M8847"/>
      <c r="N8847"/>
      <c r="O8847"/>
      <c r="P8847" s="216"/>
      <c r="Q8847" s="217"/>
      <c r="R8847" s="217"/>
      <c r="S8847" s="218"/>
    </row>
    <row r="8848" spans="13:19" ht="15" customHeight="1" x14ac:dyDescent="0.25">
      <c r="M8848"/>
      <c r="N8848"/>
      <c r="O8848"/>
      <c r="P8848" s="216"/>
      <c r="Q8848" s="217"/>
      <c r="R8848" s="217"/>
      <c r="S8848" s="218"/>
    </row>
    <row r="8849" spans="13:19" ht="15" customHeight="1" x14ac:dyDescent="0.25">
      <c r="M8849"/>
      <c r="N8849"/>
      <c r="O8849"/>
      <c r="P8849" s="216"/>
      <c r="Q8849" s="217"/>
      <c r="R8849" s="217"/>
      <c r="S8849" s="218"/>
    </row>
    <row r="8850" spans="13:19" ht="15" customHeight="1" x14ac:dyDescent="0.25">
      <c r="M8850"/>
      <c r="N8850"/>
      <c r="O8850"/>
      <c r="P8850" s="216"/>
      <c r="Q8850" s="217"/>
      <c r="R8850" s="217"/>
      <c r="S8850" s="218"/>
    </row>
    <row r="8851" spans="13:19" ht="15" customHeight="1" x14ac:dyDescent="0.25">
      <c r="M8851"/>
      <c r="N8851"/>
      <c r="O8851"/>
      <c r="P8851" s="216"/>
      <c r="Q8851" s="217"/>
      <c r="R8851" s="217"/>
      <c r="S8851" s="218"/>
    </row>
    <row r="8852" spans="13:19" ht="15" customHeight="1" x14ac:dyDescent="0.25">
      <c r="M8852"/>
      <c r="N8852"/>
      <c r="O8852"/>
      <c r="P8852" s="216"/>
      <c r="Q8852" s="217"/>
      <c r="R8852" s="217"/>
      <c r="S8852" s="218"/>
    </row>
    <row r="8853" spans="13:19" ht="15" customHeight="1" x14ac:dyDescent="0.25">
      <c r="M8853"/>
      <c r="N8853"/>
      <c r="O8853"/>
      <c r="P8853" s="216"/>
      <c r="Q8853" s="217"/>
      <c r="R8853" s="217"/>
      <c r="S8853" s="218"/>
    </row>
    <row r="8854" spans="13:19" ht="15" customHeight="1" x14ac:dyDescent="0.25">
      <c r="M8854"/>
      <c r="N8854"/>
      <c r="O8854"/>
      <c r="P8854" s="216"/>
      <c r="Q8854" s="217"/>
      <c r="R8854" s="217"/>
      <c r="S8854" s="218"/>
    </row>
    <row r="8855" spans="13:19" ht="15" customHeight="1" x14ac:dyDescent="0.25">
      <c r="M8855"/>
      <c r="N8855"/>
      <c r="O8855"/>
      <c r="P8855" s="216"/>
      <c r="Q8855" s="217"/>
      <c r="R8855" s="217"/>
      <c r="S8855" s="218"/>
    </row>
    <row r="8856" spans="13:19" ht="15" customHeight="1" x14ac:dyDescent="0.25">
      <c r="M8856"/>
      <c r="N8856"/>
      <c r="O8856"/>
      <c r="P8856" s="216"/>
      <c r="Q8856" s="217"/>
      <c r="R8856" s="217"/>
      <c r="S8856" s="218"/>
    </row>
    <row r="8857" spans="13:19" ht="15" customHeight="1" x14ac:dyDescent="0.25">
      <c r="M8857"/>
      <c r="N8857"/>
      <c r="O8857"/>
      <c r="P8857" s="216"/>
      <c r="Q8857" s="217"/>
      <c r="R8857" s="217"/>
      <c r="S8857" s="218"/>
    </row>
    <row r="8858" spans="13:19" ht="15" customHeight="1" x14ac:dyDescent="0.25">
      <c r="M8858"/>
      <c r="N8858"/>
      <c r="O8858"/>
      <c r="P8858" s="216"/>
      <c r="Q8858" s="217"/>
      <c r="R8858" s="217"/>
      <c r="S8858" s="218"/>
    </row>
    <row r="8859" spans="13:19" ht="15" customHeight="1" x14ac:dyDescent="0.25">
      <c r="M8859"/>
      <c r="N8859"/>
      <c r="O8859"/>
      <c r="P8859" s="216"/>
      <c r="Q8859" s="217"/>
      <c r="R8859" s="217"/>
      <c r="S8859" s="218"/>
    </row>
    <row r="8860" spans="13:19" ht="15" customHeight="1" x14ac:dyDescent="0.25">
      <c r="M8860"/>
      <c r="N8860"/>
      <c r="O8860"/>
      <c r="P8860" s="216"/>
      <c r="Q8860" s="217"/>
      <c r="R8860" s="217"/>
      <c r="S8860" s="218"/>
    </row>
    <row r="8861" spans="13:19" ht="15" customHeight="1" x14ac:dyDescent="0.25">
      <c r="M8861"/>
      <c r="N8861"/>
      <c r="O8861"/>
      <c r="P8861" s="216"/>
      <c r="Q8861" s="217"/>
      <c r="R8861" s="217"/>
      <c r="S8861" s="218"/>
    </row>
    <row r="8862" spans="13:19" ht="15" customHeight="1" x14ac:dyDescent="0.25">
      <c r="M8862"/>
      <c r="N8862"/>
      <c r="O8862"/>
      <c r="P8862" s="216"/>
      <c r="Q8862" s="217"/>
      <c r="R8862" s="217"/>
      <c r="S8862" s="218"/>
    </row>
    <row r="8863" spans="13:19" ht="15" customHeight="1" x14ac:dyDescent="0.25">
      <c r="M8863"/>
      <c r="N8863"/>
      <c r="O8863"/>
      <c r="P8863" s="216"/>
      <c r="Q8863" s="217"/>
      <c r="R8863" s="217"/>
      <c r="S8863" s="218"/>
    </row>
    <row r="8864" spans="13:19" ht="15" customHeight="1" x14ac:dyDescent="0.25">
      <c r="M8864"/>
      <c r="N8864"/>
      <c r="O8864"/>
      <c r="P8864" s="216"/>
      <c r="Q8864" s="217"/>
      <c r="R8864" s="217"/>
      <c r="S8864" s="218"/>
    </row>
    <row r="8865" spans="13:19" ht="15" customHeight="1" x14ac:dyDescent="0.25">
      <c r="M8865"/>
      <c r="N8865"/>
      <c r="O8865"/>
      <c r="P8865" s="216"/>
      <c r="Q8865" s="217"/>
      <c r="R8865" s="217"/>
      <c r="S8865" s="218"/>
    </row>
    <row r="8866" spans="13:19" ht="15" customHeight="1" x14ac:dyDescent="0.25">
      <c r="M8866"/>
      <c r="N8866"/>
      <c r="O8866"/>
      <c r="P8866" s="216"/>
      <c r="Q8866" s="217"/>
      <c r="R8866" s="217"/>
      <c r="S8866" s="218"/>
    </row>
    <row r="8867" spans="13:19" ht="15" customHeight="1" x14ac:dyDescent="0.25">
      <c r="M8867"/>
      <c r="N8867"/>
      <c r="O8867"/>
      <c r="P8867" s="216"/>
      <c r="Q8867" s="217"/>
      <c r="R8867" s="217"/>
      <c r="S8867" s="218"/>
    </row>
    <row r="8868" spans="13:19" ht="15" customHeight="1" x14ac:dyDescent="0.25">
      <c r="M8868"/>
      <c r="N8868"/>
      <c r="O8868"/>
      <c r="P8868" s="216"/>
      <c r="Q8868" s="217"/>
      <c r="R8868" s="217"/>
      <c r="S8868" s="218"/>
    </row>
    <row r="8869" spans="13:19" ht="15" customHeight="1" x14ac:dyDescent="0.25">
      <c r="M8869"/>
      <c r="N8869"/>
      <c r="O8869"/>
      <c r="P8869" s="216"/>
      <c r="Q8869" s="217"/>
      <c r="R8869" s="217"/>
      <c r="S8869" s="218"/>
    </row>
    <row r="8870" spans="13:19" ht="15" customHeight="1" x14ac:dyDescent="0.25">
      <c r="M8870"/>
      <c r="N8870"/>
      <c r="O8870"/>
      <c r="P8870" s="216"/>
      <c r="Q8870" s="217"/>
      <c r="R8870" s="217"/>
      <c r="S8870" s="218"/>
    </row>
    <row r="8871" spans="13:19" ht="15" customHeight="1" x14ac:dyDescent="0.25">
      <c r="M8871"/>
      <c r="N8871"/>
      <c r="O8871"/>
      <c r="P8871" s="216"/>
      <c r="Q8871" s="217"/>
      <c r="R8871" s="217"/>
      <c r="S8871" s="218"/>
    </row>
    <row r="8872" spans="13:19" ht="15" customHeight="1" x14ac:dyDescent="0.25">
      <c r="M8872"/>
      <c r="N8872"/>
      <c r="O8872"/>
      <c r="P8872" s="216"/>
      <c r="Q8872" s="217"/>
      <c r="R8872" s="217"/>
      <c r="S8872" s="218"/>
    </row>
    <row r="8873" spans="13:19" ht="15" customHeight="1" x14ac:dyDescent="0.25">
      <c r="M8873"/>
      <c r="N8873"/>
      <c r="O8873"/>
      <c r="P8873" s="216"/>
      <c r="Q8873" s="217"/>
      <c r="R8873" s="217"/>
      <c r="S8873" s="218"/>
    </row>
    <row r="8874" spans="13:19" ht="15" customHeight="1" x14ac:dyDescent="0.25">
      <c r="M8874"/>
      <c r="N8874"/>
      <c r="O8874"/>
      <c r="P8874" s="216"/>
      <c r="Q8874" s="217"/>
      <c r="R8874" s="217"/>
      <c r="S8874" s="218"/>
    </row>
    <row r="8875" spans="13:19" ht="15" customHeight="1" x14ac:dyDescent="0.25">
      <c r="M8875"/>
      <c r="N8875"/>
      <c r="O8875"/>
      <c r="P8875" s="216"/>
      <c r="Q8875" s="217"/>
      <c r="R8875" s="217"/>
      <c r="S8875" s="218"/>
    </row>
    <row r="8876" spans="13:19" ht="15" customHeight="1" x14ac:dyDescent="0.25">
      <c r="M8876"/>
      <c r="N8876"/>
      <c r="O8876"/>
      <c r="P8876" s="216"/>
      <c r="Q8876" s="217"/>
      <c r="R8876" s="217"/>
      <c r="S8876" s="218"/>
    </row>
    <row r="8877" spans="13:19" ht="15" customHeight="1" x14ac:dyDescent="0.25">
      <c r="M8877"/>
      <c r="N8877"/>
      <c r="O8877"/>
      <c r="P8877" s="216"/>
      <c r="Q8877" s="217"/>
      <c r="R8877" s="217"/>
      <c r="S8877" s="218"/>
    </row>
    <row r="8878" spans="13:19" ht="15" customHeight="1" x14ac:dyDescent="0.25">
      <c r="M8878"/>
      <c r="N8878"/>
      <c r="O8878"/>
      <c r="P8878" s="216"/>
      <c r="Q8878" s="217"/>
      <c r="R8878" s="217"/>
      <c r="S8878" s="218"/>
    </row>
    <row r="8879" spans="13:19" ht="15" customHeight="1" x14ac:dyDescent="0.25">
      <c r="M8879"/>
      <c r="N8879"/>
      <c r="O8879"/>
      <c r="P8879" s="216"/>
      <c r="Q8879" s="217"/>
      <c r="R8879" s="217"/>
      <c r="S8879" s="218"/>
    </row>
    <row r="8880" spans="13:19" ht="15" customHeight="1" x14ac:dyDescent="0.25">
      <c r="M8880"/>
      <c r="N8880"/>
      <c r="O8880"/>
      <c r="P8880" s="216"/>
      <c r="Q8880" s="217"/>
      <c r="R8880" s="217"/>
      <c r="S8880" s="218"/>
    </row>
    <row r="8881" spans="13:19" ht="15" customHeight="1" x14ac:dyDescent="0.25">
      <c r="M8881"/>
      <c r="N8881"/>
      <c r="O8881"/>
      <c r="P8881" s="216"/>
      <c r="Q8881" s="217"/>
      <c r="R8881" s="217"/>
      <c r="S8881" s="218"/>
    </row>
    <row r="8882" spans="13:19" ht="15" customHeight="1" x14ac:dyDescent="0.25">
      <c r="M8882"/>
      <c r="N8882"/>
      <c r="O8882"/>
      <c r="P8882" s="216"/>
      <c r="Q8882" s="217"/>
      <c r="R8882" s="217"/>
      <c r="S8882" s="218"/>
    </row>
    <row r="8883" spans="13:19" ht="15" customHeight="1" x14ac:dyDescent="0.25">
      <c r="M8883"/>
      <c r="N8883"/>
      <c r="O8883"/>
      <c r="P8883" s="216"/>
      <c r="Q8883" s="217"/>
      <c r="R8883" s="217"/>
      <c r="S8883" s="218"/>
    </row>
    <row r="8884" spans="13:19" ht="15" customHeight="1" x14ac:dyDescent="0.25">
      <c r="M8884"/>
      <c r="N8884"/>
      <c r="O8884"/>
      <c r="P8884" s="216"/>
      <c r="Q8884" s="217"/>
      <c r="R8884" s="217"/>
      <c r="S8884" s="218"/>
    </row>
    <row r="8885" spans="13:19" ht="15" customHeight="1" x14ac:dyDescent="0.25">
      <c r="M8885"/>
      <c r="N8885"/>
      <c r="O8885"/>
      <c r="P8885" s="216"/>
      <c r="Q8885" s="217"/>
      <c r="R8885" s="217"/>
      <c r="S8885" s="218"/>
    </row>
    <row r="8886" spans="13:19" ht="15" customHeight="1" x14ac:dyDescent="0.25">
      <c r="M8886"/>
      <c r="N8886"/>
      <c r="O8886"/>
      <c r="P8886" s="216"/>
      <c r="Q8886" s="217"/>
      <c r="R8886" s="217"/>
      <c r="S8886" s="218"/>
    </row>
    <row r="8887" spans="13:19" ht="15" customHeight="1" x14ac:dyDescent="0.25">
      <c r="M8887"/>
      <c r="N8887"/>
      <c r="O8887"/>
      <c r="P8887" s="216"/>
      <c r="Q8887" s="217"/>
      <c r="R8887" s="217"/>
      <c r="S8887" s="218"/>
    </row>
    <row r="8888" spans="13:19" ht="15" customHeight="1" x14ac:dyDescent="0.25">
      <c r="M8888"/>
      <c r="N8888"/>
      <c r="O8888"/>
      <c r="P8888" s="216"/>
      <c r="Q8888" s="217"/>
      <c r="R8888" s="217"/>
      <c r="S8888" s="218"/>
    </row>
    <row r="8889" spans="13:19" ht="15" customHeight="1" x14ac:dyDescent="0.25">
      <c r="M8889"/>
      <c r="N8889"/>
      <c r="O8889"/>
      <c r="P8889" s="216"/>
      <c r="Q8889" s="217"/>
      <c r="R8889" s="217"/>
      <c r="S8889" s="218"/>
    </row>
    <row r="8890" spans="13:19" ht="15" customHeight="1" x14ac:dyDescent="0.25">
      <c r="M8890"/>
      <c r="N8890"/>
      <c r="O8890"/>
      <c r="P8890" s="216"/>
      <c r="Q8890" s="217"/>
      <c r="R8890" s="217"/>
      <c r="S8890" s="218"/>
    </row>
    <row r="8891" spans="13:19" ht="15" customHeight="1" x14ac:dyDescent="0.25">
      <c r="M8891"/>
      <c r="N8891"/>
      <c r="O8891"/>
      <c r="P8891" s="216"/>
      <c r="Q8891" s="217"/>
      <c r="R8891" s="217"/>
      <c r="S8891" s="218"/>
    </row>
    <row r="8892" spans="13:19" ht="15" customHeight="1" x14ac:dyDescent="0.25">
      <c r="M8892"/>
      <c r="N8892"/>
      <c r="O8892"/>
      <c r="P8892" s="216"/>
      <c r="Q8892" s="217"/>
      <c r="R8892" s="217"/>
      <c r="S8892" s="218"/>
    </row>
    <row r="8893" spans="13:19" ht="15" customHeight="1" x14ac:dyDescent="0.25">
      <c r="M8893"/>
      <c r="N8893"/>
      <c r="O8893"/>
      <c r="P8893" s="216"/>
      <c r="Q8893" s="217"/>
      <c r="R8893" s="217"/>
      <c r="S8893" s="218"/>
    </row>
    <row r="8894" spans="13:19" ht="15" customHeight="1" x14ac:dyDescent="0.25">
      <c r="M8894"/>
      <c r="N8894"/>
      <c r="O8894"/>
      <c r="P8894" s="216"/>
      <c r="Q8894" s="217"/>
      <c r="R8894" s="217"/>
      <c r="S8894" s="218"/>
    </row>
    <row r="8895" spans="13:19" ht="15" customHeight="1" x14ac:dyDescent="0.25">
      <c r="M8895"/>
      <c r="N8895"/>
      <c r="O8895"/>
      <c r="P8895" s="216"/>
      <c r="Q8895" s="217"/>
      <c r="R8895" s="217"/>
      <c r="S8895" s="218"/>
    </row>
    <row r="8896" spans="13:19" ht="15" customHeight="1" x14ac:dyDescent="0.25">
      <c r="M8896"/>
      <c r="N8896"/>
      <c r="O8896"/>
      <c r="P8896" s="216"/>
      <c r="Q8896" s="217"/>
      <c r="R8896" s="217"/>
      <c r="S8896" s="218"/>
    </row>
    <row r="8897" spans="13:19" ht="15" customHeight="1" x14ac:dyDescent="0.25">
      <c r="M8897"/>
      <c r="N8897"/>
      <c r="O8897"/>
      <c r="P8897" s="216"/>
      <c r="Q8897" s="217"/>
      <c r="R8897" s="217"/>
      <c r="S8897" s="218"/>
    </row>
    <row r="8898" spans="13:19" ht="15" customHeight="1" x14ac:dyDescent="0.25">
      <c r="M8898"/>
      <c r="N8898"/>
      <c r="O8898"/>
      <c r="P8898" s="216"/>
      <c r="Q8898" s="217"/>
      <c r="R8898" s="217"/>
      <c r="S8898" s="218"/>
    </row>
    <row r="8899" spans="13:19" ht="15" customHeight="1" x14ac:dyDescent="0.25">
      <c r="M8899"/>
      <c r="N8899"/>
      <c r="O8899"/>
      <c r="P8899" s="216"/>
      <c r="Q8899" s="217"/>
      <c r="R8899" s="217"/>
      <c r="S8899" s="218"/>
    </row>
    <row r="8900" spans="13:19" ht="15" customHeight="1" x14ac:dyDescent="0.25">
      <c r="M8900"/>
      <c r="N8900"/>
      <c r="O8900"/>
      <c r="P8900" s="216"/>
      <c r="Q8900" s="217"/>
      <c r="R8900" s="217"/>
      <c r="S8900" s="218"/>
    </row>
    <row r="8901" spans="13:19" ht="15" customHeight="1" x14ac:dyDescent="0.25">
      <c r="M8901"/>
      <c r="N8901"/>
      <c r="O8901"/>
      <c r="P8901" s="216"/>
      <c r="Q8901" s="217"/>
      <c r="R8901" s="217"/>
      <c r="S8901" s="218"/>
    </row>
    <row r="8902" spans="13:19" ht="15" customHeight="1" x14ac:dyDescent="0.25">
      <c r="M8902"/>
      <c r="N8902"/>
      <c r="O8902"/>
      <c r="P8902" s="216"/>
      <c r="Q8902" s="217"/>
      <c r="R8902" s="217"/>
      <c r="S8902" s="218"/>
    </row>
    <row r="8903" spans="13:19" ht="15" customHeight="1" x14ac:dyDescent="0.25">
      <c r="M8903"/>
      <c r="N8903"/>
      <c r="O8903"/>
      <c r="P8903" s="216"/>
      <c r="Q8903" s="217"/>
      <c r="R8903" s="217"/>
      <c r="S8903" s="218"/>
    </row>
    <row r="8904" spans="13:19" ht="15" customHeight="1" x14ac:dyDescent="0.25">
      <c r="M8904"/>
      <c r="N8904"/>
      <c r="O8904"/>
      <c r="P8904" s="216"/>
      <c r="Q8904" s="217"/>
      <c r="R8904" s="217"/>
      <c r="S8904" s="218"/>
    </row>
    <row r="8905" spans="13:19" ht="15" customHeight="1" x14ac:dyDescent="0.25">
      <c r="M8905"/>
      <c r="N8905"/>
      <c r="O8905"/>
      <c r="P8905" s="216"/>
      <c r="Q8905" s="217"/>
      <c r="R8905" s="217"/>
      <c r="S8905" s="218"/>
    </row>
    <row r="8906" spans="13:19" ht="15" customHeight="1" x14ac:dyDescent="0.25">
      <c r="M8906"/>
      <c r="N8906"/>
      <c r="O8906"/>
      <c r="P8906" s="216"/>
      <c r="Q8906" s="217"/>
      <c r="R8906" s="217"/>
      <c r="S8906" s="218"/>
    </row>
    <row r="8907" spans="13:19" ht="15" customHeight="1" x14ac:dyDescent="0.25">
      <c r="M8907"/>
      <c r="N8907"/>
      <c r="O8907"/>
      <c r="P8907" s="216"/>
      <c r="Q8907" s="217"/>
      <c r="R8907" s="217"/>
      <c r="S8907" s="218"/>
    </row>
    <row r="8908" spans="13:19" ht="15" customHeight="1" x14ac:dyDescent="0.25">
      <c r="M8908"/>
      <c r="N8908"/>
      <c r="O8908"/>
      <c r="P8908" s="216"/>
      <c r="Q8908" s="217"/>
      <c r="R8908" s="217"/>
      <c r="S8908" s="218"/>
    </row>
    <row r="8909" spans="13:19" ht="15" customHeight="1" x14ac:dyDescent="0.25">
      <c r="M8909"/>
      <c r="N8909"/>
      <c r="O8909"/>
      <c r="P8909" s="216"/>
      <c r="Q8909" s="217"/>
      <c r="R8909" s="217"/>
      <c r="S8909" s="218"/>
    </row>
    <row r="8910" spans="13:19" ht="15" customHeight="1" x14ac:dyDescent="0.25">
      <c r="M8910"/>
      <c r="N8910"/>
      <c r="O8910"/>
      <c r="P8910" s="216"/>
      <c r="Q8910" s="217"/>
      <c r="R8910" s="217"/>
      <c r="S8910" s="218"/>
    </row>
    <row r="8911" spans="13:19" ht="15" customHeight="1" x14ac:dyDescent="0.25">
      <c r="M8911"/>
      <c r="N8911"/>
      <c r="O8911"/>
      <c r="P8911" s="216"/>
      <c r="Q8911" s="217"/>
      <c r="R8911" s="217"/>
      <c r="S8911" s="218"/>
    </row>
    <row r="8912" spans="13:19" ht="15" customHeight="1" x14ac:dyDescent="0.25">
      <c r="M8912"/>
      <c r="N8912"/>
      <c r="O8912"/>
      <c r="P8912" s="216"/>
      <c r="Q8912" s="217"/>
      <c r="R8912" s="217"/>
      <c r="S8912" s="218"/>
    </row>
    <row r="8913" spans="13:19" ht="15" customHeight="1" x14ac:dyDescent="0.25">
      <c r="M8913"/>
      <c r="N8913"/>
      <c r="O8913"/>
      <c r="P8913" s="216"/>
      <c r="Q8913" s="217"/>
      <c r="R8913" s="217"/>
      <c r="S8913" s="218"/>
    </row>
    <row r="8914" spans="13:19" ht="15" customHeight="1" x14ac:dyDescent="0.25">
      <c r="M8914"/>
      <c r="N8914"/>
      <c r="O8914"/>
      <c r="P8914" s="216"/>
      <c r="Q8914" s="217"/>
      <c r="R8914" s="217"/>
      <c r="S8914" s="218"/>
    </row>
    <row r="8915" spans="13:19" ht="15" customHeight="1" x14ac:dyDescent="0.25">
      <c r="M8915"/>
      <c r="N8915"/>
      <c r="O8915"/>
      <c r="P8915" s="216"/>
      <c r="Q8915" s="217"/>
      <c r="R8915" s="217"/>
      <c r="S8915" s="218"/>
    </row>
    <row r="8916" spans="13:19" ht="15" customHeight="1" x14ac:dyDescent="0.25">
      <c r="M8916"/>
      <c r="N8916"/>
      <c r="O8916"/>
      <c r="P8916" s="216"/>
      <c r="Q8916" s="217"/>
      <c r="R8916" s="217"/>
      <c r="S8916" s="218"/>
    </row>
    <row r="8917" spans="13:19" ht="15" customHeight="1" x14ac:dyDescent="0.25">
      <c r="M8917"/>
      <c r="N8917"/>
      <c r="O8917"/>
      <c r="P8917" s="216"/>
      <c r="Q8917" s="217"/>
      <c r="R8917" s="217"/>
      <c r="S8917" s="218"/>
    </row>
    <row r="8918" spans="13:19" ht="15" customHeight="1" x14ac:dyDescent="0.25">
      <c r="M8918"/>
      <c r="N8918"/>
      <c r="O8918"/>
      <c r="P8918" s="216"/>
      <c r="Q8918" s="217"/>
      <c r="R8918" s="217"/>
      <c r="S8918" s="218"/>
    </row>
    <row r="8919" spans="13:19" ht="15" customHeight="1" x14ac:dyDescent="0.25">
      <c r="M8919"/>
      <c r="N8919"/>
      <c r="O8919"/>
      <c r="P8919" s="216"/>
      <c r="Q8919" s="217"/>
      <c r="R8919" s="217"/>
      <c r="S8919" s="218"/>
    </row>
    <row r="8920" spans="13:19" ht="15" customHeight="1" x14ac:dyDescent="0.25">
      <c r="M8920"/>
      <c r="N8920"/>
      <c r="O8920"/>
      <c r="P8920" s="216"/>
      <c r="Q8920" s="217"/>
      <c r="R8920" s="217"/>
      <c r="S8920" s="218"/>
    </row>
    <row r="8921" spans="13:19" ht="15" customHeight="1" x14ac:dyDescent="0.25">
      <c r="M8921"/>
      <c r="N8921"/>
      <c r="O8921"/>
      <c r="P8921" s="216"/>
      <c r="Q8921" s="217"/>
      <c r="R8921" s="217"/>
      <c r="S8921" s="218"/>
    </row>
    <row r="8922" spans="13:19" ht="15" customHeight="1" x14ac:dyDescent="0.25">
      <c r="M8922"/>
      <c r="N8922"/>
      <c r="O8922"/>
      <c r="P8922" s="216"/>
      <c r="Q8922" s="217"/>
      <c r="R8922" s="217"/>
      <c r="S8922" s="218"/>
    </row>
    <row r="8923" spans="13:19" ht="15" customHeight="1" x14ac:dyDescent="0.25">
      <c r="M8923"/>
      <c r="N8923"/>
      <c r="O8923"/>
      <c r="P8923" s="216"/>
      <c r="Q8923" s="217"/>
      <c r="R8923" s="217"/>
      <c r="S8923" s="218"/>
    </row>
    <row r="8924" spans="13:19" ht="15" customHeight="1" x14ac:dyDescent="0.25">
      <c r="M8924"/>
      <c r="N8924"/>
      <c r="O8924"/>
      <c r="P8924" s="216"/>
      <c r="Q8924" s="217"/>
      <c r="R8924" s="217"/>
      <c r="S8924" s="218"/>
    </row>
    <row r="8925" spans="13:19" ht="15" customHeight="1" x14ac:dyDescent="0.25">
      <c r="M8925"/>
      <c r="N8925"/>
      <c r="O8925"/>
      <c r="P8925" s="216"/>
      <c r="Q8925" s="217"/>
      <c r="R8925" s="217"/>
      <c r="S8925" s="218"/>
    </row>
    <row r="8926" spans="13:19" ht="15" customHeight="1" x14ac:dyDescent="0.25">
      <c r="M8926"/>
      <c r="N8926"/>
      <c r="O8926"/>
      <c r="P8926" s="216"/>
      <c r="Q8926" s="217"/>
      <c r="R8926" s="217"/>
      <c r="S8926" s="218"/>
    </row>
    <row r="8927" spans="13:19" ht="15" customHeight="1" x14ac:dyDescent="0.25">
      <c r="M8927"/>
      <c r="N8927"/>
      <c r="O8927"/>
      <c r="P8927" s="216"/>
      <c r="Q8927" s="217"/>
      <c r="R8927" s="217"/>
      <c r="S8927" s="218"/>
    </row>
    <row r="8928" spans="13:19" ht="15" customHeight="1" x14ac:dyDescent="0.25">
      <c r="M8928"/>
      <c r="N8928"/>
      <c r="O8928"/>
      <c r="P8928" s="216"/>
      <c r="Q8928" s="217"/>
      <c r="R8928" s="217"/>
      <c r="S8928" s="218"/>
    </row>
    <row r="8929" spans="13:19" ht="15" customHeight="1" x14ac:dyDescent="0.25">
      <c r="M8929"/>
      <c r="N8929"/>
      <c r="O8929"/>
      <c r="P8929" s="216"/>
      <c r="Q8929" s="217"/>
      <c r="R8929" s="217"/>
      <c r="S8929" s="218"/>
    </row>
    <row r="8930" spans="13:19" ht="15" customHeight="1" x14ac:dyDescent="0.25">
      <c r="M8930"/>
      <c r="N8930"/>
      <c r="O8930"/>
      <c r="P8930" s="216"/>
      <c r="Q8930" s="217"/>
      <c r="R8930" s="217"/>
      <c r="S8930" s="218"/>
    </row>
    <row r="8931" spans="13:19" ht="15" customHeight="1" x14ac:dyDescent="0.25">
      <c r="M8931"/>
      <c r="N8931"/>
      <c r="O8931"/>
      <c r="P8931" s="216"/>
      <c r="Q8931" s="217"/>
      <c r="R8931" s="217"/>
      <c r="S8931" s="218"/>
    </row>
    <row r="8932" spans="13:19" ht="15" customHeight="1" x14ac:dyDescent="0.25">
      <c r="M8932"/>
      <c r="N8932"/>
      <c r="O8932"/>
      <c r="P8932" s="216"/>
      <c r="Q8932" s="217"/>
      <c r="R8932" s="217"/>
      <c r="S8932" s="218"/>
    </row>
    <row r="8933" spans="13:19" ht="15" customHeight="1" x14ac:dyDescent="0.25">
      <c r="M8933"/>
      <c r="N8933"/>
      <c r="O8933"/>
      <c r="P8933" s="216"/>
      <c r="Q8933" s="217"/>
      <c r="R8933" s="217"/>
      <c r="S8933" s="218"/>
    </row>
    <row r="8934" spans="13:19" ht="15" customHeight="1" x14ac:dyDescent="0.25">
      <c r="M8934"/>
      <c r="N8934"/>
      <c r="O8934"/>
      <c r="P8934" s="216"/>
      <c r="Q8934" s="217"/>
      <c r="R8934" s="217"/>
      <c r="S8934" s="218"/>
    </row>
    <row r="8935" spans="13:19" ht="15" customHeight="1" x14ac:dyDescent="0.25">
      <c r="M8935"/>
      <c r="N8935"/>
      <c r="O8935"/>
      <c r="P8935" s="216"/>
      <c r="Q8935" s="217"/>
      <c r="R8935" s="217"/>
      <c r="S8935" s="218"/>
    </row>
    <row r="8936" spans="13:19" ht="15" customHeight="1" x14ac:dyDescent="0.25">
      <c r="M8936"/>
      <c r="N8936"/>
      <c r="O8936"/>
      <c r="P8936" s="216"/>
      <c r="Q8936" s="217"/>
      <c r="R8936" s="217"/>
      <c r="S8936" s="218"/>
    </row>
    <row r="8937" spans="13:19" ht="15" customHeight="1" x14ac:dyDescent="0.25">
      <c r="M8937"/>
      <c r="N8937"/>
      <c r="O8937"/>
      <c r="P8937" s="216"/>
      <c r="Q8937" s="217"/>
      <c r="R8937" s="217"/>
      <c r="S8937" s="218"/>
    </row>
    <row r="8938" spans="13:19" ht="15" customHeight="1" x14ac:dyDescent="0.25">
      <c r="M8938"/>
      <c r="N8938"/>
      <c r="O8938"/>
      <c r="P8938" s="216"/>
      <c r="Q8938" s="217"/>
      <c r="R8938" s="217"/>
      <c r="S8938" s="218"/>
    </row>
    <row r="8939" spans="13:19" ht="15" customHeight="1" x14ac:dyDescent="0.25">
      <c r="M8939"/>
      <c r="N8939"/>
      <c r="O8939"/>
      <c r="P8939" s="216"/>
      <c r="Q8939" s="217"/>
      <c r="R8939" s="217"/>
      <c r="S8939" s="218"/>
    </row>
    <row r="8940" spans="13:19" ht="15" customHeight="1" x14ac:dyDescent="0.25">
      <c r="M8940"/>
      <c r="N8940"/>
      <c r="O8940"/>
      <c r="P8940" s="216"/>
      <c r="Q8940" s="217"/>
      <c r="R8940" s="217"/>
      <c r="S8940" s="218"/>
    </row>
    <row r="8941" spans="13:19" ht="15" customHeight="1" x14ac:dyDescent="0.25">
      <c r="M8941"/>
      <c r="N8941"/>
      <c r="O8941"/>
      <c r="P8941" s="216"/>
      <c r="Q8941" s="217"/>
      <c r="R8941" s="217"/>
      <c r="S8941" s="218"/>
    </row>
    <row r="8942" spans="13:19" ht="15" customHeight="1" x14ac:dyDescent="0.25">
      <c r="M8942"/>
      <c r="N8942"/>
      <c r="O8942"/>
      <c r="P8942" s="216"/>
      <c r="Q8942" s="217"/>
      <c r="R8942" s="217"/>
      <c r="S8942" s="218"/>
    </row>
    <row r="8943" spans="13:19" ht="15" customHeight="1" x14ac:dyDescent="0.25">
      <c r="M8943"/>
      <c r="N8943"/>
      <c r="O8943"/>
      <c r="P8943" s="216"/>
      <c r="Q8943" s="217"/>
      <c r="R8943" s="217"/>
      <c r="S8943" s="218"/>
    </row>
    <row r="8944" spans="13:19" ht="15" customHeight="1" x14ac:dyDescent="0.25">
      <c r="M8944"/>
      <c r="N8944"/>
      <c r="O8944"/>
      <c r="P8944" s="216"/>
      <c r="Q8944" s="217"/>
      <c r="R8944" s="217"/>
      <c r="S8944" s="218"/>
    </row>
    <row r="8945" spans="13:19" ht="15" customHeight="1" x14ac:dyDescent="0.25">
      <c r="M8945"/>
      <c r="N8945"/>
      <c r="O8945"/>
      <c r="P8945" s="216"/>
      <c r="Q8945" s="217"/>
      <c r="R8945" s="217"/>
      <c r="S8945" s="218"/>
    </row>
    <row r="8946" spans="13:19" ht="15" customHeight="1" x14ac:dyDescent="0.25">
      <c r="M8946"/>
      <c r="N8946"/>
      <c r="O8946"/>
      <c r="P8946" s="216"/>
      <c r="Q8946" s="217"/>
      <c r="R8946" s="217"/>
      <c r="S8946" s="218"/>
    </row>
    <row r="8947" spans="13:19" ht="15" customHeight="1" x14ac:dyDescent="0.25">
      <c r="M8947"/>
      <c r="N8947"/>
      <c r="O8947"/>
      <c r="P8947" s="216"/>
      <c r="Q8947" s="217"/>
      <c r="R8947" s="217"/>
      <c r="S8947" s="218"/>
    </row>
    <row r="8948" spans="13:19" ht="15" customHeight="1" x14ac:dyDescent="0.25">
      <c r="M8948"/>
      <c r="N8948"/>
      <c r="O8948"/>
      <c r="P8948" s="216"/>
      <c r="Q8948" s="217"/>
      <c r="R8948" s="217"/>
      <c r="S8948" s="218"/>
    </row>
    <row r="8949" spans="13:19" ht="15" customHeight="1" x14ac:dyDescent="0.25">
      <c r="M8949"/>
      <c r="N8949"/>
      <c r="O8949"/>
      <c r="P8949" s="216"/>
      <c r="Q8949" s="217"/>
      <c r="R8949" s="217"/>
      <c r="S8949" s="218"/>
    </row>
    <row r="8950" spans="13:19" ht="15" customHeight="1" x14ac:dyDescent="0.25">
      <c r="M8950"/>
      <c r="N8950"/>
      <c r="O8950"/>
      <c r="P8950" s="216"/>
      <c r="Q8950" s="217"/>
      <c r="R8950" s="217"/>
      <c r="S8950" s="218"/>
    </row>
    <row r="8951" spans="13:19" ht="15" customHeight="1" x14ac:dyDescent="0.25">
      <c r="M8951"/>
      <c r="N8951"/>
      <c r="O8951"/>
      <c r="P8951" s="216"/>
      <c r="Q8951" s="217"/>
      <c r="R8951" s="217"/>
      <c r="S8951" s="218"/>
    </row>
    <row r="8952" spans="13:19" ht="15" customHeight="1" x14ac:dyDescent="0.25">
      <c r="M8952"/>
      <c r="N8952"/>
      <c r="O8952"/>
      <c r="P8952" s="216"/>
      <c r="Q8952" s="217"/>
      <c r="R8952" s="217"/>
      <c r="S8952" s="218"/>
    </row>
    <row r="8953" spans="13:19" ht="15" customHeight="1" x14ac:dyDescent="0.25">
      <c r="M8953"/>
      <c r="N8953"/>
      <c r="O8953"/>
      <c r="P8953" s="216"/>
      <c r="Q8953" s="217"/>
      <c r="R8953" s="217"/>
      <c r="S8953" s="218"/>
    </row>
    <row r="8954" spans="13:19" ht="15" customHeight="1" x14ac:dyDescent="0.25">
      <c r="M8954"/>
      <c r="N8954"/>
      <c r="O8954"/>
      <c r="P8954" s="216"/>
      <c r="Q8954" s="217"/>
      <c r="R8954" s="217"/>
      <c r="S8954" s="218"/>
    </row>
    <row r="8955" spans="13:19" ht="15" customHeight="1" x14ac:dyDescent="0.25">
      <c r="M8955"/>
      <c r="N8955"/>
      <c r="O8955"/>
      <c r="P8955" s="216"/>
      <c r="Q8955" s="217"/>
      <c r="R8955" s="217"/>
      <c r="S8955" s="218"/>
    </row>
    <row r="8956" spans="13:19" ht="15" customHeight="1" x14ac:dyDescent="0.25">
      <c r="M8956"/>
      <c r="N8956"/>
      <c r="O8956"/>
      <c r="P8956" s="216"/>
      <c r="Q8956" s="217"/>
      <c r="R8956" s="217"/>
      <c r="S8956" s="218"/>
    </row>
    <row r="8957" spans="13:19" ht="15" customHeight="1" x14ac:dyDescent="0.25">
      <c r="M8957"/>
      <c r="N8957"/>
      <c r="O8957"/>
      <c r="P8957" s="216"/>
      <c r="Q8957" s="217"/>
      <c r="R8957" s="217"/>
      <c r="S8957" s="218"/>
    </row>
    <row r="8958" spans="13:19" ht="15" customHeight="1" x14ac:dyDescent="0.25">
      <c r="M8958"/>
      <c r="N8958"/>
      <c r="O8958"/>
      <c r="P8958" s="216"/>
      <c r="Q8958" s="217"/>
      <c r="R8958" s="217"/>
      <c r="S8958" s="218"/>
    </row>
    <row r="8959" spans="13:19" ht="15" customHeight="1" x14ac:dyDescent="0.25">
      <c r="M8959"/>
      <c r="N8959"/>
      <c r="O8959"/>
      <c r="P8959" s="216"/>
      <c r="Q8959" s="217"/>
      <c r="R8959" s="217"/>
      <c r="S8959" s="218"/>
    </row>
    <row r="8960" spans="13:19" ht="15" customHeight="1" x14ac:dyDescent="0.25">
      <c r="M8960"/>
      <c r="N8960"/>
      <c r="O8960"/>
      <c r="P8960" s="216"/>
      <c r="Q8960" s="217"/>
      <c r="R8960" s="217"/>
      <c r="S8960" s="218"/>
    </row>
    <row r="8961" spans="13:19" ht="15" customHeight="1" x14ac:dyDescent="0.25">
      <c r="M8961"/>
      <c r="N8961"/>
      <c r="O8961"/>
      <c r="P8961" s="216"/>
      <c r="Q8961" s="217"/>
      <c r="R8961" s="217"/>
      <c r="S8961" s="218"/>
    </row>
    <row r="8962" spans="13:19" ht="15" customHeight="1" x14ac:dyDescent="0.25">
      <c r="M8962"/>
      <c r="N8962"/>
      <c r="O8962"/>
      <c r="P8962" s="216"/>
      <c r="Q8962" s="217"/>
      <c r="R8962" s="217"/>
      <c r="S8962" s="218"/>
    </row>
    <row r="8963" spans="13:19" ht="15" customHeight="1" x14ac:dyDescent="0.25">
      <c r="M8963"/>
      <c r="N8963"/>
      <c r="O8963"/>
      <c r="P8963" s="216"/>
      <c r="Q8963" s="217"/>
      <c r="R8963" s="217"/>
      <c r="S8963" s="218"/>
    </row>
    <row r="8964" spans="13:19" ht="15" customHeight="1" x14ac:dyDescent="0.25">
      <c r="M8964"/>
      <c r="N8964"/>
      <c r="O8964"/>
      <c r="P8964" s="216"/>
      <c r="Q8964" s="217"/>
      <c r="R8964" s="217"/>
      <c r="S8964" s="218"/>
    </row>
    <row r="8965" spans="13:19" ht="15" customHeight="1" x14ac:dyDescent="0.25">
      <c r="M8965"/>
      <c r="N8965"/>
      <c r="O8965"/>
      <c r="P8965" s="216"/>
      <c r="Q8965" s="217"/>
      <c r="R8965" s="217"/>
      <c r="S8965" s="218"/>
    </row>
    <row r="8966" spans="13:19" ht="15" customHeight="1" x14ac:dyDescent="0.25">
      <c r="M8966"/>
      <c r="N8966"/>
      <c r="O8966"/>
      <c r="P8966" s="216"/>
      <c r="Q8966" s="217"/>
      <c r="R8966" s="217"/>
      <c r="S8966" s="218"/>
    </row>
    <row r="8967" spans="13:19" ht="15" customHeight="1" x14ac:dyDescent="0.25">
      <c r="M8967"/>
      <c r="N8967"/>
      <c r="O8967"/>
      <c r="P8967" s="216"/>
      <c r="Q8967" s="217"/>
      <c r="R8967" s="217"/>
      <c r="S8967" s="218"/>
    </row>
    <row r="8968" spans="13:19" ht="15" customHeight="1" x14ac:dyDescent="0.25">
      <c r="M8968"/>
      <c r="N8968"/>
      <c r="O8968"/>
      <c r="P8968" s="216"/>
      <c r="Q8968" s="217"/>
      <c r="R8968" s="217"/>
      <c r="S8968" s="218"/>
    </row>
    <row r="8969" spans="13:19" ht="15" customHeight="1" x14ac:dyDescent="0.25">
      <c r="M8969"/>
      <c r="N8969"/>
      <c r="O8969"/>
      <c r="P8969" s="216"/>
      <c r="Q8969" s="217"/>
      <c r="R8969" s="217"/>
      <c r="S8969" s="218"/>
    </row>
    <row r="8970" spans="13:19" ht="15" customHeight="1" x14ac:dyDescent="0.25">
      <c r="M8970"/>
      <c r="N8970"/>
      <c r="O8970"/>
      <c r="P8970" s="216"/>
      <c r="Q8970" s="217"/>
      <c r="R8970" s="217"/>
      <c r="S8970" s="218"/>
    </row>
    <row r="8971" spans="13:19" ht="15" customHeight="1" x14ac:dyDescent="0.25">
      <c r="M8971"/>
      <c r="N8971"/>
      <c r="O8971"/>
      <c r="P8971" s="216"/>
      <c r="Q8971" s="217"/>
      <c r="R8971" s="217"/>
      <c r="S8971" s="218"/>
    </row>
    <row r="8972" spans="13:19" ht="15" customHeight="1" x14ac:dyDescent="0.25">
      <c r="M8972"/>
      <c r="N8972"/>
      <c r="O8972"/>
      <c r="P8972" s="216"/>
      <c r="Q8972" s="217"/>
      <c r="R8972" s="217"/>
      <c r="S8972" s="218"/>
    </row>
    <row r="8973" spans="13:19" ht="15" customHeight="1" x14ac:dyDescent="0.25">
      <c r="M8973"/>
      <c r="N8973"/>
      <c r="O8973"/>
      <c r="P8973" s="216"/>
      <c r="Q8973" s="217"/>
      <c r="R8973" s="217"/>
      <c r="S8973" s="218"/>
    </row>
    <row r="8974" spans="13:19" ht="15" customHeight="1" x14ac:dyDescent="0.25">
      <c r="M8974"/>
      <c r="N8974"/>
      <c r="O8974"/>
      <c r="P8974" s="216"/>
      <c r="Q8974" s="217"/>
      <c r="R8974" s="217"/>
      <c r="S8974" s="218"/>
    </row>
    <row r="8975" spans="13:19" ht="15" customHeight="1" x14ac:dyDescent="0.25">
      <c r="M8975"/>
      <c r="N8975"/>
      <c r="O8975"/>
      <c r="P8975" s="216"/>
      <c r="Q8975" s="217"/>
      <c r="R8975" s="217"/>
      <c r="S8975" s="218"/>
    </row>
    <row r="8976" spans="13:19" ht="15" customHeight="1" x14ac:dyDescent="0.25">
      <c r="M8976"/>
      <c r="N8976"/>
      <c r="O8976"/>
      <c r="P8976" s="216"/>
      <c r="Q8976" s="217"/>
      <c r="R8976" s="217"/>
      <c r="S8976" s="218"/>
    </row>
    <row r="8977" spans="13:19" ht="15" customHeight="1" x14ac:dyDescent="0.25">
      <c r="M8977"/>
      <c r="N8977"/>
      <c r="O8977"/>
      <c r="P8977" s="216"/>
      <c r="Q8977" s="217"/>
      <c r="R8977" s="217"/>
      <c r="S8977" s="218"/>
    </row>
    <row r="8978" spans="13:19" ht="15" customHeight="1" x14ac:dyDescent="0.25">
      <c r="M8978"/>
      <c r="N8978"/>
      <c r="O8978"/>
      <c r="P8978" s="216"/>
      <c r="Q8978" s="217"/>
      <c r="R8978" s="217"/>
      <c r="S8978" s="218"/>
    </row>
    <row r="8979" spans="13:19" ht="15" customHeight="1" x14ac:dyDescent="0.25">
      <c r="M8979"/>
      <c r="N8979"/>
      <c r="O8979"/>
      <c r="P8979" s="216"/>
      <c r="Q8979" s="217"/>
      <c r="R8979" s="217"/>
      <c r="S8979" s="218"/>
    </row>
    <row r="8980" spans="13:19" ht="15" customHeight="1" x14ac:dyDescent="0.25">
      <c r="M8980"/>
      <c r="N8980"/>
      <c r="O8980"/>
      <c r="P8980" s="216"/>
      <c r="Q8980" s="217"/>
      <c r="R8980" s="217"/>
      <c r="S8980" s="218"/>
    </row>
    <row r="8981" spans="13:19" ht="15" customHeight="1" x14ac:dyDescent="0.25">
      <c r="M8981"/>
      <c r="N8981"/>
      <c r="O8981"/>
      <c r="P8981" s="216"/>
      <c r="Q8981" s="217"/>
      <c r="R8981" s="217"/>
      <c r="S8981" s="218"/>
    </row>
    <row r="8982" spans="13:19" ht="15" customHeight="1" x14ac:dyDescent="0.25">
      <c r="M8982"/>
      <c r="N8982"/>
      <c r="O8982"/>
      <c r="P8982" s="216"/>
      <c r="Q8982" s="217"/>
      <c r="R8982" s="217"/>
      <c r="S8982" s="218"/>
    </row>
    <row r="8983" spans="13:19" ht="15" customHeight="1" x14ac:dyDescent="0.25">
      <c r="M8983"/>
      <c r="N8983"/>
      <c r="O8983"/>
      <c r="P8983" s="216"/>
      <c r="Q8983" s="217"/>
      <c r="R8983" s="217"/>
      <c r="S8983" s="218"/>
    </row>
    <row r="8984" spans="13:19" ht="15" customHeight="1" x14ac:dyDescent="0.25">
      <c r="M8984"/>
      <c r="N8984"/>
      <c r="O8984"/>
      <c r="P8984" s="216"/>
      <c r="Q8984" s="217"/>
      <c r="R8984" s="217"/>
      <c r="S8984" s="218"/>
    </row>
    <row r="8985" spans="13:19" ht="15" customHeight="1" x14ac:dyDescent="0.25">
      <c r="M8985"/>
      <c r="N8985"/>
      <c r="O8985"/>
      <c r="P8985" s="216"/>
      <c r="Q8985" s="217"/>
      <c r="R8985" s="217"/>
      <c r="S8985" s="218"/>
    </row>
    <row r="8986" spans="13:19" ht="15" customHeight="1" x14ac:dyDescent="0.25">
      <c r="M8986"/>
      <c r="N8986"/>
      <c r="O8986"/>
      <c r="P8986" s="216"/>
      <c r="Q8986" s="217"/>
      <c r="R8986" s="217"/>
      <c r="S8986" s="218"/>
    </row>
    <row r="8987" spans="13:19" ht="15" customHeight="1" x14ac:dyDescent="0.25">
      <c r="M8987"/>
      <c r="N8987"/>
      <c r="O8987"/>
      <c r="P8987" s="216"/>
      <c r="Q8987" s="217"/>
      <c r="R8987" s="217"/>
      <c r="S8987" s="218"/>
    </row>
    <row r="8988" spans="13:19" ht="15" customHeight="1" x14ac:dyDescent="0.25">
      <c r="M8988"/>
      <c r="N8988"/>
      <c r="O8988"/>
      <c r="P8988" s="216"/>
      <c r="Q8988" s="217"/>
      <c r="R8988" s="217"/>
      <c r="S8988" s="218"/>
    </row>
    <row r="8989" spans="13:19" ht="15" customHeight="1" x14ac:dyDescent="0.25">
      <c r="M8989"/>
      <c r="N8989"/>
      <c r="O8989"/>
      <c r="P8989" s="216"/>
      <c r="Q8989" s="217"/>
      <c r="R8989" s="217"/>
      <c r="S8989" s="218"/>
    </row>
    <row r="8990" spans="13:19" ht="15" customHeight="1" x14ac:dyDescent="0.25">
      <c r="M8990"/>
      <c r="N8990"/>
      <c r="O8990"/>
      <c r="P8990" s="216"/>
      <c r="Q8990" s="217"/>
      <c r="R8990" s="217"/>
      <c r="S8990" s="218"/>
    </row>
    <row r="8991" spans="13:19" ht="15" customHeight="1" x14ac:dyDescent="0.25">
      <c r="M8991"/>
      <c r="N8991"/>
      <c r="O8991"/>
      <c r="P8991" s="216"/>
      <c r="Q8991" s="217"/>
      <c r="R8991" s="217"/>
      <c r="S8991" s="218"/>
    </row>
    <row r="8992" spans="13:19" ht="15" customHeight="1" x14ac:dyDescent="0.25">
      <c r="M8992"/>
      <c r="N8992"/>
      <c r="O8992"/>
      <c r="P8992" s="216"/>
      <c r="Q8992" s="217"/>
      <c r="R8992" s="217"/>
      <c r="S8992" s="218"/>
    </row>
    <row r="8993" spans="13:19" ht="15" customHeight="1" x14ac:dyDescent="0.25">
      <c r="M8993"/>
      <c r="N8993"/>
      <c r="O8993"/>
      <c r="P8993" s="216"/>
      <c r="Q8993" s="217"/>
      <c r="R8993" s="217"/>
      <c r="S8993" s="218"/>
    </row>
    <row r="8994" spans="13:19" ht="15" customHeight="1" x14ac:dyDescent="0.25">
      <c r="M8994"/>
      <c r="N8994"/>
      <c r="O8994"/>
      <c r="P8994" s="216"/>
      <c r="Q8994" s="217"/>
      <c r="R8994" s="217"/>
      <c r="S8994" s="218"/>
    </row>
    <row r="8995" spans="13:19" ht="15" customHeight="1" x14ac:dyDescent="0.25">
      <c r="M8995"/>
      <c r="N8995"/>
      <c r="O8995"/>
      <c r="P8995" s="216"/>
      <c r="Q8995" s="217"/>
      <c r="R8995" s="217"/>
      <c r="S8995" s="218"/>
    </row>
    <row r="8996" spans="13:19" ht="15" customHeight="1" x14ac:dyDescent="0.25">
      <c r="M8996"/>
      <c r="N8996"/>
      <c r="O8996"/>
      <c r="P8996" s="216"/>
      <c r="Q8996" s="217"/>
      <c r="R8996" s="217"/>
      <c r="S8996" s="218"/>
    </row>
    <row r="8997" spans="13:19" ht="15" customHeight="1" x14ac:dyDescent="0.25">
      <c r="M8997"/>
      <c r="N8997"/>
      <c r="O8997"/>
      <c r="P8997" s="216"/>
      <c r="Q8997" s="217"/>
      <c r="R8997" s="217"/>
      <c r="S8997" s="218"/>
    </row>
    <row r="8998" spans="13:19" ht="15" customHeight="1" x14ac:dyDescent="0.25">
      <c r="M8998"/>
      <c r="N8998"/>
      <c r="O8998"/>
      <c r="P8998" s="216"/>
      <c r="Q8998" s="217"/>
      <c r="R8998" s="217"/>
      <c r="S8998" s="218"/>
    </row>
    <row r="8999" spans="13:19" ht="15" customHeight="1" x14ac:dyDescent="0.25">
      <c r="M8999"/>
      <c r="N8999"/>
      <c r="O8999"/>
      <c r="P8999" s="216"/>
      <c r="Q8999" s="217"/>
      <c r="R8999" s="217"/>
      <c r="S8999" s="218"/>
    </row>
    <row r="9000" spans="13:19" ht="15" customHeight="1" x14ac:dyDescent="0.25">
      <c r="M9000"/>
      <c r="N9000"/>
      <c r="O9000"/>
      <c r="P9000" s="216"/>
      <c r="Q9000" s="217"/>
      <c r="R9000" s="217"/>
      <c r="S9000" s="218"/>
    </row>
    <row r="9001" spans="13:19" ht="15" customHeight="1" x14ac:dyDescent="0.25">
      <c r="M9001"/>
      <c r="N9001"/>
      <c r="O9001"/>
      <c r="P9001" s="216"/>
      <c r="Q9001" s="217"/>
      <c r="R9001" s="217"/>
      <c r="S9001" s="218"/>
    </row>
    <row r="9002" spans="13:19" ht="15" customHeight="1" x14ac:dyDescent="0.25">
      <c r="M9002"/>
      <c r="N9002"/>
      <c r="O9002"/>
      <c r="P9002" s="216"/>
      <c r="Q9002" s="217"/>
      <c r="R9002" s="217"/>
      <c r="S9002" s="218"/>
    </row>
    <row r="9003" spans="13:19" ht="15" customHeight="1" x14ac:dyDescent="0.25">
      <c r="M9003"/>
      <c r="N9003"/>
      <c r="O9003"/>
      <c r="P9003" s="216"/>
      <c r="Q9003" s="217"/>
      <c r="R9003" s="217"/>
      <c r="S9003" s="218"/>
    </row>
    <row r="9004" spans="13:19" ht="15" customHeight="1" x14ac:dyDescent="0.25">
      <c r="M9004"/>
      <c r="N9004"/>
      <c r="O9004"/>
      <c r="P9004" s="216"/>
      <c r="Q9004" s="217"/>
      <c r="R9004" s="217"/>
      <c r="S9004" s="218"/>
    </row>
    <row r="9005" spans="13:19" ht="15" customHeight="1" x14ac:dyDescent="0.25">
      <c r="M9005"/>
      <c r="N9005"/>
      <c r="O9005"/>
      <c r="P9005" s="216"/>
      <c r="Q9005" s="217"/>
      <c r="R9005" s="217"/>
      <c r="S9005" s="218"/>
    </row>
    <row r="9006" spans="13:19" ht="15" customHeight="1" x14ac:dyDescent="0.25">
      <c r="M9006"/>
      <c r="N9006"/>
      <c r="O9006"/>
      <c r="P9006" s="216"/>
      <c r="Q9006" s="217"/>
      <c r="R9006" s="217"/>
      <c r="S9006" s="218"/>
    </row>
    <row r="9007" spans="13:19" ht="15" customHeight="1" x14ac:dyDescent="0.25">
      <c r="M9007"/>
      <c r="N9007"/>
      <c r="O9007"/>
      <c r="P9007" s="216"/>
      <c r="Q9007" s="217"/>
      <c r="R9007" s="217"/>
      <c r="S9007" s="218"/>
    </row>
    <row r="9008" spans="13:19" ht="15" customHeight="1" x14ac:dyDescent="0.25">
      <c r="M9008"/>
      <c r="N9008"/>
      <c r="O9008"/>
      <c r="P9008" s="216"/>
      <c r="Q9008" s="217"/>
      <c r="R9008" s="217"/>
      <c r="S9008" s="218"/>
    </row>
    <row r="9009" spans="13:19" ht="15" customHeight="1" x14ac:dyDescent="0.25">
      <c r="M9009"/>
      <c r="N9009"/>
      <c r="O9009"/>
      <c r="P9009" s="216"/>
      <c r="Q9009" s="217"/>
      <c r="R9009" s="217"/>
      <c r="S9009" s="218"/>
    </row>
    <row r="9010" spans="13:19" ht="15" customHeight="1" x14ac:dyDescent="0.25">
      <c r="M9010"/>
      <c r="N9010"/>
      <c r="O9010"/>
      <c r="P9010" s="216"/>
      <c r="Q9010" s="217"/>
      <c r="R9010" s="217"/>
      <c r="S9010" s="218"/>
    </row>
    <row r="9011" spans="13:19" ht="15" customHeight="1" x14ac:dyDescent="0.25">
      <c r="M9011"/>
      <c r="N9011"/>
      <c r="O9011"/>
      <c r="P9011" s="216"/>
      <c r="Q9011" s="217"/>
      <c r="R9011" s="217"/>
      <c r="S9011" s="218"/>
    </row>
    <row r="9012" spans="13:19" ht="15" customHeight="1" x14ac:dyDescent="0.25">
      <c r="M9012"/>
      <c r="N9012"/>
      <c r="O9012"/>
      <c r="P9012" s="216"/>
      <c r="Q9012" s="217"/>
      <c r="R9012" s="217"/>
      <c r="S9012" s="218"/>
    </row>
    <row r="9013" spans="13:19" ht="15" customHeight="1" x14ac:dyDescent="0.25">
      <c r="M9013"/>
      <c r="N9013"/>
      <c r="O9013"/>
      <c r="P9013" s="216"/>
      <c r="Q9013" s="217"/>
      <c r="R9013" s="217"/>
      <c r="S9013" s="218"/>
    </row>
    <row r="9014" spans="13:19" ht="15" customHeight="1" x14ac:dyDescent="0.25">
      <c r="M9014"/>
      <c r="N9014"/>
      <c r="O9014"/>
      <c r="P9014" s="216"/>
      <c r="Q9014" s="217"/>
      <c r="R9014" s="217"/>
      <c r="S9014" s="218"/>
    </row>
    <row r="9015" spans="13:19" ht="15" customHeight="1" x14ac:dyDescent="0.25">
      <c r="M9015"/>
      <c r="N9015"/>
      <c r="O9015"/>
      <c r="P9015" s="216"/>
      <c r="Q9015" s="217"/>
      <c r="R9015" s="217"/>
      <c r="S9015" s="218"/>
    </row>
    <row r="9016" spans="13:19" ht="15" customHeight="1" x14ac:dyDescent="0.25">
      <c r="M9016"/>
      <c r="N9016"/>
      <c r="O9016"/>
      <c r="P9016" s="216"/>
      <c r="Q9016" s="217"/>
      <c r="R9016" s="217"/>
      <c r="S9016" s="218"/>
    </row>
    <row r="9017" spans="13:19" ht="15" customHeight="1" x14ac:dyDescent="0.25">
      <c r="M9017"/>
      <c r="N9017"/>
      <c r="O9017"/>
      <c r="P9017" s="216"/>
      <c r="Q9017" s="217"/>
      <c r="R9017" s="217"/>
      <c r="S9017" s="218"/>
    </row>
    <row r="9018" spans="13:19" ht="15" customHeight="1" x14ac:dyDescent="0.25">
      <c r="M9018"/>
      <c r="N9018"/>
      <c r="O9018"/>
      <c r="P9018" s="216"/>
      <c r="Q9018" s="217"/>
      <c r="R9018" s="217"/>
      <c r="S9018" s="218"/>
    </row>
    <row r="9019" spans="13:19" ht="15" customHeight="1" x14ac:dyDescent="0.25">
      <c r="M9019"/>
      <c r="N9019"/>
      <c r="O9019"/>
      <c r="P9019" s="216"/>
      <c r="Q9019" s="217"/>
      <c r="R9019" s="217"/>
      <c r="S9019" s="218"/>
    </row>
    <row r="9020" spans="13:19" ht="15" customHeight="1" x14ac:dyDescent="0.25">
      <c r="M9020"/>
      <c r="N9020"/>
      <c r="O9020"/>
      <c r="P9020" s="216"/>
      <c r="Q9020" s="217"/>
      <c r="R9020" s="217"/>
      <c r="S9020" s="218"/>
    </row>
    <row r="9021" spans="13:19" ht="15" customHeight="1" x14ac:dyDescent="0.25">
      <c r="M9021"/>
      <c r="N9021"/>
      <c r="O9021"/>
      <c r="P9021" s="216"/>
      <c r="Q9021" s="217"/>
      <c r="R9021" s="217"/>
      <c r="S9021" s="218"/>
    </row>
    <row r="9022" spans="13:19" ht="15" customHeight="1" x14ac:dyDescent="0.25">
      <c r="M9022"/>
      <c r="N9022"/>
      <c r="O9022"/>
      <c r="P9022" s="216"/>
      <c r="Q9022" s="217"/>
      <c r="R9022" s="217"/>
      <c r="S9022" s="218"/>
    </row>
    <row r="9023" spans="13:19" ht="15" customHeight="1" x14ac:dyDescent="0.25">
      <c r="M9023"/>
      <c r="N9023"/>
      <c r="O9023"/>
      <c r="P9023" s="216"/>
      <c r="Q9023" s="217"/>
      <c r="R9023" s="217"/>
      <c r="S9023" s="218"/>
    </row>
    <row r="9024" spans="13:19" ht="15" customHeight="1" x14ac:dyDescent="0.25">
      <c r="M9024"/>
      <c r="N9024"/>
      <c r="O9024"/>
      <c r="P9024" s="216"/>
      <c r="Q9024" s="217"/>
      <c r="R9024" s="217"/>
      <c r="S9024" s="218"/>
    </row>
    <row r="9025" spans="13:19" ht="15" customHeight="1" x14ac:dyDescent="0.25">
      <c r="M9025"/>
      <c r="N9025"/>
      <c r="O9025"/>
      <c r="P9025" s="216"/>
      <c r="Q9025" s="217"/>
      <c r="R9025" s="217"/>
      <c r="S9025" s="218"/>
    </row>
    <row r="9026" spans="13:19" ht="15" customHeight="1" x14ac:dyDescent="0.25">
      <c r="M9026"/>
      <c r="N9026"/>
      <c r="O9026"/>
      <c r="P9026" s="216"/>
      <c r="Q9026" s="217"/>
      <c r="R9026" s="217"/>
      <c r="S9026" s="218"/>
    </row>
    <row r="9027" spans="13:19" ht="15" customHeight="1" x14ac:dyDescent="0.25">
      <c r="M9027"/>
      <c r="N9027"/>
      <c r="O9027"/>
      <c r="P9027" s="216"/>
      <c r="Q9027" s="217"/>
      <c r="R9027" s="217"/>
      <c r="S9027" s="218"/>
    </row>
    <row r="9028" spans="13:19" ht="15" customHeight="1" x14ac:dyDescent="0.25">
      <c r="M9028"/>
      <c r="N9028"/>
      <c r="O9028"/>
      <c r="P9028" s="216"/>
      <c r="Q9028" s="217"/>
      <c r="R9028" s="217"/>
      <c r="S9028" s="218"/>
    </row>
    <row r="9029" spans="13:19" ht="15" customHeight="1" x14ac:dyDescent="0.25">
      <c r="M9029"/>
      <c r="N9029"/>
      <c r="O9029"/>
      <c r="P9029" s="216"/>
      <c r="Q9029" s="217"/>
      <c r="R9029" s="217"/>
      <c r="S9029" s="218"/>
    </row>
    <row r="9030" spans="13:19" ht="15" customHeight="1" x14ac:dyDescent="0.25">
      <c r="M9030"/>
      <c r="N9030"/>
      <c r="O9030"/>
      <c r="P9030" s="216"/>
      <c r="Q9030" s="217"/>
      <c r="R9030" s="217"/>
      <c r="S9030" s="218"/>
    </row>
    <row r="9031" spans="13:19" ht="15" customHeight="1" x14ac:dyDescent="0.25">
      <c r="M9031"/>
      <c r="N9031"/>
      <c r="O9031"/>
      <c r="P9031" s="216"/>
      <c r="Q9031" s="217"/>
      <c r="R9031" s="217"/>
      <c r="S9031" s="218"/>
    </row>
    <row r="9032" spans="13:19" ht="15" customHeight="1" x14ac:dyDescent="0.25">
      <c r="M9032"/>
      <c r="N9032"/>
      <c r="O9032"/>
      <c r="P9032" s="216"/>
      <c r="Q9032" s="217"/>
      <c r="R9032" s="217"/>
      <c r="S9032" s="218"/>
    </row>
    <row r="9033" spans="13:19" ht="15" customHeight="1" x14ac:dyDescent="0.25">
      <c r="M9033"/>
      <c r="N9033"/>
      <c r="O9033"/>
      <c r="P9033" s="216"/>
      <c r="Q9033" s="217"/>
      <c r="R9033" s="217"/>
      <c r="S9033" s="218"/>
    </row>
    <row r="9034" spans="13:19" ht="15" customHeight="1" x14ac:dyDescent="0.25">
      <c r="M9034"/>
      <c r="N9034"/>
      <c r="O9034"/>
      <c r="P9034" s="216"/>
      <c r="Q9034" s="217"/>
      <c r="R9034" s="217"/>
      <c r="S9034" s="218"/>
    </row>
    <row r="9035" spans="13:19" ht="15" customHeight="1" x14ac:dyDescent="0.25">
      <c r="M9035"/>
      <c r="N9035"/>
      <c r="O9035"/>
      <c r="P9035" s="216"/>
      <c r="Q9035" s="217"/>
      <c r="R9035" s="217"/>
      <c r="S9035" s="218"/>
    </row>
    <row r="9036" spans="13:19" ht="15" customHeight="1" x14ac:dyDescent="0.25">
      <c r="M9036"/>
      <c r="N9036"/>
      <c r="O9036"/>
      <c r="P9036" s="216"/>
      <c r="Q9036" s="217"/>
      <c r="R9036" s="217"/>
      <c r="S9036" s="218"/>
    </row>
    <row r="9037" spans="13:19" ht="15" customHeight="1" x14ac:dyDescent="0.25">
      <c r="M9037"/>
      <c r="N9037"/>
      <c r="O9037"/>
      <c r="P9037" s="216"/>
      <c r="Q9037" s="217"/>
      <c r="R9037" s="217"/>
      <c r="S9037" s="218"/>
    </row>
    <row r="9038" spans="13:19" ht="15" customHeight="1" x14ac:dyDescent="0.25">
      <c r="M9038"/>
      <c r="N9038"/>
      <c r="O9038"/>
      <c r="P9038" s="216"/>
      <c r="Q9038" s="217"/>
      <c r="R9038" s="217"/>
      <c r="S9038" s="218"/>
    </row>
    <row r="9039" spans="13:19" ht="15" customHeight="1" x14ac:dyDescent="0.25">
      <c r="M9039"/>
      <c r="N9039"/>
      <c r="O9039"/>
      <c r="P9039" s="216"/>
      <c r="Q9039" s="217"/>
      <c r="R9039" s="217"/>
      <c r="S9039" s="218"/>
    </row>
    <row r="9040" spans="13:19" ht="15" customHeight="1" x14ac:dyDescent="0.25">
      <c r="M9040"/>
      <c r="N9040"/>
      <c r="O9040"/>
      <c r="P9040" s="216"/>
      <c r="Q9040" s="217"/>
      <c r="R9040" s="217"/>
      <c r="S9040" s="218"/>
    </row>
    <row r="9041" spans="13:19" ht="15" customHeight="1" x14ac:dyDescent="0.25">
      <c r="M9041"/>
      <c r="N9041"/>
      <c r="O9041"/>
      <c r="P9041" s="216"/>
      <c r="Q9041" s="217"/>
      <c r="R9041" s="217"/>
      <c r="S9041" s="218"/>
    </row>
    <row r="9042" spans="13:19" ht="15" customHeight="1" x14ac:dyDescent="0.25">
      <c r="M9042"/>
      <c r="N9042"/>
      <c r="O9042"/>
      <c r="P9042" s="216"/>
      <c r="Q9042" s="217"/>
      <c r="R9042" s="217"/>
      <c r="S9042" s="218"/>
    </row>
    <row r="9043" spans="13:19" ht="15" customHeight="1" x14ac:dyDescent="0.25">
      <c r="M9043"/>
      <c r="N9043"/>
      <c r="O9043"/>
      <c r="P9043" s="216"/>
      <c r="Q9043" s="217"/>
      <c r="R9043" s="217"/>
      <c r="S9043" s="218"/>
    </row>
    <row r="9044" spans="13:19" ht="15" customHeight="1" x14ac:dyDescent="0.25">
      <c r="M9044"/>
      <c r="N9044"/>
      <c r="O9044"/>
      <c r="P9044" s="216"/>
      <c r="Q9044" s="217"/>
      <c r="R9044" s="217"/>
      <c r="S9044" s="218"/>
    </row>
    <row r="9045" spans="13:19" ht="15" customHeight="1" x14ac:dyDescent="0.25">
      <c r="M9045"/>
      <c r="N9045"/>
      <c r="O9045"/>
      <c r="P9045" s="216"/>
      <c r="Q9045" s="217"/>
      <c r="R9045" s="217"/>
      <c r="S9045" s="218"/>
    </row>
    <row r="9046" spans="13:19" ht="15" customHeight="1" x14ac:dyDescent="0.25">
      <c r="M9046"/>
      <c r="N9046"/>
      <c r="O9046"/>
      <c r="P9046" s="216"/>
      <c r="Q9046" s="217"/>
      <c r="R9046" s="217"/>
      <c r="S9046" s="218"/>
    </row>
    <row r="9047" spans="13:19" ht="15" customHeight="1" x14ac:dyDescent="0.25">
      <c r="M9047"/>
      <c r="N9047"/>
      <c r="O9047"/>
      <c r="P9047" s="216"/>
      <c r="Q9047" s="217"/>
      <c r="R9047" s="217"/>
      <c r="S9047" s="218"/>
    </row>
    <row r="9048" spans="13:19" ht="15" customHeight="1" x14ac:dyDescent="0.25">
      <c r="M9048"/>
      <c r="N9048"/>
      <c r="O9048"/>
      <c r="P9048" s="216"/>
      <c r="Q9048" s="217"/>
      <c r="R9048" s="217"/>
      <c r="S9048" s="218"/>
    </row>
    <row r="9049" spans="13:19" ht="15" customHeight="1" x14ac:dyDescent="0.25">
      <c r="M9049"/>
      <c r="N9049"/>
      <c r="O9049"/>
      <c r="P9049" s="216"/>
      <c r="Q9049" s="217"/>
      <c r="R9049" s="217"/>
      <c r="S9049" s="218"/>
    </row>
    <row r="9050" spans="13:19" ht="15" customHeight="1" x14ac:dyDescent="0.25">
      <c r="M9050"/>
      <c r="N9050"/>
      <c r="O9050"/>
      <c r="P9050" s="216"/>
      <c r="Q9050" s="217"/>
      <c r="R9050" s="217"/>
      <c r="S9050" s="218"/>
    </row>
    <row r="9051" spans="13:19" ht="15" customHeight="1" x14ac:dyDescent="0.25">
      <c r="M9051"/>
      <c r="N9051"/>
      <c r="O9051"/>
      <c r="P9051" s="216"/>
      <c r="Q9051" s="217"/>
      <c r="R9051" s="217"/>
      <c r="S9051" s="218"/>
    </row>
    <row r="9052" spans="13:19" ht="15" customHeight="1" x14ac:dyDescent="0.25">
      <c r="M9052"/>
      <c r="N9052"/>
      <c r="O9052"/>
      <c r="P9052" s="216"/>
      <c r="Q9052" s="217"/>
      <c r="R9052" s="217"/>
      <c r="S9052" s="218"/>
    </row>
    <row r="9053" spans="13:19" ht="15" customHeight="1" x14ac:dyDescent="0.25">
      <c r="M9053"/>
      <c r="N9053"/>
      <c r="O9053"/>
      <c r="P9053" s="216"/>
      <c r="Q9053" s="217"/>
      <c r="R9053" s="217"/>
      <c r="S9053" s="218"/>
    </row>
    <row r="9054" spans="13:19" ht="15" customHeight="1" x14ac:dyDescent="0.25">
      <c r="M9054"/>
      <c r="N9054"/>
      <c r="O9054"/>
      <c r="P9054" s="216"/>
      <c r="Q9054" s="217"/>
      <c r="R9054" s="217"/>
      <c r="S9054" s="218"/>
    </row>
    <row r="9055" spans="13:19" ht="15" customHeight="1" x14ac:dyDescent="0.25">
      <c r="M9055"/>
      <c r="N9055"/>
      <c r="O9055"/>
      <c r="P9055" s="216"/>
      <c r="Q9055" s="217"/>
      <c r="R9055" s="217"/>
      <c r="S9055" s="218"/>
    </row>
    <row r="9056" spans="13:19" ht="15" customHeight="1" x14ac:dyDescent="0.25">
      <c r="M9056"/>
      <c r="N9056"/>
      <c r="O9056"/>
      <c r="P9056" s="216"/>
      <c r="Q9056" s="217"/>
      <c r="R9056" s="217"/>
      <c r="S9056" s="218"/>
    </row>
    <row r="9057" spans="13:19" ht="15" customHeight="1" x14ac:dyDescent="0.25">
      <c r="M9057"/>
      <c r="N9057"/>
      <c r="O9057"/>
      <c r="P9057" s="216"/>
      <c r="Q9057" s="217"/>
      <c r="R9057" s="217"/>
      <c r="S9057" s="218"/>
    </row>
    <row r="9058" spans="13:19" ht="15" customHeight="1" x14ac:dyDescent="0.25">
      <c r="M9058"/>
      <c r="N9058"/>
      <c r="O9058"/>
      <c r="P9058" s="216"/>
      <c r="Q9058" s="217"/>
      <c r="R9058" s="217"/>
      <c r="S9058" s="218"/>
    </row>
    <row r="9059" spans="13:19" ht="15" customHeight="1" x14ac:dyDescent="0.25">
      <c r="M9059"/>
      <c r="N9059"/>
      <c r="O9059"/>
      <c r="P9059" s="216"/>
      <c r="Q9059" s="217"/>
      <c r="R9059" s="217"/>
      <c r="S9059" s="218"/>
    </row>
    <row r="9060" spans="13:19" ht="15" customHeight="1" x14ac:dyDescent="0.25">
      <c r="M9060"/>
      <c r="N9060"/>
      <c r="O9060"/>
      <c r="P9060" s="216"/>
      <c r="Q9060" s="217"/>
      <c r="R9060" s="217"/>
      <c r="S9060" s="218"/>
    </row>
    <row r="9061" spans="13:19" ht="15" customHeight="1" x14ac:dyDescent="0.25">
      <c r="M9061"/>
      <c r="N9061"/>
      <c r="O9061"/>
      <c r="P9061" s="216"/>
      <c r="Q9061" s="217"/>
      <c r="R9061" s="217"/>
      <c r="S9061" s="218"/>
    </row>
    <row r="9062" spans="13:19" ht="15" customHeight="1" x14ac:dyDescent="0.25">
      <c r="M9062"/>
      <c r="N9062"/>
      <c r="O9062"/>
      <c r="P9062" s="216"/>
      <c r="Q9062" s="217"/>
      <c r="R9062" s="217"/>
      <c r="S9062" s="218"/>
    </row>
    <row r="9063" spans="13:19" ht="15" customHeight="1" x14ac:dyDescent="0.25">
      <c r="M9063"/>
      <c r="N9063"/>
      <c r="O9063"/>
      <c r="P9063" s="216"/>
      <c r="Q9063" s="217"/>
      <c r="R9063" s="217"/>
      <c r="S9063" s="218"/>
    </row>
    <row r="9064" spans="13:19" ht="15" customHeight="1" x14ac:dyDescent="0.25">
      <c r="M9064"/>
      <c r="N9064"/>
      <c r="O9064"/>
      <c r="P9064" s="216"/>
      <c r="Q9064" s="217"/>
      <c r="R9064" s="217"/>
      <c r="S9064" s="218"/>
    </row>
    <row r="9065" spans="13:19" ht="15" customHeight="1" x14ac:dyDescent="0.25">
      <c r="M9065"/>
      <c r="N9065"/>
      <c r="O9065"/>
      <c r="P9065" s="216"/>
      <c r="Q9065" s="217"/>
      <c r="R9065" s="217"/>
      <c r="S9065" s="218"/>
    </row>
    <row r="9066" spans="13:19" ht="15" customHeight="1" x14ac:dyDescent="0.25">
      <c r="M9066"/>
      <c r="N9066"/>
      <c r="O9066"/>
      <c r="P9066" s="216"/>
      <c r="Q9066" s="217"/>
      <c r="R9066" s="217"/>
      <c r="S9066" s="218"/>
    </row>
    <row r="9067" spans="13:19" ht="15" customHeight="1" x14ac:dyDescent="0.25">
      <c r="M9067"/>
      <c r="N9067"/>
      <c r="O9067"/>
      <c r="P9067" s="216"/>
      <c r="Q9067" s="217"/>
      <c r="R9067" s="217"/>
      <c r="S9067" s="218"/>
    </row>
    <row r="9068" spans="13:19" ht="15" customHeight="1" x14ac:dyDescent="0.25">
      <c r="M9068"/>
      <c r="N9068"/>
      <c r="O9068"/>
      <c r="P9068" s="216"/>
      <c r="Q9068" s="217"/>
      <c r="R9068" s="217"/>
      <c r="S9068" s="218"/>
    </row>
    <row r="9069" spans="13:19" ht="15" customHeight="1" x14ac:dyDescent="0.25">
      <c r="M9069"/>
      <c r="N9069"/>
      <c r="O9069"/>
      <c r="P9069" s="216"/>
      <c r="Q9069" s="217"/>
      <c r="R9069" s="217"/>
      <c r="S9069" s="218"/>
    </row>
    <row r="9070" spans="13:19" ht="15" customHeight="1" x14ac:dyDescent="0.25">
      <c r="M9070"/>
      <c r="N9070"/>
      <c r="O9070"/>
      <c r="P9070" s="216"/>
      <c r="Q9070" s="217"/>
      <c r="R9070" s="217"/>
      <c r="S9070" s="218"/>
    </row>
    <row r="9071" spans="13:19" ht="15" customHeight="1" x14ac:dyDescent="0.25">
      <c r="M9071"/>
      <c r="N9071"/>
      <c r="O9071"/>
      <c r="P9071" s="216"/>
      <c r="Q9071" s="217"/>
      <c r="R9071" s="217"/>
      <c r="S9071" s="218"/>
    </row>
    <row r="9072" spans="13:19" ht="15" customHeight="1" x14ac:dyDescent="0.25">
      <c r="M9072"/>
      <c r="N9072"/>
      <c r="O9072"/>
      <c r="P9072" s="216"/>
      <c r="Q9072" s="217"/>
      <c r="R9072" s="217"/>
      <c r="S9072" s="218"/>
    </row>
    <row r="9073" spans="13:19" ht="15" customHeight="1" x14ac:dyDescent="0.25">
      <c r="M9073"/>
      <c r="N9073"/>
      <c r="O9073"/>
      <c r="P9073" s="216"/>
      <c r="Q9073" s="217"/>
      <c r="R9073" s="217"/>
      <c r="S9073" s="218"/>
    </row>
    <row r="9074" spans="13:19" ht="15" customHeight="1" x14ac:dyDescent="0.25">
      <c r="M9074"/>
      <c r="N9074"/>
      <c r="O9074"/>
      <c r="P9074" s="216"/>
      <c r="Q9074" s="217"/>
      <c r="R9074" s="217"/>
      <c r="S9074" s="218"/>
    </row>
    <row r="9075" spans="13:19" ht="15" customHeight="1" x14ac:dyDescent="0.25">
      <c r="M9075"/>
      <c r="N9075"/>
      <c r="O9075"/>
      <c r="P9075" s="216"/>
      <c r="Q9075" s="217"/>
      <c r="R9075" s="217"/>
      <c r="S9075" s="218"/>
    </row>
    <row r="9076" spans="13:19" ht="15" customHeight="1" x14ac:dyDescent="0.25">
      <c r="M9076"/>
      <c r="N9076"/>
      <c r="O9076"/>
      <c r="P9076" s="216"/>
      <c r="Q9076" s="217"/>
      <c r="R9076" s="217"/>
      <c r="S9076" s="218"/>
    </row>
    <row r="9077" spans="13:19" ht="15" customHeight="1" x14ac:dyDescent="0.25">
      <c r="M9077"/>
      <c r="N9077"/>
      <c r="O9077"/>
      <c r="P9077" s="216"/>
      <c r="Q9077" s="217"/>
      <c r="R9077" s="217"/>
      <c r="S9077" s="218"/>
    </row>
    <row r="9078" spans="13:19" ht="15" customHeight="1" x14ac:dyDescent="0.25">
      <c r="M9078"/>
      <c r="N9078"/>
      <c r="O9078"/>
      <c r="P9078" s="216"/>
      <c r="Q9078" s="217"/>
      <c r="R9078" s="217"/>
      <c r="S9078" s="218"/>
    </row>
    <row r="9079" spans="13:19" ht="15" customHeight="1" x14ac:dyDescent="0.25">
      <c r="M9079"/>
      <c r="N9079"/>
      <c r="O9079"/>
      <c r="P9079" s="216"/>
      <c r="Q9079" s="217"/>
      <c r="R9079" s="217"/>
      <c r="S9079" s="218"/>
    </row>
    <row r="9080" spans="13:19" ht="15" customHeight="1" x14ac:dyDescent="0.25">
      <c r="M9080"/>
      <c r="N9080"/>
      <c r="O9080"/>
      <c r="P9080" s="216"/>
      <c r="Q9080" s="217"/>
      <c r="R9080" s="217"/>
      <c r="S9080" s="218"/>
    </row>
    <row r="9081" spans="13:19" ht="15" customHeight="1" x14ac:dyDescent="0.25">
      <c r="M9081"/>
      <c r="N9081"/>
      <c r="O9081"/>
      <c r="P9081" s="216"/>
      <c r="Q9081" s="217"/>
      <c r="R9081" s="217"/>
      <c r="S9081" s="218"/>
    </row>
    <row r="9082" spans="13:19" ht="15" customHeight="1" x14ac:dyDescent="0.25">
      <c r="M9082"/>
      <c r="N9082"/>
      <c r="O9082"/>
      <c r="P9082" s="216"/>
      <c r="Q9082" s="217"/>
      <c r="R9082" s="217"/>
      <c r="S9082" s="218"/>
    </row>
    <row r="9083" spans="13:19" ht="15" customHeight="1" x14ac:dyDescent="0.25">
      <c r="M9083"/>
      <c r="N9083"/>
      <c r="O9083"/>
      <c r="P9083" s="216"/>
      <c r="Q9083" s="217"/>
      <c r="R9083" s="217"/>
      <c r="S9083" s="218"/>
    </row>
    <row r="9084" spans="13:19" ht="15" customHeight="1" x14ac:dyDescent="0.25">
      <c r="M9084"/>
      <c r="N9084"/>
      <c r="O9084"/>
      <c r="P9084" s="216"/>
      <c r="Q9084" s="217"/>
      <c r="R9084" s="217"/>
      <c r="S9084" s="218"/>
    </row>
    <row r="9085" spans="13:19" ht="15" customHeight="1" x14ac:dyDescent="0.25">
      <c r="M9085"/>
      <c r="N9085"/>
      <c r="O9085"/>
      <c r="P9085" s="216"/>
      <c r="Q9085" s="217"/>
      <c r="R9085" s="217"/>
      <c r="S9085" s="218"/>
    </row>
    <row r="9086" spans="13:19" ht="15" customHeight="1" x14ac:dyDescent="0.25">
      <c r="M9086"/>
      <c r="N9086"/>
      <c r="O9086"/>
      <c r="P9086" s="216"/>
      <c r="Q9086" s="217"/>
      <c r="R9086" s="217"/>
      <c r="S9086" s="218"/>
    </row>
    <row r="9087" spans="13:19" ht="15" customHeight="1" x14ac:dyDescent="0.25">
      <c r="M9087"/>
      <c r="N9087"/>
      <c r="O9087"/>
      <c r="P9087" s="216"/>
      <c r="Q9087" s="217"/>
      <c r="R9087" s="217"/>
      <c r="S9087" s="218"/>
    </row>
    <row r="9088" spans="13:19" ht="15" customHeight="1" x14ac:dyDescent="0.25">
      <c r="M9088"/>
      <c r="N9088"/>
      <c r="O9088"/>
      <c r="P9088" s="216"/>
      <c r="Q9088" s="217"/>
      <c r="R9088" s="217"/>
      <c r="S9088" s="218"/>
    </row>
    <row r="9089" spans="13:19" ht="15" customHeight="1" x14ac:dyDescent="0.25">
      <c r="M9089"/>
      <c r="N9089"/>
      <c r="O9089"/>
      <c r="P9089" s="216"/>
      <c r="Q9089" s="217"/>
      <c r="R9089" s="217"/>
      <c r="S9089" s="218"/>
    </row>
    <row r="9090" spans="13:19" ht="15" customHeight="1" x14ac:dyDescent="0.25">
      <c r="M9090"/>
      <c r="N9090"/>
      <c r="O9090"/>
      <c r="P9090" s="216"/>
      <c r="Q9090" s="217"/>
      <c r="R9090" s="217"/>
      <c r="S9090" s="218"/>
    </row>
    <row r="9091" spans="13:19" ht="15" customHeight="1" x14ac:dyDescent="0.25">
      <c r="M9091"/>
      <c r="N9091"/>
      <c r="O9091"/>
      <c r="P9091" s="216"/>
      <c r="Q9091" s="217"/>
      <c r="R9091" s="217"/>
      <c r="S9091" s="218"/>
    </row>
    <row r="9092" spans="13:19" ht="15" customHeight="1" x14ac:dyDescent="0.25">
      <c r="M9092"/>
      <c r="N9092"/>
      <c r="O9092"/>
      <c r="P9092" s="216"/>
      <c r="Q9092" s="217"/>
      <c r="R9092" s="217"/>
      <c r="S9092" s="218"/>
    </row>
    <row r="9093" spans="13:19" ht="15" customHeight="1" x14ac:dyDescent="0.25">
      <c r="M9093"/>
      <c r="N9093"/>
      <c r="O9093"/>
      <c r="P9093" s="216"/>
      <c r="Q9093" s="217"/>
      <c r="R9093" s="217"/>
      <c r="S9093" s="218"/>
    </row>
    <row r="9094" spans="13:19" ht="15" customHeight="1" x14ac:dyDescent="0.25">
      <c r="M9094"/>
      <c r="N9094"/>
      <c r="O9094"/>
      <c r="P9094" s="216"/>
      <c r="Q9094" s="217"/>
      <c r="R9094" s="217"/>
      <c r="S9094" s="218"/>
    </row>
    <row r="9095" spans="13:19" ht="15" customHeight="1" x14ac:dyDescent="0.25">
      <c r="M9095"/>
      <c r="N9095"/>
      <c r="O9095"/>
      <c r="P9095" s="216"/>
      <c r="Q9095" s="217"/>
      <c r="R9095" s="217"/>
      <c r="S9095" s="218"/>
    </row>
    <row r="9096" spans="13:19" ht="15" customHeight="1" x14ac:dyDescent="0.25">
      <c r="M9096"/>
      <c r="N9096"/>
      <c r="O9096"/>
      <c r="P9096" s="216"/>
      <c r="Q9096" s="217"/>
      <c r="R9096" s="217"/>
      <c r="S9096" s="218"/>
    </row>
    <row r="9097" spans="13:19" ht="15" customHeight="1" x14ac:dyDescent="0.25">
      <c r="M9097"/>
      <c r="N9097"/>
      <c r="O9097"/>
      <c r="P9097" s="216"/>
      <c r="Q9097" s="217"/>
      <c r="R9097" s="217"/>
      <c r="S9097" s="218"/>
    </row>
    <row r="9098" spans="13:19" ht="15" customHeight="1" x14ac:dyDescent="0.25">
      <c r="M9098"/>
      <c r="N9098"/>
      <c r="O9098"/>
      <c r="P9098" s="216"/>
      <c r="Q9098" s="217"/>
      <c r="R9098" s="217"/>
      <c r="S9098" s="218"/>
    </row>
    <row r="9099" spans="13:19" ht="15" customHeight="1" x14ac:dyDescent="0.25">
      <c r="M9099"/>
      <c r="N9099"/>
      <c r="O9099"/>
      <c r="P9099" s="216"/>
      <c r="Q9099" s="217"/>
      <c r="R9099" s="217"/>
      <c r="S9099" s="218"/>
    </row>
    <row r="9100" spans="13:19" ht="15" customHeight="1" x14ac:dyDescent="0.25">
      <c r="M9100"/>
      <c r="N9100"/>
      <c r="O9100"/>
      <c r="P9100" s="216"/>
      <c r="Q9100" s="217"/>
      <c r="R9100" s="217"/>
      <c r="S9100" s="218"/>
    </row>
    <row r="9101" spans="13:19" ht="15" customHeight="1" x14ac:dyDescent="0.25">
      <c r="M9101"/>
      <c r="N9101"/>
      <c r="O9101"/>
      <c r="P9101" s="216"/>
      <c r="Q9101" s="217"/>
      <c r="R9101" s="217"/>
      <c r="S9101" s="218"/>
    </row>
    <row r="9102" spans="13:19" ht="15" customHeight="1" x14ac:dyDescent="0.25">
      <c r="M9102"/>
      <c r="N9102"/>
      <c r="O9102"/>
      <c r="P9102" s="216"/>
      <c r="Q9102" s="217"/>
      <c r="R9102" s="217"/>
      <c r="S9102" s="218"/>
    </row>
    <row r="9103" spans="13:19" ht="15" customHeight="1" x14ac:dyDescent="0.25">
      <c r="M9103"/>
      <c r="N9103"/>
      <c r="O9103"/>
      <c r="P9103" s="216"/>
      <c r="Q9103" s="217"/>
      <c r="R9103" s="217"/>
      <c r="S9103" s="218"/>
    </row>
    <row r="9104" spans="13:19" ht="15" customHeight="1" x14ac:dyDescent="0.25">
      <c r="M9104"/>
      <c r="N9104"/>
      <c r="O9104"/>
      <c r="P9104" s="216"/>
      <c r="Q9104" s="217"/>
      <c r="R9104" s="217"/>
      <c r="S9104" s="218"/>
    </row>
    <row r="9105" spans="13:19" ht="15" customHeight="1" x14ac:dyDescent="0.25">
      <c r="M9105"/>
      <c r="N9105"/>
      <c r="O9105"/>
      <c r="P9105" s="216"/>
      <c r="Q9105" s="217"/>
      <c r="R9105" s="217"/>
      <c r="S9105" s="218"/>
    </row>
    <row r="9106" spans="13:19" ht="15" customHeight="1" x14ac:dyDescent="0.25">
      <c r="M9106"/>
      <c r="N9106"/>
      <c r="O9106"/>
      <c r="P9106" s="216"/>
      <c r="Q9106" s="217"/>
      <c r="R9106" s="217"/>
      <c r="S9106" s="218"/>
    </row>
    <row r="9107" spans="13:19" ht="15" customHeight="1" x14ac:dyDescent="0.25">
      <c r="M9107"/>
      <c r="N9107"/>
      <c r="O9107"/>
      <c r="P9107" s="216"/>
      <c r="Q9107" s="217"/>
      <c r="R9107" s="217"/>
      <c r="S9107" s="218"/>
    </row>
    <row r="9108" spans="13:19" ht="15" customHeight="1" x14ac:dyDescent="0.25">
      <c r="M9108"/>
      <c r="N9108"/>
      <c r="O9108"/>
      <c r="P9108" s="216"/>
      <c r="Q9108" s="217"/>
      <c r="R9108" s="217"/>
      <c r="S9108" s="218"/>
    </row>
    <row r="9109" spans="13:19" ht="15" customHeight="1" x14ac:dyDescent="0.25">
      <c r="M9109"/>
      <c r="N9109"/>
      <c r="O9109"/>
      <c r="P9109" s="216"/>
      <c r="Q9109" s="217"/>
      <c r="R9109" s="217"/>
      <c r="S9109" s="218"/>
    </row>
    <row r="9110" spans="13:19" ht="15" customHeight="1" x14ac:dyDescent="0.25">
      <c r="M9110"/>
      <c r="N9110"/>
      <c r="O9110"/>
      <c r="P9110" s="216"/>
      <c r="Q9110" s="217"/>
      <c r="R9110" s="217"/>
      <c r="S9110" s="218"/>
    </row>
    <row r="9111" spans="13:19" ht="15" customHeight="1" x14ac:dyDescent="0.25">
      <c r="M9111"/>
      <c r="N9111"/>
      <c r="O9111"/>
      <c r="P9111" s="216"/>
      <c r="Q9111" s="217"/>
      <c r="R9111" s="217"/>
      <c r="S9111" s="218"/>
    </row>
    <row r="9112" spans="13:19" ht="15" customHeight="1" x14ac:dyDescent="0.25">
      <c r="M9112"/>
      <c r="N9112"/>
      <c r="O9112"/>
      <c r="P9112" s="216"/>
      <c r="Q9112" s="217"/>
      <c r="R9112" s="217"/>
      <c r="S9112" s="218"/>
    </row>
    <row r="9113" spans="13:19" ht="15" customHeight="1" x14ac:dyDescent="0.25">
      <c r="M9113"/>
      <c r="N9113"/>
      <c r="O9113"/>
      <c r="P9113" s="216"/>
      <c r="Q9113" s="217"/>
      <c r="R9113" s="217"/>
      <c r="S9113" s="218"/>
    </row>
    <row r="9114" spans="13:19" ht="15" customHeight="1" x14ac:dyDescent="0.25">
      <c r="M9114"/>
      <c r="N9114"/>
      <c r="O9114"/>
      <c r="P9114" s="216"/>
      <c r="Q9114" s="217"/>
      <c r="R9114" s="217"/>
      <c r="S9114" s="218"/>
    </row>
    <row r="9115" spans="13:19" ht="15" customHeight="1" x14ac:dyDescent="0.25">
      <c r="M9115"/>
      <c r="N9115"/>
      <c r="O9115"/>
      <c r="P9115" s="216"/>
      <c r="Q9115" s="217"/>
      <c r="R9115" s="217"/>
      <c r="S9115" s="218"/>
    </row>
    <row r="9116" spans="13:19" ht="15" customHeight="1" x14ac:dyDescent="0.25">
      <c r="M9116"/>
      <c r="N9116"/>
      <c r="O9116"/>
      <c r="P9116" s="216"/>
      <c r="Q9116" s="217"/>
      <c r="R9116" s="217"/>
      <c r="S9116" s="218"/>
    </row>
    <row r="9117" spans="13:19" ht="15" customHeight="1" x14ac:dyDescent="0.25">
      <c r="M9117"/>
      <c r="N9117"/>
      <c r="O9117"/>
      <c r="P9117" s="216"/>
      <c r="Q9117" s="217"/>
      <c r="R9117" s="217"/>
      <c r="S9117" s="218"/>
    </row>
    <row r="9118" spans="13:19" ht="15" customHeight="1" x14ac:dyDescent="0.25">
      <c r="M9118"/>
      <c r="N9118"/>
      <c r="O9118"/>
      <c r="P9118" s="216"/>
      <c r="Q9118" s="217"/>
      <c r="R9118" s="217"/>
      <c r="S9118" s="218"/>
    </row>
    <row r="9119" spans="13:19" ht="15" customHeight="1" x14ac:dyDescent="0.25">
      <c r="M9119"/>
      <c r="N9119"/>
      <c r="O9119"/>
      <c r="P9119" s="216"/>
      <c r="Q9119" s="217"/>
      <c r="R9119" s="217"/>
      <c r="S9119" s="218"/>
    </row>
    <row r="9120" spans="13:19" ht="15" customHeight="1" x14ac:dyDescent="0.25">
      <c r="M9120"/>
      <c r="N9120"/>
      <c r="O9120"/>
      <c r="P9120" s="216"/>
      <c r="Q9120" s="217"/>
      <c r="R9120" s="217"/>
      <c r="S9120" s="218"/>
    </row>
    <row r="9121" spans="13:19" ht="15" customHeight="1" x14ac:dyDescent="0.25">
      <c r="M9121"/>
      <c r="N9121"/>
      <c r="O9121"/>
      <c r="P9121" s="216"/>
      <c r="Q9121" s="217"/>
      <c r="R9121" s="217"/>
      <c r="S9121" s="218"/>
    </row>
    <row r="9122" spans="13:19" ht="15" customHeight="1" x14ac:dyDescent="0.25">
      <c r="M9122"/>
      <c r="N9122"/>
      <c r="O9122"/>
      <c r="P9122" s="216"/>
      <c r="Q9122" s="217"/>
      <c r="R9122" s="217"/>
      <c r="S9122" s="218"/>
    </row>
    <row r="9123" spans="13:19" ht="15" customHeight="1" x14ac:dyDescent="0.25">
      <c r="M9123"/>
      <c r="N9123"/>
      <c r="O9123"/>
      <c r="P9123" s="216"/>
      <c r="Q9123" s="217"/>
      <c r="R9123" s="217"/>
      <c r="S9123" s="218"/>
    </row>
    <row r="9124" spans="13:19" ht="15" customHeight="1" x14ac:dyDescent="0.25">
      <c r="M9124"/>
      <c r="N9124"/>
      <c r="O9124"/>
      <c r="P9124" s="216"/>
      <c r="Q9124" s="217"/>
      <c r="R9124" s="217"/>
      <c r="S9124" s="218"/>
    </row>
    <row r="9125" spans="13:19" ht="15" customHeight="1" x14ac:dyDescent="0.25">
      <c r="M9125"/>
      <c r="N9125"/>
      <c r="O9125"/>
      <c r="P9125" s="216"/>
      <c r="Q9125" s="217"/>
      <c r="R9125" s="217"/>
      <c r="S9125" s="218"/>
    </row>
    <row r="9126" spans="13:19" ht="15" customHeight="1" x14ac:dyDescent="0.25">
      <c r="M9126"/>
      <c r="N9126"/>
      <c r="O9126"/>
      <c r="P9126" s="216"/>
      <c r="Q9126" s="217"/>
      <c r="R9126" s="217"/>
      <c r="S9126" s="218"/>
    </row>
    <row r="9127" spans="13:19" ht="15" customHeight="1" x14ac:dyDescent="0.25">
      <c r="M9127"/>
      <c r="N9127"/>
      <c r="O9127"/>
      <c r="P9127" s="216"/>
      <c r="Q9127" s="217"/>
      <c r="R9127" s="217"/>
      <c r="S9127" s="218"/>
    </row>
    <row r="9128" spans="13:19" ht="15" customHeight="1" x14ac:dyDescent="0.25">
      <c r="M9128"/>
      <c r="N9128"/>
      <c r="O9128"/>
      <c r="P9128" s="216"/>
      <c r="Q9128" s="217"/>
      <c r="R9128" s="217"/>
      <c r="S9128" s="218"/>
    </row>
    <row r="9129" spans="13:19" ht="15" customHeight="1" x14ac:dyDescent="0.25">
      <c r="M9129"/>
      <c r="N9129"/>
      <c r="O9129"/>
      <c r="P9129" s="216"/>
      <c r="Q9129" s="217"/>
      <c r="R9129" s="217"/>
      <c r="S9129" s="218"/>
    </row>
    <row r="9130" spans="13:19" ht="15" customHeight="1" x14ac:dyDescent="0.25">
      <c r="M9130"/>
      <c r="N9130"/>
      <c r="O9130"/>
      <c r="P9130" s="216"/>
      <c r="Q9130" s="217"/>
      <c r="R9130" s="217"/>
      <c r="S9130" s="218"/>
    </row>
    <row r="9131" spans="13:19" ht="15" customHeight="1" x14ac:dyDescent="0.25">
      <c r="M9131"/>
      <c r="N9131"/>
      <c r="O9131"/>
      <c r="P9131" s="216"/>
      <c r="Q9131" s="217"/>
      <c r="R9131" s="217"/>
      <c r="S9131" s="218"/>
    </row>
    <row r="9132" spans="13:19" ht="15" customHeight="1" x14ac:dyDescent="0.25">
      <c r="M9132"/>
      <c r="N9132"/>
      <c r="O9132"/>
      <c r="P9132" s="216"/>
      <c r="Q9132" s="217"/>
      <c r="R9132" s="217"/>
      <c r="S9132" s="218"/>
    </row>
    <row r="9133" spans="13:19" ht="15" customHeight="1" x14ac:dyDescent="0.25">
      <c r="M9133"/>
      <c r="N9133"/>
      <c r="O9133"/>
      <c r="P9133" s="216"/>
      <c r="Q9133" s="217"/>
      <c r="R9133" s="217"/>
      <c r="S9133" s="218"/>
    </row>
    <row r="9134" spans="13:19" ht="15" customHeight="1" x14ac:dyDescent="0.25">
      <c r="M9134"/>
      <c r="N9134"/>
      <c r="O9134"/>
      <c r="P9134" s="216"/>
      <c r="Q9134" s="217"/>
      <c r="R9134" s="217"/>
      <c r="S9134" s="218"/>
    </row>
    <row r="9135" spans="13:19" ht="15" customHeight="1" x14ac:dyDescent="0.25">
      <c r="M9135"/>
      <c r="N9135"/>
      <c r="O9135"/>
      <c r="P9135" s="216"/>
      <c r="Q9135" s="217"/>
      <c r="R9135" s="217"/>
      <c r="S9135" s="218"/>
    </row>
    <row r="9136" spans="13:19" ht="15" customHeight="1" x14ac:dyDescent="0.25">
      <c r="M9136"/>
      <c r="N9136"/>
      <c r="O9136"/>
      <c r="P9136" s="216"/>
      <c r="Q9136" s="217"/>
      <c r="R9136" s="217"/>
      <c r="S9136" s="218"/>
    </row>
    <row r="9137" spans="13:19" ht="15" customHeight="1" x14ac:dyDescent="0.25">
      <c r="M9137"/>
      <c r="N9137"/>
      <c r="O9137"/>
      <c r="P9137" s="216"/>
      <c r="Q9137" s="217"/>
      <c r="R9137" s="217"/>
      <c r="S9137" s="218"/>
    </row>
    <row r="9138" spans="13:19" ht="15" customHeight="1" x14ac:dyDescent="0.25">
      <c r="M9138"/>
      <c r="N9138"/>
      <c r="O9138"/>
      <c r="P9138" s="216"/>
      <c r="Q9138" s="217"/>
      <c r="R9138" s="217"/>
      <c r="S9138" s="218"/>
    </row>
    <row r="9139" spans="13:19" ht="15" customHeight="1" x14ac:dyDescent="0.25">
      <c r="M9139"/>
      <c r="N9139"/>
      <c r="O9139"/>
      <c r="P9139" s="216"/>
      <c r="Q9139" s="217"/>
      <c r="R9139" s="217"/>
      <c r="S9139" s="218"/>
    </row>
    <row r="9140" spans="13:19" ht="15" customHeight="1" x14ac:dyDescent="0.25">
      <c r="M9140"/>
      <c r="N9140"/>
      <c r="O9140"/>
      <c r="P9140" s="216"/>
      <c r="Q9140" s="217"/>
      <c r="R9140" s="217"/>
      <c r="S9140" s="218"/>
    </row>
    <row r="9141" spans="13:19" ht="15" customHeight="1" x14ac:dyDescent="0.25">
      <c r="M9141"/>
      <c r="N9141"/>
      <c r="O9141"/>
      <c r="P9141" s="216"/>
      <c r="Q9141" s="217"/>
      <c r="R9141" s="217"/>
      <c r="S9141" s="218"/>
    </row>
    <row r="9142" spans="13:19" ht="15" customHeight="1" x14ac:dyDescent="0.25">
      <c r="M9142"/>
      <c r="N9142"/>
      <c r="O9142"/>
      <c r="P9142" s="216"/>
      <c r="Q9142" s="217"/>
      <c r="R9142" s="217"/>
      <c r="S9142" s="218"/>
    </row>
    <row r="9143" spans="13:19" ht="15" customHeight="1" x14ac:dyDescent="0.25">
      <c r="M9143"/>
      <c r="N9143"/>
      <c r="O9143"/>
      <c r="P9143" s="216"/>
      <c r="Q9143" s="217"/>
      <c r="R9143" s="217"/>
      <c r="S9143" s="218"/>
    </row>
    <row r="9144" spans="13:19" ht="15" customHeight="1" x14ac:dyDescent="0.25">
      <c r="M9144"/>
      <c r="N9144"/>
      <c r="O9144"/>
      <c r="P9144" s="216"/>
      <c r="Q9144" s="217"/>
      <c r="R9144" s="217"/>
      <c r="S9144" s="218"/>
    </row>
    <row r="9145" spans="13:19" ht="15" customHeight="1" x14ac:dyDescent="0.25">
      <c r="M9145"/>
      <c r="N9145"/>
      <c r="O9145"/>
      <c r="P9145" s="216"/>
      <c r="Q9145" s="217"/>
      <c r="R9145" s="217"/>
      <c r="S9145" s="218"/>
    </row>
    <row r="9146" spans="13:19" ht="15" customHeight="1" x14ac:dyDescent="0.25">
      <c r="M9146"/>
      <c r="N9146"/>
      <c r="O9146"/>
      <c r="P9146" s="216"/>
      <c r="Q9146" s="217"/>
      <c r="R9146" s="217"/>
      <c r="S9146" s="218"/>
    </row>
    <row r="9147" spans="13:19" ht="15" customHeight="1" x14ac:dyDescent="0.25">
      <c r="M9147"/>
      <c r="N9147"/>
      <c r="O9147"/>
      <c r="P9147" s="216"/>
      <c r="Q9147" s="217"/>
      <c r="R9147" s="217"/>
      <c r="S9147" s="218"/>
    </row>
    <row r="9148" spans="13:19" ht="15" customHeight="1" x14ac:dyDescent="0.25">
      <c r="M9148"/>
      <c r="N9148"/>
      <c r="O9148"/>
      <c r="P9148" s="216"/>
      <c r="Q9148" s="217"/>
      <c r="R9148" s="217"/>
      <c r="S9148" s="218"/>
    </row>
    <row r="9149" spans="13:19" ht="15" customHeight="1" x14ac:dyDescent="0.25">
      <c r="M9149"/>
      <c r="N9149"/>
      <c r="O9149"/>
      <c r="P9149" s="216"/>
      <c r="Q9149" s="217"/>
      <c r="R9149" s="217"/>
      <c r="S9149" s="218"/>
    </row>
    <row r="9150" spans="13:19" ht="15" customHeight="1" x14ac:dyDescent="0.25">
      <c r="M9150"/>
      <c r="N9150"/>
      <c r="O9150"/>
      <c r="P9150" s="216"/>
      <c r="Q9150" s="217"/>
      <c r="R9150" s="217"/>
      <c r="S9150" s="218"/>
    </row>
    <row r="9151" spans="13:19" ht="15" customHeight="1" x14ac:dyDescent="0.25">
      <c r="M9151"/>
      <c r="N9151"/>
      <c r="O9151"/>
      <c r="P9151" s="216"/>
      <c r="Q9151" s="217"/>
      <c r="R9151" s="217"/>
      <c r="S9151" s="218"/>
    </row>
    <row r="9152" spans="13:19" ht="15" customHeight="1" x14ac:dyDescent="0.25">
      <c r="M9152"/>
      <c r="N9152"/>
      <c r="O9152"/>
      <c r="P9152" s="216"/>
      <c r="Q9152" s="217"/>
      <c r="R9152" s="217"/>
      <c r="S9152" s="218"/>
    </row>
    <row r="9153" spans="13:19" ht="15" customHeight="1" x14ac:dyDescent="0.25">
      <c r="M9153"/>
      <c r="N9153"/>
      <c r="O9153"/>
      <c r="P9153" s="216"/>
      <c r="Q9153" s="217"/>
      <c r="R9153" s="217"/>
      <c r="S9153" s="218"/>
    </row>
    <row r="9154" spans="13:19" ht="15" customHeight="1" x14ac:dyDescent="0.25">
      <c r="M9154"/>
      <c r="N9154"/>
      <c r="O9154"/>
      <c r="P9154" s="216"/>
      <c r="Q9154" s="217"/>
      <c r="R9154" s="217"/>
      <c r="S9154" s="218"/>
    </row>
    <row r="9155" spans="13:19" ht="15" customHeight="1" x14ac:dyDescent="0.25">
      <c r="M9155"/>
      <c r="N9155"/>
      <c r="O9155"/>
      <c r="P9155" s="216"/>
      <c r="Q9155" s="217"/>
      <c r="R9155" s="217"/>
      <c r="S9155" s="218"/>
    </row>
    <row r="9156" spans="13:19" ht="15" customHeight="1" x14ac:dyDescent="0.25">
      <c r="M9156"/>
      <c r="N9156"/>
      <c r="O9156"/>
      <c r="P9156" s="216"/>
      <c r="Q9156" s="217"/>
      <c r="R9156" s="217"/>
      <c r="S9156" s="218"/>
    </row>
    <row r="9157" spans="13:19" ht="15" customHeight="1" x14ac:dyDescent="0.25">
      <c r="M9157"/>
      <c r="N9157"/>
      <c r="O9157"/>
      <c r="P9157" s="216"/>
      <c r="Q9157" s="217"/>
      <c r="R9157" s="217"/>
      <c r="S9157" s="218"/>
    </row>
    <row r="9158" spans="13:19" ht="15" customHeight="1" x14ac:dyDescent="0.25">
      <c r="M9158"/>
      <c r="N9158"/>
      <c r="O9158"/>
      <c r="P9158" s="216"/>
      <c r="Q9158" s="217"/>
      <c r="R9158" s="217"/>
      <c r="S9158" s="218"/>
    </row>
    <row r="9159" spans="13:19" ht="15" customHeight="1" x14ac:dyDescent="0.25">
      <c r="M9159"/>
      <c r="N9159"/>
      <c r="O9159"/>
      <c r="P9159" s="216"/>
      <c r="Q9159" s="217"/>
      <c r="R9159" s="217"/>
      <c r="S9159" s="218"/>
    </row>
    <row r="9160" spans="13:19" ht="15" customHeight="1" x14ac:dyDescent="0.25">
      <c r="M9160"/>
      <c r="N9160"/>
      <c r="O9160"/>
      <c r="P9160" s="216"/>
      <c r="Q9160" s="217"/>
      <c r="R9160" s="217"/>
      <c r="S9160" s="218"/>
    </row>
    <row r="9161" spans="13:19" ht="15" customHeight="1" x14ac:dyDescent="0.25">
      <c r="M9161"/>
      <c r="N9161"/>
      <c r="O9161"/>
      <c r="P9161" s="216"/>
      <c r="Q9161" s="217"/>
      <c r="R9161" s="217"/>
      <c r="S9161" s="218"/>
    </row>
    <row r="9162" spans="13:19" ht="15" customHeight="1" x14ac:dyDescent="0.25">
      <c r="M9162"/>
      <c r="N9162"/>
      <c r="O9162"/>
      <c r="P9162" s="216"/>
      <c r="Q9162" s="217"/>
      <c r="R9162" s="217"/>
      <c r="S9162" s="218"/>
    </row>
    <row r="9163" spans="13:19" ht="15" customHeight="1" x14ac:dyDescent="0.25">
      <c r="M9163"/>
      <c r="N9163"/>
      <c r="O9163"/>
      <c r="P9163" s="216"/>
      <c r="Q9163" s="217"/>
      <c r="R9163" s="217"/>
      <c r="S9163" s="218"/>
    </row>
    <row r="9164" spans="13:19" ht="15" customHeight="1" x14ac:dyDescent="0.25">
      <c r="M9164"/>
      <c r="N9164"/>
      <c r="O9164"/>
      <c r="P9164" s="216"/>
      <c r="Q9164" s="217"/>
      <c r="R9164" s="217"/>
      <c r="S9164" s="218"/>
    </row>
    <row r="9165" spans="13:19" ht="15" customHeight="1" x14ac:dyDescent="0.25">
      <c r="M9165"/>
      <c r="N9165"/>
      <c r="O9165"/>
      <c r="P9165" s="216"/>
      <c r="Q9165" s="217"/>
      <c r="R9165" s="217"/>
      <c r="S9165" s="218"/>
    </row>
    <row r="9166" spans="13:19" ht="15" customHeight="1" x14ac:dyDescent="0.25">
      <c r="M9166"/>
      <c r="N9166"/>
      <c r="O9166"/>
      <c r="P9166" s="216"/>
      <c r="Q9166" s="217"/>
      <c r="R9166" s="217"/>
      <c r="S9166" s="218"/>
    </row>
    <row r="9167" spans="13:19" ht="15" customHeight="1" x14ac:dyDescent="0.25">
      <c r="M9167"/>
      <c r="N9167"/>
      <c r="O9167"/>
      <c r="P9167" s="216"/>
      <c r="Q9167" s="217"/>
      <c r="R9167" s="217"/>
      <c r="S9167" s="218"/>
    </row>
    <row r="9168" spans="13:19" ht="15" customHeight="1" x14ac:dyDescent="0.25">
      <c r="M9168"/>
      <c r="N9168"/>
      <c r="O9168"/>
      <c r="P9168" s="216"/>
      <c r="Q9168" s="217"/>
      <c r="R9168" s="217"/>
      <c r="S9168" s="218"/>
    </row>
    <row r="9169" spans="13:19" ht="15" customHeight="1" x14ac:dyDescent="0.25">
      <c r="M9169"/>
      <c r="N9169"/>
      <c r="O9169"/>
      <c r="P9169" s="216"/>
      <c r="Q9169" s="217"/>
      <c r="R9169" s="217"/>
      <c r="S9169" s="218"/>
    </row>
    <row r="9170" spans="13:19" ht="15" customHeight="1" x14ac:dyDescent="0.25">
      <c r="M9170"/>
      <c r="N9170"/>
      <c r="O9170"/>
      <c r="P9170" s="216"/>
      <c r="Q9170" s="217"/>
      <c r="R9170" s="217"/>
      <c r="S9170" s="218"/>
    </row>
    <row r="9171" spans="13:19" ht="15" customHeight="1" x14ac:dyDescent="0.25">
      <c r="M9171"/>
      <c r="N9171"/>
      <c r="O9171"/>
      <c r="P9171" s="216"/>
      <c r="Q9171" s="217"/>
      <c r="R9171" s="217"/>
      <c r="S9171" s="218"/>
    </row>
    <row r="9172" spans="13:19" ht="15" customHeight="1" x14ac:dyDescent="0.25">
      <c r="M9172"/>
      <c r="N9172"/>
      <c r="O9172"/>
      <c r="P9172" s="216"/>
      <c r="Q9172" s="217"/>
      <c r="R9172" s="217"/>
      <c r="S9172" s="218"/>
    </row>
    <row r="9173" spans="13:19" ht="15" customHeight="1" x14ac:dyDescent="0.25">
      <c r="M9173"/>
      <c r="N9173"/>
      <c r="O9173"/>
      <c r="P9173" s="216"/>
      <c r="Q9173" s="217"/>
      <c r="R9173" s="217"/>
      <c r="S9173" s="218"/>
    </row>
    <row r="9174" spans="13:19" ht="15" customHeight="1" x14ac:dyDescent="0.25">
      <c r="M9174"/>
      <c r="N9174"/>
      <c r="O9174"/>
      <c r="P9174" s="216"/>
      <c r="Q9174" s="217"/>
      <c r="R9174" s="217"/>
      <c r="S9174" s="218"/>
    </row>
    <row r="9175" spans="13:19" ht="15" customHeight="1" x14ac:dyDescent="0.25">
      <c r="M9175"/>
      <c r="N9175"/>
      <c r="O9175"/>
      <c r="P9175" s="216"/>
      <c r="Q9175" s="217"/>
      <c r="R9175" s="217"/>
      <c r="S9175" s="218"/>
    </row>
    <row r="9176" spans="13:19" ht="15" customHeight="1" x14ac:dyDescent="0.25">
      <c r="M9176"/>
      <c r="N9176"/>
      <c r="O9176"/>
      <c r="P9176" s="216"/>
      <c r="Q9176" s="217"/>
      <c r="R9176" s="217"/>
      <c r="S9176" s="218"/>
    </row>
    <row r="9177" spans="13:19" ht="15" customHeight="1" x14ac:dyDescent="0.25">
      <c r="M9177"/>
      <c r="N9177"/>
      <c r="O9177"/>
      <c r="P9177" s="216"/>
      <c r="Q9177" s="217"/>
      <c r="R9177" s="217"/>
      <c r="S9177" s="218"/>
    </row>
    <row r="9178" spans="13:19" ht="15" customHeight="1" x14ac:dyDescent="0.25">
      <c r="M9178"/>
      <c r="N9178"/>
      <c r="O9178"/>
      <c r="P9178" s="216"/>
      <c r="Q9178" s="217"/>
      <c r="R9178" s="217"/>
      <c r="S9178" s="218"/>
    </row>
    <row r="9179" spans="13:19" ht="15" customHeight="1" x14ac:dyDescent="0.25">
      <c r="M9179"/>
      <c r="N9179"/>
      <c r="O9179"/>
      <c r="P9179" s="216"/>
      <c r="Q9179" s="217"/>
      <c r="R9179" s="217"/>
      <c r="S9179" s="218"/>
    </row>
    <row r="9180" spans="13:19" ht="15" customHeight="1" x14ac:dyDescent="0.25">
      <c r="M9180"/>
      <c r="N9180"/>
      <c r="O9180"/>
      <c r="P9180" s="216"/>
      <c r="Q9180" s="217"/>
      <c r="R9180" s="217"/>
      <c r="S9180" s="218"/>
    </row>
    <row r="9181" spans="13:19" ht="15" customHeight="1" x14ac:dyDescent="0.25">
      <c r="M9181"/>
      <c r="N9181"/>
      <c r="O9181"/>
      <c r="P9181" s="216"/>
      <c r="Q9181" s="217"/>
      <c r="R9181" s="217"/>
      <c r="S9181" s="218"/>
    </row>
    <row r="9182" spans="13:19" ht="15" customHeight="1" x14ac:dyDescent="0.25">
      <c r="M9182"/>
      <c r="N9182"/>
      <c r="O9182"/>
      <c r="P9182" s="216"/>
      <c r="Q9182" s="217"/>
      <c r="R9182" s="217"/>
      <c r="S9182" s="218"/>
    </row>
    <row r="9183" spans="13:19" ht="15" customHeight="1" x14ac:dyDescent="0.25">
      <c r="M9183"/>
      <c r="N9183"/>
      <c r="O9183"/>
      <c r="P9183" s="216"/>
      <c r="Q9183" s="217"/>
      <c r="R9183" s="217"/>
      <c r="S9183" s="218"/>
    </row>
    <row r="9184" spans="13:19" ht="15" customHeight="1" x14ac:dyDescent="0.25">
      <c r="M9184"/>
      <c r="N9184"/>
      <c r="O9184"/>
      <c r="P9184" s="216"/>
      <c r="Q9184" s="217"/>
      <c r="R9184" s="217"/>
      <c r="S9184" s="218"/>
    </row>
    <row r="9185" spans="13:19" ht="15" customHeight="1" x14ac:dyDescent="0.25">
      <c r="M9185"/>
      <c r="N9185"/>
      <c r="O9185"/>
      <c r="P9185" s="216"/>
      <c r="Q9185" s="217"/>
      <c r="R9185" s="217"/>
      <c r="S9185" s="218"/>
    </row>
    <row r="9186" spans="13:19" ht="15" customHeight="1" x14ac:dyDescent="0.25">
      <c r="M9186"/>
      <c r="N9186"/>
      <c r="O9186"/>
      <c r="P9186" s="216"/>
      <c r="Q9186" s="217"/>
      <c r="R9186" s="217"/>
      <c r="S9186" s="218"/>
    </row>
    <row r="9187" spans="13:19" ht="15" customHeight="1" x14ac:dyDescent="0.25">
      <c r="M9187"/>
      <c r="N9187"/>
      <c r="O9187"/>
      <c r="P9187" s="216"/>
      <c r="Q9187" s="217"/>
      <c r="R9187" s="217"/>
      <c r="S9187" s="218"/>
    </row>
    <row r="9188" spans="13:19" ht="15" customHeight="1" x14ac:dyDescent="0.25">
      <c r="M9188"/>
      <c r="N9188"/>
      <c r="O9188"/>
      <c r="P9188" s="216"/>
      <c r="Q9188" s="217"/>
      <c r="R9188" s="217"/>
      <c r="S9188" s="218"/>
    </row>
    <row r="9189" spans="13:19" ht="15" customHeight="1" x14ac:dyDescent="0.25">
      <c r="M9189"/>
      <c r="N9189"/>
      <c r="O9189"/>
      <c r="P9189" s="216"/>
      <c r="Q9189" s="217"/>
      <c r="R9189" s="217"/>
      <c r="S9189" s="218"/>
    </row>
    <row r="9190" spans="13:19" ht="15" customHeight="1" x14ac:dyDescent="0.25">
      <c r="M9190"/>
      <c r="N9190"/>
      <c r="O9190"/>
      <c r="P9190" s="216"/>
      <c r="Q9190" s="217"/>
      <c r="R9190" s="217"/>
      <c r="S9190" s="218"/>
    </row>
    <row r="9191" spans="13:19" ht="15" customHeight="1" x14ac:dyDescent="0.25">
      <c r="M9191"/>
      <c r="N9191"/>
      <c r="O9191"/>
      <c r="P9191" s="216"/>
      <c r="Q9191" s="217"/>
      <c r="R9191" s="217"/>
      <c r="S9191" s="218"/>
    </row>
    <row r="9192" spans="13:19" ht="15" customHeight="1" x14ac:dyDescent="0.25">
      <c r="M9192"/>
      <c r="N9192"/>
      <c r="O9192"/>
      <c r="P9192" s="216"/>
      <c r="Q9192" s="217"/>
      <c r="R9192" s="217"/>
      <c r="S9192" s="218"/>
    </row>
    <row r="9193" spans="13:19" ht="15" customHeight="1" x14ac:dyDescent="0.25">
      <c r="M9193"/>
      <c r="N9193"/>
      <c r="O9193"/>
      <c r="P9193" s="216"/>
      <c r="Q9193" s="217"/>
      <c r="R9193" s="217"/>
      <c r="S9193" s="218"/>
    </row>
    <row r="9194" spans="13:19" ht="15" customHeight="1" x14ac:dyDescent="0.25">
      <c r="M9194"/>
      <c r="N9194"/>
      <c r="O9194"/>
      <c r="P9194" s="216"/>
      <c r="Q9194" s="217"/>
      <c r="R9194" s="217"/>
      <c r="S9194" s="218"/>
    </row>
    <row r="9195" spans="13:19" ht="15" customHeight="1" x14ac:dyDescent="0.25">
      <c r="M9195"/>
      <c r="N9195"/>
      <c r="O9195"/>
      <c r="P9195" s="216"/>
      <c r="Q9195" s="217"/>
      <c r="R9195" s="217"/>
      <c r="S9195" s="218"/>
    </row>
    <row r="9196" spans="13:19" ht="15" customHeight="1" x14ac:dyDescent="0.25">
      <c r="M9196"/>
      <c r="N9196"/>
      <c r="O9196"/>
      <c r="P9196" s="216"/>
      <c r="Q9196" s="217"/>
      <c r="R9196" s="217"/>
      <c r="S9196" s="218"/>
    </row>
    <row r="9197" spans="13:19" ht="15" customHeight="1" x14ac:dyDescent="0.25">
      <c r="M9197"/>
      <c r="N9197"/>
      <c r="O9197"/>
      <c r="P9197" s="216"/>
      <c r="Q9197" s="217"/>
      <c r="R9197" s="217"/>
      <c r="S9197" s="218"/>
    </row>
    <row r="9198" spans="13:19" ht="15" customHeight="1" x14ac:dyDescent="0.25">
      <c r="M9198"/>
      <c r="N9198"/>
      <c r="O9198"/>
      <c r="P9198" s="216"/>
      <c r="Q9198" s="217"/>
      <c r="R9198" s="217"/>
      <c r="S9198" s="218"/>
    </row>
    <row r="9199" spans="13:19" ht="15" customHeight="1" x14ac:dyDescent="0.25">
      <c r="M9199"/>
      <c r="N9199"/>
      <c r="O9199"/>
      <c r="P9199" s="216"/>
      <c r="Q9199" s="217"/>
      <c r="R9199" s="217"/>
      <c r="S9199" s="218"/>
    </row>
    <row r="9200" spans="13:19" ht="15" customHeight="1" x14ac:dyDescent="0.25">
      <c r="M9200"/>
      <c r="N9200"/>
      <c r="O9200"/>
      <c r="P9200" s="216"/>
      <c r="Q9200" s="217"/>
      <c r="R9200" s="217"/>
      <c r="S9200" s="218"/>
    </row>
    <row r="9201" spans="13:19" ht="15" customHeight="1" x14ac:dyDescent="0.25">
      <c r="M9201"/>
      <c r="N9201"/>
      <c r="O9201"/>
      <c r="P9201" s="216"/>
      <c r="Q9201" s="217"/>
      <c r="R9201" s="217"/>
      <c r="S9201" s="218"/>
    </row>
    <row r="9202" spans="13:19" ht="15" customHeight="1" x14ac:dyDescent="0.25">
      <c r="M9202"/>
      <c r="N9202"/>
      <c r="O9202"/>
      <c r="P9202" s="216"/>
      <c r="Q9202" s="217"/>
      <c r="R9202" s="217"/>
      <c r="S9202" s="218"/>
    </row>
    <row r="9203" spans="13:19" ht="15" customHeight="1" x14ac:dyDescent="0.25">
      <c r="M9203"/>
      <c r="N9203"/>
      <c r="O9203"/>
      <c r="P9203" s="216"/>
      <c r="Q9203" s="217"/>
      <c r="R9203" s="217"/>
      <c r="S9203" s="218"/>
    </row>
    <row r="9204" spans="13:19" ht="15" customHeight="1" x14ac:dyDescent="0.25">
      <c r="M9204"/>
      <c r="N9204"/>
      <c r="O9204"/>
      <c r="P9204" s="216"/>
      <c r="Q9204" s="217"/>
      <c r="R9204" s="217"/>
      <c r="S9204" s="218"/>
    </row>
    <row r="9205" spans="13:19" ht="15" customHeight="1" x14ac:dyDescent="0.25">
      <c r="M9205"/>
      <c r="N9205"/>
      <c r="O9205"/>
      <c r="P9205" s="216"/>
      <c r="Q9205" s="217"/>
      <c r="R9205" s="217"/>
      <c r="S9205" s="218"/>
    </row>
    <row r="9206" spans="13:19" ht="15" customHeight="1" x14ac:dyDescent="0.25">
      <c r="M9206"/>
      <c r="N9206"/>
      <c r="O9206"/>
      <c r="P9206" s="216"/>
      <c r="Q9206" s="217"/>
      <c r="R9206" s="217"/>
      <c r="S9206" s="218"/>
    </row>
    <row r="9207" spans="13:19" ht="15" customHeight="1" x14ac:dyDescent="0.25">
      <c r="M9207"/>
      <c r="N9207"/>
      <c r="O9207"/>
      <c r="P9207" s="216"/>
      <c r="Q9207" s="217"/>
      <c r="R9207" s="217"/>
      <c r="S9207" s="218"/>
    </row>
    <row r="9208" spans="13:19" ht="15" customHeight="1" x14ac:dyDescent="0.25">
      <c r="M9208"/>
      <c r="N9208"/>
      <c r="O9208"/>
      <c r="P9208" s="216"/>
      <c r="Q9208" s="217"/>
      <c r="R9208" s="217"/>
      <c r="S9208" s="218"/>
    </row>
    <row r="9209" spans="13:19" ht="15" customHeight="1" x14ac:dyDescent="0.25">
      <c r="M9209"/>
      <c r="N9209"/>
      <c r="O9209"/>
      <c r="P9209" s="216"/>
      <c r="Q9209" s="217"/>
      <c r="R9209" s="217"/>
      <c r="S9209" s="218"/>
    </row>
    <row r="9210" spans="13:19" ht="15" customHeight="1" x14ac:dyDescent="0.25">
      <c r="M9210"/>
      <c r="N9210"/>
      <c r="O9210"/>
      <c r="P9210" s="216"/>
      <c r="Q9210" s="217"/>
      <c r="R9210" s="217"/>
      <c r="S9210" s="218"/>
    </row>
    <row r="9211" spans="13:19" ht="15" customHeight="1" x14ac:dyDescent="0.25">
      <c r="M9211"/>
      <c r="N9211"/>
      <c r="O9211"/>
      <c r="P9211" s="216"/>
      <c r="Q9211" s="217"/>
      <c r="R9211" s="217"/>
      <c r="S9211" s="218"/>
    </row>
    <row r="9212" spans="13:19" ht="15" customHeight="1" x14ac:dyDescent="0.25">
      <c r="M9212"/>
      <c r="N9212"/>
      <c r="O9212"/>
      <c r="P9212" s="216"/>
      <c r="Q9212" s="217"/>
      <c r="R9212" s="217"/>
      <c r="S9212" s="218"/>
    </row>
    <row r="9213" spans="13:19" ht="15" customHeight="1" x14ac:dyDescent="0.25">
      <c r="M9213"/>
      <c r="N9213"/>
      <c r="O9213"/>
      <c r="P9213" s="216"/>
      <c r="Q9213" s="217"/>
      <c r="R9213" s="217"/>
      <c r="S9213" s="218"/>
    </row>
    <row r="9214" spans="13:19" ht="15" customHeight="1" x14ac:dyDescent="0.25">
      <c r="M9214"/>
      <c r="N9214"/>
      <c r="O9214"/>
      <c r="P9214" s="216"/>
      <c r="Q9214" s="217"/>
      <c r="R9214" s="217"/>
      <c r="S9214" s="218"/>
    </row>
    <row r="9215" spans="13:19" ht="15" customHeight="1" x14ac:dyDescent="0.25">
      <c r="M9215"/>
      <c r="N9215"/>
      <c r="O9215"/>
      <c r="P9215" s="216"/>
      <c r="Q9215" s="217"/>
      <c r="R9215" s="217"/>
      <c r="S9215" s="218"/>
    </row>
    <row r="9216" spans="13:19" ht="15" customHeight="1" x14ac:dyDescent="0.25">
      <c r="M9216"/>
      <c r="N9216"/>
      <c r="O9216"/>
      <c r="P9216" s="216"/>
      <c r="Q9216" s="217"/>
      <c r="R9216" s="217"/>
      <c r="S9216" s="218"/>
    </row>
    <row r="9217" spans="13:19" ht="15" customHeight="1" x14ac:dyDescent="0.25">
      <c r="M9217"/>
      <c r="N9217"/>
      <c r="O9217"/>
      <c r="P9217" s="216"/>
      <c r="Q9217" s="217"/>
      <c r="R9217" s="217"/>
      <c r="S9217" s="218"/>
    </row>
    <row r="9218" spans="13:19" ht="15" customHeight="1" x14ac:dyDescent="0.25">
      <c r="M9218"/>
      <c r="N9218"/>
      <c r="O9218"/>
      <c r="P9218" s="216"/>
      <c r="Q9218" s="217"/>
      <c r="R9218" s="217"/>
      <c r="S9218" s="218"/>
    </row>
    <row r="9219" spans="13:19" ht="15" customHeight="1" x14ac:dyDescent="0.25">
      <c r="M9219"/>
      <c r="N9219"/>
      <c r="O9219"/>
      <c r="P9219" s="216"/>
      <c r="Q9219" s="217"/>
      <c r="R9219" s="217"/>
      <c r="S9219" s="218"/>
    </row>
    <row r="9220" spans="13:19" ht="15" customHeight="1" x14ac:dyDescent="0.25">
      <c r="M9220"/>
      <c r="N9220"/>
      <c r="O9220"/>
      <c r="P9220" s="216"/>
      <c r="Q9220" s="217"/>
      <c r="R9220" s="217"/>
      <c r="S9220" s="218"/>
    </row>
    <row r="9221" spans="13:19" ht="15" customHeight="1" x14ac:dyDescent="0.25">
      <c r="M9221"/>
      <c r="N9221"/>
      <c r="O9221"/>
      <c r="P9221" s="216"/>
      <c r="Q9221" s="217"/>
      <c r="R9221" s="217"/>
      <c r="S9221" s="218"/>
    </row>
    <row r="9222" spans="13:19" ht="15" customHeight="1" x14ac:dyDescent="0.25">
      <c r="M9222"/>
      <c r="N9222"/>
      <c r="O9222"/>
      <c r="P9222" s="216"/>
      <c r="Q9222" s="217"/>
      <c r="R9222" s="217"/>
      <c r="S9222" s="218"/>
    </row>
    <row r="9223" spans="13:19" ht="15" customHeight="1" x14ac:dyDescent="0.25">
      <c r="M9223"/>
      <c r="N9223"/>
      <c r="O9223"/>
      <c r="P9223" s="216"/>
      <c r="Q9223" s="217"/>
      <c r="R9223" s="217"/>
      <c r="S9223" s="218"/>
    </row>
    <row r="9224" spans="13:19" ht="15" customHeight="1" x14ac:dyDescent="0.25">
      <c r="M9224"/>
      <c r="N9224"/>
      <c r="O9224"/>
      <c r="P9224" s="216"/>
      <c r="Q9224" s="217"/>
      <c r="R9224" s="217"/>
      <c r="S9224" s="218"/>
    </row>
    <row r="9225" spans="13:19" ht="15" customHeight="1" x14ac:dyDescent="0.25">
      <c r="M9225"/>
      <c r="N9225"/>
      <c r="O9225"/>
      <c r="P9225" s="216"/>
      <c r="Q9225" s="217"/>
      <c r="R9225" s="217"/>
      <c r="S9225" s="218"/>
    </row>
    <row r="9226" spans="13:19" ht="15" customHeight="1" x14ac:dyDescent="0.25">
      <c r="M9226"/>
      <c r="N9226"/>
      <c r="O9226"/>
      <c r="P9226" s="216"/>
      <c r="Q9226" s="217"/>
      <c r="R9226" s="217"/>
      <c r="S9226" s="218"/>
    </row>
    <row r="9227" spans="13:19" ht="15" customHeight="1" x14ac:dyDescent="0.25">
      <c r="M9227"/>
      <c r="N9227"/>
      <c r="O9227"/>
      <c r="P9227" s="216"/>
      <c r="Q9227" s="217"/>
      <c r="R9227" s="217"/>
      <c r="S9227" s="218"/>
    </row>
    <row r="9228" spans="13:19" ht="15" customHeight="1" x14ac:dyDescent="0.25">
      <c r="M9228"/>
      <c r="N9228"/>
      <c r="O9228"/>
      <c r="P9228" s="216"/>
      <c r="Q9228" s="217"/>
      <c r="R9228" s="217"/>
      <c r="S9228" s="218"/>
    </row>
    <row r="9229" spans="13:19" ht="15" customHeight="1" x14ac:dyDescent="0.25">
      <c r="M9229"/>
      <c r="N9229"/>
      <c r="O9229"/>
      <c r="P9229" s="216"/>
      <c r="Q9229" s="217"/>
      <c r="R9229" s="217"/>
      <c r="S9229" s="218"/>
    </row>
    <row r="9230" spans="13:19" ht="15" customHeight="1" x14ac:dyDescent="0.25">
      <c r="M9230"/>
      <c r="N9230"/>
      <c r="O9230"/>
      <c r="P9230" s="216"/>
      <c r="Q9230" s="217"/>
      <c r="R9230" s="217"/>
      <c r="S9230" s="218"/>
    </row>
    <row r="9231" spans="13:19" ht="15" customHeight="1" x14ac:dyDescent="0.25">
      <c r="M9231"/>
      <c r="N9231"/>
      <c r="O9231"/>
      <c r="P9231" s="216"/>
      <c r="Q9231" s="217"/>
      <c r="R9231" s="217"/>
      <c r="S9231" s="218"/>
    </row>
    <row r="9232" spans="13:19" ht="15" customHeight="1" x14ac:dyDescent="0.25">
      <c r="M9232"/>
      <c r="N9232"/>
      <c r="O9232"/>
      <c r="P9232" s="216"/>
      <c r="Q9232" s="217"/>
      <c r="R9232" s="217"/>
      <c r="S9232" s="218"/>
    </row>
    <row r="9233" spans="13:19" ht="15" customHeight="1" x14ac:dyDescent="0.25">
      <c r="M9233"/>
      <c r="N9233"/>
      <c r="O9233"/>
      <c r="P9233" s="216"/>
      <c r="Q9233" s="217"/>
      <c r="R9233" s="217"/>
      <c r="S9233" s="218"/>
    </row>
    <row r="9234" spans="13:19" ht="15" customHeight="1" x14ac:dyDescent="0.25">
      <c r="M9234"/>
      <c r="N9234"/>
      <c r="O9234"/>
      <c r="P9234" s="216"/>
      <c r="Q9234" s="217"/>
      <c r="R9234" s="217"/>
      <c r="S9234" s="218"/>
    </row>
    <row r="9235" spans="13:19" ht="15" customHeight="1" x14ac:dyDescent="0.25">
      <c r="M9235"/>
      <c r="N9235"/>
      <c r="O9235"/>
      <c r="P9235" s="216"/>
      <c r="Q9235" s="217"/>
      <c r="R9235" s="217"/>
      <c r="S9235" s="218"/>
    </row>
    <row r="9236" spans="13:19" ht="15" customHeight="1" x14ac:dyDescent="0.25">
      <c r="M9236"/>
      <c r="N9236"/>
      <c r="O9236"/>
      <c r="P9236" s="216"/>
      <c r="Q9236" s="217"/>
      <c r="R9236" s="217"/>
      <c r="S9236" s="218"/>
    </row>
    <row r="9237" spans="13:19" ht="15" customHeight="1" x14ac:dyDescent="0.25">
      <c r="M9237"/>
      <c r="N9237"/>
      <c r="O9237"/>
      <c r="P9237" s="216"/>
      <c r="Q9237" s="217"/>
      <c r="R9237" s="217"/>
      <c r="S9237" s="218"/>
    </row>
    <row r="9238" spans="13:19" ht="15" customHeight="1" x14ac:dyDescent="0.25">
      <c r="M9238"/>
      <c r="N9238"/>
      <c r="O9238"/>
      <c r="P9238" s="216"/>
      <c r="Q9238" s="217"/>
      <c r="R9238" s="217"/>
      <c r="S9238" s="218"/>
    </row>
    <row r="9239" spans="13:19" ht="15" customHeight="1" x14ac:dyDescent="0.25">
      <c r="M9239"/>
      <c r="N9239"/>
      <c r="O9239"/>
      <c r="P9239" s="216"/>
      <c r="Q9239" s="217"/>
      <c r="R9239" s="217"/>
      <c r="S9239" s="218"/>
    </row>
    <row r="9240" spans="13:19" ht="15" customHeight="1" x14ac:dyDescent="0.25">
      <c r="M9240"/>
      <c r="N9240"/>
      <c r="O9240"/>
      <c r="P9240" s="216"/>
      <c r="Q9240" s="217"/>
      <c r="R9240" s="217"/>
      <c r="S9240" s="218"/>
    </row>
    <row r="9241" spans="13:19" ht="15" customHeight="1" x14ac:dyDescent="0.25">
      <c r="M9241"/>
      <c r="N9241"/>
      <c r="O9241"/>
      <c r="P9241" s="216"/>
      <c r="Q9241" s="217"/>
      <c r="R9241" s="217"/>
      <c r="S9241" s="218"/>
    </row>
    <row r="9242" spans="13:19" ht="15" customHeight="1" x14ac:dyDescent="0.25">
      <c r="M9242"/>
      <c r="N9242"/>
      <c r="O9242"/>
      <c r="P9242" s="216"/>
      <c r="Q9242" s="217"/>
      <c r="R9242" s="217"/>
      <c r="S9242" s="218"/>
    </row>
    <row r="9243" spans="13:19" ht="15" customHeight="1" x14ac:dyDescent="0.25">
      <c r="M9243"/>
      <c r="N9243"/>
      <c r="O9243"/>
      <c r="P9243" s="216"/>
      <c r="Q9243" s="217"/>
      <c r="R9243" s="217"/>
      <c r="S9243" s="218"/>
    </row>
    <row r="9244" spans="13:19" ht="15" customHeight="1" x14ac:dyDescent="0.25">
      <c r="M9244"/>
      <c r="N9244"/>
      <c r="O9244"/>
      <c r="P9244" s="216"/>
      <c r="Q9244" s="217"/>
      <c r="R9244" s="217"/>
      <c r="S9244" s="218"/>
    </row>
    <row r="9245" spans="13:19" ht="15" customHeight="1" x14ac:dyDescent="0.25">
      <c r="M9245"/>
      <c r="N9245"/>
      <c r="O9245"/>
      <c r="P9245" s="216"/>
      <c r="Q9245" s="217"/>
      <c r="R9245" s="217"/>
      <c r="S9245" s="218"/>
    </row>
    <row r="9246" spans="13:19" ht="15" customHeight="1" x14ac:dyDescent="0.25">
      <c r="M9246"/>
      <c r="N9246"/>
      <c r="O9246"/>
      <c r="P9246" s="216"/>
      <c r="Q9246" s="217"/>
      <c r="R9246" s="217"/>
      <c r="S9246" s="218"/>
    </row>
    <row r="9247" spans="13:19" ht="15" customHeight="1" x14ac:dyDescent="0.25">
      <c r="M9247"/>
      <c r="N9247"/>
      <c r="O9247"/>
      <c r="P9247" s="216"/>
      <c r="Q9247" s="217"/>
      <c r="R9247" s="217"/>
      <c r="S9247" s="218"/>
    </row>
    <row r="9248" spans="13:19" ht="15" customHeight="1" x14ac:dyDescent="0.25">
      <c r="M9248"/>
      <c r="N9248"/>
      <c r="O9248"/>
      <c r="P9248" s="216"/>
      <c r="Q9248" s="217"/>
      <c r="R9248" s="217"/>
      <c r="S9248" s="218"/>
    </row>
    <row r="9249" spans="13:19" ht="15" customHeight="1" x14ac:dyDescent="0.25">
      <c r="M9249"/>
      <c r="N9249"/>
      <c r="O9249"/>
      <c r="P9249" s="216"/>
      <c r="Q9249" s="217"/>
      <c r="R9249" s="217"/>
      <c r="S9249" s="218"/>
    </row>
    <row r="9250" spans="13:19" ht="15" customHeight="1" x14ac:dyDescent="0.25">
      <c r="M9250"/>
      <c r="N9250"/>
      <c r="O9250"/>
      <c r="P9250" s="216"/>
      <c r="Q9250" s="217"/>
      <c r="R9250" s="217"/>
      <c r="S9250" s="218"/>
    </row>
    <row r="9251" spans="13:19" ht="15" customHeight="1" x14ac:dyDescent="0.25">
      <c r="M9251"/>
      <c r="N9251"/>
      <c r="O9251"/>
      <c r="P9251" s="216"/>
      <c r="Q9251" s="217"/>
      <c r="R9251" s="217"/>
      <c r="S9251" s="218"/>
    </row>
    <row r="9252" spans="13:19" ht="15" customHeight="1" x14ac:dyDescent="0.25">
      <c r="M9252"/>
      <c r="N9252"/>
      <c r="O9252"/>
      <c r="P9252" s="216"/>
      <c r="Q9252" s="217"/>
      <c r="R9252" s="217"/>
      <c r="S9252" s="218"/>
    </row>
    <row r="9253" spans="13:19" ht="15" customHeight="1" x14ac:dyDescent="0.25">
      <c r="M9253"/>
      <c r="N9253"/>
      <c r="O9253"/>
      <c r="P9253" s="216"/>
      <c r="Q9253" s="217"/>
      <c r="R9253" s="217"/>
      <c r="S9253" s="218"/>
    </row>
    <row r="9254" spans="13:19" ht="15" customHeight="1" x14ac:dyDescent="0.25">
      <c r="M9254"/>
      <c r="N9254"/>
      <c r="O9254"/>
      <c r="P9254" s="216"/>
      <c r="Q9254" s="217"/>
      <c r="R9254" s="217"/>
      <c r="S9254" s="218"/>
    </row>
    <row r="9255" spans="13:19" ht="15" customHeight="1" x14ac:dyDescent="0.25">
      <c r="M9255"/>
      <c r="N9255"/>
      <c r="O9255"/>
      <c r="P9255" s="216"/>
      <c r="Q9255" s="217"/>
      <c r="R9255" s="217"/>
      <c r="S9255" s="218"/>
    </row>
    <row r="9256" spans="13:19" ht="15" customHeight="1" x14ac:dyDescent="0.25">
      <c r="M9256"/>
      <c r="N9256"/>
      <c r="O9256"/>
      <c r="P9256" s="216"/>
      <c r="Q9256" s="217"/>
      <c r="R9256" s="217"/>
      <c r="S9256" s="218"/>
    </row>
    <row r="9257" spans="13:19" ht="15" customHeight="1" x14ac:dyDescent="0.25">
      <c r="M9257"/>
      <c r="N9257"/>
      <c r="O9257"/>
      <c r="P9257" s="216"/>
      <c r="Q9257" s="217"/>
      <c r="R9257" s="217"/>
      <c r="S9257" s="218"/>
    </row>
    <row r="9258" spans="13:19" ht="15" customHeight="1" x14ac:dyDescent="0.25">
      <c r="M9258"/>
      <c r="N9258"/>
      <c r="O9258"/>
      <c r="P9258" s="216"/>
      <c r="Q9258" s="217"/>
      <c r="R9258" s="217"/>
      <c r="S9258" s="218"/>
    </row>
    <row r="9259" spans="13:19" ht="15" customHeight="1" x14ac:dyDescent="0.25">
      <c r="M9259"/>
      <c r="N9259"/>
      <c r="O9259"/>
      <c r="P9259" s="216"/>
      <c r="Q9259" s="217"/>
      <c r="R9259" s="217"/>
      <c r="S9259" s="218"/>
    </row>
    <row r="9260" spans="13:19" ht="15" customHeight="1" x14ac:dyDescent="0.25">
      <c r="M9260"/>
      <c r="N9260"/>
      <c r="O9260"/>
      <c r="P9260" s="216"/>
      <c r="Q9260" s="217"/>
      <c r="R9260" s="217"/>
      <c r="S9260" s="218"/>
    </row>
    <row r="9261" spans="13:19" ht="15" customHeight="1" x14ac:dyDescent="0.25">
      <c r="M9261"/>
      <c r="N9261"/>
      <c r="O9261"/>
      <c r="P9261" s="216"/>
      <c r="Q9261" s="217"/>
      <c r="R9261" s="217"/>
      <c r="S9261" s="218"/>
    </row>
    <row r="9262" spans="13:19" ht="15" customHeight="1" x14ac:dyDescent="0.25">
      <c r="M9262"/>
      <c r="N9262"/>
      <c r="O9262"/>
      <c r="P9262" s="216"/>
      <c r="Q9262" s="217"/>
      <c r="R9262" s="217"/>
      <c r="S9262" s="218"/>
    </row>
    <row r="9263" spans="13:19" ht="15" customHeight="1" x14ac:dyDescent="0.25">
      <c r="M9263"/>
      <c r="N9263"/>
      <c r="O9263"/>
      <c r="P9263" s="216"/>
      <c r="Q9263" s="217"/>
      <c r="R9263" s="217"/>
      <c r="S9263" s="218"/>
    </row>
    <row r="9264" spans="13:19" ht="15" customHeight="1" x14ac:dyDescent="0.25">
      <c r="M9264"/>
      <c r="N9264"/>
      <c r="O9264"/>
      <c r="P9264" s="216"/>
      <c r="Q9264" s="217"/>
      <c r="R9264" s="217"/>
      <c r="S9264" s="218"/>
    </row>
    <row r="9265" spans="13:19" ht="15" customHeight="1" x14ac:dyDescent="0.25">
      <c r="M9265"/>
      <c r="N9265"/>
      <c r="O9265"/>
      <c r="P9265" s="216"/>
      <c r="Q9265" s="217"/>
      <c r="R9265" s="217"/>
      <c r="S9265" s="218"/>
    </row>
    <row r="9266" spans="13:19" ht="15" customHeight="1" x14ac:dyDescent="0.25">
      <c r="M9266"/>
      <c r="N9266"/>
      <c r="O9266"/>
      <c r="P9266" s="216"/>
      <c r="Q9266" s="217"/>
      <c r="R9266" s="217"/>
      <c r="S9266" s="218"/>
    </row>
    <row r="9267" spans="13:19" ht="15" customHeight="1" x14ac:dyDescent="0.25">
      <c r="M9267"/>
      <c r="N9267"/>
      <c r="O9267"/>
      <c r="P9267" s="216"/>
      <c r="Q9267" s="217"/>
      <c r="R9267" s="217"/>
      <c r="S9267" s="218"/>
    </row>
    <row r="9268" spans="13:19" ht="15" customHeight="1" x14ac:dyDescent="0.25">
      <c r="M9268"/>
      <c r="N9268"/>
      <c r="O9268"/>
      <c r="P9268" s="216"/>
      <c r="Q9268" s="217"/>
      <c r="R9268" s="217"/>
      <c r="S9268" s="218"/>
    </row>
    <row r="9269" spans="13:19" ht="15" customHeight="1" x14ac:dyDescent="0.25">
      <c r="M9269"/>
      <c r="N9269"/>
      <c r="O9269"/>
      <c r="P9269" s="216"/>
      <c r="Q9269" s="217"/>
      <c r="R9269" s="217"/>
      <c r="S9269" s="218"/>
    </row>
    <row r="9270" spans="13:19" ht="15" customHeight="1" x14ac:dyDescent="0.25">
      <c r="M9270"/>
      <c r="N9270"/>
      <c r="O9270"/>
      <c r="P9270" s="216"/>
      <c r="Q9270" s="217"/>
      <c r="R9270" s="217"/>
      <c r="S9270" s="218"/>
    </row>
    <row r="9271" spans="13:19" ht="15" customHeight="1" x14ac:dyDescent="0.25">
      <c r="M9271"/>
      <c r="N9271"/>
      <c r="O9271"/>
      <c r="P9271" s="216"/>
      <c r="Q9271" s="217"/>
      <c r="R9271" s="217"/>
      <c r="S9271" s="218"/>
    </row>
    <row r="9272" spans="13:19" ht="15" customHeight="1" x14ac:dyDescent="0.25">
      <c r="M9272"/>
      <c r="N9272"/>
      <c r="O9272"/>
      <c r="P9272" s="216"/>
      <c r="Q9272" s="217"/>
      <c r="R9272" s="217"/>
      <c r="S9272" s="218"/>
    </row>
    <row r="9273" spans="13:19" ht="15" customHeight="1" x14ac:dyDescent="0.25">
      <c r="M9273"/>
      <c r="N9273"/>
      <c r="O9273"/>
      <c r="P9273" s="216"/>
      <c r="Q9273" s="217"/>
      <c r="R9273" s="217"/>
      <c r="S9273" s="218"/>
    </row>
    <row r="9274" spans="13:19" ht="15" customHeight="1" x14ac:dyDescent="0.25">
      <c r="M9274"/>
      <c r="N9274"/>
      <c r="O9274"/>
      <c r="P9274" s="216"/>
      <c r="Q9274" s="217"/>
      <c r="R9274" s="217"/>
      <c r="S9274" s="218"/>
    </row>
    <row r="9275" spans="13:19" ht="15" customHeight="1" x14ac:dyDescent="0.25">
      <c r="M9275"/>
      <c r="N9275"/>
      <c r="O9275"/>
      <c r="P9275" s="216"/>
      <c r="Q9275" s="217"/>
      <c r="R9275" s="217"/>
      <c r="S9275" s="218"/>
    </row>
    <row r="9276" spans="13:19" ht="15" customHeight="1" x14ac:dyDescent="0.25">
      <c r="M9276"/>
      <c r="N9276"/>
      <c r="O9276"/>
      <c r="P9276" s="216"/>
      <c r="Q9276" s="217"/>
      <c r="R9276" s="217"/>
      <c r="S9276" s="218"/>
    </row>
    <row r="9277" spans="13:19" ht="15" customHeight="1" x14ac:dyDescent="0.25">
      <c r="M9277"/>
      <c r="N9277"/>
      <c r="O9277"/>
      <c r="P9277" s="216"/>
      <c r="Q9277" s="217"/>
      <c r="R9277" s="217"/>
      <c r="S9277" s="218"/>
    </row>
    <row r="9278" spans="13:19" ht="15" customHeight="1" x14ac:dyDescent="0.25">
      <c r="M9278"/>
      <c r="N9278"/>
      <c r="O9278"/>
      <c r="P9278" s="216"/>
      <c r="Q9278" s="217"/>
      <c r="R9278" s="217"/>
      <c r="S9278" s="218"/>
    </row>
    <row r="9279" spans="13:19" ht="15" customHeight="1" x14ac:dyDescent="0.25">
      <c r="M9279"/>
      <c r="N9279"/>
      <c r="O9279"/>
      <c r="P9279" s="216"/>
      <c r="Q9279" s="217"/>
      <c r="R9279" s="217"/>
      <c r="S9279" s="218"/>
    </row>
    <row r="9280" spans="13:19" ht="15" customHeight="1" x14ac:dyDescent="0.25">
      <c r="M9280"/>
      <c r="N9280"/>
      <c r="O9280"/>
      <c r="P9280" s="216"/>
      <c r="Q9280" s="217"/>
      <c r="R9280" s="217"/>
      <c r="S9280" s="218"/>
    </row>
    <row r="9281" spans="13:19" ht="15" customHeight="1" x14ac:dyDescent="0.25">
      <c r="M9281"/>
      <c r="N9281"/>
      <c r="O9281"/>
      <c r="P9281" s="216"/>
      <c r="Q9281" s="217"/>
      <c r="R9281" s="217"/>
      <c r="S9281" s="218"/>
    </row>
    <row r="9282" spans="13:19" ht="15" customHeight="1" x14ac:dyDescent="0.25">
      <c r="M9282"/>
      <c r="N9282"/>
      <c r="O9282"/>
      <c r="P9282" s="216"/>
      <c r="Q9282" s="217"/>
      <c r="R9282" s="217"/>
      <c r="S9282" s="218"/>
    </row>
    <row r="9283" spans="13:19" ht="15" customHeight="1" x14ac:dyDescent="0.25">
      <c r="M9283"/>
      <c r="N9283"/>
      <c r="O9283"/>
      <c r="P9283" s="216"/>
      <c r="Q9283" s="217"/>
      <c r="R9283" s="217"/>
      <c r="S9283" s="218"/>
    </row>
    <row r="9284" spans="13:19" ht="15" customHeight="1" x14ac:dyDescent="0.25">
      <c r="M9284"/>
      <c r="N9284"/>
      <c r="O9284"/>
      <c r="P9284" s="216"/>
      <c r="Q9284" s="217"/>
      <c r="R9284" s="217"/>
      <c r="S9284" s="218"/>
    </row>
    <row r="9285" spans="13:19" ht="15" customHeight="1" x14ac:dyDescent="0.25">
      <c r="M9285"/>
      <c r="N9285"/>
      <c r="O9285"/>
      <c r="P9285" s="216"/>
      <c r="Q9285" s="217"/>
      <c r="R9285" s="217"/>
      <c r="S9285" s="218"/>
    </row>
    <row r="9286" spans="13:19" ht="15" customHeight="1" x14ac:dyDescent="0.25">
      <c r="M9286"/>
      <c r="N9286"/>
      <c r="O9286"/>
      <c r="P9286" s="216"/>
      <c r="Q9286" s="217"/>
      <c r="R9286" s="217"/>
      <c r="S9286" s="218"/>
    </row>
    <row r="9287" spans="13:19" ht="15" customHeight="1" x14ac:dyDescent="0.25">
      <c r="M9287"/>
      <c r="N9287"/>
      <c r="O9287"/>
      <c r="P9287" s="216"/>
      <c r="Q9287" s="217"/>
      <c r="R9287" s="217"/>
      <c r="S9287" s="218"/>
    </row>
    <row r="9288" spans="13:19" ht="15" customHeight="1" x14ac:dyDescent="0.25">
      <c r="M9288"/>
      <c r="N9288"/>
      <c r="O9288"/>
      <c r="P9288" s="216"/>
      <c r="Q9288" s="217"/>
      <c r="R9288" s="217"/>
      <c r="S9288" s="218"/>
    </row>
    <row r="9289" spans="13:19" ht="15" customHeight="1" x14ac:dyDescent="0.25">
      <c r="M9289"/>
      <c r="N9289"/>
      <c r="O9289"/>
      <c r="P9289" s="216"/>
      <c r="Q9289" s="217"/>
      <c r="R9289" s="217"/>
      <c r="S9289" s="218"/>
    </row>
    <row r="9290" spans="13:19" ht="15" customHeight="1" x14ac:dyDescent="0.25">
      <c r="M9290"/>
      <c r="N9290"/>
      <c r="O9290"/>
      <c r="P9290" s="216"/>
      <c r="Q9290" s="217"/>
      <c r="R9290" s="217"/>
      <c r="S9290" s="218"/>
    </row>
    <row r="9291" spans="13:19" ht="15" customHeight="1" x14ac:dyDescent="0.25">
      <c r="M9291"/>
      <c r="N9291"/>
      <c r="O9291"/>
      <c r="P9291" s="216"/>
      <c r="Q9291" s="217"/>
      <c r="R9291" s="217"/>
      <c r="S9291" s="218"/>
    </row>
    <row r="9292" spans="13:19" ht="15" customHeight="1" x14ac:dyDescent="0.25">
      <c r="M9292"/>
      <c r="N9292"/>
      <c r="O9292"/>
      <c r="P9292" s="216"/>
      <c r="Q9292" s="217"/>
      <c r="R9292" s="217"/>
      <c r="S9292" s="218"/>
    </row>
    <row r="9293" spans="13:19" ht="15" customHeight="1" x14ac:dyDescent="0.25">
      <c r="M9293"/>
      <c r="N9293"/>
      <c r="O9293"/>
      <c r="P9293" s="216"/>
      <c r="Q9293" s="217"/>
      <c r="R9293" s="217"/>
      <c r="S9293" s="218"/>
    </row>
    <row r="9294" spans="13:19" ht="15" customHeight="1" x14ac:dyDescent="0.25">
      <c r="M9294"/>
      <c r="N9294"/>
      <c r="O9294"/>
      <c r="P9294" s="216"/>
      <c r="Q9294" s="217"/>
      <c r="R9294" s="217"/>
      <c r="S9294" s="218"/>
    </row>
    <row r="9295" spans="13:19" ht="15" customHeight="1" x14ac:dyDescent="0.25">
      <c r="M9295"/>
      <c r="N9295"/>
      <c r="O9295"/>
      <c r="P9295" s="216"/>
      <c r="Q9295" s="217"/>
      <c r="R9295" s="217"/>
      <c r="S9295" s="218"/>
    </row>
    <row r="9296" spans="13:19" ht="15" customHeight="1" x14ac:dyDescent="0.25">
      <c r="M9296"/>
      <c r="N9296"/>
      <c r="O9296"/>
      <c r="P9296" s="216"/>
      <c r="Q9296" s="217"/>
      <c r="R9296" s="217"/>
      <c r="S9296" s="218"/>
    </row>
    <row r="9297" spans="13:19" ht="15" customHeight="1" x14ac:dyDescent="0.25">
      <c r="M9297"/>
      <c r="N9297"/>
      <c r="O9297"/>
      <c r="P9297" s="216"/>
      <c r="Q9297" s="217"/>
      <c r="R9297" s="217"/>
      <c r="S9297" s="218"/>
    </row>
    <row r="9298" spans="13:19" ht="15" customHeight="1" x14ac:dyDescent="0.25">
      <c r="M9298"/>
      <c r="N9298"/>
      <c r="O9298"/>
      <c r="P9298" s="216"/>
      <c r="Q9298" s="217"/>
      <c r="R9298" s="217"/>
      <c r="S9298" s="218"/>
    </row>
    <row r="9299" spans="13:19" ht="15" customHeight="1" x14ac:dyDescent="0.25">
      <c r="M9299"/>
      <c r="N9299"/>
      <c r="O9299"/>
      <c r="P9299" s="216"/>
      <c r="Q9299" s="217"/>
      <c r="R9299" s="217"/>
      <c r="S9299" s="218"/>
    </row>
    <row r="9300" spans="13:19" ht="15" customHeight="1" x14ac:dyDescent="0.25">
      <c r="M9300"/>
      <c r="N9300"/>
      <c r="O9300"/>
      <c r="P9300" s="216"/>
      <c r="Q9300" s="217"/>
      <c r="R9300" s="217"/>
      <c r="S9300" s="218"/>
    </row>
    <row r="9301" spans="13:19" ht="15" customHeight="1" x14ac:dyDescent="0.25">
      <c r="M9301"/>
      <c r="N9301"/>
      <c r="O9301"/>
      <c r="P9301" s="216"/>
      <c r="Q9301" s="217"/>
      <c r="R9301" s="217"/>
      <c r="S9301" s="218"/>
    </row>
    <row r="9302" spans="13:19" ht="15" customHeight="1" x14ac:dyDescent="0.25">
      <c r="M9302"/>
      <c r="N9302"/>
      <c r="O9302"/>
      <c r="P9302" s="216"/>
      <c r="Q9302" s="217"/>
      <c r="R9302" s="217"/>
      <c r="S9302" s="218"/>
    </row>
    <row r="9303" spans="13:19" ht="15" customHeight="1" x14ac:dyDescent="0.25">
      <c r="M9303"/>
      <c r="N9303"/>
      <c r="O9303"/>
      <c r="P9303" s="216"/>
      <c r="Q9303" s="217"/>
      <c r="R9303" s="217"/>
      <c r="S9303" s="218"/>
    </row>
    <row r="9304" spans="13:19" ht="15" customHeight="1" x14ac:dyDescent="0.25">
      <c r="M9304"/>
      <c r="N9304"/>
      <c r="O9304"/>
      <c r="P9304" s="216"/>
      <c r="Q9304" s="217"/>
      <c r="R9304" s="217"/>
      <c r="S9304" s="218"/>
    </row>
    <row r="9305" spans="13:19" ht="15" customHeight="1" x14ac:dyDescent="0.25">
      <c r="M9305"/>
      <c r="N9305"/>
      <c r="O9305"/>
      <c r="P9305" s="216"/>
      <c r="Q9305" s="217"/>
      <c r="R9305" s="217"/>
      <c r="S9305" s="218"/>
    </row>
    <row r="9306" spans="13:19" ht="15" customHeight="1" x14ac:dyDescent="0.25">
      <c r="M9306"/>
      <c r="N9306"/>
      <c r="O9306"/>
      <c r="P9306" s="216"/>
      <c r="Q9306" s="217"/>
      <c r="R9306" s="217"/>
      <c r="S9306" s="218"/>
    </row>
    <row r="9307" spans="13:19" ht="15" customHeight="1" x14ac:dyDescent="0.25">
      <c r="M9307"/>
      <c r="N9307"/>
      <c r="O9307"/>
      <c r="P9307" s="216"/>
      <c r="Q9307" s="217"/>
      <c r="R9307" s="217"/>
      <c r="S9307" s="218"/>
    </row>
    <row r="9308" spans="13:19" ht="15" customHeight="1" x14ac:dyDescent="0.25">
      <c r="M9308"/>
      <c r="N9308"/>
      <c r="O9308"/>
      <c r="P9308" s="216"/>
      <c r="Q9308" s="217"/>
      <c r="R9308" s="217"/>
      <c r="S9308" s="218"/>
    </row>
    <row r="9309" spans="13:19" ht="15" customHeight="1" x14ac:dyDescent="0.25">
      <c r="M9309"/>
      <c r="N9309"/>
      <c r="O9309"/>
      <c r="P9309" s="216"/>
      <c r="Q9309" s="217"/>
      <c r="R9309" s="217"/>
      <c r="S9309" s="218"/>
    </row>
    <row r="9310" spans="13:19" ht="15" customHeight="1" x14ac:dyDescent="0.25">
      <c r="M9310"/>
      <c r="N9310"/>
      <c r="O9310"/>
      <c r="P9310" s="216"/>
      <c r="Q9310" s="217"/>
      <c r="R9310" s="217"/>
      <c r="S9310" s="218"/>
    </row>
    <row r="9311" spans="13:19" ht="15" customHeight="1" x14ac:dyDescent="0.25">
      <c r="M9311"/>
      <c r="N9311"/>
      <c r="O9311"/>
      <c r="P9311" s="216"/>
      <c r="Q9311" s="217"/>
      <c r="R9311" s="217"/>
      <c r="S9311" s="218"/>
    </row>
    <row r="9312" spans="13:19" ht="15" customHeight="1" x14ac:dyDescent="0.25">
      <c r="M9312"/>
      <c r="N9312"/>
      <c r="O9312"/>
      <c r="P9312" s="216"/>
      <c r="Q9312" s="217"/>
      <c r="R9312" s="217"/>
      <c r="S9312" s="218"/>
    </row>
    <row r="9313" spans="13:19" ht="15" customHeight="1" x14ac:dyDescent="0.25">
      <c r="M9313"/>
      <c r="N9313"/>
      <c r="O9313"/>
      <c r="P9313" s="216"/>
      <c r="Q9313" s="217"/>
      <c r="R9313" s="217"/>
      <c r="S9313" s="218"/>
    </row>
    <row r="9314" spans="13:19" ht="15" customHeight="1" x14ac:dyDescent="0.25">
      <c r="M9314"/>
      <c r="N9314"/>
      <c r="O9314"/>
      <c r="P9314" s="216"/>
      <c r="Q9314" s="217"/>
      <c r="R9314" s="217"/>
      <c r="S9314" s="218"/>
    </row>
    <row r="9315" spans="13:19" ht="15" customHeight="1" x14ac:dyDescent="0.25">
      <c r="M9315"/>
      <c r="N9315"/>
      <c r="O9315"/>
      <c r="P9315" s="216"/>
      <c r="Q9315" s="217"/>
      <c r="R9315" s="217"/>
      <c r="S9315" s="218"/>
    </row>
    <row r="9316" spans="13:19" ht="15" customHeight="1" x14ac:dyDescent="0.25">
      <c r="M9316"/>
      <c r="N9316"/>
      <c r="O9316"/>
      <c r="P9316" s="216"/>
      <c r="Q9316" s="217"/>
      <c r="R9316" s="217"/>
      <c r="S9316" s="218"/>
    </row>
    <row r="9317" spans="13:19" ht="15" customHeight="1" x14ac:dyDescent="0.25">
      <c r="M9317"/>
      <c r="N9317"/>
      <c r="O9317"/>
      <c r="P9317" s="216"/>
      <c r="Q9317" s="217"/>
      <c r="R9317" s="217"/>
      <c r="S9317" s="218"/>
    </row>
    <row r="9318" spans="13:19" ht="15" customHeight="1" x14ac:dyDescent="0.25">
      <c r="M9318"/>
      <c r="N9318"/>
      <c r="O9318"/>
      <c r="P9318" s="216"/>
      <c r="Q9318" s="217"/>
      <c r="R9318" s="217"/>
      <c r="S9318" s="218"/>
    </row>
    <row r="9319" spans="13:19" ht="15" customHeight="1" x14ac:dyDescent="0.25">
      <c r="M9319"/>
      <c r="N9319"/>
      <c r="O9319"/>
      <c r="P9319" s="216"/>
      <c r="Q9319" s="217"/>
      <c r="R9319" s="217"/>
      <c r="S9319" s="218"/>
    </row>
    <row r="9320" spans="13:19" ht="15" customHeight="1" x14ac:dyDescent="0.25">
      <c r="M9320"/>
      <c r="N9320"/>
      <c r="O9320"/>
      <c r="P9320" s="216"/>
      <c r="Q9320" s="217"/>
      <c r="R9320" s="217"/>
      <c r="S9320" s="218"/>
    </row>
    <row r="9321" spans="13:19" ht="15" customHeight="1" x14ac:dyDescent="0.25">
      <c r="M9321"/>
      <c r="N9321"/>
      <c r="O9321"/>
      <c r="P9321" s="216"/>
      <c r="Q9321" s="217"/>
      <c r="R9321" s="217"/>
      <c r="S9321" s="218"/>
    </row>
    <row r="9322" spans="13:19" ht="15" customHeight="1" x14ac:dyDescent="0.25">
      <c r="M9322"/>
      <c r="N9322"/>
      <c r="O9322"/>
      <c r="P9322" s="216"/>
      <c r="Q9322" s="217"/>
      <c r="R9322" s="217"/>
      <c r="S9322" s="218"/>
    </row>
    <row r="9323" spans="13:19" ht="15" customHeight="1" x14ac:dyDescent="0.25">
      <c r="M9323"/>
      <c r="N9323"/>
      <c r="O9323"/>
      <c r="P9323" s="216"/>
      <c r="Q9323" s="217"/>
      <c r="R9323" s="217"/>
      <c r="S9323" s="218"/>
    </row>
    <row r="9324" spans="13:19" ht="15" customHeight="1" x14ac:dyDescent="0.25">
      <c r="M9324"/>
      <c r="N9324"/>
      <c r="O9324"/>
      <c r="P9324" s="216"/>
      <c r="Q9324" s="217"/>
      <c r="R9324" s="217"/>
      <c r="S9324" s="218"/>
    </row>
    <row r="9325" spans="13:19" ht="15" customHeight="1" x14ac:dyDescent="0.25">
      <c r="M9325"/>
      <c r="N9325"/>
      <c r="O9325"/>
      <c r="P9325" s="216"/>
      <c r="Q9325" s="217"/>
      <c r="R9325" s="217"/>
      <c r="S9325" s="218"/>
    </row>
    <row r="9326" spans="13:19" ht="15" customHeight="1" x14ac:dyDescent="0.25">
      <c r="M9326"/>
      <c r="N9326"/>
      <c r="O9326"/>
      <c r="P9326" s="216"/>
      <c r="Q9326" s="217"/>
      <c r="R9326" s="217"/>
      <c r="S9326" s="218"/>
    </row>
    <row r="9327" spans="13:19" ht="15" customHeight="1" x14ac:dyDescent="0.25">
      <c r="M9327"/>
      <c r="N9327"/>
      <c r="O9327"/>
      <c r="P9327" s="216"/>
      <c r="Q9327" s="217"/>
      <c r="R9327" s="217"/>
      <c r="S9327" s="218"/>
    </row>
    <row r="9328" spans="13:19" ht="15" customHeight="1" x14ac:dyDescent="0.25">
      <c r="M9328"/>
      <c r="N9328"/>
      <c r="O9328"/>
      <c r="P9328" s="216"/>
      <c r="Q9328" s="217"/>
      <c r="R9328" s="217"/>
      <c r="S9328" s="218"/>
    </row>
    <row r="9329" spans="13:19" ht="15" customHeight="1" x14ac:dyDescent="0.25">
      <c r="M9329"/>
      <c r="N9329"/>
      <c r="O9329"/>
      <c r="P9329" s="216"/>
      <c r="Q9329" s="217"/>
      <c r="R9329" s="217"/>
      <c r="S9329" s="218"/>
    </row>
    <row r="9330" spans="13:19" ht="15" customHeight="1" x14ac:dyDescent="0.25">
      <c r="M9330"/>
      <c r="N9330"/>
      <c r="O9330"/>
      <c r="P9330" s="216"/>
      <c r="Q9330" s="217"/>
      <c r="R9330" s="217"/>
      <c r="S9330" s="218"/>
    </row>
    <row r="9331" spans="13:19" ht="15" customHeight="1" x14ac:dyDescent="0.25">
      <c r="M9331"/>
      <c r="N9331"/>
      <c r="O9331"/>
      <c r="P9331" s="216"/>
      <c r="Q9331" s="217"/>
      <c r="R9331" s="217"/>
      <c r="S9331" s="218"/>
    </row>
    <row r="9332" spans="13:19" ht="15" customHeight="1" x14ac:dyDescent="0.25">
      <c r="M9332"/>
      <c r="N9332"/>
      <c r="O9332"/>
      <c r="P9332" s="216"/>
      <c r="Q9332" s="217"/>
      <c r="R9332" s="217"/>
      <c r="S9332" s="218"/>
    </row>
    <row r="9333" spans="13:19" ht="15" customHeight="1" x14ac:dyDescent="0.25">
      <c r="M9333"/>
      <c r="N9333"/>
      <c r="O9333"/>
      <c r="P9333" s="216"/>
      <c r="Q9333" s="217"/>
      <c r="R9333" s="217"/>
      <c r="S9333" s="218"/>
    </row>
    <row r="9334" spans="13:19" ht="15" customHeight="1" x14ac:dyDescent="0.25">
      <c r="M9334"/>
      <c r="N9334"/>
      <c r="O9334"/>
      <c r="P9334" s="216"/>
      <c r="Q9334" s="217"/>
      <c r="R9334" s="217"/>
      <c r="S9334" s="218"/>
    </row>
    <row r="9335" spans="13:19" ht="15" customHeight="1" x14ac:dyDescent="0.25">
      <c r="M9335"/>
      <c r="N9335"/>
      <c r="O9335"/>
      <c r="P9335" s="216"/>
      <c r="Q9335" s="217"/>
      <c r="R9335" s="217"/>
      <c r="S9335" s="218"/>
    </row>
    <row r="9336" spans="13:19" ht="15" customHeight="1" x14ac:dyDescent="0.25">
      <c r="M9336"/>
      <c r="N9336"/>
      <c r="O9336"/>
      <c r="P9336" s="216"/>
      <c r="Q9336" s="217"/>
      <c r="R9336" s="217"/>
      <c r="S9336" s="218"/>
    </row>
    <row r="9337" spans="13:19" ht="15" customHeight="1" x14ac:dyDescent="0.25">
      <c r="M9337"/>
      <c r="N9337"/>
      <c r="O9337"/>
      <c r="P9337" s="216"/>
      <c r="Q9337" s="217"/>
      <c r="R9337" s="217"/>
      <c r="S9337" s="218"/>
    </row>
    <row r="9338" spans="13:19" ht="15" customHeight="1" x14ac:dyDescent="0.25">
      <c r="M9338"/>
      <c r="N9338"/>
      <c r="O9338"/>
      <c r="P9338" s="216"/>
      <c r="Q9338" s="217"/>
      <c r="R9338" s="217"/>
      <c r="S9338" s="218"/>
    </row>
    <row r="9339" spans="13:19" ht="15" customHeight="1" x14ac:dyDescent="0.25">
      <c r="M9339"/>
      <c r="N9339"/>
      <c r="O9339"/>
      <c r="P9339" s="216"/>
      <c r="Q9339" s="217"/>
      <c r="R9339" s="217"/>
      <c r="S9339" s="218"/>
    </row>
    <row r="9340" spans="13:19" ht="15" customHeight="1" x14ac:dyDescent="0.25">
      <c r="M9340"/>
      <c r="N9340"/>
      <c r="O9340"/>
      <c r="P9340" s="216"/>
      <c r="Q9340" s="217"/>
      <c r="R9340" s="217"/>
      <c r="S9340" s="218"/>
    </row>
    <row r="9341" spans="13:19" ht="15" customHeight="1" x14ac:dyDescent="0.25">
      <c r="M9341"/>
      <c r="N9341"/>
      <c r="O9341"/>
      <c r="P9341" s="216"/>
      <c r="Q9341" s="217"/>
      <c r="R9341" s="217"/>
      <c r="S9341" s="218"/>
    </row>
    <row r="9342" spans="13:19" ht="15" customHeight="1" x14ac:dyDescent="0.25">
      <c r="M9342"/>
      <c r="N9342"/>
      <c r="O9342"/>
      <c r="P9342" s="216"/>
      <c r="Q9342" s="217"/>
      <c r="R9342" s="217"/>
      <c r="S9342" s="218"/>
    </row>
    <row r="9343" spans="13:19" ht="15" customHeight="1" x14ac:dyDescent="0.25">
      <c r="M9343"/>
      <c r="N9343"/>
      <c r="O9343"/>
      <c r="P9343" s="216"/>
      <c r="Q9343" s="217"/>
      <c r="R9343" s="217"/>
      <c r="S9343" s="218"/>
    </row>
    <row r="9344" spans="13:19" ht="15" customHeight="1" x14ac:dyDescent="0.25">
      <c r="M9344"/>
      <c r="N9344"/>
      <c r="O9344"/>
      <c r="P9344" s="216"/>
      <c r="Q9344" s="217"/>
      <c r="R9344" s="217"/>
      <c r="S9344" s="218"/>
    </row>
    <row r="9345" spans="13:19" ht="15" customHeight="1" x14ac:dyDescent="0.25">
      <c r="M9345"/>
      <c r="N9345"/>
      <c r="O9345"/>
      <c r="P9345" s="216"/>
      <c r="Q9345" s="217"/>
      <c r="R9345" s="217"/>
      <c r="S9345" s="218"/>
    </row>
    <row r="9346" spans="13:19" ht="15" customHeight="1" x14ac:dyDescent="0.25">
      <c r="M9346"/>
      <c r="N9346"/>
      <c r="O9346"/>
      <c r="P9346" s="216"/>
      <c r="Q9346" s="217"/>
      <c r="R9346" s="217"/>
      <c r="S9346" s="218"/>
    </row>
    <row r="9347" spans="13:19" ht="15" customHeight="1" x14ac:dyDescent="0.25">
      <c r="M9347"/>
      <c r="N9347"/>
      <c r="O9347"/>
      <c r="P9347" s="216"/>
      <c r="Q9347" s="217"/>
      <c r="R9347" s="217"/>
      <c r="S9347" s="218"/>
    </row>
    <row r="9348" spans="13:19" ht="15" customHeight="1" x14ac:dyDescent="0.25">
      <c r="M9348"/>
      <c r="N9348"/>
      <c r="O9348"/>
      <c r="P9348" s="216"/>
      <c r="Q9348" s="217"/>
      <c r="R9348" s="217"/>
      <c r="S9348" s="218"/>
    </row>
    <row r="9349" spans="13:19" ht="15" customHeight="1" x14ac:dyDescent="0.25">
      <c r="M9349"/>
      <c r="N9349"/>
      <c r="O9349"/>
      <c r="P9349" s="216"/>
      <c r="Q9349" s="217"/>
      <c r="R9349" s="217"/>
      <c r="S9349" s="218"/>
    </row>
    <row r="9350" spans="13:19" ht="15" customHeight="1" x14ac:dyDescent="0.25">
      <c r="M9350"/>
      <c r="N9350"/>
      <c r="O9350"/>
      <c r="P9350" s="216"/>
      <c r="Q9350" s="217"/>
      <c r="R9350" s="217"/>
      <c r="S9350" s="218"/>
    </row>
    <row r="9351" spans="13:19" ht="15" customHeight="1" x14ac:dyDescent="0.25">
      <c r="M9351"/>
      <c r="N9351"/>
      <c r="O9351"/>
      <c r="P9351" s="216"/>
      <c r="Q9351" s="217"/>
      <c r="R9351" s="217"/>
      <c r="S9351" s="218"/>
    </row>
    <row r="9352" spans="13:19" ht="15" customHeight="1" x14ac:dyDescent="0.25">
      <c r="M9352"/>
      <c r="N9352"/>
      <c r="O9352"/>
      <c r="P9352" s="216"/>
      <c r="Q9352" s="217"/>
      <c r="R9352" s="217"/>
      <c r="S9352" s="218"/>
    </row>
    <row r="9353" spans="13:19" ht="15" customHeight="1" x14ac:dyDescent="0.25">
      <c r="M9353"/>
      <c r="N9353"/>
      <c r="O9353"/>
      <c r="P9353" s="216"/>
      <c r="Q9353" s="217"/>
      <c r="R9353" s="217"/>
      <c r="S9353" s="218"/>
    </row>
    <row r="9354" spans="13:19" ht="15" customHeight="1" x14ac:dyDescent="0.25">
      <c r="M9354"/>
      <c r="N9354"/>
      <c r="O9354"/>
      <c r="P9354" s="216"/>
      <c r="Q9354" s="217"/>
      <c r="R9354" s="217"/>
      <c r="S9354" s="218"/>
    </row>
    <row r="9355" spans="13:19" ht="15" customHeight="1" x14ac:dyDescent="0.25">
      <c r="M9355"/>
      <c r="N9355"/>
      <c r="O9355"/>
      <c r="P9355" s="216"/>
      <c r="Q9355" s="217"/>
      <c r="R9355" s="217"/>
      <c r="S9355" s="218"/>
    </row>
    <row r="9356" spans="13:19" ht="15" customHeight="1" x14ac:dyDescent="0.25">
      <c r="M9356"/>
      <c r="N9356"/>
      <c r="O9356"/>
      <c r="P9356" s="216"/>
      <c r="Q9356" s="217"/>
      <c r="R9356" s="217"/>
      <c r="S9356" s="218"/>
    </row>
    <row r="9357" spans="13:19" ht="15" customHeight="1" x14ac:dyDescent="0.25">
      <c r="M9357"/>
      <c r="N9357"/>
      <c r="O9357"/>
      <c r="P9357" s="216"/>
      <c r="Q9357" s="217"/>
      <c r="R9357" s="217"/>
      <c r="S9357" s="218"/>
    </row>
    <row r="9358" spans="13:19" ht="15" customHeight="1" x14ac:dyDescent="0.25">
      <c r="M9358"/>
      <c r="N9358"/>
      <c r="O9358"/>
      <c r="P9358" s="216"/>
      <c r="Q9358" s="217"/>
      <c r="R9358" s="217"/>
      <c r="S9358" s="218"/>
    </row>
    <row r="9359" spans="13:19" ht="15" customHeight="1" x14ac:dyDescent="0.25">
      <c r="M9359"/>
      <c r="N9359"/>
      <c r="O9359"/>
      <c r="P9359" s="216"/>
      <c r="Q9359" s="217"/>
      <c r="R9359" s="217"/>
      <c r="S9359" s="218"/>
    </row>
    <row r="9360" spans="13:19" ht="15" customHeight="1" x14ac:dyDescent="0.25">
      <c r="M9360"/>
      <c r="N9360"/>
      <c r="O9360"/>
      <c r="P9360" s="216"/>
      <c r="Q9360" s="217"/>
      <c r="R9360" s="217"/>
      <c r="S9360" s="218"/>
    </row>
    <row r="9361" spans="13:19" ht="15" customHeight="1" x14ac:dyDescent="0.25">
      <c r="M9361"/>
      <c r="N9361"/>
      <c r="O9361"/>
      <c r="P9361" s="216"/>
      <c r="Q9361" s="217"/>
      <c r="R9361" s="217"/>
      <c r="S9361" s="218"/>
    </row>
    <row r="9362" spans="13:19" ht="15" customHeight="1" x14ac:dyDescent="0.25">
      <c r="M9362"/>
      <c r="N9362"/>
      <c r="O9362"/>
      <c r="P9362" s="216"/>
      <c r="Q9362" s="217"/>
      <c r="R9362" s="217"/>
      <c r="S9362" s="218"/>
    </row>
    <row r="9363" spans="13:19" ht="15" customHeight="1" x14ac:dyDescent="0.25">
      <c r="M9363"/>
      <c r="N9363"/>
      <c r="O9363"/>
      <c r="P9363" s="216"/>
      <c r="Q9363" s="217"/>
      <c r="R9363" s="217"/>
      <c r="S9363" s="218"/>
    </row>
    <row r="9364" spans="13:19" ht="15" customHeight="1" x14ac:dyDescent="0.25">
      <c r="M9364"/>
      <c r="N9364"/>
      <c r="O9364"/>
      <c r="P9364" s="216"/>
      <c r="Q9364" s="217"/>
      <c r="R9364" s="217"/>
      <c r="S9364" s="218"/>
    </row>
    <row r="9365" spans="13:19" ht="15" customHeight="1" x14ac:dyDescent="0.25">
      <c r="M9365"/>
      <c r="N9365"/>
      <c r="O9365"/>
      <c r="P9365" s="216"/>
      <c r="Q9365" s="217"/>
      <c r="R9365" s="217"/>
      <c r="S9365" s="218"/>
    </row>
    <row r="9366" spans="13:19" ht="15" customHeight="1" x14ac:dyDescent="0.25">
      <c r="M9366"/>
      <c r="N9366"/>
      <c r="O9366"/>
      <c r="P9366" s="216"/>
      <c r="Q9366" s="217"/>
      <c r="R9366" s="217"/>
      <c r="S9366" s="218"/>
    </row>
    <row r="9367" spans="13:19" ht="15" customHeight="1" x14ac:dyDescent="0.25">
      <c r="M9367"/>
      <c r="N9367"/>
      <c r="O9367"/>
      <c r="P9367" s="216"/>
      <c r="Q9367" s="217"/>
      <c r="R9367" s="217"/>
      <c r="S9367" s="218"/>
    </row>
    <row r="9368" spans="13:19" ht="15" customHeight="1" x14ac:dyDescent="0.25">
      <c r="M9368"/>
      <c r="N9368"/>
      <c r="O9368"/>
      <c r="P9368" s="216"/>
      <c r="Q9368" s="217"/>
      <c r="R9368" s="217"/>
      <c r="S9368" s="218"/>
    </row>
    <row r="9369" spans="13:19" ht="15" customHeight="1" x14ac:dyDescent="0.25">
      <c r="M9369"/>
      <c r="N9369"/>
      <c r="O9369"/>
      <c r="P9369" s="216"/>
      <c r="Q9369" s="217"/>
      <c r="R9369" s="217"/>
      <c r="S9369" s="218"/>
    </row>
    <row r="9370" spans="13:19" ht="15" customHeight="1" x14ac:dyDescent="0.25">
      <c r="M9370"/>
      <c r="N9370"/>
      <c r="O9370"/>
      <c r="P9370" s="216"/>
      <c r="Q9370" s="217"/>
      <c r="R9370" s="217"/>
      <c r="S9370" s="218"/>
    </row>
    <row r="9371" spans="13:19" ht="15" customHeight="1" x14ac:dyDescent="0.25">
      <c r="M9371"/>
      <c r="N9371"/>
      <c r="O9371"/>
      <c r="P9371" s="216"/>
      <c r="Q9371" s="217"/>
      <c r="R9371" s="217"/>
      <c r="S9371" s="218"/>
    </row>
    <row r="9372" spans="13:19" ht="15" customHeight="1" x14ac:dyDescent="0.25">
      <c r="M9372"/>
      <c r="N9372"/>
      <c r="O9372"/>
      <c r="P9372" s="216"/>
      <c r="Q9372" s="217"/>
      <c r="R9372" s="217"/>
      <c r="S9372" s="218"/>
    </row>
    <row r="9373" spans="13:19" ht="15" customHeight="1" x14ac:dyDescent="0.25">
      <c r="M9373"/>
      <c r="N9373"/>
      <c r="O9373"/>
      <c r="P9373" s="216"/>
      <c r="Q9373" s="217"/>
      <c r="R9373" s="217"/>
      <c r="S9373" s="218"/>
    </row>
    <row r="9374" spans="13:19" ht="15" customHeight="1" x14ac:dyDescent="0.25">
      <c r="M9374"/>
      <c r="N9374"/>
      <c r="O9374"/>
      <c r="P9374" s="216"/>
      <c r="Q9374" s="217"/>
      <c r="R9374" s="217"/>
      <c r="S9374" s="218"/>
    </row>
    <row r="9375" spans="13:19" ht="15" customHeight="1" x14ac:dyDescent="0.25">
      <c r="M9375"/>
      <c r="N9375"/>
      <c r="O9375"/>
      <c r="P9375" s="216"/>
      <c r="Q9375" s="217"/>
      <c r="R9375" s="217"/>
      <c r="S9375" s="218"/>
    </row>
    <row r="9376" spans="13:19" ht="15" customHeight="1" x14ac:dyDescent="0.25">
      <c r="M9376"/>
      <c r="N9376"/>
      <c r="O9376"/>
      <c r="P9376" s="216"/>
      <c r="Q9376" s="217"/>
      <c r="R9376" s="217"/>
      <c r="S9376" s="218"/>
    </row>
    <row r="9377" spans="13:19" ht="15" customHeight="1" x14ac:dyDescent="0.25">
      <c r="M9377"/>
      <c r="N9377"/>
      <c r="O9377"/>
      <c r="P9377" s="216"/>
      <c r="Q9377" s="217"/>
      <c r="R9377" s="217"/>
      <c r="S9377" s="218"/>
    </row>
    <row r="9378" spans="13:19" ht="15" customHeight="1" x14ac:dyDescent="0.25">
      <c r="M9378"/>
      <c r="N9378"/>
      <c r="O9378"/>
      <c r="P9378" s="216"/>
      <c r="Q9378" s="217"/>
      <c r="R9378" s="217"/>
      <c r="S9378" s="218"/>
    </row>
    <row r="9379" spans="13:19" ht="15" customHeight="1" x14ac:dyDescent="0.25">
      <c r="M9379"/>
      <c r="N9379"/>
      <c r="O9379"/>
      <c r="P9379" s="216"/>
      <c r="Q9379" s="217"/>
      <c r="R9379" s="217"/>
      <c r="S9379" s="218"/>
    </row>
    <row r="9380" spans="13:19" ht="15" customHeight="1" x14ac:dyDescent="0.25">
      <c r="M9380"/>
      <c r="N9380"/>
      <c r="O9380"/>
      <c r="P9380" s="216"/>
      <c r="Q9380" s="217"/>
      <c r="R9380" s="217"/>
      <c r="S9380" s="218"/>
    </row>
    <row r="9381" spans="13:19" ht="15" customHeight="1" x14ac:dyDescent="0.25">
      <c r="M9381"/>
      <c r="N9381"/>
      <c r="O9381"/>
      <c r="P9381" s="216"/>
      <c r="Q9381" s="217"/>
      <c r="R9381" s="217"/>
      <c r="S9381" s="218"/>
    </row>
    <row r="9382" spans="13:19" ht="15" customHeight="1" x14ac:dyDescent="0.25">
      <c r="M9382"/>
      <c r="N9382"/>
      <c r="O9382"/>
      <c r="P9382" s="216"/>
      <c r="Q9382" s="217"/>
      <c r="R9382" s="217"/>
      <c r="S9382" s="218"/>
    </row>
    <row r="9383" spans="13:19" ht="15" customHeight="1" x14ac:dyDescent="0.25">
      <c r="M9383"/>
      <c r="N9383"/>
      <c r="O9383"/>
      <c r="P9383" s="216"/>
      <c r="Q9383" s="217"/>
      <c r="R9383" s="217"/>
      <c r="S9383" s="218"/>
    </row>
    <row r="9384" spans="13:19" ht="15" customHeight="1" x14ac:dyDescent="0.25">
      <c r="M9384"/>
      <c r="N9384"/>
      <c r="O9384"/>
      <c r="P9384" s="216"/>
      <c r="Q9384" s="217"/>
      <c r="R9384" s="217"/>
      <c r="S9384" s="218"/>
    </row>
    <row r="9385" spans="13:19" ht="15" customHeight="1" x14ac:dyDescent="0.25">
      <c r="M9385"/>
      <c r="N9385"/>
      <c r="O9385"/>
      <c r="P9385" s="216"/>
      <c r="Q9385" s="217"/>
      <c r="R9385" s="217"/>
      <c r="S9385" s="218"/>
    </row>
    <row r="9386" spans="13:19" ht="15" customHeight="1" x14ac:dyDescent="0.25">
      <c r="M9386"/>
      <c r="N9386"/>
      <c r="O9386"/>
      <c r="P9386" s="216"/>
      <c r="Q9386" s="217"/>
      <c r="R9386" s="217"/>
      <c r="S9386" s="218"/>
    </row>
    <row r="9387" spans="13:19" ht="15" customHeight="1" x14ac:dyDescent="0.25">
      <c r="M9387"/>
      <c r="N9387"/>
      <c r="O9387"/>
      <c r="P9387" s="216"/>
      <c r="Q9387" s="217"/>
      <c r="R9387" s="217"/>
      <c r="S9387" s="218"/>
    </row>
    <row r="9388" spans="13:19" ht="15" customHeight="1" x14ac:dyDescent="0.25">
      <c r="M9388"/>
      <c r="N9388"/>
      <c r="O9388"/>
      <c r="P9388" s="216"/>
      <c r="Q9388" s="217"/>
      <c r="R9388" s="217"/>
      <c r="S9388" s="218"/>
    </row>
    <row r="9389" spans="13:19" ht="15" customHeight="1" x14ac:dyDescent="0.25">
      <c r="M9389"/>
      <c r="N9389"/>
      <c r="O9389"/>
      <c r="P9389" s="216"/>
      <c r="Q9389" s="217"/>
      <c r="R9389" s="217"/>
      <c r="S9389" s="218"/>
    </row>
    <row r="9390" spans="13:19" ht="15" customHeight="1" x14ac:dyDescent="0.25">
      <c r="M9390"/>
      <c r="N9390"/>
      <c r="O9390"/>
      <c r="P9390" s="216"/>
      <c r="Q9390" s="217"/>
      <c r="R9390" s="217"/>
      <c r="S9390" s="218"/>
    </row>
    <row r="9391" spans="13:19" ht="15" customHeight="1" x14ac:dyDescent="0.25">
      <c r="M9391"/>
      <c r="N9391"/>
      <c r="O9391"/>
      <c r="P9391" s="216"/>
      <c r="Q9391" s="217"/>
      <c r="R9391" s="217"/>
      <c r="S9391" s="218"/>
    </row>
    <row r="9392" spans="13:19" ht="15" customHeight="1" x14ac:dyDescent="0.25">
      <c r="M9392"/>
      <c r="N9392"/>
      <c r="O9392"/>
      <c r="P9392" s="216"/>
      <c r="Q9392" s="217"/>
      <c r="R9392" s="217"/>
      <c r="S9392" s="218"/>
    </row>
    <row r="9393" spans="13:19" ht="15" customHeight="1" x14ac:dyDescent="0.25">
      <c r="M9393"/>
      <c r="N9393"/>
      <c r="O9393"/>
      <c r="P9393" s="216"/>
      <c r="Q9393" s="217"/>
      <c r="R9393" s="217"/>
      <c r="S9393" s="218"/>
    </row>
    <row r="9394" spans="13:19" ht="15" customHeight="1" x14ac:dyDescent="0.25">
      <c r="M9394"/>
      <c r="N9394"/>
      <c r="O9394"/>
      <c r="P9394" s="216"/>
      <c r="Q9394" s="217"/>
      <c r="R9394" s="217"/>
      <c r="S9394" s="218"/>
    </row>
    <row r="9395" spans="13:19" ht="15" customHeight="1" x14ac:dyDescent="0.25">
      <c r="M9395"/>
      <c r="N9395"/>
      <c r="O9395"/>
      <c r="P9395" s="216"/>
      <c r="Q9395" s="217"/>
      <c r="R9395" s="217"/>
      <c r="S9395" s="218"/>
    </row>
    <row r="9396" spans="13:19" ht="15" customHeight="1" x14ac:dyDescent="0.25">
      <c r="M9396"/>
      <c r="N9396"/>
      <c r="O9396"/>
      <c r="P9396" s="216"/>
      <c r="Q9396" s="217"/>
      <c r="R9396" s="217"/>
      <c r="S9396" s="218"/>
    </row>
    <row r="9397" spans="13:19" ht="15" customHeight="1" x14ac:dyDescent="0.25">
      <c r="M9397"/>
      <c r="N9397"/>
      <c r="O9397"/>
      <c r="P9397" s="216"/>
      <c r="Q9397" s="217"/>
      <c r="R9397" s="217"/>
      <c r="S9397" s="218"/>
    </row>
    <row r="9398" spans="13:19" ht="15" customHeight="1" x14ac:dyDescent="0.25">
      <c r="M9398"/>
      <c r="N9398"/>
      <c r="O9398"/>
      <c r="P9398" s="216"/>
      <c r="Q9398" s="217"/>
      <c r="R9398" s="217"/>
      <c r="S9398" s="218"/>
    </row>
    <row r="9399" spans="13:19" ht="15" customHeight="1" x14ac:dyDescent="0.25">
      <c r="M9399"/>
      <c r="N9399"/>
      <c r="O9399"/>
      <c r="P9399" s="216"/>
      <c r="Q9399" s="217"/>
      <c r="R9399" s="217"/>
      <c r="S9399" s="218"/>
    </row>
    <row r="9400" spans="13:19" ht="15" customHeight="1" x14ac:dyDescent="0.25">
      <c r="M9400"/>
      <c r="N9400"/>
      <c r="O9400"/>
      <c r="P9400" s="216"/>
      <c r="Q9400" s="217"/>
      <c r="R9400" s="217"/>
      <c r="S9400" s="218"/>
    </row>
    <row r="9401" spans="13:19" ht="15" customHeight="1" x14ac:dyDescent="0.25">
      <c r="M9401"/>
      <c r="N9401"/>
      <c r="O9401"/>
      <c r="P9401" s="216"/>
      <c r="Q9401" s="217"/>
      <c r="R9401" s="217"/>
      <c r="S9401" s="218"/>
    </row>
    <row r="9402" spans="13:19" ht="15" customHeight="1" x14ac:dyDescent="0.25">
      <c r="M9402"/>
      <c r="N9402"/>
      <c r="O9402"/>
      <c r="P9402" s="216"/>
      <c r="Q9402" s="217"/>
      <c r="R9402" s="217"/>
      <c r="S9402" s="218"/>
    </row>
    <row r="9403" spans="13:19" ht="15" customHeight="1" x14ac:dyDescent="0.25">
      <c r="M9403"/>
      <c r="N9403"/>
      <c r="O9403"/>
      <c r="P9403" s="216"/>
      <c r="Q9403" s="217"/>
      <c r="R9403" s="217"/>
      <c r="S9403" s="218"/>
    </row>
    <row r="9404" spans="13:19" ht="15" customHeight="1" x14ac:dyDescent="0.25">
      <c r="M9404"/>
      <c r="N9404"/>
      <c r="O9404"/>
      <c r="P9404" s="216"/>
      <c r="Q9404" s="217"/>
      <c r="R9404" s="217"/>
      <c r="S9404" s="218"/>
    </row>
    <row r="9405" spans="13:19" ht="15" customHeight="1" x14ac:dyDescent="0.25">
      <c r="M9405"/>
      <c r="N9405"/>
      <c r="O9405"/>
      <c r="P9405" s="216"/>
      <c r="Q9405" s="217"/>
      <c r="R9405" s="217"/>
      <c r="S9405" s="218"/>
    </row>
    <row r="9406" spans="13:19" ht="15" customHeight="1" x14ac:dyDescent="0.25">
      <c r="M9406"/>
      <c r="N9406"/>
      <c r="O9406"/>
      <c r="P9406" s="216"/>
      <c r="Q9406" s="217"/>
      <c r="R9406" s="217"/>
      <c r="S9406" s="218"/>
    </row>
    <row r="9407" spans="13:19" ht="15" customHeight="1" x14ac:dyDescent="0.25">
      <c r="M9407"/>
      <c r="N9407"/>
      <c r="O9407"/>
      <c r="P9407" s="216"/>
      <c r="Q9407" s="217"/>
      <c r="R9407" s="217"/>
      <c r="S9407" s="218"/>
    </row>
    <row r="9408" spans="13:19" ht="15" customHeight="1" x14ac:dyDescent="0.25">
      <c r="M9408"/>
      <c r="N9408"/>
      <c r="O9408"/>
      <c r="P9408" s="216"/>
      <c r="Q9408" s="217"/>
      <c r="R9408" s="217"/>
      <c r="S9408" s="218"/>
    </row>
    <row r="9409" spans="13:19" ht="15" customHeight="1" x14ac:dyDescent="0.25">
      <c r="M9409"/>
      <c r="N9409"/>
      <c r="O9409"/>
      <c r="P9409" s="216"/>
      <c r="Q9409" s="217"/>
      <c r="R9409" s="217"/>
      <c r="S9409" s="218"/>
    </row>
    <row r="9410" spans="13:19" ht="15" customHeight="1" x14ac:dyDescent="0.25">
      <c r="M9410"/>
      <c r="N9410"/>
      <c r="O9410"/>
      <c r="P9410" s="216"/>
      <c r="Q9410" s="217"/>
      <c r="R9410" s="217"/>
      <c r="S9410" s="218"/>
    </row>
    <row r="9411" spans="13:19" ht="15" customHeight="1" x14ac:dyDescent="0.25">
      <c r="M9411"/>
      <c r="N9411"/>
      <c r="O9411"/>
      <c r="P9411" s="216"/>
      <c r="Q9411" s="217"/>
      <c r="R9411" s="217"/>
      <c r="S9411" s="218"/>
    </row>
    <row r="9412" spans="13:19" ht="15" customHeight="1" x14ac:dyDescent="0.25">
      <c r="M9412"/>
      <c r="N9412"/>
      <c r="O9412"/>
      <c r="P9412" s="216"/>
      <c r="Q9412" s="217"/>
      <c r="R9412" s="217"/>
      <c r="S9412" s="218"/>
    </row>
    <row r="9413" spans="13:19" ht="15" customHeight="1" x14ac:dyDescent="0.25">
      <c r="M9413"/>
      <c r="N9413"/>
      <c r="O9413"/>
      <c r="P9413" s="216"/>
      <c r="Q9413" s="217"/>
      <c r="R9413" s="217"/>
      <c r="S9413" s="218"/>
    </row>
    <row r="9414" spans="13:19" ht="15" customHeight="1" x14ac:dyDescent="0.25">
      <c r="M9414"/>
      <c r="N9414"/>
      <c r="O9414"/>
      <c r="P9414" s="216"/>
      <c r="Q9414" s="217"/>
      <c r="R9414" s="217"/>
      <c r="S9414" s="218"/>
    </row>
    <row r="9415" spans="13:19" ht="15" customHeight="1" x14ac:dyDescent="0.25">
      <c r="M9415"/>
      <c r="N9415"/>
      <c r="O9415"/>
      <c r="P9415" s="216"/>
      <c r="Q9415" s="217"/>
      <c r="R9415" s="217"/>
      <c r="S9415" s="218"/>
    </row>
    <row r="9416" spans="13:19" ht="15" customHeight="1" x14ac:dyDescent="0.25">
      <c r="M9416"/>
      <c r="N9416"/>
      <c r="O9416"/>
      <c r="P9416" s="216"/>
      <c r="Q9416" s="217"/>
      <c r="R9416" s="217"/>
      <c r="S9416" s="218"/>
    </row>
    <row r="9417" spans="13:19" ht="15" customHeight="1" x14ac:dyDescent="0.25">
      <c r="M9417"/>
      <c r="N9417"/>
      <c r="O9417"/>
      <c r="P9417" s="216"/>
      <c r="Q9417" s="217"/>
      <c r="R9417" s="217"/>
      <c r="S9417" s="218"/>
    </row>
    <row r="9418" spans="13:19" ht="15" customHeight="1" x14ac:dyDescent="0.25">
      <c r="M9418"/>
      <c r="N9418"/>
      <c r="O9418"/>
      <c r="P9418" s="216"/>
      <c r="Q9418" s="217"/>
      <c r="R9418" s="217"/>
      <c r="S9418" s="218"/>
    </row>
    <row r="9419" spans="13:19" ht="15" customHeight="1" x14ac:dyDescent="0.25">
      <c r="M9419"/>
      <c r="N9419"/>
      <c r="O9419"/>
      <c r="P9419" s="216"/>
      <c r="Q9419" s="217"/>
      <c r="R9419" s="217"/>
      <c r="S9419" s="218"/>
    </row>
    <row r="9420" spans="13:19" ht="15" customHeight="1" x14ac:dyDescent="0.25">
      <c r="M9420"/>
      <c r="N9420"/>
      <c r="O9420"/>
      <c r="P9420" s="216"/>
      <c r="Q9420" s="217"/>
      <c r="R9420" s="217"/>
      <c r="S9420" s="218"/>
    </row>
    <row r="9421" spans="13:19" ht="15" customHeight="1" x14ac:dyDescent="0.25">
      <c r="M9421"/>
      <c r="N9421"/>
      <c r="O9421"/>
      <c r="P9421" s="216"/>
      <c r="Q9421" s="217"/>
      <c r="R9421" s="217"/>
      <c r="S9421" s="218"/>
    </row>
    <row r="9422" spans="13:19" ht="15" customHeight="1" x14ac:dyDescent="0.25">
      <c r="M9422"/>
      <c r="N9422"/>
      <c r="O9422"/>
      <c r="P9422" s="216"/>
      <c r="Q9422" s="217"/>
      <c r="R9422" s="217"/>
      <c r="S9422" s="218"/>
    </row>
    <row r="9423" spans="13:19" ht="15" customHeight="1" x14ac:dyDescent="0.25">
      <c r="M9423"/>
      <c r="N9423"/>
      <c r="O9423"/>
      <c r="P9423" s="216"/>
      <c r="Q9423" s="217"/>
      <c r="R9423" s="217"/>
      <c r="S9423" s="218"/>
    </row>
    <row r="9424" spans="13:19" ht="15" customHeight="1" x14ac:dyDescent="0.25">
      <c r="M9424"/>
      <c r="N9424"/>
      <c r="O9424"/>
      <c r="P9424" s="216"/>
      <c r="Q9424" s="217"/>
      <c r="R9424" s="217"/>
      <c r="S9424" s="218"/>
    </row>
    <row r="9425" spans="13:19" ht="15" customHeight="1" x14ac:dyDescent="0.25">
      <c r="M9425"/>
      <c r="N9425"/>
      <c r="O9425"/>
      <c r="P9425" s="216"/>
      <c r="Q9425" s="217"/>
      <c r="R9425" s="217"/>
      <c r="S9425" s="218"/>
    </row>
    <row r="9426" spans="13:19" ht="15" customHeight="1" x14ac:dyDescent="0.25">
      <c r="M9426"/>
      <c r="N9426"/>
      <c r="O9426"/>
      <c r="P9426" s="216"/>
      <c r="Q9426" s="217"/>
      <c r="R9426" s="217"/>
      <c r="S9426" s="218"/>
    </row>
    <row r="9427" spans="13:19" ht="15" customHeight="1" x14ac:dyDescent="0.25">
      <c r="M9427"/>
      <c r="N9427"/>
      <c r="O9427"/>
      <c r="P9427" s="216"/>
      <c r="Q9427" s="217"/>
      <c r="R9427" s="217"/>
      <c r="S9427" s="218"/>
    </row>
    <row r="9428" spans="13:19" ht="15" customHeight="1" x14ac:dyDescent="0.25">
      <c r="M9428"/>
      <c r="N9428"/>
      <c r="O9428"/>
      <c r="P9428" s="216"/>
      <c r="Q9428" s="217"/>
      <c r="R9428" s="217"/>
      <c r="S9428" s="218"/>
    </row>
    <row r="9429" spans="13:19" ht="15" customHeight="1" x14ac:dyDescent="0.25">
      <c r="M9429"/>
      <c r="N9429"/>
      <c r="O9429"/>
      <c r="P9429" s="216"/>
      <c r="Q9429" s="217"/>
      <c r="R9429" s="217"/>
      <c r="S9429" s="218"/>
    </row>
    <row r="9430" spans="13:19" ht="15" customHeight="1" x14ac:dyDescent="0.25">
      <c r="M9430"/>
      <c r="N9430"/>
      <c r="O9430"/>
      <c r="P9430" s="216"/>
      <c r="Q9430" s="217"/>
      <c r="R9430" s="217"/>
      <c r="S9430" s="218"/>
    </row>
    <row r="9431" spans="13:19" ht="15" customHeight="1" x14ac:dyDescent="0.25">
      <c r="M9431"/>
      <c r="N9431"/>
      <c r="O9431"/>
      <c r="P9431" s="216"/>
      <c r="Q9431" s="217"/>
      <c r="R9431" s="217"/>
      <c r="S9431" s="218"/>
    </row>
    <row r="9432" spans="13:19" ht="15" customHeight="1" x14ac:dyDescent="0.25">
      <c r="M9432"/>
      <c r="N9432"/>
      <c r="O9432"/>
      <c r="P9432" s="216"/>
      <c r="Q9432" s="217"/>
      <c r="R9432" s="217"/>
      <c r="S9432" s="218"/>
    </row>
    <row r="9433" spans="13:19" ht="15" customHeight="1" x14ac:dyDescent="0.25">
      <c r="M9433"/>
      <c r="N9433"/>
      <c r="O9433"/>
      <c r="P9433" s="216"/>
      <c r="Q9433" s="217"/>
      <c r="R9433" s="217"/>
      <c r="S9433" s="218"/>
    </row>
    <row r="9434" spans="13:19" ht="15" customHeight="1" x14ac:dyDescent="0.25">
      <c r="M9434"/>
      <c r="N9434"/>
      <c r="O9434"/>
      <c r="P9434" s="216"/>
      <c r="Q9434" s="217"/>
      <c r="R9434" s="217"/>
      <c r="S9434" s="218"/>
    </row>
    <row r="9435" spans="13:19" ht="15" customHeight="1" x14ac:dyDescent="0.25">
      <c r="M9435"/>
      <c r="N9435"/>
      <c r="O9435"/>
      <c r="P9435" s="216"/>
      <c r="Q9435" s="217"/>
      <c r="R9435" s="217"/>
      <c r="S9435" s="218"/>
    </row>
    <row r="9436" spans="13:19" ht="15" customHeight="1" x14ac:dyDescent="0.25">
      <c r="M9436"/>
      <c r="N9436"/>
      <c r="O9436"/>
      <c r="P9436" s="216"/>
      <c r="Q9436" s="217"/>
      <c r="R9436" s="217"/>
      <c r="S9436" s="218"/>
    </row>
    <row r="9437" spans="13:19" ht="15" customHeight="1" x14ac:dyDescent="0.25">
      <c r="M9437"/>
      <c r="N9437"/>
      <c r="O9437"/>
      <c r="P9437" s="216"/>
      <c r="Q9437" s="217"/>
      <c r="R9437" s="217"/>
      <c r="S9437" s="218"/>
    </row>
    <row r="9438" spans="13:19" ht="15" customHeight="1" x14ac:dyDescent="0.25">
      <c r="M9438"/>
      <c r="N9438"/>
      <c r="O9438"/>
      <c r="P9438" s="216"/>
      <c r="Q9438" s="217"/>
      <c r="R9438" s="217"/>
      <c r="S9438" s="218"/>
    </row>
    <row r="9439" spans="13:19" ht="15" customHeight="1" x14ac:dyDescent="0.25">
      <c r="M9439"/>
      <c r="N9439"/>
      <c r="O9439"/>
      <c r="P9439" s="216"/>
      <c r="Q9439" s="217"/>
      <c r="R9439" s="217"/>
      <c r="S9439" s="218"/>
    </row>
    <row r="9440" spans="13:19" ht="15" customHeight="1" x14ac:dyDescent="0.25">
      <c r="M9440"/>
      <c r="N9440"/>
      <c r="O9440"/>
      <c r="P9440" s="216"/>
      <c r="Q9440" s="217"/>
      <c r="R9440" s="217"/>
      <c r="S9440" s="218"/>
    </row>
    <row r="9441" spans="13:19" ht="15" customHeight="1" x14ac:dyDescent="0.25">
      <c r="M9441"/>
      <c r="N9441"/>
      <c r="O9441"/>
      <c r="P9441" s="216"/>
      <c r="Q9441" s="217"/>
      <c r="R9441" s="217"/>
      <c r="S9441" s="218"/>
    </row>
    <row r="9442" spans="13:19" ht="15" customHeight="1" x14ac:dyDescent="0.25">
      <c r="M9442"/>
      <c r="N9442"/>
      <c r="O9442"/>
      <c r="P9442" s="216"/>
      <c r="Q9442" s="217"/>
      <c r="R9442" s="217"/>
      <c r="S9442" s="218"/>
    </row>
    <row r="9443" spans="13:19" ht="15" customHeight="1" x14ac:dyDescent="0.25">
      <c r="M9443"/>
      <c r="N9443"/>
      <c r="O9443"/>
      <c r="P9443" s="216"/>
      <c r="Q9443" s="217"/>
      <c r="R9443" s="217"/>
      <c r="S9443" s="218"/>
    </row>
    <row r="9444" spans="13:19" ht="15" customHeight="1" x14ac:dyDescent="0.25">
      <c r="M9444"/>
      <c r="N9444"/>
      <c r="O9444"/>
      <c r="P9444" s="216"/>
      <c r="Q9444" s="217"/>
      <c r="R9444" s="217"/>
      <c r="S9444" s="218"/>
    </row>
    <row r="9445" spans="13:19" ht="15" customHeight="1" x14ac:dyDescent="0.25">
      <c r="M9445"/>
      <c r="N9445"/>
      <c r="O9445"/>
      <c r="P9445" s="216"/>
      <c r="Q9445" s="217"/>
      <c r="R9445" s="217"/>
      <c r="S9445" s="218"/>
    </row>
    <row r="9446" spans="13:19" ht="15" customHeight="1" x14ac:dyDescent="0.25">
      <c r="M9446"/>
      <c r="N9446"/>
      <c r="O9446"/>
      <c r="P9446" s="216"/>
      <c r="Q9446" s="217"/>
      <c r="R9446" s="217"/>
      <c r="S9446" s="218"/>
    </row>
    <row r="9447" spans="13:19" ht="15" customHeight="1" x14ac:dyDescent="0.25">
      <c r="M9447"/>
      <c r="N9447"/>
      <c r="O9447"/>
      <c r="P9447" s="216"/>
      <c r="Q9447" s="217"/>
      <c r="R9447" s="217"/>
      <c r="S9447" s="218"/>
    </row>
    <row r="9448" spans="13:19" ht="15" customHeight="1" x14ac:dyDescent="0.25">
      <c r="M9448"/>
      <c r="N9448"/>
      <c r="O9448"/>
      <c r="P9448" s="216"/>
      <c r="Q9448" s="217"/>
      <c r="R9448" s="217"/>
      <c r="S9448" s="218"/>
    </row>
    <row r="9449" spans="13:19" ht="15" customHeight="1" x14ac:dyDescent="0.25">
      <c r="M9449"/>
      <c r="N9449"/>
      <c r="O9449"/>
      <c r="P9449" s="216"/>
      <c r="Q9449" s="217"/>
      <c r="R9449" s="217"/>
      <c r="S9449" s="218"/>
    </row>
    <row r="9450" spans="13:19" ht="15" customHeight="1" x14ac:dyDescent="0.25">
      <c r="M9450"/>
      <c r="N9450"/>
      <c r="O9450"/>
      <c r="P9450" s="216"/>
      <c r="Q9450" s="217"/>
      <c r="R9450" s="217"/>
      <c r="S9450" s="218"/>
    </row>
    <row r="9451" spans="13:19" ht="15" customHeight="1" x14ac:dyDescent="0.25">
      <c r="M9451"/>
      <c r="N9451"/>
      <c r="O9451"/>
      <c r="P9451" s="216"/>
      <c r="Q9451" s="217"/>
      <c r="R9451" s="217"/>
      <c r="S9451" s="218"/>
    </row>
    <row r="9452" spans="13:19" ht="15" customHeight="1" x14ac:dyDescent="0.25">
      <c r="M9452"/>
      <c r="N9452"/>
      <c r="O9452"/>
      <c r="P9452" s="216"/>
      <c r="Q9452" s="217"/>
      <c r="R9452" s="217"/>
      <c r="S9452" s="218"/>
    </row>
    <row r="9453" spans="13:19" ht="15" customHeight="1" x14ac:dyDescent="0.25">
      <c r="M9453"/>
      <c r="N9453"/>
      <c r="O9453"/>
      <c r="P9453" s="216"/>
      <c r="Q9453" s="217"/>
      <c r="R9453" s="217"/>
      <c r="S9453" s="218"/>
    </row>
    <row r="9454" spans="13:19" ht="15" customHeight="1" x14ac:dyDescent="0.25">
      <c r="M9454"/>
      <c r="N9454"/>
      <c r="O9454"/>
      <c r="P9454" s="216"/>
      <c r="Q9454" s="217"/>
      <c r="R9454" s="217"/>
      <c r="S9454" s="218"/>
    </row>
    <row r="9455" spans="13:19" ht="15" customHeight="1" x14ac:dyDescent="0.25">
      <c r="M9455"/>
      <c r="N9455"/>
      <c r="O9455"/>
      <c r="P9455" s="216"/>
      <c r="Q9455" s="217"/>
      <c r="R9455" s="217"/>
      <c r="S9455" s="218"/>
    </row>
    <row r="9456" spans="13:19" ht="15" customHeight="1" x14ac:dyDescent="0.25">
      <c r="M9456"/>
      <c r="N9456"/>
      <c r="O9456"/>
      <c r="P9456" s="216"/>
      <c r="Q9456" s="217"/>
      <c r="R9456" s="217"/>
      <c r="S9456" s="218"/>
    </row>
    <row r="9457" spans="13:19" ht="15" customHeight="1" x14ac:dyDescent="0.25">
      <c r="M9457"/>
      <c r="N9457"/>
      <c r="O9457"/>
      <c r="P9457" s="216"/>
      <c r="Q9457" s="217"/>
      <c r="R9457" s="217"/>
      <c r="S9457" s="218"/>
    </row>
    <row r="9458" spans="13:19" ht="15" customHeight="1" x14ac:dyDescent="0.25">
      <c r="M9458"/>
      <c r="N9458"/>
      <c r="O9458"/>
      <c r="P9458" s="216"/>
      <c r="Q9458" s="217"/>
      <c r="R9458" s="217"/>
      <c r="S9458" s="218"/>
    </row>
    <row r="9459" spans="13:19" ht="15" customHeight="1" x14ac:dyDescent="0.25">
      <c r="M9459"/>
      <c r="N9459"/>
      <c r="O9459"/>
      <c r="P9459" s="216"/>
      <c r="Q9459" s="217"/>
      <c r="R9459" s="217"/>
      <c r="S9459" s="218"/>
    </row>
    <row r="9460" spans="13:19" ht="15" customHeight="1" x14ac:dyDescent="0.25">
      <c r="M9460"/>
      <c r="N9460"/>
      <c r="O9460"/>
      <c r="P9460" s="216"/>
      <c r="Q9460" s="217"/>
      <c r="R9460" s="217"/>
      <c r="S9460" s="218"/>
    </row>
    <row r="9461" spans="13:19" ht="15" customHeight="1" x14ac:dyDescent="0.25">
      <c r="M9461"/>
      <c r="N9461"/>
      <c r="O9461"/>
      <c r="P9461" s="216"/>
      <c r="Q9461" s="217"/>
      <c r="R9461" s="217"/>
      <c r="S9461" s="218"/>
    </row>
    <row r="9462" spans="13:19" ht="15" customHeight="1" x14ac:dyDescent="0.25">
      <c r="M9462"/>
      <c r="N9462"/>
      <c r="O9462"/>
      <c r="P9462" s="216"/>
      <c r="Q9462" s="217"/>
      <c r="R9462" s="217"/>
      <c r="S9462" s="218"/>
    </row>
    <row r="9463" spans="13:19" ht="15" customHeight="1" x14ac:dyDescent="0.25">
      <c r="M9463"/>
      <c r="N9463"/>
      <c r="O9463"/>
      <c r="P9463" s="216"/>
      <c r="Q9463" s="217"/>
      <c r="R9463" s="217"/>
      <c r="S9463" s="218"/>
    </row>
    <row r="9464" spans="13:19" ht="15" customHeight="1" x14ac:dyDescent="0.25">
      <c r="M9464"/>
      <c r="N9464"/>
      <c r="O9464"/>
      <c r="P9464" s="216"/>
      <c r="Q9464" s="217"/>
      <c r="R9464" s="217"/>
      <c r="S9464" s="218"/>
    </row>
    <row r="9465" spans="13:19" ht="15" customHeight="1" x14ac:dyDescent="0.25">
      <c r="M9465"/>
      <c r="N9465"/>
      <c r="O9465"/>
      <c r="P9465" s="216"/>
      <c r="Q9465" s="217"/>
      <c r="R9465" s="217"/>
      <c r="S9465" s="218"/>
    </row>
    <row r="9466" spans="13:19" ht="15" customHeight="1" x14ac:dyDescent="0.25">
      <c r="M9466"/>
      <c r="N9466"/>
      <c r="O9466"/>
      <c r="P9466" s="216"/>
      <c r="Q9466" s="217"/>
      <c r="R9466" s="217"/>
      <c r="S9466" s="218"/>
    </row>
    <row r="9467" spans="13:19" ht="15" customHeight="1" x14ac:dyDescent="0.25">
      <c r="M9467"/>
      <c r="N9467"/>
      <c r="O9467"/>
      <c r="P9467" s="216"/>
      <c r="Q9467" s="217"/>
      <c r="R9467" s="217"/>
      <c r="S9467" s="218"/>
    </row>
    <row r="9468" spans="13:19" ht="15" customHeight="1" x14ac:dyDescent="0.25">
      <c r="M9468"/>
      <c r="N9468"/>
      <c r="O9468"/>
      <c r="P9468" s="216"/>
      <c r="Q9468" s="217"/>
      <c r="R9468" s="217"/>
      <c r="S9468" s="218"/>
    </row>
    <row r="9469" spans="13:19" ht="15" customHeight="1" x14ac:dyDescent="0.25">
      <c r="M9469"/>
      <c r="N9469"/>
      <c r="O9469"/>
      <c r="P9469" s="216"/>
      <c r="Q9469" s="217"/>
      <c r="R9469" s="217"/>
      <c r="S9469" s="218"/>
    </row>
    <row r="9470" spans="13:19" ht="15" customHeight="1" x14ac:dyDescent="0.25">
      <c r="M9470"/>
      <c r="N9470"/>
      <c r="O9470"/>
      <c r="P9470" s="216"/>
      <c r="Q9470" s="217"/>
      <c r="R9470" s="217"/>
      <c r="S9470" s="218"/>
    </row>
    <row r="9471" spans="13:19" ht="15" customHeight="1" x14ac:dyDescent="0.25">
      <c r="M9471"/>
      <c r="N9471"/>
      <c r="O9471"/>
      <c r="P9471" s="216"/>
      <c r="Q9471" s="217"/>
      <c r="R9471" s="217"/>
      <c r="S9471" s="218"/>
    </row>
    <row r="9472" spans="13:19" ht="15" customHeight="1" x14ac:dyDescent="0.25">
      <c r="M9472"/>
      <c r="N9472"/>
      <c r="O9472"/>
      <c r="P9472" s="216"/>
      <c r="Q9472" s="217"/>
      <c r="R9472" s="217"/>
      <c r="S9472" s="218"/>
    </row>
    <row r="9473" spans="13:19" ht="15" customHeight="1" x14ac:dyDescent="0.25">
      <c r="M9473"/>
      <c r="N9473"/>
      <c r="O9473"/>
      <c r="P9473" s="216"/>
      <c r="Q9473" s="217"/>
      <c r="R9473" s="217"/>
      <c r="S9473" s="218"/>
    </row>
    <row r="9474" spans="13:19" ht="15" customHeight="1" x14ac:dyDescent="0.25">
      <c r="M9474"/>
      <c r="N9474"/>
      <c r="O9474"/>
      <c r="P9474" s="216"/>
      <c r="Q9474" s="217"/>
      <c r="R9474" s="217"/>
      <c r="S9474" s="218"/>
    </row>
    <row r="9475" spans="13:19" ht="15" customHeight="1" x14ac:dyDescent="0.25">
      <c r="M9475"/>
      <c r="N9475"/>
      <c r="O9475"/>
      <c r="P9475" s="216"/>
      <c r="Q9475" s="217"/>
      <c r="R9475" s="217"/>
      <c r="S9475" s="218"/>
    </row>
    <row r="9476" spans="13:19" ht="15" customHeight="1" x14ac:dyDescent="0.25">
      <c r="M9476"/>
      <c r="N9476"/>
      <c r="O9476"/>
      <c r="P9476" s="216"/>
      <c r="Q9476" s="217"/>
      <c r="R9476" s="217"/>
      <c r="S9476" s="218"/>
    </row>
    <row r="9477" spans="13:19" ht="15" customHeight="1" x14ac:dyDescent="0.25">
      <c r="M9477"/>
      <c r="N9477"/>
      <c r="O9477"/>
      <c r="P9477" s="216"/>
      <c r="Q9477" s="217"/>
      <c r="R9477" s="217"/>
      <c r="S9477" s="218"/>
    </row>
    <row r="9478" spans="13:19" ht="15" customHeight="1" x14ac:dyDescent="0.25">
      <c r="M9478"/>
      <c r="N9478"/>
      <c r="O9478"/>
      <c r="P9478" s="216"/>
      <c r="Q9478" s="217"/>
      <c r="R9478" s="217"/>
      <c r="S9478" s="218"/>
    </row>
    <row r="9479" spans="13:19" ht="15" customHeight="1" x14ac:dyDescent="0.25">
      <c r="M9479"/>
      <c r="N9479"/>
      <c r="O9479"/>
      <c r="P9479" s="216"/>
      <c r="Q9479" s="217"/>
      <c r="R9479" s="217"/>
      <c r="S9479" s="218"/>
    </row>
    <row r="9480" spans="13:19" ht="15" customHeight="1" x14ac:dyDescent="0.25">
      <c r="M9480"/>
      <c r="N9480"/>
      <c r="O9480"/>
      <c r="P9480" s="216"/>
      <c r="Q9480" s="217"/>
      <c r="R9480" s="217"/>
      <c r="S9480" s="218"/>
    </row>
    <row r="9481" spans="13:19" ht="15" customHeight="1" x14ac:dyDescent="0.25">
      <c r="M9481"/>
      <c r="N9481"/>
      <c r="O9481"/>
      <c r="P9481" s="216"/>
      <c r="Q9481" s="217"/>
      <c r="R9481" s="217"/>
      <c r="S9481" s="218"/>
    </row>
    <row r="9482" spans="13:19" ht="15" customHeight="1" x14ac:dyDescent="0.25">
      <c r="M9482"/>
      <c r="N9482"/>
      <c r="O9482"/>
      <c r="P9482" s="216"/>
      <c r="Q9482" s="217"/>
      <c r="R9482" s="217"/>
      <c r="S9482" s="218"/>
    </row>
    <row r="9483" spans="13:19" ht="15" customHeight="1" x14ac:dyDescent="0.25">
      <c r="M9483"/>
      <c r="N9483"/>
      <c r="O9483"/>
      <c r="P9483" s="216"/>
      <c r="Q9483" s="217"/>
      <c r="R9483" s="217"/>
      <c r="S9483" s="218"/>
    </row>
    <row r="9484" spans="13:19" ht="15" customHeight="1" x14ac:dyDescent="0.25">
      <c r="M9484"/>
      <c r="N9484"/>
      <c r="O9484"/>
      <c r="P9484" s="216"/>
      <c r="Q9484" s="217"/>
      <c r="R9484" s="217"/>
      <c r="S9484" s="218"/>
    </row>
    <row r="9485" spans="13:19" ht="15" customHeight="1" x14ac:dyDescent="0.25">
      <c r="M9485"/>
      <c r="N9485"/>
      <c r="O9485"/>
      <c r="P9485" s="216"/>
      <c r="Q9485" s="217"/>
      <c r="R9485" s="217"/>
      <c r="S9485" s="218"/>
    </row>
    <row r="9486" spans="13:19" ht="15" customHeight="1" x14ac:dyDescent="0.25">
      <c r="M9486"/>
      <c r="N9486"/>
      <c r="O9486"/>
      <c r="P9486" s="216"/>
      <c r="Q9486" s="217"/>
      <c r="R9486" s="217"/>
      <c r="S9486" s="218"/>
    </row>
    <row r="9487" spans="13:19" ht="15" customHeight="1" x14ac:dyDescent="0.25">
      <c r="M9487"/>
      <c r="N9487"/>
      <c r="O9487"/>
      <c r="P9487" s="216"/>
      <c r="Q9487" s="217"/>
      <c r="R9487" s="217"/>
      <c r="S9487" s="218"/>
    </row>
    <row r="9488" spans="13:19" ht="15" customHeight="1" x14ac:dyDescent="0.25">
      <c r="M9488"/>
      <c r="N9488"/>
      <c r="O9488"/>
      <c r="P9488" s="216"/>
      <c r="Q9488" s="217"/>
      <c r="R9488" s="217"/>
      <c r="S9488" s="218"/>
    </row>
    <row r="9489" spans="13:19" ht="15" customHeight="1" x14ac:dyDescent="0.25">
      <c r="M9489"/>
      <c r="N9489"/>
      <c r="O9489"/>
      <c r="P9489" s="216"/>
      <c r="Q9489" s="217"/>
      <c r="R9489" s="217"/>
      <c r="S9489" s="218"/>
    </row>
    <row r="9490" spans="13:19" ht="15" customHeight="1" x14ac:dyDescent="0.25">
      <c r="M9490"/>
      <c r="N9490"/>
      <c r="O9490"/>
      <c r="P9490" s="216"/>
      <c r="Q9490" s="217"/>
      <c r="R9490" s="217"/>
      <c r="S9490" s="218"/>
    </row>
    <row r="9491" spans="13:19" ht="15" customHeight="1" x14ac:dyDescent="0.25">
      <c r="M9491"/>
      <c r="N9491"/>
      <c r="O9491"/>
      <c r="P9491" s="216"/>
      <c r="Q9491" s="217"/>
      <c r="R9491" s="217"/>
      <c r="S9491" s="218"/>
    </row>
    <row r="9492" spans="13:19" ht="15" customHeight="1" x14ac:dyDescent="0.25">
      <c r="M9492"/>
      <c r="N9492"/>
      <c r="O9492"/>
      <c r="P9492" s="216"/>
      <c r="Q9492" s="217"/>
      <c r="R9492" s="217"/>
      <c r="S9492" s="218"/>
    </row>
    <row r="9493" spans="13:19" ht="15" customHeight="1" x14ac:dyDescent="0.25">
      <c r="M9493"/>
      <c r="N9493"/>
      <c r="O9493"/>
      <c r="P9493" s="216"/>
      <c r="Q9493" s="217"/>
      <c r="R9493" s="217"/>
      <c r="S9493" s="218"/>
    </row>
    <row r="9494" spans="13:19" ht="15" customHeight="1" x14ac:dyDescent="0.25">
      <c r="M9494"/>
      <c r="N9494"/>
      <c r="O9494"/>
      <c r="P9494" s="216"/>
      <c r="Q9494" s="217"/>
      <c r="R9494" s="217"/>
      <c r="S9494" s="218"/>
    </row>
    <row r="9495" spans="13:19" ht="15" customHeight="1" x14ac:dyDescent="0.25">
      <c r="M9495"/>
      <c r="N9495"/>
      <c r="O9495"/>
      <c r="P9495" s="216"/>
      <c r="Q9495" s="217"/>
      <c r="R9495" s="217"/>
      <c r="S9495" s="218"/>
    </row>
    <row r="9496" spans="13:19" ht="15" customHeight="1" x14ac:dyDescent="0.25">
      <c r="M9496"/>
      <c r="N9496"/>
      <c r="O9496"/>
      <c r="P9496" s="216"/>
      <c r="Q9496" s="217"/>
      <c r="R9496" s="217"/>
      <c r="S9496" s="218"/>
    </row>
    <row r="9497" spans="13:19" ht="15" customHeight="1" x14ac:dyDescent="0.25">
      <c r="M9497"/>
      <c r="N9497"/>
      <c r="O9497"/>
      <c r="P9497" s="216"/>
      <c r="Q9497" s="217"/>
      <c r="R9497" s="217"/>
      <c r="S9497" s="218"/>
    </row>
    <row r="9498" spans="13:19" ht="15" customHeight="1" x14ac:dyDescent="0.25">
      <c r="M9498"/>
      <c r="N9498"/>
      <c r="O9498"/>
      <c r="P9498" s="216"/>
      <c r="Q9498" s="217"/>
      <c r="R9498" s="217"/>
      <c r="S9498" s="218"/>
    </row>
    <row r="9499" spans="13:19" ht="15" customHeight="1" x14ac:dyDescent="0.25">
      <c r="M9499"/>
      <c r="N9499"/>
      <c r="O9499"/>
      <c r="P9499" s="216"/>
      <c r="Q9499" s="217"/>
      <c r="R9499" s="217"/>
      <c r="S9499" s="218"/>
    </row>
    <row r="9500" spans="13:19" ht="15" customHeight="1" x14ac:dyDescent="0.25">
      <c r="M9500"/>
      <c r="N9500"/>
      <c r="O9500"/>
      <c r="P9500" s="216"/>
      <c r="Q9500" s="217"/>
      <c r="R9500" s="217"/>
      <c r="S9500" s="218"/>
    </row>
    <row r="9501" spans="13:19" ht="15" customHeight="1" x14ac:dyDescent="0.25">
      <c r="M9501"/>
      <c r="N9501"/>
      <c r="O9501"/>
      <c r="P9501" s="216"/>
      <c r="Q9501" s="217"/>
      <c r="R9501" s="217"/>
      <c r="S9501" s="218"/>
    </row>
    <row r="9502" spans="13:19" ht="15" customHeight="1" x14ac:dyDescent="0.25">
      <c r="M9502"/>
      <c r="N9502"/>
      <c r="O9502"/>
      <c r="P9502" s="216"/>
      <c r="Q9502" s="217"/>
      <c r="R9502" s="217"/>
      <c r="S9502" s="218"/>
    </row>
    <row r="9503" spans="13:19" ht="15" customHeight="1" x14ac:dyDescent="0.25">
      <c r="M9503"/>
      <c r="N9503"/>
      <c r="O9503"/>
      <c r="P9503" s="216"/>
      <c r="Q9503" s="217"/>
      <c r="R9503" s="217"/>
      <c r="S9503" s="218"/>
    </row>
    <row r="9504" spans="13:19" ht="15" customHeight="1" x14ac:dyDescent="0.25">
      <c r="M9504"/>
      <c r="N9504"/>
      <c r="O9504"/>
      <c r="P9504" s="216"/>
      <c r="Q9504" s="217"/>
      <c r="R9504" s="217"/>
      <c r="S9504" s="218"/>
    </row>
    <row r="9505" spans="13:19" ht="15" customHeight="1" x14ac:dyDescent="0.25">
      <c r="M9505"/>
      <c r="N9505"/>
      <c r="O9505"/>
      <c r="P9505" s="216"/>
      <c r="Q9505" s="217"/>
      <c r="R9505" s="217"/>
      <c r="S9505" s="218"/>
    </row>
    <row r="9506" spans="13:19" ht="15" customHeight="1" x14ac:dyDescent="0.25">
      <c r="M9506"/>
      <c r="N9506"/>
      <c r="O9506"/>
      <c r="P9506" s="216"/>
      <c r="Q9506" s="217"/>
      <c r="R9506" s="217"/>
      <c r="S9506" s="218"/>
    </row>
    <row r="9507" spans="13:19" ht="15" customHeight="1" x14ac:dyDescent="0.25">
      <c r="M9507"/>
      <c r="N9507"/>
      <c r="O9507"/>
      <c r="P9507" s="216"/>
      <c r="Q9507" s="217"/>
      <c r="R9507" s="217"/>
      <c r="S9507" s="218"/>
    </row>
    <row r="9508" spans="13:19" ht="15" customHeight="1" x14ac:dyDescent="0.25">
      <c r="M9508"/>
      <c r="N9508"/>
      <c r="O9508"/>
      <c r="P9508" s="216"/>
      <c r="Q9508" s="217"/>
      <c r="R9508" s="217"/>
      <c r="S9508" s="218"/>
    </row>
    <row r="9509" spans="13:19" ht="15" customHeight="1" x14ac:dyDescent="0.25">
      <c r="M9509"/>
      <c r="N9509"/>
      <c r="O9509"/>
      <c r="P9509" s="216"/>
      <c r="Q9509" s="217"/>
      <c r="R9509" s="217"/>
      <c r="S9509" s="218"/>
    </row>
    <row r="9510" spans="13:19" ht="15" customHeight="1" x14ac:dyDescent="0.25">
      <c r="M9510"/>
      <c r="N9510"/>
      <c r="O9510"/>
      <c r="P9510" s="216"/>
      <c r="Q9510" s="217"/>
      <c r="R9510" s="217"/>
      <c r="S9510" s="218"/>
    </row>
    <row r="9511" spans="13:19" ht="15" customHeight="1" x14ac:dyDescent="0.25">
      <c r="M9511"/>
      <c r="N9511"/>
      <c r="O9511"/>
      <c r="P9511" s="216"/>
      <c r="Q9511" s="217"/>
      <c r="R9511" s="217"/>
      <c r="S9511" s="218"/>
    </row>
    <row r="9512" spans="13:19" ht="15" customHeight="1" x14ac:dyDescent="0.25">
      <c r="M9512"/>
      <c r="N9512"/>
      <c r="O9512"/>
      <c r="P9512" s="216"/>
      <c r="Q9512" s="217"/>
      <c r="R9512" s="217"/>
      <c r="S9512" s="218"/>
    </row>
    <row r="9513" spans="13:19" ht="15" customHeight="1" x14ac:dyDescent="0.25">
      <c r="M9513"/>
      <c r="N9513"/>
      <c r="O9513"/>
      <c r="P9513" s="216"/>
      <c r="Q9513" s="217"/>
      <c r="R9513" s="217"/>
      <c r="S9513" s="218"/>
    </row>
    <row r="9514" spans="13:19" ht="15" customHeight="1" x14ac:dyDescent="0.25">
      <c r="M9514"/>
      <c r="N9514"/>
      <c r="O9514"/>
      <c r="P9514" s="216"/>
      <c r="Q9514" s="217"/>
      <c r="R9514" s="217"/>
      <c r="S9514" s="218"/>
    </row>
    <row r="9515" spans="13:19" ht="15" customHeight="1" x14ac:dyDescent="0.25">
      <c r="M9515"/>
      <c r="N9515"/>
      <c r="O9515"/>
      <c r="P9515" s="216"/>
      <c r="Q9515" s="217"/>
      <c r="R9515" s="217"/>
      <c r="S9515" s="218"/>
    </row>
    <row r="9516" spans="13:19" ht="15" customHeight="1" x14ac:dyDescent="0.25">
      <c r="M9516"/>
      <c r="N9516"/>
      <c r="O9516"/>
      <c r="P9516" s="216"/>
      <c r="Q9516" s="217"/>
      <c r="R9516" s="217"/>
      <c r="S9516" s="218"/>
    </row>
    <row r="9517" spans="13:19" ht="15" customHeight="1" x14ac:dyDescent="0.25">
      <c r="M9517"/>
      <c r="N9517"/>
      <c r="O9517"/>
      <c r="P9517" s="216"/>
      <c r="Q9517" s="217"/>
      <c r="R9517" s="217"/>
      <c r="S9517" s="218"/>
    </row>
    <row r="9518" spans="13:19" ht="15" customHeight="1" x14ac:dyDescent="0.25">
      <c r="M9518"/>
      <c r="N9518"/>
      <c r="O9518"/>
      <c r="P9518" s="216"/>
      <c r="Q9518" s="217"/>
      <c r="R9518" s="217"/>
      <c r="S9518" s="218"/>
    </row>
    <row r="9519" spans="13:19" ht="15" customHeight="1" x14ac:dyDescent="0.25">
      <c r="M9519"/>
      <c r="N9519"/>
      <c r="O9519"/>
      <c r="P9519" s="216"/>
      <c r="Q9519" s="217"/>
      <c r="R9519" s="217"/>
      <c r="S9519" s="218"/>
    </row>
    <row r="9520" spans="13:19" ht="15" customHeight="1" x14ac:dyDescent="0.25">
      <c r="M9520"/>
      <c r="N9520"/>
      <c r="O9520"/>
      <c r="P9520" s="216"/>
      <c r="Q9520" s="217"/>
      <c r="R9520" s="217"/>
      <c r="S9520" s="218"/>
    </row>
    <row r="9521" spans="13:19" ht="15" customHeight="1" x14ac:dyDescent="0.25">
      <c r="M9521"/>
      <c r="N9521"/>
      <c r="O9521"/>
      <c r="P9521" s="216"/>
      <c r="Q9521" s="217"/>
      <c r="R9521" s="217"/>
      <c r="S9521" s="218"/>
    </row>
    <row r="9522" spans="13:19" ht="15" customHeight="1" x14ac:dyDescent="0.25">
      <c r="M9522"/>
      <c r="N9522"/>
      <c r="O9522"/>
      <c r="P9522" s="216"/>
      <c r="Q9522" s="217"/>
      <c r="R9522" s="217"/>
      <c r="S9522" s="218"/>
    </row>
    <row r="9523" spans="13:19" ht="15" customHeight="1" x14ac:dyDescent="0.25">
      <c r="M9523"/>
      <c r="N9523"/>
      <c r="O9523"/>
      <c r="P9523" s="216"/>
      <c r="Q9523" s="217"/>
      <c r="R9523" s="217"/>
      <c r="S9523" s="218"/>
    </row>
    <row r="9524" spans="13:19" ht="15" customHeight="1" x14ac:dyDescent="0.25">
      <c r="M9524"/>
      <c r="N9524"/>
      <c r="O9524"/>
      <c r="P9524" s="216"/>
      <c r="Q9524" s="217"/>
      <c r="R9524" s="217"/>
      <c r="S9524" s="218"/>
    </row>
    <row r="9525" spans="13:19" ht="15" customHeight="1" x14ac:dyDescent="0.25">
      <c r="M9525"/>
      <c r="N9525"/>
      <c r="O9525"/>
      <c r="P9525" s="216"/>
      <c r="Q9525" s="217"/>
      <c r="R9525" s="217"/>
      <c r="S9525" s="218"/>
    </row>
    <row r="9526" spans="13:19" ht="15" customHeight="1" x14ac:dyDescent="0.25">
      <c r="M9526"/>
      <c r="N9526"/>
      <c r="O9526"/>
      <c r="P9526" s="216"/>
      <c r="Q9526" s="217"/>
      <c r="R9526" s="217"/>
      <c r="S9526" s="218"/>
    </row>
    <row r="9527" spans="13:19" ht="15" customHeight="1" x14ac:dyDescent="0.25">
      <c r="M9527"/>
      <c r="N9527"/>
      <c r="O9527"/>
      <c r="P9527" s="216"/>
      <c r="Q9527" s="217"/>
      <c r="R9527" s="217"/>
      <c r="S9527" s="218"/>
    </row>
    <row r="9528" spans="13:19" ht="15" customHeight="1" x14ac:dyDescent="0.25">
      <c r="M9528"/>
      <c r="N9528"/>
      <c r="O9528"/>
      <c r="P9528" s="216"/>
      <c r="Q9528" s="217"/>
      <c r="R9528" s="217"/>
      <c r="S9528" s="218"/>
    </row>
    <row r="9529" spans="13:19" ht="15" customHeight="1" x14ac:dyDescent="0.25">
      <c r="M9529"/>
      <c r="N9529"/>
      <c r="O9529"/>
      <c r="P9529" s="216"/>
      <c r="Q9529" s="217"/>
      <c r="R9529" s="217"/>
      <c r="S9529" s="218"/>
    </row>
    <row r="9530" spans="13:19" ht="15" customHeight="1" x14ac:dyDescent="0.25">
      <c r="M9530"/>
      <c r="N9530"/>
      <c r="O9530"/>
      <c r="P9530" s="216"/>
      <c r="Q9530" s="217"/>
      <c r="R9530" s="217"/>
      <c r="S9530" s="218"/>
    </row>
    <row r="9531" spans="13:19" ht="15" customHeight="1" x14ac:dyDescent="0.25">
      <c r="M9531"/>
      <c r="N9531"/>
      <c r="O9531"/>
      <c r="P9531" s="216"/>
      <c r="Q9531" s="217"/>
      <c r="R9531" s="217"/>
      <c r="S9531" s="218"/>
    </row>
    <row r="9532" spans="13:19" ht="15" customHeight="1" x14ac:dyDescent="0.25">
      <c r="M9532"/>
      <c r="N9532"/>
      <c r="O9532"/>
      <c r="P9532" s="216"/>
      <c r="Q9532" s="217"/>
      <c r="R9532" s="217"/>
      <c r="S9532" s="218"/>
    </row>
    <row r="9533" spans="13:19" ht="15" customHeight="1" x14ac:dyDescent="0.25">
      <c r="M9533"/>
      <c r="N9533"/>
      <c r="O9533"/>
      <c r="P9533" s="216"/>
      <c r="Q9533" s="217"/>
      <c r="R9533" s="217"/>
      <c r="S9533" s="218"/>
    </row>
    <row r="9534" spans="13:19" ht="15" customHeight="1" x14ac:dyDescent="0.25">
      <c r="M9534"/>
      <c r="N9534"/>
      <c r="O9534"/>
      <c r="P9534" s="216"/>
      <c r="Q9534" s="217"/>
      <c r="R9534" s="217"/>
      <c r="S9534" s="218"/>
    </row>
    <row r="9535" spans="13:19" ht="15" customHeight="1" x14ac:dyDescent="0.25">
      <c r="M9535"/>
      <c r="N9535"/>
      <c r="O9535"/>
      <c r="P9535" s="216"/>
      <c r="Q9535" s="217"/>
      <c r="R9535" s="217"/>
      <c r="S9535" s="218"/>
    </row>
    <row r="9536" spans="13:19" ht="15" customHeight="1" x14ac:dyDescent="0.25">
      <c r="M9536"/>
      <c r="N9536"/>
      <c r="O9536"/>
      <c r="P9536" s="216"/>
      <c r="Q9536" s="217"/>
      <c r="R9536" s="217"/>
      <c r="S9536" s="218"/>
    </row>
    <row r="9537" spans="13:19" ht="15" customHeight="1" x14ac:dyDescent="0.25">
      <c r="M9537"/>
      <c r="N9537"/>
      <c r="O9537"/>
      <c r="P9537" s="216"/>
      <c r="Q9537" s="217"/>
      <c r="R9537" s="217"/>
      <c r="S9537" s="218"/>
    </row>
    <row r="9538" spans="13:19" ht="15" customHeight="1" x14ac:dyDescent="0.25">
      <c r="M9538"/>
      <c r="N9538"/>
      <c r="O9538"/>
      <c r="P9538" s="216"/>
      <c r="Q9538" s="217"/>
      <c r="R9538" s="217"/>
      <c r="S9538" s="218"/>
    </row>
    <row r="9539" spans="13:19" ht="15" customHeight="1" x14ac:dyDescent="0.25">
      <c r="M9539"/>
      <c r="N9539"/>
      <c r="O9539"/>
      <c r="P9539" s="216"/>
      <c r="Q9539" s="217"/>
      <c r="R9539" s="217"/>
      <c r="S9539" s="218"/>
    </row>
    <row r="9540" spans="13:19" ht="15" customHeight="1" x14ac:dyDescent="0.25">
      <c r="M9540"/>
      <c r="N9540"/>
      <c r="O9540"/>
      <c r="P9540" s="216"/>
      <c r="Q9540" s="217"/>
      <c r="R9540" s="217"/>
      <c r="S9540" s="218"/>
    </row>
    <row r="9541" spans="13:19" ht="15" customHeight="1" x14ac:dyDescent="0.25">
      <c r="M9541"/>
      <c r="N9541"/>
      <c r="O9541"/>
      <c r="P9541" s="216"/>
      <c r="Q9541" s="217"/>
      <c r="R9541" s="217"/>
      <c r="S9541" s="218"/>
    </row>
    <row r="9542" spans="13:19" ht="15" customHeight="1" x14ac:dyDescent="0.25">
      <c r="M9542"/>
      <c r="N9542"/>
      <c r="O9542"/>
      <c r="P9542" s="216"/>
      <c r="Q9542" s="217"/>
      <c r="R9542" s="217"/>
      <c r="S9542" s="218"/>
    </row>
    <row r="9543" spans="13:19" ht="15" customHeight="1" x14ac:dyDescent="0.25">
      <c r="M9543"/>
      <c r="N9543"/>
      <c r="O9543"/>
      <c r="P9543" s="216"/>
      <c r="Q9543" s="217"/>
      <c r="R9543" s="217"/>
      <c r="S9543" s="218"/>
    </row>
    <row r="9544" spans="13:19" ht="15" customHeight="1" x14ac:dyDescent="0.25">
      <c r="M9544"/>
      <c r="N9544"/>
      <c r="O9544"/>
      <c r="P9544" s="216"/>
      <c r="Q9544" s="217"/>
      <c r="R9544" s="217"/>
      <c r="S9544" s="218"/>
    </row>
    <row r="9545" spans="13:19" ht="15" customHeight="1" x14ac:dyDescent="0.25">
      <c r="M9545"/>
      <c r="N9545"/>
      <c r="O9545"/>
      <c r="P9545" s="216"/>
      <c r="Q9545" s="217"/>
      <c r="R9545" s="217"/>
      <c r="S9545" s="218"/>
    </row>
    <row r="9546" spans="13:19" ht="15" customHeight="1" x14ac:dyDescent="0.25">
      <c r="M9546"/>
      <c r="N9546"/>
      <c r="O9546"/>
      <c r="P9546" s="216"/>
      <c r="Q9546" s="217"/>
      <c r="R9546" s="217"/>
      <c r="S9546" s="218"/>
    </row>
    <row r="9547" spans="13:19" ht="15" customHeight="1" x14ac:dyDescent="0.25">
      <c r="M9547"/>
      <c r="N9547"/>
      <c r="O9547"/>
      <c r="P9547" s="216"/>
      <c r="Q9547" s="217"/>
      <c r="R9547" s="217"/>
      <c r="S9547" s="218"/>
    </row>
    <row r="9548" spans="13:19" ht="15" customHeight="1" x14ac:dyDescent="0.25">
      <c r="M9548"/>
      <c r="N9548"/>
      <c r="O9548"/>
      <c r="P9548" s="216"/>
      <c r="Q9548" s="217"/>
      <c r="R9548" s="217"/>
      <c r="S9548" s="218"/>
    </row>
    <row r="9549" spans="13:19" ht="15" customHeight="1" x14ac:dyDescent="0.25">
      <c r="M9549"/>
      <c r="N9549"/>
      <c r="O9549"/>
      <c r="P9549" s="216"/>
      <c r="Q9549" s="217"/>
      <c r="R9549" s="217"/>
      <c r="S9549" s="218"/>
    </row>
    <row r="9550" spans="13:19" ht="15" customHeight="1" x14ac:dyDescent="0.25">
      <c r="M9550"/>
      <c r="N9550"/>
      <c r="O9550"/>
      <c r="P9550" s="216"/>
      <c r="Q9550" s="217"/>
      <c r="R9550" s="217"/>
      <c r="S9550" s="218"/>
    </row>
    <row r="9551" spans="13:19" ht="15" customHeight="1" x14ac:dyDescent="0.25">
      <c r="M9551"/>
      <c r="N9551"/>
      <c r="O9551"/>
      <c r="P9551" s="216"/>
      <c r="Q9551" s="217"/>
      <c r="R9551" s="217"/>
      <c r="S9551" s="218"/>
    </row>
    <row r="9552" spans="13:19" ht="15" customHeight="1" x14ac:dyDescent="0.25">
      <c r="M9552"/>
      <c r="N9552"/>
      <c r="O9552"/>
      <c r="P9552" s="216"/>
      <c r="Q9552" s="217"/>
      <c r="R9552" s="217"/>
      <c r="S9552" s="218"/>
    </row>
    <row r="9553" spans="13:19" ht="15" customHeight="1" x14ac:dyDescent="0.25">
      <c r="M9553"/>
      <c r="N9553"/>
      <c r="O9553"/>
      <c r="P9553" s="216"/>
      <c r="Q9553" s="217"/>
      <c r="R9553" s="217"/>
      <c r="S9553" s="218"/>
    </row>
    <row r="9554" spans="13:19" ht="15" customHeight="1" x14ac:dyDescent="0.25">
      <c r="M9554"/>
      <c r="N9554"/>
      <c r="O9554"/>
      <c r="P9554" s="216"/>
      <c r="Q9554" s="217"/>
      <c r="R9554" s="217"/>
      <c r="S9554" s="218"/>
    </row>
    <row r="9555" spans="13:19" ht="15" customHeight="1" x14ac:dyDescent="0.25">
      <c r="M9555"/>
      <c r="N9555"/>
      <c r="O9555"/>
      <c r="P9555" s="216"/>
      <c r="Q9555" s="217"/>
      <c r="R9555" s="217"/>
      <c r="S9555" s="218"/>
    </row>
    <row r="9556" spans="13:19" ht="15" customHeight="1" x14ac:dyDescent="0.25">
      <c r="M9556"/>
      <c r="N9556"/>
      <c r="O9556"/>
      <c r="P9556" s="216"/>
      <c r="Q9556" s="217"/>
      <c r="R9556" s="217"/>
      <c r="S9556" s="218"/>
    </row>
    <row r="9557" spans="13:19" ht="15" customHeight="1" x14ac:dyDescent="0.25">
      <c r="M9557"/>
      <c r="N9557"/>
      <c r="O9557"/>
      <c r="P9557" s="216"/>
      <c r="Q9557" s="217"/>
      <c r="R9557" s="217"/>
      <c r="S9557" s="218"/>
    </row>
    <row r="9558" spans="13:19" ht="15" customHeight="1" x14ac:dyDescent="0.25">
      <c r="M9558"/>
      <c r="N9558"/>
      <c r="O9558"/>
      <c r="P9558" s="216"/>
      <c r="Q9558" s="217"/>
      <c r="R9558" s="217"/>
      <c r="S9558" s="218"/>
    </row>
    <row r="9559" spans="13:19" ht="15" customHeight="1" x14ac:dyDescent="0.25">
      <c r="M9559"/>
      <c r="N9559"/>
      <c r="O9559"/>
      <c r="P9559" s="216"/>
      <c r="Q9559" s="217"/>
      <c r="R9559" s="217"/>
      <c r="S9559" s="218"/>
    </row>
    <row r="9560" spans="13:19" ht="15" customHeight="1" x14ac:dyDescent="0.25">
      <c r="M9560"/>
      <c r="N9560"/>
      <c r="O9560"/>
      <c r="P9560" s="216"/>
      <c r="Q9560" s="217"/>
      <c r="R9560" s="217"/>
      <c r="S9560" s="218"/>
    </row>
    <row r="9561" spans="13:19" ht="15" customHeight="1" x14ac:dyDescent="0.25">
      <c r="M9561"/>
      <c r="N9561"/>
      <c r="O9561"/>
      <c r="P9561" s="216"/>
      <c r="Q9561" s="217"/>
      <c r="R9561" s="217"/>
      <c r="S9561" s="218"/>
    </row>
    <row r="9562" spans="13:19" ht="15" customHeight="1" x14ac:dyDescent="0.25">
      <c r="M9562"/>
      <c r="N9562"/>
      <c r="O9562"/>
      <c r="P9562" s="216"/>
      <c r="Q9562" s="217"/>
      <c r="R9562" s="217"/>
      <c r="S9562" s="218"/>
    </row>
    <row r="9563" spans="13:19" ht="15" customHeight="1" x14ac:dyDescent="0.25">
      <c r="M9563"/>
      <c r="N9563"/>
      <c r="O9563"/>
      <c r="P9563" s="216"/>
      <c r="Q9563" s="217"/>
      <c r="R9563" s="217"/>
      <c r="S9563" s="218"/>
    </row>
    <row r="9564" spans="13:19" ht="15" customHeight="1" x14ac:dyDescent="0.25">
      <c r="M9564"/>
      <c r="N9564"/>
      <c r="O9564"/>
      <c r="P9564" s="216"/>
      <c r="Q9564" s="217"/>
      <c r="R9564" s="217"/>
      <c r="S9564" s="218"/>
    </row>
    <row r="9565" spans="13:19" ht="15" customHeight="1" x14ac:dyDescent="0.25">
      <c r="M9565"/>
      <c r="N9565"/>
      <c r="O9565"/>
      <c r="P9565" s="216"/>
      <c r="Q9565" s="217"/>
      <c r="R9565" s="217"/>
      <c r="S9565" s="218"/>
    </row>
    <row r="9566" spans="13:19" ht="15" customHeight="1" x14ac:dyDescent="0.25">
      <c r="M9566"/>
      <c r="N9566"/>
      <c r="O9566"/>
      <c r="P9566" s="216"/>
      <c r="Q9566" s="217"/>
      <c r="R9566" s="217"/>
      <c r="S9566" s="218"/>
    </row>
    <row r="9567" spans="13:19" ht="15" customHeight="1" x14ac:dyDescent="0.25">
      <c r="M9567"/>
      <c r="N9567"/>
      <c r="O9567"/>
      <c r="P9567" s="216"/>
      <c r="Q9567" s="217"/>
      <c r="R9567" s="217"/>
      <c r="S9567" s="218"/>
    </row>
    <row r="9568" spans="13:19" ht="15" customHeight="1" x14ac:dyDescent="0.25">
      <c r="M9568"/>
      <c r="N9568"/>
      <c r="O9568"/>
      <c r="P9568" s="216"/>
      <c r="Q9568" s="217"/>
      <c r="R9568" s="217"/>
      <c r="S9568" s="218"/>
    </row>
    <row r="9569" spans="13:19" ht="15" customHeight="1" x14ac:dyDescent="0.25">
      <c r="M9569"/>
      <c r="N9569"/>
      <c r="O9569"/>
      <c r="P9569" s="216"/>
      <c r="Q9569" s="217"/>
      <c r="R9569" s="217"/>
      <c r="S9569" s="218"/>
    </row>
    <row r="9570" spans="13:19" ht="15" customHeight="1" x14ac:dyDescent="0.25">
      <c r="M9570"/>
      <c r="N9570"/>
      <c r="O9570"/>
      <c r="P9570" s="216"/>
      <c r="Q9570" s="217"/>
      <c r="R9570" s="217"/>
      <c r="S9570" s="218"/>
    </row>
    <row r="9571" spans="13:19" ht="15" customHeight="1" x14ac:dyDescent="0.25">
      <c r="M9571"/>
      <c r="N9571"/>
      <c r="O9571"/>
      <c r="P9571" s="216"/>
      <c r="Q9571" s="217"/>
      <c r="R9571" s="217"/>
      <c r="S9571" s="218"/>
    </row>
    <row r="9572" spans="13:19" ht="15" customHeight="1" x14ac:dyDescent="0.25">
      <c r="M9572"/>
      <c r="N9572"/>
      <c r="O9572"/>
      <c r="P9572" s="216"/>
      <c r="Q9572" s="217"/>
      <c r="R9572" s="217"/>
      <c r="S9572" s="218"/>
    </row>
    <row r="9573" spans="13:19" ht="15" customHeight="1" x14ac:dyDescent="0.25">
      <c r="M9573"/>
      <c r="N9573"/>
      <c r="O9573"/>
      <c r="P9573" s="216"/>
      <c r="Q9573" s="217"/>
      <c r="R9573" s="217"/>
      <c r="S9573" s="218"/>
    </row>
    <row r="9574" spans="13:19" ht="15" customHeight="1" x14ac:dyDescent="0.25">
      <c r="M9574"/>
      <c r="N9574"/>
      <c r="O9574"/>
      <c r="P9574" s="216"/>
      <c r="Q9574" s="217"/>
      <c r="R9574" s="217"/>
      <c r="S9574" s="218"/>
    </row>
    <row r="9575" spans="13:19" ht="15" customHeight="1" x14ac:dyDescent="0.25">
      <c r="M9575"/>
      <c r="N9575"/>
      <c r="O9575"/>
      <c r="P9575" s="216"/>
      <c r="Q9575" s="217"/>
      <c r="R9575" s="217"/>
      <c r="S9575" s="218"/>
    </row>
    <row r="9576" spans="13:19" ht="15" customHeight="1" x14ac:dyDescent="0.25">
      <c r="M9576"/>
      <c r="N9576"/>
      <c r="O9576"/>
      <c r="P9576" s="216"/>
      <c r="Q9576" s="217"/>
      <c r="R9576" s="217"/>
      <c r="S9576" s="218"/>
    </row>
    <row r="9577" spans="13:19" ht="15" customHeight="1" x14ac:dyDescent="0.25">
      <c r="M9577"/>
      <c r="N9577"/>
      <c r="O9577"/>
      <c r="P9577" s="216"/>
      <c r="Q9577" s="217"/>
      <c r="R9577" s="217"/>
      <c r="S9577" s="218"/>
    </row>
    <row r="9578" spans="13:19" ht="15" customHeight="1" x14ac:dyDescent="0.25">
      <c r="M9578"/>
      <c r="N9578"/>
      <c r="O9578"/>
      <c r="P9578" s="216"/>
      <c r="Q9578" s="217"/>
      <c r="R9578" s="217"/>
      <c r="S9578" s="218"/>
    </row>
    <row r="9579" spans="13:19" ht="15" customHeight="1" x14ac:dyDescent="0.25">
      <c r="M9579"/>
      <c r="N9579"/>
      <c r="O9579"/>
      <c r="P9579" s="216"/>
      <c r="Q9579" s="217"/>
      <c r="R9579" s="217"/>
      <c r="S9579" s="218"/>
    </row>
    <row r="9580" spans="13:19" ht="15" customHeight="1" x14ac:dyDescent="0.25">
      <c r="M9580"/>
      <c r="N9580"/>
      <c r="O9580"/>
      <c r="P9580" s="216"/>
      <c r="Q9580" s="217"/>
      <c r="R9580" s="217"/>
      <c r="S9580" s="218"/>
    </row>
    <row r="9581" spans="13:19" ht="15" customHeight="1" x14ac:dyDescent="0.25">
      <c r="M9581"/>
      <c r="N9581"/>
      <c r="O9581"/>
      <c r="P9581" s="216"/>
      <c r="Q9581" s="217"/>
      <c r="R9581" s="217"/>
      <c r="S9581" s="218"/>
    </row>
    <row r="9582" spans="13:19" ht="15" customHeight="1" x14ac:dyDescent="0.25">
      <c r="M9582"/>
      <c r="N9582"/>
      <c r="O9582"/>
      <c r="P9582" s="216"/>
      <c r="Q9582" s="217"/>
      <c r="R9582" s="217"/>
      <c r="S9582" s="218"/>
    </row>
    <row r="9583" spans="13:19" ht="15" customHeight="1" x14ac:dyDescent="0.25">
      <c r="M9583"/>
      <c r="N9583"/>
      <c r="O9583"/>
      <c r="P9583" s="216"/>
      <c r="Q9583" s="217"/>
      <c r="R9583" s="217"/>
      <c r="S9583" s="218"/>
    </row>
    <row r="9584" spans="13:19" ht="15" customHeight="1" x14ac:dyDescent="0.25">
      <c r="M9584"/>
      <c r="N9584"/>
      <c r="O9584"/>
      <c r="P9584" s="216"/>
      <c r="Q9584" s="217"/>
      <c r="R9584" s="217"/>
      <c r="S9584" s="218"/>
    </row>
    <row r="9585" spans="13:19" ht="15" customHeight="1" x14ac:dyDescent="0.25">
      <c r="M9585"/>
      <c r="N9585"/>
      <c r="O9585"/>
      <c r="P9585" s="216"/>
      <c r="Q9585" s="217"/>
      <c r="R9585" s="217"/>
      <c r="S9585" s="218"/>
    </row>
    <row r="9586" spans="13:19" ht="15" customHeight="1" x14ac:dyDescent="0.25">
      <c r="M9586"/>
      <c r="N9586"/>
      <c r="O9586"/>
      <c r="P9586" s="216"/>
      <c r="Q9586" s="217"/>
      <c r="R9586" s="217"/>
      <c r="S9586" s="218"/>
    </row>
    <row r="9587" spans="13:19" ht="15" customHeight="1" x14ac:dyDescent="0.25">
      <c r="M9587"/>
      <c r="N9587"/>
      <c r="O9587"/>
      <c r="P9587" s="216"/>
      <c r="Q9587" s="217"/>
      <c r="R9587" s="217"/>
      <c r="S9587" s="218"/>
    </row>
    <row r="9588" spans="13:19" ht="15" customHeight="1" x14ac:dyDescent="0.25">
      <c r="M9588"/>
      <c r="N9588"/>
      <c r="O9588"/>
      <c r="P9588" s="216"/>
      <c r="Q9588" s="217"/>
      <c r="R9588" s="217"/>
      <c r="S9588" s="218"/>
    </row>
    <row r="9589" spans="13:19" ht="15" customHeight="1" x14ac:dyDescent="0.25">
      <c r="M9589"/>
      <c r="N9589"/>
      <c r="O9589"/>
      <c r="P9589" s="216"/>
      <c r="Q9589" s="217"/>
      <c r="R9589" s="217"/>
      <c r="S9589" s="218"/>
    </row>
    <row r="9590" spans="13:19" ht="15" customHeight="1" x14ac:dyDescent="0.25">
      <c r="M9590"/>
      <c r="N9590"/>
      <c r="O9590"/>
      <c r="P9590" s="216"/>
      <c r="Q9590" s="217"/>
      <c r="R9590" s="217"/>
      <c r="S9590" s="218"/>
    </row>
    <row r="9591" spans="13:19" ht="15" customHeight="1" x14ac:dyDescent="0.25">
      <c r="M9591"/>
      <c r="N9591"/>
      <c r="O9591"/>
      <c r="P9591" s="216"/>
      <c r="Q9591" s="217"/>
      <c r="R9591" s="217"/>
      <c r="S9591" s="218"/>
    </row>
    <row r="9592" spans="13:19" ht="15" customHeight="1" x14ac:dyDescent="0.25">
      <c r="M9592"/>
      <c r="N9592"/>
      <c r="O9592"/>
      <c r="P9592" s="216"/>
      <c r="Q9592" s="217"/>
      <c r="R9592" s="217"/>
      <c r="S9592" s="218"/>
    </row>
    <row r="9593" spans="13:19" ht="15" customHeight="1" x14ac:dyDescent="0.25">
      <c r="M9593"/>
      <c r="N9593"/>
      <c r="O9593"/>
      <c r="P9593" s="216"/>
      <c r="Q9593" s="217"/>
      <c r="R9593" s="217"/>
      <c r="S9593" s="218"/>
    </row>
    <row r="9594" spans="13:19" ht="15" customHeight="1" x14ac:dyDescent="0.25">
      <c r="M9594"/>
      <c r="N9594"/>
      <c r="O9594"/>
      <c r="P9594" s="216"/>
      <c r="Q9594" s="217"/>
      <c r="R9594" s="217"/>
      <c r="S9594" s="218"/>
    </row>
    <row r="9595" spans="13:19" ht="15" customHeight="1" x14ac:dyDescent="0.25">
      <c r="M9595"/>
      <c r="N9595"/>
      <c r="O9595"/>
      <c r="P9595" s="216"/>
      <c r="Q9595" s="217"/>
      <c r="R9595" s="217"/>
      <c r="S9595" s="218"/>
    </row>
    <row r="9596" spans="13:19" ht="15" customHeight="1" x14ac:dyDescent="0.25">
      <c r="M9596"/>
      <c r="N9596"/>
      <c r="O9596"/>
      <c r="P9596" s="216"/>
      <c r="Q9596" s="217"/>
      <c r="R9596" s="217"/>
      <c r="S9596" s="218"/>
    </row>
    <row r="9597" spans="13:19" ht="15" customHeight="1" x14ac:dyDescent="0.25">
      <c r="M9597"/>
      <c r="N9597"/>
      <c r="O9597"/>
      <c r="P9597" s="216"/>
      <c r="Q9597" s="217"/>
      <c r="R9597" s="217"/>
      <c r="S9597" s="218"/>
    </row>
    <row r="9598" spans="13:19" ht="15" customHeight="1" x14ac:dyDescent="0.25">
      <c r="M9598"/>
      <c r="N9598"/>
      <c r="O9598"/>
      <c r="P9598" s="216"/>
      <c r="Q9598" s="217"/>
      <c r="R9598" s="217"/>
      <c r="S9598" s="218"/>
    </row>
    <row r="9599" spans="13:19" ht="15" customHeight="1" x14ac:dyDescent="0.25">
      <c r="M9599"/>
      <c r="N9599"/>
      <c r="O9599"/>
      <c r="P9599" s="216"/>
      <c r="Q9599" s="217"/>
      <c r="R9599" s="217"/>
      <c r="S9599" s="218"/>
    </row>
    <row r="9600" spans="13:19" ht="15" customHeight="1" x14ac:dyDescent="0.25">
      <c r="M9600"/>
      <c r="N9600"/>
      <c r="O9600"/>
      <c r="P9600" s="216"/>
      <c r="Q9600" s="217"/>
      <c r="R9600" s="217"/>
      <c r="S9600" s="218"/>
    </row>
    <row r="9601" spans="13:19" ht="15" customHeight="1" x14ac:dyDescent="0.25">
      <c r="M9601"/>
      <c r="N9601"/>
      <c r="O9601"/>
      <c r="P9601" s="216"/>
      <c r="Q9601" s="217"/>
      <c r="R9601" s="217"/>
      <c r="S9601" s="218"/>
    </row>
    <row r="9602" spans="13:19" ht="15" customHeight="1" x14ac:dyDescent="0.25">
      <c r="M9602"/>
      <c r="N9602"/>
      <c r="O9602"/>
      <c r="P9602" s="216"/>
      <c r="Q9602" s="217"/>
      <c r="R9602" s="217"/>
      <c r="S9602" s="218"/>
    </row>
    <row r="9603" spans="13:19" ht="15" customHeight="1" x14ac:dyDescent="0.25">
      <c r="M9603"/>
      <c r="N9603"/>
      <c r="O9603"/>
      <c r="P9603" s="216"/>
      <c r="Q9603" s="217"/>
      <c r="R9603" s="217"/>
      <c r="S9603" s="218"/>
    </row>
    <row r="9604" spans="13:19" ht="15" customHeight="1" x14ac:dyDescent="0.25">
      <c r="M9604"/>
      <c r="N9604"/>
      <c r="O9604"/>
      <c r="P9604" s="216"/>
      <c r="Q9604" s="217"/>
      <c r="R9604" s="217"/>
      <c r="S9604" s="218"/>
    </row>
    <row r="9605" spans="13:19" ht="15" customHeight="1" x14ac:dyDescent="0.25">
      <c r="M9605"/>
      <c r="N9605"/>
      <c r="O9605"/>
      <c r="P9605" s="216"/>
      <c r="Q9605" s="217"/>
      <c r="R9605" s="217"/>
      <c r="S9605" s="218"/>
    </row>
    <row r="9606" spans="13:19" ht="15" customHeight="1" x14ac:dyDescent="0.25">
      <c r="M9606"/>
      <c r="N9606"/>
      <c r="O9606"/>
      <c r="P9606" s="216"/>
      <c r="Q9606" s="217"/>
      <c r="R9606" s="217"/>
      <c r="S9606" s="218"/>
    </row>
    <row r="9607" spans="13:19" ht="15" customHeight="1" x14ac:dyDescent="0.25">
      <c r="M9607"/>
      <c r="N9607"/>
      <c r="O9607"/>
      <c r="P9607" s="216"/>
      <c r="Q9607" s="217"/>
      <c r="R9607" s="217"/>
      <c r="S9607" s="218"/>
    </row>
    <row r="9608" spans="13:19" ht="15" customHeight="1" x14ac:dyDescent="0.25">
      <c r="M9608"/>
      <c r="N9608"/>
      <c r="O9608"/>
      <c r="P9608" s="216"/>
      <c r="Q9608" s="217"/>
      <c r="R9608" s="217"/>
      <c r="S9608" s="218"/>
    </row>
    <row r="9609" spans="13:19" ht="15" customHeight="1" x14ac:dyDescent="0.25">
      <c r="M9609"/>
      <c r="N9609"/>
      <c r="O9609"/>
      <c r="P9609" s="216"/>
      <c r="Q9609" s="217"/>
      <c r="R9609" s="217"/>
      <c r="S9609" s="218"/>
    </row>
    <row r="9610" spans="13:19" ht="15" customHeight="1" x14ac:dyDescent="0.25">
      <c r="M9610"/>
      <c r="N9610"/>
      <c r="O9610"/>
      <c r="P9610" s="216"/>
      <c r="Q9610" s="217"/>
      <c r="R9610" s="217"/>
      <c r="S9610" s="218"/>
    </row>
    <row r="9611" spans="13:19" ht="15" customHeight="1" x14ac:dyDescent="0.25">
      <c r="M9611"/>
      <c r="N9611"/>
      <c r="O9611"/>
      <c r="P9611" s="216"/>
      <c r="Q9611" s="217"/>
      <c r="R9611" s="217"/>
      <c r="S9611" s="218"/>
    </row>
    <row r="9612" spans="13:19" ht="15" customHeight="1" x14ac:dyDescent="0.25">
      <c r="M9612"/>
      <c r="N9612"/>
      <c r="O9612"/>
      <c r="P9612" s="216"/>
      <c r="Q9612" s="217"/>
      <c r="R9612" s="217"/>
      <c r="S9612" s="218"/>
    </row>
    <row r="9613" spans="13:19" ht="15" customHeight="1" x14ac:dyDescent="0.25">
      <c r="M9613"/>
      <c r="N9613"/>
      <c r="O9613"/>
      <c r="P9613" s="216"/>
      <c r="Q9613" s="217"/>
      <c r="R9613" s="217"/>
      <c r="S9613" s="218"/>
    </row>
    <row r="9614" spans="13:19" ht="15" customHeight="1" x14ac:dyDescent="0.25">
      <c r="M9614"/>
      <c r="N9614"/>
      <c r="O9614"/>
      <c r="P9614" s="216"/>
      <c r="Q9614" s="217"/>
      <c r="R9614" s="217"/>
      <c r="S9614" s="218"/>
    </row>
    <row r="9615" spans="13:19" ht="15" customHeight="1" x14ac:dyDescent="0.25">
      <c r="M9615"/>
      <c r="N9615"/>
      <c r="O9615"/>
      <c r="P9615" s="216"/>
      <c r="Q9615" s="217"/>
      <c r="R9615" s="217"/>
      <c r="S9615" s="218"/>
    </row>
    <row r="9616" spans="13:19" ht="15" customHeight="1" x14ac:dyDescent="0.25">
      <c r="M9616"/>
      <c r="N9616"/>
      <c r="O9616"/>
      <c r="P9616" s="216"/>
      <c r="Q9616" s="217"/>
      <c r="R9616" s="217"/>
      <c r="S9616" s="218"/>
    </row>
    <row r="9617" spans="13:19" ht="15" customHeight="1" x14ac:dyDescent="0.25">
      <c r="M9617"/>
      <c r="N9617"/>
      <c r="O9617"/>
      <c r="P9617" s="216"/>
      <c r="Q9617" s="217"/>
      <c r="R9617" s="217"/>
      <c r="S9617" s="218"/>
    </row>
    <row r="9618" spans="13:19" ht="15" customHeight="1" x14ac:dyDescent="0.25">
      <c r="M9618"/>
      <c r="N9618"/>
      <c r="O9618"/>
      <c r="P9618" s="216"/>
      <c r="Q9618" s="217"/>
      <c r="R9618" s="217"/>
      <c r="S9618" s="218"/>
    </row>
    <row r="9619" spans="13:19" ht="15" customHeight="1" x14ac:dyDescent="0.25">
      <c r="M9619"/>
      <c r="N9619"/>
      <c r="O9619"/>
      <c r="P9619" s="216"/>
      <c r="Q9619" s="217"/>
      <c r="R9619" s="217"/>
      <c r="S9619" s="218"/>
    </row>
    <row r="9620" spans="13:19" ht="15" customHeight="1" x14ac:dyDescent="0.25">
      <c r="M9620"/>
      <c r="N9620"/>
      <c r="O9620"/>
      <c r="P9620" s="216"/>
      <c r="Q9620" s="217"/>
      <c r="R9620" s="217"/>
      <c r="S9620" s="218"/>
    </row>
    <row r="9621" spans="13:19" ht="15" customHeight="1" x14ac:dyDescent="0.25">
      <c r="M9621"/>
      <c r="N9621"/>
      <c r="O9621"/>
      <c r="P9621" s="216"/>
      <c r="Q9621" s="217"/>
      <c r="R9621" s="217"/>
      <c r="S9621" s="218"/>
    </row>
    <row r="9622" spans="13:19" ht="15" customHeight="1" x14ac:dyDescent="0.25">
      <c r="M9622"/>
      <c r="N9622"/>
      <c r="O9622"/>
      <c r="P9622" s="216"/>
      <c r="Q9622" s="217"/>
      <c r="R9622" s="217"/>
      <c r="S9622" s="218"/>
    </row>
    <row r="9623" spans="13:19" ht="15" customHeight="1" x14ac:dyDescent="0.25">
      <c r="M9623"/>
      <c r="N9623"/>
      <c r="O9623"/>
      <c r="P9623" s="216"/>
      <c r="Q9623" s="217"/>
      <c r="R9623" s="217"/>
      <c r="S9623" s="218"/>
    </row>
    <row r="9624" spans="13:19" ht="15" customHeight="1" x14ac:dyDescent="0.25">
      <c r="M9624"/>
      <c r="N9624"/>
      <c r="O9624"/>
      <c r="P9624" s="216"/>
      <c r="Q9624" s="217"/>
      <c r="R9624" s="217"/>
      <c r="S9624" s="218"/>
    </row>
    <row r="9625" spans="13:19" ht="15" customHeight="1" x14ac:dyDescent="0.25">
      <c r="M9625"/>
      <c r="N9625"/>
      <c r="O9625"/>
      <c r="P9625" s="216"/>
      <c r="Q9625" s="217"/>
      <c r="R9625" s="217"/>
      <c r="S9625" s="218"/>
    </row>
    <row r="9626" spans="13:19" ht="15" customHeight="1" x14ac:dyDescent="0.25">
      <c r="M9626"/>
      <c r="N9626"/>
      <c r="O9626"/>
      <c r="P9626" s="216"/>
      <c r="Q9626" s="217"/>
      <c r="R9626" s="217"/>
      <c r="S9626" s="218"/>
    </row>
    <row r="9627" spans="13:19" ht="15" customHeight="1" x14ac:dyDescent="0.25">
      <c r="M9627"/>
      <c r="N9627"/>
      <c r="O9627"/>
      <c r="P9627" s="216"/>
      <c r="Q9627" s="217"/>
      <c r="R9627" s="217"/>
      <c r="S9627" s="218"/>
    </row>
    <row r="9628" spans="13:19" ht="15" customHeight="1" x14ac:dyDescent="0.25">
      <c r="M9628"/>
      <c r="N9628"/>
      <c r="O9628"/>
      <c r="P9628" s="216"/>
      <c r="Q9628" s="217"/>
      <c r="R9628" s="217"/>
      <c r="S9628" s="218"/>
    </row>
    <row r="9629" spans="13:19" ht="15" customHeight="1" x14ac:dyDescent="0.25">
      <c r="M9629"/>
      <c r="N9629"/>
      <c r="O9629"/>
      <c r="P9629" s="216"/>
      <c r="Q9629" s="217"/>
      <c r="R9629" s="217"/>
      <c r="S9629" s="218"/>
    </row>
    <row r="9630" spans="13:19" ht="15" customHeight="1" x14ac:dyDescent="0.25">
      <c r="M9630"/>
      <c r="N9630"/>
      <c r="O9630"/>
      <c r="P9630" s="216"/>
      <c r="Q9630" s="217"/>
      <c r="R9630" s="217"/>
      <c r="S9630" s="218"/>
    </row>
    <row r="9631" spans="13:19" ht="15" customHeight="1" x14ac:dyDescent="0.25">
      <c r="M9631"/>
      <c r="N9631"/>
      <c r="O9631"/>
      <c r="P9631" s="216"/>
      <c r="Q9631" s="217"/>
      <c r="R9631" s="217"/>
      <c r="S9631" s="218"/>
    </row>
    <row r="9632" spans="13:19" ht="15" customHeight="1" x14ac:dyDescent="0.25">
      <c r="M9632"/>
      <c r="N9632"/>
      <c r="O9632"/>
      <c r="P9632" s="216"/>
      <c r="Q9632" s="217"/>
      <c r="R9632" s="217"/>
      <c r="S9632" s="218"/>
    </row>
    <row r="9633" spans="13:19" ht="15" customHeight="1" x14ac:dyDescent="0.25">
      <c r="M9633"/>
      <c r="N9633"/>
      <c r="O9633"/>
      <c r="P9633" s="216"/>
      <c r="Q9633" s="217"/>
      <c r="R9633" s="217"/>
      <c r="S9633" s="218"/>
    </row>
    <row r="9634" spans="13:19" ht="15" customHeight="1" x14ac:dyDescent="0.25">
      <c r="M9634"/>
      <c r="N9634"/>
      <c r="O9634"/>
      <c r="P9634" s="216"/>
      <c r="Q9634" s="217"/>
      <c r="R9634" s="217"/>
      <c r="S9634" s="218"/>
    </row>
    <row r="9635" spans="13:19" ht="15" customHeight="1" x14ac:dyDescent="0.25">
      <c r="M9635"/>
      <c r="N9635"/>
      <c r="O9635"/>
      <c r="P9635" s="216"/>
      <c r="Q9635" s="217"/>
      <c r="R9635" s="217"/>
      <c r="S9635" s="218"/>
    </row>
    <row r="9636" spans="13:19" ht="15" customHeight="1" x14ac:dyDescent="0.25">
      <c r="M9636"/>
      <c r="N9636"/>
      <c r="O9636"/>
      <c r="P9636" s="216"/>
      <c r="Q9636" s="217"/>
      <c r="R9636" s="217"/>
      <c r="S9636" s="218"/>
    </row>
    <row r="9637" spans="13:19" ht="15" customHeight="1" x14ac:dyDescent="0.25">
      <c r="M9637"/>
      <c r="N9637"/>
      <c r="O9637"/>
      <c r="P9637" s="216"/>
      <c r="Q9637" s="217"/>
      <c r="R9637" s="217"/>
      <c r="S9637" s="218"/>
    </row>
    <row r="9638" spans="13:19" ht="15" customHeight="1" x14ac:dyDescent="0.25">
      <c r="M9638"/>
      <c r="N9638"/>
      <c r="O9638"/>
      <c r="P9638" s="216"/>
      <c r="Q9638" s="217"/>
      <c r="R9638" s="217"/>
      <c r="S9638" s="218"/>
    </row>
    <row r="9639" spans="13:19" ht="15" customHeight="1" x14ac:dyDescent="0.25">
      <c r="M9639"/>
      <c r="N9639"/>
      <c r="O9639"/>
      <c r="P9639" s="216"/>
      <c r="Q9639" s="217"/>
      <c r="R9639" s="217"/>
      <c r="S9639" s="218"/>
    </row>
    <row r="9640" spans="13:19" ht="15" customHeight="1" x14ac:dyDescent="0.25">
      <c r="M9640"/>
      <c r="N9640"/>
      <c r="O9640"/>
      <c r="P9640" s="216"/>
      <c r="Q9640" s="217"/>
      <c r="R9640" s="217"/>
      <c r="S9640" s="218"/>
    </row>
    <row r="9641" spans="13:19" ht="15" customHeight="1" x14ac:dyDescent="0.25">
      <c r="M9641"/>
      <c r="N9641"/>
      <c r="O9641"/>
      <c r="P9641" s="216"/>
      <c r="Q9641" s="217"/>
      <c r="R9641" s="217"/>
      <c r="S9641" s="218"/>
    </row>
    <row r="9642" spans="13:19" ht="15" customHeight="1" x14ac:dyDescent="0.25">
      <c r="M9642"/>
      <c r="N9642"/>
      <c r="O9642"/>
      <c r="P9642" s="216"/>
      <c r="Q9642" s="217"/>
      <c r="R9642" s="217"/>
      <c r="S9642" s="218"/>
    </row>
    <row r="9643" spans="13:19" ht="15" customHeight="1" x14ac:dyDescent="0.25">
      <c r="M9643"/>
      <c r="N9643"/>
      <c r="O9643"/>
      <c r="P9643" s="216"/>
      <c r="Q9643" s="217"/>
      <c r="R9643" s="217"/>
      <c r="S9643" s="218"/>
    </row>
    <row r="9644" spans="13:19" ht="15" customHeight="1" x14ac:dyDescent="0.25">
      <c r="M9644"/>
      <c r="N9644"/>
      <c r="O9644"/>
      <c r="P9644" s="216"/>
      <c r="Q9644" s="217"/>
      <c r="R9644" s="217"/>
      <c r="S9644" s="218"/>
    </row>
    <row r="9645" spans="13:19" ht="15" customHeight="1" x14ac:dyDescent="0.25">
      <c r="M9645"/>
      <c r="N9645"/>
      <c r="O9645"/>
      <c r="P9645" s="216"/>
      <c r="Q9645" s="217"/>
      <c r="R9645" s="217"/>
      <c r="S9645" s="218"/>
    </row>
    <row r="9646" spans="13:19" ht="15" customHeight="1" x14ac:dyDescent="0.25">
      <c r="M9646"/>
      <c r="N9646"/>
      <c r="O9646"/>
      <c r="P9646" s="216"/>
      <c r="Q9646" s="217"/>
      <c r="R9646" s="217"/>
      <c r="S9646" s="218"/>
    </row>
    <row r="9647" spans="13:19" ht="15" customHeight="1" x14ac:dyDescent="0.25">
      <c r="M9647"/>
      <c r="N9647"/>
      <c r="O9647"/>
      <c r="P9647" s="216"/>
      <c r="Q9647" s="217"/>
      <c r="R9647" s="217"/>
      <c r="S9647" s="218"/>
    </row>
    <row r="9648" spans="13:19" ht="15" customHeight="1" x14ac:dyDescent="0.25">
      <c r="M9648"/>
      <c r="N9648"/>
      <c r="O9648"/>
      <c r="P9648" s="216"/>
      <c r="Q9648" s="217"/>
      <c r="R9648" s="217"/>
      <c r="S9648" s="218"/>
    </row>
    <row r="9649" spans="13:19" ht="15" customHeight="1" x14ac:dyDescent="0.25">
      <c r="M9649"/>
      <c r="N9649"/>
      <c r="O9649"/>
      <c r="P9649" s="216"/>
      <c r="Q9649" s="217"/>
      <c r="R9649" s="217"/>
      <c r="S9649" s="218"/>
    </row>
    <row r="9650" spans="13:19" ht="15" customHeight="1" x14ac:dyDescent="0.25">
      <c r="M9650"/>
      <c r="N9650"/>
      <c r="O9650"/>
      <c r="P9650" s="216"/>
      <c r="Q9650" s="217"/>
      <c r="R9650" s="217"/>
      <c r="S9650" s="218"/>
    </row>
    <row r="9651" spans="13:19" ht="15" customHeight="1" x14ac:dyDescent="0.25">
      <c r="M9651"/>
      <c r="N9651"/>
      <c r="O9651"/>
      <c r="P9651" s="216"/>
      <c r="Q9651" s="217"/>
      <c r="R9651" s="217"/>
      <c r="S9651" s="218"/>
    </row>
    <row r="9652" spans="13:19" ht="15" customHeight="1" x14ac:dyDescent="0.25">
      <c r="M9652"/>
      <c r="N9652"/>
      <c r="O9652"/>
      <c r="P9652" s="216"/>
      <c r="Q9652" s="217"/>
      <c r="R9652" s="217"/>
      <c r="S9652" s="218"/>
    </row>
    <row r="9653" spans="13:19" ht="15" customHeight="1" x14ac:dyDescent="0.25">
      <c r="M9653"/>
      <c r="N9653"/>
      <c r="O9653"/>
      <c r="P9653" s="216"/>
      <c r="Q9653" s="217"/>
      <c r="R9653" s="217"/>
      <c r="S9653" s="218"/>
    </row>
    <row r="9654" spans="13:19" ht="15" customHeight="1" x14ac:dyDescent="0.25">
      <c r="M9654"/>
      <c r="N9654"/>
      <c r="O9654"/>
      <c r="P9654" s="216"/>
      <c r="Q9654" s="217"/>
      <c r="R9654" s="217"/>
      <c r="S9654" s="218"/>
    </row>
    <row r="9655" spans="13:19" ht="15" customHeight="1" x14ac:dyDescent="0.25">
      <c r="M9655"/>
      <c r="N9655"/>
      <c r="O9655"/>
      <c r="P9655" s="216"/>
      <c r="Q9655" s="217"/>
      <c r="R9655" s="217"/>
      <c r="S9655" s="218"/>
    </row>
    <row r="9656" spans="13:19" ht="15" customHeight="1" x14ac:dyDescent="0.25">
      <c r="M9656"/>
      <c r="N9656"/>
      <c r="O9656"/>
      <c r="P9656" s="216"/>
      <c r="Q9656" s="217"/>
      <c r="R9656" s="217"/>
      <c r="S9656" s="218"/>
    </row>
    <row r="9657" spans="13:19" ht="15" customHeight="1" x14ac:dyDescent="0.25">
      <c r="M9657"/>
      <c r="N9657"/>
      <c r="O9657"/>
      <c r="P9657" s="216"/>
      <c r="Q9657" s="217"/>
      <c r="R9657" s="217"/>
      <c r="S9657" s="218"/>
    </row>
    <row r="9658" spans="13:19" ht="15" customHeight="1" x14ac:dyDescent="0.25">
      <c r="M9658"/>
      <c r="N9658"/>
      <c r="O9658"/>
      <c r="P9658" s="216"/>
      <c r="Q9658" s="217"/>
      <c r="R9658" s="217"/>
      <c r="S9658" s="218"/>
    </row>
    <row r="9659" spans="13:19" ht="15" customHeight="1" x14ac:dyDescent="0.25">
      <c r="M9659"/>
      <c r="N9659"/>
      <c r="O9659"/>
      <c r="P9659" s="216"/>
      <c r="Q9659" s="217"/>
      <c r="R9659" s="217"/>
      <c r="S9659" s="218"/>
    </row>
    <row r="9660" spans="13:19" ht="15" customHeight="1" x14ac:dyDescent="0.25">
      <c r="M9660"/>
      <c r="N9660"/>
      <c r="O9660"/>
      <c r="P9660" s="216"/>
      <c r="Q9660" s="217"/>
      <c r="R9660" s="217"/>
      <c r="S9660" s="218"/>
    </row>
    <row r="9661" spans="13:19" ht="15" customHeight="1" x14ac:dyDescent="0.25">
      <c r="M9661"/>
      <c r="N9661"/>
      <c r="O9661"/>
      <c r="P9661" s="216"/>
      <c r="Q9661" s="217"/>
      <c r="R9661" s="217"/>
      <c r="S9661" s="218"/>
    </row>
    <row r="9662" spans="13:19" ht="15" customHeight="1" x14ac:dyDescent="0.25">
      <c r="M9662"/>
      <c r="N9662"/>
      <c r="O9662"/>
      <c r="P9662" s="216"/>
      <c r="Q9662" s="217"/>
      <c r="R9662" s="217"/>
      <c r="S9662" s="218"/>
    </row>
    <row r="9663" spans="13:19" ht="15" customHeight="1" x14ac:dyDescent="0.25">
      <c r="M9663"/>
      <c r="N9663"/>
      <c r="O9663"/>
      <c r="P9663" s="216"/>
      <c r="Q9663" s="217"/>
      <c r="R9663" s="217"/>
      <c r="S9663" s="218"/>
    </row>
    <row r="9664" spans="13:19" ht="15" customHeight="1" x14ac:dyDescent="0.25">
      <c r="M9664"/>
      <c r="N9664"/>
      <c r="O9664"/>
      <c r="P9664" s="216"/>
      <c r="Q9664" s="217"/>
      <c r="R9664" s="217"/>
      <c r="S9664" s="218"/>
    </row>
    <row r="9665" spans="13:19" ht="15" customHeight="1" x14ac:dyDescent="0.25">
      <c r="M9665"/>
      <c r="N9665"/>
      <c r="O9665"/>
      <c r="P9665" s="216"/>
      <c r="Q9665" s="217"/>
      <c r="R9665" s="217"/>
      <c r="S9665" s="218"/>
    </row>
    <row r="9666" spans="13:19" ht="15" customHeight="1" x14ac:dyDescent="0.25">
      <c r="M9666"/>
      <c r="N9666"/>
      <c r="O9666"/>
      <c r="P9666" s="216"/>
      <c r="Q9666" s="217"/>
      <c r="R9666" s="217"/>
      <c r="S9666" s="218"/>
    </row>
    <row r="9667" spans="13:19" ht="15" customHeight="1" x14ac:dyDescent="0.25">
      <c r="M9667"/>
      <c r="N9667"/>
      <c r="O9667"/>
      <c r="P9667" s="216"/>
      <c r="Q9667" s="217"/>
      <c r="R9667" s="217"/>
      <c r="S9667" s="218"/>
    </row>
    <row r="9668" spans="13:19" ht="15" customHeight="1" x14ac:dyDescent="0.25">
      <c r="M9668"/>
      <c r="N9668"/>
      <c r="O9668"/>
      <c r="P9668" s="216"/>
      <c r="Q9668" s="217"/>
      <c r="R9668" s="217"/>
      <c r="S9668" s="218"/>
    </row>
    <row r="9669" spans="13:19" ht="15" customHeight="1" x14ac:dyDescent="0.25">
      <c r="M9669"/>
      <c r="N9669"/>
      <c r="O9669"/>
      <c r="P9669" s="216"/>
      <c r="Q9669" s="217"/>
      <c r="R9669" s="217"/>
      <c r="S9669" s="218"/>
    </row>
    <row r="9670" spans="13:19" ht="15" customHeight="1" x14ac:dyDescent="0.25">
      <c r="M9670"/>
      <c r="N9670"/>
      <c r="O9670"/>
      <c r="P9670" s="216"/>
      <c r="Q9670" s="217"/>
      <c r="R9670" s="217"/>
      <c r="S9670" s="218"/>
    </row>
    <row r="9671" spans="13:19" ht="15" customHeight="1" x14ac:dyDescent="0.25">
      <c r="M9671"/>
      <c r="N9671"/>
      <c r="O9671"/>
      <c r="P9671" s="216"/>
      <c r="Q9671" s="217"/>
      <c r="R9671" s="217"/>
      <c r="S9671" s="218"/>
    </row>
    <row r="9672" spans="13:19" ht="15" customHeight="1" x14ac:dyDescent="0.25">
      <c r="M9672"/>
      <c r="N9672"/>
      <c r="O9672"/>
      <c r="P9672" s="216"/>
      <c r="Q9672" s="217"/>
      <c r="R9672" s="217"/>
      <c r="S9672" s="218"/>
    </row>
    <row r="9673" spans="13:19" ht="15" customHeight="1" x14ac:dyDescent="0.25">
      <c r="M9673"/>
      <c r="N9673"/>
      <c r="O9673"/>
      <c r="P9673" s="216"/>
      <c r="Q9673" s="217"/>
      <c r="R9673" s="217"/>
      <c r="S9673" s="218"/>
    </row>
    <row r="9674" spans="13:19" ht="15" customHeight="1" x14ac:dyDescent="0.25">
      <c r="M9674"/>
      <c r="N9674"/>
      <c r="O9674"/>
      <c r="P9674" s="216"/>
      <c r="Q9674" s="217"/>
      <c r="R9674" s="217"/>
      <c r="S9674" s="218"/>
    </row>
    <row r="9675" spans="13:19" ht="15" customHeight="1" x14ac:dyDescent="0.25">
      <c r="M9675"/>
      <c r="N9675"/>
      <c r="O9675"/>
      <c r="P9675" s="216"/>
      <c r="Q9675" s="217"/>
      <c r="R9675" s="217"/>
      <c r="S9675" s="218"/>
    </row>
    <row r="9676" spans="13:19" ht="15" customHeight="1" x14ac:dyDescent="0.25">
      <c r="M9676"/>
      <c r="N9676"/>
      <c r="O9676"/>
      <c r="P9676" s="216"/>
      <c r="Q9676" s="217"/>
      <c r="R9676" s="217"/>
      <c r="S9676" s="218"/>
    </row>
    <row r="9677" spans="13:19" ht="15" customHeight="1" x14ac:dyDescent="0.25">
      <c r="M9677"/>
      <c r="N9677"/>
      <c r="O9677"/>
      <c r="P9677" s="216"/>
      <c r="Q9677" s="217"/>
      <c r="R9677" s="217"/>
      <c r="S9677" s="218"/>
    </row>
    <row r="9678" spans="13:19" ht="15" customHeight="1" x14ac:dyDescent="0.25">
      <c r="M9678"/>
      <c r="N9678"/>
      <c r="O9678"/>
      <c r="P9678" s="216"/>
      <c r="Q9678" s="217"/>
      <c r="R9678" s="217"/>
      <c r="S9678" s="218"/>
    </row>
    <row r="9679" spans="13:19" ht="15" customHeight="1" x14ac:dyDescent="0.25">
      <c r="M9679"/>
      <c r="N9679"/>
      <c r="O9679"/>
      <c r="P9679" s="216"/>
      <c r="Q9679" s="217"/>
      <c r="R9679" s="217"/>
      <c r="S9679" s="218"/>
    </row>
    <row r="9680" spans="13:19" ht="15" customHeight="1" x14ac:dyDescent="0.25">
      <c r="M9680"/>
      <c r="N9680"/>
      <c r="O9680"/>
      <c r="P9680" s="216"/>
      <c r="Q9680" s="217"/>
      <c r="R9680" s="217"/>
      <c r="S9680" s="218"/>
    </row>
    <row r="9681" spans="13:19" ht="15" customHeight="1" x14ac:dyDescent="0.25">
      <c r="M9681"/>
      <c r="N9681"/>
      <c r="O9681"/>
      <c r="P9681" s="216"/>
      <c r="Q9681" s="217"/>
      <c r="R9681" s="217"/>
      <c r="S9681" s="218"/>
    </row>
    <row r="9682" spans="13:19" ht="15" customHeight="1" x14ac:dyDescent="0.25">
      <c r="M9682"/>
      <c r="N9682"/>
      <c r="O9682"/>
      <c r="P9682" s="216"/>
      <c r="Q9682" s="217"/>
      <c r="R9682" s="217"/>
      <c r="S9682" s="218"/>
    </row>
    <row r="9683" spans="13:19" ht="15" customHeight="1" x14ac:dyDescent="0.25">
      <c r="M9683"/>
      <c r="N9683"/>
      <c r="O9683"/>
      <c r="P9683" s="216"/>
      <c r="Q9683" s="217"/>
      <c r="R9683" s="217"/>
      <c r="S9683" s="218"/>
    </row>
    <row r="9684" spans="13:19" ht="15" customHeight="1" x14ac:dyDescent="0.25">
      <c r="M9684"/>
      <c r="N9684"/>
      <c r="O9684"/>
      <c r="P9684" s="216"/>
      <c r="Q9684" s="217"/>
      <c r="R9684" s="217"/>
      <c r="S9684" s="218"/>
    </row>
    <row r="9685" spans="13:19" ht="15" customHeight="1" x14ac:dyDescent="0.25">
      <c r="M9685"/>
      <c r="N9685"/>
      <c r="O9685"/>
      <c r="P9685" s="216"/>
      <c r="Q9685" s="217"/>
      <c r="R9685" s="217"/>
      <c r="S9685" s="218"/>
    </row>
    <row r="9686" spans="13:19" ht="15" customHeight="1" x14ac:dyDescent="0.25">
      <c r="M9686"/>
      <c r="N9686"/>
      <c r="O9686"/>
      <c r="P9686" s="216"/>
      <c r="Q9686" s="217"/>
      <c r="R9686" s="217"/>
      <c r="S9686" s="218"/>
    </row>
    <row r="9687" spans="13:19" ht="15" customHeight="1" x14ac:dyDescent="0.25">
      <c r="M9687"/>
      <c r="N9687"/>
      <c r="O9687"/>
      <c r="P9687" s="216"/>
      <c r="Q9687" s="217"/>
      <c r="R9687" s="217"/>
      <c r="S9687" s="218"/>
    </row>
    <row r="9688" spans="13:19" ht="15" customHeight="1" x14ac:dyDescent="0.25">
      <c r="M9688"/>
      <c r="N9688"/>
      <c r="O9688"/>
      <c r="P9688" s="216"/>
      <c r="Q9688" s="217"/>
      <c r="R9688" s="217"/>
      <c r="S9688" s="218"/>
    </row>
    <row r="9689" spans="13:19" ht="15" customHeight="1" x14ac:dyDescent="0.25">
      <c r="M9689"/>
      <c r="N9689"/>
      <c r="O9689"/>
      <c r="P9689" s="216"/>
      <c r="Q9689" s="217"/>
      <c r="R9689" s="217"/>
      <c r="S9689" s="218"/>
    </row>
    <row r="9690" spans="13:19" ht="15" customHeight="1" x14ac:dyDescent="0.25">
      <c r="M9690"/>
      <c r="N9690"/>
      <c r="O9690"/>
      <c r="P9690" s="216"/>
      <c r="Q9690" s="217"/>
      <c r="R9690" s="217"/>
      <c r="S9690" s="218"/>
    </row>
    <row r="9691" spans="13:19" ht="15" customHeight="1" x14ac:dyDescent="0.25">
      <c r="M9691"/>
      <c r="N9691"/>
      <c r="O9691"/>
      <c r="P9691" s="216"/>
      <c r="Q9691" s="217"/>
      <c r="R9691" s="217"/>
      <c r="S9691" s="218"/>
    </row>
    <row r="9692" spans="13:19" ht="15" customHeight="1" x14ac:dyDescent="0.25">
      <c r="M9692"/>
      <c r="N9692"/>
      <c r="O9692"/>
      <c r="P9692" s="216"/>
      <c r="Q9692" s="217"/>
      <c r="R9692" s="217"/>
      <c r="S9692" s="218"/>
    </row>
    <row r="9693" spans="13:19" ht="15" customHeight="1" x14ac:dyDescent="0.25">
      <c r="M9693"/>
      <c r="N9693"/>
      <c r="O9693"/>
      <c r="P9693" s="216"/>
      <c r="Q9693" s="217"/>
      <c r="R9693" s="217"/>
      <c r="S9693" s="218"/>
    </row>
    <row r="9694" spans="13:19" ht="15" customHeight="1" x14ac:dyDescent="0.25">
      <c r="M9694"/>
      <c r="N9694"/>
      <c r="O9694"/>
      <c r="P9694" s="216"/>
      <c r="Q9694" s="217"/>
      <c r="R9694" s="217"/>
      <c r="S9694" s="218"/>
    </row>
    <row r="9695" spans="13:19" ht="15" customHeight="1" x14ac:dyDescent="0.25">
      <c r="M9695"/>
      <c r="N9695"/>
      <c r="O9695"/>
      <c r="P9695" s="216"/>
      <c r="Q9695" s="217"/>
      <c r="R9695" s="217"/>
      <c r="S9695" s="218"/>
    </row>
    <row r="9696" spans="13:19" ht="15" customHeight="1" x14ac:dyDescent="0.25">
      <c r="M9696"/>
      <c r="N9696"/>
      <c r="O9696"/>
      <c r="P9696" s="216"/>
      <c r="Q9696" s="217"/>
      <c r="R9696" s="217"/>
      <c r="S9696" s="218"/>
    </row>
    <row r="9697" spans="13:19" ht="15" customHeight="1" x14ac:dyDescent="0.25">
      <c r="M9697"/>
      <c r="N9697"/>
      <c r="O9697"/>
      <c r="P9697" s="216"/>
      <c r="Q9697" s="217"/>
      <c r="R9697" s="217"/>
      <c r="S9697" s="218"/>
    </row>
    <row r="9698" spans="13:19" ht="15" customHeight="1" x14ac:dyDescent="0.25">
      <c r="M9698"/>
      <c r="N9698"/>
      <c r="O9698"/>
      <c r="P9698" s="216"/>
      <c r="Q9698" s="217"/>
      <c r="R9698" s="217"/>
      <c r="S9698" s="218"/>
    </row>
    <row r="9699" spans="13:19" ht="15" customHeight="1" x14ac:dyDescent="0.25">
      <c r="M9699"/>
      <c r="N9699"/>
      <c r="O9699"/>
      <c r="P9699" s="216"/>
      <c r="Q9699" s="217"/>
      <c r="R9699" s="217"/>
      <c r="S9699" s="218"/>
    </row>
    <row r="9700" spans="13:19" ht="15" customHeight="1" x14ac:dyDescent="0.25">
      <c r="M9700"/>
      <c r="N9700"/>
      <c r="O9700"/>
      <c r="P9700" s="216"/>
      <c r="Q9700" s="217"/>
      <c r="R9700" s="217"/>
      <c r="S9700" s="218"/>
    </row>
    <row r="9701" spans="13:19" ht="15" customHeight="1" x14ac:dyDescent="0.25">
      <c r="M9701"/>
      <c r="N9701"/>
      <c r="O9701"/>
      <c r="P9701" s="216"/>
      <c r="Q9701" s="217"/>
      <c r="R9701" s="217"/>
      <c r="S9701" s="218"/>
    </row>
    <row r="9702" spans="13:19" ht="15" customHeight="1" x14ac:dyDescent="0.25">
      <c r="M9702"/>
      <c r="N9702"/>
      <c r="O9702"/>
      <c r="P9702" s="216"/>
      <c r="Q9702" s="217"/>
      <c r="R9702" s="217"/>
      <c r="S9702" s="218"/>
    </row>
    <row r="9703" spans="13:19" ht="15" customHeight="1" x14ac:dyDescent="0.25">
      <c r="M9703"/>
      <c r="N9703"/>
      <c r="O9703"/>
      <c r="P9703" s="216"/>
      <c r="Q9703" s="217"/>
      <c r="R9703" s="217"/>
      <c r="S9703" s="218"/>
    </row>
    <row r="9704" spans="13:19" ht="15" customHeight="1" x14ac:dyDescent="0.25">
      <c r="M9704"/>
      <c r="N9704"/>
      <c r="O9704"/>
      <c r="P9704" s="216"/>
      <c r="Q9704" s="217"/>
      <c r="R9704" s="217"/>
      <c r="S9704" s="218"/>
    </row>
    <row r="9705" spans="13:19" ht="15" customHeight="1" x14ac:dyDescent="0.25">
      <c r="M9705"/>
      <c r="N9705"/>
      <c r="O9705"/>
      <c r="P9705" s="216"/>
      <c r="Q9705" s="217"/>
      <c r="R9705" s="217"/>
      <c r="S9705" s="218"/>
    </row>
    <row r="9706" spans="13:19" ht="15" customHeight="1" x14ac:dyDescent="0.25">
      <c r="M9706"/>
      <c r="N9706"/>
      <c r="O9706"/>
      <c r="P9706" s="216"/>
      <c r="Q9706" s="217"/>
      <c r="R9706" s="217"/>
      <c r="S9706" s="218"/>
    </row>
    <row r="9707" spans="13:19" ht="15" customHeight="1" x14ac:dyDescent="0.25">
      <c r="M9707"/>
      <c r="N9707"/>
      <c r="O9707"/>
      <c r="P9707" s="216"/>
      <c r="Q9707" s="217"/>
      <c r="R9707" s="217"/>
      <c r="S9707" s="218"/>
    </row>
    <row r="9708" spans="13:19" ht="15" customHeight="1" x14ac:dyDescent="0.25">
      <c r="M9708"/>
      <c r="N9708"/>
      <c r="O9708"/>
      <c r="P9708" s="216"/>
      <c r="Q9708" s="217"/>
      <c r="R9708" s="217"/>
      <c r="S9708" s="218"/>
    </row>
    <row r="9709" spans="13:19" ht="15" customHeight="1" x14ac:dyDescent="0.25">
      <c r="M9709"/>
      <c r="N9709"/>
      <c r="O9709"/>
      <c r="P9709" s="216"/>
      <c r="Q9709" s="217"/>
      <c r="R9709" s="217"/>
      <c r="S9709" s="218"/>
    </row>
    <row r="9710" spans="13:19" ht="15" customHeight="1" x14ac:dyDescent="0.25">
      <c r="M9710"/>
      <c r="N9710"/>
      <c r="O9710"/>
      <c r="P9710" s="216"/>
      <c r="Q9710" s="217"/>
      <c r="R9710" s="217"/>
      <c r="S9710" s="218"/>
    </row>
    <row r="9711" spans="13:19" ht="15" customHeight="1" x14ac:dyDescent="0.25">
      <c r="M9711"/>
      <c r="N9711"/>
      <c r="O9711"/>
      <c r="P9711" s="216"/>
      <c r="Q9711" s="217"/>
      <c r="R9711" s="217"/>
      <c r="S9711" s="218"/>
    </row>
    <row r="9712" spans="13:19" ht="15" customHeight="1" x14ac:dyDescent="0.25">
      <c r="M9712"/>
      <c r="N9712"/>
      <c r="O9712"/>
      <c r="P9712" s="216"/>
      <c r="Q9712" s="217"/>
      <c r="R9712" s="217"/>
      <c r="S9712" s="218"/>
    </row>
    <row r="9713" spans="13:19" ht="15" customHeight="1" x14ac:dyDescent="0.25">
      <c r="M9713"/>
      <c r="N9713"/>
      <c r="O9713"/>
      <c r="P9713" s="216"/>
      <c r="Q9713" s="217"/>
      <c r="R9713" s="217"/>
      <c r="S9713" s="218"/>
    </row>
    <row r="9714" spans="13:19" ht="15" customHeight="1" x14ac:dyDescent="0.25">
      <c r="M9714"/>
      <c r="N9714"/>
      <c r="O9714"/>
      <c r="P9714" s="216"/>
      <c r="Q9714" s="217"/>
      <c r="R9714" s="217"/>
      <c r="S9714" s="218"/>
    </row>
    <row r="9715" spans="13:19" ht="15" customHeight="1" x14ac:dyDescent="0.25">
      <c r="M9715"/>
      <c r="N9715"/>
      <c r="O9715"/>
      <c r="P9715" s="216"/>
      <c r="Q9715" s="217"/>
      <c r="R9715" s="217"/>
      <c r="S9715" s="218"/>
    </row>
    <row r="9716" spans="13:19" ht="15" customHeight="1" x14ac:dyDescent="0.25">
      <c r="M9716"/>
      <c r="N9716"/>
      <c r="O9716"/>
      <c r="P9716" s="216"/>
      <c r="Q9716" s="217"/>
      <c r="R9716" s="217"/>
      <c r="S9716" s="218"/>
    </row>
    <row r="9717" spans="13:19" ht="15" customHeight="1" x14ac:dyDescent="0.25">
      <c r="M9717"/>
      <c r="N9717"/>
      <c r="O9717"/>
      <c r="P9717" s="216"/>
      <c r="Q9717" s="217"/>
      <c r="R9717" s="217"/>
      <c r="S9717" s="218"/>
    </row>
    <row r="9718" spans="13:19" ht="15" customHeight="1" x14ac:dyDescent="0.25">
      <c r="M9718"/>
      <c r="N9718"/>
      <c r="O9718"/>
      <c r="P9718" s="216"/>
      <c r="Q9718" s="217"/>
      <c r="R9718" s="217"/>
      <c r="S9718" s="218"/>
    </row>
    <row r="9719" spans="13:19" ht="15" customHeight="1" x14ac:dyDescent="0.25">
      <c r="M9719"/>
      <c r="N9719"/>
      <c r="O9719"/>
      <c r="P9719" s="216"/>
      <c r="Q9719" s="217"/>
      <c r="R9719" s="217"/>
      <c r="S9719" s="218"/>
    </row>
    <row r="9720" spans="13:19" ht="15" customHeight="1" x14ac:dyDescent="0.25">
      <c r="M9720"/>
      <c r="N9720"/>
      <c r="O9720"/>
      <c r="P9720" s="216"/>
      <c r="Q9720" s="217"/>
      <c r="R9720" s="217"/>
      <c r="S9720" s="218"/>
    </row>
    <row r="9721" spans="13:19" ht="15" customHeight="1" x14ac:dyDescent="0.25">
      <c r="M9721"/>
      <c r="N9721"/>
      <c r="O9721"/>
      <c r="P9721" s="216"/>
      <c r="Q9721" s="217"/>
      <c r="R9721" s="217"/>
      <c r="S9721" s="218"/>
    </row>
    <row r="9722" spans="13:19" ht="15" customHeight="1" x14ac:dyDescent="0.25">
      <c r="M9722"/>
      <c r="N9722"/>
      <c r="O9722"/>
      <c r="P9722" s="216"/>
      <c r="Q9722" s="217"/>
      <c r="R9722" s="217"/>
      <c r="S9722" s="218"/>
    </row>
    <row r="9723" spans="13:19" ht="15" customHeight="1" x14ac:dyDescent="0.25">
      <c r="M9723"/>
      <c r="N9723"/>
      <c r="O9723"/>
      <c r="P9723" s="216"/>
      <c r="Q9723" s="217"/>
      <c r="R9723" s="217"/>
      <c r="S9723" s="218"/>
    </row>
    <row r="9724" spans="13:19" ht="15" customHeight="1" x14ac:dyDescent="0.25">
      <c r="M9724"/>
      <c r="N9724"/>
      <c r="O9724"/>
      <c r="P9724" s="216"/>
      <c r="Q9724" s="217"/>
      <c r="R9724" s="217"/>
      <c r="S9724" s="218"/>
    </row>
    <row r="9725" spans="13:19" ht="15" customHeight="1" x14ac:dyDescent="0.25">
      <c r="M9725"/>
      <c r="N9725"/>
      <c r="O9725"/>
      <c r="P9725" s="216"/>
      <c r="Q9725" s="217"/>
      <c r="R9725" s="217"/>
      <c r="S9725" s="218"/>
    </row>
    <row r="9726" spans="13:19" ht="15" customHeight="1" x14ac:dyDescent="0.25">
      <c r="M9726"/>
      <c r="N9726"/>
      <c r="O9726"/>
      <c r="P9726" s="216"/>
      <c r="Q9726" s="217"/>
      <c r="R9726" s="217"/>
      <c r="S9726" s="218"/>
    </row>
    <row r="9727" spans="13:19" ht="15" customHeight="1" x14ac:dyDescent="0.25">
      <c r="M9727"/>
      <c r="N9727"/>
      <c r="O9727"/>
      <c r="P9727" s="216"/>
      <c r="Q9727" s="217"/>
      <c r="R9727" s="217"/>
      <c r="S9727" s="218"/>
    </row>
    <row r="9728" spans="13:19" ht="15" customHeight="1" x14ac:dyDescent="0.25">
      <c r="M9728"/>
      <c r="N9728"/>
      <c r="O9728"/>
      <c r="P9728" s="216"/>
      <c r="Q9728" s="217"/>
      <c r="R9728" s="217"/>
      <c r="S9728" s="218"/>
    </row>
    <row r="9729" spans="13:19" ht="15" customHeight="1" x14ac:dyDescent="0.25">
      <c r="M9729"/>
      <c r="N9729"/>
      <c r="O9729"/>
      <c r="P9729" s="216"/>
      <c r="Q9729" s="217"/>
      <c r="R9729" s="217"/>
      <c r="S9729" s="218"/>
    </row>
    <row r="9730" spans="13:19" ht="15" customHeight="1" x14ac:dyDescent="0.25">
      <c r="M9730"/>
      <c r="N9730"/>
      <c r="O9730"/>
      <c r="P9730" s="216"/>
      <c r="Q9730" s="217"/>
      <c r="R9730" s="217"/>
      <c r="S9730" s="218"/>
    </row>
    <row r="9731" spans="13:19" ht="15" customHeight="1" x14ac:dyDescent="0.25">
      <c r="M9731"/>
      <c r="N9731"/>
      <c r="O9731"/>
      <c r="P9731" s="216"/>
      <c r="Q9731" s="217"/>
      <c r="R9731" s="217"/>
      <c r="S9731" s="218"/>
    </row>
    <row r="9732" spans="13:19" ht="15" customHeight="1" x14ac:dyDescent="0.25">
      <c r="M9732"/>
      <c r="N9732"/>
      <c r="O9732"/>
      <c r="P9732" s="216"/>
      <c r="Q9732" s="217"/>
      <c r="R9732" s="217"/>
      <c r="S9732" s="218"/>
    </row>
    <row r="9733" spans="13:19" ht="15" customHeight="1" x14ac:dyDescent="0.25">
      <c r="M9733"/>
      <c r="N9733"/>
      <c r="O9733"/>
      <c r="P9733" s="216"/>
      <c r="Q9733" s="217"/>
      <c r="R9733" s="217"/>
      <c r="S9733" s="218"/>
    </row>
    <row r="9734" spans="13:19" ht="15" customHeight="1" x14ac:dyDescent="0.25">
      <c r="M9734"/>
      <c r="N9734"/>
      <c r="O9734"/>
      <c r="P9734" s="216"/>
      <c r="Q9734" s="217"/>
      <c r="R9734" s="217"/>
      <c r="S9734" s="218"/>
    </row>
    <row r="9735" spans="13:19" ht="15" customHeight="1" x14ac:dyDescent="0.25">
      <c r="M9735"/>
      <c r="N9735"/>
      <c r="O9735"/>
      <c r="P9735" s="216"/>
      <c r="Q9735" s="217"/>
      <c r="R9735" s="217"/>
      <c r="S9735" s="218"/>
    </row>
    <row r="9736" spans="13:19" ht="15" customHeight="1" x14ac:dyDescent="0.25">
      <c r="M9736"/>
      <c r="N9736"/>
      <c r="O9736"/>
      <c r="P9736" s="216"/>
      <c r="Q9736" s="217"/>
      <c r="R9736" s="217"/>
      <c r="S9736" s="218"/>
    </row>
    <row r="9737" spans="13:19" ht="15" customHeight="1" x14ac:dyDescent="0.25">
      <c r="M9737"/>
      <c r="N9737"/>
      <c r="O9737"/>
      <c r="P9737" s="216"/>
      <c r="Q9737" s="217"/>
      <c r="R9737" s="217"/>
      <c r="S9737" s="218"/>
    </row>
    <row r="9738" spans="13:19" ht="15" customHeight="1" x14ac:dyDescent="0.25">
      <c r="M9738"/>
      <c r="N9738"/>
      <c r="O9738"/>
      <c r="P9738" s="216"/>
      <c r="Q9738" s="217"/>
      <c r="R9738" s="217"/>
      <c r="S9738" s="218"/>
    </row>
    <row r="9739" spans="13:19" ht="15" customHeight="1" x14ac:dyDescent="0.25">
      <c r="M9739"/>
      <c r="N9739"/>
      <c r="O9739"/>
      <c r="P9739" s="216"/>
      <c r="Q9739" s="217"/>
      <c r="R9739" s="217"/>
      <c r="S9739" s="218"/>
    </row>
    <row r="9740" spans="13:19" ht="15" customHeight="1" x14ac:dyDescent="0.25">
      <c r="M9740"/>
      <c r="N9740"/>
      <c r="O9740"/>
      <c r="P9740" s="216"/>
      <c r="Q9740" s="217"/>
      <c r="R9740" s="217"/>
      <c r="S9740" s="218"/>
    </row>
    <row r="9741" spans="13:19" ht="15" customHeight="1" x14ac:dyDescent="0.25">
      <c r="M9741"/>
      <c r="N9741"/>
      <c r="O9741"/>
      <c r="P9741" s="216"/>
      <c r="Q9741" s="217"/>
      <c r="R9741" s="217"/>
      <c r="S9741" s="218"/>
    </row>
    <row r="9742" spans="13:19" ht="15" customHeight="1" x14ac:dyDescent="0.25">
      <c r="M9742"/>
      <c r="N9742"/>
      <c r="O9742"/>
      <c r="P9742" s="216"/>
      <c r="Q9742" s="217"/>
      <c r="R9742" s="217"/>
      <c r="S9742" s="218"/>
    </row>
    <row r="9743" spans="13:19" ht="15" customHeight="1" x14ac:dyDescent="0.25">
      <c r="M9743"/>
      <c r="N9743"/>
      <c r="O9743"/>
      <c r="P9743" s="216"/>
      <c r="Q9743" s="217"/>
      <c r="R9743" s="217"/>
      <c r="S9743" s="218"/>
    </row>
    <row r="9744" spans="13:19" ht="15" customHeight="1" x14ac:dyDescent="0.25">
      <c r="M9744"/>
      <c r="N9744"/>
      <c r="O9744"/>
      <c r="P9744" s="216"/>
      <c r="Q9744" s="217"/>
      <c r="R9744" s="217"/>
      <c r="S9744" s="218"/>
    </row>
    <row r="9745" spans="13:19" ht="15" customHeight="1" x14ac:dyDescent="0.25">
      <c r="M9745"/>
      <c r="N9745"/>
      <c r="O9745"/>
      <c r="P9745" s="216"/>
      <c r="Q9745" s="217"/>
      <c r="R9745" s="217"/>
      <c r="S9745" s="218"/>
    </row>
    <row r="9746" spans="13:19" ht="15" customHeight="1" x14ac:dyDescent="0.25">
      <c r="M9746"/>
      <c r="N9746"/>
      <c r="O9746"/>
      <c r="P9746" s="216"/>
      <c r="Q9746" s="217"/>
      <c r="R9746" s="217"/>
      <c r="S9746" s="218"/>
    </row>
    <row r="9747" spans="13:19" ht="15" customHeight="1" x14ac:dyDescent="0.25">
      <c r="M9747"/>
      <c r="N9747"/>
      <c r="O9747"/>
      <c r="P9747" s="216"/>
      <c r="Q9747" s="217"/>
      <c r="R9747" s="217"/>
      <c r="S9747" s="218"/>
    </row>
    <row r="9748" spans="13:19" ht="15" customHeight="1" x14ac:dyDescent="0.25">
      <c r="M9748"/>
      <c r="N9748"/>
      <c r="O9748"/>
      <c r="P9748" s="216"/>
      <c r="Q9748" s="217"/>
      <c r="R9748" s="217"/>
      <c r="S9748" s="218"/>
    </row>
    <row r="9749" spans="13:19" ht="15" customHeight="1" x14ac:dyDescent="0.25">
      <c r="M9749"/>
      <c r="N9749"/>
      <c r="O9749"/>
      <c r="P9749" s="216"/>
      <c r="Q9749" s="217"/>
      <c r="R9749" s="217"/>
      <c r="S9749" s="218"/>
    </row>
    <row r="9750" spans="13:19" ht="15" customHeight="1" x14ac:dyDescent="0.25">
      <c r="M9750"/>
      <c r="N9750"/>
      <c r="O9750"/>
      <c r="P9750" s="216"/>
      <c r="Q9750" s="217"/>
      <c r="R9750" s="217"/>
      <c r="S9750" s="218"/>
    </row>
    <row r="9751" spans="13:19" ht="15" customHeight="1" x14ac:dyDescent="0.25">
      <c r="M9751"/>
      <c r="N9751"/>
      <c r="O9751"/>
      <c r="P9751" s="216"/>
      <c r="Q9751" s="217"/>
      <c r="R9751" s="217"/>
      <c r="S9751" s="218"/>
    </row>
    <row r="9752" spans="13:19" ht="15" customHeight="1" x14ac:dyDescent="0.25">
      <c r="M9752"/>
      <c r="N9752"/>
      <c r="O9752"/>
      <c r="P9752" s="216"/>
      <c r="Q9752" s="217"/>
      <c r="R9752" s="217"/>
      <c r="S9752" s="218"/>
    </row>
    <row r="9753" spans="13:19" ht="15" customHeight="1" x14ac:dyDescent="0.25">
      <c r="M9753"/>
      <c r="N9753"/>
      <c r="O9753"/>
      <c r="P9753" s="216"/>
      <c r="Q9753" s="217"/>
      <c r="R9753" s="217"/>
      <c r="S9753" s="218"/>
    </row>
    <row r="9754" spans="13:19" ht="15" customHeight="1" x14ac:dyDescent="0.25">
      <c r="M9754"/>
      <c r="N9754"/>
      <c r="O9754"/>
      <c r="P9754" s="216"/>
      <c r="Q9754" s="217"/>
      <c r="R9754" s="217"/>
      <c r="S9754" s="218"/>
    </row>
    <row r="9755" spans="13:19" ht="15" customHeight="1" x14ac:dyDescent="0.25">
      <c r="M9755"/>
      <c r="N9755"/>
      <c r="O9755"/>
      <c r="P9755" s="216"/>
      <c r="Q9755" s="217"/>
      <c r="R9755" s="217"/>
      <c r="S9755" s="218"/>
    </row>
    <row r="9756" spans="13:19" ht="15" customHeight="1" x14ac:dyDescent="0.25">
      <c r="M9756"/>
      <c r="N9756"/>
      <c r="O9756"/>
      <c r="P9756" s="216"/>
      <c r="Q9756" s="217"/>
      <c r="R9756" s="217"/>
      <c r="S9756" s="218"/>
    </row>
    <row r="9757" spans="13:19" ht="15" customHeight="1" x14ac:dyDescent="0.25">
      <c r="M9757"/>
      <c r="N9757"/>
      <c r="O9757"/>
      <c r="P9757" s="216"/>
      <c r="Q9757" s="217"/>
      <c r="R9757" s="217"/>
      <c r="S9757" s="218"/>
    </row>
    <row r="9758" spans="13:19" ht="15" customHeight="1" x14ac:dyDescent="0.25">
      <c r="M9758"/>
      <c r="N9758"/>
      <c r="O9758"/>
      <c r="P9758" s="216"/>
      <c r="Q9758" s="217"/>
      <c r="R9758" s="217"/>
      <c r="S9758" s="218"/>
    </row>
    <row r="9759" spans="13:19" ht="15" customHeight="1" x14ac:dyDescent="0.25">
      <c r="M9759"/>
      <c r="N9759"/>
      <c r="O9759"/>
      <c r="P9759" s="216"/>
      <c r="Q9759" s="217"/>
      <c r="R9759" s="217"/>
      <c r="S9759" s="218"/>
    </row>
    <row r="9760" spans="13:19" ht="15" customHeight="1" x14ac:dyDescent="0.25">
      <c r="M9760"/>
      <c r="N9760"/>
      <c r="O9760"/>
      <c r="P9760" s="216"/>
      <c r="Q9760" s="217"/>
      <c r="R9760" s="217"/>
      <c r="S9760" s="218"/>
    </row>
    <row r="9761" spans="13:19" ht="15" customHeight="1" x14ac:dyDescent="0.25">
      <c r="M9761"/>
      <c r="N9761"/>
      <c r="O9761"/>
      <c r="P9761" s="216"/>
      <c r="Q9761" s="217"/>
      <c r="R9761" s="217"/>
      <c r="S9761" s="218"/>
    </row>
    <row r="9762" spans="13:19" ht="15" customHeight="1" x14ac:dyDescent="0.25">
      <c r="M9762"/>
      <c r="N9762"/>
      <c r="O9762"/>
      <c r="P9762" s="216"/>
      <c r="Q9762" s="217"/>
      <c r="R9762" s="217"/>
      <c r="S9762" s="218"/>
    </row>
    <row r="9763" spans="13:19" ht="15" customHeight="1" x14ac:dyDescent="0.25">
      <c r="M9763"/>
      <c r="N9763"/>
      <c r="O9763"/>
      <c r="P9763" s="216"/>
      <c r="Q9763" s="217"/>
      <c r="R9763" s="217"/>
      <c r="S9763" s="218"/>
    </row>
    <row r="9764" spans="13:19" ht="15" customHeight="1" x14ac:dyDescent="0.25">
      <c r="M9764"/>
      <c r="N9764"/>
      <c r="O9764"/>
      <c r="P9764" s="216"/>
      <c r="Q9764" s="217"/>
      <c r="R9764" s="217"/>
      <c r="S9764" s="218"/>
    </row>
    <row r="9765" spans="13:19" ht="15" customHeight="1" x14ac:dyDescent="0.25">
      <c r="M9765"/>
      <c r="N9765"/>
      <c r="O9765"/>
      <c r="P9765" s="216"/>
      <c r="Q9765" s="217"/>
      <c r="R9765" s="217"/>
      <c r="S9765" s="218"/>
    </row>
    <row r="9766" spans="13:19" ht="15" customHeight="1" x14ac:dyDescent="0.25">
      <c r="M9766"/>
      <c r="N9766"/>
      <c r="O9766"/>
      <c r="P9766" s="216"/>
      <c r="Q9766" s="217"/>
      <c r="R9766" s="217"/>
      <c r="S9766" s="218"/>
    </row>
    <row r="9767" spans="13:19" ht="15" customHeight="1" x14ac:dyDescent="0.25">
      <c r="M9767"/>
      <c r="N9767"/>
      <c r="O9767"/>
      <c r="P9767" s="216"/>
      <c r="Q9767" s="217"/>
      <c r="R9767" s="217"/>
      <c r="S9767" s="218"/>
    </row>
    <row r="9768" spans="13:19" ht="15" customHeight="1" x14ac:dyDescent="0.25">
      <c r="M9768"/>
      <c r="N9768"/>
      <c r="O9768"/>
      <c r="P9768" s="216"/>
      <c r="Q9768" s="217"/>
      <c r="R9768" s="217"/>
      <c r="S9768" s="218"/>
    </row>
    <row r="9769" spans="13:19" ht="15" customHeight="1" x14ac:dyDescent="0.25">
      <c r="M9769"/>
      <c r="N9769"/>
      <c r="O9769"/>
      <c r="P9769" s="216"/>
      <c r="Q9769" s="217"/>
      <c r="R9769" s="217"/>
      <c r="S9769" s="218"/>
    </row>
    <row r="9770" spans="13:19" ht="15" customHeight="1" x14ac:dyDescent="0.25">
      <c r="M9770"/>
      <c r="N9770"/>
      <c r="O9770"/>
      <c r="P9770" s="216"/>
      <c r="Q9770" s="217"/>
      <c r="R9770" s="217"/>
      <c r="S9770" s="218"/>
    </row>
    <row r="9771" spans="13:19" ht="15" customHeight="1" x14ac:dyDescent="0.25">
      <c r="M9771"/>
      <c r="N9771"/>
      <c r="O9771"/>
      <c r="P9771" s="216"/>
      <c r="Q9771" s="217"/>
      <c r="R9771" s="217"/>
      <c r="S9771" s="218"/>
    </row>
    <row r="9772" spans="13:19" ht="15" customHeight="1" x14ac:dyDescent="0.25">
      <c r="M9772"/>
      <c r="N9772"/>
      <c r="O9772"/>
      <c r="P9772" s="216"/>
      <c r="Q9772" s="217"/>
      <c r="R9772" s="217"/>
      <c r="S9772" s="218"/>
    </row>
    <row r="9773" spans="13:19" ht="15" customHeight="1" x14ac:dyDescent="0.25">
      <c r="M9773"/>
      <c r="N9773"/>
      <c r="O9773"/>
      <c r="P9773" s="216"/>
      <c r="Q9773" s="217"/>
      <c r="R9773" s="217"/>
      <c r="S9773" s="218"/>
    </row>
    <row r="9774" spans="13:19" ht="15" customHeight="1" x14ac:dyDescent="0.25">
      <c r="M9774"/>
      <c r="N9774"/>
      <c r="O9774"/>
      <c r="P9774" s="216"/>
      <c r="Q9774" s="217"/>
      <c r="R9774" s="217"/>
      <c r="S9774" s="218"/>
    </row>
    <row r="9775" spans="13:19" ht="15" customHeight="1" x14ac:dyDescent="0.25">
      <c r="M9775"/>
      <c r="N9775"/>
      <c r="O9775"/>
      <c r="P9775" s="216"/>
      <c r="Q9775" s="217"/>
      <c r="R9775" s="217"/>
      <c r="S9775" s="218"/>
    </row>
    <row r="9776" spans="13:19" ht="15" customHeight="1" x14ac:dyDescent="0.25">
      <c r="M9776"/>
      <c r="N9776"/>
      <c r="O9776"/>
      <c r="P9776" s="216"/>
      <c r="Q9776" s="217"/>
      <c r="R9776" s="217"/>
      <c r="S9776" s="218"/>
    </row>
    <row r="9777" spans="13:19" ht="15" customHeight="1" x14ac:dyDescent="0.25">
      <c r="M9777"/>
      <c r="N9777"/>
      <c r="O9777"/>
      <c r="P9777" s="216"/>
      <c r="Q9777" s="217"/>
      <c r="R9777" s="217"/>
      <c r="S9777" s="218"/>
    </row>
    <row r="9778" spans="13:19" ht="15" customHeight="1" x14ac:dyDescent="0.25">
      <c r="M9778"/>
      <c r="N9778"/>
      <c r="O9778"/>
      <c r="P9778" s="216"/>
      <c r="Q9778" s="217"/>
      <c r="R9778" s="217"/>
      <c r="S9778" s="218"/>
    </row>
    <row r="9779" spans="13:19" ht="15" customHeight="1" x14ac:dyDescent="0.25">
      <c r="M9779"/>
      <c r="N9779"/>
      <c r="O9779"/>
      <c r="P9779" s="216"/>
      <c r="Q9779" s="217"/>
      <c r="R9779" s="217"/>
      <c r="S9779" s="218"/>
    </row>
    <row r="9780" spans="13:19" ht="15" customHeight="1" x14ac:dyDescent="0.25">
      <c r="M9780"/>
      <c r="N9780"/>
      <c r="O9780"/>
      <c r="P9780" s="216"/>
      <c r="Q9780" s="217"/>
      <c r="R9780" s="217"/>
      <c r="S9780" s="218"/>
    </row>
    <row r="9781" spans="13:19" ht="15" customHeight="1" x14ac:dyDescent="0.25">
      <c r="M9781"/>
      <c r="N9781"/>
      <c r="O9781"/>
      <c r="P9781" s="216"/>
      <c r="Q9781" s="217"/>
      <c r="R9781" s="217"/>
      <c r="S9781" s="218"/>
    </row>
    <row r="9782" spans="13:19" ht="15" customHeight="1" x14ac:dyDescent="0.25">
      <c r="M9782"/>
      <c r="N9782"/>
      <c r="O9782"/>
      <c r="P9782" s="216"/>
      <c r="Q9782" s="217"/>
      <c r="R9782" s="217"/>
      <c r="S9782" s="218"/>
    </row>
    <row r="9783" spans="13:19" ht="15" customHeight="1" x14ac:dyDescent="0.25">
      <c r="M9783"/>
      <c r="N9783"/>
      <c r="O9783"/>
      <c r="P9783" s="216"/>
      <c r="Q9783" s="217"/>
      <c r="R9783" s="217"/>
      <c r="S9783" s="218"/>
    </row>
    <row r="9784" spans="13:19" ht="15" customHeight="1" x14ac:dyDescent="0.25">
      <c r="M9784"/>
      <c r="N9784"/>
      <c r="O9784"/>
      <c r="P9784" s="216"/>
      <c r="Q9784" s="217"/>
      <c r="R9784" s="217"/>
      <c r="S9784" s="218"/>
    </row>
    <row r="9785" spans="13:19" ht="15" customHeight="1" x14ac:dyDescent="0.25">
      <c r="M9785"/>
      <c r="N9785"/>
      <c r="O9785"/>
      <c r="P9785" s="216"/>
      <c r="Q9785" s="217"/>
      <c r="R9785" s="217"/>
      <c r="S9785" s="218"/>
    </row>
    <row r="9786" spans="13:19" ht="15" customHeight="1" x14ac:dyDescent="0.25">
      <c r="M9786"/>
      <c r="N9786"/>
      <c r="O9786"/>
      <c r="P9786" s="216"/>
      <c r="Q9786" s="217"/>
      <c r="R9786" s="217"/>
      <c r="S9786" s="218"/>
    </row>
    <row r="9787" spans="13:19" ht="15" customHeight="1" x14ac:dyDescent="0.25">
      <c r="M9787"/>
      <c r="N9787"/>
      <c r="O9787"/>
      <c r="P9787" s="216"/>
      <c r="Q9787" s="217"/>
      <c r="R9787" s="217"/>
      <c r="S9787" s="218"/>
    </row>
    <row r="9788" spans="13:19" ht="15" customHeight="1" x14ac:dyDescent="0.25">
      <c r="M9788"/>
      <c r="N9788"/>
      <c r="O9788"/>
      <c r="P9788" s="216"/>
      <c r="Q9788" s="217"/>
      <c r="R9788" s="217"/>
      <c r="S9788" s="218"/>
    </row>
    <row r="9789" spans="13:19" ht="15" customHeight="1" x14ac:dyDescent="0.25">
      <c r="M9789"/>
      <c r="N9789"/>
      <c r="O9789"/>
      <c r="P9789" s="216"/>
      <c r="Q9789" s="217"/>
      <c r="R9789" s="217"/>
      <c r="S9789" s="218"/>
    </row>
    <row r="9790" spans="13:19" ht="15" customHeight="1" x14ac:dyDescent="0.25">
      <c r="M9790"/>
      <c r="N9790"/>
      <c r="O9790"/>
      <c r="P9790" s="216"/>
      <c r="Q9790" s="217"/>
      <c r="R9790" s="217"/>
      <c r="S9790" s="218"/>
    </row>
    <row r="9791" spans="13:19" ht="15" customHeight="1" x14ac:dyDescent="0.25">
      <c r="M9791"/>
      <c r="N9791"/>
      <c r="O9791"/>
      <c r="P9791" s="216"/>
      <c r="Q9791" s="217"/>
      <c r="R9791" s="217"/>
      <c r="S9791" s="218"/>
    </row>
    <row r="9792" spans="13:19" ht="15" customHeight="1" x14ac:dyDescent="0.25">
      <c r="M9792"/>
      <c r="N9792"/>
      <c r="O9792"/>
      <c r="P9792" s="216"/>
      <c r="Q9792" s="217"/>
      <c r="R9792" s="217"/>
      <c r="S9792" s="218"/>
    </row>
    <row r="9793" spans="13:19" ht="15" customHeight="1" x14ac:dyDescent="0.25">
      <c r="M9793"/>
      <c r="N9793"/>
      <c r="O9793"/>
      <c r="P9793" s="216"/>
      <c r="Q9793" s="217"/>
      <c r="R9793" s="217"/>
      <c r="S9793" s="218"/>
    </row>
    <row r="9794" spans="13:19" ht="15" customHeight="1" x14ac:dyDescent="0.25">
      <c r="M9794"/>
      <c r="N9794"/>
      <c r="O9794"/>
      <c r="P9794" s="216"/>
      <c r="Q9794" s="217"/>
      <c r="R9794" s="217"/>
      <c r="S9794" s="218"/>
    </row>
    <row r="9795" spans="13:19" ht="15" customHeight="1" x14ac:dyDescent="0.25">
      <c r="M9795"/>
      <c r="N9795"/>
      <c r="O9795"/>
      <c r="P9795" s="216"/>
      <c r="Q9795" s="217"/>
      <c r="R9795" s="217"/>
      <c r="S9795" s="218"/>
    </row>
    <row r="9796" spans="13:19" ht="15" customHeight="1" x14ac:dyDescent="0.25">
      <c r="M9796"/>
      <c r="N9796"/>
      <c r="O9796"/>
      <c r="P9796" s="216"/>
      <c r="Q9796" s="217"/>
      <c r="R9796" s="217"/>
      <c r="S9796" s="218"/>
    </row>
    <row r="9797" spans="13:19" ht="15" customHeight="1" x14ac:dyDescent="0.25">
      <c r="M9797"/>
      <c r="N9797"/>
      <c r="O9797"/>
      <c r="P9797" s="216"/>
      <c r="Q9797" s="217"/>
      <c r="R9797" s="217"/>
      <c r="S9797" s="218"/>
    </row>
    <row r="9798" spans="13:19" ht="15" customHeight="1" x14ac:dyDescent="0.25">
      <c r="M9798"/>
      <c r="N9798"/>
      <c r="O9798"/>
      <c r="P9798" s="216"/>
      <c r="Q9798" s="217"/>
      <c r="R9798" s="217"/>
      <c r="S9798" s="218"/>
    </row>
    <row r="9799" spans="13:19" ht="15" customHeight="1" x14ac:dyDescent="0.25">
      <c r="M9799"/>
      <c r="N9799"/>
      <c r="O9799"/>
      <c r="P9799" s="216"/>
      <c r="Q9799" s="217"/>
      <c r="R9799" s="217"/>
      <c r="S9799" s="218"/>
    </row>
    <row r="9800" spans="13:19" ht="15" customHeight="1" x14ac:dyDescent="0.25">
      <c r="M9800"/>
      <c r="N9800"/>
      <c r="O9800"/>
      <c r="P9800" s="216"/>
      <c r="Q9800" s="217"/>
      <c r="R9800" s="217"/>
      <c r="S9800" s="218"/>
    </row>
    <row r="9801" spans="13:19" ht="15" customHeight="1" x14ac:dyDescent="0.25">
      <c r="M9801"/>
      <c r="N9801"/>
      <c r="O9801"/>
      <c r="P9801" s="216"/>
      <c r="Q9801" s="217"/>
      <c r="R9801" s="217"/>
      <c r="S9801" s="218"/>
    </row>
    <row r="9802" spans="13:19" ht="15" customHeight="1" x14ac:dyDescent="0.25">
      <c r="M9802"/>
      <c r="N9802"/>
      <c r="O9802"/>
      <c r="P9802" s="216"/>
      <c r="Q9802" s="217"/>
      <c r="R9802" s="217"/>
      <c r="S9802" s="218"/>
    </row>
    <row r="9803" spans="13:19" ht="15" customHeight="1" x14ac:dyDescent="0.25">
      <c r="M9803"/>
      <c r="N9803"/>
      <c r="O9803"/>
      <c r="P9803" s="216"/>
      <c r="Q9803" s="217"/>
      <c r="R9803" s="217"/>
      <c r="S9803" s="218"/>
    </row>
    <row r="9804" spans="13:19" ht="15" customHeight="1" x14ac:dyDescent="0.25">
      <c r="M9804"/>
      <c r="N9804"/>
      <c r="O9804"/>
      <c r="P9804" s="216"/>
      <c r="Q9804" s="217"/>
      <c r="R9804" s="217"/>
      <c r="S9804" s="218"/>
    </row>
    <row r="9805" spans="13:19" ht="15" customHeight="1" x14ac:dyDescent="0.25">
      <c r="M9805"/>
      <c r="N9805"/>
      <c r="O9805"/>
      <c r="P9805" s="216"/>
      <c r="Q9805" s="217"/>
      <c r="R9805" s="217"/>
      <c r="S9805" s="218"/>
    </row>
    <row r="9806" spans="13:19" ht="15" customHeight="1" x14ac:dyDescent="0.25">
      <c r="M9806"/>
      <c r="N9806"/>
      <c r="O9806"/>
      <c r="P9806" s="216"/>
      <c r="Q9806" s="217"/>
      <c r="R9806" s="217"/>
      <c r="S9806" s="218"/>
    </row>
    <row r="9807" spans="13:19" ht="15" customHeight="1" x14ac:dyDescent="0.25">
      <c r="M9807"/>
      <c r="N9807"/>
      <c r="O9807"/>
      <c r="P9807" s="216"/>
      <c r="Q9807" s="217"/>
      <c r="R9807" s="217"/>
      <c r="S9807" s="218"/>
    </row>
    <row r="9808" spans="13:19" ht="15" customHeight="1" x14ac:dyDescent="0.25">
      <c r="M9808"/>
      <c r="N9808"/>
      <c r="O9808"/>
      <c r="P9808" s="216"/>
      <c r="Q9808" s="217"/>
      <c r="R9808" s="217"/>
      <c r="S9808" s="218"/>
    </row>
    <row r="9809" spans="13:19" ht="15" customHeight="1" x14ac:dyDescent="0.25">
      <c r="M9809"/>
      <c r="N9809"/>
      <c r="O9809"/>
      <c r="P9809" s="216"/>
      <c r="Q9809" s="217"/>
      <c r="R9809" s="217"/>
      <c r="S9809" s="218"/>
    </row>
    <row r="9810" spans="13:19" ht="15" customHeight="1" x14ac:dyDescent="0.25">
      <c r="M9810"/>
      <c r="N9810"/>
      <c r="O9810"/>
      <c r="P9810" s="216"/>
      <c r="Q9810" s="217"/>
      <c r="R9810" s="217"/>
      <c r="S9810" s="218"/>
    </row>
    <row r="9811" spans="13:19" ht="15" customHeight="1" x14ac:dyDescent="0.25">
      <c r="M9811"/>
      <c r="N9811"/>
      <c r="O9811"/>
      <c r="P9811" s="216"/>
      <c r="Q9811" s="217"/>
      <c r="R9811" s="217"/>
      <c r="S9811" s="218"/>
    </row>
    <row r="9812" spans="13:19" ht="15" customHeight="1" x14ac:dyDescent="0.25">
      <c r="M9812"/>
      <c r="N9812"/>
      <c r="O9812"/>
      <c r="P9812" s="216"/>
      <c r="Q9812" s="217"/>
      <c r="R9812" s="217"/>
      <c r="S9812" s="218"/>
    </row>
    <row r="9813" spans="13:19" ht="15" customHeight="1" x14ac:dyDescent="0.25">
      <c r="M9813"/>
      <c r="N9813"/>
      <c r="O9813"/>
      <c r="P9813" s="216"/>
      <c r="Q9813" s="217"/>
      <c r="R9813" s="217"/>
      <c r="S9813" s="218"/>
    </row>
    <row r="9814" spans="13:19" ht="15" customHeight="1" x14ac:dyDescent="0.25">
      <c r="M9814"/>
      <c r="N9814"/>
      <c r="O9814"/>
      <c r="P9814" s="216"/>
      <c r="Q9814" s="217"/>
      <c r="R9814" s="217"/>
      <c r="S9814" s="218"/>
    </row>
    <row r="9815" spans="13:19" ht="15" customHeight="1" x14ac:dyDescent="0.25">
      <c r="M9815"/>
      <c r="N9815"/>
      <c r="O9815"/>
      <c r="P9815" s="216"/>
      <c r="Q9815" s="217"/>
      <c r="R9815" s="217"/>
      <c r="S9815" s="218"/>
    </row>
    <row r="9816" spans="13:19" ht="15" customHeight="1" x14ac:dyDescent="0.25">
      <c r="P9816" s="216"/>
      <c r="Q9816" s="217"/>
      <c r="R9816" s="217"/>
      <c r="S9816" s="218"/>
    </row>
    <row r="9817" spans="13:19" ht="15" customHeight="1" x14ac:dyDescent="0.25">
      <c r="P9817" s="216"/>
      <c r="Q9817" s="217"/>
      <c r="R9817" s="217"/>
      <c r="S9817" s="218"/>
    </row>
    <row r="9818" spans="13:19" ht="15" customHeight="1" x14ac:dyDescent="0.25">
      <c r="P9818" s="216"/>
      <c r="Q9818" s="217"/>
      <c r="R9818" s="217"/>
      <c r="S9818" s="218"/>
    </row>
    <row r="9819" spans="13:19" ht="15" customHeight="1" x14ac:dyDescent="0.25">
      <c r="P9819" s="216"/>
      <c r="Q9819" s="217"/>
      <c r="R9819" s="217"/>
      <c r="S9819" s="218"/>
    </row>
    <row r="9820" spans="13:19" ht="15" customHeight="1" x14ac:dyDescent="0.25">
      <c r="P9820" s="216"/>
      <c r="Q9820" s="217"/>
      <c r="R9820" s="217"/>
      <c r="S9820" s="218"/>
    </row>
    <row r="9821" spans="13:19" ht="15" customHeight="1" x14ac:dyDescent="0.25">
      <c r="P9821" s="216"/>
      <c r="Q9821" s="217"/>
      <c r="R9821" s="217"/>
      <c r="S9821" s="218"/>
    </row>
    <row r="9822" spans="13:19" ht="15" customHeight="1" x14ac:dyDescent="0.25">
      <c r="P9822" s="216"/>
      <c r="Q9822" s="217"/>
      <c r="R9822" s="217"/>
      <c r="S9822" s="218"/>
    </row>
    <row r="9823" spans="13:19" ht="15" customHeight="1" x14ac:dyDescent="0.25">
      <c r="P9823" s="216"/>
      <c r="Q9823" s="217"/>
      <c r="R9823" s="217"/>
      <c r="S9823" s="218"/>
    </row>
    <row r="9824" spans="13:19" ht="15" customHeight="1" x14ac:dyDescent="0.25">
      <c r="P9824" s="216"/>
      <c r="Q9824" s="217"/>
      <c r="R9824" s="217"/>
      <c r="S9824" s="218"/>
    </row>
    <row r="9825" spans="16:19" ht="15" customHeight="1" x14ac:dyDescent="0.25">
      <c r="P9825" s="216"/>
      <c r="Q9825" s="217"/>
      <c r="R9825" s="217"/>
      <c r="S9825" s="218"/>
    </row>
    <row r="9826" spans="16:19" ht="15" customHeight="1" x14ac:dyDescent="0.25">
      <c r="P9826" s="216"/>
      <c r="Q9826" s="217"/>
      <c r="R9826" s="217"/>
      <c r="S9826" s="218"/>
    </row>
    <row r="9827" spans="16:19" ht="15" customHeight="1" x14ac:dyDescent="0.25">
      <c r="P9827" s="216"/>
      <c r="Q9827" s="217"/>
      <c r="R9827" s="217"/>
      <c r="S9827" s="218"/>
    </row>
    <row r="9828" spans="16:19" ht="15" customHeight="1" x14ac:dyDescent="0.25">
      <c r="P9828" s="216"/>
      <c r="Q9828" s="217"/>
      <c r="R9828" s="217"/>
      <c r="S9828" s="218"/>
    </row>
    <row r="9829" spans="16:19" ht="15" customHeight="1" x14ac:dyDescent="0.25">
      <c r="P9829" s="216"/>
      <c r="Q9829" s="217"/>
      <c r="R9829" s="217"/>
      <c r="S9829" s="218"/>
    </row>
    <row r="9830" spans="16:19" ht="15" customHeight="1" x14ac:dyDescent="0.25">
      <c r="P9830" s="216"/>
      <c r="Q9830" s="217"/>
      <c r="R9830" s="217"/>
      <c r="S9830" s="218"/>
    </row>
    <row r="9831" spans="16:19" ht="15" customHeight="1" x14ac:dyDescent="0.25">
      <c r="P9831" s="216"/>
      <c r="Q9831" s="217"/>
      <c r="R9831" s="217"/>
      <c r="S9831" s="218"/>
    </row>
    <row r="9832" spans="16:19" ht="15" customHeight="1" x14ac:dyDescent="0.25">
      <c r="P9832" s="216"/>
      <c r="Q9832" s="217"/>
      <c r="R9832" s="217"/>
      <c r="S9832" s="218"/>
    </row>
    <row r="9833" spans="16:19" ht="15" customHeight="1" x14ac:dyDescent="0.25">
      <c r="P9833" s="216"/>
      <c r="Q9833" s="217"/>
      <c r="R9833" s="217"/>
      <c r="S9833" s="218"/>
    </row>
    <row r="9834" spans="16:19" ht="15" customHeight="1" x14ac:dyDescent="0.25">
      <c r="P9834" s="216"/>
      <c r="Q9834" s="217"/>
      <c r="R9834" s="217"/>
      <c r="S9834" s="218"/>
    </row>
    <row r="9835" spans="16:19" ht="15" customHeight="1" x14ac:dyDescent="0.25">
      <c r="P9835" s="216"/>
      <c r="Q9835" s="217"/>
      <c r="R9835" s="217"/>
      <c r="S9835" s="218"/>
    </row>
    <row r="9836" spans="16:19" ht="15" customHeight="1" x14ac:dyDescent="0.25">
      <c r="P9836" s="216"/>
      <c r="Q9836" s="217"/>
      <c r="R9836" s="217"/>
      <c r="S9836" s="218"/>
    </row>
    <row r="9837" spans="16:19" ht="15" customHeight="1" x14ac:dyDescent="0.25">
      <c r="P9837" s="216"/>
      <c r="Q9837" s="217"/>
      <c r="R9837" s="217"/>
      <c r="S9837" s="218"/>
    </row>
    <row r="9838" spans="16:19" ht="15" customHeight="1" x14ac:dyDescent="0.25">
      <c r="P9838" s="216"/>
      <c r="Q9838" s="217"/>
      <c r="R9838" s="217"/>
      <c r="S9838" s="218"/>
    </row>
    <row r="9839" spans="16:19" ht="15" customHeight="1" x14ac:dyDescent="0.25">
      <c r="P9839" s="216"/>
      <c r="Q9839" s="217"/>
      <c r="R9839" s="217"/>
      <c r="S9839" s="218"/>
    </row>
    <row r="9840" spans="16:19" ht="15" customHeight="1" x14ac:dyDescent="0.25">
      <c r="P9840" s="216"/>
      <c r="Q9840" s="217"/>
      <c r="R9840" s="217"/>
      <c r="S9840" s="218"/>
    </row>
    <row r="9841" spans="16:19" ht="15" customHeight="1" x14ac:dyDescent="0.25">
      <c r="P9841" s="216"/>
      <c r="Q9841" s="217"/>
      <c r="R9841" s="217"/>
      <c r="S9841" s="218"/>
    </row>
    <row r="9842" spans="16:19" ht="15" customHeight="1" x14ac:dyDescent="0.25">
      <c r="P9842" s="216"/>
      <c r="Q9842" s="217"/>
      <c r="R9842" s="217"/>
      <c r="S9842" s="218"/>
    </row>
    <row r="9843" spans="16:19" ht="15" customHeight="1" x14ac:dyDescent="0.25">
      <c r="P9843" s="216"/>
      <c r="Q9843" s="217"/>
      <c r="R9843" s="217"/>
      <c r="S9843" s="218"/>
    </row>
    <row r="9844" spans="16:19" ht="15" customHeight="1" x14ac:dyDescent="0.25">
      <c r="P9844" s="216"/>
      <c r="Q9844" s="217"/>
      <c r="R9844" s="217"/>
      <c r="S9844" s="218"/>
    </row>
    <row r="9845" spans="16:19" ht="15" customHeight="1" x14ac:dyDescent="0.25">
      <c r="P9845" s="216"/>
      <c r="Q9845" s="217"/>
      <c r="R9845" s="217"/>
      <c r="S9845" s="218"/>
    </row>
    <row r="9846" spans="16:19" ht="15" customHeight="1" x14ac:dyDescent="0.25">
      <c r="P9846" s="216"/>
      <c r="Q9846" s="217"/>
      <c r="R9846" s="217"/>
      <c r="S9846" s="218"/>
    </row>
    <row r="9847" spans="16:19" ht="15" customHeight="1" x14ac:dyDescent="0.25">
      <c r="P9847" s="216"/>
      <c r="Q9847" s="217"/>
      <c r="R9847" s="217"/>
      <c r="S9847" s="218"/>
    </row>
    <row r="9848" spans="16:19" ht="15" customHeight="1" x14ac:dyDescent="0.25">
      <c r="P9848" s="216"/>
      <c r="Q9848" s="217"/>
      <c r="R9848" s="217"/>
      <c r="S9848" s="218"/>
    </row>
    <row r="9849" spans="16:19" ht="15" customHeight="1" x14ac:dyDescent="0.25">
      <c r="P9849" s="216"/>
      <c r="Q9849" s="217"/>
      <c r="R9849" s="217"/>
      <c r="S9849" s="218"/>
    </row>
    <row r="9850" spans="16:19" ht="15" customHeight="1" x14ac:dyDescent="0.25">
      <c r="P9850" s="216"/>
      <c r="Q9850" s="217"/>
      <c r="R9850" s="217"/>
      <c r="S9850" s="218"/>
    </row>
    <row r="9851" spans="16:19" ht="15" customHeight="1" x14ac:dyDescent="0.25">
      <c r="P9851" s="216"/>
      <c r="Q9851" s="217"/>
      <c r="R9851" s="217"/>
      <c r="S9851" s="218"/>
    </row>
    <row r="9852" spans="16:19" ht="15" customHeight="1" x14ac:dyDescent="0.25">
      <c r="P9852" s="216"/>
      <c r="Q9852" s="217"/>
      <c r="R9852" s="217"/>
      <c r="S9852" s="218"/>
    </row>
    <row r="9853" spans="16:19" ht="15" customHeight="1" x14ac:dyDescent="0.25">
      <c r="P9853" s="216"/>
      <c r="Q9853" s="217"/>
      <c r="R9853" s="217"/>
      <c r="S9853" s="218"/>
    </row>
    <row r="9854" spans="16:19" ht="15" customHeight="1" x14ac:dyDescent="0.25">
      <c r="P9854" s="216"/>
      <c r="Q9854" s="217"/>
      <c r="R9854" s="217"/>
      <c r="S9854" s="218"/>
    </row>
    <row r="9855" spans="16:19" ht="15" customHeight="1" x14ac:dyDescent="0.25">
      <c r="P9855" s="216"/>
      <c r="Q9855" s="217"/>
      <c r="R9855" s="217"/>
      <c r="S9855" s="218"/>
    </row>
    <row r="9856" spans="16:19" ht="15" customHeight="1" x14ac:dyDescent="0.25">
      <c r="P9856" s="216"/>
      <c r="Q9856" s="217"/>
      <c r="R9856" s="217"/>
      <c r="S9856" s="218"/>
    </row>
    <row r="9857" spans="16:19" ht="15" customHeight="1" x14ac:dyDescent="0.25">
      <c r="P9857" s="216"/>
      <c r="Q9857" s="217"/>
      <c r="R9857" s="217"/>
      <c r="S9857" s="218"/>
    </row>
    <row r="9858" spans="16:19" ht="15" customHeight="1" x14ac:dyDescent="0.25">
      <c r="P9858" s="216"/>
      <c r="Q9858" s="217"/>
      <c r="R9858" s="217"/>
      <c r="S9858" s="218"/>
    </row>
    <row r="9859" spans="16:19" ht="15" customHeight="1" x14ac:dyDescent="0.25">
      <c r="P9859" s="216"/>
      <c r="Q9859" s="217"/>
      <c r="R9859" s="217"/>
      <c r="S9859" s="218"/>
    </row>
    <row r="9860" spans="16:19" ht="15" customHeight="1" x14ac:dyDescent="0.25">
      <c r="P9860" s="216"/>
      <c r="Q9860" s="217"/>
      <c r="R9860" s="217"/>
      <c r="S9860" s="218"/>
    </row>
    <row r="9861" spans="16:19" ht="15" customHeight="1" x14ac:dyDescent="0.25">
      <c r="P9861" s="216"/>
      <c r="Q9861" s="217"/>
      <c r="R9861" s="217"/>
      <c r="S9861" s="218"/>
    </row>
    <row r="9862" spans="16:19" ht="15" customHeight="1" x14ac:dyDescent="0.25">
      <c r="P9862" s="216"/>
      <c r="Q9862" s="217"/>
      <c r="R9862" s="217"/>
      <c r="S9862" s="218"/>
    </row>
    <row r="9863" spans="16:19" ht="15" customHeight="1" x14ac:dyDescent="0.25">
      <c r="P9863" s="216"/>
      <c r="Q9863" s="217"/>
      <c r="R9863" s="217"/>
      <c r="S9863" s="218"/>
    </row>
    <row r="9864" spans="16:19" ht="15" customHeight="1" x14ac:dyDescent="0.25">
      <c r="P9864" s="216"/>
      <c r="Q9864" s="217"/>
      <c r="R9864" s="217"/>
      <c r="S9864" s="218"/>
    </row>
    <row r="9865" spans="16:19" ht="15" customHeight="1" x14ac:dyDescent="0.25">
      <c r="P9865" s="216"/>
      <c r="Q9865" s="217"/>
      <c r="R9865" s="217"/>
      <c r="S9865" s="218"/>
    </row>
    <row r="9866" spans="16:19" ht="15" customHeight="1" x14ac:dyDescent="0.25">
      <c r="P9866" s="216"/>
      <c r="Q9866" s="217"/>
      <c r="R9866" s="217"/>
      <c r="S9866" s="218"/>
    </row>
    <row r="9867" spans="16:19" ht="15" customHeight="1" x14ac:dyDescent="0.25">
      <c r="P9867" s="216"/>
      <c r="Q9867" s="217"/>
      <c r="R9867" s="217"/>
      <c r="S9867" s="218"/>
    </row>
    <row r="9868" spans="16:19" ht="15" customHeight="1" x14ac:dyDescent="0.25">
      <c r="P9868" s="216"/>
      <c r="Q9868" s="217"/>
      <c r="R9868" s="217"/>
      <c r="S9868" s="218"/>
    </row>
    <row r="9869" spans="16:19" ht="15" customHeight="1" x14ac:dyDescent="0.25">
      <c r="P9869" s="216"/>
      <c r="Q9869" s="217"/>
      <c r="R9869" s="217"/>
      <c r="S9869" s="218"/>
    </row>
    <row r="9870" spans="16:19" ht="15" customHeight="1" x14ac:dyDescent="0.25">
      <c r="P9870" s="216"/>
      <c r="Q9870" s="217"/>
      <c r="R9870" s="217"/>
      <c r="S9870" s="218"/>
    </row>
    <row r="9871" spans="16:19" ht="15" customHeight="1" x14ac:dyDescent="0.25">
      <c r="P9871" s="216"/>
      <c r="Q9871" s="217"/>
      <c r="R9871" s="217"/>
      <c r="S9871" s="218"/>
    </row>
    <row r="9872" spans="16:19" ht="15" customHeight="1" x14ac:dyDescent="0.25">
      <c r="P9872" s="216"/>
      <c r="Q9872" s="217"/>
      <c r="R9872" s="217"/>
      <c r="S9872" s="218"/>
    </row>
    <row r="9873" spans="16:19" ht="15" customHeight="1" x14ac:dyDescent="0.25">
      <c r="P9873" s="216"/>
      <c r="Q9873" s="217"/>
      <c r="R9873" s="217"/>
      <c r="S9873" s="218"/>
    </row>
    <row r="9874" spans="16:19" ht="15" customHeight="1" x14ac:dyDescent="0.25">
      <c r="P9874" s="216"/>
      <c r="Q9874" s="217"/>
      <c r="R9874" s="217"/>
      <c r="S9874" s="218"/>
    </row>
    <row r="9875" spans="16:19" ht="15" customHeight="1" x14ac:dyDescent="0.25">
      <c r="P9875" s="216"/>
      <c r="Q9875" s="217"/>
      <c r="R9875" s="217"/>
      <c r="S9875" s="218"/>
    </row>
    <row r="9876" spans="16:19" ht="15" customHeight="1" x14ac:dyDescent="0.25">
      <c r="P9876" s="216"/>
      <c r="Q9876" s="217"/>
      <c r="R9876" s="217"/>
      <c r="S9876" s="218"/>
    </row>
    <row r="9877" spans="16:19" ht="15" customHeight="1" x14ac:dyDescent="0.25">
      <c r="P9877" s="216"/>
      <c r="Q9877" s="217"/>
      <c r="R9877" s="217"/>
      <c r="S9877" s="218"/>
    </row>
    <row r="9878" spans="16:19" ht="15" customHeight="1" x14ac:dyDescent="0.25">
      <c r="P9878" s="216"/>
      <c r="Q9878" s="217"/>
      <c r="R9878" s="217"/>
      <c r="S9878" s="218"/>
    </row>
    <row r="9879" spans="16:19" ht="15" customHeight="1" x14ac:dyDescent="0.25">
      <c r="P9879" s="216"/>
      <c r="Q9879" s="217"/>
      <c r="R9879" s="217"/>
      <c r="S9879" s="218"/>
    </row>
    <row r="9880" spans="16:19" ht="15" customHeight="1" x14ac:dyDescent="0.25">
      <c r="P9880" s="216"/>
      <c r="Q9880" s="217"/>
      <c r="R9880" s="217"/>
      <c r="S9880" s="218"/>
    </row>
    <row r="9881" spans="16:19" ht="15" customHeight="1" x14ac:dyDescent="0.25">
      <c r="P9881" s="216"/>
      <c r="Q9881" s="217"/>
      <c r="R9881" s="217"/>
      <c r="S9881" s="218"/>
    </row>
    <row r="9882" spans="16:19" ht="15" customHeight="1" x14ac:dyDescent="0.25">
      <c r="P9882" s="216"/>
      <c r="Q9882" s="217"/>
      <c r="R9882" s="217"/>
      <c r="S9882" s="218"/>
    </row>
    <row r="9883" spans="16:19" ht="15" customHeight="1" x14ac:dyDescent="0.25">
      <c r="P9883" s="216"/>
      <c r="Q9883" s="217"/>
      <c r="R9883" s="217"/>
      <c r="S9883" s="218"/>
    </row>
    <row r="9884" spans="16:19" ht="15" customHeight="1" x14ac:dyDescent="0.25">
      <c r="P9884" s="216"/>
      <c r="Q9884" s="217"/>
      <c r="R9884" s="217"/>
      <c r="S9884" s="218"/>
    </row>
    <row r="9885" spans="16:19" ht="15" customHeight="1" x14ac:dyDescent="0.25">
      <c r="P9885" s="216"/>
      <c r="Q9885" s="217"/>
      <c r="R9885" s="217"/>
      <c r="S9885" s="218"/>
    </row>
    <row r="9886" spans="16:19" ht="15" customHeight="1" x14ac:dyDescent="0.25">
      <c r="P9886" s="216"/>
      <c r="Q9886" s="217"/>
      <c r="R9886" s="217"/>
      <c r="S9886" s="218"/>
    </row>
    <row r="9887" spans="16:19" ht="15" customHeight="1" x14ac:dyDescent="0.25">
      <c r="P9887" s="216"/>
      <c r="Q9887" s="217"/>
      <c r="R9887" s="217"/>
      <c r="S9887" s="218"/>
    </row>
    <row r="9888" spans="16:19" ht="15" customHeight="1" x14ac:dyDescent="0.25">
      <c r="P9888" s="216"/>
      <c r="Q9888" s="217"/>
      <c r="R9888" s="217"/>
      <c r="S9888" s="218"/>
    </row>
    <row r="9889" spans="16:19" ht="15" customHeight="1" x14ac:dyDescent="0.25">
      <c r="P9889" s="216"/>
      <c r="Q9889" s="217"/>
      <c r="R9889" s="217"/>
      <c r="S9889" s="218"/>
    </row>
    <row r="9890" spans="16:19" ht="15" customHeight="1" x14ac:dyDescent="0.25">
      <c r="P9890" s="216"/>
      <c r="Q9890" s="217"/>
      <c r="R9890" s="217"/>
      <c r="S9890" s="218"/>
    </row>
    <row r="9891" spans="16:19" ht="15" customHeight="1" x14ac:dyDescent="0.25">
      <c r="P9891" s="216"/>
      <c r="Q9891" s="217"/>
      <c r="R9891" s="217"/>
      <c r="S9891" s="218"/>
    </row>
    <row r="9892" spans="16:19" ht="15" customHeight="1" x14ac:dyDescent="0.25">
      <c r="P9892" s="216"/>
      <c r="Q9892" s="217"/>
      <c r="R9892" s="217"/>
      <c r="S9892" s="218"/>
    </row>
    <row r="9893" spans="16:19" ht="15" customHeight="1" x14ac:dyDescent="0.25">
      <c r="P9893" s="216"/>
      <c r="Q9893" s="217"/>
      <c r="R9893" s="217"/>
      <c r="S9893" s="218"/>
    </row>
    <row r="9894" spans="16:19" ht="15" customHeight="1" x14ac:dyDescent="0.25">
      <c r="P9894" s="216"/>
      <c r="Q9894" s="217"/>
      <c r="R9894" s="217"/>
      <c r="S9894" s="218"/>
    </row>
    <row r="9895" spans="16:19" ht="15" customHeight="1" x14ac:dyDescent="0.25">
      <c r="P9895" s="216"/>
      <c r="Q9895" s="217"/>
      <c r="R9895" s="217"/>
      <c r="S9895" s="218"/>
    </row>
    <row r="9896" spans="16:19" ht="15" customHeight="1" x14ac:dyDescent="0.25">
      <c r="P9896" s="216"/>
      <c r="Q9896" s="217"/>
      <c r="R9896" s="217"/>
      <c r="S9896" s="218"/>
    </row>
    <row r="9897" spans="16:19" ht="15" customHeight="1" x14ac:dyDescent="0.25">
      <c r="P9897" s="216"/>
      <c r="Q9897" s="217"/>
      <c r="R9897" s="217"/>
      <c r="S9897" s="218"/>
    </row>
    <row r="9898" spans="16:19" ht="15" customHeight="1" x14ac:dyDescent="0.25">
      <c r="P9898" s="216"/>
      <c r="Q9898" s="217"/>
      <c r="R9898" s="217"/>
      <c r="S9898" s="218"/>
    </row>
    <row r="9899" spans="16:19" ht="15" customHeight="1" x14ac:dyDescent="0.25">
      <c r="P9899" s="216"/>
      <c r="Q9899" s="217"/>
      <c r="R9899" s="217"/>
      <c r="S9899" s="218"/>
    </row>
    <row r="9900" spans="16:19" ht="15" customHeight="1" x14ac:dyDescent="0.25">
      <c r="P9900" s="216"/>
      <c r="Q9900" s="217"/>
      <c r="R9900" s="217"/>
      <c r="S9900" s="218"/>
    </row>
    <row r="9901" spans="16:19" ht="15" customHeight="1" x14ac:dyDescent="0.25">
      <c r="P9901" s="216"/>
      <c r="Q9901" s="217"/>
      <c r="R9901" s="217"/>
      <c r="S9901" s="218"/>
    </row>
    <row r="9902" spans="16:19" ht="15" customHeight="1" x14ac:dyDescent="0.25">
      <c r="P9902" s="216"/>
      <c r="Q9902" s="217"/>
      <c r="R9902" s="217"/>
      <c r="S9902" s="218"/>
    </row>
    <row r="9903" spans="16:19" ht="15" customHeight="1" x14ac:dyDescent="0.25">
      <c r="P9903" s="216"/>
      <c r="Q9903" s="217"/>
      <c r="R9903" s="217"/>
      <c r="S9903" s="218"/>
    </row>
    <row r="9904" spans="16:19" ht="15" customHeight="1" x14ac:dyDescent="0.25">
      <c r="P9904" s="216"/>
      <c r="Q9904" s="217"/>
      <c r="R9904" s="217"/>
      <c r="S9904" s="218"/>
    </row>
    <row r="9905" spans="16:19" ht="15" customHeight="1" x14ac:dyDescent="0.25">
      <c r="P9905" s="216"/>
      <c r="Q9905" s="217"/>
      <c r="R9905" s="217"/>
      <c r="S9905" s="218"/>
    </row>
    <row r="9906" spans="16:19" ht="15" customHeight="1" x14ac:dyDescent="0.25">
      <c r="P9906" s="216"/>
      <c r="Q9906" s="217"/>
      <c r="R9906" s="217"/>
      <c r="S9906" s="218"/>
    </row>
    <row r="9907" spans="16:19" ht="15" customHeight="1" x14ac:dyDescent="0.25">
      <c r="P9907" s="216"/>
      <c r="Q9907" s="217"/>
      <c r="R9907" s="217"/>
      <c r="S9907" s="218"/>
    </row>
    <row r="9908" spans="16:19" ht="15" customHeight="1" x14ac:dyDescent="0.25">
      <c r="P9908" s="216"/>
      <c r="Q9908" s="217"/>
      <c r="R9908" s="217"/>
      <c r="S9908" s="218"/>
    </row>
    <row r="9909" spans="16:19" ht="15" customHeight="1" x14ac:dyDescent="0.25">
      <c r="P9909" s="216"/>
      <c r="Q9909" s="217"/>
      <c r="R9909" s="217"/>
      <c r="S9909" s="218"/>
    </row>
    <row r="9910" spans="16:19" ht="15" customHeight="1" x14ac:dyDescent="0.25">
      <c r="P9910" s="216"/>
      <c r="Q9910" s="217"/>
      <c r="R9910" s="217"/>
      <c r="S9910" s="218"/>
    </row>
    <row r="9911" spans="16:19" ht="15" customHeight="1" x14ac:dyDescent="0.25">
      <c r="P9911" s="216"/>
      <c r="Q9911" s="217"/>
      <c r="R9911" s="217"/>
      <c r="S9911" s="218"/>
    </row>
    <row r="9912" spans="16:19" ht="15" customHeight="1" x14ac:dyDescent="0.25">
      <c r="P9912" s="216"/>
      <c r="Q9912" s="217"/>
      <c r="R9912" s="217"/>
      <c r="S9912" s="218"/>
    </row>
    <row r="9913" spans="16:19" ht="15" customHeight="1" x14ac:dyDescent="0.25">
      <c r="P9913" s="216"/>
      <c r="Q9913" s="217"/>
      <c r="R9913" s="217"/>
      <c r="S9913" s="218"/>
    </row>
    <row r="9914" spans="16:19" ht="15" customHeight="1" x14ac:dyDescent="0.25">
      <c r="P9914" s="216"/>
      <c r="Q9914" s="217"/>
      <c r="R9914" s="217"/>
      <c r="S9914" s="218"/>
    </row>
    <row r="9915" spans="16:19" ht="15" customHeight="1" x14ac:dyDescent="0.25">
      <c r="P9915" s="216"/>
      <c r="Q9915" s="217"/>
      <c r="R9915" s="217"/>
      <c r="S9915" s="218"/>
    </row>
    <row r="9916" spans="16:19" ht="15" customHeight="1" x14ac:dyDescent="0.25">
      <c r="P9916" s="216"/>
      <c r="Q9916" s="217"/>
      <c r="R9916" s="217"/>
      <c r="S9916" s="218"/>
    </row>
    <row r="9917" spans="16:19" ht="15" customHeight="1" x14ac:dyDescent="0.25">
      <c r="P9917" s="216"/>
      <c r="Q9917" s="217"/>
      <c r="R9917" s="217"/>
      <c r="S9917" s="218"/>
    </row>
    <row r="9918" spans="16:19" ht="15" customHeight="1" x14ac:dyDescent="0.25">
      <c r="P9918" s="216"/>
      <c r="Q9918" s="217"/>
      <c r="R9918" s="217"/>
      <c r="S9918" s="218"/>
    </row>
    <row r="9919" spans="16:19" ht="15" customHeight="1" x14ac:dyDescent="0.25">
      <c r="P9919" s="216"/>
      <c r="Q9919" s="217"/>
      <c r="R9919" s="217"/>
      <c r="S9919" s="218"/>
    </row>
    <row r="9920" spans="16:19" ht="15" customHeight="1" x14ac:dyDescent="0.25">
      <c r="P9920" s="216"/>
      <c r="Q9920" s="217"/>
      <c r="R9920" s="217"/>
      <c r="S9920" s="218"/>
    </row>
    <row r="9921" spans="16:19" ht="15" customHeight="1" x14ac:dyDescent="0.25">
      <c r="P9921" s="216"/>
      <c r="Q9921" s="217"/>
      <c r="R9921" s="217"/>
      <c r="S9921" s="218"/>
    </row>
    <row r="9922" spans="16:19" ht="15" customHeight="1" x14ac:dyDescent="0.25">
      <c r="P9922" s="216"/>
      <c r="Q9922" s="217"/>
      <c r="R9922" s="217"/>
      <c r="S9922" s="218"/>
    </row>
    <row r="9923" spans="16:19" ht="15" customHeight="1" x14ac:dyDescent="0.25">
      <c r="P9923" s="216"/>
      <c r="Q9923" s="217"/>
      <c r="R9923" s="217"/>
      <c r="S9923" s="218"/>
    </row>
    <row r="9924" spans="16:19" ht="15" customHeight="1" x14ac:dyDescent="0.25">
      <c r="P9924" s="216"/>
      <c r="Q9924" s="217"/>
      <c r="R9924" s="217"/>
      <c r="S9924" s="218"/>
    </row>
    <row r="9925" spans="16:19" ht="15" customHeight="1" x14ac:dyDescent="0.25">
      <c r="P9925" s="216"/>
      <c r="Q9925" s="217"/>
      <c r="R9925" s="217"/>
      <c r="S9925" s="218"/>
    </row>
    <row r="9926" spans="16:19" ht="15" customHeight="1" x14ac:dyDescent="0.25">
      <c r="P9926" s="216"/>
      <c r="Q9926" s="217"/>
      <c r="R9926" s="217"/>
      <c r="S9926" s="218"/>
    </row>
    <row r="9927" spans="16:19" ht="15" customHeight="1" x14ac:dyDescent="0.25">
      <c r="P9927" s="216"/>
      <c r="Q9927" s="217"/>
      <c r="R9927" s="217"/>
      <c r="S9927" s="218"/>
    </row>
    <row r="9928" spans="16:19" ht="15" customHeight="1" x14ac:dyDescent="0.25">
      <c r="P9928" s="216"/>
      <c r="Q9928" s="217"/>
      <c r="R9928" s="217"/>
      <c r="S9928" s="218"/>
    </row>
    <row r="9929" spans="16:19" ht="15" customHeight="1" x14ac:dyDescent="0.25">
      <c r="P9929" s="216"/>
      <c r="Q9929" s="217"/>
      <c r="R9929" s="217"/>
      <c r="S9929" s="218"/>
    </row>
    <row r="9930" spans="16:19" ht="15" customHeight="1" x14ac:dyDescent="0.25">
      <c r="P9930" s="216"/>
      <c r="Q9930" s="217"/>
      <c r="R9930" s="217"/>
      <c r="S9930" s="218"/>
    </row>
    <row r="9931" spans="16:19" ht="15" customHeight="1" x14ac:dyDescent="0.25">
      <c r="P9931" s="216"/>
      <c r="Q9931" s="217"/>
      <c r="R9931" s="217"/>
      <c r="S9931" s="218"/>
    </row>
    <row r="9932" spans="16:19" ht="15" customHeight="1" x14ac:dyDescent="0.25">
      <c r="P9932" s="216"/>
      <c r="Q9932" s="217"/>
      <c r="R9932" s="217"/>
      <c r="S9932" s="218"/>
    </row>
    <row r="9933" spans="16:19" ht="15" customHeight="1" x14ac:dyDescent="0.25">
      <c r="P9933" s="216"/>
      <c r="Q9933" s="217"/>
      <c r="R9933" s="217"/>
      <c r="S9933" s="218"/>
    </row>
    <row r="9934" spans="16:19" ht="15" customHeight="1" x14ac:dyDescent="0.25">
      <c r="P9934" s="216"/>
      <c r="Q9934" s="217"/>
      <c r="R9934" s="217"/>
      <c r="S9934" s="218"/>
    </row>
    <row r="9935" spans="16:19" ht="15" customHeight="1" x14ac:dyDescent="0.25">
      <c r="P9935" s="216"/>
      <c r="Q9935" s="217"/>
      <c r="R9935" s="217"/>
      <c r="S9935" s="218"/>
    </row>
    <row r="9936" spans="16:19" ht="15" customHeight="1" x14ac:dyDescent="0.25">
      <c r="P9936" s="216"/>
      <c r="Q9936" s="217"/>
      <c r="R9936" s="217"/>
      <c r="S9936" s="218"/>
    </row>
    <row r="9937" spans="16:19" ht="15" customHeight="1" x14ac:dyDescent="0.25">
      <c r="P9937" s="216"/>
      <c r="Q9937" s="217"/>
      <c r="R9937" s="217"/>
      <c r="S9937" s="218"/>
    </row>
    <row r="9938" spans="16:19" ht="15" customHeight="1" x14ac:dyDescent="0.25">
      <c r="P9938" s="216"/>
      <c r="Q9938" s="217"/>
      <c r="R9938" s="217"/>
      <c r="S9938" s="218"/>
    </row>
    <row r="9939" spans="16:19" ht="15" customHeight="1" x14ac:dyDescent="0.25">
      <c r="P9939" s="216"/>
      <c r="Q9939" s="217"/>
      <c r="R9939" s="217"/>
      <c r="S9939" s="218"/>
    </row>
    <row r="9940" spans="16:19" ht="15" customHeight="1" x14ac:dyDescent="0.25">
      <c r="P9940" s="216"/>
      <c r="Q9940" s="217"/>
      <c r="R9940" s="217"/>
      <c r="S9940" s="218"/>
    </row>
    <row r="9941" spans="16:19" ht="15" customHeight="1" x14ac:dyDescent="0.25">
      <c r="P9941" s="216"/>
      <c r="Q9941" s="217"/>
      <c r="R9941" s="217"/>
      <c r="S9941" s="218"/>
    </row>
    <row r="9942" spans="16:19" ht="15" customHeight="1" x14ac:dyDescent="0.25">
      <c r="P9942" s="216"/>
      <c r="Q9942" s="217"/>
      <c r="R9942" s="217"/>
      <c r="S9942" s="218"/>
    </row>
    <row r="9943" spans="16:19" ht="15" customHeight="1" x14ac:dyDescent="0.25">
      <c r="P9943" s="216"/>
      <c r="Q9943" s="217"/>
      <c r="R9943" s="217"/>
      <c r="S9943" s="218"/>
    </row>
    <row r="9944" spans="16:19" ht="15" customHeight="1" x14ac:dyDescent="0.25">
      <c r="P9944" s="216"/>
      <c r="Q9944" s="217"/>
      <c r="R9944" s="217"/>
      <c r="S9944" s="218"/>
    </row>
    <row r="9945" spans="16:19" ht="15" customHeight="1" x14ac:dyDescent="0.25">
      <c r="P9945" s="216"/>
      <c r="Q9945" s="217"/>
      <c r="R9945" s="217"/>
      <c r="S9945" s="218"/>
    </row>
    <row r="9946" spans="16:19" ht="15" customHeight="1" x14ac:dyDescent="0.25">
      <c r="P9946" s="216"/>
      <c r="Q9946" s="217"/>
      <c r="R9946" s="217"/>
      <c r="S9946" s="218"/>
    </row>
    <row r="9947" spans="16:19" ht="15" customHeight="1" x14ac:dyDescent="0.25">
      <c r="P9947" s="216"/>
      <c r="Q9947" s="217"/>
      <c r="R9947" s="217"/>
      <c r="S9947" s="218"/>
    </row>
    <row r="9948" spans="16:19" ht="15" customHeight="1" x14ac:dyDescent="0.25">
      <c r="P9948" s="216"/>
      <c r="Q9948" s="217"/>
      <c r="R9948" s="217"/>
      <c r="S9948" s="218"/>
    </row>
    <row r="9949" spans="16:19" ht="15" customHeight="1" x14ac:dyDescent="0.25">
      <c r="P9949" s="216"/>
      <c r="Q9949" s="217"/>
      <c r="R9949" s="217"/>
      <c r="S9949" s="218"/>
    </row>
    <row r="9950" spans="16:19" ht="15" customHeight="1" x14ac:dyDescent="0.25">
      <c r="P9950" s="216"/>
      <c r="Q9950" s="217"/>
      <c r="R9950" s="217"/>
      <c r="S9950" s="218"/>
    </row>
    <row r="9951" spans="16:19" ht="15" customHeight="1" x14ac:dyDescent="0.25">
      <c r="P9951" s="216"/>
      <c r="Q9951" s="217"/>
      <c r="R9951" s="217"/>
      <c r="S9951" s="218"/>
    </row>
    <row r="9952" spans="16:19" ht="15" customHeight="1" x14ac:dyDescent="0.25">
      <c r="P9952" s="216"/>
      <c r="Q9952" s="217"/>
      <c r="R9952" s="217"/>
      <c r="S9952" s="218"/>
    </row>
    <row r="9953" spans="16:19" ht="15" customHeight="1" x14ac:dyDescent="0.25">
      <c r="P9953" s="216"/>
      <c r="Q9953" s="217"/>
      <c r="R9953" s="217"/>
      <c r="S9953" s="218"/>
    </row>
    <row r="9954" spans="16:19" ht="15" customHeight="1" x14ac:dyDescent="0.25">
      <c r="P9954" s="216"/>
      <c r="Q9954" s="217"/>
      <c r="R9954" s="217"/>
      <c r="S9954" s="218"/>
    </row>
    <row r="9955" spans="16:19" ht="15" customHeight="1" x14ac:dyDescent="0.25">
      <c r="P9955" s="216"/>
      <c r="Q9955" s="217"/>
      <c r="R9955" s="217"/>
      <c r="S9955" s="218"/>
    </row>
    <row r="9956" spans="16:19" ht="15" customHeight="1" x14ac:dyDescent="0.25">
      <c r="P9956" s="216"/>
      <c r="Q9956" s="217"/>
      <c r="R9956" s="217"/>
      <c r="S9956" s="218"/>
    </row>
    <row r="9957" spans="16:19" ht="15" customHeight="1" x14ac:dyDescent="0.25">
      <c r="P9957" s="216"/>
      <c r="Q9957" s="217"/>
      <c r="R9957" s="217"/>
      <c r="S9957" s="218"/>
    </row>
    <row r="9958" spans="16:19" ht="15" customHeight="1" x14ac:dyDescent="0.25">
      <c r="P9958" s="216"/>
      <c r="Q9958" s="217"/>
      <c r="R9958" s="217"/>
      <c r="S9958" s="218"/>
    </row>
    <row r="9959" spans="16:19" ht="15" customHeight="1" x14ac:dyDescent="0.25">
      <c r="P9959" s="216"/>
      <c r="Q9959" s="217"/>
      <c r="R9959" s="217"/>
      <c r="S9959" s="218"/>
    </row>
    <row r="9960" spans="16:19" ht="15" customHeight="1" x14ac:dyDescent="0.25">
      <c r="P9960" s="216"/>
      <c r="Q9960" s="217"/>
      <c r="R9960" s="217"/>
      <c r="S9960" s="218"/>
    </row>
    <row r="9961" spans="16:19" ht="15" customHeight="1" x14ac:dyDescent="0.25">
      <c r="P9961" s="216"/>
      <c r="Q9961" s="217"/>
      <c r="R9961" s="217"/>
      <c r="S9961" s="218"/>
    </row>
    <row r="9962" spans="16:19" ht="15" customHeight="1" x14ac:dyDescent="0.25">
      <c r="P9962" s="216"/>
      <c r="Q9962" s="217"/>
      <c r="R9962" s="217"/>
      <c r="S9962" s="218"/>
    </row>
    <row r="9963" spans="16:19" ht="15" customHeight="1" x14ac:dyDescent="0.25">
      <c r="P9963" s="216"/>
      <c r="Q9963" s="217"/>
      <c r="R9963" s="217"/>
      <c r="S9963" s="218"/>
    </row>
    <row r="9964" spans="16:19" ht="15" customHeight="1" x14ac:dyDescent="0.25">
      <c r="P9964" s="216"/>
      <c r="Q9964" s="217"/>
      <c r="R9964" s="217"/>
      <c r="S9964" s="218"/>
    </row>
    <row r="9965" spans="16:19" ht="15" customHeight="1" x14ac:dyDescent="0.25">
      <c r="P9965" s="216"/>
      <c r="Q9965" s="217"/>
      <c r="R9965" s="217"/>
      <c r="S9965" s="218"/>
    </row>
    <row r="9966" spans="16:19" ht="15" customHeight="1" x14ac:dyDescent="0.25">
      <c r="P9966" s="216"/>
      <c r="Q9966" s="217"/>
      <c r="R9966" s="217"/>
      <c r="S9966" s="218"/>
    </row>
    <row r="9967" spans="16:19" ht="15" customHeight="1" x14ac:dyDescent="0.25">
      <c r="P9967" s="216"/>
      <c r="Q9967" s="217"/>
      <c r="R9967" s="217"/>
      <c r="S9967" s="218"/>
    </row>
    <row r="9968" spans="16:19" ht="15" customHeight="1" x14ac:dyDescent="0.25">
      <c r="P9968" s="216"/>
      <c r="Q9968" s="217"/>
      <c r="R9968" s="217"/>
      <c r="S9968" s="218"/>
    </row>
    <row r="9969" spans="16:19" ht="15" customHeight="1" x14ac:dyDescent="0.25">
      <c r="P9969" s="216"/>
      <c r="Q9969" s="217"/>
      <c r="R9969" s="217"/>
      <c r="S9969" s="218"/>
    </row>
    <row r="9970" spans="16:19" ht="15" customHeight="1" x14ac:dyDescent="0.25">
      <c r="P9970" s="216"/>
      <c r="Q9970" s="217"/>
      <c r="R9970" s="217"/>
      <c r="S9970" s="218"/>
    </row>
    <row r="9971" spans="16:19" ht="15" customHeight="1" x14ac:dyDescent="0.25">
      <c r="P9971" s="216"/>
      <c r="Q9971" s="217"/>
      <c r="R9971" s="217"/>
      <c r="S9971" s="218"/>
    </row>
    <row r="9972" spans="16:19" ht="15" customHeight="1" x14ac:dyDescent="0.25">
      <c r="P9972" s="216"/>
      <c r="Q9972" s="217"/>
      <c r="R9972" s="217"/>
      <c r="S9972" s="218"/>
    </row>
    <row r="9973" spans="16:19" ht="15" customHeight="1" x14ac:dyDescent="0.25">
      <c r="P9973" s="216"/>
      <c r="Q9973" s="217"/>
      <c r="R9973" s="217"/>
      <c r="S9973" s="218"/>
    </row>
    <row r="9974" spans="16:19" ht="15" customHeight="1" x14ac:dyDescent="0.25">
      <c r="P9974" s="216"/>
      <c r="Q9974" s="217"/>
      <c r="R9974" s="217"/>
      <c r="S9974" s="218"/>
    </row>
    <row r="9975" spans="16:19" ht="15" customHeight="1" x14ac:dyDescent="0.25">
      <c r="P9975" s="216"/>
      <c r="Q9975" s="217"/>
      <c r="R9975" s="217"/>
      <c r="S9975" s="218"/>
    </row>
    <row r="9976" spans="16:19" ht="15" customHeight="1" x14ac:dyDescent="0.25">
      <c r="P9976" s="216"/>
      <c r="Q9976" s="217"/>
      <c r="R9976" s="217"/>
      <c r="S9976" s="218"/>
    </row>
    <row r="9977" spans="16:19" ht="15" customHeight="1" x14ac:dyDescent="0.25">
      <c r="P9977" s="216"/>
      <c r="Q9977" s="217"/>
      <c r="R9977" s="217"/>
      <c r="S9977" s="218"/>
    </row>
    <row r="9978" spans="16:19" ht="15" customHeight="1" x14ac:dyDescent="0.25">
      <c r="P9978" s="216"/>
      <c r="Q9978" s="217"/>
      <c r="R9978" s="217"/>
      <c r="S9978" s="218"/>
    </row>
    <row r="9979" spans="16:19" ht="15" customHeight="1" x14ac:dyDescent="0.25">
      <c r="P9979" s="216"/>
      <c r="Q9979" s="217"/>
      <c r="R9979" s="217"/>
      <c r="S9979" s="218"/>
    </row>
    <row r="9980" spans="16:19" ht="15" customHeight="1" x14ac:dyDescent="0.25">
      <c r="P9980" s="216"/>
      <c r="Q9980" s="217"/>
      <c r="R9980" s="217"/>
      <c r="S9980" s="218"/>
    </row>
    <row r="9981" spans="16:19" ht="15" customHeight="1" x14ac:dyDescent="0.25">
      <c r="P9981" s="216"/>
      <c r="Q9981" s="217"/>
      <c r="R9981" s="217"/>
      <c r="S9981" s="218"/>
    </row>
    <row r="9982" spans="16:19" ht="15" customHeight="1" x14ac:dyDescent="0.25">
      <c r="P9982" s="216"/>
      <c r="Q9982" s="217"/>
      <c r="R9982" s="217"/>
      <c r="S9982" s="218"/>
    </row>
    <row r="9983" spans="16:19" ht="15" customHeight="1" x14ac:dyDescent="0.25">
      <c r="P9983" s="216"/>
      <c r="Q9983" s="217"/>
      <c r="R9983" s="217"/>
      <c r="S9983" s="218"/>
    </row>
    <row r="9984" spans="16:19" ht="15" customHeight="1" x14ac:dyDescent="0.25">
      <c r="P9984" s="216"/>
      <c r="Q9984" s="217"/>
      <c r="R9984" s="217"/>
      <c r="S9984" s="218"/>
    </row>
    <row r="9985" spans="16:19" ht="15" customHeight="1" x14ac:dyDescent="0.25">
      <c r="P9985" s="216"/>
      <c r="Q9985" s="217"/>
      <c r="R9985" s="217"/>
      <c r="S9985" s="218"/>
    </row>
    <row r="9986" spans="16:19" ht="15" customHeight="1" x14ac:dyDescent="0.25">
      <c r="P9986" s="216"/>
      <c r="Q9986" s="217"/>
      <c r="R9986" s="217"/>
      <c r="S9986" s="218"/>
    </row>
    <row r="9987" spans="16:19" ht="15" customHeight="1" x14ac:dyDescent="0.25">
      <c r="P9987" s="216"/>
      <c r="Q9987" s="217"/>
      <c r="R9987" s="217"/>
      <c r="S9987" s="218"/>
    </row>
    <row r="9988" spans="16:19" ht="15" customHeight="1" x14ac:dyDescent="0.25">
      <c r="P9988" s="216"/>
      <c r="Q9988" s="217"/>
      <c r="R9988" s="217"/>
      <c r="S9988" s="218"/>
    </row>
    <row r="9989" spans="16:19" ht="15" customHeight="1" x14ac:dyDescent="0.25">
      <c r="P9989" s="216"/>
      <c r="Q9989" s="217"/>
      <c r="R9989" s="217"/>
      <c r="S9989" s="218"/>
    </row>
    <row r="9990" spans="16:19" ht="15" customHeight="1" x14ac:dyDescent="0.25">
      <c r="P9990" s="216"/>
      <c r="Q9990" s="217"/>
      <c r="R9990" s="217"/>
      <c r="S9990" s="218"/>
    </row>
    <row r="9991" spans="16:19" ht="15" customHeight="1" x14ac:dyDescent="0.25">
      <c r="P9991" s="216"/>
      <c r="Q9991" s="217"/>
      <c r="R9991" s="217"/>
      <c r="S9991" s="218"/>
    </row>
    <row r="9992" spans="16:19" ht="15" customHeight="1" x14ac:dyDescent="0.25">
      <c r="P9992" s="216"/>
      <c r="Q9992" s="217"/>
      <c r="R9992" s="217"/>
      <c r="S9992" s="218"/>
    </row>
    <row r="9993" spans="16:19" ht="15" customHeight="1" x14ac:dyDescent="0.25">
      <c r="P9993" s="216"/>
      <c r="Q9993" s="217"/>
      <c r="R9993" s="217"/>
      <c r="S9993" s="218"/>
    </row>
    <row r="9994" spans="16:19" ht="15" customHeight="1" x14ac:dyDescent="0.25">
      <c r="P9994" s="216"/>
      <c r="Q9994" s="217"/>
      <c r="R9994" s="217"/>
      <c r="S9994" s="218"/>
    </row>
    <row r="9995" spans="16:19" ht="15" customHeight="1" x14ac:dyDescent="0.25">
      <c r="P9995" s="216"/>
      <c r="Q9995" s="217"/>
      <c r="R9995" s="217"/>
      <c r="S9995" s="218"/>
    </row>
    <row r="9996" spans="16:19" ht="15" customHeight="1" x14ac:dyDescent="0.25">
      <c r="P9996" s="216"/>
      <c r="Q9996" s="217"/>
      <c r="R9996" s="217"/>
      <c r="S9996" s="218"/>
    </row>
    <row r="9997" spans="16:19" ht="15" customHeight="1" x14ac:dyDescent="0.25">
      <c r="P9997" s="216"/>
      <c r="Q9997" s="217"/>
      <c r="R9997" s="217"/>
      <c r="S9997" s="218"/>
    </row>
    <row r="9998" spans="16:19" ht="15" customHeight="1" x14ac:dyDescent="0.25">
      <c r="P9998" s="216"/>
      <c r="Q9998" s="217"/>
      <c r="R9998" s="217"/>
      <c r="S9998" s="218"/>
    </row>
    <row r="9999" spans="16:19" ht="15" customHeight="1" x14ac:dyDescent="0.25">
      <c r="P9999" s="216"/>
      <c r="Q9999" s="217"/>
      <c r="R9999" s="217"/>
      <c r="S9999" s="218"/>
    </row>
    <row r="10000" spans="16:19" ht="15" customHeight="1" x14ac:dyDescent="0.25">
      <c r="P10000" s="216"/>
      <c r="Q10000" s="217"/>
      <c r="R10000" s="217"/>
      <c r="S10000" s="218"/>
    </row>
    <row r="10001" spans="16:19" ht="15" customHeight="1" x14ac:dyDescent="0.25">
      <c r="P10001" s="216"/>
      <c r="Q10001" s="217"/>
      <c r="R10001" s="217"/>
      <c r="S10001" s="218"/>
    </row>
    <row r="10002" spans="16:19" ht="15" customHeight="1" x14ac:dyDescent="0.25">
      <c r="P10002" s="216"/>
      <c r="Q10002" s="217"/>
      <c r="R10002" s="217"/>
      <c r="S10002" s="218"/>
    </row>
    <row r="10003" spans="16:19" ht="15" customHeight="1" x14ac:dyDescent="0.25">
      <c r="P10003" s="216"/>
      <c r="Q10003" s="217"/>
      <c r="R10003" s="217"/>
      <c r="S10003" s="218"/>
    </row>
    <row r="10004" spans="16:19" ht="15" customHeight="1" x14ac:dyDescent="0.25">
      <c r="P10004" s="216"/>
      <c r="Q10004" s="217"/>
      <c r="R10004" s="217"/>
      <c r="S10004" s="218"/>
    </row>
    <row r="10005" spans="16:19" ht="15" customHeight="1" x14ac:dyDescent="0.25">
      <c r="P10005" s="216"/>
      <c r="Q10005" s="217"/>
      <c r="R10005" s="217"/>
      <c r="S10005" s="218"/>
    </row>
    <row r="10006" spans="16:19" ht="15" customHeight="1" x14ac:dyDescent="0.25">
      <c r="P10006" s="216"/>
      <c r="Q10006" s="217"/>
      <c r="R10006" s="217"/>
      <c r="S10006" s="218"/>
    </row>
    <row r="10007" spans="16:19" ht="15" customHeight="1" x14ac:dyDescent="0.25">
      <c r="P10007" s="216"/>
      <c r="Q10007" s="217"/>
      <c r="R10007" s="217"/>
      <c r="S10007" s="218"/>
    </row>
    <row r="10008" spans="16:19" ht="15" customHeight="1" x14ac:dyDescent="0.25">
      <c r="P10008" s="216"/>
      <c r="Q10008" s="217"/>
      <c r="R10008" s="217"/>
      <c r="S10008" s="218"/>
    </row>
    <row r="10009" spans="16:19" ht="15" customHeight="1" x14ac:dyDescent="0.25">
      <c r="P10009" s="216"/>
      <c r="Q10009" s="217"/>
      <c r="R10009" s="217"/>
      <c r="S10009" s="218"/>
    </row>
    <row r="10010" spans="16:19" ht="15" customHeight="1" x14ac:dyDescent="0.25">
      <c r="P10010" s="216"/>
      <c r="Q10010" s="217"/>
      <c r="R10010" s="217"/>
      <c r="S10010" s="218"/>
    </row>
    <row r="10011" spans="16:19" ht="15" customHeight="1" x14ac:dyDescent="0.25">
      <c r="P10011" s="216"/>
      <c r="Q10011" s="217"/>
      <c r="R10011" s="217"/>
      <c r="S10011" s="218"/>
    </row>
    <row r="10012" spans="16:19" ht="15" customHeight="1" x14ac:dyDescent="0.25">
      <c r="P10012" s="216"/>
      <c r="Q10012" s="217"/>
      <c r="R10012" s="217"/>
      <c r="S10012" s="218"/>
    </row>
    <row r="10013" spans="16:19" ht="15" customHeight="1" x14ac:dyDescent="0.25">
      <c r="P10013" s="216"/>
      <c r="Q10013" s="217"/>
      <c r="R10013" s="217"/>
      <c r="S10013" s="218"/>
    </row>
    <row r="10014" spans="16:19" ht="15" customHeight="1" x14ac:dyDescent="0.25">
      <c r="P10014" s="216"/>
      <c r="Q10014" s="217"/>
      <c r="R10014" s="217"/>
      <c r="S10014" s="218"/>
    </row>
    <row r="10015" spans="16:19" ht="15" customHeight="1" x14ac:dyDescent="0.25">
      <c r="P10015" s="216"/>
      <c r="Q10015" s="217"/>
      <c r="R10015" s="217"/>
      <c r="S10015" s="218"/>
    </row>
    <row r="10016" spans="16:19" ht="15" customHeight="1" x14ac:dyDescent="0.25">
      <c r="P10016" s="216"/>
      <c r="Q10016" s="217"/>
      <c r="R10016" s="217"/>
      <c r="S10016" s="218"/>
    </row>
    <row r="10017" spans="16:19" ht="15" customHeight="1" x14ac:dyDescent="0.25">
      <c r="P10017" s="216"/>
      <c r="Q10017" s="217"/>
      <c r="R10017" s="217"/>
      <c r="S10017" s="218"/>
    </row>
    <row r="10018" spans="16:19" ht="15" customHeight="1" x14ac:dyDescent="0.25">
      <c r="P10018" s="216"/>
      <c r="Q10018" s="217"/>
      <c r="R10018" s="217"/>
      <c r="S10018" s="218"/>
    </row>
    <row r="10019" spans="16:19" ht="15" customHeight="1" x14ac:dyDescent="0.25">
      <c r="P10019" s="216"/>
      <c r="Q10019" s="217"/>
      <c r="R10019" s="217"/>
      <c r="S10019" s="218"/>
    </row>
    <row r="10020" spans="16:19" ht="15" customHeight="1" x14ac:dyDescent="0.25">
      <c r="P10020" s="216"/>
      <c r="Q10020" s="217"/>
      <c r="R10020" s="217"/>
      <c r="S10020" s="218"/>
    </row>
    <row r="10021" spans="16:19" ht="15" customHeight="1" x14ac:dyDescent="0.25">
      <c r="P10021" s="216"/>
      <c r="Q10021" s="217"/>
      <c r="R10021" s="217"/>
      <c r="S10021" s="218"/>
    </row>
    <row r="10022" spans="16:19" ht="15" customHeight="1" x14ac:dyDescent="0.25">
      <c r="P10022" s="216"/>
      <c r="Q10022" s="217"/>
      <c r="R10022" s="217"/>
      <c r="S10022" s="218"/>
    </row>
    <row r="10023" spans="16:19" ht="15" customHeight="1" x14ac:dyDescent="0.25">
      <c r="P10023" s="216"/>
      <c r="Q10023" s="217"/>
      <c r="R10023" s="217"/>
      <c r="S10023" s="218"/>
    </row>
    <row r="10024" spans="16:19" ht="15" customHeight="1" x14ac:dyDescent="0.25">
      <c r="P10024" s="216"/>
      <c r="Q10024" s="217"/>
      <c r="R10024" s="217"/>
      <c r="S10024" s="218"/>
    </row>
    <row r="10025" spans="16:19" ht="15" customHeight="1" x14ac:dyDescent="0.25">
      <c r="P10025" s="216"/>
      <c r="Q10025" s="217"/>
      <c r="R10025" s="217"/>
      <c r="S10025" s="218"/>
    </row>
    <row r="10026" spans="16:19" ht="15" customHeight="1" x14ac:dyDescent="0.25">
      <c r="P10026" s="216"/>
      <c r="Q10026" s="217"/>
      <c r="R10026" s="217"/>
      <c r="S10026" s="218"/>
    </row>
    <row r="10027" spans="16:19" ht="15" customHeight="1" x14ac:dyDescent="0.25">
      <c r="P10027" s="216"/>
      <c r="Q10027" s="217"/>
      <c r="R10027" s="217"/>
      <c r="S10027" s="218"/>
    </row>
    <row r="10028" spans="16:19" ht="15" customHeight="1" x14ac:dyDescent="0.25">
      <c r="P10028" s="216"/>
      <c r="Q10028" s="217"/>
      <c r="R10028" s="217"/>
      <c r="S10028" s="218"/>
    </row>
    <row r="10029" spans="16:19" ht="15" customHeight="1" x14ac:dyDescent="0.25">
      <c r="P10029" s="216"/>
      <c r="Q10029" s="217"/>
      <c r="R10029" s="217"/>
      <c r="S10029" s="218"/>
    </row>
    <row r="10030" spans="16:19" ht="15" customHeight="1" x14ac:dyDescent="0.25">
      <c r="P10030" s="216"/>
      <c r="Q10030" s="217"/>
      <c r="R10030" s="217"/>
      <c r="S10030" s="218"/>
    </row>
    <row r="10031" spans="16:19" ht="15" customHeight="1" x14ac:dyDescent="0.25">
      <c r="P10031" s="216"/>
      <c r="Q10031" s="217"/>
      <c r="R10031" s="217"/>
      <c r="S10031" s="218"/>
    </row>
    <row r="10032" spans="16:19" ht="15" customHeight="1" x14ac:dyDescent="0.25">
      <c r="P10032" s="216"/>
      <c r="Q10032" s="217"/>
      <c r="R10032" s="217"/>
      <c r="S10032" s="218"/>
    </row>
    <row r="10033" spans="16:19" ht="15" customHeight="1" x14ac:dyDescent="0.25">
      <c r="P10033" s="216"/>
      <c r="Q10033" s="217"/>
      <c r="R10033" s="217"/>
      <c r="S10033" s="218"/>
    </row>
    <row r="10034" spans="16:19" ht="15" customHeight="1" x14ac:dyDescent="0.25">
      <c r="P10034" s="216"/>
      <c r="Q10034" s="217"/>
      <c r="R10034" s="217"/>
      <c r="S10034" s="218"/>
    </row>
    <row r="10035" spans="16:19" ht="15" customHeight="1" x14ac:dyDescent="0.25">
      <c r="P10035" s="216"/>
      <c r="Q10035" s="217"/>
      <c r="R10035" s="217"/>
      <c r="S10035" s="218"/>
    </row>
    <row r="10036" spans="16:19" ht="15" customHeight="1" x14ac:dyDescent="0.25">
      <c r="P10036" s="216"/>
      <c r="Q10036" s="217"/>
      <c r="R10036" s="217"/>
      <c r="S10036" s="218"/>
    </row>
    <row r="10037" spans="16:19" ht="15" customHeight="1" x14ac:dyDescent="0.25">
      <c r="P10037" s="216"/>
      <c r="Q10037" s="217"/>
      <c r="R10037" s="217"/>
      <c r="S10037" s="218"/>
    </row>
    <row r="10038" spans="16:19" ht="15" customHeight="1" x14ac:dyDescent="0.25">
      <c r="P10038" s="216"/>
      <c r="Q10038" s="217"/>
      <c r="R10038" s="217"/>
      <c r="S10038" s="218"/>
    </row>
    <row r="10039" spans="16:19" ht="15" customHeight="1" x14ac:dyDescent="0.25">
      <c r="P10039" s="216"/>
      <c r="Q10039" s="217"/>
      <c r="R10039" s="217"/>
      <c r="S10039" s="218"/>
    </row>
    <row r="10040" spans="16:19" ht="15" customHeight="1" x14ac:dyDescent="0.25">
      <c r="P10040" s="216"/>
      <c r="Q10040" s="217"/>
      <c r="R10040" s="217"/>
      <c r="S10040" s="218"/>
    </row>
    <row r="10041" spans="16:19" ht="15" customHeight="1" x14ac:dyDescent="0.25">
      <c r="P10041" s="216"/>
      <c r="Q10041" s="217"/>
      <c r="R10041" s="217"/>
      <c r="S10041" s="218"/>
    </row>
    <row r="10042" spans="16:19" ht="15" customHeight="1" x14ac:dyDescent="0.25">
      <c r="P10042" s="216"/>
      <c r="Q10042" s="217"/>
      <c r="R10042" s="217"/>
      <c r="S10042" s="218"/>
    </row>
    <row r="10043" spans="16:19" ht="15" customHeight="1" x14ac:dyDescent="0.25">
      <c r="P10043" s="216"/>
      <c r="Q10043" s="217"/>
      <c r="R10043" s="217"/>
      <c r="S10043" s="218"/>
    </row>
    <row r="10044" spans="16:19" ht="15" customHeight="1" x14ac:dyDescent="0.25">
      <c r="P10044" s="216"/>
      <c r="Q10044" s="217"/>
      <c r="R10044" s="217"/>
      <c r="S10044" s="218"/>
    </row>
    <row r="10045" spans="16:19" ht="15" customHeight="1" x14ac:dyDescent="0.25">
      <c r="P10045" s="216"/>
      <c r="Q10045" s="217"/>
      <c r="R10045" s="217"/>
      <c r="S10045" s="218"/>
    </row>
    <row r="10046" spans="16:19" ht="15" customHeight="1" x14ac:dyDescent="0.25">
      <c r="P10046" s="216"/>
      <c r="Q10046" s="217"/>
      <c r="R10046" s="217"/>
      <c r="S10046" s="218"/>
    </row>
    <row r="10047" spans="16:19" ht="15" customHeight="1" x14ac:dyDescent="0.25">
      <c r="P10047" s="216"/>
      <c r="Q10047" s="217"/>
      <c r="R10047" s="217"/>
      <c r="S10047" s="218"/>
    </row>
    <row r="10048" spans="16:19" ht="15" customHeight="1" x14ac:dyDescent="0.25">
      <c r="P10048" s="216"/>
      <c r="Q10048" s="217"/>
      <c r="R10048" s="217"/>
      <c r="S10048" s="218"/>
    </row>
    <row r="10049" spans="16:19" ht="15" customHeight="1" x14ac:dyDescent="0.25">
      <c r="P10049" s="216"/>
      <c r="Q10049" s="217"/>
      <c r="R10049" s="217"/>
      <c r="S10049" s="218"/>
    </row>
    <row r="10050" spans="16:19" ht="15" customHeight="1" x14ac:dyDescent="0.25">
      <c r="P10050" s="216"/>
      <c r="Q10050" s="217"/>
      <c r="R10050" s="217"/>
      <c r="S10050" s="218"/>
    </row>
    <row r="10051" spans="16:19" ht="15" customHeight="1" x14ac:dyDescent="0.25">
      <c r="P10051" s="216"/>
      <c r="Q10051" s="217"/>
      <c r="R10051" s="217"/>
      <c r="S10051" s="218"/>
    </row>
    <row r="10052" spans="16:19" ht="15" customHeight="1" x14ac:dyDescent="0.25">
      <c r="P10052" s="216"/>
      <c r="Q10052" s="217"/>
      <c r="R10052" s="217"/>
      <c r="S10052" s="218"/>
    </row>
    <row r="10053" spans="16:19" ht="15" customHeight="1" x14ac:dyDescent="0.25">
      <c r="P10053" s="216"/>
      <c r="Q10053" s="217"/>
      <c r="R10053" s="217"/>
      <c r="S10053" s="218"/>
    </row>
    <row r="10054" spans="16:19" ht="15" customHeight="1" x14ac:dyDescent="0.25">
      <c r="P10054" s="216"/>
      <c r="Q10054" s="217"/>
      <c r="R10054" s="217"/>
      <c r="S10054" s="218"/>
    </row>
    <row r="10055" spans="16:19" ht="15" customHeight="1" x14ac:dyDescent="0.25">
      <c r="P10055" s="216"/>
      <c r="Q10055" s="217"/>
      <c r="R10055" s="217"/>
      <c r="S10055" s="218"/>
    </row>
    <row r="10056" spans="16:19" ht="15" customHeight="1" x14ac:dyDescent="0.25">
      <c r="P10056" s="216"/>
      <c r="Q10056" s="217"/>
      <c r="R10056" s="217"/>
      <c r="S10056" s="218"/>
    </row>
    <row r="10057" spans="16:19" ht="15" customHeight="1" x14ac:dyDescent="0.25">
      <c r="P10057" s="216"/>
      <c r="Q10057" s="217"/>
      <c r="R10057" s="217"/>
      <c r="S10057" s="218"/>
    </row>
    <row r="10058" spans="16:19" ht="15" customHeight="1" x14ac:dyDescent="0.25">
      <c r="P10058" s="216"/>
      <c r="Q10058" s="217"/>
      <c r="R10058" s="217"/>
      <c r="S10058" s="218"/>
    </row>
    <row r="10059" spans="16:19" ht="15" customHeight="1" x14ac:dyDescent="0.25">
      <c r="P10059" s="216"/>
      <c r="Q10059" s="217"/>
      <c r="R10059" s="217"/>
      <c r="S10059" s="218"/>
    </row>
    <row r="10060" spans="16:19" ht="15" customHeight="1" x14ac:dyDescent="0.25">
      <c r="P10060" s="216"/>
      <c r="Q10060" s="217"/>
      <c r="R10060" s="217"/>
      <c r="S10060" s="218"/>
    </row>
    <row r="10061" spans="16:19" ht="15" customHeight="1" x14ac:dyDescent="0.25">
      <c r="P10061" s="216"/>
      <c r="Q10061" s="217"/>
      <c r="R10061" s="217"/>
      <c r="S10061" s="218"/>
    </row>
    <row r="10062" spans="16:19" ht="15" customHeight="1" x14ac:dyDescent="0.25">
      <c r="P10062" s="216"/>
      <c r="Q10062" s="217"/>
      <c r="R10062" s="217"/>
      <c r="S10062" s="218"/>
    </row>
    <row r="10063" spans="16:19" ht="15" customHeight="1" x14ac:dyDescent="0.25">
      <c r="P10063" s="216"/>
      <c r="Q10063" s="217"/>
      <c r="R10063" s="217"/>
      <c r="S10063" s="218"/>
    </row>
    <row r="10064" spans="16:19" ht="15" customHeight="1" x14ac:dyDescent="0.25">
      <c r="P10064" s="216"/>
      <c r="Q10064" s="217"/>
      <c r="R10064" s="217"/>
      <c r="S10064" s="218"/>
    </row>
    <row r="10065" spans="16:19" ht="15" customHeight="1" x14ac:dyDescent="0.25">
      <c r="P10065" s="216"/>
      <c r="Q10065" s="217"/>
      <c r="R10065" s="217"/>
      <c r="S10065" s="218"/>
    </row>
    <row r="10066" spans="16:19" ht="15" customHeight="1" x14ac:dyDescent="0.25">
      <c r="P10066" s="216"/>
      <c r="Q10066" s="217"/>
      <c r="R10066" s="217"/>
      <c r="S10066" s="218"/>
    </row>
    <row r="10067" spans="16:19" ht="15" customHeight="1" x14ac:dyDescent="0.25">
      <c r="P10067" s="216"/>
      <c r="Q10067" s="217"/>
      <c r="R10067" s="217"/>
      <c r="S10067" s="218"/>
    </row>
    <row r="10068" spans="16:19" ht="15" customHeight="1" x14ac:dyDescent="0.25">
      <c r="P10068" s="216"/>
      <c r="Q10068" s="217"/>
      <c r="R10068" s="217"/>
      <c r="S10068" s="218"/>
    </row>
    <row r="10069" spans="16:19" ht="15" customHeight="1" x14ac:dyDescent="0.25">
      <c r="P10069" s="216"/>
      <c r="Q10069" s="217"/>
      <c r="R10069" s="217"/>
      <c r="S10069" s="218"/>
    </row>
    <row r="10070" spans="16:19" ht="15" customHeight="1" x14ac:dyDescent="0.25">
      <c r="P10070" s="216"/>
      <c r="Q10070" s="217"/>
      <c r="R10070" s="217"/>
      <c r="S10070" s="218"/>
    </row>
    <row r="10071" spans="16:19" ht="15" customHeight="1" x14ac:dyDescent="0.25">
      <c r="P10071" s="216"/>
      <c r="Q10071" s="217"/>
      <c r="R10071" s="217"/>
      <c r="S10071" s="218"/>
    </row>
    <row r="10072" spans="16:19" ht="15" customHeight="1" x14ac:dyDescent="0.25">
      <c r="P10072" s="216"/>
      <c r="Q10072" s="217"/>
      <c r="R10072" s="217"/>
      <c r="S10072" s="218"/>
    </row>
    <row r="10073" spans="16:19" ht="15" customHeight="1" x14ac:dyDescent="0.25">
      <c r="P10073" s="216"/>
      <c r="Q10073" s="217"/>
      <c r="R10073" s="217"/>
      <c r="S10073" s="218"/>
    </row>
    <row r="10074" spans="16:19" ht="15" customHeight="1" x14ac:dyDescent="0.25">
      <c r="P10074" s="216"/>
      <c r="Q10074" s="217"/>
      <c r="R10074" s="217"/>
      <c r="S10074" s="218"/>
    </row>
    <row r="10075" spans="16:19" ht="15" customHeight="1" x14ac:dyDescent="0.25">
      <c r="P10075" s="216"/>
      <c r="Q10075" s="217"/>
      <c r="R10075" s="217"/>
      <c r="S10075" s="218"/>
    </row>
    <row r="10076" spans="16:19" ht="15" customHeight="1" x14ac:dyDescent="0.25">
      <c r="P10076" s="216"/>
      <c r="Q10076" s="217"/>
      <c r="R10076" s="217"/>
      <c r="S10076" s="218"/>
    </row>
    <row r="10077" spans="16:19" ht="15" customHeight="1" x14ac:dyDescent="0.25">
      <c r="P10077" s="216"/>
      <c r="Q10077" s="217"/>
      <c r="R10077" s="217"/>
      <c r="S10077" s="218"/>
    </row>
    <row r="10078" spans="16:19" ht="15" customHeight="1" x14ac:dyDescent="0.25">
      <c r="P10078" s="216"/>
      <c r="Q10078" s="217"/>
      <c r="R10078" s="217"/>
      <c r="S10078" s="218"/>
    </row>
    <row r="10079" spans="16:19" ht="15" customHeight="1" x14ac:dyDescent="0.25">
      <c r="P10079" s="216"/>
      <c r="Q10079" s="217"/>
      <c r="R10079" s="217"/>
      <c r="S10079" s="218"/>
    </row>
    <row r="10080" spans="16:19" ht="15" customHeight="1" x14ac:dyDescent="0.25">
      <c r="P10080" s="216"/>
      <c r="Q10080" s="217"/>
      <c r="R10080" s="217"/>
      <c r="S10080" s="218"/>
    </row>
    <row r="10081" spans="16:19" ht="15" customHeight="1" x14ac:dyDescent="0.25">
      <c r="P10081" s="216"/>
      <c r="Q10081" s="217"/>
      <c r="R10081" s="217"/>
      <c r="S10081" s="218"/>
    </row>
    <row r="10082" spans="16:19" ht="15" customHeight="1" x14ac:dyDescent="0.25">
      <c r="P10082" s="216"/>
      <c r="Q10082" s="217"/>
      <c r="R10082" s="217"/>
      <c r="S10082" s="218"/>
    </row>
    <row r="10083" spans="16:19" ht="15" customHeight="1" x14ac:dyDescent="0.25">
      <c r="P10083" s="216"/>
      <c r="Q10083" s="217"/>
      <c r="R10083" s="217"/>
      <c r="S10083" s="218"/>
    </row>
    <row r="10084" spans="16:19" ht="15" customHeight="1" x14ac:dyDescent="0.25">
      <c r="P10084" s="216"/>
      <c r="Q10084" s="217"/>
      <c r="R10084" s="217"/>
      <c r="S10084" s="218"/>
    </row>
    <row r="10085" spans="16:19" ht="15" customHeight="1" x14ac:dyDescent="0.25">
      <c r="P10085" s="216"/>
      <c r="Q10085" s="217"/>
      <c r="R10085" s="217"/>
      <c r="S10085" s="218"/>
    </row>
    <row r="10086" spans="16:19" ht="15" customHeight="1" x14ac:dyDescent="0.25">
      <c r="P10086" s="216"/>
      <c r="Q10086" s="217"/>
      <c r="R10086" s="217"/>
      <c r="S10086" s="218"/>
    </row>
    <row r="10087" spans="16:19" ht="15" customHeight="1" x14ac:dyDescent="0.25">
      <c r="P10087" s="216"/>
      <c r="Q10087" s="217"/>
      <c r="R10087" s="217"/>
      <c r="S10087" s="218"/>
    </row>
    <row r="10088" spans="16:19" ht="15" customHeight="1" x14ac:dyDescent="0.25">
      <c r="P10088" s="216"/>
      <c r="Q10088" s="217"/>
      <c r="R10088" s="217"/>
      <c r="S10088" s="218"/>
    </row>
    <row r="10089" spans="16:19" ht="15" customHeight="1" x14ac:dyDescent="0.25">
      <c r="P10089" s="216"/>
      <c r="Q10089" s="217"/>
      <c r="R10089" s="217"/>
      <c r="S10089" s="218"/>
    </row>
    <row r="10090" spans="16:19" ht="15" customHeight="1" x14ac:dyDescent="0.25">
      <c r="P10090" s="216"/>
      <c r="Q10090" s="217"/>
      <c r="R10090" s="217"/>
      <c r="S10090" s="218"/>
    </row>
    <row r="10091" spans="16:19" ht="15" customHeight="1" x14ac:dyDescent="0.25">
      <c r="P10091" s="216"/>
      <c r="Q10091" s="217"/>
      <c r="R10091" s="217"/>
      <c r="S10091" s="218"/>
    </row>
    <row r="10092" spans="16:19" ht="15" customHeight="1" x14ac:dyDescent="0.25">
      <c r="P10092" s="216"/>
      <c r="Q10092" s="217"/>
      <c r="R10092" s="217"/>
      <c r="S10092" s="218"/>
    </row>
    <row r="10093" spans="16:19" ht="15" customHeight="1" x14ac:dyDescent="0.25">
      <c r="P10093" s="216"/>
      <c r="Q10093" s="217"/>
      <c r="R10093" s="217"/>
      <c r="S10093" s="218"/>
    </row>
    <row r="10094" spans="16:19" ht="15" customHeight="1" x14ac:dyDescent="0.25">
      <c r="P10094" s="216"/>
      <c r="Q10094" s="217"/>
      <c r="R10094" s="217"/>
      <c r="S10094" s="218"/>
    </row>
    <row r="10095" spans="16:19" ht="15" customHeight="1" x14ac:dyDescent="0.25">
      <c r="P10095" s="216"/>
      <c r="Q10095" s="217"/>
      <c r="R10095" s="217"/>
      <c r="S10095" s="218"/>
    </row>
    <row r="10096" spans="16:19" ht="15" customHeight="1" x14ac:dyDescent="0.25">
      <c r="P10096" s="216"/>
      <c r="Q10096" s="217"/>
      <c r="R10096" s="217"/>
      <c r="S10096" s="218"/>
    </row>
    <row r="10097" spans="16:19" ht="15" customHeight="1" x14ac:dyDescent="0.25">
      <c r="P10097" s="216"/>
      <c r="Q10097" s="217"/>
      <c r="R10097" s="217"/>
      <c r="S10097" s="218"/>
    </row>
    <row r="10098" spans="16:19" ht="15" customHeight="1" x14ac:dyDescent="0.25">
      <c r="P10098" s="216"/>
      <c r="Q10098" s="217"/>
      <c r="R10098" s="217"/>
      <c r="S10098" s="218"/>
    </row>
    <row r="10099" spans="16:19" ht="15" customHeight="1" x14ac:dyDescent="0.25">
      <c r="P10099" s="216"/>
      <c r="Q10099" s="217"/>
      <c r="R10099" s="217"/>
      <c r="S10099" s="218"/>
    </row>
    <row r="10100" spans="16:19" ht="15" customHeight="1" x14ac:dyDescent="0.25">
      <c r="P10100" s="216"/>
      <c r="Q10100" s="217"/>
      <c r="R10100" s="217"/>
      <c r="S10100" s="218"/>
    </row>
    <row r="10101" spans="16:19" ht="15" customHeight="1" x14ac:dyDescent="0.25">
      <c r="P10101" s="216"/>
      <c r="Q10101" s="217"/>
      <c r="R10101" s="217"/>
      <c r="S10101" s="218"/>
    </row>
    <row r="10102" spans="16:19" ht="15" customHeight="1" x14ac:dyDescent="0.25">
      <c r="P10102" s="216"/>
      <c r="Q10102" s="217"/>
      <c r="R10102" s="217"/>
      <c r="S10102" s="218"/>
    </row>
    <row r="10103" spans="16:19" ht="15" customHeight="1" x14ac:dyDescent="0.25">
      <c r="P10103" s="216"/>
      <c r="Q10103" s="217"/>
      <c r="R10103" s="217"/>
      <c r="S10103" s="218"/>
    </row>
    <row r="10104" spans="16:19" ht="15" customHeight="1" x14ac:dyDescent="0.25">
      <c r="P10104" s="216"/>
      <c r="Q10104" s="217"/>
      <c r="R10104" s="217"/>
      <c r="S10104" s="218"/>
    </row>
    <row r="10105" spans="16:19" ht="15" customHeight="1" x14ac:dyDescent="0.25">
      <c r="P10105" s="216"/>
      <c r="Q10105" s="217"/>
      <c r="R10105" s="217"/>
      <c r="S10105" s="218"/>
    </row>
    <row r="10106" spans="16:19" ht="15" customHeight="1" x14ac:dyDescent="0.25">
      <c r="P10106" s="216"/>
      <c r="Q10106" s="217"/>
      <c r="R10106" s="217"/>
      <c r="S10106" s="218"/>
    </row>
    <row r="10107" spans="16:19" ht="15" customHeight="1" x14ac:dyDescent="0.25">
      <c r="P10107" s="216"/>
      <c r="Q10107" s="217"/>
      <c r="R10107" s="217"/>
      <c r="S10107" s="218"/>
    </row>
    <row r="10108" spans="16:19" ht="15" customHeight="1" x14ac:dyDescent="0.25">
      <c r="P10108" s="216"/>
      <c r="Q10108" s="217"/>
      <c r="R10108" s="217"/>
      <c r="S10108" s="218"/>
    </row>
    <row r="10109" spans="16:19" ht="15" customHeight="1" x14ac:dyDescent="0.25">
      <c r="P10109" s="216"/>
      <c r="Q10109" s="217"/>
      <c r="R10109" s="217"/>
      <c r="S10109" s="218"/>
    </row>
    <row r="10110" spans="16:19" ht="15" customHeight="1" x14ac:dyDescent="0.25">
      <c r="P10110" s="216"/>
      <c r="Q10110" s="217"/>
      <c r="R10110" s="217"/>
      <c r="S10110" s="218"/>
    </row>
    <row r="10111" spans="16:19" ht="15" customHeight="1" x14ac:dyDescent="0.25">
      <c r="P10111" s="216"/>
      <c r="Q10111" s="217"/>
      <c r="R10111" s="217"/>
      <c r="S10111" s="218"/>
    </row>
    <row r="10112" spans="16:19" ht="15" customHeight="1" x14ac:dyDescent="0.25">
      <c r="P10112" s="216"/>
      <c r="Q10112" s="217"/>
      <c r="R10112" s="217"/>
      <c r="S10112" s="218"/>
    </row>
    <row r="10113" spans="16:19" ht="15" customHeight="1" x14ac:dyDescent="0.25">
      <c r="P10113" s="216"/>
      <c r="Q10113" s="217"/>
      <c r="R10113" s="217"/>
      <c r="S10113" s="218"/>
    </row>
    <row r="10114" spans="16:19" ht="15" customHeight="1" x14ac:dyDescent="0.25">
      <c r="P10114" s="216"/>
      <c r="Q10114" s="217"/>
      <c r="R10114" s="217"/>
      <c r="S10114" s="218"/>
    </row>
    <row r="10115" spans="16:19" ht="15" customHeight="1" x14ac:dyDescent="0.25">
      <c r="P10115" s="216"/>
      <c r="Q10115" s="217"/>
      <c r="R10115" s="217"/>
      <c r="S10115" s="218"/>
    </row>
    <row r="10116" spans="16:19" ht="15" customHeight="1" x14ac:dyDescent="0.25">
      <c r="P10116" s="216"/>
      <c r="Q10116" s="217"/>
      <c r="R10116" s="217"/>
      <c r="S10116" s="218"/>
    </row>
    <row r="10117" spans="16:19" ht="15" customHeight="1" x14ac:dyDescent="0.25">
      <c r="P10117" s="216"/>
      <c r="Q10117" s="217"/>
      <c r="R10117" s="217"/>
      <c r="S10117" s="218"/>
    </row>
    <row r="10118" spans="16:19" ht="15" customHeight="1" x14ac:dyDescent="0.25">
      <c r="P10118" s="216"/>
      <c r="Q10118" s="217"/>
      <c r="R10118" s="217"/>
      <c r="S10118" s="218"/>
    </row>
    <row r="10119" spans="16:19" ht="15" customHeight="1" x14ac:dyDescent="0.25">
      <c r="P10119" s="216"/>
      <c r="Q10119" s="217"/>
      <c r="R10119" s="217"/>
      <c r="S10119" s="218"/>
    </row>
    <row r="10120" spans="16:19" ht="15" customHeight="1" x14ac:dyDescent="0.25">
      <c r="P10120" s="216"/>
      <c r="Q10120" s="217"/>
      <c r="R10120" s="217"/>
      <c r="S10120" s="218"/>
    </row>
    <row r="10121" spans="16:19" ht="15" customHeight="1" x14ac:dyDescent="0.25">
      <c r="P10121" s="216"/>
      <c r="Q10121" s="217"/>
      <c r="R10121" s="217"/>
      <c r="S10121" s="218"/>
    </row>
    <row r="10122" spans="16:19" ht="15" customHeight="1" x14ac:dyDescent="0.25">
      <c r="P10122" s="216"/>
      <c r="Q10122" s="217"/>
      <c r="R10122" s="217"/>
      <c r="S10122" s="218"/>
    </row>
    <row r="10123" spans="16:19" ht="15" customHeight="1" x14ac:dyDescent="0.25">
      <c r="P10123" s="216"/>
      <c r="Q10123" s="217"/>
      <c r="R10123" s="217"/>
      <c r="S10123" s="218"/>
    </row>
    <row r="10124" spans="16:19" ht="15" customHeight="1" x14ac:dyDescent="0.25">
      <c r="P10124" s="216"/>
      <c r="Q10124" s="217"/>
      <c r="R10124" s="217"/>
      <c r="S10124" s="218"/>
    </row>
    <row r="10125" spans="16:19" ht="15" customHeight="1" x14ac:dyDescent="0.25">
      <c r="P10125" s="216"/>
      <c r="Q10125" s="217"/>
      <c r="R10125" s="217"/>
      <c r="S10125" s="218"/>
    </row>
    <row r="10126" spans="16:19" ht="15" customHeight="1" x14ac:dyDescent="0.25">
      <c r="P10126" s="216"/>
      <c r="Q10126" s="217"/>
      <c r="R10126" s="217"/>
      <c r="S10126" s="218"/>
    </row>
    <row r="10127" spans="16:19" ht="15" customHeight="1" x14ac:dyDescent="0.25">
      <c r="P10127" s="216"/>
      <c r="Q10127" s="217"/>
      <c r="R10127" s="217"/>
      <c r="S10127" s="218"/>
    </row>
    <row r="10128" spans="16:19" ht="15" customHeight="1" x14ac:dyDescent="0.25">
      <c r="P10128" s="216"/>
      <c r="Q10128" s="217"/>
      <c r="R10128" s="217"/>
      <c r="S10128" s="218"/>
    </row>
    <row r="10129" spans="16:19" ht="15" customHeight="1" x14ac:dyDescent="0.25">
      <c r="P10129" s="216"/>
      <c r="Q10129" s="217"/>
      <c r="R10129" s="217"/>
      <c r="S10129" s="218"/>
    </row>
    <row r="10130" spans="16:19" ht="15" customHeight="1" x14ac:dyDescent="0.25">
      <c r="P10130" s="216"/>
      <c r="Q10130" s="217"/>
      <c r="R10130" s="217"/>
      <c r="S10130" s="218"/>
    </row>
    <row r="10131" spans="16:19" ht="15" customHeight="1" x14ac:dyDescent="0.25">
      <c r="P10131" s="216"/>
      <c r="Q10131" s="217"/>
      <c r="R10131" s="217"/>
      <c r="S10131" s="218"/>
    </row>
    <row r="10132" spans="16:19" ht="15" customHeight="1" x14ac:dyDescent="0.25">
      <c r="P10132" s="216"/>
      <c r="Q10132" s="217"/>
      <c r="R10132" s="217"/>
      <c r="S10132" s="218"/>
    </row>
    <row r="10133" spans="16:19" ht="15" customHeight="1" x14ac:dyDescent="0.25">
      <c r="P10133" s="216"/>
      <c r="Q10133" s="217"/>
      <c r="R10133" s="217"/>
      <c r="S10133" s="218"/>
    </row>
    <row r="10134" spans="16:19" ht="15" customHeight="1" x14ac:dyDescent="0.25">
      <c r="P10134" s="216"/>
      <c r="Q10134" s="217"/>
      <c r="R10134" s="217"/>
      <c r="S10134" s="218"/>
    </row>
    <row r="10135" spans="16:19" ht="15" customHeight="1" x14ac:dyDescent="0.25">
      <c r="P10135" s="216"/>
      <c r="Q10135" s="217"/>
      <c r="R10135" s="217"/>
      <c r="S10135" s="218"/>
    </row>
    <row r="10136" spans="16:19" ht="15" customHeight="1" x14ac:dyDescent="0.25">
      <c r="P10136" s="216"/>
      <c r="Q10136" s="217"/>
      <c r="R10136" s="217"/>
      <c r="S10136" s="218"/>
    </row>
    <row r="10137" spans="16:19" ht="15" customHeight="1" x14ac:dyDescent="0.25">
      <c r="P10137" s="216"/>
      <c r="Q10137" s="217"/>
      <c r="R10137" s="217"/>
      <c r="S10137" s="218"/>
    </row>
    <row r="10138" spans="16:19" ht="15" customHeight="1" x14ac:dyDescent="0.25">
      <c r="P10138" s="216"/>
      <c r="Q10138" s="217"/>
      <c r="R10138" s="217"/>
      <c r="S10138" s="218"/>
    </row>
    <row r="10139" spans="16:19" ht="15" customHeight="1" x14ac:dyDescent="0.25">
      <c r="P10139" s="216"/>
      <c r="Q10139" s="217"/>
      <c r="R10139" s="217"/>
      <c r="S10139" s="218"/>
    </row>
    <row r="10140" spans="16:19" ht="15" customHeight="1" x14ac:dyDescent="0.25">
      <c r="P10140" s="216"/>
      <c r="Q10140" s="217"/>
      <c r="R10140" s="217"/>
      <c r="S10140" s="218"/>
    </row>
    <row r="10141" spans="16:19" ht="15" customHeight="1" x14ac:dyDescent="0.25">
      <c r="P10141" s="216"/>
      <c r="Q10141" s="217"/>
      <c r="R10141" s="217"/>
      <c r="S10141" s="218"/>
    </row>
    <row r="10142" spans="16:19" ht="15" customHeight="1" x14ac:dyDescent="0.25">
      <c r="P10142" s="216"/>
      <c r="Q10142" s="217"/>
      <c r="R10142" s="217"/>
      <c r="S10142" s="218"/>
    </row>
    <row r="10143" spans="16:19" ht="15" customHeight="1" x14ac:dyDescent="0.25">
      <c r="P10143" s="216"/>
      <c r="Q10143" s="217"/>
      <c r="R10143" s="217"/>
      <c r="S10143" s="218"/>
    </row>
    <row r="10144" spans="16:19" ht="15" customHeight="1" x14ac:dyDescent="0.25">
      <c r="P10144" s="216"/>
      <c r="Q10144" s="217"/>
      <c r="R10144" s="217"/>
      <c r="S10144" s="218"/>
    </row>
    <row r="10145" spans="16:19" ht="15" customHeight="1" x14ac:dyDescent="0.25">
      <c r="P10145" s="216"/>
      <c r="Q10145" s="217"/>
      <c r="R10145" s="217"/>
      <c r="S10145" s="218"/>
    </row>
    <row r="10146" spans="16:19" ht="15" customHeight="1" x14ac:dyDescent="0.25">
      <c r="P10146" s="216"/>
      <c r="Q10146" s="217"/>
      <c r="R10146" s="217"/>
      <c r="S10146" s="218"/>
    </row>
    <row r="10147" spans="16:19" ht="15" customHeight="1" x14ac:dyDescent="0.25">
      <c r="P10147" s="216"/>
      <c r="Q10147" s="217"/>
      <c r="R10147" s="217"/>
      <c r="S10147" s="218"/>
    </row>
    <row r="10148" spans="16:19" ht="15" customHeight="1" x14ac:dyDescent="0.25">
      <c r="P10148" s="216"/>
      <c r="Q10148" s="217"/>
      <c r="R10148" s="217"/>
      <c r="S10148" s="218"/>
    </row>
    <row r="10149" spans="16:19" ht="15" customHeight="1" x14ac:dyDescent="0.25">
      <c r="P10149" s="216"/>
      <c r="Q10149" s="217"/>
      <c r="R10149" s="217"/>
      <c r="S10149" s="218"/>
    </row>
    <row r="10150" spans="16:19" ht="15" customHeight="1" x14ac:dyDescent="0.25">
      <c r="P10150" s="216"/>
      <c r="Q10150" s="217"/>
      <c r="R10150" s="217"/>
      <c r="S10150" s="218"/>
    </row>
    <row r="10151" spans="16:19" ht="15" customHeight="1" x14ac:dyDescent="0.25">
      <c r="P10151" s="216"/>
      <c r="Q10151" s="217"/>
      <c r="R10151" s="217"/>
      <c r="S10151" s="218"/>
    </row>
    <row r="10152" spans="16:19" ht="15" customHeight="1" x14ac:dyDescent="0.25">
      <c r="P10152" s="216"/>
      <c r="Q10152" s="217"/>
      <c r="R10152" s="217"/>
      <c r="S10152" s="218"/>
    </row>
    <row r="10153" spans="16:19" ht="15" customHeight="1" x14ac:dyDescent="0.25">
      <c r="P10153" s="216"/>
      <c r="Q10153" s="217"/>
      <c r="R10153" s="217"/>
      <c r="S10153" s="218"/>
    </row>
    <row r="10154" spans="16:19" ht="15" customHeight="1" x14ac:dyDescent="0.25">
      <c r="P10154" s="216"/>
      <c r="Q10154" s="217"/>
      <c r="R10154" s="217"/>
      <c r="S10154" s="218"/>
    </row>
    <row r="10155" spans="16:19" ht="15" customHeight="1" x14ac:dyDescent="0.25">
      <c r="P10155" s="216"/>
      <c r="Q10155" s="217"/>
      <c r="R10155" s="217"/>
      <c r="S10155" s="218"/>
    </row>
    <row r="10156" spans="16:19" ht="15" customHeight="1" x14ac:dyDescent="0.25">
      <c r="P10156" s="216"/>
      <c r="Q10156" s="217"/>
      <c r="R10156" s="217"/>
      <c r="S10156" s="218"/>
    </row>
    <row r="10157" spans="16:19" ht="15" customHeight="1" x14ac:dyDescent="0.25">
      <c r="P10157" s="216"/>
      <c r="Q10157" s="217"/>
      <c r="R10157" s="217"/>
      <c r="S10157" s="218"/>
    </row>
    <row r="10158" spans="16:19" ht="15" customHeight="1" x14ac:dyDescent="0.25">
      <c r="P10158" s="216"/>
      <c r="Q10158" s="217"/>
      <c r="R10158" s="217"/>
      <c r="S10158" s="218"/>
    </row>
    <row r="10159" spans="16:19" ht="15" customHeight="1" x14ac:dyDescent="0.25">
      <c r="P10159" s="216"/>
      <c r="Q10159" s="217"/>
      <c r="R10159" s="217"/>
      <c r="S10159" s="218"/>
    </row>
    <row r="10160" spans="16:19" ht="15" customHeight="1" x14ac:dyDescent="0.25">
      <c r="P10160" s="216"/>
      <c r="Q10160" s="217"/>
      <c r="R10160" s="217"/>
      <c r="S10160" s="218"/>
    </row>
    <row r="10161" spans="16:19" ht="15" customHeight="1" x14ac:dyDescent="0.25">
      <c r="P10161" s="216"/>
      <c r="Q10161" s="217"/>
      <c r="R10161" s="217"/>
      <c r="S10161" s="218"/>
    </row>
    <row r="10162" spans="16:19" ht="15" customHeight="1" x14ac:dyDescent="0.25">
      <c r="P10162" s="216"/>
      <c r="Q10162" s="217"/>
      <c r="R10162" s="217"/>
      <c r="S10162" s="218"/>
    </row>
    <row r="10163" spans="16:19" ht="15" customHeight="1" x14ac:dyDescent="0.25">
      <c r="P10163" s="216"/>
      <c r="Q10163" s="217"/>
      <c r="R10163" s="217"/>
      <c r="S10163" s="218"/>
    </row>
    <row r="10164" spans="16:19" ht="15" customHeight="1" x14ac:dyDescent="0.25">
      <c r="P10164" s="216"/>
      <c r="Q10164" s="217"/>
      <c r="R10164" s="217"/>
      <c r="S10164" s="218"/>
    </row>
    <row r="10165" spans="16:19" ht="15" customHeight="1" x14ac:dyDescent="0.25">
      <c r="P10165" s="216"/>
      <c r="Q10165" s="217"/>
      <c r="R10165" s="217"/>
      <c r="S10165" s="218"/>
    </row>
    <row r="10166" spans="16:19" ht="15" customHeight="1" x14ac:dyDescent="0.25">
      <c r="P10166" s="216"/>
      <c r="Q10166" s="217"/>
      <c r="R10166" s="217"/>
      <c r="S10166" s="218"/>
    </row>
    <row r="10167" spans="16:19" ht="15" customHeight="1" x14ac:dyDescent="0.25">
      <c r="P10167" s="216"/>
      <c r="Q10167" s="217"/>
      <c r="R10167" s="217"/>
      <c r="S10167" s="218"/>
    </row>
    <row r="10168" spans="16:19" ht="15" customHeight="1" x14ac:dyDescent="0.25">
      <c r="P10168" s="216"/>
      <c r="Q10168" s="217"/>
      <c r="R10168" s="217"/>
      <c r="S10168" s="218"/>
    </row>
    <row r="10169" spans="16:19" ht="15" customHeight="1" x14ac:dyDescent="0.25">
      <c r="P10169" s="216"/>
      <c r="Q10169" s="217"/>
      <c r="R10169" s="217"/>
      <c r="S10169" s="218"/>
    </row>
    <row r="10170" spans="16:19" ht="15" customHeight="1" x14ac:dyDescent="0.25">
      <c r="P10170" s="216"/>
      <c r="Q10170" s="217"/>
      <c r="R10170" s="217"/>
      <c r="S10170" s="218"/>
    </row>
    <row r="10171" spans="16:19" ht="15" customHeight="1" x14ac:dyDescent="0.25">
      <c r="P10171" s="216"/>
      <c r="Q10171" s="217"/>
      <c r="R10171" s="217"/>
      <c r="S10171" s="218"/>
    </row>
    <row r="10172" spans="16:19" ht="15" customHeight="1" x14ac:dyDescent="0.25">
      <c r="P10172" s="216"/>
      <c r="Q10172" s="217"/>
      <c r="R10172" s="217"/>
      <c r="S10172" s="218"/>
    </row>
    <row r="10173" spans="16:19" ht="15" customHeight="1" x14ac:dyDescent="0.25">
      <c r="P10173" s="216"/>
      <c r="Q10173" s="217"/>
      <c r="R10173" s="217"/>
      <c r="S10173" s="218"/>
    </row>
    <row r="10174" spans="16:19" ht="15" customHeight="1" x14ac:dyDescent="0.25">
      <c r="P10174" s="216"/>
      <c r="Q10174" s="217"/>
      <c r="R10174" s="217"/>
      <c r="S10174" s="218"/>
    </row>
    <row r="10175" spans="16:19" ht="15" customHeight="1" x14ac:dyDescent="0.25">
      <c r="P10175" s="216"/>
      <c r="Q10175" s="217"/>
      <c r="R10175" s="217"/>
      <c r="S10175" s="218"/>
    </row>
    <row r="10176" spans="16:19" ht="15" customHeight="1" x14ac:dyDescent="0.25">
      <c r="P10176" s="216"/>
      <c r="Q10176" s="217"/>
      <c r="R10176" s="217"/>
      <c r="S10176" s="218"/>
    </row>
    <row r="10177" spans="16:19" ht="15" customHeight="1" x14ac:dyDescent="0.25">
      <c r="P10177" s="216"/>
      <c r="Q10177" s="217"/>
      <c r="R10177" s="217"/>
      <c r="S10177" s="218"/>
    </row>
    <row r="10178" spans="16:19" ht="15" customHeight="1" x14ac:dyDescent="0.25">
      <c r="P10178" s="216"/>
      <c r="Q10178" s="217"/>
      <c r="R10178" s="217"/>
      <c r="S10178" s="218"/>
    </row>
    <row r="10179" spans="16:19" ht="15" customHeight="1" x14ac:dyDescent="0.25">
      <c r="P10179" s="216"/>
      <c r="Q10179" s="217"/>
      <c r="R10179" s="217"/>
      <c r="S10179" s="218"/>
    </row>
    <row r="10180" spans="16:19" ht="15" customHeight="1" x14ac:dyDescent="0.25">
      <c r="P10180" s="216"/>
      <c r="Q10180" s="217"/>
      <c r="R10180" s="217"/>
      <c r="S10180" s="218"/>
    </row>
    <row r="10181" spans="16:19" ht="15" customHeight="1" x14ac:dyDescent="0.25">
      <c r="P10181" s="216"/>
      <c r="Q10181" s="217"/>
      <c r="R10181" s="217"/>
      <c r="S10181" s="218"/>
    </row>
    <row r="10182" spans="16:19" ht="15" customHeight="1" x14ac:dyDescent="0.25">
      <c r="P10182" s="216"/>
      <c r="Q10182" s="217"/>
      <c r="R10182" s="217"/>
      <c r="S10182" s="218"/>
    </row>
    <row r="10183" spans="16:19" ht="15" customHeight="1" x14ac:dyDescent="0.25">
      <c r="P10183" s="216"/>
      <c r="Q10183" s="217"/>
      <c r="R10183" s="217"/>
      <c r="S10183" s="218"/>
    </row>
    <row r="10184" spans="16:19" ht="15" customHeight="1" x14ac:dyDescent="0.25">
      <c r="P10184" s="216"/>
      <c r="Q10184" s="217"/>
      <c r="R10184" s="217"/>
      <c r="S10184" s="218"/>
    </row>
    <row r="10185" spans="16:19" ht="15" customHeight="1" x14ac:dyDescent="0.25">
      <c r="P10185" s="216"/>
      <c r="Q10185" s="217"/>
      <c r="R10185" s="217"/>
      <c r="S10185" s="218"/>
    </row>
    <row r="10186" spans="16:19" ht="15" customHeight="1" x14ac:dyDescent="0.25">
      <c r="P10186" s="216"/>
      <c r="Q10186" s="217"/>
      <c r="R10186" s="217"/>
      <c r="S10186" s="218"/>
    </row>
    <row r="10187" spans="16:19" ht="15" customHeight="1" x14ac:dyDescent="0.25">
      <c r="P10187" s="216"/>
      <c r="Q10187" s="217"/>
      <c r="R10187" s="217"/>
      <c r="S10187" s="218"/>
    </row>
    <row r="10188" spans="16:19" ht="15" customHeight="1" x14ac:dyDescent="0.25">
      <c r="P10188" s="216"/>
      <c r="Q10188" s="217"/>
      <c r="R10188" s="217"/>
      <c r="S10188" s="218"/>
    </row>
    <row r="10189" spans="16:19" ht="15" customHeight="1" x14ac:dyDescent="0.25">
      <c r="P10189" s="216"/>
      <c r="Q10189" s="217"/>
      <c r="R10189" s="217"/>
      <c r="S10189" s="218"/>
    </row>
    <row r="10190" spans="16:19" ht="15" customHeight="1" x14ac:dyDescent="0.25">
      <c r="P10190" s="216"/>
      <c r="Q10190" s="217"/>
      <c r="R10190" s="217"/>
      <c r="S10190" s="218"/>
    </row>
    <row r="10191" spans="16:19" ht="15" customHeight="1" x14ac:dyDescent="0.25">
      <c r="P10191" s="216"/>
      <c r="Q10191" s="217"/>
      <c r="R10191" s="217"/>
      <c r="S10191" s="218"/>
    </row>
    <row r="10192" spans="16:19" ht="15" customHeight="1" x14ac:dyDescent="0.25">
      <c r="P10192" s="216"/>
      <c r="Q10192" s="217"/>
      <c r="R10192" s="217"/>
      <c r="S10192" s="218"/>
    </row>
    <row r="10193" spans="16:19" ht="15" customHeight="1" x14ac:dyDescent="0.25">
      <c r="P10193" s="216"/>
      <c r="Q10193" s="217"/>
      <c r="R10193" s="217"/>
      <c r="S10193" s="218"/>
    </row>
    <row r="10194" spans="16:19" ht="15" customHeight="1" x14ac:dyDescent="0.25">
      <c r="P10194" s="216"/>
      <c r="Q10194" s="217"/>
      <c r="R10194" s="217"/>
      <c r="S10194" s="218"/>
    </row>
    <row r="10195" spans="16:19" ht="15" customHeight="1" x14ac:dyDescent="0.25">
      <c r="P10195" s="216"/>
      <c r="Q10195" s="217"/>
      <c r="R10195" s="217"/>
      <c r="S10195" s="218"/>
    </row>
    <row r="10196" spans="16:19" ht="15" customHeight="1" x14ac:dyDescent="0.25">
      <c r="P10196" s="216"/>
      <c r="Q10196" s="217"/>
      <c r="R10196" s="217"/>
      <c r="S10196" s="218"/>
    </row>
    <row r="10197" spans="16:19" ht="15" customHeight="1" x14ac:dyDescent="0.25">
      <c r="P10197" s="216"/>
      <c r="Q10197" s="217"/>
      <c r="R10197" s="217"/>
      <c r="S10197" s="218"/>
    </row>
    <row r="10198" spans="16:19" ht="15" customHeight="1" x14ac:dyDescent="0.25">
      <c r="P10198" s="216"/>
      <c r="Q10198" s="217"/>
      <c r="R10198" s="217"/>
      <c r="S10198" s="218"/>
    </row>
    <row r="10199" spans="16:19" ht="15" customHeight="1" x14ac:dyDescent="0.25">
      <c r="P10199" s="216"/>
      <c r="Q10199" s="217"/>
      <c r="R10199" s="217"/>
      <c r="S10199" s="218"/>
    </row>
    <row r="10200" spans="16:19" ht="15" customHeight="1" x14ac:dyDescent="0.25">
      <c r="P10200" s="216"/>
      <c r="Q10200" s="217"/>
      <c r="R10200" s="217"/>
      <c r="S10200" s="218"/>
    </row>
    <row r="10201" spans="16:19" ht="15" customHeight="1" x14ac:dyDescent="0.25">
      <c r="P10201" s="216"/>
      <c r="Q10201" s="217"/>
      <c r="R10201" s="217"/>
      <c r="S10201" s="218"/>
    </row>
    <row r="10202" spans="16:19" ht="15" customHeight="1" x14ac:dyDescent="0.25">
      <c r="P10202" s="216"/>
      <c r="Q10202" s="217"/>
      <c r="R10202" s="217"/>
      <c r="S10202" s="218"/>
    </row>
    <row r="10203" spans="16:19" ht="15" customHeight="1" x14ac:dyDescent="0.25">
      <c r="P10203" s="216"/>
      <c r="Q10203" s="217"/>
      <c r="R10203" s="217"/>
      <c r="S10203" s="218"/>
    </row>
    <row r="10204" spans="16:19" ht="15" customHeight="1" x14ac:dyDescent="0.25">
      <c r="P10204" s="216"/>
      <c r="Q10204" s="217"/>
      <c r="R10204" s="217"/>
      <c r="S10204" s="218"/>
    </row>
    <row r="10205" spans="16:19" ht="15" customHeight="1" x14ac:dyDescent="0.25">
      <c r="P10205" s="216"/>
      <c r="Q10205" s="217"/>
      <c r="R10205" s="217"/>
      <c r="S10205" s="218"/>
    </row>
    <row r="10206" spans="16:19" ht="15" customHeight="1" x14ac:dyDescent="0.25">
      <c r="P10206" s="216"/>
      <c r="Q10206" s="217"/>
      <c r="R10206" s="217"/>
      <c r="S10206" s="218"/>
    </row>
    <row r="10207" spans="16:19" ht="15" customHeight="1" x14ac:dyDescent="0.25">
      <c r="P10207" s="216"/>
      <c r="Q10207" s="217"/>
      <c r="R10207" s="217"/>
      <c r="S10207" s="218"/>
    </row>
    <row r="10208" spans="16:19" ht="15" customHeight="1" x14ac:dyDescent="0.25">
      <c r="P10208" s="216"/>
      <c r="Q10208" s="217"/>
      <c r="R10208" s="217"/>
      <c r="S10208" s="218"/>
    </row>
    <row r="10209" spans="16:19" ht="15" customHeight="1" x14ac:dyDescent="0.25">
      <c r="P10209" s="216"/>
      <c r="Q10209" s="217"/>
      <c r="R10209" s="217"/>
      <c r="S10209" s="218"/>
    </row>
    <row r="10210" spans="16:19" ht="15" customHeight="1" x14ac:dyDescent="0.25">
      <c r="P10210" s="216"/>
      <c r="Q10210" s="217"/>
      <c r="R10210" s="217"/>
      <c r="S10210" s="218"/>
    </row>
    <row r="10211" spans="16:19" ht="15" customHeight="1" x14ac:dyDescent="0.25">
      <c r="P10211" s="216"/>
      <c r="Q10211" s="217"/>
      <c r="R10211" s="217"/>
      <c r="S10211" s="218"/>
    </row>
    <row r="10212" spans="16:19" ht="15" customHeight="1" x14ac:dyDescent="0.25">
      <c r="P10212" s="216"/>
      <c r="Q10212" s="217"/>
      <c r="R10212" s="217"/>
      <c r="S10212" s="218"/>
    </row>
    <row r="10213" spans="16:19" ht="15" customHeight="1" x14ac:dyDescent="0.25">
      <c r="P10213" s="216"/>
      <c r="Q10213" s="217"/>
      <c r="R10213" s="217"/>
      <c r="S10213" s="218"/>
    </row>
    <row r="10214" spans="16:19" ht="15" customHeight="1" x14ac:dyDescent="0.25">
      <c r="P10214" s="216"/>
      <c r="Q10214" s="217"/>
      <c r="R10214" s="217"/>
      <c r="S10214" s="218"/>
    </row>
    <row r="10215" spans="16:19" ht="15" customHeight="1" x14ac:dyDescent="0.25">
      <c r="P10215" s="216"/>
      <c r="Q10215" s="217"/>
      <c r="R10215" s="217"/>
      <c r="S10215" s="218"/>
    </row>
    <row r="10216" spans="16:19" ht="15" customHeight="1" x14ac:dyDescent="0.25">
      <c r="P10216" s="216"/>
      <c r="Q10216" s="217"/>
      <c r="R10216" s="217"/>
      <c r="S10216" s="218"/>
    </row>
    <row r="10217" spans="16:19" ht="15" customHeight="1" x14ac:dyDescent="0.25">
      <c r="P10217" s="216"/>
      <c r="Q10217" s="217"/>
      <c r="R10217" s="217"/>
      <c r="S10217" s="218"/>
    </row>
    <row r="10218" spans="16:19" ht="15" customHeight="1" x14ac:dyDescent="0.25">
      <c r="P10218" s="216"/>
      <c r="Q10218" s="217"/>
      <c r="R10218" s="217"/>
      <c r="S10218" s="218"/>
    </row>
    <row r="10219" spans="16:19" ht="15" customHeight="1" x14ac:dyDescent="0.25">
      <c r="P10219" s="216"/>
      <c r="Q10219" s="217"/>
      <c r="R10219" s="217"/>
      <c r="S10219" s="218"/>
    </row>
    <row r="10220" spans="16:19" ht="15" customHeight="1" x14ac:dyDescent="0.25">
      <c r="P10220" s="216"/>
      <c r="Q10220" s="217"/>
      <c r="R10220" s="217"/>
      <c r="S10220" s="218"/>
    </row>
    <row r="10221" spans="16:19" ht="15" customHeight="1" x14ac:dyDescent="0.25">
      <c r="P10221" s="216"/>
      <c r="Q10221" s="217"/>
      <c r="R10221" s="217"/>
      <c r="S10221" s="218"/>
    </row>
    <row r="10222" spans="16:19" ht="15" customHeight="1" x14ac:dyDescent="0.25">
      <c r="P10222" s="216"/>
      <c r="Q10222" s="217"/>
      <c r="R10222" s="217"/>
      <c r="S10222" s="218"/>
    </row>
    <row r="10223" spans="16:19" ht="15" customHeight="1" x14ac:dyDescent="0.25">
      <c r="P10223" s="216"/>
      <c r="Q10223" s="217"/>
      <c r="R10223" s="217"/>
      <c r="S10223" s="218"/>
    </row>
    <row r="10224" spans="16:19" ht="15" customHeight="1" x14ac:dyDescent="0.25">
      <c r="P10224" s="216"/>
      <c r="Q10224" s="217"/>
      <c r="R10224" s="217"/>
      <c r="S10224" s="218"/>
    </row>
    <row r="10225" spans="16:19" ht="15" customHeight="1" x14ac:dyDescent="0.25">
      <c r="P10225" s="216"/>
      <c r="Q10225" s="217"/>
      <c r="R10225" s="217"/>
      <c r="S10225" s="218"/>
    </row>
    <row r="10226" spans="16:19" ht="15" customHeight="1" x14ac:dyDescent="0.25">
      <c r="P10226" s="216"/>
      <c r="Q10226" s="217"/>
      <c r="R10226" s="217"/>
      <c r="S10226" s="218"/>
    </row>
    <row r="10227" spans="16:19" ht="15" customHeight="1" x14ac:dyDescent="0.25">
      <c r="P10227" s="216"/>
      <c r="Q10227" s="217"/>
      <c r="R10227" s="217"/>
      <c r="S10227" s="218"/>
    </row>
    <row r="10228" spans="16:19" ht="15" customHeight="1" x14ac:dyDescent="0.25">
      <c r="P10228" s="216"/>
      <c r="Q10228" s="217"/>
      <c r="R10228" s="217"/>
      <c r="S10228" s="218"/>
    </row>
    <row r="10229" spans="16:19" ht="15" customHeight="1" x14ac:dyDescent="0.25">
      <c r="P10229" s="216"/>
      <c r="Q10229" s="217"/>
      <c r="R10229" s="217"/>
      <c r="S10229" s="218"/>
    </row>
    <row r="10230" spans="16:19" ht="15" customHeight="1" x14ac:dyDescent="0.25">
      <c r="P10230" s="216"/>
      <c r="Q10230" s="217"/>
      <c r="R10230" s="217"/>
      <c r="S10230" s="218"/>
    </row>
    <row r="10231" spans="16:19" ht="15" customHeight="1" x14ac:dyDescent="0.25">
      <c r="P10231" s="216"/>
      <c r="Q10231" s="217"/>
      <c r="R10231" s="217"/>
      <c r="S10231" s="218"/>
    </row>
    <row r="10232" spans="16:19" ht="15" customHeight="1" x14ac:dyDescent="0.25">
      <c r="P10232" s="216"/>
      <c r="Q10232" s="217"/>
      <c r="R10232" s="217"/>
      <c r="S10232" s="218"/>
    </row>
    <row r="10233" spans="16:19" ht="15" customHeight="1" x14ac:dyDescent="0.25">
      <c r="P10233" s="216"/>
      <c r="Q10233" s="217"/>
      <c r="R10233" s="217"/>
      <c r="S10233" s="218"/>
    </row>
    <row r="10234" spans="16:19" ht="15" customHeight="1" x14ac:dyDescent="0.25">
      <c r="P10234" s="216"/>
      <c r="Q10234" s="217"/>
      <c r="R10234" s="217"/>
      <c r="S10234" s="218"/>
    </row>
    <row r="10235" spans="16:19" ht="15" customHeight="1" x14ac:dyDescent="0.25">
      <c r="P10235" s="216"/>
      <c r="Q10235" s="217"/>
      <c r="R10235" s="217"/>
      <c r="S10235" s="218"/>
    </row>
    <row r="10236" spans="16:19" ht="15" customHeight="1" x14ac:dyDescent="0.25">
      <c r="P10236" s="216"/>
      <c r="Q10236" s="217"/>
      <c r="R10236" s="217"/>
      <c r="S10236" s="218"/>
    </row>
    <row r="10237" spans="16:19" ht="15" customHeight="1" x14ac:dyDescent="0.25">
      <c r="P10237" s="216"/>
      <c r="Q10237" s="217"/>
      <c r="R10237" s="217"/>
      <c r="S10237" s="218"/>
    </row>
    <row r="10238" spans="16:19" ht="15" customHeight="1" x14ac:dyDescent="0.25">
      <c r="P10238" s="216"/>
      <c r="Q10238" s="217"/>
      <c r="R10238" s="217"/>
      <c r="S10238" s="218"/>
    </row>
    <row r="10239" spans="16:19" ht="15" customHeight="1" x14ac:dyDescent="0.25">
      <c r="P10239" s="216"/>
      <c r="Q10239" s="217"/>
      <c r="R10239" s="217"/>
      <c r="S10239" s="218"/>
    </row>
    <row r="10240" spans="16:19" ht="15" customHeight="1" x14ac:dyDescent="0.25">
      <c r="P10240" s="216"/>
      <c r="Q10240" s="217"/>
      <c r="R10240" s="217"/>
      <c r="S10240" s="218"/>
    </row>
    <row r="10241" spans="16:19" ht="15" customHeight="1" x14ac:dyDescent="0.25">
      <c r="P10241" s="216"/>
      <c r="Q10241" s="217"/>
      <c r="R10241" s="217"/>
      <c r="S10241" s="218"/>
    </row>
    <row r="10242" spans="16:19" ht="15" customHeight="1" x14ac:dyDescent="0.25">
      <c r="P10242" s="216"/>
      <c r="Q10242" s="217"/>
      <c r="R10242" s="217"/>
      <c r="S10242" s="218"/>
    </row>
    <row r="10243" spans="16:19" ht="15" customHeight="1" x14ac:dyDescent="0.25">
      <c r="P10243" s="216"/>
      <c r="Q10243" s="217"/>
      <c r="R10243" s="217"/>
      <c r="S10243" s="218"/>
    </row>
    <row r="10244" spans="16:19" ht="15" customHeight="1" x14ac:dyDescent="0.25">
      <c r="P10244" s="216"/>
      <c r="Q10244" s="217"/>
      <c r="R10244" s="217"/>
      <c r="S10244" s="218"/>
    </row>
    <row r="10245" spans="16:19" ht="15" customHeight="1" x14ac:dyDescent="0.25">
      <c r="P10245" s="216"/>
      <c r="Q10245" s="217"/>
      <c r="R10245" s="217"/>
      <c r="S10245" s="218"/>
    </row>
    <row r="10246" spans="16:19" ht="15" customHeight="1" x14ac:dyDescent="0.25">
      <c r="P10246" s="216"/>
      <c r="Q10246" s="217"/>
      <c r="R10246" s="217"/>
      <c r="S10246" s="218"/>
    </row>
    <row r="10247" spans="16:19" ht="15" customHeight="1" x14ac:dyDescent="0.25">
      <c r="P10247" s="216"/>
      <c r="Q10247" s="217"/>
      <c r="R10247" s="217"/>
      <c r="S10247" s="218"/>
    </row>
    <row r="10248" spans="16:19" ht="15" customHeight="1" x14ac:dyDescent="0.25">
      <c r="P10248" s="216"/>
      <c r="Q10248" s="217"/>
      <c r="R10248" s="217"/>
      <c r="S10248" s="218"/>
    </row>
    <row r="10249" spans="16:19" ht="15" customHeight="1" x14ac:dyDescent="0.25">
      <c r="P10249" s="216"/>
      <c r="Q10249" s="217"/>
      <c r="R10249" s="217"/>
      <c r="S10249" s="218"/>
    </row>
    <row r="10250" spans="16:19" ht="15" customHeight="1" x14ac:dyDescent="0.25">
      <c r="P10250" s="216"/>
      <c r="Q10250" s="217"/>
      <c r="R10250" s="217"/>
      <c r="S10250" s="218"/>
    </row>
    <row r="10251" spans="16:19" ht="15" customHeight="1" x14ac:dyDescent="0.25">
      <c r="P10251" s="216"/>
      <c r="Q10251" s="217"/>
      <c r="R10251" s="217"/>
      <c r="S10251" s="218"/>
    </row>
    <row r="10252" spans="16:19" ht="15" customHeight="1" x14ac:dyDescent="0.25">
      <c r="P10252" s="216"/>
      <c r="Q10252" s="217"/>
      <c r="R10252" s="217"/>
      <c r="S10252" s="218"/>
    </row>
    <row r="10253" spans="16:19" ht="15" customHeight="1" x14ac:dyDescent="0.25">
      <c r="P10253" s="216"/>
      <c r="Q10253" s="217"/>
      <c r="R10253" s="217"/>
      <c r="S10253" s="218"/>
    </row>
    <row r="10254" spans="16:19" ht="15" customHeight="1" x14ac:dyDescent="0.25">
      <c r="P10254" s="216"/>
      <c r="Q10254" s="217"/>
      <c r="R10254" s="217"/>
      <c r="S10254" s="218"/>
    </row>
    <row r="10255" spans="16:19" ht="15" customHeight="1" x14ac:dyDescent="0.25">
      <c r="P10255" s="216"/>
      <c r="Q10255" s="217"/>
      <c r="R10255" s="217"/>
      <c r="S10255" s="218"/>
    </row>
    <row r="10256" spans="16:19" ht="15" customHeight="1" x14ac:dyDescent="0.25">
      <c r="P10256" s="216"/>
      <c r="Q10256" s="217"/>
      <c r="R10256" s="217"/>
      <c r="S10256" s="218"/>
    </row>
    <row r="10257" spans="16:19" ht="15" customHeight="1" x14ac:dyDescent="0.25">
      <c r="P10257" s="216"/>
      <c r="Q10257" s="217"/>
      <c r="R10257" s="217"/>
      <c r="S10257" s="218"/>
    </row>
    <row r="10258" spans="16:19" ht="15" customHeight="1" x14ac:dyDescent="0.25">
      <c r="P10258" s="216"/>
      <c r="Q10258" s="217"/>
      <c r="R10258" s="217"/>
      <c r="S10258" s="218"/>
    </row>
    <row r="10259" spans="16:19" ht="15" customHeight="1" x14ac:dyDescent="0.25">
      <c r="P10259" s="216"/>
      <c r="Q10259" s="217"/>
      <c r="R10259" s="217"/>
      <c r="S10259" s="218"/>
    </row>
    <row r="10260" spans="16:19" ht="15" customHeight="1" x14ac:dyDescent="0.25">
      <c r="P10260" s="216"/>
      <c r="Q10260" s="217"/>
      <c r="R10260" s="217"/>
      <c r="S10260" s="218"/>
    </row>
    <row r="10261" spans="16:19" ht="15" customHeight="1" x14ac:dyDescent="0.25">
      <c r="P10261" s="216"/>
      <c r="Q10261" s="217"/>
      <c r="R10261" s="217"/>
      <c r="S10261" s="218"/>
    </row>
    <row r="10262" spans="16:19" ht="15" customHeight="1" x14ac:dyDescent="0.25">
      <c r="P10262" s="216"/>
      <c r="Q10262" s="217"/>
      <c r="R10262" s="217"/>
      <c r="S10262" s="218"/>
    </row>
    <row r="10263" spans="16:19" ht="15" customHeight="1" x14ac:dyDescent="0.25">
      <c r="P10263" s="216"/>
      <c r="Q10263" s="217"/>
      <c r="R10263" s="217"/>
      <c r="S10263" s="218"/>
    </row>
    <row r="10264" spans="16:19" ht="15" customHeight="1" x14ac:dyDescent="0.25">
      <c r="P10264" s="216"/>
      <c r="Q10264" s="217"/>
      <c r="R10264" s="217"/>
      <c r="S10264" s="218"/>
    </row>
    <row r="10265" spans="16:19" ht="15" customHeight="1" x14ac:dyDescent="0.25">
      <c r="P10265" s="216"/>
      <c r="Q10265" s="217"/>
      <c r="R10265" s="217"/>
      <c r="S10265" s="218"/>
    </row>
    <row r="10266" spans="16:19" ht="15" customHeight="1" x14ac:dyDescent="0.25">
      <c r="P10266" s="216"/>
      <c r="Q10266" s="217"/>
      <c r="R10266" s="217"/>
      <c r="S10266" s="218"/>
    </row>
    <row r="10267" spans="16:19" ht="15" customHeight="1" x14ac:dyDescent="0.25">
      <c r="P10267" s="216"/>
      <c r="Q10267" s="217"/>
      <c r="R10267" s="217"/>
      <c r="S10267" s="218"/>
    </row>
    <row r="10268" spans="16:19" ht="15" customHeight="1" x14ac:dyDescent="0.25">
      <c r="P10268" s="216"/>
      <c r="Q10268" s="217"/>
      <c r="R10268" s="217"/>
      <c r="S10268" s="218"/>
    </row>
    <row r="10269" spans="16:19" ht="15" customHeight="1" x14ac:dyDescent="0.25">
      <c r="P10269" s="216"/>
      <c r="Q10269" s="217"/>
      <c r="R10269" s="217"/>
      <c r="S10269" s="218"/>
    </row>
    <row r="10270" spans="16:19" ht="15" customHeight="1" x14ac:dyDescent="0.25">
      <c r="P10270" s="216"/>
      <c r="Q10270" s="217"/>
      <c r="R10270" s="217"/>
      <c r="S10270" s="218"/>
    </row>
    <row r="10271" spans="16:19" ht="15" customHeight="1" x14ac:dyDescent="0.25">
      <c r="P10271" s="216"/>
      <c r="Q10271" s="217"/>
      <c r="R10271" s="217"/>
      <c r="S10271" s="218"/>
    </row>
    <row r="10272" spans="16:19" ht="15" customHeight="1" x14ac:dyDescent="0.25">
      <c r="P10272" s="216"/>
      <c r="Q10272" s="217"/>
      <c r="R10272" s="217"/>
      <c r="S10272" s="218"/>
    </row>
    <row r="10273" spans="16:19" ht="15" customHeight="1" x14ac:dyDescent="0.25">
      <c r="P10273" s="216"/>
      <c r="Q10273" s="217"/>
      <c r="R10273" s="217"/>
      <c r="S10273" s="218"/>
    </row>
    <row r="10274" spans="16:19" ht="15" customHeight="1" x14ac:dyDescent="0.25">
      <c r="P10274" s="216"/>
      <c r="Q10274" s="217"/>
      <c r="R10274" s="217"/>
      <c r="S10274" s="218"/>
    </row>
    <row r="10275" spans="16:19" ht="15" customHeight="1" x14ac:dyDescent="0.25">
      <c r="P10275" s="216"/>
      <c r="Q10275" s="217"/>
      <c r="R10275" s="217"/>
      <c r="S10275" s="218"/>
    </row>
    <row r="10276" spans="16:19" ht="15" customHeight="1" x14ac:dyDescent="0.25">
      <c r="P10276" s="216"/>
      <c r="Q10276" s="217"/>
      <c r="R10276" s="217"/>
      <c r="S10276" s="218"/>
    </row>
    <row r="10277" spans="16:19" ht="15" customHeight="1" x14ac:dyDescent="0.25">
      <c r="P10277" s="216"/>
      <c r="Q10277" s="217"/>
      <c r="R10277" s="217"/>
      <c r="S10277" s="218"/>
    </row>
    <row r="10278" spans="16:19" ht="15" customHeight="1" x14ac:dyDescent="0.25">
      <c r="P10278" s="216"/>
      <c r="Q10278" s="217"/>
      <c r="R10278" s="217"/>
      <c r="S10278" s="218"/>
    </row>
    <row r="10279" spans="16:19" ht="15" customHeight="1" x14ac:dyDescent="0.25">
      <c r="P10279" s="216"/>
      <c r="Q10279" s="217"/>
      <c r="R10279" s="217"/>
      <c r="S10279" s="218"/>
    </row>
    <row r="10280" spans="16:19" ht="15" customHeight="1" x14ac:dyDescent="0.25">
      <c r="P10280" s="216"/>
      <c r="Q10280" s="217"/>
      <c r="R10280" s="217"/>
      <c r="S10280" s="218"/>
    </row>
    <row r="10281" spans="16:19" ht="15" customHeight="1" x14ac:dyDescent="0.25">
      <c r="P10281" s="216"/>
      <c r="Q10281" s="217"/>
      <c r="R10281" s="217"/>
      <c r="S10281" s="218"/>
    </row>
    <row r="10282" spans="16:19" ht="15" customHeight="1" x14ac:dyDescent="0.25">
      <c r="P10282" s="216"/>
      <c r="Q10282" s="217"/>
      <c r="R10282" s="217"/>
      <c r="S10282" s="218"/>
    </row>
    <row r="10283" spans="16:19" ht="15" customHeight="1" x14ac:dyDescent="0.25">
      <c r="P10283" s="216"/>
      <c r="Q10283" s="217"/>
      <c r="R10283" s="217"/>
      <c r="S10283" s="218"/>
    </row>
    <row r="10284" spans="16:19" ht="15" customHeight="1" x14ac:dyDescent="0.25">
      <c r="P10284" s="216"/>
      <c r="Q10284" s="217"/>
      <c r="R10284" s="217"/>
      <c r="S10284" s="218"/>
    </row>
    <row r="10285" spans="16:19" ht="15" customHeight="1" x14ac:dyDescent="0.25">
      <c r="P10285" s="216"/>
      <c r="Q10285" s="217"/>
      <c r="R10285" s="217"/>
      <c r="S10285" s="218"/>
    </row>
    <row r="10286" spans="16:19" ht="15" customHeight="1" x14ac:dyDescent="0.25">
      <c r="P10286" s="216"/>
      <c r="Q10286" s="217"/>
      <c r="R10286" s="217"/>
      <c r="S10286" s="218"/>
    </row>
    <row r="10287" spans="16:19" ht="15" customHeight="1" x14ac:dyDescent="0.25">
      <c r="P10287" s="216"/>
      <c r="Q10287" s="217"/>
      <c r="R10287" s="217"/>
      <c r="S10287" s="218"/>
    </row>
    <row r="10288" spans="16:19" ht="15" customHeight="1" x14ac:dyDescent="0.25">
      <c r="P10288" s="216"/>
      <c r="Q10288" s="217"/>
      <c r="R10288" s="217"/>
      <c r="S10288" s="218"/>
    </row>
    <row r="10289" spans="16:19" ht="15" customHeight="1" x14ac:dyDescent="0.25">
      <c r="P10289" s="216"/>
      <c r="Q10289" s="217"/>
      <c r="R10289" s="217"/>
      <c r="S10289" s="218"/>
    </row>
    <row r="10290" spans="16:19" ht="15" customHeight="1" x14ac:dyDescent="0.25">
      <c r="P10290" s="216"/>
      <c r="Q10290" s="217"/>
      <c r="R10290" s="217"/>
      <c r="S10290" s="218"/>
    </row>
    <row r="10291" spans="16:19" ht="15" customHeight="1" x14ac:dyDescent="0.25">
      <c r="P10291" s="216"/>
      <c r="Q10291" s="217"/>
      <c r="R10291" s="217"/>
      <c r="S10291" s="218"/>
    </row>
    <row r="10292" spans="16:19" ht="15" customHeight="1" x14ac:dyDescent="0.25">
      <c r="P10292" s="216"/>
      <c r="Q10292" s="217"/>
      <c r="R10292" s="217"/>
      <c r="S10292" s="218"/>
    </row>
    <row r="10293" spans="16:19" ht="15" customHeight="1" x14ac:dyDescent="0.25">
      <c r="P10293" s="216"/>
      <c r="Q10293" s="217"/>
      <c r="R10293" s="217"/>
      <c r="S10293" s="218"/>
    </row>
    <row r="10294" spans="16:19" ht="15" customHeight="1" x14ac:dyDescent="0.25">
      <c r="P10294" s="216"/>
      <c r="Q10294" s="217"/>
      <c r="R10294" s="217"/>
      <c r="S10294" s="218"/>
    </row>
    <row r="10295" spans="16:19" ht="15" customHeight="1" x14ac:dyDescent="0.25">
      <c r="P10295" s="216"/>
      <c r="Q10295" s="217"/>
      <c r="R10295" s="217"/>
      <c r="S10295" s="218"/>
    </row>
    <row r="10296" spans="16:19" ht="15" customHeight="1" x14ac:dyDescent="0.25">
      <c r="P10296" s="216"/>
      <c r="Q10296" s="217"/>
      <c r="R10296" s="217"/>
      <c r="S10296" s="218"/>
    </row>
    <row r="10297" spans="16:19" ht="15" customHeight="1" x14ac:dyDescent="0.25">
      <c r="P10297" s="216"/>
      <c r="Q10297" s="217"/>
      <c r="R10297" s="217"/>
      <c r="S10297" s="218"/>
    </row>
    <row r="10298" spans="16:19" ht="15" customHeight="1" x14ac:dyDescent="0.25">
      <c r="P10298" s="216"/>
      <c r="Q10298" s="217"/>
      <c r="R10298" s="217"/>
      <c r="S10298" s="218"/>
    </row>
    <row r="10299" spans="16:19" ht="15" customHeight="1" x14ac:dyDescent="0.25">
      <c r="P10299" s="216"/>
      <c r="Q10299" s="217"/>
      <c r="R10299" s="217"/>
      <c r="S10299" s="218"/>
    </row>
    <row r="10300" spans="16:19" ht="15" customHeight="1" x14ac:dyDescent="0.25">
      <c r="P10300" s="216"/>
      <c r="Q10300" s="217"/>
      <c r="R10300" s="217"/>
      <c r="S10300" s="218"/>
    </row>
    <row r="10301" spans="16:19" ht="15" customHeight="1" x14ac:dyDescent="0.25">
      <c r="P10301" s="216"/>
      <c r="Q10301" s="217"/>
      <c r="R10301" s="217"/>
      <c r="S10301" s="218"/>
    </row>
    <row r="10302" spans="16:19" ht="15" customHeight="1" x14ac:dyDescent="0.25">
      <c r="P10302" s="216"/>
      <c r="Q10302" s="217"/>
      <c r="R10302" s="217"/>
      <c r="S10302" s="218"/>
    </row>
    <row r="10303" spans="16:19" ht="15" customHeight="1" x14ac:dyDescent="0.25">
      <c r="P10303" s="216"/>
      <c r="Q10303" s="217"/>
      <c r="R10303" s="217"/>
      <c r="S10303" s="218"/>
    </row>
    <row r="10304" spans="16:19" ht="15" customHeight="1" x14ac:dyDescent="0.25">
      <c r="P10304" s="216"/>
      <c r="Q10304" s="217"/>
      <c r="R10304" s="217"/>
      <c r="S10304" s="218"/>
    </row>
    <row r="10305" spans="16:19" ht="15" customHeight="1" x14ac:dyDescent="0.25">
      <c r="P10305" s="216"/>
      <c r="Q10305" s="217"/>
      <c r="R10305" s="217"/>
      <c r="S10305" s="218"/>
    </row>
    <row r="10306" spans="16:19" ht="15" customHeight="1" x14ac:dyDescent="0.25">
      <c r="P10306" s="216"/>
      <c r="Q10306" s="217"/>
      <c r="R10306" s="217"/>
      <c r="S10306" s="218"/>
    </row>
    <row r="10307" spans="16:19" ht="15" customHeight="1" x14ac:dyDescent="0.25">
      <c r="P10307" s="216"/>
      <c r="Q10307" s="217"/>
      <c r="R10307" s="217"/>
      <c r="S10307" s="218"/>
    </row>
    <row r="10308" spans="16:19" ht="15" customHeight="1" x14ac:dyDescent="0.25">
      <c r="P10308" s="216"/>
      <c r="Q10308" s="217"/>
      <c r="R10308" s="217"/>
      <c r="S10308" s="218"/>
    </row>
    <row r="10309" spans="16:19" ht="15" customHeight="1" x14ac:dyDescent="0.25">
      <c r="P10309" s="216"/>
      <c r="Q10309" s="217"/>
      <c r="R10309" s="217"/>
      <c r="S10309" s="218"/>
    </row>
    <row r="10310" spans="16:19" ht="15" customHeight="1" x14ac:dyDescent="0.25">
      <c r="P10310" s="216"/>
      <c r="Q10310" s="217"/>
      <c r="R10310" s="217"/>
      <c r="S10310" s="218"/>
    </row>
    <row r="10311" spans="16:19" ht="15" customHeight="1" x14ac:dyDescent="0.25">
      <c r="P10311" s="216"/>
      <c r="Q10311" s="217"/>
      <c r="R10311" s="217"/>
      <c r="S10311" s="218"/>
    </row>
    <row r="10312" spans="16:19" ht="15" customHeight="1" x14ac:dyDescent="0.25">
      <c r="P10312" s="216"/>
      <c r="Q10312" s="217"/>
      <c r="R10312" s="217"/>
      <c r="S10312" s="218"/>
    </row>
    <row r="10313" spans="16:19" ht="15" customHeight="1" x14ac:dyDescent="0.25">
      <c r="P10313" s="216"/>
      <c r="Q10313" s="217"/>
      <c r="R10313" s="217"/>
      <c r="S10313" s="218"/>
    </row>
    <row r="10314" spans="16:19" ht="15" customHeight="1" x14ac:dyDescent="0.25">
      <c r="P10314" s="216"/>
      <c r="Q10314" s="217"/>
      <c r="R10314" s="217"/>
      <c r="S10314" s="218"/>
    </row>
    <row r="10315" spans="16:19" ht="15" customHeight="1" x14ac:dyDescent="0.25">
      <c r="P10315" s="216"/>
      <c r="Q10315" s="217"/>
      <c r="R10315" s="217"/>
      <c r="S10315" s="218"/>
    </row>
    <row r="10316" spans="16:19" ht="15" customHeight="1" x14ac:dyDescent="0.25">
      <c r="P10316" s="216"/>
      <c r="Q10316" s="217"/>
      <c r="R10316" s="217"/>
      <c r="S10316" s="218"/>
    </row>
    <row r="10317" spans="16:19" ht="15" customHeight="1" x14ac:dyDescent="0.25">
      <c r="P10317" s="216"/>
      <c r="Q10317" s="217"/>
      <c r="R10317" s="217"/>
      <c r="S10317" s="218"/>
    </row>
    <row r="10318" spans="16:19" ht="15" customHeight="1" x14ac:dyDescent="0.25">
      <c r="P10318" s="216"/>
      <c r="Q10318" s="217"/>
      <c r="R10318" s="217"/>
      <c r="S10318" s="218"/>
    </row>
    <row r="10319" spans="16:19" ht="15" customHeight="1" x14ac:dyDescent="0.25">
      <c r="P10319" s="216"/>
      <c r="Q10319" s="217"/>
      <c r="R10319" s="217"/>
      <c r="S10319" s="218"/>
    </row>
    <row r="10320" spans="16:19" ht="15" customHeight="1" x14ac:dyDescent="0.25">
      <c r="P10320" s="216"/>
      <c r="Q10320" s="217"/>
      <c r="R10320" s="217"/>
      <c r="S10320" s="218"/>
    </row>
    <row r="10321" spans="16:19" ht="15" customHeight="1" x14ac:dyDescent="0.25">
      <c r="P10321" s="216"/>
      <c r="Q10321" s="217"/>
      <c r="R10321" s="217"/>
      <c r="S10321" s="218"/>
    </row>
    <row r="10322" spans="16:19" ht="15" customHeight="1" x14ac:dyDescent="0.25">
      <c r="P10322" s="216"/>
      <c r="Q10322" s="217"/>
      <c r="R10322" s="217"/>
      <c r="S10322" s="218"/>
    </row>
    <row r="10323" spans="16:19" ht="15" customHeight="1" x14ac:dyDescent="0.25">
      <c r="P10323" s="216"/>
      <c r="Q10323" s="217"/>
      <c r="R10323" s="217"/>
      <c r="S10323" s="218"/>
    </row>
    <row r="10324" spans="16:19" ht="15" customHeight="1" x14ac:dyDescent="0.25">
      <c r="P10324" s="216"/>
      <c r="Q10324" s="217"/>
      <c r="R10324" s="217"/>
      <c r="S10324" s="218"/>
    </row>
    <row r="10325" spans="16:19" ht="15" customHeight="1" x14ac:dyDescent="0.25">
      <c r="P10325" s="216"/>
      <c r="Q10325" s="217"/>
      <c r="R10325" s="217"/>
      <c r="S10325" s="218"/>
    </row>
    <row r="10326" spans="16:19" ht="15" customHeight="1" x14ac:dyDescent="0.25">
      <c r="P10326" s="216"/>
      <c r="Q10326" s="217"/>
      <c r="R10326" s="217"/>
      <c r="S10326" s="218"/>
    </row>
    <row r="10327" spans="16:19" ht="15" customHeight="1" x14ac:dyDescent="0.25">
      <c r="P10327" s="216"/>
      <c r="Q10327" s="217"/>
      <c r="R10327" s="217"/>
      <c r="S10327" s="218"/>
    </row>
    <row r="10328" spans="16:19" ht="15" customHeight="1" x14ac:dyDescent="0.25">
      <c r="P10328" s="216"/>
      <c r="Q10328" s="217"/>
      <c r="R10328" s="217"/>
      <c r="S10328" s="218"/>
    </row>
    <row r="10329" spans="16:19" ht="15" customHeight="1" x14ac:dyDescent="0.25">
      <c r="P10329" s="216"/>
      <c r="Q10329" s="217"/>
      <c r="R10329" s="217"/>
      <c r="S10329" s="218"/>
    </row>
    <row r="10330" spans="16:19" ht="15" customHeight="1" x14ac:dyDescent="0.25">
      <c r="P10330" s="216"/>
      <c r="Q10330" s="217"/>
      <c r="R10330" s="217"/>
      <c r="S10330" s="218"/>
    </row>
    <row r="10331" spans="16:19" ht="15" customHeight="1" x14ac:dyDescent="0.25">
      <c r="P10331" s="216"/>
      <c r="Q10331" s="217"/>
      <c r="R10331" s="217"/>
      <c r="S10331" s="218"/>
    </row>
    <row r="10332" spans="16:19" ht="15" customHeight="1" x14ac:dyDescent="0.25">
      <c r="P10332" s="216"/>
      <c r="Q10332" s="217"/>
      <c r="R10332" s="217"/>
      <c r="S10332" s="218"/>
    </row>
    <row r="10333" spans="16:19" ht="15" customHeight="1" x14ac:dyDescent="0.25">
      <c r="P10333" s="216"/>
      <c r="Q10333" s="217"/>
      <c r="R10333" s="217"/>
      <c r="S10333" s="218"/>
    </row>
    <row r="10334" spans="16:19" ht="15" customHeight="1" x14ac:dyDescent="0.25">
      <c r="P10334" s="216"/>
      <c r="Q10334" s="217"/>
      <c r="R10334" s="217"/>
      <c r="S10334" s="218"/>
    </row>
    <row r="10335" spans="16:19" ht="15" customHeight="1" x14ac:dyDescent="0.25">
      <c r="P10335" s="216"/>
      <c r="Q10335" s="217"/>
      <c r="R10335" s="217"/>
      <c r="S10335" s="218"/>
    </row>
    <row r="10336" spans="16:19" ht="15" customHeight="1" x14ac:dyDescent="0.25">
      <c r="P10336" s="216"/>
      <c r="Q10336" s="217"/>
      <c r="R10336" s="217"/>
      <c r="S10336" s="218"/>
    </row>
    <row r="10337" spans="16:19" ht="15" customHeight="1" x14ac:dyDescent="0.25">
      <c r="P10337" s="216"/>
      <c r="Q10337" s="217"/>
      <c r="R10337" s="217"/>
      <c r="S10337" s="218"/>
    </row>
    <row r="10338" spans="16:19" ht="15" customHeight="1" x14ac:dyDescent="0.25">
      <c r="P10338" s="216"/>
      <c r="Q10338" s="217"/>
      <c r="R10338" s="217"/>
      <c r="S10338" s="218"/>
    </row>
    <row r="10339" spans="16:19" ht="15" customHeight="1" x14ac:dyDescent="0.25">
      <c r="P10339" s="216"/>
      <c r="Q10339" s="217"/>
      <c r="R10339" s="217"/>
      <c r="S10339" s="218"/>
    </row>
    <row r="10340" spans="16:19" ht="15" customHeight="1" x14ac:dyDescent="0.25">
      <c r="P10340" s="216"/>
      <c r="Q10340" s="217"/>
      <c r="R10340" s="217"/>
      <c r="S10340" s="218"/>
    </row>
    <row r="10341" spans="16:19" ht="15" customHeight="1" x14ac:dyDescent="0.25">
      <c r="P10341" s="216"/>
      <c r="Q10341" s="217"/>
      <c r="R10341" s="217"/>
      <c r="S10341" s="218"/>
    </row>
    <row r="10342" spans="16:19" ht="15" customHeight="1" x14ac:dyDescent="0.25">
      <c r="P10342" s="216"/>
      <c r="Q10342" s="217"/>
      <c r="R10342" s="217"/>
      <c r="S10342" s="218"/>
    </row>
    <row r="10343" spans="16:19" ht="15" customHeight="1" x14ac:dyDescent="0.25">
      <c r="P10343" s="216"/>
      <c r="Q10343" s="217"/>
      <c r="R10343" s="217"/>
      <c r="S10343" s="218"/>
    </row>
    <row r="10344" spans="16:19" ht="15" customHeight="1" x14ac:dyDescent="0.25">
      <c r="P10344" s="216"/>
      <c r="Q10344" s="217"/>
      <c r="R10344" s="217"/>
      <c r="S10344" s="218"/>
    </row>
    <row r="10345" spans="16:19" ht="15" customHeight="1" x14ac:dyDescent="0.25">
      <c r="P10345" s="216"/>
      <c r="Q10345" s="217"/>
      <c r="R10345" s="217"/>
      <c r="S10345" s="218"/>
    </row>
    <row r="10346" spans="16:19" ht="15" customHeight="1" x14ac:dyDescent="0.25">
      <c r="P10346" s="216"/>
      <c r="Q10346" s="217"/>
      <c r="R10346" s="217"/>
      <c r="S10346" s="218"/>
    </row>
    <row r="10347" spans="16:19" ht="15" customHeight="1" x14ac:dyDescent="0.25">
      <c r="P10347" s="216"/>
      <c r="Q10347" s="217"/>
      <c r="R10347" s="217"/>
      <c r="S10347" s="218"/>
    </row>
    <row r="10348" spans="16:19" ht="15" customHeight="1" x14ac:dyDescent="0.25">
      <c r="P10348" s="216"/>
      <c r="Q10348" s="217"/>
      <c r="R10348" s="217"/>
      <c r="S10348" s="218"/>
    </row>
    <row r="10349" spans="16:19" ht="15" customHeight="1" x14ac:dyDescent="0.25">
      <c r="P10349" s="216"/>
      <c r="Q10349" s="217"/>
      <c r="R10349" s="217"/>
      <c r="S10349" s="218"/>
    </row>
    <row r="10350" spans="16:19" ht="15" customHeight="1" x14ac:dyDescent="0.25">
      <c r="P10350" s="216"/>
      <c r="Q10350" s="217"/>
      <c r="R10350" s="217"/>
      <c r="S10350" s="218"/>
    </row>
    <row r="10351" spans="16:19" ht="15" customHeight="1" x14ac:dyDescent="0.25">
      <c r="P10351" s="216"/>
      <c r="Q10351" s="217"/>
      <c r="R10351" s="217"/>
      <c r="S10351" s="218"/>
    </row>
    <row r="10352" spans="16:19" ht="15" customHeight="1" x14ac:dyDescent="0.25">
      <c r="P10352" s="216"/>
      <c r="Q10352" s="217"/>
      <c r="R10352" s="217"/>
      <c r="S10352" s="218"/>
    </row>
    <row r="10353" spans="16:19" ht="15" customHeight="1" x14ac:dyDescent="0.25">
      <c r="P10353" s="216"/>
      <c r="Q10353" s="217"/>
      <c r="R10353" s="217"/>
      <c r="S10353" s="218"/>
    </row>
    <row r="10354" spans="16:19" ht="15" customHeight="1" x14ac:dyDescent="0.25">
      <c r="P10354" s="216"/>
      <c r="Q10354" s="217"/>
      <c r="R10354" s="217"/>
      <c r="S10354" s="218"/>
    </row>
    <row r="10355" spans="16:19" ht="15" customHeight="1" x14ac:dyDescent="0.25">
      <c r="P10355" s="216"/>
      <c r="Q10355" s="217"/>
      <c r="R10355" s="217"/>
      <c r="S10355" s="218"/>
    </row>
    <row r="10356" spans="16:19" ht="15" customHeight="1" x14ac:dyDescent="0.25">
      <c r="P10356" s="216"/>
      <c r="Q10356" s="217"/>
      <c r="R10356" s="217"/>
      <c r="S10356" s="218"/>
    </row>
    <row r="10357" spans="16:19" ht="15" customHeight="1" x14ac:dyDescent="0.25">
      <c r="P10357" s="216"/>
      <c r="Q10357" s="217"/>
      <c r="R10357" s="217"/>
      <c r="S10357" s="218"/>
    </row>
    <row r="10358" spans="16:19" ht="15" customHeight="1" x14ac:dyDescent="0.25">
      <c r="P10358" s="216"/>
      <c r="Q10358" s="217"/>
      <c r="R10358" s="217"/>
      <c r="S10358" s="218"/>
    </row>
    <row r="10359" spans="16:19" ht="15" customHeight="1" x14ac:dyDescent="0.25">
      <c r="P10359" s="216"/>
      <c r="Q10359" s="217"/>
      <c r="R10359" s="217"/>
      <c r="S10359" s="218"/>
    </row>
    <row r="10360" spans="16:19" ht="15" customHeight="1" x14ac:dyDescent="0.25">
      <c r="P10360" s="216"/>
      <c r="Q10360" s="217"/>
      <c r="R10360" s="217"/>
      <c r="S10360" s="218"/>
    </row>
    <row r="10361" spans="16:19" ht="15" customHeight="1" x14ac:dyDescent="0.25">
      <c r="P10361" s="216"/>
      <c r="Q10361" s="217"/>
      <c r="R10361" s="217"/>
      <c r="S10361" s="218"/>
    </row>
    <row r="10362" spans="16:19" ht="15" customHeight="1" x14ac:dyDescent="0.25">
      <c r="P10362" s="216"/>
      <c r="Q10362" s="217"/>
      <c r="R10362" s="217"/>
      <c r="S10362" s="218"/>
    </row>
    <row r="10363" spans="16:19" ht="15" customHeight="1" x14ac:dyDescent="0.25">
      <c r="P10363" s="216"/>
      <c r="Q10363" s="217"/>
      <c r="R10363" s="217"/>
      <c r="S10363" s="218"/>
    </row>
    <row r="10364" spans="16:19" ht="15" customHeight="1" x14ac:dyDescent="0.25">
      <c r="P10364" s="216"/>
      <c r="Q10364" s="217"/>
      <c r="R10364" s="217"/>
      <c r="S10364" s="218"/>
    </row>
    <row r="10365" spans="16:19" ht="15" customHeight="1" x14ac:dyDescent="0.25">
      <c r="P10365" s="216"/>
      <c r="Q10365" s="217"/>
      <c r="R10365" s="217"/>
      <c r="S10365" s="218"/>
    </row>
    <row r="10366" spans="16:19" ht="15" customHeight="1" x14ac:dyDescent="0.25">
      <c r="P10366" s="216"/>
      <c r="Q10366" s="217"/>
      <c r="R10366" s="217"/>
      <c r="S10366" s="218"/>
    </row>
    <row r="10367" spans="16:19" ht="15" customHeight="1" x14ac:dyDescent="0.25">
      <c r="P10367" s="216"/>
      <c r="Q10367" s="217"/>
      <c r="R10367" s="217"/>
      <c r="S10367" s="218"/>
    </row>
    <row r="10368" spans="16:19" ht="15" customHeight="1" x14ac:dyDescent="0.25">
      <c r="P10368" s="216"/>
      <c r="Q10368" s="217"/>
      <c r="R10368" s="217"/>
      <c r="S10368" s="218"/>
    </row>
    <row r="10369" spans="16:19" ht="15" customHeight="1" x14ac:dyDescent="0.25">
      <c r="P10369" s="216"/>
      <c r="Q10369" s="217"/>
      <c r="R10369" s="217"/>
      <c r="S10369" s="218"/>
    </row>
    <row r="10370" spans="16:19" ht="15" customHeight="1" x14ac:dyDescent="0.25">
      <c r="P10370" s="216"/>
      <c r="Q10370" s="217"/>
      <c r="R10370" s="217"/>
      <c r="S10370" s="218"/>
    </row>
    <row r="10371" spans="16:19" ht="15" customHeight="1" x14ac:dyDescent="0.25">
      <c r="P10371" s="216"/>
      <c r="Q10371" s="217"/>
      <c r="R10371" s="217"/>
      <c r="S10371" s="218"/>
    </row>
    <row r="10372" spans="16:19" ht="15" customHeight="1" x14ac:dyDescent="0.25">
      <c r="P10372" s="216"/>
      <c r="Q10372" s="217"/>
      <c r="R10372" s="217"/>
      <c r="S10372" s="218"/>
    </row>
    <row r="10373" spans="16:19" ht="15" customHeight="1" x14ac:dyDescent="0.25">
      <c r="P10373" s="216"/>
      <c r="Q10373" s="217"/>
      <c r="R10373" s="217"/>
      <c r="S10373" s="218"/>
    </row>
    <row r="10374" spans="16:19" ht="15" customHeight="1" x14ac:dyDescent="0.25">
      <c r="P10374" s="216"/>
      <c r="Q10374" s="217"/>
      <c r="R10374" s="217"/>
      <c r="S10374" s="218"/>
    </row>
    <row r="10375" spans="16:19" ht="15" customHeight="1" x14ac:dyDescent="0.25">
      <c r="P10375" s="216"/>
      <c r="Q10375" s="217"/>
      <c r="R10375" s="217"/>
      <c r="S10375" s="218"/>
    </row>
    <row r="10376" spans="16:19" ht="15" customHeight="1" x14ac:dyDescent="0.25">
      <c r="P10376" s="216"/>
      <c r="Q10376" s="217"/>
      <c r="R10376" s="217"/>
      <c r="S10376" s="218"/>
    </row>
    <row r="10377" spans="16:19" ht="15" customHeight="1" x14ac:dyDescent="0.25">
      <c r="P10377" s="216"/>
      <c r="Q10377" s="217"/>
      <c r="R10377" s="217"/>
      <c r="S10377" s="218"/>
    </row>
    <row r="10378" spans="16:19" ht="15" customHeight="1" x14ac:dyDescent="0.25">
      <c r="P10378" s="216"/>
      <c r="Q10378" s="217"/>
      <c r="R10378" s="217"/>
      <c r="S10378" s="218"/>
    </row>
    <row r="10379" spans="16:19" ht="15" customHeight="1" x14ac:dyDescent="0.25">
      <c r="P10379" s="216"/>
      <c r="Q10379" s="217"/>
      <c r="R10379" s="217"/>
      <c r="S10379" s="218"/>
    </row>
    <row r="10380" spans="16:19" ht="15" customHeight="1" x14ac:dyDescent="0.25">
      <c r="P10380" s="216"/>
      <c r="Q10380" s="217"/>
      <c r="R10380" s="217"/>
      <c r="S10380" s="218"/>
    </row>
    <row r="10381" spans="16:19" ht="15" customHeight="1" x14ac:dyDescent="0.25">
      <c r="P10381" s="216"/>
      <c r="Q10381" s="217"/>
      <c r="R10381" s="217"/>
      <c r="S10381" s="218"/>
    </row>
    <row r="10382" spans="16:19" ht="15" customHeight="1" x14ac:dyDescent="0.25">
      <c r="P10382" s="216"/>
      <c r="Q10382" s="217"/>
      <c r="R10382" s="217"/>
      <c r="S10382" s="218"/>
    </row>
    <row r="10383" spans="16:19" ht="15" customHeight="1" x14ac:dyDescent="0.25">
      <c r="P10383" s="216"/>
      <c r="Q10383" s="217"/>
      <c r="R10383" s="217"/>
      <c r="S10383" s="218"/>
    </row>
    <row r="10384" spans="16:19" ht="15" customHeight="1" x14ac:dyDescent="0.25">
      <c r="P10384" s="216"/>
      <c r="Q10384" s="217"/>
      <c r="R10384" s="217"/>
      <c r="S10384" s="218"/>
    </row>
    <row r="10385" spans="16:19" ht="15" customHeight="1" x14ac:dyDescent="0.25">
      <c r="P10385" s="216"/>
      <c r="Q10385" s="217"/>
      <c r="R10385" s="217"/>
      <c r="S10385" s="218"/>
    </row>
    <row r="10386" spans="16:19" ht="15" customHeight="1" x14ac:dyDescent="0.25">
      <c r="P10386" s="216"/>
      <c r="Q10386" s="217"/>
      <c r="R10386" s="217"/>
      <c r="S10386" s="218"/>
    </row>
    <row r="10387" spans="16:19" ht="15" customHeight="1" x14ac:dyDescent="0.25">
      <c r="P10387" s="216"/>
      <c r="Q10387" s="217"/>
      <c r="R10387" s="217"/>
      <c r="S10387" s="218"/>
    </row>
    <row r="10388" spans="16:19" ht="15" customHeight="1" x14ac:dyDescent="0.25">
      <c r="P10388" s="216"/>
      <c r="Q10388" s="217"/>
      <c r="R10388" s="217"/>
      <c r="S10388" s="218"/>
    </row>
    <row r="10389" spans="16:19" ht="15" customHeight="1" x14ac:dyDescent="0.25">
      <c r="P10389" s="216"/>
      <c r="Q10389" s="217"/>
      <c r="R10389" s="217"/>
      <c r="S10389" s="218"/>
    </row>
    <row r="10390" spans="16:19" ht="15" customHeight="1" x14ac:dyDescent="0.25">
      <c r="P10390" s="216"/>
      <c r="Q10390" s="217"/>
      <c r="R10390" s="217"/>
      <c r="S10390" s="218"/>
    </row>
    <row r="10391" spans="16:19" ht="15" customHeight="1" x14ac:dyDescent="0.25">
      <c r="P10391" s="216"/>
      <c r="Q10391" s="217"/>
      <c r="R10391" s="217"/>
      <c r="S10391" s="218"/>
    </row>
    <row r="10392" spans="16:19" ht="15" customHeight="1" x14ac:dyDescent="0.25">
      <c r="P10392" s="216"/>
      <c r="Q10392" s="217"/>
      <c r="R10392" s="217"/>
      <c r="S10392" s="218"/>
    </row>
    <row r="10393" spans="16:19" ht="15" customHeight="1" x14ac:dyDescent="0.25">
      <c r="P10393" s="216"/>
      <c r="Q10393" s="217"/>
      <c r="R10393" s="217"/>
      <c r="S10393" s="218"/>
    </row>
    <row r="10394" spans="16:19" ht="15" customHeight="1" x14ac:dyDescent="0.25">
      <c r="P10394" s="216"/>
      <c r="Q10394" s="217"/>
      <c r="R10394" s="217"/>
      <c r="S10394" s="218"/>
    </row>
    <row r="10395" spans="16:19" ht="15" customHeight="1" x14ac:dyDescent="0.25">
      <c r="P10395" s="216"/>
      <c r="Q10395" s="217"/>
      <c r="R10395" s="217"/>
      <c r="S10395" s="218"/>
    </row>
    <row r="10396" spans="16:19" ht="15" customHeight="1" x14ac:dyDescent="0.25">
      <c r="P10396" s="216"/>
      <c r="Q10396" s="217"/>
      <c r="R10396" s="217"/>
      <c r="S10396" s="218"/>
    </row>
    <row r="10397" spans="16:19" ht="15" customHeight="1" x14ac:dyDescent="0.25">
      <c r="P10397" s="216"/>
      <c r="Q10397" s="217"/>
      <c r="R10397" s="217"/>
      <c r="S10397" s="218"/>
    </row>
    <row r="10398" spans="16:19" ht="15" customHeight="1" x14ac:dyDescent="0.25">
      <c r="P10398" s="216"/>
      <c r="Q10398" s="217"/>
      <c r="R10398" s="217"/>
      <c r="S10398" s="218"/>
    </row>
    <row r="10399" spans="16:19" ht="15" customHeight="1" x14ac:dyDescent="0.25">
      <c r="P10399" s="216"/>
      <c r="Q10399" s="217"/>
      <c r="R10399" s="217"/>
      <c r="S10399" s="218"/>
    </row>
    <row r="10400" spans="16:19" ht="15" customHeight="1" x14ac:dyDescent="0.25">
      <c r="P10400" s="216"/>
      <c r="Q10400" s="217"/>
      <c r="R10400" s="217"/>
      <c r="S10400" s="218"/>
    </row>
    <row r="10401" spans="16:19" ht="15" customHeight="1" x14ac:dyDescent="0.25">
      <c r="P10401" s="216"/>
      <c r="Q10401" s="217"/>
      <c r="R10401" s="217"/>
      <c r="S10401" s="218"/>
    </row>
    <row r="10402" spans="16:19" ht="15" customHeight="1" x14ac:dyDescent="0.25">
      <c r="P10402" s="216"/>
      <c r="Q10402" s="217"/>
      <c r="R10402" s="217"/>
      <c r="S10402" s="218"/>
    </row>
    <row r="10403" spans="16:19" ht="15" customHeight="1" x14ac:dyDescent="0.25">
      <c r="P10403" s="216"/>
      <c r="Q10403" s="217"/>
      <c r="R10403" s="217"/>
      <c r="S10403" s="218"/>
    </row>
    <row r="10404" spans="16:19" ht="15" customHeight="1" x14ac:dyDescent="0.25">
      <c r="P10404" s="216"/>
      <c r="Q10404" s="217"/>
      <c r="R10404" s="217"/>
      <c r="S10404" s="218"/>
    </row>
    <row r="10405" spans="16:19" ht="15" customHeight="1" x14ac:dyDescent="0.25">
      <c r="P10405" s="216"/>
      <c r="Q10405" s="217"/>
      <c r="R10405" s="217"/>
      <c r="S10405" s="218"/>
    </row>
    <row r="10406" spans="16:19" ht="15" customHeight="1" x14ac:dyDescent="0.25">
      <c r="P10406" s="216"/>
      <c r="Q10406" s="217"/>
      <c r="R10406" s="217"/>
      <c r="S10406" s="218"/>
    </row>
    <row r="10407" spans="16:19" ht="15" customHeight="1" x14ac:dyDescent="0.25">
      <c r="P10407" s="216"/>
      <c r="Q10407" s="217"/>
      <c r="R10407" s="217"/>
      <c r="S10407" s="218"/>
    </row>
    <row r="10408" spans="16:19" ht="15" customHeight="1" x14ac:dyDescent="0.25">
      <c r="P10408" s="216"/>
      <c r="Q10408" s="217"/>
      <c r="R10408" s="217"/>
      <c r="S10408" s="218"/>
    </row>
    <row r="10409" spans="16:19" ht="15" customHeight="1" x14ac:dyDescent="0.25">
      <c r="P10409" s="216"/>
      <c r="Q10409" s="217"/>
      <c r="R10409" s="217"/>
      <c r="S10409" s="218"/>
    </row>
    <row r="10410" spans="16:19" ht="15" customHeight="1" x14ac:dyDescent="0.25">
      <c r="P10410" s="216"/>
      <c r="Q10410" s="217"/>
      <c r="R10410" s="217"/>
      <c r="S10410" s="218"/>
    </row>
    <row r="10411" spans="16:19" ht="15" customHeight="1" x14ac:dyDescent="0.25">
      <c r="P10411" s="216"/>
      <c r="Q10411" s="217"/>
      <c r="R10411" s="217"/>
      <c r="S10411" s="218"/>
    </row>
    <row r="10412" spans="16:19" ht="15" customHeight="1" x14ac:dyDescent="0.25">
      <c r="P10412" s="216"/>
      <c r="Q10412" s="217"/>
      <c r="R10412" s="217"/>
      <c r="S10412" s="218"/>
    </row>
    <row r="10413" spans="16:19" ht="15" customHeight="1" x14ac:dyDescent="0.25">
      <c r="P10413" s="216"/>
      <c r="Q10413" s="217"/>
      <c r="R10413" s="217"/>
      <c r="S10413" s="218"/>
    </row>
    <row r="10414" spans="16:19" ht="15" customHeight="1" x14ac:dyDescent="0.25">
      <c r="P10414" s="216"/>
      <c r="Q10414" s="217"/>
      <c r="R10414" s="217"/>
      <c r="S10414" s="218"/>
    </row>
    <row r="10415" spans="16:19" ht="15" customHeight="1" x14ac:dyDescent="0.25">
      <c r="P10415" s="216"/>
      <c r="Q10415" s="217"/>
      <c r="R10415" s="217"/>
      <c r="S10415" s="218"/>
    </row>
    <row r="10416" spans="16:19" ht="15" customHeight="1" x14ac:dyDescent="0.25">
      <c r="P10416" s="216"/>
      <c r="Q10416" s="217"/>
      <c r="R10416" s="217"/>
      <c r="S10416" s="218"/>
    </row>
    <row r="10417" spans="16:19" ht="15" customHeight="1" x14ac:dyDescent="0.25">
      <c r="P10417" s="216"/>
      <c r="Q10417" s="217"/>
      <c r="R10417" s="217"/>
      <c r="S10417" s="218"/>
    </row>
    <row r="10418" spans="16:19" ht="15" customHeight="1" x14ac:dyDescent="0.25">
      <c r="P10418" s="216"/>
      <c r="Q10418" s="217"/>
      <c r="R10418" s="217"/>
      <c r="S10418" s="218"/>
    </row>
    <row r="10419" spans="16:19" ht="15" customHeight="1" x14ac:dyDescent="0.25">
      <c r="P10419" s="216"/>
      <c r="Q10419" s="217"/>
      <c r="R10419" s="217"/>
      <c r="S10419" s="218"/>
    </row>
    <row r="10420" spans="16:19" ht="15" customHeight="1" x14ac:dyDescent="0.25">
      <c r="P10420" s="216"/>
      <c r="Q10420" s="217"/>
      <c r="R10420" s="217"/>
      <c r="S10420" s="218"/>
    </row>
    <row r="10421" spans="16:19" ht="15" customHeight="1" x14ac:dyDescent="0.25">
      <c r="P10421" s="216"/>
      <c r="Q10421" s="217"/>
      <c r="R10421" s="217"/>
      <c r="S10421" s="218"/>
    </row>
    <row r="10422" spans="16:19" ht="15" customHeight="1" x14ac:dyDescent="0.25">
      <c r="P10422" s="216"/>
      <c r="Q10422" s="217"/>
      <c r="R10422" s="217"/>
      <c r="S10422" s="218"/>
    </row>
    <row r="10423" spans="16:19" ht="15" customHeight="1" x14ac:dyDescent="0.25">
      <c r="P10423" s="216"/>
      <c r="Q10423" s="217"/>
      <c r="R10423" s="217"/>
      <c r="S10423" s="218"/>
    </row>
    <row r="10424" spans="16:19" ht="15" customHeight="1" x14ac:dyDescent="0.25">
      <c r="P10424" s="216"/>
      <c r="Q10424" s="217"/>
      <c r="R10424" s="217"/>
      <c r="S10424" s="218"/>
    </row>
    <row r="10425" spans="16:19" ht="15" customHeight="1" x14ac:dyDescent="0.25">
      <c r="P10425" s="216"/>
      <c r="Q10425" s="217"/>
      <c r="R10425" s="217"/>
      <c r="S10425" s="218"/>
    </row>
    <row r="10426" spans="16:19" ht="15" customHeight="1" x14ac:dyDescent="0.25">
      <c r="P10426" s="216"/>
      <c r="Q10426" s="217"/>
      <c r="R10426" s="217"/>
      <c r="S10426" s="218"/>
    </row>
    <row r="10427" spans="16:19" ht="15" customHeight="1" x14ac:dyDescent="0.25">
      <c r="P10427" s="216"/>
      <c r="Q10427" s="217"/>
      <c r="R10427" s="217"/>
      <c r="S10427" s="218"/>
    </row>
    <row r="10428" spans="16:19" ht="15" customHeight="1" x14ac:dyDescent="0.25">
      <c r="P10428" s="216"/>
      <c r="Q10428" s="217"/>
      <c r="R10428" s="217"/>
      <c r="S10428" s="218"/>
    </row>
    <row r="10429" spans="16:19" ht="15" customHeight="1" x14ac:dyDescent="0.25">
      <c r="P10429" s="216"/>
      <c r="Q10429" s="217"/>
      <c r="R10429" s="217"/>
      <c r="S10429" s="218"/>
    </row>
    <row r="10430" spans="16:19" ht="15" customHeight="1" x14ac:dyDescent="0.25">
      <c r="P10430" s="216"/>
      <c r="Q10430" s="217"/>
      <c r="R10430" s="217"/>
      <c r="S10430" s="218"/>
    </row>
    <row r="10431" spans="16:19" ht="15" customHeight="1" x14ac:dyDescent="0.25">
      <c r="P10431" s="216"/>
      <c r="Q10431" s="217"/>
      <c r="R10431" s="217"/>
      <c r="S10431" s="218"/>
    </row>
    <row r="10432" spans="16:19" ht="15" customHeight="1" x14ac:dyDescent="0.25">
      <c r="P10432" s="216"/>
      <c r="Q10432" s="217"/>
      <c r="R10432" s="217"/>
      <c r="S10432" s="218"/>
    </row>
    <row r="10433" spans="16:19" ht="15" customHeight="1" x14ac:dyDescent="0.25">
      <c r="P10433" s="216"/>
      <c r="Q10433" s="217"/>
      <c r="R10433" s="217"/>
      <c r="S10433" s="218"/>
    </row>
    <row r="10434" spans="16:19" ht="15" customHeight="1" x14ac:dyDescent="0.25">
      <c r="P10434" s="216"/>
      <c r="Q10434" s="217"/>
      <c r="R10434" s="217"/>
      <c r="S10434" s="218"/>
    </row>
    <row r="10435" spans="16:19" ht="15" customHeight="1" x14ac:dyDescent="0.25">
      <c r="P10435" s="216"/>
      <c r="Q10435" s="217"/>
      <c r="R10435" s="217"/>
      <c r="S10435" s="218"/>
    </row>
    <row r="10436" spans="16:19" ht="15" customHeight="1" x14ac:dyDescent="0.25">
      <c r="P10436" s="216"/>
      <c r="Q10436" s="217"/>
      <c r="R10436" s="217"/>
      <c r="S10436" s="218"/>
    </row>
    <row r="10437" spans="16:19" ht="15" customHeight="1" x14ac:dyDescent="0.25">
      <c r="P10437" s="216"/>
      <c r="Q10437" s="217"/>
      <c r="R10437" s="217"/>
      <c r="S10437" s="218"/>
    </row>
    <row r="10438" spans="16:19" ht="15" customHeight="1" x14ac:dyDescent="0.25">
      <c r="P10438" s="216"/>
      <c r="Q10438" s="217"/>
      <c r="R10438" s="217"/>
      <c r="S10438" s="218"/>
    </row>
    <row r="10439" spans="16:19" ht="15" customHeight="1" x14ac:dyDescent="0.25">
      <c r="P10439" s="216"/>
      <c r="Q10439" s="217"/>
      <c r="R10439" s="217"/>
      <c r="S10439" s="218"/>
    </row>
    <row r="10440" spans="16:19" ht="15" customHeight="1" x14ac:dyDescent="0.25">
      <c r="P10440" s="216"/>
      <c r="Q10440" s="217"/>
      <c r="R10440" s="217"/>
      <c r="S10440" s="218"/>
    </row>
    <row r="10441" spans="16:19" ht="15" customHeight="1" x14ac:dyDescent="0.25">
      <c r="P10441" s="216"/>
      <c r="Q10441" s="217"/>
      <c r="R10441" s="217"/>
      <c r="S10441" s="218"/>
    </row>
    <row r="10442" spans="16:19" ht="15" customHeight="1" x14ac:dyDescent="0.25">
      <c r="P10442" s="216"/>
      <c r="Q10442" s="217"/>
      <c r="R10442" s="217"/>
      <c r="S10442" s="218"/>
    </row>
    <row r="10443" spans="16:19" ht="15" customHeight="1" x14ac:dyDescent="0.25">
      <c r="P10443" s="216"/>
      <c r="Q10443" s="217"/>
      <c r="R10443" s="217"/>
      <c r="S10443" s="218"/>
    </row>
    <row r="10444" spans="16:19" ht="15" customHeight="1" x14ac:dyDescent="0.25">
      <c r="P10444" s="216"/>
      <c r="Q10444" s="217"/>
      <c r="R10444" s="217"/>
      <c r="S10444" s="218"/>
    </row>
    <row r="10445" spans="16:19" ht="15" customHeight="1" x14ac:dyDescent="0.25">
      <c r="P10445" s="216"/>
      <c r="Q10445" s="217"/>
      <c r="R10445" s="217"/>
      <c r="S10445" s="218"/>
    </row>
    <row r="10446" spans="16:19" ht="15" customHeight="1" x14ac:dyDescent="0.25">
      <c r="P10446" s="216"/>
      <c r="Q10446" s="217"/>
      <c r="R10446" s="217"/>
      <c r="S10446" s="218"/>
    </row>
    <row r="10447" spans="16:19" ht="15" customHeight="1" x14ac:dyDescent="0.25">
      <c r="P10447" s="216"/>
      <c r="Q10447" s="217"/>
      <c r="R10447" s="217"/>
      <c r="S10447" s="218"/>
    </row>
    <row r="10448" spans="16:19" ht="15" customHeight="1" x14ac:dyDescent="0.25">
      <c r="P10448" s="216"/>
      <c r="Q10448" s="217"/>
      <c r="R10448" s="217"/>
      <c r="S10448" s="218"/>
    </row>
    <row r="10449" spans="16:19" ht="15" customHeight="1" x14ac:dyDescent="0.25">
      <c r="P10449" s="216"/>
      <c r="Q10449" s="217"/>
      <c r="R10449" s="217"/>
      <c r="S10449" s="218"/>
    </row>
    <row r="10450" spans="16:19" ht="15" customHeight="1" x14ac:dyDescent="0.25">
      <c r="P10450" s="216"/>
      <c r="Q10450" s="217"/>
      <c r="R10450" s="217"/>
      <c r="S10450" s="218"/>
    </row>
    <row r="10451" spans="16:19" ht="15" customHeight="1" x14ac:dyDescent="0.25">
      <c r="P10451" s="216"/>
      <c r="Q10451" s="217"/>
      <c r="R10451" s="217"/>
      <c r="S10451" s="218"/>
    </row>
    <row r="10452" spans="16:19" ht="15" customHeight="1" x14ac:dyDescent="0.25">
      <c r="P10452" s="216"/>
      <c r="Q10452" s="217"/>
      <c r="R10452" s="217"/>
      <c r="S10452" s="218"/>
    </row>
    <row r="10453" spans="16:19" ht="15" customHeight="1" x14ac:dyDescent="0.25">
      <c r="P10453" s="216"/>
      <c r="Q10453" s="217"/>
      <c r="R10453" s="217"/>
      <c r="S10453" s="218"/>
    </row>
    <row r="10454" spans="16:19" ht="15" customHeight="1" x14ac:dyDescent="0.25">
      <c r="P10454" s="216"/>
      <c r="Q10454" s="217"/>
      <c r="R10454" s="217"/>
      <c r="S10454" s="218"/>
    </row>
    <row r="10455" spans="16:19" ht="15" customHeight="1" x14ac:dyDescent="0.25">
      <c r="P10455" s="216"/>
      <c r="Q10455" s="217"/>
      <c r="R10455" s="217"/>
      <c r="S10455" s="218"/>
    </row>
    <row r="10456" spans="16:19" ht="15" customHeight="1" x14ac:dyDescent="0.25">
      <c r="P10456" s="216"/>
      <c r="Q10456" s="217"/>
      <c r="R10456" s="217"/>
      <c r="S10456" s="218"/>
    </row>
    <row r="10457" spans="16:19" ht="15" customHeight="1" x14ac:dyDescent="0.25">
      <c r="P10457" s="216"/>
      <c r="Q10457" s="217"/>
      <c r="R10457" s="217"/>
      <c r="S10457" s="218"/>
    </row>
    <row r="10458" spans="16:19" ht="15" customHeight="1" x14ac:dyDescent="0.25">
      <c r="P10458" s="216"/>
      <c r="Q10458" s="217"/>
      <c r="R10458" s="217"/>
      <c r="S10458" s="218"/>
    </row>
    <row r="10459" spans="16:19" ht="15" customHeight="1" x14ac:dyDescent="0.25">
      <c r="P10459" s="216"/>
      <c r="Q10459" s="217"/>
      <c r="R10459" s="217"/>
      <c r="S10459" s="218"/>
    </row>
    <row r="10460" spans="16:19" ht="15" customHeight="1" x14ac:dyDescent="0.25">
      <c r="P10460" s="216"/>
      <c r="Q10460" s="217"/>
      <c r="R10460" s="217"/>
      <c r="S10460" s="218"/>
    </row>
    <row r="10461" spans="16:19" ht="15" customHeight="1" x14ac:dyDescent="0.25">
      <c r="P10461" s="216"/>
      <c r="Q10461" s="217"/>
      <c r="R10461" s="217"/>
      <c r="S10461" s="218"/>
    </row>
    <row r="10462" spans="16:19" ht="15" customHeight="1" x14ac:dyDescent="0.25">
      <c r="P10462" s="216"/>
      <c r="Q10462" s="217"/>
      <c r="R10462" s="217"/>
      <c r="S10462" s="218"/>
    </row>
    <row r="10463" spans="16:19" ht="15" customHeight="1" x14ac:dyDescent="0.25">
      <c r="P10463" s="216"/>
      <c r="Q10463" s="217"/>
      <c r="R10463" s="217"/>
      <c r="S10463" s="218"/>
    </row>
    <row r="10464" spans="16:19" ht="15" customHeight="1" x14ac:dyDescent="0.25">
      <c r="P10464" s="216"/>
      <c r="Q10464" s="217"/>
      <c r="R10464" s="217"/>
      <c r="S10464" s="218"/>
    </row>
    <row r="10465" spans="16:19" ht="15" customHeight="1" x14ac:dyDescent="0.25">
      <c r="P10465" s="216"/>
      <c r="Q10465" s="217"/>
      <c r="R10465" s="217"/>
      <c r="S10465" s="218"/>
    </row>
    <row r="10466" spans="16:19" ht="15" customHeight="1" x14ac:dyDescent="0.25">
      <c r="P10466" s="216"/>
      <c r="Q10466" s="217"/>
      <c r="R10466" s="217"/>
      <c r="S10466" s="218"/>
    </row>
    <row r="10467" spans="16:19" ht="15" customHeight="1" x14ac:dyDescent="0.25">
      <c r="P10467" s="216"/>
      <c r="Q10467" s="217"/>
      <c r="R10467" s="217"/>
      <c r="S10467" s="218"/>
    </row>
    <row r="10468" spans="16:19" ht="15" customHeight="1" x14ac:dyDescent="0.25">
      <c r="P10468" s="216"/>
      <c r="Q10468" s="217"/>
      <c r="R10468" s="217"/>
      <c r="S10468" s="218"/>
    </row>
    <row r="10469" spans="16:19" ht="15" customHeight="1" x14ac:dyDescent="0.25">
      <c r="P10469" s="216"/>
      <c r="Q10469" s="217"/>
      <c r="R10469" s="217"/>
      <c r="S10469" s="218"/>
    </row>
    <row r="10470" spans="16:19" ht="15" customHeight="1" x14ac:dyDescent="0.25">
      <c r="P10470" s="216"/>
      <c r="Q10470" s="217"/>
      <c r="R10470" s="217"/>
      <c r="S10470" s="218"/>
    </row>
    <row r="10471" spans="16:19" ht="15" customHeight="1" x14ac:dyDescent="0.25">
      <c r="P10471" s="216"/>
      <c r="Q10471" s="217"/>
      <c r="R10471" s="217"/>
      <c r="S10471" s="218"/>
    </row>
    <row r="10472" spans="16:19" ht="15" customHeight="1" x14ac:dyDescent="0.25">
      <c r="P10472" s="216"/>
      <c r="Q10472" s="217"/>
      <c r="R10472" s="217"/>
      <c r="S10472" s="218"/>
    </row>
    <row r="10473" spans="16:19" ht="15" customHeight="1" x14ac:dyDescent="0.25">
      <c r="P10473" s="216"/>
      <c r="Q10473" s="217"/>
      <c r="R10473" s="217"/>
      <c r="S10473" s="218"/>
    </row>
    <row r="10474" spans="16:19" ht="15" customHeight="1" x14ac:dyDescent="0.25">
      <c r="P10474" s="216"/>
      <c r="Q10474" s="217"/>
      <c r="R10474" s="217"/>
      <c r="S10474" s="218"/>
    </row>
    <row r="10475" spans="16:19" ht="15" customHeight="1" x14ac:dyDescent="0.25">
      <c r="P10475" s="216"/>
      <c r="Q10475" s="217"/>
      <c r="R10475" s="217"/>
      <c r="S10475" s="218"/>
    </row>
    <row r="10476" spans="16:19" ht="15" customHeight="1" x14ac:dyDescent="0.25">
      <c r="P10476" s="216"/>
      <c r="Q10476" s="217"/>
      <c r="R10476" s="217"/>
      <c r="S10476" s="218"/>
    </row>
    <row r="10477" spans="16:19" ht="15" customHeight="1" x14ac:dyDescent="0.25">
      <c r="P10477" s="216"/>
      <c r="Q10477" s="217"/>
      <c r="R10477" s="217"/>
      <c r="S10477" s="218"/>
    </row>
    <row r="10478" spans="16:19" ht="15" customHeight="1" x14ac:dyDescent="0.25">
      <c r="P10478" s="216"/>
      <c r="Q10478" s="217"/>
      <c r="R10478" s="217"/>
      <c r="S10478" s="218"/>
    </row>
    <row r="10479" spans="16:19" ht="15" customHeight="1" x14ac:dyDescent="0.25">
      <c r="P10479" s="216"/>
      <c r="Q10479" s="217"/>
      <c r="R10479" s="217"/>
      <c r="S10479" s="218"/>
    </row>
    <row r="10480" spans="16:19" ht="15" customHeight="1" x14ac:dyDescent="0.25">
      <c r="P10480" s="216"/>
      <c r="Q10480" s="217"/>
      <c r="R10480" s="217"/>
      <c r="S10480" s="218"/>
    </row>
    <row r="10481" spans="16:19" ht="15" customHeight="1" x14ac:dyDescent="0.25">
      <c r="P10481" s="216"/>
      <c r="Q10481" s="217"/>
      <c r="R10481" s="217"/>
      <c r="S10481" s="218"/>
    </row>
    <row r="10482" spans="16:19" ht="15" customHeight="1" x14ac:dyDescent="0.25">
      <c r="P10482" s="216"/>
      <c r="Q10482" s="217"/>
      <c r="R10482" s="217"/>
      <c r="S10482" s="218"/>
    </row>
    <row r="10483" spans="16:19" ht="15" customHeight="1" x14ac:dyDescent="0.25">
      <c r="P10483" s="216"/>
      <c r="Q10483" s="217"/>
      <c r="R10483" s="217"/>
      <c r="S10483" s="218"/>
    </row>
    <row r="10484" spans="16:19" ht="15" customHeight="1" x14ac:dyDescent="0.25">
      <c r="P10484" s="216"/>
      <c r="Q10484" s="217"/>
      <c r="R10484" s="217"/>
      <c r="S10484" s="218"/>
    </row>
    <row r="10485" spans="16:19" ht="15" customHeight="1" x14ac:dyDescent="0.25">
      <c r="P10485" s="216"/>
      <c r="Q10485" s="217"/>
      <c r="R10485" s="217"/>
      <c r="S10485" s="218"/>
    </row>
    <row r="10486" spans="16:19" ht="15" customHeight="1" x14ac:dyDescent="0.25">
      <c r="P10486" s="216"/>
      <c r="Q10486" s="217"/>
      <c r="R10486" s="217"/>
      <c r="S10486" s="218"/>
    </row>
    <row r="10487" spans="16:19" ht="15" customHeight="1" x14ac:dyDescent="0.25">
      <c r="P10487" s="216"/>
      <c r="Q10487" s="217"/>
      <c r="R10487" s="217"/>
      <c r="S10487" s="218"/>
    </row>
    <row r="10488" spans="16:19" ht="15" customHeight="1" x14ac:dyDescent="0.25">
      <c r="P10488" s="216"/>
      <c r="Q10488" s="217"/>
      <c r="R10488" s="217"/>
      <c r="S10488" s="218"/>
    </row>
    <row r="10489" spans="16:19" ht="15" customHeight="1" x14ac:dyDescent="0.25">
      <c r="P10489" s="216"/>
      <c r="Q10489" s="217"/>
      <c r="R10489" s="217"/>
      <c r="S10489" s="218"/>
    </row>
    <row r="10490" spans="16:19" ht="15" customHeight="1" x14ac:dyDescent="0.25">
      <c r="P10490" s="216"/>
      <c r="Q10490" s="217"/>
      <c r="R10490" s="217"/>
      <c r="S10490" s="218"/>
    </row>
    <row r="10491" spans="16:19" ht="15" customHeight="1" x14ac:dyDescent="0.25">
      <c r="P10491" s="216"/>
      <c r="Q10491" s="217"/>
      <c r="R10491" s="217"/>
      <c r="S10491" s="218"/>
    </row>
    <row r="10492" spans="16:19" ht="15" customHeight="1" x14ac:dyDescent="0.25">
      <c r="P10492" s="216"/>
      <c r="Q10492" s="217"/>
      <c r="R10492" s="217"/>
      <c r="S10492" s="218"/>
    </row>
    <row r="10493" spans="16:19" ht="15" customHeight="1" x14ac:dyDescent="0.25">
      <c r="P10493" s="216"/>
      <c r="Q10493" s="217"/>
      <c r="R10493" s="217"/>
      <c r="S10493" s="218"/>
    </row>
    <row r="10494" spans="16:19" ht="15" customHeight="1" x14ac:dyDescent="0.25">
      <c r="P10494" s="216"/>
      <c r="Q10494" s="217"/>
      <c r="R10494" s="217"/>
      <c r="S10494" s="218"/>
    </row>
    <row r="10495" spans="16:19" ht="15" customHeight="1" x14ac:dyDescent="0.25">
      <c r="P10495" s="216"/>
      <c r="Q10495" s="217"/>
      <c r="R10495" s="217"/>
      <c r="S10495" s="218"/>
    </row>
    <row r="10496" spans="16:19" ht="15" customHeight="1" x14ac:dyDescent="0.25">
      <c r="P10496" s="216"/>
      <c r="Q10496" s="217"/>
      <c r="R10496" s="217"/>
      <c r="S10496" s="218"/>
    </row>
    <row r="10497" spans="16:19" ht="15" customHeight="1" x14ac:dyDescent="0.25">
      <c r="P10497" s="216"/>
      <c r="Q10497" s="217"/>
      <c r="R10497" s="217"/>
      <c r="S10497" s="218"/>
    </row>
    <row r="10498" spans="16:19" ht="15" customHeight="1" x14ac:dyDescent="0.25">
      <c r="P10498" s="216"/>
      <c r="Q10498" s="217"/>
      <c r="R10498" s="217"/>
      <c r="S10498" s="218"/>
    </row>
    <row r="10499" spans="16:19" ht="15" customHeight="1" x14ac:dyDescent="0.25">
      <c r="P10499" s="216"/>
      <c r="Q10499" s="217"/>
      <c r="R10499" s="217"/>
      <c r="S10499" s="218"/>
    </row>
    <row r="10500" spans="16:19" ht="15" customHeight="1" x14ac:dyDescent="0.25">
      <c r="P10500" s="216"/>
      <c r="Q10500" s="217"/>
      <c r="R10500" s="217"/>
      <c r="S10500" s="218"/>
    </row>
    <row r="10501" spans="16:19" ht="15" customHeight="1" x14ac:dyDescent="0.25">
      <c r="P10501" s="216"/>
      <c r="Q10501" s="217"/>
      <c r="R10501" s="217"/>
      <c r="S10501" s="218"/>
    </row>
    <row r="10502" spans="16:19" ht="15" customHeight="1" x14ac:dyDescent="0.25">
      <c r="P10502" s="216"/>
      <c r="Q10502" s="217"/>
      <c r="R10502" s="217"/>
      <c r="S10502" s="218"/>
    </row>
    <row r="10503" spans="16:19" ht="15" customHeight="1" x14ac:dyDescent="0.25">
      <c r="P10503" s="216"/>
      <c r="Q10503" s="217"/>
      <c r="R10503" s="217"/>
      <c r="S10503" s="218"/>
    </row>
    <row r="10504" spans="16:19" ht="15" customHeight="1" x14ac:dyDescent="0.25">
      <c r="P10504" s="216"/>
      <c r="Q10504" s="217"/>
      <c r="R10504" s="217"/>
      <c r="S10504" s="218"/>
    </row>
    <row r="10505" spans="16:19" ht="15" customHeight="1" x14ac:dyDescent="0.25">
      <c r="P10505" s="216"/>
      <c r="Q10505" s="217"/>
      <c r="R10505" s="217"/>
      <c r="S10505" s="218"/>
    </row>
    <row r="10506" spans="16:19" ht="15" customHeight="1" x14ac:dyDescent="0.25">
      <c r="P10506" s="216"/>
      <c r="Q10506" s="217"/>
      <c r="R10506" s="217"/>
      <c r="S10506" s="218"/>
    </row>
    <row r="10507" spans="16:19" ht="15" customHeight="1" x14ac:dyDescent="0.25">
      <c r="P10507" s="216"/>
      <c r="Q10507" s="217"/>
      <c r="R10507" s="217"/>
      <c r="S10507" s="218"/>
    </row>
    <row r="10508" spans="16:19" ht="15" customHeight="1" x14ac:dyDescent="0.25">
      <c r="P10508" s="216"/>
      <c r="Q10508" s="217"/>
      <c r="R10508" s="217"/>
      <c r="S10508" s="218"/>
    </row>
    <row r="10509" spans="16:19" ht="15" customHeight="1" x14ac:dyDescent="0.25">
      <c r="P10509" s="216"/>
      <c r="Q10509" s="217"/>
      <c r="R10509" s="217"/>
      <c r="S10509" s="218"/>
    </row>
    <row r="10510" spans="16:19" ht="15" customHeight="1" x14ac:dyDescent="0.25">
      <c r="P10510" s="216"/>
      <c r="Q10510" s="217"/>
      <c r="R10510" s="217"/>
      <c r="S10510" s="218"/>
    </row>
    <row r="10511" spans="16:19" ht="15" customHeight="1" x14ac:dyDescent="0.25">
      <c r="P10511" s="216"/>
      <c r="Q10511" s="217"/>
      <c r="R10511" s="217"/>
      <c r="S10511" s="218"/>
    </row>
    <row r="10512" spans="16:19" ht="15" customHeight="1" x14ac:dyDescent="0.25">
      <c r="P10512" s="216"/>
      <c r="Q10512" s="217"/>
      <c r="R10512" s="217"/>
      <c r="S10512" s="218"/>
    </row>
    <row r="10513" spans="16:19" ht="15" customHeight="1" x14ac:dyDescent="0.25">
      <c r="P10513" s="216"/>
      <c r="Q10513" s="217"/>
      <c r="R10513" s="217"/>
      <c r="S10513" s="218"/>
    </row>
    <row r="10514" spans="16:19" ht="15" customHeight="1" x14ac:dyDescent="0.25">
      <c r="P10514" s="216"/>
      <c r="Q10514" s="217"/>
      <c r="R10514" s="217"/>
      <c r="S10514" s="218"/>
    </row>
    <row r="10515" spans="16:19" ht="15" customHeight="1" x14ac:dyDescent="0.25">
      <c r="P10515" s="216"/>
      <c r="Q10515" s="217"/>
      <c r="R10515" s="217"/>
      <c r="S10515" s="218"/>
    </row>
    <row r="10516" spans="16:19" ht="15" customHeight="1" x14ac:dyDescent="0.25">
      <c r="P10516" s="216"/>
      <c r="Q10516" s="217"/>
      <c r="R10516" s="217"/>
      <c r="S10516" s="218"/>
    </row>
    <row r="10517" spans="16:19" ht="15" customHeight="1" x14ac:dyDescent="0.25">
      <c r="P10517" s="216"/>
      <c r="Q10517" s="217"/>
      <c r="R10517" s="217"/>
      <c r="S10517" s="218"/>
    </row>
    <row r="10518" spans="16:19" ht="15" customHeight="1" x14ac:dyDescent="0.25">
      <c r="P10518" s="216"/>
      <c r="Q10518" s="217"/>
      <c r="R10518" s="217"/>
      <c r="S10518" s="218"/>
    </row>
    <row r="10519" spans="16:19" ht="15" customHeight="1" x14ac:dyDescent="0.25">
      <c r="P10519" s="216"/>
      <c r="Q10519" s="217"/>
      <c r="R10519" s="217"/>
      <c r="S10519" s="218"/>
    </row>
    <row r="10520" spans="16:19" ht="15" customHeight="1" x14ac:dyDescent="0.25">
      <c r="P10520" s="216"/>
      <c r="Q10520" s="217"/>
      <c r="R10520" s="217"/>
      <c r="S10520" s="218"/>
    </row>
    <row r="10521" spans="16:19" ht="15" customHeight="1" x14ac:dyDescent="0.25">
      <c r="P10521" s="216"/>
      <c r="Q10521" s="217"/>
      <c r="R10521" s="217"/>
      <c r="S10521" s="218"/>
    </row>
    <row r="10522" spans="16:19" ht="15" customHeight="1" x14ac:dyDescent="0.25">
      <c r="P10522" s="216"/>
      <c r="Q10522" s="217"/>
      <c r="R10522" s="217"/>
      <c r="S10522" s="218"/>
    </row>
    <row r="10523" spans="16:19" ht="15" customHeight="1" x14ac:dyDescent="0.25">
      <c r="P10523" s="216"/>
      <c r="Q10523" s="217"/>
      <c r="R10523" s="217"/>
      <c r="S10523" s="218"/>
    </row>
    <row r="10524" spans="16:19" ht="15" customHeight="1" x14ac:dyDescent="0.25">
      <c r="P10524" s="216"/>
      <c r="Q10524" s="217"/>
      <c r="R10524" s="217"/>
      <c r="S10524" s="218"/>
    </row>
    <row r="10525" spans="16:19" ht="15" customHeight="1" x14ac:dyDescent="0.25">
      <c r="P10525" s="216"/>
      <c r="Q10525" s="217"/>
      <c r="R10525" s="217"/>
      <c r="S10525" s="218"/>
    </row>
    <row r="10526" spans="16:19" ht="15" customHeight="1" x14ac:dyDescent="0.25">
      <c r="P10526" s="216"/>
      <c r="Q10526" s="217"/>
      <c r="R10526" s="217"/>
      <c r="S10526" s="218"/>
    </row>
    <row r="10527" spans="16:19" ht="15" customHeight="1" x14ac:dyDescent="0.25">
      <c r="P10527" s="216"/>
      <c r="Q10527" s="217"/>
      <c r="R10527" s="217"/>
      <c r="S10527" s="218"/>
    </row>
    <row r="10528" spans="16:19" ht="15" customHeight="1" x14ac:dyDescent="0.25">
      <c r="P10528" s="216"/>
      <c r="Q10528" s="217"/>
      <c r="R10528" s="217"/>
      <c r="S10528" s="218"/>
    </row>
    <row r="10529" spans="16:19" ht="15" customHeight="1" x14ac:dyDescent="0.25">
      <c r="P10529" s="216"/>
      <c r="Q10529" s="217"/>
      <c r="R10529" s="217"/>
      <c r="S10529" s="218"/>
    </row>
    <row r="10530" spans="16:19" ht="15" customHeight="1" x14ac:dyDescent="0.25">
      <c r="P10530" s="216"/>
      <c r="Q10530" s="217"/>
      <c r="R10530" s="217"/>
      <c r="S10530" s="218"/>
    </row>
    <row r="10531" spans="16:19" ht="15" customHeight="1" x14ac:dyDescent="0.25">
      <c r="P10531" s="216"/>
      <c r="Q10531" s="217"/>
      <c r="R10531" s="217"/>
      <c r="S10531" s="218"/>
    </row>
    <row r="10532" spans="16:19" ht="15" customHeight="1" x14ac:dyDescent="0.25">
      <c r="P10532" s="216"/>
      <c r="Q10532" s="217"/>
      <c r="R10532" s="217"/>
      <c r="S10532" s="218"/>
    </row>
    <row r="10533" spans="16:19" ht="15" customHeight="1" x14ac:dyDescent="0.25">
      <c r="P10533" s="216"/>
      <c r="Q10533" s="217"/>
      <c r="R10533" s="217"/>
      <c r="S10533" s="218"/>
    </row>
    <row r="10534" spans="16:19" ht="15" customHeight="1" x14ac:dyDescent="0.25">
      <c r="P10534" s="216"/>
      <c r="Q10534" s="217"/>
      <c r="R10534" s="217"/>
      <c r="S10534" s="218"/>
    </row>
    <row r="10535" spans="16:19" ht="15" customHeight="1" x14ac:dyDescent="0.25">
      <c r="P10535" s="216"/>
      <c r="Q10535" s="217"/>
      <c r="R10535" s="217"/>
      <c r="S10535" s="218"/>
    </row>
    <row r="10536" spans="16:19" ht="15" customHeight="1" x14ac:dyDescent="0.25">
      <c r="P10536" s="216"/>
      <c r="Q10536" s="217"/>
      <c r="R10536" s="217"/>
      <c r="S10536" s="218"/>
    </row>
    <row r="10537" spans="16:19" ht="15" customHeight="1" x14ac:dyDescent="0.25">
      <c r="P10537" s="216"/>
      <c r="Q10537" s="217"/>
      <c r="R10537" s="217"/>
      <c r="S10537" s="218"/>
    </row>
    <row r="10538" spans="16:19" ht="15" customHeight="1" x14ac:dyDescent="0.25">
      <c r="P10538" s="216"/>
      <c r="Q10538" s="217"/>
      <c r="R10538" s="217"/>
      <c r="S10538" s="218"/>
    </row>
    <row r="10539" spans="16:19" ht="15" customHeight="1" x14ac:dyDescent="0.25">
      <c r="P10539" s="216"/>
      <c r="Q10539" s="217"/>
      <c r="R10539" s="217"/>
      <c r="S10539" s="218"/>
    </row>
    <row r="10540" spans="16:19" ht="15" customHeight="1" x14ac:dyDescent="0.25">
      <c r="P10540" s="216"/>
      <c r="Q10540" s="217"/>
      <c r="R10540" s="217"/>
      <c r="S10540" s="218"/>
    </row>
    <row r="10541" spans="16:19" ht="15" customHeight="1" x14ac:dyDescent="0.25">
      <c r="P10541" s="216"/>
      <c r="Q10541" s="217"/>
      <c r="R10541" s="217"/>
      <c r="S10541" s="218"/>
    </row>
    <row r="10542" spans="16:19" ht="15" customHeight="1" x14ac:dyDescent="0.25">
      <c r="P10542" s="216"/>
      <c r="Q10542" s="217"/>
      <c r="R10542" s="217"/>
      <c r="S10542" s="218"/>
    </row>
    <row r="10543" spans="16:19" ht="15" customHeight="1" x14ac:dyDescent="0.25">
      <c r="P10543" s="216"/>
      <c r="Q10543" s="217"/>
      <c r="R10543" s="217"/>
      <c r="S10543" s="218"/>
    </row>
    <row r="10544" spans="16:19" ht="15" customHeight="1" x14ac:dyDescent="0.25">
      <c r="P10544" s="216"/>
      <c r="Q10544" s="217"/>
      <c r="R10544" s="217"/>
      <c r="S10544" s="218"/>
    </row>
    <row r="10545" spans="16:19" ht="15" customHeight="1" x14ac:dyDescent="0.25">
      <c r="P10545" s="216"/>
      <c r="Q10545" s="217"/>
      <c r="R10545" s="217"/>
      <c r="S10545" s="218"/>
    </row>
    <row r="10546" spans="16:19" ht="15" customHeight="1" x14ac:dyDescent="0.25">
      <c r="P10546" s="216"/>
      <c r="Q10546" s="217"/>
      <c r="R10546" s="217"/>
      <c r="S10546" s="218"/>
    </row>
    <row r="10547" spans="16:19" ht="15" customHeight="1" x14ac:dyDescent="0.25">
      <c r="P10547" s="216"/>
      <c r="Q10547" s="217"/>
      <c r="R10547" s="217"/>
      <c r="S10547" s="218"/>
    </row>
    <row r="10548" spans="16:19" ht="15" customHeight="1" x14ac:dyDescent="0.25">
      <c r="P10548" s="216"/>
      <c r="Q10548" s="217"/>
      <c r="R10548" s="217"/>
      <c r="S10548" s="218"/>
    </row>
    <row r="10549" spans="16:19" ht="15" customHeight="1" x14ac:dyDescent="0.25">
      <c r="P10549" s="216"/>
      <c r="Q10549" s="217"/>
      <c r="R10549" s="217"/>
      <c r="S10549" s="218"/>
    </row>
    <row r="10550" spans="16:19" ht="15" customHeight="1" x14ac:dyDescent="0.25">
      <c r="P10550" s="216"/>
      <c r="Q10550" s="217"/>
      <c r="R10550" s="217"/>
      <c r="S10550" s="218"/>
    </row>
    <row r="10551" spans="16:19" ht="15" customHeight="1" x14ac:dyDescent="0.25">
      <c r="P10551" s="216"/>
      <c r="Q10551" s="217"/>
      <c r="R10551" s="217"/>
      <c r="S10551" s="218"/>
    </row>
    <row r="10552" spans="16:19" ht="15" customHeight="1" x14ac:dyDescent="0.25">
      <c r="P10552" s="216"/>
      <c r="Q10552" s="217"/>
      <c r="R10552" s="217"/>
      <c r="S10552" s="218"/>
    </row>
    <row r="10553" spans="16:19" ht="15" customHeight="1" x14ac:dyDescent="0.25">
      <c r="P10553" s="216"/>
      <c r="Q10553" s="217"/>
      <c r="R10553" s="217"/>
      <c r="S10553" s="218"/>
    </row>
    <row r="10554" spans="16:19" ht="15" customHeight="1" x14ac:dyDescent="0.25">
      <c r="P10554" s="216"/>
      <c r="Q10554" s="217"/>
      <c r="R10554" s="217"/>
      <c r="S10554" s="218"/>
    </row>
    <row r="10555" spans="16:19" ht="15" customHeight="1" x14ac:dyDescent="0.25">
      <c r="P10555" s="216"/>
      <c r="Q10555" s="217"/>
      <c r="R10555" s="217"/>
      <c r="S10555" s="218"/>
    </row>
    <row r="10556" spans="16:19" ht="15" customHeight="1" x14ac:dyDescent="0.25">
      <c r="P10556" s="216"/>
      <c r="Q10556" s="217"/>
      <c r="R10556" s="217"/>
      <c r="S10556" s="218"/>
    </row>
    <row r="10557" spans="16:19" ht="15" customHeight="1" x14ac:dyDescent="0.25">
      <c r="P10557" s="216"/>
      <c r="Q10557" s="217"/>
      <c r="R10557" s="217"/>
      <c r="S10557" s="218"/>
    </row>
    <row r="10558" spans="16:19" ht="15" customHeight="1" x14ac:dyDescent="0.25">
      <c r="P10558" s="216"/>
      <c r="Q10558" s="217"/>
      <c r="R10558" s="217"/>
      <c r="S10558" s="218"/>
    </row>
    <row r="10559" spans="16:19" ht="15" customHeight="1" x14ac:dyDescent="0.25">
      <c r="P10559" s="216"/>
      <c r="Q10559" s="217"/>
      <c r="R10559" s="217"/>
      <c r="S10559" s="218"/>
    </row>
    <row r="10560" spans="16:19" ht="15" customHeight="1" x14ac:dyDescent="0.25">
      <c r="P10560" s="216"/>
      <c r="Q10560" s="217"/>
      <c r="R10560" s="217"/>
      <c r="S10560" s="218"/>
    </row>
    <row r="10561" spans="16:19" ht="15" customHeight="1" x14ac:dyDescent="0.25">
      <c r="P10561" s="216"/>
      <c r="Q10561" s="217"/>
      <c r="R10561" s="217"/>
      <c r="S10561" s="218"/>
    </row>
    <row r="10562" spans="16:19" ht="15" customHeight="1" x14ac:dyDescent="0.25">
      <c r="P10562" s="216"/>
      <c r="Q10562" s="217"/>
      <c r="R10562" s="217"/>
      <c r="S10562" s="218"/>
    </row>
    <row r="10563" spans="16:19" ht="15" customHeight="1" x14ac:dyDescent="0.25">
      <c r="P10563" s="216"/>
      <c r="Q10563" s="217"/>
      <c r="R10563" s="217"/>
      <c r="S10563" s="218"/>
    </row>
    <row r="10564" spans="16:19" ht="15" customHeight="1" x14ac:dyDescent="0.25">
      <c r="P10564" s="216"/>
      <c r="Q10564" s="217"/>
      <c r="R10564" s="217"/>
      <c r="S10564" s="218"/>
    </row>
    <row r="10565" spans="16:19" ht="15" customHeight="1" x14ac:dyDescent="0.25">
      <c r="P10565" s="216"/>
      <c r="Q10565" s="217"/>
      <c r="R10565" s="217"/>
      <c r="S10565" s="218"/>
    </row>
    <row r="10566" spans="16:19" ht="15" customHeight="1" x14ac:dyDescent="0.25">
      <c r="P10566" s="216"/>
      <c r="Q10566" s="217"/>
      <c r="R10566" s="217"/>
      <c r="S10566" s="218"/>
    </row>
    <row r="10567" spans="16:19" ht="15" customHeight="1" x14ac:dyDescent="0.25">
      <c r="P10567" s="216"/>
      <c r="Q10567" s="217"/>
      <c r="R10567" s="217"/>
      <c r="S10567" s="218"/>
    </row>
    <row r="10568" spans="16:19" ht="15" customHeight="1" x14ac:dyDescent="0.25">
      <c r="P10568" s="216"/>
      <c r="Q10568" s="217"/>
      <c r="R10568" s="217"/>
      <c r="S10568" s="218"/>
    </row>
    <row r="10569" spans="16:19" ht="15" customHeight="1" x14ac:dyDescent="0.25">
      <c r="P10569" s="216"/>
      <c r="Q10569" s="217"/>
      <c r="R10569" s="217"/>
      <c r="S10569" s="218"/>
    </row>
    <row r="10570" spans="16:19" ht="15" customHeight="1" x14ac:dyDescent="0.25">
      <c r="P10570" s="216"/>
      <c r="Q10570" s="217"/>
      <c r="R10570" s="217"/>
      <c r="S10570" s="218"/>
    </row>
    <row r="10571" spans="16:19" ht="15" customHeight="1" x14ac:dyDescent="0.25">
      <c r="P10571" s="216"/>
      <c r="Q10571" s="217"/>
      <c r="R10571" s="217"/>
      <c r="S10571" s="218"/>
    </row>
    <row r="10572" spans="16:19" ht="15" customHeight="1" x14ac:dyDescent="0.25">
      <c r="P10572" s="216"/>
      <c r="Q10572" s="217"/>
      <c r="R10572" s="217"/>
      <c r="S10572" s="218"/>
    </row>
    <row r="10573" spans="16:19" ht="15" customHeight="1" x14ac:dyDescent="0.25">
      <c r="P10573" s="216"/>
      <c r="Q10573" s="217"/>
      <c r="R10573" s="217"/>
      <c r="S10573" s="218"/>
    </row>
    <row r="10574" spans="16:19" ht="15" customHeight="1" x14ac:dyDescent="0.25">
      <c r="P10574" s="216"/>
      <c r="Q10574" s="217"/>
      <c r="R10574" s="217"/>
      <c r="S10574" s="218"/>
    </row>
    <row r="10575" spans="16:19" ht="15" customHeight="1" x14ac:dyDescent="0.25">
      <c r="P10575" s="216"/>
      <c r="Q10575" s="217"/>
      <c r="R10575" s="217"/>
      <c r="S10575" s="218"/>
    </row>
    <row r="10576" spans="16:19" ht="15" customHeight="1" x14ac:dyDescent="0.25">
      <c r="P10576" s="216"/>
      <c r="Q10576" s="217"/>
      <c r="R10576" s="217"/>
      <c r="S10576" s="218"/>
    </row>
    <row r="10577" spans="16:19" ht="15" customHeight="1" x14ac:dyDescent="0.25">
      <c r="P10577" s="216"/>
      <c r="Q10577" s="217"/>
      <c r="R10577" s="217"/>
      <c r="S10577" s="218"/>
    </row>
    <row r="10578" spans="16:19" ht="15" customHeight="1" x14ac:dyDescent="0.25">
      <c r="P10578" s="216"/>
      <c r="Q10578" s="217"/>
      <c r="R10578" s="217"/>
      <c r="S10578" s="218"/>
    </row>
    <row r="10579" spans="16:19" ht="15" customHeight="1" x14ac:dyDescent="0.25">
      <c r="P10579" s="216"/>
      <c r="Q10579" s="217"/>
      <c r="R10579" s="217"/>
      <c r="S10579" s="218"/>
    </row>
    <row r="10580" spans="16:19" ht="15" customHeight="1" x14ac:dyDescent="0.25">
      <c r="P10580" s="216"/>
      <c r="Q10580" s="217"/>
      <c r="R10580" s="217"/>
      <c r="S10580" s="218"/>
    </row>
    <row r="10581" spans="16:19" ht="15" customHeight="1" x14ac:dyDescent="0.25">
      <c r="P10581" s="216"/>
      <c r="Q10581" s="217"/>
      <c r="R10581" s="217"/>
      <c r="S10581" s="218"/>
    </row>
    <row r="10582" spans="16:19" ht="15" customHeight="1" x14ac:dyDescent="0.25">
      <c r="P10582" s="216"/>
      <c r="Q10582" s="217"/>
      <c r="R10582" s="217"/>
      <c r="S10582" s="218"/>
    </row>
    <row r="10583" spans="16:19" ht="15" customHeight="1" x14ac:dyDescent="0.25">
      <c r="P10583" s="216"/>
      <c r="Q10583" s="217"/>
      <c r="R10583" s="217"/>
      <c r="S10583" s="218"/>
    </row>
    <row r="10584" spans="16:19" ht="15" customHeight="1" x14ac:dyDescent="0.25">
      <c r="P10584" s="216"/>
      <c r="Q10584" s="217"/>
      <c r="R10584" s="217"/>
      <c r="S10584" s="218"/>
    </row>
    <row r="10585" spans="16:19" ht="15" customHeight="1" x14ac:dyDescent="0.25">
      <c r="P10585" s="216"/>
      <c r="Q10585" s="217"/>
      <c r="R10585" s="217"/>
      <c r="S10585" s="218"/>
    </row>
    <row r="10586" spans="16:19" ht="15" customHeight="1" x14ac:dyDescent="0.25">
      <c r="P10586" s="216"/>
      <c r="Q10586" s="217"/>
      <c r="R10586" s="217"/>
      <c r="S10586" s="218"/>
    </row>
    <row r="10587" spans="16:19" ht="15" customHeight="1" x14ac:dyDescent="0.25">
      <c r="P10587" s="216"/>
      <c r="Q10587" s="217"/>
      <c r="R10587" s="217"/>
      <c r="S10587" s="218"/>
    </row>
    <row r="10588" spans="16:19" ht="15" customHeight="1" x14ac:dyDescent="0.25">
      <c r="P10588" s="216"/>
      <c r="Q10588" s="217"/>
      <c r="R10588" s="217"/>
      <c r="S10588" s="218"/>
    </row>
    <row r="10589" spans="16:19" ht="15" customHeight="1" x14ac:dyDescent="0.25">
      <c r="P10589" s="216"/>
      <c r="Q10589" s="217"/>
      <c r="R10589" s="217"/>
      <c r="S10589" s="218"/>
    </row>
    <row r="10590" spans="16:19" ht="15" customHeight="1" x14ac:dyDescent="0.25">
      <c r="P10590" s="216"/>
      <c r="Q10590" s="217"/>
      <c r="R10590" s="217"/>
      <c r="S10590" s="218"/>
    </row>
    <row r="10591" spans="16:19" ht="15" customHeight="1" x14ac:dyDescent="0.25">
      <c r="P10591" s="216"/>
      <c r="Q10591" s="217"/>
      <c r="R10591" s="217"/>
      <c r="S10591" s="218"/>
    </row>
    <row r="10592" spans="16:19" ht="15" customHeight="1" x14ac:dyDescent="0.25">
      <c r="P10592" s="216"/>
      <c r="Q10592" s="217"/>
      <c r="R10592" s="217"/>
      <c r="S10592" s="218"/>
    </row>
    <row r="10593" spans="16:19" ht="15" customHeight="1" x14ac:dyDescent="0.25">
      <c r="P10593" s="216"/>
      <c r="Q10593" s="217"/>
      <c r="R10593" s="217"/>
      <c r="S10593" s="218"/>
    </row>
    <row r="10594" spans="16:19" ht="15" customHeight="1" x14ac:dyDescent="0.25">
      <c r="P10594" s="216"/>
      <c r="Q10594" s="217"/>
      <c r="R10594" s="217"/>
      <c r="S10594" s="218"/>
    </row>
    <row r="10595" spans="16:19" ht="15" customHeight="1" x14ac:dyDescent="0.25">
      <c r="P10595" s="216"/>
      <c r="Q10595" s="217"/>
      <c r="R10595" s="217"/>
      <c r="S10595" s="218"/>
    </row>
    <row r="10596" spans="16:19" ht="15" customHeight="1" x14ac:dyDescent="0.25">
      <c r="P10596" s="216"/>
      <c r="Q10596" s="217"/>
      <c r="R10596" s="217"/>
      <c r="S10596" s="218"/>
    </row>
    <row r="10597" spans="16:19" ht="15" customHeight="1" x14ac:dyDescent="0.25">
      <c r="P10597" s="216"/>
      <c r="Q10597" s="217"/>
      <c r="R10597" s="217"/>
      <c r="S10597" s="218"/>
    </row>
    <row r="10598" spans="16:19" ht="15" customHeight="1" x14ac:dyDescent="0.25">
      <c r="P10598" s="216"/>
      <c r="Q10598" s="217"/>
      <c r="R10598" s="217"/>
      <c r="S10598" s="218"/>
    </row>
    <row r="10599" spans="16:19" ht="15" customHeight="1" x14ac:dyDescent="0.25">
      <c r="P10599" s="216"/>
      <c r="Q10599" s="217"/>
      <c r="R10599" s="217"/>
      <c r="S10599" s="218"/>
    </row>
    <row r="10600" spans="16:19" ht="15" customHeight="1" x14ac:dyDescent="0.25">
      <c r="P10600" s="216"/>
      <c r="Q10600" s="217"/>
      <c r="R10600" s="217"/>
      <c r="S10600" s="218"/>
    </row>
    <row r="10601" spans="16:19" ht="15" customHeight="1" x14ac:dyDescent="0.25">
      <c r="P10601" s="216"/>
      <c r="Q10601" s="217"/>
      <c r="R10601" s="217"/>
      <c r="S10601" s="218"/>
    </row>
    <row r="10602" spans="16:19" ht="15" customHeight="1" x14ac:dyDescent="0.25">
      <c r="P10602" s="216"/>
      <c r="Q10602" s="217"/>
      <c r="R10602" s="217"/>
      <c r="S10602" s="218"/>
    </row>
    <row r="10603" spans="16:19" ht="15" customHeight="1" x14ac:dyDescent="0.25">
      <c r="P10603" s="216"/>
      <c r="Q10603" s="217"/>
      <c r="R10603" s="217"/>
      <c r="S10603" s="218"/>
    </row>
    <row r="10604" spans="16:19" ht="15" customHeight="1" x14ac:dyDescent="0.25">
      <c r="P10604" s="216"/>
      <c r="Q10604" s="217"/>
      <c r="R10604" s="217"/>
      <c r="S10604" s="218"/>
    </row>
    <row r="10605" spans="16:19" ht="15" customHeight="1" x14ac:dyDescent="0.25">
      <c r="P10605" s="216"/>
      <c r="Q10605" s="217"/>
      <c r="R10605" s="217"/>
      <c r="S10605" s="218"/>
    </row>
    <row r="10606" spans="16:19" ht="15" customHeight="1" x14ac:dyDescent="0.25">
      <c r="P10606" s="216"/>
      <c r="Q10606" s="217"/>
      <c r="R10606" s="217"/>
      <c r="S10606" s="218"/>
    </row>
    <row r="10607" spans="16:19" ht="15" customHeight="1" x14ac:dyDescent="0.25">
      <c r="P10607" s="216"/>
      <c r="Q10607" s="217"/>
      <c r="R10607" s="217"/>
      <c r="S10607" s="218"/>
    </row>
    <row r="10608" spans="16:19" ht="15" customHeight="1" x14ac:dyDescent="0.25">
      <c r="P10608" s="216"/>
      <c r="Q10608" s="217"/>
      <c r="R10608" s="217"/>
      <c r="S10608" s="218"/>
    </row>
    <row r="10609" spans="16:19" ht="15" customHeight="1" x14ac:dyDescent="0.25">
      <c r="P10609" s="216"/>
      <c r="Q10609" s="217"/>
      <c r="R10609" s="217"/>
      <c r="S10609" s="218"/>
    </row>
    <row r="10610" spans="16:19" ht="15" customHeight="1" x14ac:dyDescent="0.25">
      <c r="P10610" s="216"/>
      <c r="Q10610" s="217"/>
      <c r="R10610" s="217"/>
      <c r="S10610" s="218"/>
    </row>
    <row r="10611" spans="16:19" ht="15" customHeight="1" x14ac:dyDescent="0.25">
      <c r="P10611" s="216"/>
      <c r="Q10611" s="217"/>
      <c r="R10611" s="217"/>
      <c r="S10611" s="218"/>
    </row>
    <row r="10612" spans="16:19" ht="15" customHeight="1" x14ac:dyDescent="0.25">
      <c r="P10612" s="216"/>
      <c r="Q10612" s="217"/>
      <c r="R10612" s="217"/>
      <c r="S10612" s="218"/>
    </row>
    <row r="10613" spans="16:19" ht="15" customHeight="1" x14ac:dyDescent="0.25">
      <c r="P10613" s="216"/>
      <c r="Q10613" s="217"/>
      <c r="R10613" s="217"/>
      <c r="S10613" s="218"/>
    </row>
    <row r="10614" spans="16:19" ht="15" customHeight="1" x14ac:dyDescent="0.25">
      <c r="P10614" s="216"/>
      <c r="Q10614" s="217"/>
      <c r="R10614" s="217"/>
      <c r="S10614" s="218"/>
    </row>
    <row r="10615" spans="16:19" ht="15" customHeight="1" x14ac:dyDescent="0.25">
      <c r="P10615" s="216"/>
      <c r="Q10615" s="217"/>
      <c r="R10615" s="217"/>
      <c r="S10615" s="218"/>
    </row>
    <row r="10616" spans="16:19" ht="15" customHeight="1" x14ac:dyDescent="0.25">
      <c r="P10616" s="216"/>
      <c r="Q10616" s="217"/>
      <c r="R10616" s="217"/>
      <c r="S10616" s="218"/>
    </row>
    <row r="10617" spans="16:19" ht="15" customHeight="1" x14ac:dyDescent="0.25">
      <c r="P10617" s="216"/>
      <c r="Q10617" s="217"/>
      <c r="R10617" s="217"/>
      <c r="S10617" s="218"/>
    </row>
    <row r="10618" spans="16:19" ht="15" customHeight="1" x14ac:dyDescent="0.25">
      <c r="P10618" s="216"/>
      <c r="Q10618" s="217"/>
      <c r="R10618" s="217"/>
      <c r="S10618" s="218"/>
    </row>
    <row r="10619" spans="16:19" ht="15" customHeight="1" x14ac:dyDescent="0.25">
      <c r="P10619" s="216"/>
      <c r="Q10619" s="217"/>
      <c r="R10619" s="217"/>
      <c r="S10619" s="218"/>
    </row>
    <row r="10620" spans="16:19" ht="15" customHeight="1" x14ac:dyDescent="0.25">
      <c r="P10620" s="216"/>
      <c r="Q10620" s="217"/>
      <c r="R10620" s="217"/>
      <c r="S10620" s="218"/>
    </row>
    <row r="10621" spans="16:19" ht="15" customHeight="1" x14ac:dyDescent="0.25">
      <c r="P10621" s="216"/>
      <c r="Q10621" s="217"/>
      <c r="R10621" s="217"/>
      <c r="S10621" s="218"/>
    </row>
    <row r="10622" spans="16:19" ht="15" customHeight="1" x14ac:dyDescent="0.25">
      <c r="P10622" s="216"/>
      <c r="Q10622" s="217"/>
      <c r="R10622" s="217"/>
      <c r="S10622" s="218"/>
    </row>
    <row r="10623" spans="16:19" ht="15" customHeight="1" x14ac:dyDescent="0.25">
      <c r="P10623" s="216"/>
      <c r="Q10623" s="217"/>
      <c r="R10623" s="217"/>
      <c r="S10623" s="218"/>
    </row>
    <row r="10624" spans="16:19" ht="15" customHeight="1" x14ac:dyDescent="0.25">
      <c r="P10624" s="216"/>
      <c r="Q10624" s="217"/>
      <c r="R10624" s="217"/>
      <c r="S10624" s="218"/>
    </row>
    <row r="10625" spans="16:19" ht="15" customHeight="1" x14ac:dyDescent="0.25">
      <c r="P10625" s="216"/>
      <c r="Q10625" s="217"/>
      <c r="R10625" s="217"/>
      <c r="S10625" s="218"/>
    </row>
    <row r="10626" spans="16:19" ht="15" customHeight="1" x14ac:dyDescent="0.25">
      <c r="P10626" s="216"/>
      <c r="Q10626" s="217"/>
      <c r="R10626" s="217"/>
      <c r="S10626" s="218"/>
    </row>
    <row r="10627" spans="16:19" ht="15" customHeight="1" x14ac:dyDescent="0.25">
      <c r="P10627" s="216"/>
      <c r="Q10627" s="217"/>
      <c r="R10627" s="217"/>
      <c r="S10627" s="218"/>
    </row>
    <row r="10628" spans="16:19" ht="15" customHeight="1" x14ac:dyDescent="0.25">
      <c r="P10628" s="216"/>
      <c r="Q10628" s="217"/>
      <c r="R10628" s="217"/>
      <c r="S10628" s="218"/>
    </row>
    <row r="10629" spans="16:19" ht="15" customHeight="1" x14ac:dyDescent="0.25">
      <c r="P10629" s="216"/>
      <c r="Q10629" s="217"/>
      <c r="R10629" s="217"/>
      <c r="S10629" s="218"/>
    </row>
    <row r="10630" spans="16:19" ht="15" customHeight="1" x14ac:dyDescent="0.25">
      <c r="P10630" s="216"/>
      <c r="Q10630" s="217"/>
      <c r="R10630" s="217"/>
      <c r="S10630" s="218"/>
    </row>
    <row r="10631" spans="16:19" ht="15" customHeight="1" x14ac:dyDescent="0.25">
      <c r="P10631" s="216"/>
      <c r="Q10631" s="217"/>
      <c r="R10631" s="217"/>
      <c r="S10631" s="218"/>
    </row>
    <row r="10632" spans="16:19" ht="15" customHeight="1" x14ac:dyDescent="0.25">
      <c r="P10632" s="216"/>
      <c r="Q10632" s="217"/>
      <c r="R10632" s="217"/>
      <c r="S10632" s="218"/>
    </row>
    <row r="10633" spans="16:19" ht="15" customHeight="1" x14ac:dyDescent="0.25">
      <c r="P10633" s="216"/>
      <c r="Q10633" s="217"/>
      <c r="R10633" s="217"/>
      <c r="S10633" s="218"/>
    </row>
    <row r="10634" spans="16:19" ht="15" customHeight="1" x14ac:dyDescent="0.25">
      <c r="P10634" s="216"/>
      <c r="Q10634" s="217"/>
      <c r="R10634" s="217"/>
      <c r="S10634" s="218"/>
    </row>
    <row r="10635" spans="16:19" ht="15" customHeight="1" x14ac:dyDescent="0.25">
      <c r="P10635" s="216"/>
      <c r="Q10635" s="217"/>
      <c r="R10635" s="217"/>
      <c r="S10635" s="218"/>
    </row>
    <row r="10636" spans="16:19" ht="15" customHeight="1" x14ac:dyDescent="0.25">
      <c r="P10636" s="216"/>
      <c r="Q10636" s="217"/>
      <c r="R10636" s="217"/>
      <c r="S10636" s="218"/>
    </row>
    <row r="10637" spans="16:19" ht="15" customHeight="1" x14ac:dyDescent="0.25">
      <c r="P10637" s="216"/>
      <c r="Q10637" s="217"/>
      <c r="R10637" s="217"/>
      <c r="S10637" s="218"/>
    </row>
    <row r="10638" spans="16:19" ht="15" customHeight="1" x14ac:dyDescent="0.25">
      <c r="P10638" s="216"/>
      <c r="Q10638" s="217"/>
      <c r="R10638" s="217"/>
      <c r="S10638" s="218"/>
    </row>
    <row r="10639" spans="16:19" ht="15" customHeight="1" x14ac:dyDescent="0.25">
      <c r="P10639" s="216"/>
      <c r="Q10639" s="217"/>
      <c r="R10639" s="217"/>
      <c r="S10639" s="218"/>
    </row>
    <row r="10640" spans="16:19" ht="15" customHeight="1" x14ac:dyDescent="0.25">
      <c r="P10640" s="216"/>
      <c r="Q10640" s="217"/>
      <c r="R10640" s="217"/>
      <c r="S10640" s="218"/>
    </row>
    <row r="10641" spans="16:19" ht="15" customHeight="1" x14ac:dyDescent="0.25">
      <c r="P10641" s="216"/>
      <c r="Q10641" s="217"/>
      <c r="R10641" s="217"/>
      <c r="S10641" s="218"/>
    </row>
    <row r="10642" spans="16:19" ht="15" customHeight="1" x14ac:dyDescent="0.25">
      <c r="P10642" s="216"/>
      <c r="Q10642" s="217"/>
      <c r="R10642" s="217"/>
      <c r="S10642" s="218"/>
    </row>
    <row r="10643" spans="16:19" ht="15" customHeight="1" x14ac:dyDescent="0.25">
      <c r="P10643" s="216"/>
      <c r="Q10643" s="217"/>
      <c r="R10643" s="217"/>
      <c r="S10643" s="218"/>
    </row>
    <row r="10644" spans="16:19" ht="15" customHeight="1" x14ac:dyDescent="0.25">
      <c r="P10644" s="216"/>
      <c r="Q10644" s="217"/>
      <c r="R10644" s="217"/>
      <c r="S10644" s="218"/>
    </row>
    <row r="10645" spans="16:19" ht="15" customHeight="1" x14ac:dyDescent="0.25">
      <c r="P10645" s="216"/>
      <c r="Q10645" s="217"/>
      <c r="R10645" s="217"/>
      <c r="S10645" s="218"/>
    </row>
    <row r="10646" spans="16:19" ht="15" customHeight="1" x14ac:dyDescent="0.25">
      <c r="P10646" s="216"/>
      <c r="Q10646" s="217"/>
      <c r="R10646" s="217"/>
      <c r="S10646" s="218"/>
    </row>
    <row r="10647" spans="16:19" ht="15" customHeight="1" x14ac:dyDescent="0.25">
      <c r="P10647" s="216"/>
      <c r="Q10647" s="217"/>
      <c r="R10647" s="217"/>
      <c r="S10647" s="218"/>
    </row>
    <row r="10648" spans="16:19" ht="15" customHeight="1" x14ac:dyDescent="0.25">
      <c r="P10648" s="216"/>
      <c r="Q10648" s="217"/>
      <c r="R10648" s="217"/>
      <c r="S10648" s="218"/>
    </row>
    <row r="10649" spans="16:19" ht="15" customHeight="1" x14ac:dyDescent="0.25">
      <c r="P10649" s="216"/>
      <c r="Q10649" s="217"/>
      <c r="R10649" s="217"/>
      <c r="S10649" s="218"/>
    </row>
    <row r="10650" spans="16:19" ht="15" customHeight="1" x14ac:dyDescent="0.25">
      <c r="P10650" s="216"/>
      <c r="Q10650" s="217"/>
      <c r="R10650" s="217"/>
      <c r="S10650" s="218"/>
    </row>
    <row r="10651" spans="16:19" ht="15" customHeight="1" x14ac:dyDescent="0.25">
      <c r="P10651" s="216"/>
      <c r="Q10651" s="217"/>
      <c r="R10651" s="217"/>
      <c r="S10651" s="218"/>
    </row>
    <row r="10652" spans="16:19" ht="15" customHeight="1" x14ac:dyDescent="0.25">
      <c r="P10652" s="216"/>
      <c r="Q10652" s="217"/>
      <c r="R10652" s="217"/>
      <c r="S10652" s="218"/>
    </row>
    <row r="10653" spans="16:19" ht="15" customHeight="1" x14ac:dyDescent="0.25">
      <c r="P10653" s="216"/>
      <c r="Q10653" s="217"/>
      <c r="R10653" s="217"/>
      <c r="S10653" s="218"/>
    </row>
    <row r="10654" spans="16:19" ht="15" customHeight="1" x14ac:dyDescent="0.25">
      <c r="P10654" s="216"/>
      <c r="Q10654" s="217"/>
      <c r="R10654" s="217"/>
      <c r="S10654" s="218"/>
    </row>
    <row r="10655" spans="16:19" ht="15" customHeight="1" x14ac:dyDescent="0.25">
      <c r="P10655" s="216"/>
      <c r="Q10655" s="217"/>
      <c r="R10655" s="217"/>
      <c r="S10655" s="218"/>
    </row>
    <row r="10656" spans="16:19" ht="15" customHeight="1" x14ac:dyDescent="0.25">
      <c r="P10656" s="216"/>
      <c r="Q10656" s="217"/>
      <c r="R10656" s="217"/>
      <c r="S10656" s="218"/>
    </row>
    <row r="10657" spans="16:19" ht="15" customHeight="1" x14ac:dyDescent="0.25">
      <c r="P10657" s="216"/>
      <c r="Q10657" s="217"/>
      <c r="R10657" s="217"/>
      <c r="S10657" s="218"/>
    </row>
    <row r="10658" spans="16:19" ht="15" customHeight="1" x14ac:dyDescent="0.25">
      <c r="P10658" s="216"/>
      <c r="Q10658" s="217"/>
      <c r="R10658" s="217"/>
      <c r="S10658" s="218"/>
    </row>
    <row r="10659" spans="16:19" ht="15" customHeight="1" x14ac:dyDescent="0.25">
      <c r="P10659" s="216"/>
      <c r="Q10659" s="217"/>
      <c r="R10659" s="217"/>
      <c r="S10659" s="218"/>
    </row>
    <row r="10660" spans="16:19" ht="15" customHeight="1" x14ac:dyDescent="0.25">
      <c r="P10660" s="216"/>
      <c r="Q10660" s="217"/>
      <c r="R10660" s="217"/>
      <c r="S10660" s="218"/>
    </row>
    <row r="10661" spans="16:19" ht="15" customHeight="1" x14ac:dyDescent="0.25">
      <c r="P10661" s="216"/>
      <c r="Q10661" s="217"/>
      <c r="R10661" s="217"/>
      <c r="S10661" s="218"/>
    </row>
    <row r="10662" spans="16:19" ht="15" customHeight="1" x14ac:dyDescent="0.25">
      <c r="P10662" s="216"/>
      <c r="Q10662" s="217"/>
      <c r="R10662" s="217"/>
      <c r="S10662" s="218"/>
    </row>
    <row r="10663" spans="16:19" ht="15" customHeight="1" x14ac:dyDescent="0.25">
      <c r="P10663" s="216"/>
      <c r="Q10663" s="217"/>
      <c r="R10663" s="217"/>
      <c r="S10663" s="218"/>
    </row>
    <row r="10664" spans="16:19" ht="15" customHeight="1" x14ac:dyDescent="0.25">
      <c r="P10664" s="216"/>
      <c r="Q10664" s="217"/>
      <c r="R10664" s="217"/>
      <c r="S10664" s="218"/>
    </row>
    <row r="10665" spans="16:19" ht="15" customHeight="1" x14ac:dyDescent="0.25">
      <c r="P10665" s="216"/>
      <c r="Q10665" s="217"/>
      <c r="R10665" s="217"/>
      <c r="S10665" s="218"/>
    </row>
    <row r="10666" spans="16:19" ht="15" customHeight="1" x14ac:dyDescent="0.25">
      <c r="P10666" s="216"/>
      <c r="Q10666" s="217"/>
      <c r="R10666" s="217"/>
      <c r="S10666" s="218"/>
    </row>
    <row r="10667" spans="16:19" ht="15" customHeight="1" x14ac:dyDescent="0.25">
      <c r="P10667" s="216"/>
      <c r="Q10667" s="217"/>
      <c r="R10667" s="217"/>
      <c r="S10667" s="218"/>
    </row>
    <row r="10668" spans="16:19" ht="15" customHeight="1" x14ac:dyDescent="0.25">
      <c r="P10668" s="216"/>
      <c r="Q10668" s="217"/>
      <c r="R10668" s="217"/>
      <c r="S10668" s="218"/>
    </row>
    <row r="10669" spans="16:19" ht="15" customHeight="1" x14ac:dyDescent="0.25">
      <c r="P10669" s="216"/>
      <c r="Q10669" s="217"/>
      <c r="R10669" s="217"/>
      <c r="S10669" s="218"/>
    </row>
    <row r="10670" spans="16:19" ht="15" customHeight="1" x14ac:dyDescent="0.25">
      <c r="P10670" s="216"/>
      <c r="Q10670" s="217"/>
      <c r="R10670" s="217"/>
      <c r="S10670" s="218"/>
    </row>
    <row r="10671" spans="16:19" ht="15" customHeight="1" x14ac:dyDescent="0.25">
      <c r="P10671" s="216"/>
      <c r="Q10671" s="217"/>
      <c r="R10671" s="217"/>
      <c r="S10671" s="218"/>
    </row>
    <row r="10672" spans="16:19" ht="15" customHeight="1" x14ac:dyDescent="0.25">
      <c r="P10672" s="216"/>
      <c r="Q10672" s="217"/>
      <c r="R10672" s="217"/>
      <c r="S10672" s="218"/>
    </row>
    <row r="10673" spans="16:19" ht="15" customHeight="1" x14ac:dyDescent="0.25">
      <c r="P10673" s="216"/>
      <c r="Q10673" s="217"/>
      <c r="R10673" s="217"/>
      <c r="S10673" s="218"/>
    </row>
    <row r="10674" spans="16:19" ht="15" customHeight="1" x14ac:dyDescent="0.25">
      <c r="P10674" s="216"/>
      <c r="Q10674" s="217"/>
      <c r="R10674" s="217"/>
      <c r="S10674" s="218"/>
    </row>
    <row r="10675" spans="16:19" ht="15" customHeight="1" x14ac:dyDescent="0.25">
      <c r="P10675" s="216"/>
      <c r="Q10675" s="217"/>
      <c r="R10675" s="217"/>
      <c r="S10675" s="218"/>
    </row>
    <row r="10676" spans="16:19" ht="15" customHeight="1" x14ac:dyDescent="0.25">
      <c r="P10676" s="216"/>
      <c r="Q10676" s="217"/>
      <c r="R10676" s="217"/>
      <c r="S10676" s="218"/>
    </row>
    <row r="10677" spans="16:19" ht="15" customHeight="1" x14ac:dyDescent="0.25">
      <c r="P10677" s="216"/>
      <c r="Q10677" s="217"/>
      <c r="R10677" s="217"/>
      <c r="S10677" s="218"/>
    </row>
    <row r="10678" spans="16:19" ht="15" customHeight="1" x14ac:dyDescent="0.25">
      <c r="P10678" s="216"/>
      <c r="Q10678" s="217"/>
      <c r="R10678" s="217"/>
      <c r="S10678" s="218"/>
    </row>
    <row r="10679" spans="16:19" ht="15" customHeight="1" x14ac:dyDescent="0.25">
      <c r="P10679" s="216"/>
      <c r="Q10679" s="217"/>
      <c r="R10679" s="217"/>
      <c r="S10679" s="218"/>
    </row>
    <row r="10680" spans="16:19" ht="15" customHeight="1" x14ac:dyDescent="0.25">
      <c r="P10680" s="216"/>
      <c r="Q10680" s="217"/>
      <c r="R10680" s="217"/>
      <c r="S10680" s="218"/>
    </row>
    <row r="10681" spans="16:19" ht="15" customHeight="1" x14ac:dyDescent="0.25">
      <c r="P10681" s="216"/>
      <c r="Q10681" s="217"/>
      <c r="R10681" s="217"/>
      <c r="S10681" s="218"/>
    </row>
    <row r="10682" spans="16:19" ht="15" customHeight="1" x14ac:dyDescent="0.25">
      <c r="P10682" s="216"/>
      <c r="Q10682" s="217"/>
      <c r="R10682" s="217"/>
      <c r="S10682" s="218"/>
    </row>
    <row r="10683" spans="16:19" ht="15" customHeight="1" x14ac:dyDescent="0.25">
      <c r="P10683" s="216"/>
      <c r="Q10683" s="217"/>
      <c r="R10683" s="217"/>
      <c r="S10683" s="218"/>
    </row>
    <row r="10684" spans="16:19" ht="15" customHeight="1" x14ac:dyDescent="0.25">
      <c r="P10684" s="216"/>
      <c r="Q10684" s="217"/>
      <c r="R10684" s="217"/>
      <c r="S10684" s="218"/>
    </row>
    <row r="10685" spans="16:19" ht="15" customHeight="1" x14ac:dyDescent="0.25">
      <c r="P10685" s="216"/>
      <c r="Q10685" s="217"/>
      <c r="R10685" s="217"/>
      <c r="S10685" s="218"/>
    </row>
    <row r="10686" spans="16:19" ht="15" customHeight="1" x14ac:dyDescent="0.25">
      <c r="P10686" s="216"/>
      <c r="Q10686" s="217"/>
      <c r="R10686" s="217"/>
      <c r="S10686" s="218"/>
    </row>
    <row r="10687" spans="16:19" ht="15" customHeight="1" x14ac:dyDescent="0.25">
      <c r="P10687" s="216"/>
      <c r="Q10687" s="217"/>
      <c r="R10687" s="217"/>
      <c r="S10687" s="218"/>
    </row>
    <row r="10688" spans="16:19" ht="15" customHeight="1" x14ac:dyDescent="0.25">
      <c r="P10688" s="216"/>
      <c r="Q10688" s="217"/>
      <c r="R10688" s="217"/>
      <c r="S10688" s="218"/>
    </row>
    <row r="10689" spans="16:19" ht="15" customHeight="1" x14ac:dyDescent="0.25">
      <c r="P10689" s="216"/>
      <c r="Q10689" s="217"/>
      <c r="R10689" s="217"/>
      <c r="S10689" s="218"/>
    </row>
    <row r="10690" spans="16:19" ht="15" customHeight="1" x14ac:dyDescent="0.25">
      <c r="P10690" s="216"/>
      <c r="Q10690" s="217"/>
      <c r="R10690" s="217"/>
      <c r="S10690" s="218"/>
    </row>
    <row r="10691" spans="16:19" ht="15" customHeight="1" x14ac:dyDescent="0.25">
      <c r="P10691" s="216"/>
      <c r="Q10691" s="217"/>
      <c r="R10691" s="217"/>
      <c r="S10691" s="218"/>
    </row>
    <row r="10692" spans="16:19" ht="15" customHeight="1" x14ac:dyDescent="0.25">
      <c r="P10692" s="216"/>
      <c r="Q10692" s="217"/>
      <c r="R10692" s="217"/>
      <c r="S10692" s="218"/>
    </row>
    <row r="10693" spans="16:19" ht="15" customHeight="1" x14ac:dyDescent="0.25">
      <c r="P10693" s="216"/>
      <c r="Q10693" s="217"/>
      <c r="R10693" s="217"/>
      <c r="S10693" s="218"/>
    </row>
    <row r="10694" spans="16:19" ht="15" customHeight="1" x14ac:dyDescent="0.25">
      <c r="P10694" s="216"/>
      <c r="Q10694" s="217"/>
      <c r="R10694" s="217"/>
      <c r="S10694" s="218"/>
    </row>
    <row r="10695" spans="16:19" ht="15" customHeight="1" x14ac:dyDescent="0.25">
      <c r="P10695" s="216"/>
      <c r="Q10695" s="217"/>
      <c r="R10695" s="217"/>
      <c r="S10695" s="218"/>
    </row>
    <row r="10696" spans="16:19" ht="15" customHeight="1" x14ac:dyDescent="0.25">
      <c r="P10696" s="216"/>
      <c r="Q10696" s="217"/>
      <c r="R10696" s="217"/>
      <c r="S10696" s="218"/>
    </row>
    <row r="10697" spans="16:19" ht="15" customHeight="1" x14ac:dyDescent="0.25">
      <c r="P10697" s="216"/>
      <c r="Q10697" s="217"/>
      <c r="R10697" s="217"/>
      <c r="S10697" s="218"/>
    </row>
    <row r="10698" spans="16:19" ht="15" customHeight="1" x14ac:dyDescent="0.25">
      <c r="P10698" s="216"/>
      <c r="Q10698" s="217"/>
      <c r="R10698" s="217"/>
      <c r="S10698" s="218"/>
    </row>
    <row r="10699" spans="16:19" ht="15" customHeight="1" x14ac:dyDescent="0.25">
      <c r="P10699" s="216"/>
      <c r="Q10699" s="217"/>
      <c r="R10699" s="217"/>
      <c r="S10699" s="218"/>
    </row>
    <row r="10700" spans="16:19" ht="15" customHeight="1" x14ac:dyDescent="0.25">
      <c r="P10700" s="216"/>
      <c r="Q10700" s="217"/>
      <c r="R10700" s="217"/>
      <c r="S10700" s="218"/>
    </row>
    <row r="10701" spans="16:19" ht="15" customHeight="1" x14ac:dyDescent="0.25">
      <c r="P10701" s="216"/>
      <c r="Q10701" s="217"/>
      <c r="R10701" s="217"/>
      <c r="S10701" s="218"/>
    </row>
    <row r="10702" spans="16:19" ht="15" customHeight="1" x14ac:dyDescent="0.25">
      <c r="P10702" s="216"/>
      <c r="Q10702" s="217"/>
      <c r="R10702" s="217"/>
      <c r="S10702" s="218"/>
    </row>
    <row r="10703" spans="16:19" ht="15" customHeight="1" x14ac:dyDescent="0.25">
      <c r="P10703" s="216"/>
      <c r="Q10703" s="217"/>
      <c r="R10703" s="217"/>
      <c r="S10703" s="218"/>
    </row>
    <row r="10704" spans="16:19" ht="15" customHeight="1" x14ac:dyDescent="0.25">
      <c r="P10704" s="216"/>
      <c r="Q10704" s="217"/>
      <c r="R10704" s="217"/>
      <c r="S10704" s="218"/>
    </row>
    <row r="10705" spans="16:19" ht="15" customHeight="1" x14ac:dyDescent="0.25">
      <c r="P10705" s="216"/>
      <c r="Q10705" s="217"/>
      <c r="R10705" s="217"/>
      <c r="S10705" s="218"/>
    </row>
    <row r="10706" spans="16:19" ht="15" customHeight="1" x14ac:dyDescent="0.25">
      <c r="P10706" s="216"/>
      <c r="Q10706" s="217"/>
      <c r="R10706" s="217"/>
      <c r="S10706" s="218"/>
    </row>
    <row r="10707" spans="16:19" ht="15" customHeight="1" x14ac:dyDescent="0.25">
      <c r="P10707" s="216"/>
      <c r="Q10707" s="217"/>
      <c r="R10707" s="217"/>
      <c r="S10707" s="218"/>
    </row>
    <row r="10708" spans="16:19" ht="15" customHeight="1" x14ac:dyDescent="0.25">
      <c r="P10708" s="216"/>
      <c r="Q10708" s="217"/>
      <c r="R10708" s="217"/>
      <c r="S10708" s="218"/>
    </row>
    <row r="10709" spans="16:19" ht="15" customHeight="1" x14ac:dyDescent="0.25">
      <c r="P10709" s="216"/>
      <c r="Q10709" s="217"/>
      <c r="R10709" s="217"/>
      <c r="S10709" s="218"/>
    </row>
    <row r="10710" spans="16:19" ht="15" customHeight="1" x14ac:dyDescent="0.25">
      <c r="P10710" s="216"/>
      <c r="Q10710" s="217"/>
      <c r="R10710" s="217"/>
      <c r="S10710" s="218"/>
    </row>
    <row r="10711" spans="16:19" ht="15" customHeight="1" x14ac:dyDescent="0.25">
      <c r="P10711" s="216"/>
      <c r="Q10711" s="217"/>
      <c r="R10711" s="217"/>
      <c r="S10711" s="218"/>
    </row>
    <row r="10712" spans="16:19" ht="15" customHeight="1" x14ac:dyDescent="0.25">
      <c r="P10712" s="216"/>
      <c r="Q10712" s="217"/>
      <c r="R10712" s="217"/>
      <c r="S10712" s="218"/>
    </row>
    <row r="10713" spans="16:19" ht="15" customHeight="1" x14ac:dyDescent="0.25">
      <c r="P10713" s="216"/>
      <c r="Q10713" s="217"/>
      <c r="R10713" s="217"/>
      <c r="S10713" s="218"/>
    </row>
    <row r="10714" spans="16:19" ht="15" customHeight="1" x14ac:dyDescent="0.25">
      <c r="P10714" s="216"/>
      <c r="Q10714" s="217"/>
      <c r="R10714" s="217"/>
      <c r="S10714" s="218"/>
    </row>
    <row r="10715" spans="16:19" ht="15" customHeight="1" x14ac:dyDescent="0.25">
      <c r="P10715" s="216"/>
      <c r="Q10715" s="217"/>
      <c r="R10715" s="217"/>
      <c r="S10715" s="218"/>
    </row>
    <row r="10716" spans="16:19" ht="15" customHeight="1" x14ac:dyDescent="0.25">
      <c r="P10716" s="216"/>
      <c r="Q10716" s="217"/>
      <c r="R10716" s="217"/>
      <c r="S10716" s="218"/>
    </row>
    <row r="10717" spans="16:19" ht="15" customHeight="1" x14ac:dyDescent="0.25">
      <c r="P10717" s="216"/>
      <c r="Q10717" s="217"/>
      <c r="R10717" s="217"/>
      <c r="S10717" s="218"/>
    </row>
    <row r="10718" spans="16:19" ht="15" customHeight="1" x14ac:dyDescent="0.25">
      <c r="P10718" s="216"/>
      <c r="Q10718" s="217"/>
      <c r="R10718" s="217"/>
      <c r="S10718" s="218"/>
    </row>
    <row r="10719" spans="16:19" ht="15" customHeight="1" x14ac:dyDescent="0.25">
      <c r="P10719" s="216"/>
      <c r="Q10719" s="217"/>
      <c r="R10719" s="217"/>
      <c r="S10719" s="218"/>
    </row>
    <row r="10720" spans="16:19" ht="15" customHeight="1" x14ac:dyDescent="0.25">
      <c r="P10720" s="216"/>
      <c r="Q10720" s="217"/>
      <c r="R10720" s="217"/>
      <c r="S10720" s="218"/>
    </row>
    <row r="10721" spans="16:19" ht="15" customHeight="1" x14ac:dyDescent="0.25">
      <c r="P10721" s="216"/>
      <c r="Q10721" s="217"/>
      <c r="R10721" s="217"/>
      <c r="S10721" s="218"/>
    </row>
    <row r="10722" spans="16:19" ht="15" customHeight="1" x14ac:dyDescent="0.25">
      <c r="P10722" s="216"/>
      <c r="Q10722" s="217"/>
      <c r="R10722" s="217"/>
      <c r="S10722" s="218"/>
    </row>
    <row r="10723" spans="16:19" ht="15" customHeight="1" x14ac:dyDescent="0.25">
      <c r="P10723" s="216"/>
      <c r="Q10723" s="217"/>
      <c r="R10723" s="217"/>
      <c r="S10723" s="218"/>
    </row>
    <row r="10724" spans="16:19" ht="15" customHeight="1" x14ac:dyDescent="0.25">
      <c r="P10724" s="216"/>
      <c r="Q10724" s="217"/>
      <c r="R10724" s="217"/>
      <c r="S10724" s="218"/>
    </row>
    <row r="10725" spans="16:19" ht="15" customHeight="1" x14ac:dyDescent="0.25">
      <c r="P10725" s="216"/>
      <c r="Q10725" s="217"/>
      <c r="R10725" s="217"/>
      <c r="S10725" s="218"/>
    </row>
    <row r="10726" spans="16:19" ht="15" customHeight="1" x14ac:dyDescent="0.25">
      <c r="P10726" s="216"/>
      <c r="Q10726" s="217"/>
      <c r="R10726" s="217"/>
      <c r="S10726" s="218"/>
    </row>
    <row r="10727" spans="16:19" ht="15" customHeight="1" x14ac:dyDescent="0.25">
      <c r="P10727" s="216"/>
      <c r="Q10727" s="217"/>
      <c r="R10727" s="217"/>
      <c r="S10727" s="218"/>
    </row>
    <row r="10728" spans="16:19" ht="15" customHeight="1" x14ac:dyDescent="0.25">
      <c r="P10728" s="216"/>
      <c r="Q10728" s="217"/>
      <c r="R10728" s="217"/>
      <c r="S10728" s="218"/>
    </row>
    <row r="10729" spans="16:19" ht="15" customHeight="1" x14ac:dyDescent="0.25">
      <c r="P10729" s="216"/>
      <c r="Q10729" s="217"/>
      <c r="R10729" s="217"/>
      <c r="S10729" s="218"/>
    </row>
    <row r="10730" spans="16:19" ht="15" customHeight="1" x14ac:dyDescent="0.25">
      <c r="P10730" s="216"/>
      <c r="Q10730" s="217"/>
      <c r="R10730" s="217"/>
      <c r="S10730" s="218"/>
    </row>
    <row r="10731" spans="16:19" ht="15" customHeight="1" x14ac:dyDescent="0.25">
      <c r="P10731" s="216"/>
      <c r="Q10731" s="217"/>
      <c r="R10731" s="217"/>
      <c r="S10731" s="218"/>
    </row>
    <row r="10732" spans="16:19" ht="15" customHeight="1" x14ac:dyDescent="0.25">
      <c r="P10732" s="216"/>
      <c r="Q10732" s="217"/>
      <c r="R10732" s="217"/>
      <c r="S10732" s="218"/>
    </row>
    <row r="10733" spans="16:19" ht="15" customHeight="1" x14ac:dyDescent="0.25">
      <c r="P10733" s="216"/>
      <c r="Q10733" s="217"/>
      <c r="R10733" s="217"/>
      <c r="S10733" s="218"/>
    </row>
    <row r="10734" spans="16:19" ht="15" customHeight="1" x14ac:dyDescent="0.25">
      <c r="P10734" s="216"/>
      <c r="Q10734" s="217"/>
      <c r="R10734" s="217"/>
      <c r="S10734" s="218"/>
    </row>
    <row r="10735" spans="16:19" ht="15" customHeight="1" x14ac:dyDescent="0.25">
      <c r="P10735" s="216"/>
      <c r="Q10735" s="217"/>
      <c r="R10735" s="217"/>
      <c r="S10735" s="218"/>
    </row>
    <row r="10736" spans="16:19" ht="15" customHeight="1" x14ac:dyDescent="0.25">
      <c r="P10736" s="216"/>
      <c r="Q10736" s="217"/>
      <c r="R10736" s="217"/>
      <c r="S10736" s="218"/>
    </row>
    <row r="10737" spans="16:19" ht="15" customHeight="1" x14ac:dyDescent="0.25">
      <c r="P10737" s="216"/>
      <c r="Q10737" s="217"/>
      <c r="R10737" s="217"/>
      <c r="S10737" s="218"/>
    </row>
    <row r="10738" spans="16:19" ht="15" customHeight="1" x14ac:dyDescent="0.25">
      <c r="P10738" s="216"/>
      <c r="Q10738" s="217"/>
      <c r="R10738" s="217"/>
      <c r="S10738" s="218"/>
    </row>
    <row r="10739" spans="16:19" ht="15" customHeight="1" x14ac:dyDescent="0.25">
      <c r="P10739" s="216"/>
      <c r="Q10739" s="217"/>
      <c r="R10739" s="217"/>
      <c r="S10739" s="218"/>
    </row>
    <row r="10740" spans="16:19" ht="15" customHeight="1" x14ac:dyDescent="0.25">
      <c r="P10740" s="216"/>
      <c r="Q10740" s="217"/>
      <c r="R10740" s="217"/>
      <c r="S10740" s="218"/>
    </row>
    <row r="10741" spans="16:19" ht="15" customHeight="1" x14ac:dyDescent="0.25">
      <c r="P10741" s="216"/>
      <c r="Q10741" s="217"/>
      <c r="R10741" s="217"/>
      <c r="S10741" s="218"/>
    </row>
    <row r="10742" spans="16:19" ht="15" customHeight="1" x14ac:dyDescent="0.25">
      <c r="P10742" s="216"/>
      <c r="Q10742" s="217"/>
      <c r="R10742" s="217"/>
      <c r="S10742" s="218"/>
    </row>
    <row r="10743" spans="16:19" ht="15" customHeight="1" x14ac:dyDescent="0.25">
      <c r="P10743" s="216"/>
      <c r="Q10743" s="217"/>
      <c r="R10743" s="217"/>
      <c r="S10743" s="218"/>
    </row>
    <row r="10744" spans="16:19" ht="15" customHeight="1" x14ac:dyDescent="0.25">
      <c r="P10744" s="216"/>
      <c r="Q10744" s="217"/>
      <c r="R10744" s="217"/>
      <c r="S10744" s="218"/>
    </row>
    <row r="10745" spans="16:19" ht="15" customHeight="1" x14ac:dyDescent="0.25">
      <c r="P10745" s="216"/>
      <c r="Q10745" s="217"/>
      <c r="R10745" s="217"/>
      <c r="S10745" s="218"/>
    </row>
    <row r="10746" spans="16:19" ht="15" customHeight="1" x14ac:dyDescent="0.25">
      <c r="P10746" s="216"/>
      <c r="Q10746" s="217"/>
      <c r="R10746" s="217"/>
      <c r="S10746" s="218"/>
    </row>
    <row r="10747" spans="16:19" ht="15" customHeight="1" x14ac:dyDescent="0.25">
      <c r="P10747" s="216"/>
      <c r="Q10747" s="217"/>
      <c r="R10747" s="217"/>
      <c r="S10747" s="218"/>
    </row>
    <row r="10748" spans="16:19" ht="15" customHeight="1" x14ac:dyDescent="0.25">
      <c r="P10748" s="216"/>
      <c r="Q10748" s="217"/>
      <c r="R10748" s="217"/>
      <c r="S10748" s="218"/>
    </row>
    <row r="10749" spans="16:19" ht="15" customHeight="1" x14ac:dyDescent="0.25">
      <c r="P10749" s="216"/>
      <c r="Q10749" s="217"/>
      <c r="R10749" s="217"/>
      <c r="S10749" s="218"/>
    </row>
    <row r="10750" spans="16:19" ht="15" customHeight="1" x14ac:dyDescent="0.25">
      <c r="P10750" s="216"/>
      <c r="Q10750" s="217"/>
      <c r="R10750" s="217"/>
      <c r="S10750" s="218"/>
    </row>
    <row r="10751" spans="16:19" ht="15" customHeight="1" x14ac:dyDescent="0.25">
      <c r="P10751" s="216"/>
      <c r="Q10751" s="217"/>
      <c r="R10751" s="217"/>
      <c r="S10751" s="218"/>
    </row>
    <row r="10752" spans="16:19" ht="15" customHeight="1" x14ac:dyDescent="0.25">
      <c r="P10752" s="216"/>
      <c r="Q10752" s="217"/>
      <c r="R10752" s="217"/>
      <c r="S10752" s="218"/>
    </row>
    <row r="10753" spans="16:19" ht="15" customHeight="1" x14ac:dyDescent="0.25">
      <c r="P10753" s="216"/>
      <c r="Q10753" s="217"/>
      <c r="R10753" s="217"/>
      <c r="S10753" s="218"/>
    </row>
    <row r="10754" spans="16:19" ht="15" customHeight="1" x14ac:dyDescent="0.25">
      <c r="P10754" s="216"/>
      <c r="Q10754" s="217"/>
      <c r="R10754" s="217"/>
      <c r="S10754" s="218"/>
    </row>
    <row r="10755" spans="16:19" ht="15" customHeight="1" x14ac:dyDescent="0.25">
      <c r="P10755" s="216"/>
      <c r="Q10755" s="217"/>
      <c r="R10755" s="217"/>
      <c r="S10755" s="218"/>
    </row>
    <row r="10756" spans="16:19" ht="15" customHeight="1" x14ac:dyDescent="0.25">
      <c r="P10756" s="216"/>
      <c r="Q10756" s="217"/>
      <c r="R10756" s="217"/>
      <c r="S10756" s="218"/>
    </row>
    <row r="10757" spans="16:19" ht="15" customHeight="1" x14ac:dyDescent="0.25">
      <c r="P10757" s="216"/>
      <c r="Q10757" s="217"/>
      <c r="R10757" s="217"/>
      <c r="S10757" s="218"/>
    </row>
    <row r="10758" spans="16:19" ht="15" customHeight="1" x14ac:dyDescent="0.25">
      <c r="P10758" s="216"/>
      <c r="Q10758" s="217"/>
      <c r="R10758" s="217"/>
      <c r="S10758" s="218"/>
    </row>
    <row r="10759" spans="16:19" ht="15" customHeight="1" x14ac:dyDescent="0.25">
      <c r="P10759" s="216"/>
      <c r="Q10759" s="217"/>
      <c r="R10759" s="217"/>
      <c r="S10759" s="218"/>
    </row>
    <row r="10760" spans="16:19" ht="15" customHeight="1" x14ac:dyDescent="0.25">
      <c r="P10760" s="216"/>
      <c r="Q10760" s="217"/>
      <c r="R10760" s="217"/>
      <c r="S10760" s="218"/>
    </row>
    <row r="10761" spans="16:19" ht="15" customHeight="1" x14ac:dyDescent="0.25">
      <c r="P10761" s="216"/>
      <c r="Q10761" s="217"/>
      <c r="R10761" s="217"/>
      <c r="S10761" s="218"/>
    </row>
    <row r="10762" spans="16:19" ht="15" customHeight="1" x14ac:dyDescent="0.25">
      <c r="P10762" s="216"/>
      <c r="Q10762" s="217"/>
      <c r="R10762" s="217"/>
      <c r="S10762" s="218"/>
    </row>
    <row r="10763" spans="16:19" ht="15" customHeight="1" x14ac:dyDescent="0.25">
      <c r="P10763" s="216"/>
      <c r="Q10763" s="217"/>
      <c r="R10763" s="217"/>
      <c r="S10763" s="218"/>
    </row>
    <row r="10764" spans="16:19" ht="15" customHeight="1" x14ac:dyDescent="0.25">
      <c r="P10764" s="216"/>
      <c r="Q10764" s="217"/>
      <c r="R10764" s="217"/>
      <c r="S10764" s="218"/>
    </row>
    <row r="10765" spans="16:19" ht="15" customHeight="1" x14ac:dyDescent="0.25">
      <c r="P10765" s="216"/>
      <c r="Q10765" s="217"/>
      <c r="R10765" s="217"/>
      <c r="S10765" s="218"/>
    </row>
    <row r="10766" spans="16:19" ht="15" customHeight="1" x14ac:dyDescent="0.25">
      <c r="P10766" s="216"/>
      <c r="Q10766" s="217"/>
      <c r="R10766" s="217"/>
      <c r="S10766" s="218"/>
    </row>
    <row r="10767" spans="16:19" ht="15" customHeight="1" x14ac:dyDescent="0.25">
      <c r="P10767" s="216"/>
      <c r="Q10767" s="217"/>
      <c r="R10767" s="217"/>
      <c r="S10767" s="218"/>
    </row>
    <row r="10768" spans="16:19" ht="15" customHeight="1" x14ac:dyDescent="0.25">
      <c r="P10768" s="216"/>
      <c r="Q10768" s="217"/>
      <c r="R10768" s="217"/>
      <c r="S10768" s="218"/>
    </row>
    <row r="10769" spans="16:19" ht="15" customHeight="1" x14ac:dyDescent="0.25">
      <c r="P10769" s="216"/>
      <c r="Q10769" s="217"/>
      <c r="R10769" s="217"/>
      <c r="S10769" s="218"/>
    </row>
    <row r="10770" spans="16:19" ht="15" customHeight="1" x14ac:dyDescent="0.25">
      <c r="P10770" s="216"/>
      <c r="Q10770" s="217"/>
      <c r="R10770" s="217"/>
      <c r="S10770" s="218"/>
    </row>
    <row r="10771" spans="16:19" ht="15" customHeight="1" x14ac:dyDescent="0.25">
      <c r="P10771" s="216"/>
      <c r="Q10771" s="217"/>
      <c r="R10771" s="217"/>
      <c r="S10771" s="218"/>
    </row>
    <row r="10772" spans="16:19" ht="15" customHeight="1" x14ac:dyDescent="0.25">
      <c r="P10772" s="216"/>
      <c r="Q10772" s="217"/>
      <c r="R10772" s="217"/>
      <c r="S10772" s="218"/>
    </row>
    <row r="10773" spans="16:19" ht="15" customHeight="1" x14ac:dyDescent="0.25">
      <c r="P10773" s="216"/>
      <c r="Q10773" s="217"/>
      <c r="R10773" s="217"/>
      <c r="S10773" s="218"/>
    </row>
    <row r="10774" spans="16:19" ht="15" customHeight="1" x14ac:dyDescent="0.25">
      <c r="P10774" s="216"/>
      <c r="Q10774" s="217"/>
      <c r="R10774" s="217"/>
      <c r="S10774" s="218"/>
    </row>
    <row r="10775" spans="16:19" ht="15" customHeight="1" x14ac:dyDescent="0.25">
      <c r="P10775" s="216"/>
      <c r="Q10775" s="217"/>
      <c r="R10775" s="217"/>
      <c r="S10775" s="218"/>
    </row>
    <row r="10776" spans="16:19" ht="15" customHeight="1" x14ac:dyDescent="0.25">
      <c r="P10776" s="216"/>
      <c r="Q10776" s="217"/>
      <c r="R10776" s="217"/>
      <c r="S10776" s="218"/>
    </row>
    <row r="10777" spans="16:19" ht="15" customHeight="1" x14ac:dyDescent="0.25">
      <c r="P10777" s="216"/>
      <c r="Q10777" s="217"/>
      <c r="R10777" s="217"/>
      <c r="S10777" s="218"/>
    </row>
    <row r="10778" spans="16:19" ht="15" customHeight="1" x14ac:dyDescent="0.25">
      <c r="P10778" s="216"/>
      <c r="Q10778" s="217"/>
      <c r="R10778" s="217"/>
      <c r="S10778" s="218"/>
    </row>
    <row r="10779" spans="16:19" ht="15" customHeight="1" x14ac:dyDescent="0.25">
      <c r="P10779" s="216"/>
      <c r="Q10779" s="217"/>
      <c r="R10779" s="217"/>
      <c r="S10779" s="218"/>
    </row>
    <row r="10780" spans="16:19" ht="15" customHeight="1" x14ac:dyDescent="0.25">
      <c r="P10780" s="216"/>
      <c r="Q10780" s="217"/>
      <c r="R10780" s="217"/>
      <c r="S10780" s="218"/>
    </row>
    <row r="10781" spans="16:19" ht="15" customHeight="1" x14ac:dyDescent="0.25">
      <c r="P10781" s="216"/>
      <c r="Q10781" s="217"/>
      <c r="R10781" s="217"/>
      <c r="S10781" s="218"/>
    </row>
    <row r="10782" spans="16:19" ht="15" customHeight="1" x14ac:dyDescent="0.25">
      <c r="P10782" s="216"/>
      <c r="Q10782" s="217"/>
      <c r="R10782" s="217"/>
      <c r="S10782" s="218"/>
    </row>
    <row r="10783" spans="16:19" ht="15" customHeight="1" x14ac:dyDescent="0.25">
      <c r="P10783" s="216"/>
      <c r="Q10783" s="217"/>
      <c r="R10783" s="217"/>
      <c r="S10783" s="218"/>
    </row>
    <row r="10784" spans="16:19" ht="15" customHeight="1" x14ac:dyDescent="0.25">
      <c r="P10784" s="216"/>
      <c r="Q10784" s="217"/>
      <c r="R10784" s="217"/>
      <c r="S10784" s="218"/>
    </row>
    <row r="10785" spans="16:19" ht="15" customHeight="1" x14ac:dyDescent="0.25">
      <c r="P10785" s="216"/>
      <c r="Q10785" s="217"/>
      <c r="R10785" s="217"/>
      <c r="S10785" s="218"/>
    </row>
    <row r="10786" spans="16:19" ht="15" customHeight="1" x14ac:dyDescent="0.25">
      <c r="P10786" s="216"/>
      <c r="Q10786" s="217"/>
      <c r="R10786" s="217"/>
      <c r="S10786" s="218"/>
    </row>
    <row r="10787" spans="16:19" ht="15" customHeight="1" x14ac:dyDescent="0.25">
      <c r="P10787" s="216"/>
      <c r="Q10787" s="217"/>
      <c r="R10787" s="217"/>
      <c r="S10787" s="218"/>
    </row>
    <row r="10788" spans="16:19" ht="15" customHeight="1" x14ac:dyDescent="0.25">
      <c r="P10788" s="216"/>
      <c r="Q10788" s="217"/>
      <c r="R10788" s="217"/>
      <c r="S10788" s="218"/>
    </row>
    <row r="10789" spans="16:19" ht="15" customHeight="1" x14ac:dyDescent="0.25">
      <c r="P10789" s="216"/>
      <c r="Q10789" s="217"/>
      <c r="R10789" s="217"/>
      <c r="S10789" s="218"/>
    </row>
    <row r="10790" spans="16:19" ht="15" customHeight="1" x14ac:dyDescent="0.25">
      <c r="P10790" s="216"/>
      <c r="Q10790" s="217"/>
      <c r="R10790" s="217"/>
      <c r="S10790" s="218"/>
    </row>
    <row r="10791" spans="16:19" ht="15" customHeight="1" x14ac:dyDescent="0.25">
      <c r="P10791" s="216"/>
      <c r="Q10791" s="217"/>
      <c r="R10791" s="217"/>
      <c r="S10791" s="218"/>
    </row>
    <row r="10792" spans="16:19" ht="15" customHeight="1" x14ac:dyDescent="0.25">
      <c r="P10792" s="216"/>
      <c r="Q10792" s="217"/>
      <c r="R10792" s="217"/>
      <c r="S10792" s="218"/>
    </row>
    <row r="10793" spans="16:19" ht="15" customHeight="1" x14ac:dyDescent="0.25">
      <c r="P10793" s="216"/>
      <c r="Q10793" s="217"/>
      <c r="R10793" s="217"/>
      <c r="S10793" s="218"/>
    </row>
    <row r="10794" spans="16:19" ht="15" customHeight="1" x14ac:dyDescent="0.25">
      <c r="P10794" s="216"/>
      <c r="Q10794" s="217"/>
      <c r="R10794" s="217"/>
      <c r="S10794" s="218"/>
    </row>
    <row r="10795" spans="16:19" ht="15" customHeight="1" x14ac:dyDescent="0.25">
      <c r="P10795" s="216"/>
      <c r="Q10795" s="217"/>
      <c r="R10795" s="217"/>
      <c r="S10795" s="218"/>
    </row>
    <row r="10796" spans="16:19" ht="15" customHeight="1" x14ac:dyDescent="0.25">
      <c r="P10796" s="216"/>
      <c r="Q10796" s="217"/>
      <c r="R10796" s="217"/>
      <c r="S10796" s="218"/>
    </row>
    <row r="10797" spans="16:19" ht="15" customHeight="1" x14ac:dyDescent="0.25">
      <c r="P10797" s="216"/>
      <c r="Q10797" s="217"/>
      <c r="R10797" s="217"/>
      <c r="S10797" s="218"/>
    </row>
    <row r="10798" spans="16:19" ht="15" customHeight="1" x14ac:dyDescent="0.25">
      <c r="P10798" s="216"/>
      <c r="Q10798" s="217"/>
      <c r="R10798" s="217"/>
      <c r="S10798" s="218"/>
    </row>
    <row r="10799" spans="16:19" ht="15" customHeight="1" x14ac:dyDescent="0.25">
      <c r="P10799" s="216"/>
      <c r="Q10799" s="217"/>
      <c r="R10799" s="217"/>
      <c r="S10799" s="218"/>
    </row>
    <row r="10800" spans="16:19" ht="15" customHeight="1" x14ac:dyDescent="0.25">
      <c r="P10800" s="216"/>
      <c r="Q10800" s="217"/>
      <c r="R10800" s="217"/>
      <c r="S10800" s="218"/>
    </row>
    <row r="10801" spans="16:19" ht="15" customHeight="1" x14ac:dyDescent="0.25">
      <c r="P10801" s="216"/>
      <c r="Q10801" s="217"/>
      <c r="R10801" s="217"/>
      <c r="S10801" s="218"/>
    </row>
    <row r="10802" spans="16:19" ht="15" customHeight="1" x14ac:dyDescent="0.25">
      <c r="P10802" s="216"/>
      <c r="Q10802" s="217"/>
      <c r="R10802" s="217"/>
      <c r="S10802" s="218"/>
    </row>
    <row r="10803" spans="16:19" ht="15" customHeight="1" x14ac:dyDescent="0.25">
      <c r="P10803" s="216"/>
      <c r="Q10803" s="217"/>
      <c r="R10803" s="217"/>
      <c r="S10803" s="218"/>
    </row>
    <row r="10804" spans="16:19" ht="15" customHeight="1" x14ac:dyDescent="0.25">
      <c r="P10804" s="216"/>
      <c r="Q10804" s="217"/>
      <c r="R10804" s="217"/>
      <c r="S10804" s="218"/>
    </row>
    <row r="10805" spans="16:19" ht="15" customHeight="1" x14ac:dyDescent="0.25">
      <c r="P10805" s="216"/>
      <c r="Q10805" s="217"/>
      <c r="R10805" s="217"/>
      <c r="S10805" s="218"/>
    </row>
    <row r="10806" spans="16:19" ht="15" customHeight="1" x14ac:dyDescent="0.25">
      <c r="P10806" s="216"/>
      <c r="Q10806" s="217"/>
      <c r="R10806" s="217"/>
      <c r="S10806" s="218"/>
    </row>
    <row r="10807" spans="16:19" ht="15" customHeight="1" x14ac:dyDescent="0.25">
      <c r="P10807" s="216"/>
      <c r="Q10807" s="217"/>
      <c r="R10807" s="217"/>
      <c r="S10807" s="218"/>
    </row>
    <row r="10808" spans="16:19" ht="15" customHeight="1" x14ac:dyDescent="0.25">
      <c r="P10808" s="216"/>
      <c r="Q10808" s="217"/>
      <c r="R10808" s="217"/>
      <c r="S10808" s="218"/>
    </row>
    <row r="10809" spans="16:19" ht="15" customHeight="1" x14ac:dyDescent="0.25">
      <c r="P10809" s="216"/>
      <c r="Q10809" s="217"/>
      <c r="R10809" s="217"/>
      <c r="S10809" s="218"/>
    </row>
    <row r="10810" spans="16:19" ht="15" customHeight="1" x14ac:dyDescent="0.25">
      <c r="P10810" s="216"/>
      <c r="Q10810" s="217"/>
      <c r="R10810" s="217"/>
      <c r="S10810" s="218"/>
    </row>
    <row r="10811" spans="16:19" ht="15" customHeight="1" x14ac:dyDescent="0.25">
      <c r="P10811" s="216"/>
      <c r="Q10811" s="217"/>
      <c r="R10811" s="217"/>
      <c r="S10811" s="218"/>
    </row>
    <row r="10812" spans="16:19" ht="15" customHeight="1" x14ac:dyDescent="0.25">
      <c r="P10812" s="216"/>
      <c r="Q10812" s="217"/>
      <c r="R10812" s="217"/>
      <c r="S10812" s="218"/>
    </row>
    <row r="10813" spans="16:19" ht="15" customHeight="1" x14ac:dyDescent="0.25">
      <c r="P10813" s="216"/>
      <c r="Q10813" s="217"/>
      <c r="R10813" s="217"/>
      <c r="S10813" s="218"/>
    </row>
    <row r="10814" spans="16:19" ht="15" customHeight="1" x14ac:dyDescent="0.25">
      <c r="P10814" s="216"/>
      <c r="Q10814" s="217"/>
      <c r="R10814" s="217"/>
      <c r="S10814" s="218"/>
    </row>
    <row r="10815" spans="16:19" ht="15" customHeight="1" x14ac:dyDescent="0.25">
      <c r="P10815" s="216"/>
      <c r="Q10815" s="217"/>
      <c r="R10815" s="217"/>
      <c r="S10815" s="218"/>
    </row>
    <row r="10816" spans="16:19" ht="15" customHeight="1" x14ac:dyDescent="0.25">
      <c r="P10816" s="216"/>
      <c r="Q10816" s="217"/>
      <c r="R10816" s="217"/>
      <c r="S10816" s="218"/>
    </row>
    <row r="10817" spans="16:19" ht="15" customHeight="1" x14ac:dyDescent="0.25">
      <c r="P10817" s="216"/>
      <c r="Q10817" s="217"/>
      <c r="R10817" s="217"/>
      <c r="S10817" s="218"/>
    </row>
    <row r="10818" spans="16:19" ht="15" customHeight="1" x14ac:dyDescent="0.25">
      <c r="P10818" s="216"/>
      <c r="Q10818" s="217"/>
      <c r="R10818" s="217"/>
      <c r="S10818" s="218"/>
    </row>
    <row r="10819" spans="16:19" ht="15" customHeight="1" x14ac:dyDescent="0.25">
      <c r="P10819" s="216"/>
      <c r="Q10819" s="217"/>
      <c r="R10819" s="217"/>
      <c r="S10819" s="218"/>
    </row>
    <row r="10820" spans="16:19" ht="15" customHeight="1" x14ac:dyDescent="0.25">
      <c r="P10820" s="216"/>
      <c r="Q10820" s="217"/>
      <c r="R10820" s="217"/>
      <c r="S10820" s="218"/>
    </row>
    <row r="10821" spans="16:19" ht="15" customHeight="1" x14ac:dyDescent="0.25">
      <c r="P10821" s="216"/>
      <c r="Q10821" s="217"/>
      <c r="R10821" s="217"/>
      <c r="S10821" s="218"/>
    </row>
    <row r="10822" spans="16:19" ht="15" customHeight="1" x14ac:dyDescent="0.25">
      <c r="P10822" s="216"/>
      <c r="Q10822" s="217"/>
      <c r="R10822" s="217"/>
      <c r="S10822" s="218"/>
    </row>
    <row r="10823" spans="16:19" ht="15" customHeight="1" x14ac:dyDescent="0.25">
      <c r="P10823" s="216"/>
      <c r="Q10823" s="217"/>
      <c r="R10823" s="217"/>
      <c r="S10823" s="218"/>
    </row>
    <row r="10824" spans="16:19" ht="15" customHeight="1" x14ac:dyDescent="0.25">
      <c r="P10824" s="216"/>
      <c r="Q10824" s="217"/>
      <c r="R10824" s="217"/>
      <c r="S10824" s="218"/>
    </row>
    <row r="10825" spans="16:19" ht="15" customHeight="1" x14ac:dyDescent="0.25">
      <c r="P10825" s="216"/>
      <c r="Q10825" s="217"/>
      <c r="R10825" s="217"/>
      <c r="S10825" s="218"/>
    </row>
    <row r="10826" spans="16:19" ht="15" customHeight="1" x14ac:dyDescent="0.25">
      <c r="P10826" s="216"/>
      <c r="Q10826" s="217"/>
      <c r="R10826" s="217"/>
      <c r="S10826" s="218"/>
    </row>
    <row r="10827" spans="16:19" ht="15" customHeight="1" x14ac:dyDescent="0.25">
      <c r="P10827" s="216"/>
      <c r="Q10827" s="217"/>
      <c r="R10827" s="217"/>
      <c r="S10827" s="218"/>
    </row>
    <row r="10828" spans="16:19" ht="15" customHeight="1" x14ac:dyDescent="0.25">
      <c r="P10828" s="216"/>
      <c r="Q10828" s="217"/>
      <c r="R10828" s="217"/>
      <c r="S10828" s="218"/>
    </row>
    <row r="10829" spans="16:19" ht="15" customHeight="1" x14ac:dyDescent="0.25">
      <c r="P10829" s="216"/>
      <c r="Q10829" s="217"/>
      <c r="R10829" s="217"/>
      <c r="S10829" s="218"/>
    </row>
    <row r="10830" spans="16:19" ht="15" customHeight="1" x14ac:dyDescent="0.25">
      <c r="P10830" s="216"/>
      <c r="Q10830" s="217"/>
      <c r="R10830" s="217"/>
      <c r="S10830" s="218"/>
    </row>
    <row r="10831" spans="16:19" ht="15" customHeight="1" x14ac:dyDescent="0.25">
      <c r="P10831" s="216"/>
      <c r="Q10831" s="217"/>
      <c r="R10831" s="217"/>
      <c r="S10831" s="218"/>
    </row>
    <row r="10832" spans="16:19" ht="15" customHeight="1" x14ac:dyDescent="0.25">
      <c r="P10832" s="216"/>
      <c r="Q10832" s="217"/>
      <c r="R10832" s="217"/>
      <c r="S10832" s="218"/>
    </row>
    <row r="10833" spans="16:19" ht="15" customHeight="1" x14ac:dyDescent="0.25">
      <c r="P10833" s="216"/>
      <c r="Q10833" s="217"/>
      <c r="R10833" s="217"/>
      <c r="S10833" s="218"/>
    </row>
    <row r="10834" spans="16:19" ht="15" customHeight="1" x14ac:dyDescent="0.25">
      <c r="P10834" s="216"/>
      <c r="Q10834" s="217"/>
      <c r="R10834" s="217"/>
      <c r="S10834" s="218"/>
    </row>
    <row r="10835" spans="16:19" ht="15" customHeight="1" x14ac:dyDescent="0.25">
      <c r="P10835" s="216"/>
      <c r="Q10835" s="217"/>
      <c r="R10835" s="217"/>
      <c r="S10835" s="218"/>
    </row>
    <row r="10836" spans="16:19" ht="15" customHeight="1" x14ac:dyDescent="0.25">
      <c r="P10836" s="216"/>
      <c r="Q10836" s="217"/>
      <c r="R10836" s="217"/>
      <c r="S10836" s="218"/>
    </row>
    <row r="10837" spans="16:19" ht="15" customHeight="1" x14ac:dyDescent="0.25">
      <c r="P10837" s="216"/>
      <c r="Q10837" s="217"/>
      <c r="R10837" s="217"/>
      <c r="S10837" s="218"/>
    </row>
    <row r="10838" spans="16:19" ht="15" customHeight="1" x14ac:dyDescent="0.25">
      <c r="P10838" s="216"/>
      <c r="Q10838" s="217"/>
      <c r="R10838" s="217"/>
      <c r="S10838" s="218"/>
    </row>
    <row r="10839" spans="16:19" ht="15" customHeight="1" x14ac:dyDescent="0.25">
      <c r="P10839" s="216"/>
      <c r="Q10839" s="217"/>
      <c r="R10839" s="217"/>
      <c r="S10839" s="218"/>
    </row>
    <row r="10840" spans="16:19" ht="15" customHeight="1" x14ac:dyDescent="0.25">
      <c r="P10840" s="216"/>
      <c r="Q10840" s="217"/>
      <c r="R10840" s="217"/>
      <c r="S10840" s="218"/>
    </row>
    <row r="10841" spans="16:19" ht="15" customHeight="1" x14ac:dyDescent="0.25">
      <c r="P10841" s="216"/>
      <c r="Q10841" s="217"/>
      <c r="R10841" s="217"/>
      <c r="S10841" s="218"/>
    </row>
    <row r="10842" spans="16:19" ht="15" customHeight="1" x14ac:dyDescent="0.25">
      <c r="P10842" s="216"/>
      <c r="Q10842" s="217"/>
      <c r="R10842" s="217"/>
      <c r="S10842" s="218"/>
    </row>
    <row r="10843" spans="16:19" ht="15" customHeight="1" x14ac:dyDescent="0.25">
      <c r="P10843" s="216"/>
      <c r="Q10843" s="217"/>
      <c r="R10843" s="217"/>
      <c r="S10843" s="218"/>
    </row>
    <row r="10844" spans="16:19" ht="15" customHeight="1" x14ac:dyDescent="0.25">
      <c r="P10844" s="216"/>
      <c r="Q10844" s="217"/>
      <c r="R10844" s="217"/>
      <c r="S10844" s="218"/>
    </row>
    <row r="10845" spans="16:19" ht="15" customHeight="1" x14ac:dyDescent="0.25">
      <c r="P10845" s="216"/>
      <c r="Q10845" s="217"/>
      <c r="R10845" s="217"/>
      <c r="S10845" s="218"/>
    </row>
    <row r="10846" spans="16:19" ht="15" customHeight="1" x14ac:dyDescent="0.25">
      <c r="P10846" s="216"/>
      <c r="Q10846" s="217"/>
      <c r="R10846" s="217"/>
      <c r="S10846" s="218"/>
    </row>
    <row r="10847" spans="16:19" ht="15" customHeight="1" x14ac:dyDescent="0.25">
      <c r="P10847" s="216"/>
      <c r="Q10847" s="217"/>
      <c r="R10847" s="217"/>
      <c r="S10847" s="218"/>
    </row>
    <row r="10848" spans="16:19" ht="15" customHeight="1" x14ac:dyDescent="0.25">
      <c r="P10848" s="216"/>
      <c r="Q10848" s="217"/>
      <c r="R10848" s="217"/>
      <c r="S10848" s="218"/>
    </row>
    <row r="10849" spans="16:19" ht="15" customHeight="1" x14ac:dyDescent="0.25">
      <c r="P10849" s="216"/>
      <c r="Q10849" s="217"/>
      <c r="R10849" s="217"/>
      <c r="S10849" s="218"/>
    </row>
    <row r="10850" spans="16:19" ht="15" customHeight="1" x14ac:dyDescent="0.25">
      <c r="P10850" s="216"/>
      <c r="Q10850" s="217"/>
      <c r="R10850" s="217"/>
      <c r="S10850" s="218"/>
    </row>
    <row r="10851" spans="16:19" ht="15" customHeight="1" x14ac:dyDescent="0.25">
      <c r="P10851" s="216"/>
      <c r="Q10851" s="217"/>
      <c r="R10851" s="217"/>
      <c r="S10851" s="218"/>
    </row>
    <row r="10852" spans="16:19" ht="15" customHeight="1" x14ac:dyDescent="0.25">
      <c r="P10852" s="216"/>
      <c r="Q10852" s="217"/>
      <c r="R10852" s="217"/>
      <c r="S10852" s="218"/>
    </row>
    <row r="10853" spans="16:19" ht="15" customHeight="1" x14ac:dyDescent="0.25">
      <c r="P10853" s="216"/>
      <c r="Q10853" s="217"/>
      <c r="R10853" s="217"/>
      <c r="S10853" s="218"/>
    </row>
    <row r="10854" spans="16:19" ht="15" customHeight="1" x14ac:dyDescent="0.25">
      <c r="P10854" s="216"/>
      <c r="Q10854" s="217"/>
      <c r="R10854" s="217"/>
      <c r="S10854" s="218"/>
    </row>
    <row r="10855" spans="16:19" ht="15" customHeight="1" x14ac:dyDescent="0.25">
      <c r="P10855" s="216"/>
      <c r="Q10855" s="217"/>
      <c r="R10855" s="217"/>
      <c r="S10855" s="218"/>
    </row>
    <row r="10856" spans="16:19" ht="15" customHeight="1" x14ac:dyDescent="0.25">
      <c r="P10856" s="216"/>
      <c r="Q10856" s="217"/>
      <c r="R10856" s="217"/>
      <c r="S10856" s="218"/>
    </row>
    <row r="10857" spans="16:19" ht="15" customHeight="1" x14ac:dyDescent="0.25">
      <c r="P10857" s="216"/>
      <c r="Q10857" s="217"/>
      <c r="R10857" s="217"/>
      <c r="S10857" s="218"/>
    </row>
    <row r="10858" spans="16:19" ht="15" customHeight="1" x14ac:dyDescent="0.25">
      <c r="P10858" s="216"/>
      <c r="Q10858" s="217"/>
      <c r="R10858" s="217"/>
      <c r="S10858" s="218"/>
    </row>
    <row r="10859" spans="16:19" ht="15" customHeight="1" x14ac:dyDescent="0.25">
      <c r="P10859" s="216"/>
      <c r="Q10859" s="217"/>
      <c r="R10859" s="217"/>
      <c r="S10859" s="218"/>
    </row>
    <row r="10860" spans="16:19" ht="15" customHeight="1" x14ac:dyDescent="0.25">
      <c r="P10860" s="216"/>
      <c r="Q10860" s="217"/>
      <c r="R10860" s="217"/>
      <c r="S10860" s="218"/>
    </row>
    <row r="10861" spans="16:19" ht="15" customHeight="1" x14ac:dyDescent="0.25">
      <c r="P10861" s="216"/>
      <c r="Q10861" s="217"/>
      <c r="R10861" s="217"/>
      <c r="S10861" s="218"/>
    </row>
    <row r="10862" spans="16:19" ht="15" customHeight="1" x14ac:dyDescent="0.25">
      <c r="P10862" s="216"/>
      <c r="Q10862" s="217"/>
      <c r="R10862" s="217"/>
      <c r="S10862" s="218"/>
    </row>
    <row r="10863" spans="16:19" ht="15" customHeight="1" x14ac:dyDescent="0.25">
      <c r="P10863" s="216"/>
      <c r="Q10863" s="217"/>
      <c r="R10863" s="217"/>
      <c r="S10863" s="218"/>
    </row>
    <row r="10864" spans="16:19" ht="15" customHeight="1" x14ac:dyDescent="0.25">
      <c r="P10864" s="216"/>
      <c r="Q10864" s="217"/>
      <c r="R10864" s="217"/>
      <c r="S10864" s="218"/>
    </row>
    <row r="10865" spans="16:19" ht="15" customHeight="1" x14ac:dyDescent="0.25">
      <c r="P10865" s="216"/>
      <c r="Q10865" s="217"/>
      <c r="R10865" s="217"/>
      <c r="S10865" s="218"/>
    </row>
    <row r="10866" spans="16:19" ht="15" customHeight="1" x14ac:dyDescent="0.25">
      <c r="P10866" s="216"/>
      <c r="Q10866" s="217"/>
      <c r="R10866" s="217"/>
      <c r="S10866" s="218"/>
    </row>
    <row r="10867" spans="16:19" ht="15" customHeight="1" x14ac:dyDescent="0.25">
      <c r="P10867" s="216"/>
      <c r="Q10867" s="217"/>
      <c r="R10867" s="217"/>
      <c r="S10867" s="218"/>
    </row>
    <row r="10868" spans="16:19" ht="15" customHeight="1" x14ac:dyDescent="0.25">
      <c r="P10868" s="216"/>
      <c r="Q10868" s="217"/>
      <c r="R10868" s="217"/>
      <c r="S10868" s="218"/>
    </row>
    <row r="10869" spans="16:19" ht="15" customHeight="1" x14ac:dyDescent="0.25">
      <c r="P10869" s="216"/>
      <c r="Q10869" s="217"/>
      <c r="R10869" s="217"/>
      <c r="S10869" s="218"/>
    </row>
    <row r="10870" spans="16:19" ht="15" customHeight="1" x14ac:dyDescent="0.25">
      <c r="P10870" s="216"/>
      <c r="Q10870" s="217"/>
      <c r="R10870" s="217"/>
      <c r="S10870" s="218"/>
    </row>
    <row r="10871" spans="16:19" ht="15" customHeight="1" x14ac:dyDescent="0.25">
      <c r="P10871" s="216"/>
      <c r="Q10871" s="217"/>
      <c r="R10871" s="217"/>
      <c r="S10871" s="218"/>
    </row>
    <row r="10872" spans="16:19" ht="15" customHeight="1" x14ac:dyDescent="0.25">
      <c r="P10872" s="216"/>
      <c r="Q10872" s="217"/>
      <c r="R10872" s="217"/>
      <c r="S10872" s="218"/>
    </row>
    <row r="10873" spans="16:19" ht="15" customHeight="1" x14ac:dyDescent="0.25">
      <c r="P10873" s="216"/>
      <c r="Q10873" s="217"/>
      <c r="R10873" s="217"/>
      <c r="S10873" s="218"/>
    </row>
    <row r="10874" spans="16:19" ht="15" customHeight="1" x14ac:dyDescent="0.25">
      <c r="P10874" s="216"/>
      <c r="Q10874" s="217"/>
      <c r="R10874" s="217"/>
      <c r="S10874" s="218"/>
    </row>
    <row r="10875" spans="16:19" ht="15" customHeight="1" x14ac:dyDescent="0.25">
      <c r="P10875" s="216"/>
      <c r="Q10875" s="217"/>
      <c r="R10875" s="217"/>
      <c r="S10875" s="218"/>
    </row>
    <row r="10876" spans="16:19" ht="15" customHeight="1" x14ac:dyDescent="0.25">
      <c r="P10876" s="216"/>
      <c r="Q10876" s="217"/>
      <c r="R10876" s="217"/>
      <c r="S10876" s="218"/>
    </row>
    <row r="10877" spans="16:19" ht="15" customHeight="1" x14ac:dyDescent="0.25">
      <c r="P10877" s="216"/>
      <c r="Q10877" s="217"/>
      <c r="R10877" s="217"/>
      <c r="S10877" s="218"/>
    </row>
    <row r="10878" spans="16:19" ht="15" customHeight="1" x14ac:dyDescent="0.25">
      <c r="P10878" s="216"/>
      <c r="Q10878" s="217"/>
      <c r="R10878" s="217"/>
      <c r="S10878" s="218"/>
    </row>
    <row r="10879" spans="16:19" ht="15" customHeight="1" x14ac:dyDescent="0.25">
      <c r="P10879" s="216"/>
      <c r="Q10879" s="217"/>
      <c r="R10879" s="217"/>
      <c r="S10879" s="218"/>
    </row>
    <row r="10880" spans="16:19" ht="15" customHeight="1" x14ac:dyDescent="0.25">
      <c r="P10880" s="216"/>
      <c r="Q10880" s="217"/>
      <c r="R10880" s="217"/>
      <c r="S10880" s="218"/>
    </row>
    <row r="10881" spans="16:19" ht="15" customHeight="1" x14ac:dyDescent="0.25">
      <c r="P10881" s="216"/>
      <c r="Q10881" s="217"/>
      <c r="R10881" s="217"/>
      <c r="S10881" s="218"/>
    </row>
    <row r="10882" spans="16:19" ht="15" customHeight="1" x14ac:dyDescent="0.25">
      <c r="P10882" s="216"/>
      <c r="Q10882" s="217"/>
      <c r="R10882" s="217"/>
      <c r="S10882" s="218"/>
    </row>
    <row r="10883" spans="16:19" ht="15" customHeight="1" x14ac:dyDescent="0.25">
      <c r="P10883" s="216"/>
      <c r="Q10883" s="217"/>
      <c r="R10883" s="217"/>
      <c r="S10883" s="218"/>
    </row>
    <row r="10884" spans="16:19" ht="15" customHeight="1" x14ac:dyDescent="0.25">
      <c r="P10884" s="216"/>
      <c r="Q10884" s="217"/>
      <c r="R10884" s="217"/>
      <c r="S10884" s="218"/>
    </row>
    <row r="10885" spans="16:19" ht="15" customHeight="1" x14ac:dyDescent="0.25">
      <c r="P10885" s="216"/>
      <c r="Q10885" s="217"/>
      <c r="R10885" s="217"/>
      <c r="S10885" s="218"/>
    </row>
    <row r="10886" spans="16:19" ht="15" customHeight="1" x14ac:dyDescent="0.25">
      <c r="P10886" s="216"/>
      <c r="Q10886" s="217"/>
      <c r="R10886" s="217"/>
      <c r="S10886" s="218"/>
    </row>
    <row r="10887" spans="16:19" ht="15" customHeight="1" x14ac:dyDescent="0.25">
      <c r="P10887" s="216"/>
      <c r="Q10887" s="217"/>
      <c r="R10887" s="217"/>
      <c r="S10887" s="218"/>
    </row>
    <row r="10888" spans="16:19" ht="15" customHeight="1" x14ac:dyDescent="0.25">
      <c r="P10888" s="216"/>
      <c r="Q10888" s="217"/>
      <c r="R10888" s="217"/>
      <c r="S10888" s="218"/>
    </row>
    <row r="10889" spans="16:19" ht="15" customHeight="1" x14ac:dyDescent="0.25">
      <c r="P10889" s="216"/>
      <c r="Q10889" s="217"/>
      <c r="R10889" s="217"/>
      <c r="S10889" s="218"/>
    </row>
    <row r="10890" spans="16:19" ht="15" customHeight="1" x14ac:dyDescent="0.25">
      <c r="P10890" s="216"/>
      <c r="Q10890" s="217"/>
      <c r="R10890" s="217"/>
      <c r="S10890" s="218"/>
    </row>
    <row r="10891" spans="16:19" ht="15" customHeight="1" x14ac:dyDescent="0.25">
      <c r="P10891" s="216"/>
      <c r="Q10891" s="217"/>
      <c r="R10891" s="217"/>
      <c r="S10891" s="218"/>
    </row>
    <row r="10892" spans="16:19" ht="15" customHeight="1" x14ac:dyDescent="0.25">
      <c r="P10892" s="216"/>
      <c r="Q10892" s="217"/>
      <c r="R10892" s="217"/>
      <c r="S10892" s="218"/>
    </row>
    <row r="10893" spans="16:19" ht="15" customHeight="1" x14ac:dyDescent="0.25">
      <c r="P10893" s="216"/>
      <c r="Q10893" s="217"/>
      <c r="R10893" s="217"/>
      <c r="S10893" s="218"/>
    </row>
    <row r="10894" spans="16:19" ht="15" customHeight="1" x14ac:dyDescent="0.25">
      <c r="P10894" s="216"/>
      <c r="Q10894" s="217"/>
      <c r="R10894" s="217"/>
      <c r="S10894" s="218"/>
    </row>
    <row r="10895" spans="16:19" ht="15" customHeight="1" x14ac:dyDescent="0.25">
      <c r="P10895" s="216"/>
      <c r="Q10895" s="217"/>
      <c r="R10895" s="217"/>
      <c r="S10895" s="218"/>
    </row>
    <row r="10896" spans="16:19" ht="15" customHeight="1" x14ac:dyDescent="0.25">
      <c r="P10896" s="216"/>
      <c r="Q10896" s="217"/>
      <c r="R10896" s="217"/>
      <c r="S10896" s="218"/>
    </row>
    <row r="10897" spans="16:19" ht="15" customHeight="1" x14ac:dyDescent="0.25">
      <c r="P10897" s="216"/>
      <c r="Q10897" s="217"/>
      <c r="R10897" s="217"/>
      <c r="S10897" s="218"/>
    </row>
    <row r="10898" spans="16:19" ht="15" customHeight="1" x14ac:dyDescent="0.25">
      <c r="P10898" s="216"/>
      <c r="Q10898" s="217"/>
      <c r="R10898" s="217"/>
      <c r="S10898" s="218"/>
    </row>
    <row r="10899" spans="16:19" ht="15" customHeight="1" x14ac:dyDescent="0.25">
      <c r="P10899" s="216"/>
      <c r="Q10899" s="217"/>
      <c r="R10899" s="217"/>
      <c r="S10899" s="218"/>
    </row>
    <row r="10900" spans="16:19" ht="15" customHeight="1" x14ac:dyDescent="0.25">
      <c r="P10900" s="216"/>
      <c r="Q10900" s="217"/>
      <c r="R10900" s="217"/>
      <c r="S10900" s="218"/>
    </row>
    <row r="10901" spans="16:19" ht="15" customHeight="1" x14ac:dyDescent="0.25">
      <c r="P10901" s="216"/>
      <c r="Q10901" s="217"/>
      <c r="R10901" s="217"/>
      <c r="S10901" s="218"/>
    </row>
    <row r="10902" spans="16:19" ht="15" customHeight="1" x14ac:dyDescent="0.25">
      <c r="P10902" s="216"/>
      <c r="Q10902" s="217"/>
      <c r="R10902" s="217"/>
      <c r="S10902" s="218"/>
    </row>
    <row r="10903" spans="16:19" ht="15" customHeight="1" x14ac:dyDescent="0.25">
      <c r="P10903" s="216"/>
      <c r="Q10903" s="217"/>
      <c r="R10903" s="217"/>
      <c r="S10903" s="218"/>
    </row>
    <row r="10904" spans="16:19" ht="15" customHeight="1" x14ac:dyDescent="0.25">
      <c r="P10904" s="216"/>
      <c r="Q10904" s="217"/>
      <c r="R10904" s="217"/>
      <c r="S10904" s="218"/>
    </row>
    <row r="10905" spans="16:19" ht="15" customHeight="1" x14ac:dyDescent="0.25">
      <c r="P10905" s="216"/>
      <c r="Q10905" s="217"/>
      <c r="R10905" s="217"/>
      <c r="S10905" s="218"/>
    </row>
    <row r="10906" spans="16:19" ht="15" customHeight="1" x14ac:dyDescent="0.25">
      <c r="P10906" s="216"/>
      <c r="Q10906" s="217"/>
      <c r="R10906" s="217"/>
      <c r="S10906" s="218"/>
    </row>
    <row r="10907" spans="16:19" ht="15" customHeight="1" x14ac:dyDescent="0.25">
      <c r="P10907" s="216"/>
      <c r="Q10907" s="217"/>
      <c r="R10907" s="217"/>
      <c r="S10907" s="218"/>
    </row>
    <row r="10908" spans="16:19" ht="15" customHeight="1" x14ac:dyDescent="0.25">
      <c r="P10908" s="216"/>
      <c r="Q10908" s="217"/>
      <c r="R10908" s="217"/>
      <c r="S10908" s="218"/>
    </row>
    <row r="10909" spans="16:19" ht="15" customHeight="1" x14ac:dyDescent="0.25">
      <c r="P10909" s="216"/>
      <c r="Q10909" s="217"/>
      <c r="R10909" s="217"/>
      <c r="S10909" s="218"/>
    </row>
    <row r="10910" spans="16:19" ht="15" customHeight="1" x14ac:dyDescent="0.25">
      <c r="P10910" s="216"/>
      <c r="Q10910" s="217"/>
      <c r="R10910" s="217"/>
      <c r="S10910" s="218"/>
    </row>
    <row r="10911" spans="16:19" ht="15" customHeight="1" x14ac:dyDescent="0.25">
      <c r="P10911" s="216"/>
      <c r="Q10911" s="217"/>
      <c r="R10911" s="217"/>
      <c r="S10911" s="218"/>
    </row>
    <row r="10912" spans="16:19" ht="15" customHeight="1" x14ac:dyDescent="0.25">
      <c r="P10912" s="216"/>
      <c r="Q10912" s="217"/>
      <c r="R10912" s="217"/>
      <c r="S10912" s="218"/>
    </row>
    <row r="10913" spans="16:19" ht="15" customHeight="1" x14ac:dyDescent="0.25">
      <c r="P10913" s="216"/>
      <c r="Q10913" s="217"/>
      <c r="R10913" s="217"/>
      <c r="S10913" s="218"/>
    </row>
    <row r="10914" spans="16:19" ht="15" customHeight="1" x14ac:dyDescent="0.25">
      <c r="P10914" s="216"/>
      <c r="Q10914" s="217"/>
      <c r="R10914" s="217"/>
      <c r="S10914" s="218"/>
    </row>
    <row r="10915" spans="16:19" ht="15" customHeight="1" x14ac:dyDescent="0.25">
      <c r="P10915" s="216"/>
      <c r="Q10915" s="217"/>
      <c r="R10915" s="217"/>
      <c r="S10915" s="218"/>
    </row>
    <row r="10916" spans="16:19" ht="15" customHeight="1" x14ac:dyDescent="0.25">
      <c r="P10916" s="216"/>
      <c r="Q10916" s="217"/>
      <c r="R10916" s="217"/>
      <c r="S10916" s="218"/>
    </row>
    <row r="10917" spans="16:19" ht="15" customHeight="1" x14ac:dyDescent="0.25">
      <c r="P10917" s="216"/>
      <c r="Q10917" s="217"/>
      <c r="R10917" s="217"/>
      <c r="S10917" s="218"/>
    </row>
    <row r="10918" spans="16:19" ht="15" customHeight="1" x14ac:dyDescent="0.25">
      <c r="P10918" s="216"/>
      <c r="Q10918" s="217"/>
      <c r="R10918" s="217"/>
      <c r="S10918" s="218"/>
    </row>
    <row r="10919" spans="16:19" ht="15" customHeight="1" x14ac:dyDescent="0.25">
      <c r="P10919" s="216"/>
      <c r="Q10919" s="217"/>
      <c r="R10919" s="217"/>
      <c r="S10919" s="218"/>
    </row>
    <row r="10920" spans="16:19" ht="15" customHeight="1" x14ac:dyDescent="0.25">
      <c r="P10920" s="216"/>
      <c r="Q10920" s="217"/>
      <c r="R10920" s="217"/>
      <c r="S10920" s="218"/>
    </row>
    <row r="10921" spans="16:19" ht="15" customHeight="1" x14ac:dyDescent="0.25">
      <c r="P10921" s="216"/>
      <c r="Q10921" s="217"/>
      <c r="R10921" s="217"/>
      <c r="S10921" s="218"/>
    </row>
    <row r="10922" spans="16:19" ht="15" customHeight="1" x14ac:dyDescent="0.25">
      <c r="P10922" s="216"/>
      <c r="Q10922" s="217"/>
      <c r="R10922" s="217"/>
      <c r="S10922" s="218"/>
    </row>
    <row r="10923" spans="16:19" ht="15" customHeight="1" x14ac:dyDescent="0.25">
      <c r="P10923" s="216"/>
      <c r="Q10923" s="217"/>
      <c r="R10923" s="217"/>
      <c r="S10923" s="218"/>
    </row>
    <row r="10924" spans="16:19" ht="15" customHeight="1" x14ac:dyDescent="0.25">
      <c r="P10924" s="216"/>
      <c r="Q10924" s="217"/>
      <c r="R10924" s="217"/>
      <c r="S10924" s="218"/>
    </row>
    <row r="10925" spans="16:19" ht="15" customHeight="1" x14ac:dyDescent="0.25">
      <c r="P10925" s="216"/>
      <c r="Q10925" s="217"/>
      <c r="R10925" s="217"/>
      <c r="S10925" s="218"/>
    </row>
    <row r="10926" spans="16:19" ht="15" customHeight="1" x14ac:dyDescent="0.25">
      <c r="P10926" s="216"/>
      <c r="Q10926" s="217"/>
      <c r="R10926" s="217"/>
      <c r="S10926" s="218"/>
    </row>
    <row r="10927" spans="16:19" ht="15" customHeight="1" x14ac:dyDescent="0.25">
      <c r="P10927" s="216"/>
      <c r="Q10927" s="217"/>
      <c r="R10927" s="217"/>
      <c r="S10927" s="218"/>
    </row>
    <row r="10928" spans="16:19" ht="15" customHeight="1" x14ac:dyDescent="0.25">
      <c r="P10928" s="216"/>
      <c r="Q10928" s="217"/>
      <c r="R10928" s="217"/>
      <c r="S10928" s="218"/>
    </row>
    <row r="10929" spans="16:19" ht="15" customHeight="1" x14ac:dyDescent="0.25">
      <c r="P10929" s="216"/>
      <c r="Q10929" s="217"/>
      <c r="R10929" s="217"/>
      <c r="S10929" s="218"/>
    </row>
    <row r="10930" spans="16:19" ht="15" customHeight="1" x14ac:dyDescent="0.25">
      <c r="P10930" s="216"/>
      <c r="Q10930" s="217"/>
      <c r="R10930" s="217"/>
      <c r="S10930" s="218"/>
    </row>
    <row r="10931" spans="16:19" ht="15" customHeight="1" x14ac:dyDescent="0.25">
      <c r="P10931" s="216"/>
      <c r="Q10931" s="217"/>
      <c r="R10931" s="217"/>
      <c r="S10931" s="218"/>
    </row>
    <row r="10932" spans="16:19" ht="15" customHeight="1" x14ac:dyDescent="0.25">
      <c r="P10932" s="216"/>
      <c r="Q10932" s="217"/>
      <c r="R10932" s="217"/>
      <c r="S10932" s="218"/>
    </row>
    <row r="10933" spans="16:19" ht="15" customHeight="1" x14ac:dyDescent="0.25">
      <c r="P10933" s="216"/>
      <c r="Q10933" s="217"/>
      <c r="R10933" s="217"/>
      <c r="S10933" s="218"/>
    </row>
    <row r="10934" spans="16:19" ht="15" customHeight="1" x14ac:dyDescent="0.25">
      <c r="P10934" s="216"/>
      <c r="Q10934" s="217"/>
      <c r="R10934" s="217"/>
      <c r="S10934" s="218"/>
    </row>
    <row r="10935" spans="16:19" ht="15" customHeight="1" x14ac:dyDescent="0.25">
      <c r="P10935" s="216"/>
      <c r="Q10935" s="217"/>
      <c r="R10935" s="217"/>
      <c r="S10935" s="218"/>
    </row>
    <row r="10936" spans="16:19" ht="15" customHeight="1" x14ac:dyDescent="0.25">
      <c r="P10936" s="216"/>
      <c r="Q10936" s="217"/>
      <c r="R10936" s="217"/>
      <c r="S10936" s="218"/>
    </row>
    <row r="10937" spans="16:19" ht="15" customHeight="1" x14ac:dyDescent="0.25">
      <c r="P10937" s="216"/>
      <c r="Q10937" s="217"/>
      <c r="R10937" s="217"/>
      <c r="S10937" s="218"/>
    </row>
    <row r="10938" spans="16:19" ht="15" customHeight="1" x14ac:dyDescent="0.25">
      <c r="P10938" s="216"/>
      <c r="Q10938" s="217"/>
      <c r="R10938" s="217"/>
      <c r="S10938" s="218"/>
    </row>
    <row r="10939" spans="16:19" ht="15" customHeight="1" x14ac:dyDescent="0.25">
      <c r="P10939" s="216"/>
      <c r="Q10939" s="217"/>
      <c r="R10939" s="217"/>
      <c r="S10939" s="218"/>
    </row>
    <row r="10940" spans="16:19" ht="15" customHeight="1" x14ac:dyDescent="0.25">
      <c r="P10940" s="216"/>
      <c r="Q10940" s="217"/>
      <c r="R10940" s="217"/>
      <c r="S10940" s="218"/>
    </row>
    <row r="10941" spans="16:19" ht="15" customHeight="1" x14ac:dyDescent="0.25">
      <c r="P10941" s="216"/>
      <c r="Q10941" s="217"/>
      <c r="R10941" s="217"/>
      <c r="S10941" s="218"/>
    </row>
    <row r="10942" spans="16:19" ht="15" customHeight="1" x14ac:dyDescent="0.25">
      <c r="P10942" s="216"/>
      <c r="Q10942" s="217"/>
      <c r="R10942" s="217"/>
      <c r="S10942" s="218"/>
    </row>
    <row r="10943" spans="16:19" ht="15" customHeight="1" x14ac:dyDescent="0.25">
      <c r="P10943" s="216"/>
      <c r="Q10943" s="217"/>
      <c r="R10943" s="217"/>
      <c r="S10943" s="218"/>
    </row>
    <row r="10944" spans="16:19" ht="15" customHeight="1" x14ac:dyDescent="0.25">
      <c r="P10944" s="216"/>
      <c r="Q10944" s="217"/>
      <c r="R10944" s="217"/>
      <c r="S10944" s="218"/>
    </row>
    <row r="10945" spans="16:19" ht="15" customHeight="1" x14ac:dyDescent="0.25">
      <c r="P10945" s="216"/>
      <c r="Q10945" s="217"/>
      <c r="R10945" s="217"/>
      <c r="S10945" s="218"/>
    </row>
    <row r="10946" spans="16:19" ht="15" customHeight="1" x14ac:dyDescent="0.25">
      <c r="P10946" s="216"/>
      <c r="Q10946" s="217"/>
      <c r="R10946" s="217"/>
      <c r="S10946" s="218"/>
    </row>
    <row r="10947" spans="16:19" ht="15" customHeight="1" x14ac:dyDescent="0.25">
      <c r="P10947" s="216"/>
      <c r="Q10947" s="217"/>
      <c r="R10947" s="217"/>
      <c r="S10947" s="218"/>
    </row>
    <row r="10948" spans="16:19" ht="15" customHeight="1" x14ac:dyDescent="0.25">
      <c r="P10948" s="216"/>
      <c r="Q10948" s="217"/>
      <c r="R10948" s="217"/>
      <c r="S10948" s="218"/>
    </row>
    <row r="10949" spans="16:19" ht="15" customHeight="1" x14ac:dyDescent="0.25">
      <c r="P10949" s="216"/>
      <c r="Q10949" s="217"/>
      <c r="R10949" s="217"/>
      <c r="S10949" s="218"/>
    </row>
    <row r="10950" spans="16:19" ht="15" customHeight="1" x14ac:dyDescent="0.25">
      <c r="P10950" s="216"/>
      <c r="Q10950" s="217"/>
      <c r="R10950" s="217"/>
      <c r="S10950" s="218"/>
    </row>
    <row r="10951" spans="16:19" ht="15" customHeight="1" x14ac:dyDescent="0.25">
      <c r="P10951" s="216"/>
      <c r="Q10951" s="217"/>
      <c r="R10951" s="217"/>
      <c r="S10951" s="218"/>
    </row>
    <row r="10952" spans="16:19" ht="15" customHeight="1" x14ac:dyDescent="0.25">
      <c r="P10952" s="216"/>
      <c r="Q10952" s="217"/>
      <c r="R10952" s="217"/>
      <c r="S10952" s="218"/>
    </row>
    <row r="10953" spans="16:19" ht="15" customHeight="1" x14ac:dyDescent="0.25">
      <c r="P10953" s="216"/>
      <c r="Q10953" s="217"/>
      <c r="R10953" s="217"/>
      <c r="S10953" s="218"/>
    </row>
    <row r="10954" spans="16:19" ht="15" customHeight="1" x14ac:dyDescent="0.25">
      <c r="P10954" s="216"/>
      <c r="Q10954" s="217"/>
      <c r="R10954" s="217"/>
      <c r="S10954" s="218"/>
    </row>
    <row r="10955" spans="16:19" ht="15" customHeight="1" x14ac:dyDescent="0.25">
      <c r="P10955" s="216"/>
      <c r="Q10955" s="217"/>
      <c r="R10955" s="217"/>
      <c r="S10955" s="218"/>
    </row>
    <row r="10956" spans="16:19" ht="15" customHeight="1" x14ac:dyDescent="0.25">
      <c r="P10956" s="216"/>
      <c r="Q10956" s="217"/>
      <c r="R10956" s="217"/>
      <c r="S10956" s="218"/>
    </row>
    <row r="10957" spans="16:19" ht="15" customHeight="1" x14ac:dyDescent="0.25">
      <c r="P10957" s="216"/>
      <c r="Q10957" s="217"/>
      <c r="R10957" s="217"/>
      <c r="S10957" s="218"/>
    </row>
    <row r="10958" spans="16:19" ht="15" customHeight="1" x14ac:dyDescent="0.25">
      <c r="P10958" s="216"/>
      <c r="Q10958" s="217"/>
      <c r="R10958" s="217"/>
      <c r="S10958" s="218"/>
    </row>
    <row r="10959" spans="16:19" ht="15" customHeight="1" x14ac:dyDescent="0.25">
      <c r="P10959" s="216"/>
      <c r="Q10959" s="217"/>
      <c r="R10959" s="217"/>
      <c r="S10959" s="218"/>
    </row>
    <row r="10960" spans="16:19" ht="15" customHeight="1" x14ac:dyDescent="0.25">
      <c r="P10960" s="216"/>
      <c r="Q10960" s="217"/>
      <c r="R10960" s="217"/>
      <c r="S10960" s="218"/>
    </row>
    <row r="10961" spans="16:19" ht="15" customHeight="1" x14ac:dyDescent="0.25">
      <c r="P10961" s="216"/>
      <c r="Q10961" s="217"/>
      <c r="R10961" s="217"/>
      <c r="S10961" s="218"/>
    </row>
    <row r="10962" spans="16:19" ht="15" customHeight="1" x14ac:dyDescent="0.25">
      <c r="P10962" s="216"/>
      <c r="Q10962" s="217"/>
      <c r="R10962" s="217"/>
      <c r="S10962" s="218"/>
    </row>
    <row r="10963" spans="16:19" ht="15" customHeight="1" x14ac:dyDescent="0.25">
      <c r="P10963" s="216"/>
      <c r="Q10963" s="217"/>
      <c r="R10963" s="217"/>
      <c r="S10963" s="218"/>
    </row>
    <row r="10964" spans="16:19" ht="15" customHeight="1" x14ac:dyDescent="0.25">
      <c r="P10964" s="216"/>
      <c r="Q10964" s="217"/>
      <c r="R10964" s="217"/>
      <c r="S10964" s="218"/>
    </row>
    <row r="10965" spans="16:19" ht="15" customHeight="1" x14ac:dyDescent="0.25">
      <c r="P10965" s="216"/>
      <c r="Q10965" s="217"/>
      <c r="R10965" s="217"/>
      <c r="S10965" s="218"/>
    </row>
    <row r="10966" spans="16:19" ht="15" customHeight="1" x14ac:dyDescent="0.25">
      <c r="P10966" s="216"/>
      <c r="Q10966" s="217"/>
      <c r="R10966" s="217"/>
      <c r="S10966" s="218"/>
    </row>
    <row r="10967" spans="16:19" ht="15" customHeight="1" x14ac:dyDescent="0.25">
      <c r="P10967" s="216"/>
      <c r="Q10967" s="217"/>
      <c r="R10967" s="217"/>
      <c r="S10967" s="218"/>
    </row>
    <row r="10968" spans="16:19" ht="15" customHeight="1" x14ac:dyDescent="0.25">
      <c r="P10968" s="216"/>
      <c r="Q10968" s="217"/>
      <c r="R10968" s="217"/>
      <c r="S10968" s="218"/>
    </row>
    <row r="10969" spans="16:19" ht="15" customHeight="1" x14ac:dyDescent="0.25">
      <c r="P10969" s="216"/>
      <c r="Q10969" s="217"/>
      <c r="R10969" s="217"/>
      <c r="S10969" s="218"/>
    </row>
    <row r="10970" spans="16:19" ht="15" customHeight="1" x14ac:dyDescent="0.25">
      <c r="P10970" s="216"/>
      <c r="Q10970" s="217"/>
      <c r="R10970" s="217"/>
      <c r="S10970" s="218"/>
    </row>
    <row r="10971" spans="16:19" ht="15" customHeight="1" x14ac:dyDescent="0.25">
      <c r="P10971" s="216"/>
      <c r="Q10971" s="217"/>
      <c r="R10971" s="217"/>
      <c r="S10971" s="218"/>
    </row>
    <row r="10972" spans="16:19" ht="15" customHeight="1" x14ac:dyDescent="0.25">
      <c r="P10972" s="216"/>
      <c r="Q10972" s="217"/>
      <c r="R10972" s="217"/>
      <c r="S10972" s="218"/>
    </row>
    <row r="10973" spans="16:19" ht="15" customHeight="1" x14ac:dyDescent="0.25">
      <c r="P10973" s="216"/>
      <c r="Q10973" s="217"/>
      <c r="R10973" s="217"/>
      <c r="S10973" s="218"/>
    </row>
    <row r="10974" spans="16:19" ht="15" customHeight="1" x14ac:dyDescent="0.25">
      <c r="P10974" s="216"/>
      <c r="Q10974" s="217"/>
      <c r="R10974" s="217"/>
      <c r="S10974" s="218"/>
    </row>
    <row r="10975" spans="16:19" ht="15" customHeight="1" x14ac:dyDescent="0.25">
      <c r="P10975" s="216"/>
      <c r="Q10975" s="217"/>
      <c r="R10975" s="217"/>
      <c r="S10975" s="218"/>
    </row>
    <row r="10976" spans="16:19" ht="15" customHeight="1" x14ac:dyDescent="0.25">
      <c r="P10976" s="216"/>
      <c r="Q10976" s="217"/>
      <c r="R10976" s="217"/>
      <c r="S10976" s="218"/>
    </row>
    <row r="10977" spans="16:19" ht="15" customHeight="1" x14ac:dyDescent="0.25">
      <c r="P10977" s="216"/>
      <c r="Q10977" s="217"/>
      <c r="R10977" s="217"/>
      <c r="S10977" s="218"/>
    </row>
    <row r="10978" spans="16:19" ht="15" customHeight="1" x14ac:dyDescent="0.25">
      <c r="P10978" s="216"/>
      <c r="Q10978" s="217"/>
      <c r="R10978" s="217"/>
      <c r="S10978" s="218"/>
    </row>
    <row r="10979" spans="16:19" ht="15" customHeight="1" x14ac:dyDescent="0.25">
      <c r="P10979" s="216"/>
      <c r="Q10979" s="217"/>
      <c r="R10979" s="217"/>
      <c r="S10979" s="218"/>
    </row>
    <row r="10980" spans="16:19" ht="15" customHeight="1" x14ac:dyDescent="0.25">
      <c r="P10980" s="216"/>
      <c r="Q10980" s="217"/>
      <c r="R10980" s="217"/>
      <c r="S10980" s="218"/>
    </row>
    <row r="10981" spans="16:19" ht="15" customHeight="1" x14ac:dyDescent="0.25">
      <c r="P10981" s="216"/>
      <c r="Q10981" s="217"/>
      <c r="R10981" s="217"/>
      <c r="S10981" s="218"/>
    </row>
    <row r="10982" spans="16:19" ht="15" customHeight="1" x14ac:dyDescent="0.25">
      <c r="P10982" s="216"/>
      <c r="Q10982" s="217"/>
      <c r="R10982" s="217"/>
      <c r="S10982" s="218"/>
    </row>
    <row r="10983" spans="16:19" ht="15" customHeight="1" x14ac:dyDescent="0.25">
      <c r="P10983" s="216"/>
      <c r="Q10983" s="217"/>
      <c r="R10983" s="217"/>
      <c r="S10983" s="218"/>
    </row>
    <row r="10984" spans="16:19" ht="15" customHeight="1" x14ac:dyDescent="0.25">
      <c r="P10984" s="216"/>
      <c r="Q10984" s="217"/>
      <c r="R10984" s="217"/>
      <c r="S10984" s="218"/>
    </row>
    <row r="10985" spans="16:19" ht="15" customHeight="1" x14ac:dyDescent="0.25">
      <c r="P10985" s="216"/>
      <c r="Q10985" s="217"/>
      <c r="R10985" s="217"/>
      <c r="S10985" s="218"/>
    </row>
    <row r="10986" spans="16:19" ht="15" customHeight="1" x14ac:dyDescent="0.25">
      <c r="P10986" s="216"/>
      <c r="Q10986" s="217"/>
      <c r="R10986" s="217"/>
      <c r="S10986" s="218"/>
    </row>
    <row r="10987" spans="16:19" ht="15" customHeight="1" x14ac:dyDescent="0.25">
      <c r="P10987" s="216"/>
      <c r="Q10987" s="217"/>
      <c r="R10987" s="217"/>
      <c r="S10987" s="218"/>
    </row>
    <row r="10988" spans="16:19" ht="15" customHeight="1" x14ac:dyDescent="0.25">
      <c r="P10988" s="216"/>
      <c r="Q10988" s="217"/>
      <c r="R10988" s="217"/>
      <c r="S10988" s="218"/>
    </row>
    <row r="10989" spans="16:19" ht="15" customHeight="1" x14ac:dyDescent="0.25">
      <c r="P10989" s="216"/>
      <c r="Q10989" s="217"/>
      <c r="R10989" s="217"/>
      <c r="S10989" s="218"/>
    </row>
    <row r="10990" spans="16:19" ht="15" customHeight="1" x14ac:dyDescent="0.25">
      <c r="P10990" s="216"/>
      <c r="Q10990" s="217"/>
      <c r="R10990" s="217"/>
      <c r="S10990" s="218"/>
    </row>
    <row r="10991" spans="16:19" ht="15" customHeight="1" x14ac:dyDescent="0.25">
      <c r="P10991" s="216"/>
      <c r="Q10991" s="217"/>
      <c r="R10991" s="217"/>
      <c r="S10991" s="218"/>
    </row>
    <row r="10992" spans="16:19" ht="15" customHeight="1" x14ac:dyDescent="0.25">
      <c r="P10992" s="216"/>
      <c r="Q10992" s="217"/>
      <c r="R10992" s="217"/>
      <c r="S10992" s="218"/>
    </row>
    <row r="10993" spans="16:19" ht="15" customHeight="1" x14ac:dyDescent="0.25">
      <c r="P10993" s="216"/>
      <c r="Q10993" s="217"/>
      <c r="R10993" s="217"/>
      <c r="S10993" s="218"/>
    </row>
    <row r="10994" spans="16:19" ht="15" customHeight="1" x14ac:dyDescent="0.25">
      <c r="P10994" s="216"/>
      <c r="Q10994" s="217"/>
      <c r="R10994" s="217"/>
      <c r="S10994" s="218"/>
    </row>
    <row r="10995" spans="16:19" ht="15" customHeight="1" x14ac:dyDescent="0.25">
      <c r="P10995" s="216"/>
      <c r="Q10995" s="217"/>
      <c r="R10995" s="217"/>
      <c r="S10995" s="218"/>
    </row>
    <row r="10996" spans="16:19" ht="15" customHeight="1" x14ac:dyDescent="0.25">
      <c r="P10996" s="216"/>
      <c r="Q10996" s="217"/>
      <c r="R10996" s="217"/>
      <c r="S10996" s="218"/>
    </row>
    <row r="10997" spans="16:19" ht="15" customHeight="1" x14ac:dyDescent="0.25">
      <c r="P10997" s="216"/>
      <c r="Q10997" s="217"/>
      <c r="R10997" s="217"/>
      <c r="S10997" s="218"/>
    </row>
    <row r="10998" spans="16:19" ht="15" customHeight="1" x14ac:dyDescent="0.25">
      <c r="P10998" s="216"/>
      <c r="Q10998" s="217"/>
      <c r="R10998" s="217"/>
      <c r="S10998" s="218"/>
    </row>
    <row r="10999" spans="16:19" ht="15" customHeight="1" x14ac:dyDescent="0.25">
      <c r="P10999" s="216"/>
      <c r="Q10999" s="217"/>
      <c r="R10999" s="217"/>
      <c r="S10999" s="218"/>
    </row>
    <row r="11000" spans="16:19" ht="15" customHeight="1" x14ac:dyDescent="0.25">
      <c r="P11000" s="216"/>
      <c r="Q11000" s="217"/>
      <c r="R11000" s="217"/>
      <c r="S11000" s="218"/>
    </row>
    <row r="11001" spans="16:19" ht="15" customHeight="1" x14ac:dyDescent="0.25">
      <c r="P11001" s="216"/>
      <c r="Q11001" s="217"/>
      <c r="R11001" s="217"/>
      <c r="S11001" s="218"/>
    </row>
    <row r="11002" spans="16:19" ht="15" customHeight="1" x14ac:dyDescent="0.25">
      <c r="P11002" s="216"/>
      <c r="Q11002" s="217"/>
      <c r="R11002" s="217"/>
      <c r="S11002" s="218"/>
    </row>
    <row r="11003" spans="16:19" ht="15" customHeight="1" x14ac:dyDescent="0.25">
      <c r="P11003" s="216"/>
      <c r="Q11003" s="217"/>
      <c r="R11003" s="217"/>
      <c r="S11003" s="218"/>
    </row>
    <row r="11004" spans="16:19" ht="15" customHeight="1" x14ac:dyDescent="0.25">
      <c r="P11004" s="216"/>
      <c r="Q11004" s="217"/>
      <c r="R11004" s="217"/>
      <c r="S11004" s="218"/>
    </row>
    <row r="11005" spans="16:19" ht="15" customHeight="1" x14ac:dyDescent="0.25">
      <c r="P11005" s="216"/>
      <c r="Q11005" s="217"/>
      <c r="R11005" s="217"/>
      <c r="S11005" s="218"/>
    </row>
    <row r="11006" spans="16:19" ht="15" customHeight="1" x14ac:dyDescent="0.25">
      <c r="P11006" s="216"/>
      <c r="Q11006" s="217"/>
      <c r="R11006" s="217"/>
      <c r="S11006" s="218"/>
    </row>
    <row r="11007" spans="16:19" ht="15" customHeight="1" x14ac:dyDescent="0.25">
      <c r="P11007" s="216"/>
      <c r="Q11007" s="217"/>
      <c r="R11007" s="217"/>
      <c r="S11007" s="218"/>
    </row>
    <row r="11008" spans="16:19" ht="15" customHeight="1" x14ac:dyDescent="0.25">
      <c r="P11008" s="216"/>
      <c r="Q11008" s="217"/>
      <c r="R11008" s="217"/>
      <c r="S11008" s="218"/>
    </row>
    <row r="11009" spans="16:19" ht="15" customHeight="1" x14ac:dyDescent="0.25">
      <c r="P11009" s="216"/>
      <c r="Q11009" s="217"/>
      <c r="R11009" s="217"/>
      <c r="S11009" s="218"/>
    </row>
    <row r="11010" spans="16:19" ht="15" customHeight="1" x14ac:dyDescent="0.25">
      <c r="P11010" s="216"/>
      <c r="Q11010" s="217"/>
      <c r="R11010" s="217"/>
      <c r="S11010" s="218"/>
    </row>
    <row r="11011" spans="16:19" ht="15" customHeight="1" x14ac:dyDescent="0.25">
      <c r="P11011" s="216"/>
      <c r="Q11011" s="217"/>
      <c r="R11011" s="217"/>
      <c r="S11011" s="218"/>
    </row>
    <row r="11012" spans="16:19" ht="15" customHeight="1" x14ac:dyDescent="0.25">
      <c r="P11012" s="216"/>
      <c r="Q11012" s="217"/>
      <c r="R11012" s="217"/>
      <c r="S11012" s="218"/>
    </row>
    <row r="11013" spans="16:19" ht="15" customHeight="1" x14ac:dyDescent="0.25">
      <c r="P11013" s="216"/>
      <c r="Q11013" s="217"/>
      <c r="R11013" s="217"/>
      <c r="S11013" s="218"/>
    </row>
    <row r="11014" spans="16:19" ht="15" customHeight="1" x14ac:dyDescent="0.25">
      <c r="P11014" s="216"/>
      <c r="Q11014" s="217"/>
      <c r="R11014" s="217"/>
      <c r="S11014" s="218"/>
    </row>
    <row r="11015" spans="16:19" ht="15" customHeight="1" x14ac:dyDescent="0.25">
      <c r="P11015" s="216"/>
      <c r="Q11015" s="217"/>
      <c r="R11015" s="217"/>
      <c r="S11015" s="218"/>
    </row>
    <row r="11016" spans="16:19" ht="15" customHeight="1" x14ac:dyDescent="0.25">
      <c r="P11016" s="216"/>
      <c r="Q11016" s="217"/>
      <c r="R11016" s="217"/>
      <c r="S11016" s="218"/>
    </row>
    <row r="11017" spans="16:19" ht="15" customHeight="1" x14ac:dyDescent="0.25">
      <c r="P11017" s="216"/>
      <c r="Q11017" s="217"/>
      <c r="R11017" s="217"/>
      <c r="S11017" s="218"/>
    </row>
    <row r="11018" spans="16:19" ht="15" customHeight="1" x14ac:dyDescent="0.25">
      <c r="P11018" s="216"/>
      <c r="Q11018" s="217"/>
      <c r="R11018" s="217"/>
      <c r="S11018" s="218"/>
    </row>
    <row r="11019" spans="16:19" ht="15" customHeight="1" x14ac:dyDescent="0.25">
      <c r="P11019" s="216"/>
      <c r="Q11019" s="217"/>
      <c r="R11019" s="217"/>
      <c r="S11019" s="218"/>
    </row>
    <row r="11020" spans="16:19" ht="15" customHeight="1" x14ac:dyDescent="0.25">
      <c r="P11020" s="216"/>
      <c r="Q11020" s="217"/>
      <c r="R11020" s="217"/>
      <c r="S11020" s="218"/>
    </row>
    <row r="11021" spans="16:19" ht="15" customHeight="1" x14ac:dyDescent="0.25">
      <c r="P11021" s="216"/>
      <c r="Q11021" s="217"/>
      <c r="R11021" s="217"/>
      <c r="S11021" s="218"/>
    </row>
    <row r="11022" spans="16:19" ht="15" customHeight="1" x14ac:dyDescent="0.25">
      <c r="P11022" s="216"/>
      <c r="Q11022" s="217"/>
      <c r="R11022" s="217"/>
      <c r="S11022" s="218"/>
    </row>
    <row r="11023" spans="16:19" ht="15" customHeight="1" x14ac:dyDescent="0.25">
      <c r="P11023" s="216"/>
      <c r="Q11023" s="217"/>
      <c r="R11023" s="217"/>
      <c r="S11023" s="218"/>
    </row>
    <row r="11024" spans="16:19" ht="15" customHeight="1" x14ac:dyDescent="0.25">
      <c r="P11024" s="216"/>
      <c r="Q11024" s="217"/>
      <c r="R11024" s="217"/>
      <c r="S11024" s="218"/>
    </row>
    <row r="11025" spans="16:19" ht="15" customHeight="1" x14ac:dyDescent="0.25">
      <c r="P11025" s="216"/>
      <c r="Q11025" s="217"/>
      <c r="R11025" s="217"/>
      <c r="S11025" s="218"/>
    </row>
    <row r="11026" spans="16:19" ht="15" customHeight="1" x14ac:dyDescent="0.25">
      <c r="P11026" s="216"/>
      <c r="Q11026" s="217"/>
      <c r="R11026" s="217"/>
      <c r="S11026" s="218"/>
    </row>
    <row r="11027" spans="16:19" ht="15" customHeight="1" x14ac:dyDescent="0.25">
      <c r="P11027" s="216"/>
      <c r="Q11027" s="217"/>
      <c r="R11027" s="217"/>
      <c r="S11027" s="218"/>
    </row>
    <row r="11028" spans="16:19" ht="15" customHeight="1" x14ac:dyDescent="0.25">
      <c r="P11028" s="216"/>
      <c r="Q11028" s="217"/>
      <c r="R11028" s="217"/>
      <c r="S11028" s="218"/>
    </row>
    <row r="11029" spans="16:19" ht="15" customHeight="1" x14ac:dyDescent="0.25">
      <c r="P11029" s="216"/>
      <c r="Q11029" s="217"/>
      <c r="R11029" s="217"/>
      <c r="S11029" s="218"/>
    </row>
    <row r="11030" spans="16:19" ht="15" customHeight="1" x14ac:dyDescent="0.25">
      <c r="P11030" s="216"/>
      <c r="Q11030" s="217"/>
      <c r="R11030" s="217"/>
      <c r="S11030" s="218"/>
    </row>
    <row r="11031" spans="16:19" ht="15" customHeight="1" x14ac:dyDescent="0.25">
      <c r="P11031" s="216"/>
      <c r="Q11031" s="217"/>
      <c r="R11031" s="217"/>
      <c r="S11031" s="218"/>
    </row>
    <row r="11032" spans="16:19" ht="15" customHeight="1" x14ac:dyDescent="0.25">
      <c r="P11032" s="216"/>
      <c r="Q11032" s="217"/>
      <c r="R11032" s="217"/>
      <c r="S11032" s="218"/>
    </row>
    <row r="11033" spans="16:19" ht="15" customHeight="1" x14ac:dyDescent="0.25">
      <c r="P11033" s="216"/>
      <c r="Q11033" s="217"/>
      <c r="R11033" s="217"/>
      <c r="S11033" s="218"/>
    </row>
    <row r="11034" spans="16:19" ht="15" customHeight="1" x14ac:dyDescent="0.25">
      <c r="P11034" s="216"/>
      <c r="Q11034" s="217"/>
      <c r="R11034" s="217"/>
      <c r="S11034" s="218"/>
    </row>
    <row r="11035" spans="16:19" ht="15" customHeight="1" x14ac:dyDescent="0.25">
      <c r="P11035" s="216"/>
      <c r="Q11035" s="217"/>
      <c r="R11035" s="217"/>
      <c r="S11035" s="218"/>
    </row>
    <row r="11036" spans="16:19" ht="15" customHeight="1" x14ac:dyDescent="0.25">
      <c r="P11036" s="216"/>
      <c r="Q11036" s="217"/>
      <c r="R11036" s="217"/>
      <c r="S11036" s="218"/>
    </row>
    <row r="11037" spans="16:19" ht="15" customHeight="1" x14ac:dyDescent="0.25">
      <c r="P11037" s="216"/>
      <c r="Q11037" s="217"/>
      <c r="R11037" s="217"/>
      <c r="S11037" s="218"/>
    </row>
    <row r="11038" spans="16:19" ht="15" customHeight="1" x14ac:dyDescent="0.25">
      <c r="P11038" s="216"/>
      <c r="Q11038" s="217"/>
      <c r="R11038" s="217"/>
      <c r="S11038" s="218"/>
    </row>
    <row r="11039" spans="16:19" ht="15" customHeight="1" x14ac:dyDescent="0.25">
      <c r="P11039" s="216"/>
      <c r="Q11039" s="217"/>
      <c r="R11039" s="217"/>
      <c r="S11039" s="218"/>
    </row>
    <row r="11040" spans="16:19" ht="15" customHeight="1" x14ac:dyDescent="0.25">
      <c r="P11040" s="216"/>
      <c r="Q11040" s="217"/>
      <c r="R11040" s="217"/>
      <c r="S11040" s="218"/>
    </row>
    <row r="11041" spans="16:19" ht="15" customHeight="1" x14ac:dyDescent="0.25">
      <c r="P11041" s="216"/>
      <c r="Q11041" s="217"/>
      <c r="R11041" s="217"/>
      <c r="S11041" s="218"/>
    </row>
    <row r="11042" spans="16:19" ht="15" customHeight="1" x14ac:dyDescent="0.25">
      <c r="P11042" s="216"/>
      <c r="Q11042" s="217"/>
      <c r="R11042" s="217"/>
      <c r="S11042" s="218"/>
    </row>
    <row r="11043" spans="16:19" ht="15" customHeight="1" x14ac:dyDescent="0.25">
      <c r="P11043" s="216"/>
      <c r="Q11043" s="217"/>
      <c r="R11043" s="217"/>
      <c r="S11043" s="218"/>
    </row>
    <row r="11044" spans="16:19" ht="15" customHeight="1" x14ac:dyDescent="0.25">
      <c r="P11044" s="216"/>
      <c r="Q11044" s="217"/>
      <c r="R11044" s="217"/>
      <c r="S11044" s="218"/>
    </row>
    <row r="11045" spans="16:19" ht="15" customHeight="1" x14ac:dyDescent="0.25">
      <c r="P11045" s="216"/>
      <c r="Q11045" s="217"/>
      <c r="R11045" s="217"/>
      <c r="S11045" s="218"/>
    </row>
    <row r="11046" spans="16:19" ht="15" customHeight="1" x14ac:dyDescent="0.25">
      <c r="P11046" s="216"/>
      <c r="Q11046" s="217"/>
      <c r="R11046" s="217"/>
      <c r="S11046" s="218"/>
    </row>
    <row r="11047" spans="16:19" ht="15" customHeight="1" x14ac:dyDescent="0.25">
      <c r="P11047" s="216"/>
      <c r="Q11047" s="217"/>
      <c r="R11047" s="217"/>
      <c r="S11047" s="218"/>
    </row>
    <row r="11048" spans="16:19" ht="15" customHeight="1" x14ac:dyDescent="0.25">
      <c r="P11048" s="216"/>
      <c r="Q11048" s="217"/>
      <c r="R11048" s="217"/>
      <c r="S11048" s="218"/>
    </row>
    <row r="11049" spans="16:19" ht="15" customHeight="1" x14ac:dyDescent="0.25">
      <c r="P11049" s="216"/>
      <c r="Q11049" s="217"/>
      <c r="R11049" s="217"/>
      <c r="S11049" s="218"/>
    </row>
    <row r="11050" spans="16:19" ht="15" customHeight="1" x14ac:dyDescent="0.25">
      <c r="P11050" s="216"/>
      <c r="Q11050" s="217"/>
      <c r="R11050" s="217"/>
      <c r="S11050" s="218"/>
    </row>
    <row r="11051" spans="16:19" ht="15" customHeight="1" x14ac:dyDescent="0.25">
      <c r="P11051" s="216"/>
      <c r="Q11051" s="217"/>
      <c r="R11051" s="217"/>
      <c r="S11051" s="218"/>
    </row>
    <row r="11052" spans="16:19" ht="15" customHeight="1" x14ac:dyDescent="0.25">
      <c r="P11052" s="216"/>
      <c r="Q11052" s="217"/>
      <c r="R11052" s="217"/>
      <c r="S11052" s="218"/>
    </row>
    <row r="11053" spans="16:19" ht="15" customHeight="1" x14ac:dyDescent="0.25">
      <c r="P11053" s="216"/>
      <c r="Q11053" s="217"/>
      <c r="R11053" s="217"/>
      <c r="S11053" s="218"/>
    </row>
    <row r="11054" spans="16:19" ht="15" customHeight="1" x14ac:dyDescent="0.25">
      <c r="P11054" s="216"/>
      <c r="Q11054" s="217"/>
      <c r="R11054" s="217"/>
      <c r="S11054" s="218"/>
    </row>
    <row r="11055" spans="16:19" ht="15" customHeight="1" x14ac:dyDescent="0.25">
      <c r="P11055" s="216"/>
      <c r="Q11055" s="217"/>
      <c r="R11055" s="217"/>
      <c r="S11055" s="218"/>
    </row>
    <row r="11056" spans="16:19" ht="15" customHeight="1" x14ac:dyDescent="0.25">
      <c r="P11056" s="216"/>
      <c r="Q11056" s="217"/>
      <c r="R11056" s="217"/>
      <c r="S11056" s="218"/>
    </row>
    <row r="11057" spans="16:19" ht="15" customHeight="1" x14ac:dyDescent="0.25">
      <c r="P11057" s="216"/>
      <c r="Q11057" s="217"/>
      <c r="R11057" s="217"/>
      <c r="S11057" s="218"/>
    </row>
    <row r="11058" spans="16:19" ht="15" customHeight="1" x14ac:dyDescent="0.25">
      <c r="P11058" s="216"/>
      <c r="Q11058" s="217"/>
      <c r="R11058" s="217"/>
      <c r="S11058" s="218"/>
    </row>
    <row r="11059" spans="16:19" ht="15" customHeight="1" x14ac:dyDescent="0.25">
      <c r="P11059" s="216"/>
      <c r="Q11059" s="217"/>
      <c r="R11059" s="217"/>
      <c r="S11059" s="218"/>
    </row>
    <row r="11060" spans="16:19" ht="15" customHeight="1" x14ac:dyDescent="0.25">
      <c r="P11060" s="216"/>
      <c r="Q11060" s="217"/>
      <c r="R11060" s="217"/>
      <c r="S11060" s="218"/>
    </row>
    <row r="11061" spans="16:19" ht="15" customHeight="1" x14ac:dyDescent="0.25">
      <c r="P11061" s="216"/>
      <c r="Q11061" s="217"/>
      <c r="R11061" s="217"/>
      <c r="S11061" s="218"/>
    </row>
    <row r="11062" spans="16:19" ht="15" customHeight="1" x14ac:dyDescent="0.25">
      <c r="P11062" s="216"/>
      <c r="Q11062" s="217"/>
      <c r="R11062" s="217"/>
      <c r="S11062" s="218"/>
    </row>
    <row r="11063" spans="16:19" ht="15" customHeight="1" x14ac:dyDescent="0.25">
      <c r="P11063" s="216"/>
      <c r="Q11063" s="217"/>
      <c r="R11063" s="217"/>
      <c r="S11063" s="218"/>
    </row>
    <row r="11064" spans="16:19" ht="15" customHeight="1" x14ac:dyDescent="0.25">
      <c r="P11064" s="216"/>
      <c r="Q11064" s="217"/>
      <c r="R11064" s="217"/>
      <c r="S11064" s="218"/>
    </row>
    <row r="11065" spans="16:19" ht="15" customHeight="1" x14ac:dyDescent="0.25">
      <c r="P11065" s="216"/>
      <c r="Q11065" s="217"/>
      <c r="R11065" s="217"/>
      <c r="S11065" s="218"/>
    </row>
    <row r="11066" spans="16:19" ht="15" customHeight="1" x14ac:dyDescent="0.25">
      <c r="P11066" s="216"/>
      <c r="Q11066" s="217"/>
      <c r="R11066" s="217"/>
      <c r="S11066" s="218"/>
    </row>
    <row r="11067" spans="16:19" ht="15" customHeight="1" x14ac:dyDescent="0.25">
      <c r="P11067" s="216"/>
      <c r="Q11067" s="217"/>
      <c r="R11067" s="217"/>
      <c r="S11067" s="218"/>
    </row>
    <row r="11068" spans="16:19" ht="15" customHeight="1" x14ac:dyDescent="0.25">
      <c r="P11068" s="216"/>
      <c r="Q11068" s="217"/>
      <c r="R11068" s="217"/>
      <c r="S11068" s="218"/>
    </row>
    <row r="11069" spans="16:19" ht="15" customHeight="1" x14ac:dyDescent="0.25">
      <c r="P11069" s="216"/>
      <c r="Q11069" s="217"/>
      <c r="R11069" s="217"/>
      <c r="S11069" s="218"/>
    </row>
    <row r="11070" spans="16:19" ht="15" customHeight="1" x14ac:dyDescent="0.25">
      <c r="P11070" s="216"/>
      <c r="Q11070" s="217"/>
      <c r="R11070" s="217"/>
      <c r="S11070" s="218"/>
    </row>
    <row r="11071" spans="16:19" ht="15" customHeight="1" x14ac:dyDescent="0.25">
      <c r="P11071" s="216"/>
      <c r="Q11071" s="217"/>
      <c r="R11071" s="217"/>
      <c r="S11071" s="218"/>
    </row>
    <row r="11072" spans="16:19" ht="15" customHeight="1" x14ac:dyDescent="0.25">
      <c r="P11072" s="216"/>
      <c r="Q11072" s="217"/>
      <c r="R11072" s="217"/>
      <c r="S11072" s="218"/>
    </row>
    <row r="11073" spans="16:19" ht="15" customHeight="1" x14ac:dyDescent="0.25">
      <c r="P11073" s="216"/>
      <c r="Q11073" s="217"/>
      <c r="R11073" s="217"/>
      <c r="S11073" s="218"/>
    </row>
    <row r="11074" spans="16:19" ht="15" customHeight="1" x14ac:dyDescent="0.25">
      <c r="P11074" s="216"/>
      <c r="Q11074" s="217"/>
      <c r="R11074" s="217"/>
      <c r="S11074" s="218"/>
    </row>
    <row r="11075" spans="16:19" ht="15" customHeight="1" x14ac:dyDescent="0.25">
      <c r="P11075" s="216"/>
      <c r="Q11075" s="217"/>
      <c r="R11075" s="217"/>
      <c r="S11075" s="218"/>
    </row>
    <row r="11076" spans="16:19" ht="15" customHeight="1" x14ac:dyDescent="0.25">
      <c r="P11076" s="216"/>
      <c r="Q11076" s="217"/>
      <c r="R11076" s="217"/>
      <c r="S11076" s="218"/>
    </row>
    <row r="11077" spans="16:19" ht="15" customHeight="1" x14ac:dyDescent="0.25">
      <c r="P11077" s="216"/>
      <c r="Q11077" s="217"/>
      <c r="R11077" s="217"/>
      <c r="S11077" s="218"/>
    </row>
    <row r="11078" spans="16:19" ht="15" customHeight="1" x14ac:dyDescent="0.25">
      <c r="P11078" s="216"/>
      <c r="Q11078" s="217"/>
      <c r="R11078" s="217"/>
      <c r="S11078" s="218"/>
    </row>
    <row r="11079" spans="16:19" ht="15" customHeight="1" x14ac:dyDescent="0.25">
      <c r="P11079" s="216"/>
      <c r="Q11079" s="217"/>
      <c r="R11079" s="217"/>
      <c r="S11079" s="218"/>
    </row>
    <row r="11080" spans="16:19" ht="15" customHeight="1" x14ac:dyDescent="0.25">
      <c r="P11080" s="216"/>
      <c r="Q11080" s="217"/>
      <c r="R11080" s="217"/>
      <c r="S11080" s="218"/>
    </row>
    <row r="11081" spans="16:19" ht="15" customHeight="1" x14ac:dyDescent="0.25">
      <c r="P11081" s="216"/>
      <c r="Q11081" s="217"/>
      <c r="R11081" s="217"/>
      <c r="S11081" s="218"/>
    </row>
    <row r="11082" spans="16:19" ht="15" customHeight="1" x14ac:dyDescent="0.25">
      <c r="P11082" s="216"/>
      <c r="Q11082" s="217"/>
      <c r="R11082" s="217"/>
      <c r="S11082" s="218"/>
    </row>
    <row r="11083" spans="16:19" ht="15" customHeight="1" x14ac:dyDescent="0.25">
      <c r="P11083" s="216"/>
      <c r="Q11083" s="217"/>
      <c r="R11083" s="217"/>
      <c r="S11083" s="218"/>
    </row>
    <row r="11084" spans="16:19" ht="15" customHeight="1" x14ac:dyDescent="0.25">
      <c r="P11084" s="216"/>
      <c r="Q11084" s="217"/>
      <c r="R11084" s="217"/>
      <c r="S11084" s="218"/>
    </row>
    <row r="11085" spans="16:19" ht="15" customHeight="1" x14ac:dyDescent="0.25">
      <c r="P11085" s="216"/>
      <c r="Q11085" s="217"/>
      <c r="R11085" s="217"/>
      <c r="S11085" s="218"/>
    </row>
    <row r="11086" spans="16:19" ht="15" customHeight="1" x14ac:dyDescent="0.25">
      <c r="P11086" s="216"/>
      <c r="Q11086" s="217"/>
      <c r="R11086" s="217"/>
      <c r="S11086" s="218"/>
    </row>
    <row r="11087" spans="16:19" ht="15" customHeight="1" x14ac:dyDescent="0.25">
      <c r="P11087" s="216"/>
      <c r="Q11087" s="217"/>
      <c r="R11087" s="217"/>
      <c r="S11087" s="218"/>
    </row>
    <row r="11088" spans="16:19" ht="15" customHeight="1" x14ac:dyDescent="0.25">
      <c r="P11088" s="216"/>
      <c r="Q11088" s="217"/>
      <c r="R11088" s="217"/>
      <c r="S11088" s="218"/>
    </row>
    <row r="11089" spans="16:19" ht="15" customHeight="1" x14ac:dyDescent="0.25">
      <c r="P11089" s="216"/>
      <c r="Q11089" s="217"/>
      <c r="R11089" s="217"/>
      <c r="S11089" s="218"/>
    </row>
    <row r="11090" spans="16:19" ht="15" customHeight="1" x14ac:dyDescent="0.25">
      <c r="P11090" s="216"/>
      <c r="Q11090" s="217"/>
      <c r="R11090" s="217"/>
      <c r="S11090" s="218"/>
    </row>
    <row r="11091" spans="16:19" ht="15" customHeight="1" x14ac:dyDescent="0.25">
      <c r="P11091" s="216"/>
      <c r="Q11091" s="217"/>
      <c r="R11091" s="217"/>
      <c r="S11091" s="218"/>
    </row>
    <row r="11092" spans="16:19" ht="15" customHeight="1" x14ac:dyDescent="0.25">
      <c r="P11092" s="216"/>
      <c r="Q11092" s="217"/>
      <c r="R11092" s="217"/>
      <c r="S11092" s="218"/>
    </row>
    <row r="11093" spans="16:19" ht="15" customHeight="1" x14ac:dyDescent="0.25">
      <c r="P11093" s="216"/>
      <c r="Q11093" s="217"/>
      <c r="R11093" s="217"/>
      <c r="S11093" s="218"/>
    </row>
    <row r="11094" spans="16:19" ht="15" customHeight="1" x14ac:dyDescent="0.25">
      <c r="P11094" s="216"/>
      <c r="Q11094" s="217"/>
      <c r="R11094" s="217"/>
      <c r="S11094" s="218"/>
    </row>
    <row r="11095" spans="16:19" ht="15" customHeight="1" x14ac:dyDescent="0.25">
      <c r="P11095" s="216"/>
      <c r="Q11095" s="217"/>
      <c r="R11095" s="217"/>
      <c r="S11095" s="218"/>
    </row>
    <row r="11096" spans="16:19" ht="15" customHeight="1" x14ac:dyDescent="0.25">
      <c r="P11096" s="216"/>
      <c r="Q11096" s="217"/>
      <c r="R11096" s="217"/>
      <c r="S11096" s="218"/>
    </row>
    <row r="11097" spans="16:19" ht="15" customHeight="1" x14ac:dyDescent="0.25">
      <c r="P11097" s="216"/>
      <c r="Q11097" s="217"/>
      <c r="R11097" s="217"/>
      <c r="S11097" s="218"/>
    </row>
    <row r="11098" spans="16:19" ht="15" customHeight="1" x14ac:dyDescent="0.25">
      <c r="P11098" s="216"/>
      <c r="Q11098" s="217"/>
      <c r="R11098" s="217"/>
      <c r="S11098" s="218"/>
    </row>
    <row r="11099" spans="16:19" ht="15" customHeight="1" x14ac:dyDescent="0.25">
      <c r="P11099" s="216"/>
      <c r="Q11099" s="217"/>
      <c r="R11099" s="217"/>
      <c r="S11099" s="218"/>
    </row>
    <row r="11100" spans="16:19" ht="15" customHeight="1" x14ac:dyDescent="0.25">
      <c r="P11100" s="216"/>
      <c r="Q11100" s="217"/>
      <c r="R11100" s="217"/>
      <c r="S11100" s="218"/>
    </row>
    <row r="11101" spans="16:19" ht="15" customHeight="1" x14ac:dyDescent="0.25">
      <c r="P11101" s="216"/>
      <c r="Q11101" s="217"/>
      <c r="R11101" s="217"/>
      <c r="S11101" s="218"/>
    </row>
    <row r="11102" spans="16:19" ht="15" customHeight="1" x14ac:dyDescent="0.25">
      <c r="P11102" s="216"/>
      <c r="Q11102" s="217"/>
      <c r="R11102" s="217"/>
      <c r="S11102" s="218"/>
    </row>
    <row r="11103" spans="16:19" ht="15" customHeight="1" x14ac:dyDescent="0.25">
      <c r="P11103" s="216"/>
      <c r="Q11103" s="217"/>
      <c r="R11103" s="217"/>
      <c r="S11103" s="218"/>
    </row>
    <row r="11104" spans="16:19" ht="15" customHeight="1" x14ac:dyDescent="0.25">
      <c r="P11104" s="216"/>
      <c r="Q11104" s="217"/>
      <c r="R11104" s="217"/>
      <c r="S11104" s="218"/>
    </row>
    <row r="11105" spans="16:19" ht="15" customHeight="1" x14ac:dyDescent="0.25">
      <c r="P11105" s="216"/>
      <c r="Q11105" s="217"/>
      <c r="R11105" s="217"/>
      <c r="S11105" s="218"/>
    </row>
    <row r="11106" spans="16:19" ht="15" customHeight="1" x14ac:dyDescent="0.25">
      <c r="P11106" s="216"/>
      <c r="Q11106" s="217"/>
      <c r="R11106" s="217"/>
      <c r="S11106" s="218"/>
    </row>
    <row r="11107" spans="16:19" ht="15" customHeight="1" x14ac:dyDescent="0.25">
      <c r="P11107" s="216"/>
      <c r="Q11107" s="217"/>
      <c r="R11107" s="217"/>
      <c r="S11107" s="218"/>
    </row>
    <row r="11108" spans="16:19" ht="15" customHeight="1" x14ac:dyDescent="0.25">
      <c r="P11108" s="216"/>
      <c r="Q11108" s="217"/>
      <c r="R11108" s="217"/>
      <c r="S11108" s="218"/>
    </row>
    <row r="11109" spans="16:19" ht="15" customHeight="1" x14ac:dyDescent="0.25">
      <c r="P11109" s="216"/>
      <c r="Q11109" s="217"/>
      <c r="R11109" s="217"/>
      <c r="S11109" s="218"/>
    </row>
    <row r="11110" spans="16:19" ht="15" customHeight="1" x14ac:dyDescent="0.25">
      <c r="P11110" s="216"/>
      <c r="Q11110" s="217"/>
      <c r="R11110" s="217"/>
      <c r="S11110" s="218"/>
    </row>
    <row r="11111" spans="16:19" ht="15" customHeight="1" x14ac:dyDescent="0.25">
      <c r="P11111" s="216"/>
      <c r="Q11111" s="217"/>
      <c r="R11111" s="217"/>
      <c r="S11111" s="218"/>
    </row>
    <row r="11112" spans="16:19" ht="15" customHeight="1" x14ac:dyDescent="0.25">
      <c r="P11112" s="216"/>
      <c r="Q11112" s="217"/>
      <c r="R11112" s="217"/>
      <c r="S11112" s="218"/>
    </row>
    <row r="11113" spans="16:19" ht="15" customHeight="1" x14ac:dyDescent="0.25">
      <c r="P11113" s="216"/>
      <c r="Q11113" s="217"/>
      <c r="R11113" s="217"/>
      <c r="S11113" s="218"/>
    </row>
    <row r="11114" spans="16:19" ht="15" customHeight="1" x14ac:dyDescent="0.25">
      <c r="P11114" s="216"/>
      <c r="Q11114" s="217"/>
      <c r="R11114" s="217"/>
      <c r="S11114" s="218"/>
    </row>
    <row r="11115" spans="16:19" ht="15" customHeight="1" x14ac:dyDescent="0.25">
      <c r="P11115" s="216"/>
      <c r="Q11115" s="217"/>
      <c r="R11115" s="217"/>
      <c r="S11115" s="218"/>
    </row>
    <row r="11116" spans="16:19" ht="15" customHeight="1" x14ac:dyDescent="0.25">
      <c r="P11116" s="216"/>
      <c r="Q11116" s="217"/>
      <c r="R11116" s="217"/>
      <c r="S11116" s="218"/>
    </row>
    <row r="11117" spans="16:19" ht="15" customHeight="1" x14ac:dyDescent="0.25">
      <c r="P11117" s="216"/>
      <c r="Q11117" s="217"/>
      <c r="R11117" s="217"/>
      <c r="S11117" s="218"/>
    </row>
    <row r="11118" spans="16:19" ht="15" customHeight="1" x14ac:dyDescent="0.25">
      <c r="P11118" s="216"/>
      <c r="Q11118" s="217"/>
      <c r="R11118" s="217"/>
      <c r="S11118" s="218"/>
    </row>
    <row r="11119" spans="16:19" ht="15" customHeight="1" x14ac:dyDescent="0.25">
      <c r="P11119" s="216"/>
      <c r="Q11119" s="217"/>
      <c r="R11119" s="217"/>
      <c r="S11119" s="218"/>
    </row>
    <row r="11120" spans="16:19" ht="15" customHeight="1" x14ac:dyDescent="0.25">
      <c r="P11120" s="216"/>
      <c r="Q11120" s="217"/>
      <c r="R11120" s="217"/>
      <c r="S11120" s="218"/>
    </row>
    <row r="11121" spans="16:19" ht="15" customHeight="1" x14ac:dyDescent="0.25">
      <c r="P11121" s="216"/>
      <c r="Q11121" s="217"/>
      <c r="R11121" s="217"/>
      <c r="S11121" s="218"/>
    </row>
    <row r="11122" spans="16:19" ht="15" customHeight="1" x14ac:dyDescent="0.25">
      <c r="P11122" s="216"/>
      <c r="Q11122" s="217"/>
      <c r="R11122" s="217"/>
      <c r="S11122" s="218"/>
    </row>
    <row r="11123" spans="16:19" ht="15" customHeight="1" x14ac:dyDescent="0.25">
      <c r="P11123" s="216"/>
      <c r="Q11123" s="217"/>
      <c r="R11123" s="217"/>
      <c r="S11123" s="218"/>
    </row>
    <row r="11124" spans="16:19" ht="15" customHeight="1" x14ac:dyDescent="0.25">
      <c r="P11124" s="216"/>
      <c r="Q11124" s="217"/>
      <c r="R11124" s="217"/>
      <c r="S11124" s="218"/>
    </row>
    <row r="11125" spans="16:19" ht="15" customHeight="1" x14ac:dyDescent="0.25">
      <c r="P11125" s="216"/>
      <c r="Q11125" s="217"/>
      <c r="R11125" s="217"/>
      <c r="S11125" s="218"/>
    </row>
    <row r="11126" spans="16:19" ht="15" customHeight="1" x14ac:dyDescent="0.25">
      <c r="P11126" s="216"/>
      <c r="Q11126" s="217"/>
      <c r="R11126" s="217"/>
      <c r="S11126" s="218"/>
    </row>
    <row r="11127" spans="16:19" ht="15" customHeight="1" x14ac:dyDescent="0.25">
      <c r="P11127" s="216"/>
      <c r="Q11127" s="217"/>
      <c r="R11127" s="217"/>
      <c r="S11127" s="218"/>
    </row>
    <row r="11128" spans="16:19" ht="15" customHeight="1" x14ac:dyDescent="0.25">
      <c r="P11128" s="216"/>
      <c r="Q11128" s="217"/>
      <c r="R11128" s="217"/>
      <c r="S11128" s="218"/>
    </row>
    <row r="11129" spans="16:19" ht="15" customHeight="1" x14ac:dyDescent="0.25">
      <c r="P11129" s="216"/>
      <c r="Q11129" s="217"/>
      <c r="R11129" s="217"/>
      <c r="S11129" s="218"/>
    </row>
    <row r="11130" spans="16:19" ht="15" customHeight="1" x14ac:dyDescent="0.25">
      <c r="P11130" s="216"/>
      <c r="Q11130" s="217"/>
      <c r="R11130" s="217"/>
      <c r="S11130" s="218"/>
    </row>
    <row r="11131" spans="16:19" ht="15" customHeight="1" x14ac:dyDescent="0.25">
      <c r="P11131" s="216"/>
      <c r="Q11131" s="217"/>
      <c r="R11131" s="217"/>
      <c r="S11131" s="218"/>
    </row>
    <row r="11132" spans="16:19" ht="15" customHeight="1" x14ac:dyDescent="0.25">
      <c r="P11132" s="216"/>
      <c r="Q11132" s="217"/>
      <c r="R11132" s="217"/>
      <c r="S11132" s="218"/>
    </row>
    <row r="11133" spans="16:19" ht="15" customHeight="1" x14ac:dyDescent="0.25">
      <c r="P11133" s="216"/>
      <c r="Q11133" s="217"/>
      <c r="R11133" s="217"/>
      <c r="S11133" s="218"/>
    </row>
    <row r="11134" spans="16:19" ht="15" customHeight="1" x14ac:dyDescent="0.25">
      <c r="P11134" s="216"/>
      <c r="Q11134" s="217"/>
      <c r="R11134" s="217"/>
      <c r="S11134" s="218"/>
    </row>
    <row r="11135" spans="16:19" ht="15" customHeight="1" x14ac:dyDescent="0.25">
      <c r="P11135" s="216"/>
      <c r="Q11135" s="217"/>
      <c r="R11135" s="217"/>
      <c r="S11135" s="218"/>
    </row>
    <row r="11136" spans="16:19" ht="15" customHeight="1" x14ac:dyDescent="0.25">
      <c r="P11136" s="216"/>
      <c r="Q11136" s="217"/>
      <c r="R11136" s="217"/>
      <c r="S11136" s="218"/>
    </row>
    <row r="11137" spans="16:19" ht="15" customHeight="1" x14ac:dyDescent="0.25">
      <c r="P11137" s="216"/>
      <c r="Q11137" s="217"/>
      <c r="R11137" s="217"/>
      <c r="S11137" s="218"/>
    </row>
    <row r="11138" spans="16:19" ht="15" customHeight="1" x14ac:dyDescent="0.25">
      <c r="P11138" s="216"/>
      <c r="Q11138" s="217"/>
      <c r="R11138" s="217"/>
      <c r="S11138" s="218"/>
    </row>
    <row r="11139" spans="16:19" ht="15" customHeight="1" x14ac:dyDescent="0.25">
      <c r="P11139" s="216"/>
      <c r="Q11139" s="217"/>
      <c r="R11139" s="217"/>
      <c r="S11139" s="218"/>
    </row>
    <row r="11140" spans="16:19" ht="15" customHeight="1" x14ac:dyDescent="0.25">
      <c r="P11140" s="216"/>
      <c r="Q11140" s="217"/>
      <c r="R11140" s="217"/>
      <c r="S11140" s="218"/>
    </row>
    <row r="11141" spans="16:19" ht="15" customHeight="1" x14ac:dyDescent="0.25">
      <c r="P11141" s="216"/>
      <c r="Q11141" s="217"/>
      <c r="R11141" s="217"/>
      <c r="S11141" s="218"/>
    </row>
    <row r="11142" spans="16:19" ht="15" customHeight="1" x14ac:dyDescent="0.25">
      <c r="P11142" s="216"/>
      <c r="Q11142" s="217"/>
      <c r="R11142" s="217"/>
      <c r="S11142" s="218"/>
    </row>
    <row r="11143" spans="16:19" ht="15" customHeight="1" x14ac:dyDescent="0.25">
      <c r="P11143" s="216"/>
      <c r="Q11143" s="217"/>
      <c r="R11143" s="217"/>
      <c r="S11143" s="218"/>
    </row>
    <row r="11144" spans="16:19" ht="15" customHeight="1" x14ac:dyDescent="0.25">
      <c r="P11144" s="216"/>
      <c r="Q11144" s="217"/>
      <c r="R11144" s="217"/>
      <c r="S11144" s="218"/>
    </row>
    <row r="11145" spans="16:19" ht="15" customHeight="1" x14ac:dyDescent="0.25">
      <c r="P11145" s="216"/>
      <c r="Q11145" s="217"/>
      <c r="R11145" s="217"/>
      <c r="S11145" s="218"/>
    </row>
    <row r="11146" spans="16:19" ht="15" customHeight="1" x14ac:dyDescent="0.25">
      <c r="P11146" s="216"/>
      <c r="Q11146" s="217"/>
      <c r="R11146" s="217"/>
      <c r="S11146" s="218"/>
    </row>
    <row r="11147" spans="16:19" ht="15" customHeight="1" x14ac:dyDescent="0.25">
      <c r="P11147" s="216"/>
      <c r="Q11147" s="217"/>
      <c r="R11147" s="217"/>
      <c r="S11147" s="218"/>
    </row>
    <row r="11148" spans="16:19" ht="15" customHeight="1" x14ac:dyDescent="0.25">
      <c r="P11148" s="216"/>
      <c r="Q11148" s="217"/>
      <c r="R11148" s="217"/>
      <c r="S11148" s="218"/>
    </row>
    <row r="11149" spans="16:19" ht="15" customHeight="1" x14ac:dyDescent="0.25">
      <c r="P11149" s="216"/>
      <c r="Q11149" s="217"/>
      <c r="R11149" s="217"/>
      <c r="S11149" s="218"/>
    </row>
    <row r="11150" spans="16:19" ht="15" customHeight="1" x14ac:dyDescent="0.25">
      <c r="P11150" s="216"/>
      <c r="Q11150" s="217"/>
      <c r="R11150" s="217"/>
      <c r="S11150" s="218"/>
    </row>
    <row r="11151" spans="16:19" ht="15" customHeight="1" x14ac:dyDescent="0.25">
      <c r="P11151" s="216"/>
      <c r="Q11151" s="217"/>
      <c r="R11151" s="217"/>
      <c r="S11151" s="218"/>
    </row>
    <row r="11152" spans="16:19" ht="15" customHeight="1" x14ac:dyDescent="0.25">
      <c r="P11152" s="216"/>
      <c r="Q11152" s="217"/>
      <c r="R11152" s="217"/>
      <c r="S11152" s="218"/>
    </row>
    <row r="11153" spans="16:19" ht="15" customHeight="1" x14ac:dyDescent="0.25">
      <c r="P11153" s="216"/>
      <c r="Q11153" s="217"/>
      <c r="R11153" s="217"/>
      <c r="S11153" s="218"/>
    </row>
    <row r="11154" spans="16:19" ht="15" customHeight="1" x14ac:dyDescent="0.25">
      <c r="P11154" s="216"/>
      <c r="Q11154" s="217"/>
      <c r="R11154" s="217"/>
      <c r="S11154" s="218"/>
    </row>
    <row r="11155" spans="16:19" ht="15" customHeight="1" x14ac:dyDescent="0.25">
      <c r="P11155" s="216"/>
      <c r="Q11155" s="217"/>
      <c r="R11155" s="217"/>
      <c r="S11155" s="218"/>
    </row>
    <row r="11156" spans="16:19" ht="15" customHeight="1" x14ac:dyDescent="0.25">
      <c r="P11156" s="216"/>
      <c r="Q11156" s="217"/>
      <c r="R11156" s="217"/>
      <c r="S11156" s="218"/>
    </row>
    <row r="11157" spans="16:19" ht="15" customHeight="1" x14ac:dyDescent="0.25">
      <c r="P11157" s="216"/>
      <c r="Q11157" s="217"/>
      <c r="R11157" s="217"/>
      <c r="S11157" s="218"/>
    </row>
    <row r="11158" spans="16:19" ht="15" customHeight="1" x14ac:dyDescent="0.25">
      <c r="P11158" s="216"/>
      <c r="Q11158" s="217"/>
      <c r="R11158" s="217"/>
      <c r="S11158" s="218"/>
    </row>
    <row r="11159" spans="16:19" ht="15" customHeight="1" x14ac:dyDescent="0.25">
      <c r="P11159" s="216"/>
      <c r="Q11159" s="217"/>
      <c r="R11159" s="217"/>
      <c r="S11159" s="218"/>
    </row>
    <row r="11160" spans="16:19" ht="15" customHeight="1" x14ac:dyDescent="0.25">
      <c r="P11160" s="216"/>
      <c r="Q11160" s="217"/>
      <c r="R11160" s="217"/>
      <c r="S11160" s="218"/>
    </row>
    <row r="11161" spans="16:19" ht="15" customHeight="1" x14ac:dyDescent="0.25">
      <c r="P11161" s="216"/>
      <c r="Q11161" s="217"/>
      <c r="R11161" s="217"/>
      <c r="S11161" s="218"/>
    </row>
    <row r="11162" spans="16:19" ht="15" customHeight="1" x14ac:dyDescent="0.25">
      <c r="P11162" s="216"/>
      <c r="Q11162" s="217"/>
      <c r="R11162" s="217"/>
      <c r="S11162" s="218"/>
    </row>
    <row r="11163" spans="16:19" ht="15" customHeight="1" x14ac:dyDescent="0.25">
      <c r="P11163" s="216"/>
      <c r="Q11163" s="217"/>
      <c r="R11163" s="217"/>
      <c r="S11163" s="218"/>
    </row>
    <row r="11164" spans="16:19" ht="15" customHeight="1" x14ac:dyDescent="0.25">
      <c r="P11164" s="216"/>
      <c r="Q11164" s="217"/>
      <c r="R11164" s="217"/>
      <c r="S11164" s="218"/>
    </row>
    <row r="11165" spans="16:19" ht="15" customHeight="1" x14ac:dyDescent="0.25">
      <c r="P11165" s="216"/>
      <c r="Q11165" s="217"/>
      <c r="R11165" s="217"/>
      <c r="S11165" s="218"/>
    </row>
    <row r="11166" spans="16:19" ht="15" customHeight="1" x14ac:dyDescent="0.25">
      <c r="P11166" s="216"/>
      <c r="Q11166" s="217"/>
      <c r="R11166" s="217"/>
      <c r="S11166" s="218"/>
    </row>
    <row r="11167" spans="16:19" ht="15" customHeight="1" x14ac:dyDescent="0.25">
      <c r="P11167" s="216"/>
      <c r="Q11167" s="217"/>
      <c r="R11167" s="217"/>
      <c r="S11167" s="218"/>
    </row>
    <row r="11168" spans="16:19" ht="15" customHeight="1" x14ac:dyDescent="0.25">
      <c r="P11168" s="216"/>
      <c r="Q11168" s="217"/>
      <c r="R11168" s="217"/>
      <c r="S11168" s="218"/>
    </row>
    <row r="11169" spans="16:19" ht="15" customHeight="1" x14ac:dyDescent="0.25">
      <c r="P11169" s="216"/>
      <c r="Q11169" s="217"/>
      <c r="R11169" s="217"/>
      <c r="S11169" s="218"/>
    </row>
    <row r="11170" spans="16:19" ht="15" customHeight="1" x14ac:dyDescent="0.25">
      <c r="P11170" s="216"/>
      <c r="Q11170" s="217"/>
      <c r="R11170" s="217"/>
      <c r="S11170" s="218"/>
    </row>
    <row r="11171" spans="16:19" ht="15" customHeight="1" x14ac:dyDescent="0.25">
      <c r="P11171" s="216"/>
      <c r="Q11171" s="217"/>
      <c r="R11171" s="217"/>
      <c r="S11171" s="218"/>
    </row>
    <row r="11172" spans="16:19" ht="15" customHeight="1" x14ac:dyDescent="0.25">
      <c r="P11172" s="216"/>
      <c r="Q11172" s="217"/>
      <c r="R11172" s="217"/>
      <c r="S11172" s="218"/>
    </row>
    <row r="11173" spans="16:19" ht="15" customHeight="1" x14ac:dyDescent="0.25">
      <c r="P11173" s="216"/>
      <c r="Q11173" s="217"/>
      <c r="R11173" s="217"/>
      <c r="S11173" s="218"/>
    </row>
    <row r="11174" spans="16:19" ht="15" customHeight="1" x14ac:dyDescent="0.25">
      <c r="P11174" s="216"/>
      <c r="Q11174" s="217"/>
      <c r="R11174" s="217"/>
      <c r="S11174" s="218"/>
    </row>
    <row r="11175" spans="16:19" ht="15" customHeight="1" x14ac:dyDescent="0.25">
      <c r="P11175" s="216"/>
      <c r="Q11175" s="217"/>
      <c r="R11175" s="217"/>
      <c r="S11175" s="218"/>
    </row>
    <row r="11176" spans="16:19" ht="15" customHeight="1" x14ac:dyDescent="0.25">
      <c r="P11176" s="216"/>
      <c r="Q11176" s="217"/>
      <c r="R11176" s="217"/>
      <c r="S11176" s="218"/>
    </row>
    <row r="11177" spans="16:19" ht="15" customHeight="1" x14ac:dyDescent="0.25">
      <c r="P11177" s="216"/>
      <c r="Q11177" s="217"/>
      <c r="R11177" s="217"/>
      <c r="S11177" s="218"/>
    </row>
    <row r="11178" spans="16:19" ht="15" customHeight="1" x14ac:dyDescent="0.25">
      <c r="P11178" s="216"/>
      <c r="Q11178" s="217"/>
      <c r="R11178" s="217"/>
      <c r="S11178" s="218"/>
    </row>
    <row r="11179" spans="16:19" ht="15" customHeight="1" x14ac:dyDescent="0.25">
      <c r="P11179" s="216"/>
      <c r="Q11179" s="217"/>
      <c r="R11179" s="217"/>
      <c r="S11179" s="218"/>
    </row>
    <row r="11180" spans="16:19" ht="15" customHeight="1" x14ac:dyDescent="0.25">
      <c r="P11180" s="216"/>
      <c r="Q11180" s="217"/>
      <c r="R11180" s="217"/>
      <c r="S11180" s="218"/>
    </row>
    <row r="11181" spans="16:19" ht="15" customHeight="1" x14ac:dyDescent="0.25">
      <c r="P11181" s="216"/>
      <c r="Q11181" s="217"/>
      <c r="R11181" s="217"/>
      <c r="S11181" s="218"/>
    </row>
    <row r="11182" spans="16:19" ht="15" customHeight="1" x14ac:dyDescent="0.25">
      <c r="P11182" s="216"/>
      <c r="Q11182" s="217"/>
      <c r="R11182" s="217"/>
      <c r="S11182" s="218"/>
    </row>
    <row r="11183" spans="16:19" ht="15" customHeight="1" x14ac:dyDescent="0.25">
      <c r="P11183" s="216"/>
      <c r="Q11183" s="217"/>
      <c r="R11183" s="217"/>
      <c r="S11183" s="218"/>
    </row>
    <row r="11184" spans="16:19" ht="15" customHeight="1" x14ac:dyDescent="0.25">
      <c r="P11184" s="216"/>
      <c r="Q11184" s="217"/>
      <c r="R11184" s="217"/>
      <c r="S11184" s="218"/>
    </row>
    <row r="11185" spans="16:19" ht="15" customHeight="1" x14ac:dyDescent="0.25">
      <c r="P11185" s="216"/>
      <c r="Q11185" s="217"/>
      <c r="R11185" s="217"/>
      <c r="S11185" s="218"/>
    </row>
    <row r="11186" spans="16:19" ht="15" customHeight="1" x14ac:dyDescent="0.25">
      <c r="P11186" s="216"/>
      <c r="Q11186" s="217"/>
      <c r="R11186" s="217"/>
      <c r="S11186" s="218"/>
    </row>
    <row r="11187" spans="16:19" ht="15" customHeight="1" x14ac:dyDescent="0.25">
      <c r="P11187" s="216"/>
      <c r="Q11187" s="217"/>
      <c r="R11187" s="217"/>
      <c r="S11187" s="218"/>
    </row>
    <row r="11188" spans="16:19" ht="15" customHeight="1" x14ac:dyDescent="0.25">
      <c r="P11188" s="216"/>
      <c r="Q11188" s="217"/>
      <c r="R11188" s="217"/>
      <c r="S11188" s="218"/>
    </row>
    <row r="11189" spans="16:19" ht="15" customHeight="1" x14ac:dyDescent="0.25">
      <c r="P11189" s="216"/>
      <c r="Q11189" s="217"/>
      <c r="R11189" s="217"/>
      <c r="S11189" s="218"/>
    </row>
    <row r="11190" spans="16:19" ht="15" customHeight="1" x14ac:dyDescent="0.25">
      <c r="P11190" s="216"/>
      <c r="Q11190" s="217"/>
      <c r="R11190" s="217"/>
      <c r="S11190" s="218"/>
    </row>
    <row r="11191" spans="16:19" ht="15" customHeight="1" x14ac:dyDescent="0.25">
      <c r="P11191" s="216"/>
      <c r="Q11191" s="217"/>
      <c r="R11191" s="217"/>
      <c r="S11191" s="218"/>
    </row>
    <row r="11192" spans="16:19" ht="15" customHeight="1" x14ac:dyDescent="0.25">
      <c r="P11192" s="216"/>
      <c r="Q11192" s="217"/>
      <c r="R11192" s="217"/>
      <c r="S11192" s="218"/>
    </row>
    <row r="11193" spans="16:19" ht="15" customHeight="1" x14ac:dyDescent="0.25">
      <c r="P11193" s="216"/>
      <c r="Q11193" s="217"/>
      <c r="R11193" s="217"/>
      <c r="S11193" s="218"/>
    </row>
    <row r="11194" spans="16:19" ht="15" customHeight="1" x14ac:dyDescent="0.25">
      <c r="P11194" s="216"/>
      <c r="Q11194" s="217"/>
      <c r="R11194" s="217"/>
      <c r="S11194" s="218"/>
    </row>
    <row r="11195" spans="16:19" ht="15" customHeight="1" x14ac:dyDescent="0.25">
      <c r="P11195" s="216"/>
      <c r="Q11195" s="217"/>
      <c r="R11195" s="217"/>
      <c r="S11195" s="218"/>
    </row>
    <row r="11196" spans="16:19" ht="15" customHeight="1" x14ac:dyDescent="0.25">
      <c r="P11196" s="216"/>
      <c r="Q11196" s="217"/>
      <c r="R11196" s="217"/>
      <c r="S11196" s="218"/>
    </row>
    <row r="11197" spans="16:19" ht="15" customHeight="1" x14ac:dyDescent="0.25">
      <c r="P11197" s="216"/>
      <c r="Q11197" s="217"/>
      <c r="R11197" s="217"/>
      <c r="S11197" s="218"/>
    </row>
    <row r="11198" spans="16:19" ht="15" customHeight="1" x14ac:dyDescent="0.25">
      <c r="P11198" s="216"/>
      <c r="Q11198" s="217"/>
      <c r="R11198" s="217"/>
      <c r="S11198" s="218"/>
    </row>
    <row r="11199" spans="16:19" ht="15" customHeight="1" x14ac:dyDescent="0.25">
      <c r="P11199" s="216"/>
      <c r="Q11199" s="217"/>
      <c r="R11199" s="217"/>
      <c r="S11199" s="218"/>
    </row>
    <row r="11200" spans="16:19" ht="15" customHeight="1" x14ac:dyDescent="0.25">
      <c r="P11200" s="216"/>
      <c r="Q11200" s="217"/>
      <c r="R11200" s="217"/>
      <c r="S11200" s="218"/>
    </row>
    <row r="11201" spans="16:19" ht="15" customHeight="1" x14ac:dyDescent="0.25">
      <c r="P11201" s="216"/>
      <c r="Q11201" s="217"/>
      <c r="R11201" s="217"/>
      <c r="S11201" s="218"/>
    </row>
    <row r="11202" spans="16:19" ht="15" customHeight="1" x14ac:dyDescent="0.25">
      <c r="P11202" s="216"/>
      <c r="Q11202" s="217"/>
      <c r="R11202" s="217"/>
      <c r="S11202" s="218"/>
    </row>
    <row r="11203" spans="16:19" ht="15" customHeight="1" x14ac:dyDescent="0.25">
      <c r="P11203" s="216"/>
      <c r="Q11203" s="217"/>
      <c r="R11203" s="217"/>
      <c r="S11203" s="218"/>
    </row>
    <row r="11204" spans="16:19" ht="15" customHeight="1" x14ac:dyDescent="0.25">
      <c r="P11204" s="216"/>
      <c r="Q11204" s="217"/>
      <c r="R11204" s="217"/>
      <c r="S11204" s="218"/>
    </row>
    <row r="11205" spans="16:19" ht="15" customHeight="1" x14ac:dyDescent="0.25">
      <c r="P11205" s="216"/>
      <c r="Q11205" s="217"/>
      <c r="R11205" s="217"/>
      <c r="S11205" s="218"/>
    </row>
    <row r="11206" spans="16:19" ht="15" customHeight="1" x14ac:dyDescent="0.25">
      <c r="P11206" s="216"/>
      <c r="Q11206" s="217"/>
      <c r="R11206" s="217"/>
      <c r="S11206" s="218"/>
    </row>
    <row r="11207" spans="16:19" ht="15" customHeight="1" x14ac:dyDescent="0.25">
      <c r="P11207" s="216"/>
      <c r="Q11207" s="217"/>
      <c r="R11207" s="217"/>
      <c r="S11207" s="218"/>
    </row>
    <row r="11208" spans="16:19" ht="15" customHeight="1" x14ac:dyDescent="0.25">
      <c r="P11208" s="216"/>
      <c r="Q11208" s="217"/>
      <c r="R11208" s="217"/>
      <c r="S11208" s="218"/>
    </row>
    <row r="11209" spans="16:19" ht="15" customHeight="1" x14ac:dyDescent="0.25">
      <c r="P11209" s="216"/>
      <c r="Q11209" s="217"/>
      <c r="R11209" s="217"/>
      <c r="S11209" s="218"/>
    </row>
    <row r="11210" spans="16:19" ht="15" customHeight="1" x14ac:dyDescent="0.25">
      <c r="P11210" s="216"/>
      <c r="Q11210" s="217"/>
      <c r="R11210" s="217"/>
      <c r="S11210" s="218"/>
    </row>
    <row r="11211" spans="16:19" ht="15" customHeight="1" x14ac:dyDescent="0.25">
      <c r="P11211" s="216"/>
      <c r="Q11211" s="217"/>
      <c r="R11211" s="217"/>
      <c r="S11211" s="218"/>
    </row>
    <row r="11212" spans="16:19" ht="15" customHeight="1" x14ac:dyDescent="0.25">
      <c r="P11212" s="216"/>
      <c r="Q11212" s="217"/>
      <c r="R11212" s="217"/>
      <c r="S11212" s="218"/>
    </row>
    <row r="11213" spans="16:19" ht="15" customHeight="1" x14ac:dyDescent="0.25">
      <c r="P11213" s="216"/>
      <c r="Q11213" s="217"/>
      <c r="R11213" s="217"/>
      <c r="S11213" s="218"/>
    </row>
    <row r="11214" spans="16:19" ht="15" customHeight="1" x14ac:dyDescent="0.25">
      <c r="P11214" s="216"/>
      <c r="Q11214" s="217"/>
      <c r="R11214" s="217"/>
      <c r="S11214" s="218"/>
    </row>
    <row r="11215" spans="16:19" ht="15" customHeight="1" x14ac:dyDescent="0.25">
      <c r="P11215" s="216"/>
      <c r="Q11215" s="217"/>
      <c r="R11215" s="217"/>
      <c r="S11215" s="218"/>
    </row>
    <row r="11216" spans="16:19" ht="15" customHeight="1" x14ac:dyDescent="0.25">
      <c r="P11216" s="216"/>
      <c r="Q11216" s="217"/>
      <c r="R11216" s="217"/>
      <c r="S11216" s="218"/>
    </row>
    <row r="11217" spans="16:19" ht="15" customHeight="1" x14ac:dyDescent="0.25">
      <c r="P11217" s="216"/>
      <c r="Q11217" s="217"/>
      <c r="R11217" s="217"/>
      <c r="S11217" s="218"/>
    </row>
    <row r="11218" spans="16:19" ht="15" customHeight="1" x14ac:dyDescent="0.25">
      <c r="P11218" s="216"/>
      <c r="Q11218" s="217"/>
      <c r="R11218" s="217"/>
      <c r="S11218" s="218"/>
    </row>
    <row r="11219" spans="16:19" ht="15" customHeight="1" x14ac:dyDescent="0.25">
      <c r="P11219" s="216"/>
      <c r="Q11219" s="217"/>
      <c r="R11219" s="217"/>
      <c r="S11219" s="218"/>
    </row>
    <row r="11220" spans="16:19" ht="15" customHeight="1" x14ac:dyDescent="0.25">
      <c r="P11220" s="216"/>
      <c r="Q11220" s="217"/>
      <c r="R11220" s="217"/>
      <c r="S11220" s="218"/>
    </row>
    <row r="11221" spans="16:19" ht="15" customHeight="1" x14ac:dyDescent="0.25">
      <c r="P11221" s="216"/>
      <c r="Q11221" s="217"/>
      <c r="R11221" s="217"/>
      <c r="S11221" s="218"/>
    </row>
    <row r="11222" spans="16:19" ht="15" customHeight="1" x14ac:dyDescent="0.25">
      <c r="P11222" s="216"/>
      <c r="Q11222" s="217"/>
      <c r="R11222" s="217"/>
      <c r="S11222" s="218"/>
    </row>
    <row r="11223" spans="16:19" ht="15" customHeight="1" x14ac:dyDescent="0.25">
      <c r="P11223" s="216"/>
      <c r="Q11223" s="217"/>
      <c r="R11223" s="217"/>
      <c r="S11223" s="218"/>
    </row>
    <row r="11224" spans="16:19" ht="15" customHeight="1" x14ac:dyDescent="0.25">
      <c r="P11224" s="216"/>
      <c r="Q11224" s="217"/>
      <c r="R11224" s="217"/>
      <c r="S11224" s="218"/>
    </row>
    <row r="11225" spans="16:19" ht="15" customHeight="1" x14ac:dyDescent="0.25">
      <c r="P11225" s="216"/>
      <c r="Q11225" s="217"/>
      <c r="R11225" s="217"/>
      <c r="S11225" s="218"/>
    </row>
    <row r="11226" spans="16:19" ht="15" customHeight="1" x14ac:dyDescent="0.25">
      <c r="P11226" s="216"/>
      <c r="Q11226" s="217"/>
      <c r="R11226" s="217"/>
      <c r="S11226" s="218"/>
    </row>
    <row r="11227" spans="16:19" ht="15" customHeight="1" x14ac:dyDescent="0.25">
      <c r="P11227" s="216"/>
      <c r="Q11227" s="217"/>
      <c r="R11227" s="217"/>
      <c r="S11227" s="218"/>
    </row>
    <row r="11228" spans="16:19" ht="15" customHeight="1" x14ac:dyDescent="0.25">
      <c r="P11228" s="216"/>
      <c r="Q11228" s="217"/>
      <c r="R11228" s="217"/>
      <c r="S11228" s="218"/>
    </row>
    <row r="11229" spans="16:19" ht="15" customHeight="1" x14ac:dyDescent="0.25">
      <c r="P11229" s="216"/>
      <c r="Q11229" s="217"/>
      <c r="R11229" s="217"/>
      <c r="S11229" s="218"/>
    </row>
    <row r="11230" spans="16:19" ht="15" customHeight="1" x14ac:dyDescent="0.25">
      <c r="P11230" s="216"/>
      <c r="Q11230" s="217"/>
      <c r="R11230" s="217"/>
      <c r="S11230" s="218"/>
    </row>
    <row r="11231" spans="16:19" ht="15" customHeight="1" x14ac:dyDescent="0.25">
      <c r="P11231" s="216"/>
      <c r="Q11231" s="217"/>
      <c r="R11231" s="217"/>
      <c r="S11231" s="218"/>
    </row>
    <row r="11232" spans="16:19" ht="15" customHeight="1" x14ac:dyDescent="0.25">
      <c r="P11232" s="216"/>
      <c r="Q11232" s="217"/>
      <c r="R11232" s="217"/>
      <c r="S11232" s="218"/>
    </row>
    <row r="11233" spans="16:19" ht="15" customHeight="1" x14ac:dyDescent="0.25">
      <c r="P11233" s="216"/>
      <c r="Q11233" s="217"/>
      <c r="R11233" s="217"/>
      <c r="S11233" s="218"/>
    </row>
    <row r="11234" spans="16:19" ht="15" customHeight="1" x14ac:dyDescent="0.25">
      <c r="P11234" s="216"/>
      <c r="Q11234" s="217"/>
      <c r="R11234" s="217"/>
      <c r="S11234" s="218"/>
    </row>
    <row r="11235" spans="16:19" ht="15" customHeight="1" x14ac:dyDescent="0.25">
      <c r="P11235" s="216"/>
      <c r="Q11235" s="217"/>
      <c r="R11235" s="217"/>
      <c r="S11235" s="218"/>
    </row>
    <row r="11236" spans="16:19" ht="15" customHeight="1" x14ac:dyDescent="0.25">
      <c r="P11236" s="216"/>
      <c r="Q11236" s="217"/>
      <c r="R11236" s="217"/>
      <c r="S11236" s="218"/>
    </row>
    <row r="11237" spans="16:19" ht="15" customHeight="1" x14ac:dyDescent="0.25">
      <c r="P11237" s="216"/>
      <c r="Q11237" s="217"/>
      <c r="R11237" s="217"/>
      <c r="S11237" s="218"/>
    </row>
    <row r="11238" spans="16:19" ht="15" customHeight="1" x14ac:dyDescent="0.25">
      <c r="P11238" s="216"/>
      <c r="Q11238" s="217"/>
      <c r="R11238" s="217"/>
      <c r="S11238" s="218"/>
    </row>
    <row r="11239" spans="16:19" ht="15" customHeight="1" x14ac:dyDescent="0.25">
      <c r="P11239" s="216"/>
      <c r="Q11239" s="217"/>
      <c r="R11239" s="217"/>
      <c r="S11239" s="218"/>
    </row>
    <row r="11240" spans="16:19" ht="15" customHeight="1" x14ac:dyDescent="0.25">
      <c r="P11240" s="216"/>
      <c r="Q11240" s="217"/>
      <c r="R11240" s="217"/>
      <c r="S11240" s="218"/>
    </row>
    <row r="11241" spans="16:19" ht="15" customHeight="1" x14ac:dyDescent="0.25">
      <c r="P11241" s="216"/>
      <c r="Q11241" s="217"/>
      <c r="R11241" s="217"/>
      <c r="S11241" s="218"/>
    </row>
    <row r="11242" spans="16:19" ht="15" customHeight="1" x14ac:dyDescent="0.25">
      <c r="P11242" s="216"/>
      <c r="Q11242" s="217"/>
      <c r="R11242" s="217"/>
      <c r="S11242" s="218"/>
    </row>
    <row r="11243" spans="16:19" ht="15" customHeight="1" x14ac:dyDescent="0.25">
      <c r="P11243" s="216"/>
      <c r="Q11243" s="217"/>
      <c r="R11243" s="217"/>
      <c r="S11243" s="218"/>
    </row>
    <row r="11244" spans="16:19" ht="15" customHeight="1" x14ac:dyDescent="0.25">
      <c r="P11244" s="216"/>
      <c r="Q11244" s="217"/>
      <c r="R11244" s="217"/>
      <c r="S11244" s="218"/>
    </row>
    <row r="11245" spans="16:19" ht="15" customHeight="1" x14ac:dyDescent="0.25">
      <c r="P11245" s="216"/>
      <c r="Q11245" s="217"/>
      <c r="R11245" s="217"/>
      <c r="S11245" s="218"/>
    </row>
    <row r="11246" spans="16:19" ht="15" customHeight="1" x14ac:dyDescent="0.25">
      <c r="P11246" s="216"/>
      <c r="Q11246" s="217"/>
      <c r="R11246" s="217"/>
      <c r="S11246" s="218"/>
    </row>
    <row r="11247" spans="16:19" ht="15" customHeight="1" x14ac:dyDescent="0.25">
      <c r="P11247" s="216"/>
      <c r="Q11247" s="217"/>
      <c r="R11247" s="217"/>
      <c r="S11247" s="218"/>
    </row>
    <row r="11248" spans="16:19" ht="15" customHeight="1" x14ac:dyDescent="0.25">
      <c r="P11248" s="216"/>
      <c r="Q11248" s="217"/>
      <c r="R11248" s="217"/>
      <c r="S11248" s="218"/>
    </row>
    <row r="11249" spans="16:19" ht="15" customHeight="1" x14ac:dyDescent="0.25">
      <c r="P11249" s="216"/>
      <c r="Q11249" s="217"/>
      <c r="R11249" s="217"/>
      <c r="S11249" s="218"/>
    </row>
    <row r="11250" spans="16:19" ht="15" customHeight="1" x14ac:dyDescent="0.25">
      <c r="P11250" s="216"/>
      <c r="Q11250" s="217"/>
      <c r="R11250" s="217"/>
      <c r="S11250" s="218"/>
    </row>
    <row r="11251" spans="16:19" ht="15" customHeight="1" x14ac:dyDescent="0.25">
      <c r="P11251" s="216"/>
      <c r="Q11251" s="217"/>
      <c r="R11251" s="217"/>
      <c r="S11251" s="218"/>
    </row>
    <row r="11252" spans="16:19" ht="15" customHeight="1" x14ac:dyDescent="0.25">
      <c r="P11252" s="216"/>
      <c r="Q11252" s="217"/>
      <c r="R11252" s="217"/>
      <c r="S11252" s="218"/>
    </row>
    <row r="11253" spans="16:19" ht="15" customHeight="1" x14ac:dyDescent="0.25">
      <c r="P11253" s="216"/>
      <c r="Q11253" s="217"/>
      <c r="R11253" s="217"/>
      <c r="S11253" s="218"/>
    </row>
    <row r="11254" spans="16:19" ht="15" customHeight="1" x14ac:dyDescent="0.25">
      <c r="P11254" s="216"/>
      <c r="Q11254" s="217"/>
      <c r="R11254" s="217"/>
      <c r="S11254" s="218"/>
    </row>
    <row r="11255" spans="16:19" ht="15" customHeight="1" x14ac:dyDescent="0.25">
      <c r="P11255" s="216"/>
      <c r="Q11255" s="217"/>
      <c r="R11255" s="217"/>
      <c r="S11255" s="218"/>
    </row>
    <row r="11256" spans="16:19" ht="15" customHeight="1" x14ac:dyDescent="0.25">
      <c r="P11256" s="216"/>
      <c r="Q11256" s="217"/>
      <c r="R11256" s="217"/>
      <c r="S11256" s="218"/>
    </row>
    <row r="11257" spans="16:19" ht="15" customHeight="1" x14ac:dyDescent="0.25">
      <c r="P11257" s="216"/>
      <c r="Q11257" s="217"/>
      <c r="R11257" s="217"/>
      <c r="S11257" s="218"/>
    </row>
    <row r="11258" spans="16:19" ht="15" customHeight="1" x14ac:dyDescent="0.25">
      <c r="P11258" s="216"/>
      <c r="Q11258" s="217"/>
      <c r="R11258" s="217"/>
      <c r="S11258" s="218"/>
    </row>
    <row r="11259" spans="16:19" ht="15" customHeight="1" x14ac:dyDescent="0.25">
      <c r="P11259" s="216"/>
      <c r="Q11259" s="217"/>
      <c r="R11259" s="217"/>
      <c r="S11259" s="218"/>
    </row>
    <row r="11260" spans="16:19" ht="15" customHeight="1" x14ac:dyDescent="0.25">
      <c r="P11260" s="216"/>
      <c r="Q11260" s="217"/>
      <c r="R11260" s="217"/>
      <c r="S11260" s="218"/>
    </row>
    <row r="11261" spans="16:19" ht="15" customHeight="1" x14ac:dyDescent="0.25">
      <c r="P11261" s="216"/>
      <c r="Q11261" s="217"/>
      <c r="R11261" s="217"/>
      <c r="S11261" s="218"/>
    </row>
    <row r="11262" spans="16:19" ht="15" customHeight="1" x14ac:dyDescent="0.25">
      <c r="P11262" s="216"/>
      <c r="Q11262" s="217"/>
      <c r="R11262" s="217"/>
      <c r="S11262" s="218"/>
    </row>
    <row r="11263" spans="16:19" ht="15" customHeight="1" x14ac:dyDescent="0.25">
      <c r="P11263" s="216"/>
      <c r="Q11263" s="217"/>
      <c r="R11263" s="217"/>
      <c r="S11263" s="218"/>
    </row>
    <row r="11264" spans="16:19" ht="15" customHeight="1" x14ac:dyDescent="0.25">
      <c r="P11264" s="216"/>
      <c r="Q11264" s="217"/>
      <c r="R11264" s="217"/>
      <c r="S11264" s="218"/>
    </row>
    <row r="11265" spans="16:19" ht="15" customHeight="1" x14ac:dyDescent="0.25">
      <c r="P11265" s="216"/>
      <c r="Q11265" s="217"/>
      <c r="R11265" s="217"/>
      <c r="S11265" s="218"/>
    </row>
    <row r="11266" spans="16:19" ht="15" customHeight="1" x14ac:dyDescent="0.25">
      <c r="P11266" s="216"/>
      <c r="Q11266" s="217"/>
      <c r="R11266" s="217"/>
      <c r="S11266" s="218"/>
    </row>
    <row r="11267" spans="16:19" ht="15" customHeight="1" x14ac:dyDescent="0.25">
      <c r="P11267" s="216"/>
      <c r="Q11267" s="217"/>
      <c r="R11267" s="217"/>
      <c r="S11267" s="218"/>
    </row>
    <row r="11268" spans="16:19" ht="15" customHeight="1" x14ac:dyDescent="0.25">
      <c r="P11268" s="216"/>
      <c r="Q11268" s="217"/>
      <c r="R11268" s="217"/>
      <c r="S11268" s="218"/>
    </row>
    <row r="11269" spans="16:19" ht="15" customHeight="1" x14ac:dyDescent="0.25">
      <c r="P11269" s="216"/>
      <c r="Q11269" s="217"/>
      <c r="R11269" s="217"/>
      <c r="S11269" s="218"/>
    </row>
    <row r="11270" spans="16:19" ht="15" customHeight="1" x14ac:dyDescent="0.25">
      <c r="P11270" s="216"/>
      <c r="Q11270" s="217"/>
      <c r="R11270" s="217"/>
      <c r="S11270" s="218"/>
    </row>
    <row r="11271" spans="16:19" ht="15" customHeight="1" x14ac:dyDescent="0.25">
      <c r="P11271" s="216"/>
      <c r="Q11271" s="217"/>
      <c r="R11271" s="217"/>
      <c r="S11271" s="218"/>
    </row>
    <row r="11272" spans="16:19" ht="15" customHeight="1" x14ac:dyDescent="0.25">
      <c r="P11272" s="216"/>
      <c r="Q11272" s="217"/>
      <c r="R11272" s="217"/>
      <c r="S11272" s="218"/>
    </row>
    <row r="11273" spans="16:19" ht="15" customHeight="1" x14ac:dyDescent="0.25">
      <c r="P11273" s="216"/>
      <c r="Q11273" s="217"/>
      <c r="R11273" s="217"/>
      <c r="S11273" s="218"/>
    </row>
    <row r="11274" spans="16:19" ht="15" customHeight="1" x14ac:dyDescent="0.25">
      <c r="P11274" s="216"/>
      <c r="Q11274" s="217"/>
      <c r="R11274" s="217"/>
      <c r="S11274" s="218"/>
    </row>
    <row r="11275" spans="16:19" ht="15" customHeight="1" x14ac:dyDescent="0.25">
      <c r="P11275" s="216"/>
      <c r="Q11275" s="217"/>
      <c r="R11275" s="217"/>
      <c r="S11275" s="218"/>
    </row>
    <row r="11276" spans="16:19" ht="15" customHeight="1" x14ac:dyDescent="0.25">
      <c r="P11276" s="216"/>
      <c r="Q11276" s="217"/>
      <c r="R11276" s="217"/>
      <c r="S11276" s="218"/>
    </row>
    <row r="11277" spans="16:19" ht="15" customHeight="1" x14ac:dyDescent="0.25">
      <c r="P11277" s="216"/>
      <c r="Q11277" s="217"/>
      <c r="R11277" s="217"/>
      <c r="S11277" s="218"/>
    </row>
    <row r="11278" spans="16:19" ht="15" customHeight="1" x14ac:dyDescent="0.25">
      <c r="P11278" s="216"/>
      <c r="Q11278" s="217"/>
      <c r="R11278" s="217"/>
      <c r="S11278" s="218"/>
    </row>
    <row r="11279" spans="16:19" ht="15" customHeight="1" x14ac:dyDescent="0.25">
      <c r="P11279" s="216"/>
      <c r="Q11279" s="217"/>
      <c r="R11279" s="217"/>
      <c r="S11279" s="218"/>
    </row>
    <row r="11280" spans="16:19" ht="15" customHeight="1" x14ac:dyDescent="0.25">
      <c r="P11280" s="216"/>
      <c r="Q11280" s="217"/>
      <c r="R11280" s="217"/>
      <c r="S11280" s="218"/>
    </row>
    <row r="11281" spans="16:19" ht="15" customHeight="1" x14ac:dyDescent="0.25">
      <c r="P11281" s="216"/>
      <c r="Q11281" s="217"/>
      <c r="R11281" s="217"/>
      <c r="S11281" s="218"/>
    </row>
    <row r="11282" spans="16:19" ht="15" customHeight="1" x14ac:dyDescent="0.25">
      <c r="P11282" s="216"/>
      <c r="Q11282" s="217"/>
      <c r="R11282" s="217"/>
      <c r="S11282" s="218"/>
    </row>
    <row r="11283" spans="16:19" ht="15" customHeight="1" x14ac:dyDescent="0.25">
      <c r="P11283" s="216"/>
      <c r="Q11283" s="217"/>
      <c r="R11283" s="217"/>
      <c r="S11283" s="218"/>
    </row>
    <row r="11284" spans="16:19" ht="15" customHeight="1" x14ac:dyDescent="0.25">
      <c r="P11284" s="216"/>
      <c r="Q11284" s="217"/>
      <c r="R11284" s="217"/>
      <c r="S11284" s="218"/>
    </row>
    <row r="11285" spans="16:19" ht="15" customHeight="1" x14ac:dyDescent="0.25">
      <c r="P11285" s="216"/>
      <c r="Q11285" s="217"/>
      <c r="R11285" s="217"/>
      <c r="S11285" s="218"/>
    </row>
    <row r="11286" spans="16:19" ht="15" customHeight="1" x14ac:dyDescent="0.25">
      <c r="P11286" s="216"/>
      <c r="Q11286" s="217"/>
      <c r="R11286" s="217"/>
      <c r="S11286" s="218"/>
    </row>
    <row r="11287" spans="16:19" ht="15" customHeight="1" x14ac:dyDescent="0.25">
      <c r="P11287" s="216"/>
      <c r="Q11287" s="217"/>
      <c r="R11287" s="217"/>
      <c r="S11287" s="218"/>
    </row>
    <row r="11288" spans="16:19" ht="15" customHeight="1" x14ac:dyDescent="0.25">
      <c r="P11288" s="216"/>
      <c r="Q11288" s="217"/>
      <c r="R11288" s="217"/>
      <c r="S11288" s="218"/>
    </row>
    <row r="11289" spans="16:19" ht="15" customHeight="1" x14ac:dyDescent="0.25">
      <c r="P11289" s="216"/>
      <c r="Q11289" s="217"/>
      <c r="R11289" s="217"/>
      <c r="S11289" s="218"/>
    </row>
    <row r="11290" spans="16:19" ht="15" customHeight="1" x14ac:dyDescent="0.25">
      <c r="P11290" s="216"/>
      <c r="Q11290" s="217"/>
      <c r="R11290" s="217"/>
      <c r="S11290" s="218"/>
    </row>
    <row r="11291" spans="16:19" ht="15" customHeight="1" x14ac:dyDescent="0.25">
      <c r="P11291" s="216"/>
      <c r="Q11291" s="217"/>
      <c r="R11291" s="217"/>
      <c r="S11291" s="218"/>
    </row>
    <row r="11292" spans="16:19" ht="15" customHeight="1" x14ac:dyDescent="0.25">
      <c r="P11292" s="216"/>
      <c r="Q11292" s="217"/>
      <c r="R11292" s="217"/>
      <c r="S11292" s="218"/>
    </row>
    <row r="11293" spans="16:19" ht="15" customHeight="1" x14ac:dyDescent="0.25">
      <c r="P11293" s="216"/>
      <c r="Q11293" s="217"/>
      <c r="R11293" s="217"/>
      <c r="S11293" s="218"/>
    </row>
    <row r="11294" spans="16:19" ht="15" customHeight="1" x14ac:dyDescent="0.25">
      <c r="P11294" s="216"/>
      <c r="Q11294" s="217"/>
      <c r="R11294" s="217"/>
      <c r="S11294" s="218"/>
    </row>
    <row r="11295" spans="16:19" ht="15" customHeight="1" x14ac:dyDescent="0.25">
      <c r="P11295" s="216"/>
      <c r="Q11295" s="217"/>
      <c r="R11295" s="217"/>
      <c r="S11295" s="218"/>
    </row>
    <row r="11296" spans="16:19" ht="15" customHeight="1" x14ac:dyDescent="0.25">
      <c r="P11296" s="216"/>
      <c r="Q11296" s="217"/>
      <c r="R11296" s="217"/>
      <c r="S11296" s="218"/>
    </row>
    <row r="11297" spans="16:19" ht="15" customHeight="1" x14ac:dyDescent="0.25">
      <c r="P11297" s="216"/>
      <c r="Q11297" s="217"/>
      <c r="R11297" s="217"/>
      <c r="S11297" s="218"/>
    </row>
    <row r="11298" spans="16:19" ht="15" customHeight="1" x14ac:dyDescent="0.25">
      <c r="P11298" s="216"/>
      <c r="Q11298" s="217"/>
      <c r="R11298" s="217"/>
      <c r="S11298" s="218"/>
    </row>
    <row r="11299" spans="16:19" ht="15" customHeight="1" x14ac:dyDescent="0.25">
      <c r="P11299" s="216"/>
      <c r="Q11299" s="217"/>
      <c r="R11299" s="217"/>
      <c r="S11299" s="218"/>
    </row>
    <row r="11300" spans="16:19" ht="15" customHeight="1" x14ac:dyDescent="0.25">
      <c r="P11300" s="216"/>
      <c r="Q11300" s="217"/>
      <c r="R11300" s="217"/>
      <c r="S11300" s="218"/>
    </row>
    <row r="11301" spans="16:19" ht="15" customHeight="1" x14ac:dyDescent="0.25">
      <c r="P11301" s="216"/>
      <c r="Q11301" s="217"/>
      <c r="R11301" s="217"/>
      <c r="S11301" s="218"/>
    </row>
    <row r="11302" spans="16:19" ht="15" customHeight="1" x14ac:dyDescent="0.25">
      <c r="P11302" s="216"/>
      <c r="Q11302" s="217"/>
      <c r="R11302" s="217"/>
      <c r="S11302" s="218"/>
    </row>
    <row r="11303" spans="16:19" ht="15" customHeight="1" x14ac:dyDescent="0.25">
      <c r="P11303" s="216"/>
      <c r="Q11303" s="217"/>
      <c r="R11303" s="217"/>
      <c r="S11303" s="218"/>
    </row>
    <row r="11304" spans="16:19" ht="15" customHeight="1" x14ac:dyDescent="0.25">
      <c r="P11304" s="216"/>
      <c r="Q11304" s="217"/>
      <c r="R11304" s="217"/>
      <c r="S11304" s="218"/>
    </row>
    <row r="11305" spans="16:19" ht="15" customHeight="1" x14ac:dyDescent="0.25">
      <c r="P11305" s="216"/>
      <c r="Q11305" s="217"/>
      <c r="R11305" s="217"/>
      <c r="S11305" s="218"/>
    </row>
    <row r="11306" spans="16:19" ht="15" customHeight="1" x14ac:dyDescent="0.25">
      <c r="P11306" s="216"/>
      <c r="Q11306" s="217"/>
      <c r="R11306" s="217"/>
      <c r="S11306" s="218"/>
    </row>
    <row r="11307" spans="16:19" ht="15" customHeight="1" x14ac:dyDescent="0.25">
      <c r="P11307" s="216"/>
      <c r="Q11307" s="217"/>
      <c r="R11307" s="217"/>
      <c r="S11307" s="218"/>
    </row>
    <row r="11308" spans="16:19" ht="15" customHeight="1" x14ac:dyDescent="0.25">
      <c r="P11308" s="216"/>
      <c r="Q11308" s="217"/>
      <c r="R11308" s="217"/>
      <c r="S11308" s="218"/>
    </row>
    <row r="11309" spans="16:19" ht="15" customHeight="1" x14ac:dyDescent="0.25">
      <c r="P11309" s="216"/>
      <c r="Q11309" s="217"/>
      <c r="R11309" s="217"/>
      <c r="S11309" s="218"/>
    </row>
    <row r="11310" spans="16:19" ht="15" customHeight="1" x14ac:dyDescent="0.25">
      <c r="P11310" s="216"/>
      <c r="Q11310" s="217"/>
      <c r="R11310" s="217"/>
      <c r="S11310" s="218"/>
    </row>
    <row r="11311" spans="16:19" ht="15" customHeight="1" x14ac:dyDescent="0.25">
      <c r="P11311" s="216"/>
      <c r="Q11311" s="217"/>
      <c r="R11311" s="217"/>
      <c r="S11311" s="218"/>
    </row>
    <row r="11312" spans="16:19" ht="15" customHeight="1" x14ac:dyDescent="0.25">
      <c r="P11312" s="216"/>
      <c r="Q11312" s="217"/>
      <c r="R11312" s="217"/>
      <c r="S11312" s="218"/>
    </row>
    <row r="11313" spans="16:19" ht="15" customHeight="1" x14ac:dyDescent="0.25">
      <c r="P11313" s="216"/>
      <c r="Q11313" s="217"/>
      <c r="R11313" s="217"/>
      <c r="S11313" s="218"/>
    </row>
    <row r="11314" spans="16:19" ht="15" customHeight="1" x14ac:dyDescent="0.25">
      <c r="P11314" s="216"/>
      <c r="Q11314" s="217"/>
      <c r="R11314" s="217"/>
      <c r="S11314" s="218"/>
    </row>
    <row r="11315" spans="16:19" ht="15" customHeight="1" x14ac:dyDescent="0.25">
      <c r="P11315" s="216"/>
      <c r="Q11315" s="217"/>
      <c r="R11315" s="217"/>
      <c r="S11315" s="218"/>
    </row>
    <row r="11316" spans="16:19" ht="15" customHeight="1" x14ac:dyDescent="0.25">
      <c r="P11316" s="216"/>
      <c r="Q11316" s="217"/>
      <c r="R11316" s="217"/>
      <c r="S11316" s="218"/>
    </row>
    <row r="11317" spans="16:19" ht="15" customHeight="1" x14ac:dyDescent="0.25">
      <c r="P11317" s="216"/>
      <c r="Q11317" s="217"/>
      <c r="R11317" s="217"/>
      <c r="S11317" s="218"/>
    </row>
    <row r="11318" spans="16:19" ht="15" customHeight="1" x14ac:dyDescent="0.25">
      <c r="P11318" s="216"/>
      <c r="Q11318" s="217"/>
      <c r="R11318" s="217"/>
      <c r="S11318" s="218"/>
    </row>
    <row r="11319" spans="16:19" ht="15" customHeight="1" x14ac:dyDescent="0.25">
      <c r="P11319" s="216"/>
      <c r="Q11319" s="217"/>
      <c r="R11319" s="217"/>
      <c r="S11319" s="218"/>
    </row>
    <row r="11320" spans="16:19" ht="15" customHeight="1" x14ac:dyDescent="0.25">
      <c r="P11320" s="216"/>
      <c r="Q11320" s="217"/>
      <c r="R11320" s="217"/>
      <c r="S11320" s="218"/>
    </row>
    <row r="11321" spans="16:19" ht="15" customHeight="1" x14ac:dyDescent="0.25">
      <c r="P11321" s="216"/>
      <c r="Q11321" s="217"/>
      <c r="R11321" s="217"/>
      <c r="S11321" s="218"/>
    </row>
    <row r="11322" spans="16:19" ht="15" customHeight="1" x14ac:dyDescent="0.25">
      <c r="P11322" s="216"/>
      <c r="Q11322" s="217"/>
      <c r="R11322" s="217"/>
      <c r="S11322" s="218"/>
    </row>
    <row r="11323" spans="16:19" ht="15" customHeight="1" x14ac:dyDescent="0.25">
      <c r="P11323" s="216"/>
      <c r="Q11323" s="217"/>
      <c r="R11323" s="217"/>
      <c r="S11323" s="218"/>
    </row>
    <row r="11324" spans="16:19" ht="15" customHeight="1" x14ac:dyDescent="0.25">
      <c r="P11324" s="216"/>
      <c r="Q11324" s="217"/>
      <c r="R11324" s="217"/>
      <c r="S11324" s="218"/>
    </row>
    <row r="11325" spans="16:19" ht="15" customHeight="1" x14ac:dyDescent="0.25">
      <c r="P11325" s="216"/>
      <c r="Q11325" s="217"/>
      <c r="R11325" s="217"/>
      <c r="S11325" s="218"/>
    </row>
    <row r="11326" spans="16:19" ht="15" customHeight="1" x14ac:dyDescent="0.25">
      <c r="P11326" s="216"/>
      <c r="Q11326" s="217"/>
      <c r="R11326" s="217"/>
      <c r="S11326" s="218"/>
    </row>
    <row r="11327" spans="16:19" ht="15" customHeight="1" x14ac:dyDescent="0.25">
      <c r="P11327" s="216"/>
      <c r="Q11327" s="217"/>
      <c r="R11327" s="217"/>
      <c r="S11327" s="218"/>
    </row>
    <row r="11328" spans="16:19" ht="15" customHeight="1" x14ac:dyDescent="0.25">
      <c r="P11328" s="216"/>
      <c r="Q11328" s="217"/>
      <c r="R11328" s="217"/>
      <c r="S11328" s="218"/>
    </row>
    <row r="11329" spans="16:19" ht="15" customHeight="1" x14ac:dyDescent="0.25">
      <c r="P11329" s="216"/>
      <c r="Q11329" s="217"/>
      <c r="R11329" s="217"/>
      <c r="S11329" s="218"/>
    </row>
    <row r="11330" spans="16:19" ht="15" customHeight="1" x14ac:dyDescent="0.25">
      <c r="P11330" s="216"/>
      <c r="Q11330" s="217"/>
      <c r="R11330" s="217"/>
      <c r="S11330" s="218"/>
    </row>
    <row r="11331" spans="16:19" ht="15" customHeight="1" x14ac:dyDescent="0.25">
      <c r="P11331" s="216"/>
      <c r="Q11331" s="217"/>
      <c r="R11331" s="217"/>
      <c r="S11331" s="218"/>
    </row>
    <row r="11332" spans="16:19" ht="15" customHeight="1" x14ac:dyDescent="0.25">
      <c r="P11332" s="216"/>
      <c r="Q11332" s="217"/>
      <c r="R11332" s="217"/>
      <c r="S11332" s="218"/>
    </row>
    <row r="11333" spans="16:19" ht="15" customHeight="1" x14ac:dyDescent="0.25">
      <c r="P11333" s="216"/>
      <c r="Q11333" s="217"/>
      <c r="R11333" s="217"/>
      <c r="S11333" s="218"/>
    </row>
    <row r="11334" spans="16:19" ht="15" customHeight="1" x14ac:dyDescent="0.25">
      <c r="P11334" s="216"/>
      <c r="Q11334" s="217"/>
      <c r="R11334" s="217"/>
      <c r="S11334" s="218"/>
    </row>
    <row r="11335" spans="16:19" ht="15" customHeight="1" x14ac:dyDescent="0.25">
      <c r="P11335" s="216"/>
      <c r="Q11335" s="217"/>
      <c r="R11335" s="217"/>
      <c r="S11335" s="218"/>
    </row>
    <row r="11336" spans="16:19" ht="15" customHeight="1" x14ac:dyDescent="0.25">
      <c r="P11336" s="216"/>
      <c r="Q11336" s="217"/>
      <c r="R11336" s="217"/>
      <c r="S11336" s="218"/>
    </row>
    <row r="11337" spans="16:19" ht="15" customHeight="1" x14ac:dyDescent="0.25">
      <c r="P11337" s="216"/>
      <c r="Q11337" s="217"/>
      <c r="R11337" s="217"/>
      <c r="S11337" s="218"/>
    </row>
    <row r="11338" spans="16:19" ht="15" customHeight="1" x14ac:dyDescent="0.25">
      <c r="P11338" s="216"/>
      <c r="Q11338" s="217"/>
      <c r="R11338" s="217"/>
      <c r="S11338" s="218"/>
    </row>
    <row r="11339" spans="16:19" ht="15" customHeight="1" x14ac:dyDescent="0.25">
      <c r="P11339" s="216"/>
      <c r="Q11339" s="217"/>
      <c r="R11339" s="217"/>
      <c r="S11339" s="218"/>
    </row>
    <row r="11340" spans="16:19" ht="15" customHeight="1" x14ac:dyDescent="0.25">
      <c r="P11340" s="216"/>
      <c r="Q11340" s="217"/>
      <c r="R11340" s="217"/>
      <c r="S11340" s="218"/>
    </row>
    <row r="11341" spans="16:19" ht="15" customHeight="1" x14ac:dyDescent="0.25">
      <c r="P11341" s="216"/>
      <c r="Q11341" s="217"/>
      <c r="R11341" s="217"/>
      <c r="S11341" s="218"/>
    </row>
    <row r="11342" spans="16:19" ht="15" customHeight="1" x14ac:dyDescent="0.25">
      <c r="P11342" s="216"/>
      <c r="Q11342" s="217"/>
      <c r="R11342" s="217"/>
      <c r="S11342" s="218"/>
    </row>
    <row r="11343" spans="16:19" ht="15" customHeight="1" x14ac:dyDescent="0.25">
      <c r="P11343" s="216"/>
      <c r="Q11343" s="217"/>
      <c r="R11343" s="217"/>
      <c r="S11343" s="218"/>
    </row>
    <row r="11344" spans="16:19" ht="15" customHeight="1" x14ac:dyDescent="0.25">
      <c r="P11344" s="216"/>
      <c r="Q11344" s="217"/>
      <c r="R11344" s="217"/>
      <c r="S11344" s="218"/>
    </row>
    <row r="11345" spans="16:19" ht="15" customHeight="1" x14ac:dyDescent="0.25">
      <c r="P11345" s="216"/>
      <c r="Q11345" s="217"/>
      <c r="R11345" s="217"/>
      <c r="S11345" s="218"/>
    </row>
    <row r="11346" spans="16:19" ht="15" customHeight="1" x14ac:dyDescent="0.25">
      <c r="P11346" s="216"/>
      <c r="Q11346" s="217"/>
      <c r="R11346" s="217"/>
      <c r="S11346" s="218"/>
    </row>
    <row r="11347" spans="16:19" ht="15" customHeight="1" x14ac:dyDescent="0.25">
      <c r="P11347" s="216"/>
      <c r="Q11347" s="217"/>
      <c r="R11347" s="217"/>
      <c r="S11347" s="218"/>
    </row>
    <row r="11348" spans="16:19" ht="15" customHeight="1" x14ac:dyDescent="0.25">
      <c r="P11348" s="216"/>
      <c r="Q11348" s="217"/>
      <c r="R11348" s="217"/>
      <c r="S11348" s="218"/>
    </row>
    <row r="11349" spans="16:19" ht="15" customHeight="1" x14ac:dyDescent="0.25">
      <c r="P11349" s="216"/>
      <c r="Q11349" s="217"/>
      <c r="R11349" s="217"/>
      <c r="S11349" s="218"/>
    </row>
    <row r="11350" spans="16:19" ht="15" customHeight="1" x14ac:dyDescent="0.25">
      <c r="P11350" s="216"/>
      <c r="Q11350" s="217"/>
      <c r="R11350" s="217"/>
      <c r="S11350" s="218"/>
    </row>
    <row r="11351" spans="16:19" ht="15" customHeight="1" x14ac:dyDescent="0.25">
      <c r="P11351" s="216"/>
      <c r="Q11351" s="217"/>
      <c r="R11351" s="217"/>
      <c r="S11351" s="218"/>
    </row>
    <row r="11352" spans="16:19" ht="15" customHeight="1" x14ac:dyDescent="0.25">
      <c r="P11352" s="216"/>
      <c r="Q11352" s="217"/>
      <c r="R11352" s="217"/>
      <c r="S11352" s="218"/>
    </row>
    <row r="11353" spans="16:19" ht="15" customHeight="1" x14ac:dyDescent="0.25">
      <c r="P11353" s="216"/>
      <c r="Q11353" s="217"/>
      <c r="R11353" s="217"/>
      <c r="S11353" s="218"/>
    </row>
    <row r="11354" spans="16:19" ht="15" customHeight="1" x14ac:dyDescent="0.25">
      <c r="P11354" s="216"/>
      <c r="Q11354" s="217"/>
      <c r="R11354" s="217"/>
      <c r="S11354" s="218"/>
    </row>
    <row r="11355" spans="16:19" ht="15" customHeight="1" x14ac:dyDescent="0.25">
      <c r="P11355" s="216"/>
      <c r="Q11355" s="217"/>
      <c r="R11355" s="217"/>
      <c r="S11355" s="218"/>
    </row>
    <row r="11356" spans="16:19" ht="15" customHeight="1" x14ac:dyDescent="0.25">
      <c r="P11356" s="216"/>
      <c r="Q11356" s="217"/>
      <c r="R11356" s="217"/>
      <c r="S11356" s="218"/>
    </row>
    <row r="11357" spans="16:19" ht="15" customHeight="1" x14ac:dyDescent="0.25">
      <c r="P11357" s="216"/>
      <c r="Q11357" s="217"/>
      <c r="R11357" s="217"/>
      <c r="S11357" s="218"/>
    </row>
    <row r="11358" spans="16:19" ht="15" customHeight="1" x14ac:dyDescent="0.25">
      <c r="P11358" s="216"/>
      <c r="Q11358" s="217"/>
      <c r="R11358" s="217"/>
      <c r="S11358" s="218"/>
    </row>
    <row r="11359" spans="16:19" ht="15" customHeight="1" x14ac:dyDescent="0.25">
      <c r="P11359" s="216"/>
      <c r="Q11359" s="217"/>
      <c r="R11359" s="217"/>
      <c r="S11359" s="218"/>
    </row>
    <row r="11360" spans="16:19" ht="15" customHeight="1" x14ac:dyDescent="0.25">
      <c r="P11360" s="216"/>
      <c r="Q11360" s="217"/>
      <c r="R11360" s="217"/>
      <c r="S11360" s="218"/>
    </row>
    <row r="11361" spans="16:19" ht="15" customHeight="1" x14ac:dyDescent="0.25">
      <c r="P11361" s="216"/>
      <c r="Q11361" s="217"/>
      <c r="R11361" s="217"/>
      <c r="S11361" s="218"/>
    </row>
    <row r="11362" spans="16:19" ht="15" customHeight="1" x14ac:dyDescent="0.25">
      <c r="P11362" s="216"/>
      <c r="Q11362" s="217"/>
      <c r="R11362" s="217"/>
      <c r="S11362" s="218"/>
    </row>
    <row r="11363" spans="16:19" ht="15" customHeight="1" x14ac:dyDescent="0.25">
      <c r="P11363" s="216"/>
      <c r="Q11363" s="217"/>
      <c r="R11363" s="217"/>
      <c r="S11363" s="218"/>
    </row>
    <row r="11364" spans="16:19" ht="15" customHeight="1" x14ac:dyDescent="0.25">
      <c r="P11364" s="216"/>
      <c r="Q11364" s="217"/>
      <c r="R11364" s="217"/>
      <c r="S11364" s="218"/>
    </row>
    <row r="11365" spans="16:19" ht="15" customHeight="1" x14ac:dyDescent="0.25">
      <c r="P11365" s="216"/>
      <c r="Q11365" s="217"/>
      <c r="R11365" s="217"/>
      <c r="S11365" s="218"/>
    </row>
    <row r="11366" spans="16:19" ht="15" customHeight="1" x14ac:dyDescent="0.25">
      <c r="P11366" s="216"/>
      <c r="Q11366" s="217"/>
      <c r="R11366" s="217"/>
      <c r="S11366" s="218"/>
    </row>
    <row r="11367" spans="16:19" ht="15" customHeight="1" x14ac:dyDescent="0.25">
      <c r="P11367" s="216"/>
      <c r="Q11367" s="217"/>
      <c r="R11367" s="217"/>
      <c r="S11367" s="218"/>
    </row>
    <row r="11368" spans="16:19" ht="15" customHeight="1" x14ac:dyDescent="0.25">
      <c r="P11368" s="216"/>
      <c r="Q11368" s="217"/>
      <c r="R11368" s="217"/>
      <c r="S11368" s="218"/>
    </row>
    <row r="11369" spans="16:19" ht="15" customHeight="1" x14ac:dyDescent="0.25">
      <c r="P11369" s="216"/>
      <c r="Q11369" s="217"/>
      <c r="R11369" s="217"/>
      <c r="S11369" s="218"/>
    </row>
    <row r="11370" spans="16:19" ht="15" customHeight="1" x14ac:dyDescent="0.25">
      <c r="P11370" s="216"/>
      <c r="Q11370" s="217"/>
      <c r="R11370" s="217"/>
      <c r="S11370" s="218"/>
    </row>
    <row r="11371" spans="16:19" ht="15" customHeight="1" x14ac:dyDescent="0.25">
      <c r="P11371" s="216"/>
      <c r="Q11371" s="217"/>
      <c r="R11371" s="217"/>
      <c r="S11371" s="218"/>
    </row>
    <row r="11372" spans="16:19" ht="15" customHeight="1" x14ac:dyDescent="0.25">
      <c r="P11372" s="216"/>
      <c r="Q11372" s="217"/>
      <c r="R11372" s="217"/>
      <c r="S11372" s="218"/>
    </row>
    <row r="11373" spans="16:19" ht="15" customHeight="1" x14ac:dyDescent="0.25">
      <c r="P11373" s="216"/>
      <c r="Q11373" s="217"/>
      <c r="R11373" s="217"/>
      <c r="S11373" s="218"/>
    </row>
    <row r="11374" spans="16:19" ht="15" customHeight="1" x14ac:dyDescent="0.25">
      <c r="P11374" s="216"/>
      <c r="Q11374" s="217"/>
      <c r="R11374" s="217"/>
      <c r="S11374" s="218"/>
    </row>
    <row r="11375" spans="16:19" ht="15" customHeight="1" x14ac:dyDescent="0.25">
      <c r="P11375" s="216"/>
      <c r="Q11375" s="217"/>
      <c r="R11375" s="217"/>
      <c r="S11375" s="218"/>
    </row>
    <row r="11376" spans="16:19" ht="15" customHeight="1" x14ac:dyDescent="0.25">
      <c r="P11376" s="216"/>
      <c r="Q11376" s="217"/>
      <c r="R11376" s="217"/>
      <c r="S11376" s="218"/>
    </row>
    <row r="11377" spans="16:19" ht="15" customHeight="1" x14ac:dyDescent="0.25">
      <c r="P11377" s="216"/>
      <c r="Q11377" s="217"/>
      <c r="R11377" s="217"/>
      <c r="S11377" s="218"/>
    </row>
    <row r="11378" spans="16:19" ht="15" customHeight="1" x14ac:dyDescent="0.25">
      <c r="P11378" s="216"/>
      <c r="Q11378" s="217"/>
      <c r="R11378" s="217"/>
      <c r="S11378" s="218"/>
    </row>
    <row r="11379" spans="16:19" ht="15" customHeight="1" x14ac:dyDescent="0.25">
      <c r="P11379" s="216"/>
      <c r="Q11379" s="217"/>
      <c r="R11379" s="217"/>
      <c r="S11379" s="218"/>
    </row>
    <row r="11380" spans="16:19" ht="15" customHeight="1" x14ac:dyDescent="0.25">
      <c r="P11380" s="216"/>
      <c r="Q11380" s="217"/>
      <c r="R11380" s="217"/>
      <c r="S11380" s="218"/>
    </row>
    <row r="11381" spans="16:19" ht="15" customHeight="1" x14ac:dyDescent="0.25">
      <c r="P11381" s="216"/>
      <c r="Q11381" s="217"/>
      <c r="R11381" s="217"/>
      <c r="S11381" s="218"/>
    </row>
    <row r="11382" spans="16:19" ht="15" customHeight="1" x14ac:dyDescent="0.25">
      <c r="P11382" s="216"/>
      <c r="Q11382" s="217"/>
      <c r="R11382" s="217"/>
      <c r="S11382" s="218"/>
    </row>
    <row r="11383" spans="16:19" ht="15" customHeight="1" x14ac:dyDescent="0.25">
      <c r="P11383" s="216"/>
      <c r="Q11383" s="217"/>
      <c r="R11383" s="217"/>
      <c r="S11383" s="218"/>
    </row>
    <row r="11384" spans="16:19" ht="15" customHeight="1" x14ac:dyDescent="0.25">
      <c r="P11384" s="216"/>
      <c r="Q11384" s="217"/>
      <c r="R11384" s="217"/>
      <c r="S11384" s="218"/>
    </row>
    <row r="11385" spans="16:19" ht="15" customHeight="1" x14ac:dyDescent="0.25">
      <c r="P11385" s="216"/>
      <c r="Q11385" s="217"/>
      <c r="R11385" s="217"/>
      <c r="S11385" s="218"/>
    </row>
    <row r="11386" spans="16:19" ht="15" customHeight="1" x14ac:dyDescent="0.25">
      <c r="P11386" s="216"/>
      <c r="Q11386" s="217"/>
      <c r="R11386" s="217"/>
      <c r="S11386" s="218"/>
    </row>
    <row r="11387" spans="16:19" ht="15" customHeight="1" x14ac:dyDescent="0.25">
      <c r="P11387" s="216"/>
      <c r="Q11387" s="217"/>
      <c r="R11387" s="217"/>
      <c r="S11387" s="218"/>
    </row>
    <row r="11388" spans="16:19" ht="15" customHeight="1" x14ac:dyDescent="0.25">
      <c r="P11388" s="216"/>
      <c r="Q11388" s="217"/>
      <c r="R11388" s="217"/>
      <c r="S11388" s="218"/>
    </row>
    <row r="11389" spans="16:19" ht="15" customHeight="1" x14ac:dyDescent="0.25">
      <c r="P11389" s="216"/>
      <c r="Q11389" s="217"/>
      <c r="R11389" s="217"/>
      <c r="S11389" s="218"/>
    </row>
    <row r="11390" spans="16:19" ht="15" customHeight="1" x14ac:dyDescent="0.25">
      <c r="P11390" s="216"/>
      <c r="Q11390" s="217"/>
      <c r="R11390" s="217"/>
      <c r="S11390" s="218"/>
    </row>
    <row r="11391" spans="16:19" ht="15" customHeight="1" x14ac:dyDescent="0.25">
      <c r="P11391" s="216"/>
      <c r="Q11391" s="217"/>
      <c r="R11391" s="217"/>
      <c r="S11391" s="218"/>
    </row>
    <row r="11392" spans="16:19" ht="15" customHeight="1" x14ac:dyDescent="0.25">
      <c r="P11392" s="216"/>
      <c r="Q11392" s="217"/>
      <c r="R11392" s="217"/>
      <c r="S11392" s="218"/>
    </row>
    <row r="11393" spans="16:19" ht="15" customHeight="1" x14ac:dyDescent="0.25">
      <c r="P11393" s="216"/>
      <c r="Q11393" s="217"/>
      <c r="R11393" s="217"/>
      <c r="S11393" s="218"/>
    </row>
    <row r="11394" spans="16:19" ht="15" customHeight="1" x14ac:dyDescent="0.25">
      <c r="P11394" s="216"/>
      <c r="Q11394" s="217"/>
      <c r="R11394" s="217"/>
      <c r="S11394" s="218"/>
    </row>
    <row r="11395" spans="16:19" ht="15" customHeight="1" x14ac:dyDescent="0.25">
      <c r="P11395" s="216"/>
      <c r="Q11395" s="217"/>
      <c r="R11395" s="217"/>
      <c r="S11395" s="218"/>
    </row>
    <row r="11396" spans="16:19" ht="15" customHeight="1" x14ac:dyDescent="0.25">
      <c r="P11396" s="216"/>
      <c r="Q11396" s="217"/>
      <c r="R11396" s="217"/>
      <c r="S11396" s="218"/>
    </row>
    <row r="11397" spans="16:19" ht="15" customHeight="1" x14ac:dyDescent="0.25">
      <c r="P11397" s="216"/>
      <c r="Q11397" s="217"/>
      <c r="R11397" s="217"/>
      <c r="S11397" s="218"/>
    </row>
    <row r="11398" spans="16:19" ht="15" customHeight="1" x14ac:dyDescent="0.25">
      <c r="P11398" s="216"/>
      <c r="Q11398" s="217"/>
      <c r="R11398" s="217"/>
      <c r="S11398" s="218"/>
    </row>
    <row r="11399" spans="16:19" ht="15" customHeight="1" x14ac:dyDescent="0.25">
      <c r="P11399" s="216"/>
      <c r="Q11399" s="217"/>
      <c r="R11399" s="217"/>
      <c r="S11399" s="218"/>
    </row>
    <row r="11400" spans="16:19" ht="15" customHeight="1" x14ac:dyDescent="0.25">
      <c r="P11400" s="216"/>
      <c r="Q11400" s="217"/>
      <c r="R11400" s="217"/>
      <c r="S11400" s="218"/>
    </row>
    <row r="11401" spans="16:19" ht="15" customHeight="1" x14ac:dyDescent="0.25">
      <c r="P11401" s="216"/>
      <c r="Q11401" s="217"/>
      <c r="R11401" s="217"/>
      <c r="S11401" s="218"/>
    </row>
    <row r="11402" spans="16:19" ht="15" customHeight="1" x14ac:dyDescent="0.25">
      <c r="P11402" s="216"/>
      <c r="Q11402" s="217"/>
      <c r="R11402" s="217"/>
      <c r="S11402" s="218"/>
    </row>
    <row r="11403" spans="16:19" ht="15" customHeight="1" x14ac:dyDescent="0.25">
      <c r="P11403" s="216"/>
      <c r="Q11403" s="217"/>
      <c r="R11403" s="217"/>
      <c r="S11403" s="218"/>
    </row>
    <row r="11404" spans="16:19" ht="15" customHeight="1" x14ac:dyDescent="0.25">
      <c r="P11404" s="216"/>
      <c r="Q11404" s="217"/>
      <c r="R11404" s="217"/>
      <c r="S11404" s="218"/>
    </row>
    <row r="11405" spans="16:19" ht="15" customHeight="1" x14ac:dyDescent="0.25">
      <c r="P11405" s="216"/>
      <c r="Q11405" s="217"/>
      <c r="R11405" s="217"/>
      <c r="S11405" s="218"/>
    </row>
    <row r="11406" spans="16:19" ht="15" customHeight="1" x14ac:dyDescent="0.25">
      <c r="P11406" s="216"/>
      <c r="Q11406" s="217"/>
      <c r="R11406" s="217"/>
      <c r="S11406" s="218"/>
    </row>
    <row r="11407" spans="16:19" ht="15" customHeight="1" x14ac:dyDescent="0.25">
      <c r="P11407" s="216"/>
      <c r="Q11407" s="217"/>
      <c r="R11407" s="217"/>
      <c r="S11407" s="218"/>
    </row>
    <row r="11408" spans="16:19" ht="15" customHeight="1" x14ac:dyDescent="0.25">
      <c r="P11408" s="216"/>
      <c r="Q11408" s="217"/>
      <c r="R11408" s="217"/>
      <c r="S11408" s="218"/>
    </row>
    <row r="11409" spans="16:19" ht="15" customHeight="1" x14ac:dyDescent="0.25">
      <c r="P11409" s="216"/>
      <c r="Q11409" s="217"/>
      <c r="R11409" s="217"/>
      <c r="S11409" s="218"/>
    </row>
    <row r="11410" spans="16:19" ht="15" customHeight="1" x14ac:dyDescent="0.25">
      <c r="P11410" s="216"/>
      <c r="Q11410" s="217"/>
      <c r="R11410" s="217"/>
      <c r="S11410" s="218"/>
    </row>
    <row r="11411" spans="16:19" ht="15" customHeight="1" x14ac:dyDescent="0.25">
      <c r="P11411" s="216"/>
      <c r="Q11411" s="217"/>
      <c r="R11411" s="217"/>
      <c r="S11411" s="218"/>
    </row>
    <row r="11412" spans="16:19" ht="15" customHeight="1" x14ac:dyDescent="0.25">
      <c r="P11412" s="216"/>
      <c r="Q11412" s="217"/>
      <c r="R11412" s="217"/>
      <c r="S11412" s="218"/>
    </row>
    <row r="11413" spans="16:19" ht="15" customHeight="1" x14ac:dyDescent="0.25">
      <c r="P11413" s="216"/>
      <c r="Q11413" s="217"/>
      <c r="R11413" s="217"/>
      <c r="S11413" s="218"/>
    </row>
    <row r="11414" spans="16:19" ht="15" customHeight="1" x14ac:dyDescent="0.25">
      <c r="P11414" s="216"/>
      <c r="Q11414" s="217"/>
      <c r="R11414" s="217"/>
      <c r="S11414" s="218"/>
    </row>
    <row r="11415" spans="16:19" ht="15" customHeight="1" x14ac:dyDescent="0.25">
      <c r="P11415" s="216"/>
      <c r="Q11415" s="217"/>
      <c r="R11415" s="217"/>
      <c r="S11415" s="218"/>
    </row>
    <row r="11416" spans="16:19" ht="15" customHeight="1" x14ac:dyDescent="0.25">
      <c r="P11416" s="216"/>
      <c r="Q11416" s="217"/>
      <c r="R11416" s="217"/>
      <c r="S11416" s="218"/>
    </row>
    <row r="11417" spans="16:19" ht="15" customHeight="1" x14ac:dyDescent="0.25">
      <c r="P11417" s="216"/>
      <c r="Q11417" s="217"/>
      <c r="R11417" s="217"/>
      <c r="S11417" s="218"/>
    </row>
    <row r="11418" spans="16:19" ht="15" customHeight="1" x14ac:dyDescent="0.25">
      <c r="P11418" s="216"/>
      <c r="Q11418" s="217"/>
      <c r="R11418" s="217"/>
      <c r="S11418" s="218"/>
    </row>
    <row r="11419" spans="16:19" ht="15" customHeight="1" x14ac:dyDescent="0.25">
      <c r="P11419" s="216"/>
      <c r="Q11419" s="217"/>
      <c r="R11419" s="217"/>
      <c r="S11419" s="218"/>
    </row>
    <row r="11420" spans="16:19" ht="15" customHeight="1" x14ac:dyDescent="0.25">
      <c r="P11420" s="216"/>
      <c r="Q11420" s="217"/>
      <c r="R11420" s="217"/>
      <c r="S11420" s="218"/>
    </row>
    <row r="11421" spans="16:19" ht="15" customHeight="1" x14ac:dyDescent="0.25">
      <c r="P11421" s="216"/>
      <c r="Q11421" s="217"/>
      <c r="R11421" s="217"/>
      <c r="S11421" s="218"/>
    </row>
    <row r="11422" spans="16:19" ht="15" customHeight="1" x14ac:dyDescent="0.25">
      <c r="P11422" s="216"/>
      <c r="Q11422" s="217"/>
      <c r="R11422" s="217"/>
      <c r="S11422" s="218"/>
    </row>
    <row r="11423" spans="16:19" ht="15" customHeight="1" x14ac:dyDescent="0.25">
      <c r="P11423" s="216"/>
      <c r="Q11423" s="217"/>
      <c r="R11423" s="217"/>
      <c r="S11423" s="218"/>
    </row>
    <row r="11424" spans="16:19" ht="15" customHeight="1" x14ac:dyDescent="0.25">
      <c r="P11424" s="216"/>
      <c r="Q11424" s="217"/>
      <c r="R11424" s="217"/>
      <c r="S11424" s="218"/>
    </row>
    <row r="11425" spans="16:19" ht="15" customHeight="1" x14ac:dyDescent="0.25">
      <c r="P11425" s="216"/>
      <c r="Q11425" s="217"/>
      <c r="R11425" s="217"/>
      <c r="S11425" s="218"/>
    </row>
    <row r="11426" spans="16:19" ht="15" customHeight="1" x14ac:dyDescent="0.25">
      <c r="P11426" s="216"/>
      <c r="Q11426" s="217"/>
      <c r="R11426" s="217"/>
      <c r="S11426" s="218"/>
    </row>
    <row r="11427" spans="16:19" ht="15" customHeight="1" x14ac:dyDescent="0.25">
      <c r="P11427" s="216"/>
      <c r="Q11427" s="217"/>
      <c r="R11427" s="217"/>
      <c r="S11427" s="218"/>
    </row>
    <row r="11428" spans="16:19" ht="15" customHeight="1" x14ac:dyDescent="0.25">
      <c r="P11428" s="216"/>
      <c r="Q11428" s="217"/>
      <c r="R11428" s="217"/>
      <c r="S11428" s="218"/>
    </row>
    <row r="11429" spans="16:19" ht="15" customHeight="1" x14ac:dyDescent="0.25">
      <c r="P11429" s="216"/>
      <c r="Q11429" s="217"/>
      <c r="R11429" s="217"/>
      <c r="S11429" s="218"/>
    </row>
    <row r="11430" spans="16:19" ht="15" customHeight="1" x14ac:dyDescent="0.25">
      <c r="P11430" s="216"/>
      <c r="Q11430" s="217"/>
      <c r="R11430" s="217"/>
      <c r="S11430" s="218"/>
    </row>
    <row r="11431" spans="16:19" ht="15" customHeight="1" x14ac:dyDescent="0.25">
      <c r="P11431" s="216"/>
      <c r="Q11431" s="217"/>
      <c r="R11431" s="217"/>
      <c r="S11431" s="218"/>
    </row>
    <row r="11432" spans="16:19" ht="15" customHeight="1" x14ac:dyDescent="0.25">
      <c r="P11432" s="216"/>
      <c r="Q11432" s="217"/>
      <c r="R11432" s="217"/>
      <c r="S11432" s="218"/>
    </row>
    <row r="11433" spans="16:19" ht="15" customHeight="1" x14ac:dyDescent="0.25">
      <c r="P11433" s="216"/>
      <c r="Q11433" s="217"/>
      <c r="R11433" s="217"/>
      <c r="S11433" s="218"/>
    </row>
    <row r="11434" spans="16:19" ht="15" customHeight="1" x14ac:dyDescent="0.25">
      <c r="P11434" s="216"/>
      <c r="Q11434" s="217"/>
      <c r="R11434" s="217"/>
      <c r="S11434" s="218"/>
    </row>
    <row r="11435" spans="16:19" ht="15" customHeight="1" x14ac:dyDescent="0.25">
      <c r="P11435" s="216"/>
      <c r="Q11435" s="217"/>
      <c r="R11435" s="217"/>
      <c r="S11435" s="218"/>
    </row>
    <row r="11436" spans="16:19" ht="15" customHeight="1" x14ac:dyDescent="0.25">
      <c r="P11436" s="216"/>
      <c r="Q11436" s="217"/>
      <c r="R11436" s="217"/>
      <c r="S11436" s="218"/>
    </row>
    <row r="11437" spans="16:19" ht="15" customHeight="1" x14ac:dyDescent="0.25">
      <c r="P11437" s="216"/>
      <c r="Q11437" s="217"/>
      <c r="R11437" s="217"/>
      <c r="S11437" s="218"/>
    </row>
    <row r="11438" spans="16:19" ht="15" customHeight="1" x14ac:dyDescent="0.25">
      <c r="P11438" s="216"/>
      <c r="Q11438" s="217"/>
      <c r="R11438" s="217"/>
      <c r="S11438" s="218"/>
    </row>
    <row r="11439" spans="16:19" ht="15" customHeight="1" x14ac:dyDescent="0.25">
      <c r="P11439" s="216"/>
      <c r="Q11439" s="217"/>
      <c r="R11439" s="217"/>
      <c r="S11439" s="218"/>
    </row>
    <row r="11440" spans="16:19" ht="15" customHeight="1" x14ac:dyDescent="0.25">
      <c r="P11440" s="216"/>
      <c r="Q11440" s="217"/>
      <c r="R11440" s="217"/>
      <c r="S11440" s="218"/>
    </row>
    <row r="11441" spans="16:19" ht="15" customHeight="1" x14ac:dyDescent="0.25">
      <c r="P11441" s="216"/>
      <c r="Q11441" s="217"/>
      <c r="R11441" s="217"/>
      <c r="S11441" s="218"/>
    </row>
    <row r="11442" spans="16:19" ht="15" customHeight="1" x14ac:dyDescent="0.25">
      <c r="P11442" s="216"/>
      <c r="Q11442" s="217"/>
      <c r="R11442" s="217"/>
      <c r="S11442" s="218"/>
    </row>
    <row r="11443" spans="16:19" ht="15" customHeight="1" x14ac:dyDescent="0.25">
      <c r="P11443" s="216"/>
      <c r="Q11443" s="217"/>
      <c r="R11443" s="217"/>
      <c r="S11443" s="218"/>
    </row>
    <row r="11444" spans="16:19" ht="15" customHeight="1" x14ac:dyDescent="0.25">
      <c r="P11444" s="216"/>
      <c r="Q11444" s="217"/>
      <c r="R11444" s="217"/>
      <c r="S11444" s="218"/>
    </row>
    <row r="11445" spans="16:19" ht="15" customHeight="1" x14ac:dyDescent="0.25">
      <c r="P11445" s="216"/>
      <c r="Q11445" s="217"/>
      <c r="R11445" s="217"/>
      <c r="S11445" s="218"/>
    </row>
    <row r="11446" spans="16:19" ht="15" customHeight="1" x14ac:dyDescent="0.25">
      <c r="P11446" s="216"/>
      <c r="Q11446" s="217"/>
      <c r="R11446" s="217"/>
      <c r="S11446" s="218"/>
    </row>
    <row r="11447" spans="16:19" ht="15" customHeight="1" x14ac:dyDescent="0.25">
      <c r="P11447" s="216"/>
      <c r="Q11447" s="217"/>
      <c r="R11447" s="217"/>
      <c r="S11447" s="218"/>
    </row>
    <row r="11448" spans="16:19" ht="15" customHeight="1" x14ac:dyDescent="0.25">
      <c r="P11448" s="216"/>
      <c r="Q11448" s="217"/>
      <c r="R11448" s="217"/>
      <c r="S11448" s="218"/>
    </row>
    <row r="11449" spans="16:19" ht="15" customHeight="1" x14ac:dyDescent="0.25">
      <c r="P11449" s="216"/>
      <c r="Q11449" s="217"/>
      <c r="R11449" s="217"/>
      <c r="S11449" s="218"/>
    </row>
    <row r="11450" spans="16:19" ht="15" customHeight="1" x14ac:dyDescent="0.25">
      <c r="P11450" s="216"/>
      <c r="Q11450" s="217"/>
      <c r="R11450" s="217"/>
      <c r="S11450" s="218"/>
    </row>
    <row r="11451" spans="16:19" ht="15" customHeight="1" x14ac:dyDescent="0.25">
      <c r="P11451" s="216"/>
      <c r="Q11451" s="217"/>
      <c r="R11451" s="217"/>
      <c r="S11451" s="218"/>
    </row>
    <row r="11452" spans="16:19" ht="15" customHeight="1" x14ac:dyDescent="0.25">
      <c r="P11452" s="216"/>
      <c r="Q11452" s="217"/>
      <c r="R11452" s="217"/>
      <c r="S11452" s="218"/>
    </row>
    <row r="11453" spans="16:19" ht="15" customHeight="1" x14ac:dyDescent="0.25">
      <c r="P11453" s="216"/>
      <c r="Q11453" s="217"/>
      <c r="R11453" s="217"/>
      <c r="S11453" s="218"/>
    </row>
    <row r="11454" spans="16:19" ht="15" customHeight="1" x14ac:dyDescent="0.25">
      <c r="P11454" s="216"/>
      <c r="Q11454" s="217"/>
      <c r="R11454" s="217"/>
      <c r="S11454" s="218"/>
    </row>
    <row r="11455" spans="16:19" ht="15" customHeight="1" x14ac:dyDescent="0.25">
      <c r="P11455" s="216"/>
      <c r="Q11455" s="217"/>
      <c r="R11455" s="217"/>
      <c r="S11455" s="218"/>
    </row>
    <row r="11456" spans="16:19" ht="15" customHeight="1" x14ac:dyDescent="0.25">
      <c r="P11456" s="216"/>
      <c r="Q11456" s="217"/>
      <c r="R11456" s="217"/>
      <c r="S11456" s="218"/>
    </row>
    <row r="11457" spans="16:19" ht="15" customHeight="1" x14ac:dyDescent="0.25">
      <c r="P11457" s="216"/>
      <c r="Q11457" s="217"/>
      <c r="R11457" s="217"/>
      <c r="S11457" s="218"/>
    </row>
    <row r="11458" spans="16:19" ht="15" customHeight="1" x14ac:dyDescent="0.25">
      <c r="P11458" s="216"/>
      <c r="Q11458" s="217"/>
      <c r="R11458" s="217"/>
      <c r="S11458" s="218"/>
    </row>
    <row r="11459" spans="16:19" ht="15" customHeight="1" x14ac:dyDescent="0.25">
      <c r="P11459" s="216"/>
      <c r="Q11459" s="217"/>
      <c r="R11459" s="217"/>
      <c r="S11459" s="218"/>
    </row>
    <row r="11460" spans="16:19" ht="15" customHeight="1" x14ac:dyDescent="0.25">
      <c r="P11460" s="216"/>
      <c r="Q11460" s="217"/>
      <c r="R11460" s="217"/>
      <c r="S11460" s="218"/>
    </row>
    <row r="11461" spans="16:19" ht="15" customHeight="1" x14ac:dyDescent="0.25">
      <c r="P11461" s="216"/>
      <c r="Q11461" s="217"/>
      <c r="R11461" s="217"/>
      <c r="S11461" s="218"/>
    </row>
    <row r="11462" spans="16:19" ht="15" customHeight="1" x14ac:dyDescent="0.25">
      <c r="P11462" s="216"/>
      <c r="Q11462" s="217"/>
      <c r="R11462" s="217"/>
      <c r="S11462" s="218"/>
    </row>
    <row r="11463" spans="16:19" ht="15" customHeight="1" x14ac:dyDescent="0.25">
      <c r="P11463" s="216"/>
      <c r="Q11463" s="217"/>
      <c r="R11463" s="217"/>
      <c r="S11463" s="218"/>
    </row>
    <row r="11464" spans="16:19" ht="15" customHeight="1" x14ac:dyDescent="0.25">
      <c r="P11464" s="216"/>
      <c r="Q11464" s="217"/>
      <c r="R11464" s="217"/>
      <c r="S11464" s="218"/>
    </row>
    <row r="11465" spans="16:19" ht="15" customHeight="1" x14ac:dyDescent="0.25">
      <c r="P11465" s="216"/>
      <c r="Q11465" s="217"/>
      <c r="R11465" s="217"/>
      <c r="S11465" s="218"/>
    </row>
    <row r="11466" spans="16:19" ht="15" customHeight="1" x14ac:dyDescent="0.25">
      <c r="P11466" s="216"/>
      <c r="Q11466" s="217"/>
      <c r="R11466" s="217"/>
      <c r="S11466" s="218"/>
    </row>
    <row r="11467" spans="16:19" ht="15" customHeight="1" x14ac:dyDescent="0.25">
      <c r="P11467" s="216"/>
      <c r="Q11467" s="217"/>
      <c r="R11467" s="217"/>
      <c r="S11467" s="218"/>
    </row>
    <row r="11468" spans="16:19" ht="15" customHeight="1" x14ac:dyDescent="0.25">
      <c r="P11468" s="216"/>
      <c r="Q11468" s="217"/>
      <c r="R11468" s="217"/>
      <c r="S11468" s="218"/>
    </row>
    <row r="11469" spans="16:19" ht="15" customHeight="1" x14ac:dyDescent="0.25">
      <c r="P11469" s="216"/>
      <c r="Q11469" s="217"/>
      <c r="R11469" s="217"/>
      <c r="S11469" s="218"/>
    </row>
    <row r="11470" spans="16:19" ht="15" customHeight="1" x14ac:dyDescent="0.25">
      <c r="P11470" s="216"/>
      <c r="Q11470" s="217"/>
      <c r="R11470" s="217"/>
      <c r="S11470" s="218"/>
    </row>
    <row r="11471" spans="16:19" ht="15" customHeight="1" x14ac:dyDescent="0.25">
      <c r="P11471" s="216"/>
      <c r="Q11471" s="217"/>
      <c r="R11471" s="217"/>
      <c r="S11471" s="218"/>
    </row>
    <row r="11472" spans="16:19" ht="15" customHeight="1" x14ac:dyDescent="0.25">
      <c r="P11472" s="216"/>
      <c r="Q11472" s="217"/>
      <c r="R11472" s="217"/>
      <c r="S11472" s="218"/>
    </row>
    <row r="11473" spans="16:19" ht="15" customHeight="1" x14ac:dyDescent="0.25">
      <c r="P11473" s="216"/>
      <c r="Q11473" s="217"/>
      <c r="R11473" s="217"/>
      <c r="S11473" s="218"/>
    </row>
    <row r="11474" spans="16:19" ht="15" customHeight="1" x14ac:dyDescent="0.25">
      <c r="P11474" s="216"/>
      <c r="Q11474" s="217"/>
      <c r="R11474" s="217"/>
      <c r="S11474" s="218"/>
    </row>
    <row r="11475" spans="16:19" ht="15" customHeight="1" x14ac:dyDescent="0.25">
      <c r="P11475" s="216"/>
      <c r="Q11475" s="217"/>
      <c r="R11475" s="217"/>
      <c r="S11475" s="218"/>
    </row>
    <row r="11476" spans="16:19" ht="15" customHeight="1" x14ac:dyDescent="0.25">
      <c r="P11476" s="216"/>
      <c r="Q11476" s="217"/>
      <c r="R11476" s="217"/>
      <c r="S11476" s="218"/>
    </row>
    <row r="11477" spans="16:19" ht="15" customHeight="1" x14ac:dyDescent="0.25">
      <c r="P11477" s="216"/>
      <c r="Q11477" s="217"/>
      <c r="R11477" s="217"/>
      <c r="S11477" s="218"/>
    </row>
    <row r="11478" spans="16:19" ht="15" customHeight="1" x14ac:dyDescent="0.25">
      <c r="P11478" s="216"/>
      <c r="Q11478" s="217"/>
      <c r="R11478" s="217"/>
      <c r="S11478" s="218"/>
    </row>
    <row r="11479" spans="16:19" ht="15" customHeight="1" x14ac:dyDescent="0.25">
      <c r="P11479" s="216"/>
      <c r="Q11479" s="217"/>
      <c r="R11479" s="217"/>
      <c r="S11479" s="218"/>
    </row>
    <row r="11480" spans="16:19" ht="15" customHeight="1" x14ac:dyDescent="0.25">
      <c r="P11480" s="216"/>
      <c r="Q11480" s="217"/>
      <c r="R11480" s="217"/>
      <c r="S11480" s="218"/>
    </row>
    <row r="11481" spans="16:19" ht="15" customHeight="1" x14ac:dyDescent="0.25">
      <c r="P11481" s="216"/>
      <c r="Q11481" s="217"/>
      <c r="R11481" s="217"/>
      <c r="S11481" s="218"/>
    </row>
    <row r="11482" spans="16:19" ht="15" customHeight="1" x14ac:dyDescent="0.25">
      <c r="P11482" s="216"/>
      <c r="Q11482" s="217"/>
      <c r="R11482" s="217"/>
      <c r="S11482" s="218"/>
    </row>
    <row r="11483" spans="16:19" ht="15" customHeight="1" x14ac:dyDescent="0.25">
      <c r="P11483" s="216"/>
      <c r="Q11483" s="217"/>
      <c r="R11483" s="217"/>
      <c r="S11483" s="218"/>
    </row>
    <row r="11484" spans="16:19" ht="15" customHeight="1" x14ac:dyDescent="0.25">
      <c r="P11484" s="216"/>
      <c r="Q11484" s="217"/>
      <c r="R11484" s="217"/>
      <c r="S11484" s="218"/>
    </row>
    <row r="11485" spans="16:19" ht="15" customHeight="1" x14ac:dyDescent="0.25">
      <c r="P11485" s="216"/>
      <c r="Q11485" s="217"/>
      <c r="R11485" s="217"/>
      <c r="S11485" s="218"/>
    </row>
    <row r="11486" spans="16:19" ht="15" customHeight="1" x14ac:dyDescent="0.25">
      <c r="P11486" s="216"/>
      <c r="Q11486" s="217"/>
      <c r="R11486" s="217"/>
      <c r="S11486" s="218"/>
    </row>
    <row r="11487" spans="16:19" ht="15" customHeight="1" x14ac:dyDescent="0.25">
      <c r="P11487" s="216"/>
      <c r="Q11487" s="217"/>
      <c r="R11487" s="217"/>
      <c r="S11487" s="218"/>
    </row>
    <row r="11488" spans="16:19" ht="15" customHeight="1" x14ac:dyDescent="0.25">
      <c r="P11488" s="216"/>
      <c r="Q11488" s="217"/>
      <c r="R11488" s="217"/>
      <c r="S11488" s="218"/>
    </row>
    <row r="11489" spans="16:19" ht="15" customHeight="1" x14ac:dyDescent="0.25">
      <c r="P11489" s="216"/>
      <c r="Q11489" s="217"/>
      <c r="R11489" s="217"/>
      <c r="S11489" s="218"/>
    </row>
    <row r="11490" spans="16:19" ht="15" customHeight="1" x14ac:dyDescent="0.25">
      <c r="P11490" s="216"/>
      <c r="Q11490" s="217"/>
      <c r="R11490" s="217"/>
      <c r="S11490" s="218"/>
    </row>
    <row r="11491" spans="16:19" ht="15" customHeight="1" x14ac:dyDescent="0.25">
      <c r="P11491" s="216"/>
      <c r="Q11491" s="217"/>
      <c r="R11491" s="217"/>
      <c r="S11491" s="218"/>
    </row>
    <row r="11492" spans="16:19" ht="15" customHeight="1" x14ac:dyDescent="0.25">
      <c r="P11492" s="216"/>
      <c r="Q11492" s="217"/>
      <c r="R11492" s="217"/>
      <c r="S11492" s="218"/>
    </row>
    <row r="11493" spans="16:19" ht="15" customHeight="1" x14ac:dyDescent="0.25">
      <c r="P11493" s="216"/>
      <c r="Q11493" s="217"/>
      <c r="R11493" s="217"/>
      <c r="S11493" s="218"/>
    </row>
    <row r="11494" spans="16:19" ht="15" customHeight="1" x14ac:dyDescent="0.25">
      <c r="P11494" s="216"/>
      <c r="Q11494" s="217"/>
      <c r="R11494" s="217"/>
      <c r="S11494" s="218"/>
    </row>
    <row r="11495" spans="16:19" ht="15" customHeight="1" x14ac:dyDescent="0.25">
      <c r="P11495" s="216"/>
      <c r="Q11495" s="217"/>
      <c r="R11495" s="217"/>
      <c r="S11495" s="218"/>
    </row>
    <row r="11496" spans="16:19" ht="15" customHeight="1" x14ac:dyDescent="0.25">
      <c r="P11496" s="216"/>
      <c r="Q11496" s="217"/>
      <c r="R11496" s="217"/>
      <c r="S11496" s="218"/>
    </row>
    <row r="11497" spans="16:19" ht="15" customHeight="1" x14ac:dyDescent="0.25">
      <c r="P11497" s="216"/>
      <c r="Q11497" s="217"/>
      <c r="R11497" s="217"/>
      <c r="S11497" s="218"/>
    </row>
    <row r="11498" spans="16:19" ht="15" customHeight="1" x14ac:dyDescent="0.25">
      <c r="P11498" s="216"/>
      <c r="Q11498" s="217"/>
      <c r="R11498" s="217"/>
      <c r="S11498" s="218"/>
    </row>
    <row r="11499" spans="16:19" ht="15" customHeight="1" x14ac:dyDescent="0.25">
      <c r="P11499" s="216"/>
      <c r="Q11499" s="217"/>
      <c r="R11499" s="217"/>
      <c r="S11499" s="218"/>
    </row>
    <row r="11500" spans="16:19" ht="15" customHeight="1" x14ac:dyDescent="0.25">
      <c r="P11500" s="216"/>
      <c r="Q11500" s="217"/>
      <c r="R11500" s="217"/>
      <c r="S11500" s="218"/>
    </row>
    <row r="11501" spans="16:19" ht="15" customHeight="1" x14ac:dyDescent="0.25">
      <c r="P11501" s="216"/>
      <c r="Q11501" s="217"/>
      <c r="R11501" s="217"/>
      <c r="S11501" s="218"/>
    </row>
    <row r="11502" spans="16:19" ht="15" customHeight="1" x14ac:dyDescent="0.25">
      <c r="P11502" s="216"/>
      <c r="Q11502" s="217"/>
      <c r="R11502" s="217"/>
      <c r="S11502" s="218"/>
    </row>
    <row r="11503" spans="16:19" ht="15" customHeight="1" x14ac:dyDescent="0.25">
      <c r="P11503" s="216"/>
      <c r="Q11503" s="217"/>
      <c r="R11503" s="217"/>
      <c r="S11503" s="218"/>
    </row>
    <row r="11504" spans="16:19" ht="15" customHeight="1" x14ac:dyDescent="0.25">
      <c r="P11504" s="216"/>
      <c r="Q11504" s="217"/>
      <c r="R11504" s="217"/>
      <c r="S11504" s="218"/>
    </row>
    <row r="11505" spans="16:19" ht="15" customHeight="1" x14ac:dyDescent="0.25">
      <c r="P11505" s="216"/>
      <c r="Q11505" s="217"/>
      <c r="R11505" s="217"/>
      <c r="S11505" s="218"/>
    </row>
    <row r="11506" spans="16:19" ht="15" customHeight="1" x14ac:dyDescent="0.25">
      <c r="P11506" s="216"/>
      <c r="Q11506" s="217"/>
      <c r="R11506" s="217"/>
      <c r="S11506" s="218"/>
    </row>
    <row r="11507" spans="16:19" ht="15" customHeight="1" x14ac:dyDescent="0.25">
      <c r="P11507" s="216"/>
      <c r="Q11507" s="217"/>
      <c r="R11507" s="217"/>
      <c r="S11507" s="218"/>
    </row>
    <row r="11508" spans="16:19" ht="15" customHeight="1" x14ac:dyDescent="0.25">
      <c r="P11508" s="216"/>
      <c r="Q11508" s="217"/>
      <c r="R11508" s="217"/>
      <c r="S11508" s="218"/>
    </row>
    <row r="11509" spans="16:19" ht="15" customHeight="1" x14ac:dyDescent="0.25">
      <c r="P11509" s="216"/>
      <c r="Q11509" s="217"/>
      <c r="R11509" s="217"/>
      <c r="S11509" s="218"/>
    </row>
    <row r="11510" spans="16:19" ht="15" customHeight="1" x14ac:dyDescent="0.25">
      <c r="P11510" s="216"/>
      <c r="Q11510" s="217"/>
      <c r="R11510" s="217"/>
      <c r="S11510" s="218"/>
    </row>
    <row r="11511" spans="16:19" ht="15" customHeight="1" x14ac:dyDescent="0.25">
      <c r="P11511" s="216"/>
      <c r="Q11511" s="217"/>
      <c r="R11511" s="217"/>
      <c r="S11511" s="218"/>
    </row>
    <row r="11512" spans="16:19" ht="15" customHeight="1" x14ac:dyDescent="0.25">
      <c r="P11512" s="216"/>
      <c r="Q11512" s="217"/>
      <c r="R11512" s="217"/>
      <c r="S11512" s="218"/>
    </row>
    <row r="11513" spans="16:19" ht="15" customHeight="1" x14ac:dyDescent="0.25">
      <c r="P11513" s="216"/>
      <c r="Q11513" s="217"/>
      <c r="R11513" s="217"/>
      <c r="S11513" s="218"/>
    </row>
    <row r="11514" spans="16:19" ht="15" customHeight="1" x14ac:dyDescent="0.25">
      <c r="P11514" s="216"/>
      <c r="Q11514" s="217"/>
      <c r="R11514" s="217"/>
      <c r="S11514" s="218"/>
    </row>
    <row r="11515" spans="16:19" ht="15" customHeight="1" x14ac:dyDescent="0.25">
      <c r="P11515" s="216"/>
      <c r="Q11515" s="217"/>
      <c r="R11515" s="217"/>
      <c r="S11515" s="218"/>
    </row>
    <row r="11516" spans="16:19" ht="15" customHeight="1" x14ac:dyDescent="0.25">
      <c r="P11516" s="216"/>
      <c r="Q11516" s="217"/>
      <c r="R11516" s="217"/>
      <c r="S11516" s="218"/>
    </row>
    <row r="11517" spans="16:19" ht="15" customHeight="1" x14ac:dyDescent="0.25">
      <c r="P11517" s="216"/>
      <c r="Q11517" s="217"/>
      <c r="R11517" s="217"/>
      <c r="S11517" s="218"/>
    </row>
    <row r="11518" spans="16:19" ht="15" customHeight="1" x14ac:dyDescent="0.25">
      <c r="P11518" s="216"/>
      <c r="Q11518" s="217"/>
      <c r="R11518" s="217"/>
      <c r="S11518" s="218"/>
    </row>
    <row r="11519" spans="16:19" ht="15" customHeight="1" x14ac:dyDescent="0.25">
      <c r="P11519" s="216"/>
      <c r="Q11519" s="217"/>
      <c r="R11519" s="217"/>
      <c r="S11519" s="218"/>
    </row>
    <row r="11520" spans="16:19" ht="15" customHeight="1" x14ac:dyDescent="0.25">
      <c r="P11520" s="216"/>
      <c r="Q11520" s="217"/>
      <c r="R11520" s="217"/>
      <c r="S11520" s="218"/>
    </row>
    <row r="11521" spans="16:19" ht="15" customHeight="1" x14ac:dyDescent="0.25">
      <c r="P11521" s="216"/>
      <c r="Q11521" s="217"/>
      <c r="R11521" s="217"/>
      <c r="S11521" s="218"/>
    </row>
    <row r="11522" spans="16:19" ht="15" customHeight="1" x14ac:dyDescent="0.25">
      <c r="P11522" s="216"/>
      <c r="Q11522" s="217"/>
      <c r="R11522" s="217"/>
      <c r="S11522" s="218"/>
    </row>
    <row r="11523" spans="16:19" ht="15" customHeight="1" x14ac:dyDescent="0.25">
      <c r="P11523" s="216"/>
      <c r="Q11523" s="217"/>
      <c r="R11523" s="217"/>
      <c r="S11523" s="218"/>
    </row>
    <row r="11524" spans="16:19" ht="15" customHeight="1" x14ac:dyDescent="0.25">
      <c r="P11524" s="216"/>
      <c r="Q11524" s="217"/>
      <c r="R11524" s="217"/>
      <c r="S11524" s="218"/>
    </row>
    <row r="11525" spans="16:19" ht="15" customHeight="1" x14ac:dyDescent="0.25">
      <c r="P11525" s="216"/>
      <c r="Q11525" s="217"/>
      <c r="R11525" s="217"/>
      <c r="S11525" s="218"/>
    </row>
    <row r="11526" spans="16:19" ht="15" customHeight="1" x14ac:dyDescent="0.25">
      <c r="P11526" s="216"/>
      <c r="Q11526" s="217"/>
      <c r="R11526" s="217"/>
      <c r="S11526" s="218"/>
    </row>
    <row r="11527" spans="16:19" ht="15" customHeight="1" x14ac:dyDescent="0.25">
      <c r="P11527" s="216"/>
      <c r="Q11527" s="217"/>
      <c r="R11527" s="217"/>
      <c r="S11527" s="218"/>
    </row>
    <row r="11528" spans="16:19" ht="15" customHeight="1" x14ac:dyDescent="0.25">
      <c r="P11528" s="216"/>
      <c r="Q11528" s="217"/>
      <c r="R11528" s="217"/>
      <c r="S11528" s="218"/>
    </row>
    <row r="11529" spans="16:19" ht="15" customHeight="1" x14ac:dyDescent="0.25">
      <c r="P11529" s="216"/>
      <c r="Q11529" s="217"/>
      <c r="R11529" s="217"/>
      <c r="S11529" s="218"/>
    </row>
    <row r="11530" spans="16:19" ht="15" customHeight="1" x14ac:dyDescent="0.25">
      <c r="P11530" s="216"/>
      <c r="Q11530" s="217"/>
      <c r="R11530" s="217"/>
      <c r="S11530" s="218"/>
    </row>
    <row r="11531" spans="16:19" ht="15" customHeight="1" x14ac:dyDescent="0.25">
      <c r="P11531" s="216"/>
      <c r="Q11531" s="217"/>
      <c r="R11531" s="217"/>
      <c r="S11531" s="218"/>
    </row>
    <row r="11532" spans="16:19" ht="15" customHeight="1" x14ac:dyDescent="0.25">
      <c r="P11532" s="216"/>
      <c r="Q11532" s="217"/>
      <c r="R11532" s="217"/>
      <c r="S11532" s="218"/>
    </row>
    <row r="11533" spans="16:19" ht="15" customHeight="1" x14ac:dyDescent="0.25">
      <c r="P11533" s="216"/>
      <c r="Q11533" s="217"/>
      <c r="R11533" s="217"/>
      <c r="S11533" s="218"/>
    </row>
    <row r="11534" spans="16:19" ht="15" customHeight="1" x14ac:dyDescent="0.25">
      <c r="P11534" s="216"/>
      <c r="Q11534" s="217"/>
      <c r="R11534" s="217"/>
      <c r="S11534" s="218"/>
    </row>
    <row r="11535" spans="16:19" ht="15" customHeight="1" x14ac:dyDescent="0.25">
      <c r="P11535" s="216"/>
      <c r="Q11535" s="217"/>
      <c r="R11535" s="217"/>
      <c r="S11535" s="218"/>
    </row>
    <row r="11536" spans="16:19" ht="15" customHeight="1" x14ac:dyDescent="0.25">
      <c r="P11536" s="216"/>
      <c r="Q11536" s="217"/>
      <c r="R11536" s="217"/>
      <c r="S11536" s="218"/>
    </row>
    <row r="11537" spans="16:19" ht="15" customHeight="1" x14ac:dyDescent="0.25">
      <c r="P11537" s="216"/>
      <c r="Q11537" s="217"/>
      <c r="R11537" s="217"/>
      <c r="S11537" s="218"/>
    </row>
    <row r="11538" spans="16:19" ht="15" customHeight="1" x14ac:dyDescent="0.25">
      <c r="P11538" s="216"/>
      <c r="Q11538" s="217"/>
      <c r="R11538" s="217"/>
      <c r="S11538" s="218"/>
    </row>
    <row r="11539" spans="16:19" ht="15" customHeight="1" x14ac:dyDescent="0.25">
      <c r="P11539" s="216"/>
      <c r="Q11539" s="217"/>
      <c r="R11539" s="217"/>
      <c r="S11539" s="218"/>
    </row>
    <row r="11540" spans="16:19" ht="15" customHeight="1" x14ac:dyDescent="0.25">
      <c r="P11540" s="216"/>
      <c r="Q11540" s="217"/>
      <c r="R11540" s="217"/>
      <c r="S11540" s="218"/>
    </row>
    <row r="11541" spans="16:19" ht="15" customHeight="1" x14ac:dyDescent="0.25">
      <c r="P11541" s="216"/>
      <c r="Q11541" s="217"/>
      <c r="R11541" s="217"/>
      <c r="S11541" s="218"/>
    </row>
    <row r="11542" spans="16:19" ht="15" customHeight="1" x14ac:dyDescent="0.25">
      <c r="P11542" s="216"/>
      <c r="Q11542" s="217"/>
      <c r="R11542" s="217"/>
      <c r="S11542" s="218"/>
    </row>
    <row r="11543" spans="16:19" ht="15" customHeight="1" x14ac:dyDescent="0.25">
      <c r="P11543" s="216"/>
      <c r="Q11543" s="217"/>
      <c r="R11543" s="217"/>
      <c r="S11543" s="218"/>
    </row>
    <row r="11544" spans="16:19" ht="15" customHeight="1" x14ac:dyDescent="0.25">
      <c r="P11544" s="216"/>
      <c r="Q11544" s="217"/>
      <c r="R11544" s="217"/>
      <c r="S11544" s="218"/>
    </row>
    <row r="11545" spans="16:19" ht="15" customHeight="1" x14ac:dyDescent="0.25">
      <c r="P11545" s="216"/>
      <c r="Q11545" s="217"/>
      <c r="R11545" s="217"/>
      <c r="S11545" s="218"/>
    </row>
    <row r="11546" spans="16:19" ht="15" customHeight="1" x14ac:dyDescent="0.25">
      <c r="P11546" s="216"/>
      <c r="Q11546" s="217"/>
      <c r="R11546" s="217"/>
      <c r="S11546" s="218"/>
    </row>
    <row r="11547" spans="16:19" ht="15" customHeight="1" x14ac:dyDescent="0.25">
      <c r="P11547" s="216"/>
      <c r="Q11547" s="217"/>
      <c r="R11547" s="217"/>
      <c r="S11547" s="218"/>
    </row>
    <row r="11548" spans="16:19" ht="15" customHeight="1" x14ac:dyDescent="0.25">
      <c r="P11548" s="216"/>
      <c r="Q11548" s="217"/>
      <c r="R11548" s="217"/>
      <c r="S11548" s="218"/>
    </row>
    <row r="11549" spans="16:19" ht="15" customHeight="1" x14ac:dyDescent="0.25">
      <c r="P11549" s="216"/>
      <c r="Q11549" s="217"/>
      <c r="R11549" s="217"/>
      <c r="S11549" s="218"/>
    </row>
    <row r="11550" spans="16:19" ht="15" customHeight="1" x14ac:dyDescent="0.25">
      <c r="P11550" s="216"/>
      <c r="Q11550" s="217"/>
      <c r="R11550" s="217"/>
      <c r="S11550" s="218"/>
    </row>
    <row r="11551" spans="16:19" ht="15" customHeight="1" x14ac:dyDescent="0.25">
      <c r="P11551" s="216"/>
      <c r="Q11551" s="217"/>
      <c r="R11551" s="217"/>
      <c r="S11551" s="218"/>
    </row>
    <row r="11552" spans="16:19" ht="15" customHeight="1" x14ac:dyDescent="0.25">
      <c r="P11552" s="216"/>
      <c r="Q11552" s="217"/>
      <c r="R11552" s="217"/>
      <c r="S11552" s="218"/>
    </row>
    <row r="11553" spans="16:19" ht="15" customHeight="1" x14ac:dyDescent="0.25">
      <c r="P11553" s="216"/>
      <c r="Q11553" s="217"/>
      <c r="R11553" s="217"/>
      <c r="S11553" s="218"/>
    </row>
    <row r="11554" spans="16:19" ht="15" customHeight="1" x14ac:dyDescent="0.25">
      <c r="P11554" s="216"/>
      <c r="Q11554" s="217"/>
      <c r="R11554" s="217"/>
      <c r="S11554" s="218"/>
    </row>
    <row r="11555" spans="16:19" ht="15" customHeight="1" x14ac:dyDescent="0.25">
      <c r="P11555" s="216"/>
      <c r="Q11555" s="217"/>
      <c r="R11555" s="217"/>
      <c r="S11555" s="218"/>
    </row>
    <row r="11556" spans="16:19" ht="15" customHeight="1" x14ac:dyDescent="0.25">
      <c r="P11556" s="216"/>
      <c r="Q11556" s="217"/>
      <c r="R11556" s="217"/>
      <c r="S11556" s="218"/>
    </row>
    <row r="11557" spans="16:19" ht="15" customHeight="1" x14ac:dyDescent="0.25">
      <c r="P11557" s="216"/>
      <c r="Q11557" s="217"/>
      <c r="R11557" s="217"/>
      <c r="S11557" s="218"/>
    </row>
    <row r="11558" spans="16:19" ht="15" customHeight="1" x14ac:dyDescent="0.25">
      <c r="P11558" s="216"/>
      <c r="Q11558" s="217"/>
      <c r="R11558" s="217"/>
      <c r="S11558" s="218"/>
    </row>
    <row r="11559" spans="16:19" ht="15" customHeight="1" x14ac:dyDescent="0.25">
      <c r="P11559" s="216"/>
      <c r="Q11559" s="217"/>
      <c r="R11559" s="217"/>
      <c r="S11559" s="218"/>
    </row>
    <row r="11560" spans="16:19" ht="15" customHeight="1" x14ac:dyDescent="0.25">
      <c r="P11560" s="216"/>
      <c r="Q11560" s="217"/>
      <c r="R11560" s="217"/>
      <c r="S11560" s="218"/>
    </row>
    <row r="11561" spans="16:19" ht="15" customHeight="1" x14ac:dyDescent="0.25">
      <c r="P11561" s="216"/>
      <c r="Q11561" s="217"/>
      <c r="R11561" s="217"/>
      <c r="S11561" s="218"/>
    </row>
    <row r="11562" spans="16:19" ht="15" customHeight="1" x14ac:dyDescent="0.25">
      <c r="P11562" s="216"/>
      <c r="Q11562" s="217"/>
      <c r="R11562" s="217"/>
      <c r="S11562" s="218"/>
    </row>
    <row r="11563" spans="16:19" ht="15" customHeight="1" x14ac:dyDescent="0.25">
      <c r="P11563" s="216"/>
      <c r="Q11563" s="217"/>
      <c r="R11563" s="217"/>
      <c r="S11563" s="218"/>
    </row>
    <row r="11564" spans="16:19" ht="15" customHeight="1" x14ac:dyDescent="0.25">
      <c r="P11564" s="216"/>
      <c r="Q11564" s="217"/>
      <c r="R11564" s="217"/>
      <c r="S11564" s="218"/>
    </row>
    <row r="11565" spans="16:19" ht="15" customHeight="1" x14ac:dyDescent="0.25">
      <c r="P11565" s="216"/>
      <c r="Q11565" s="217"/>
      <c r="R11565" s="217"/>
      <c r="S11565" s="218"/>
    </row>
    <row r="11566" spans="16:19" ht="15" customHeight="1" x14ac:dyDescent="0.25">
      <c r="P11566" s="216"/>
      <c r="Q11566" s="217"/>
      <c r="R11566" s="217"/>
      <c r="S11566" s="218"/>
    </row>
    <row r="11567" spans="16:19" ht="15" customHeight="1" x14ac:dyDescent="0.25">
      <c r="P11567" s="216"/>
      <c r="Q11567" s="217"/>
      <c r="R11567" s="217"/>
      <c r="S11567" s="218"/>
    </row>
    <row r="11568" spans="16:19" ht="15" customHeight="1" x14ac:dyDescent="0.25">
      <c r="P11568" s="216"/>
      <c r="Q11568" s="217"/>
      <c r="R11568" s="217"/>
      <c r="S11568" s="218"/>
    </row>
    <row r="11569" spans="16:19" ht="15" customHeight="1" x14ac:dyDescent="0.25">
      <c r="P11569" s="216"/>
      <c r="Q11569" s="217"/>
      <c r="R11569" s="217"/>
      <c r="S11569" s="218"/>
    </row>
    <row r="11570" spans="16:19" ht="15" customHeight="1" x14ac:dyDescent="0.25">
      <c r="P11570" s="216"/>
      <c r="Q11570" s="217"/>
      <c r="R11570" s="217"/>
      <c r="S11570" s="218"/>
    </row>
    <row r="11571" spans="16:19" ht="15" customHeight="1" x14ac:dyDescent="0.25">
      <c r="P11571" s="216"/>
      <c r="Q11571" s="217"/>
      <c r="R11571" s="217"/>
      <c r="S11571" s="218"/>
    </row>
    <row r="11572" spans="16:19" ht="15" customHeight="1" x14ac:dyDescent="0.25">
      <c r="P11572" s="216"/>
      <c r="Q11572" s="217"/>
      <c r="R11572" s="217"/>
      <c r="S11572" s="218"/>
    </row>
    <row r="11573" spans="16:19" ht="15" customHeight="1" x14ac:dyDescent="0.25">
      <c r="P11573" s="216"/>
      <c r="Q11573" s="217"/>
      <c r="R11573" s="217"/>
      <c r="S11573" s="218"/>
    </row>
    <row r="11574" spans="16:19" ht="15" customHeight="1" x14ac:dyDescent="0.25">
      <c r="P11574" s="216"/>
      <c r="Q11574" s="217"/>
      <c r="R11574" s="217"/>
      <c r="S11574" s="218"/>
    </row>
    <row r="11575" spans="16:19" ht="15" customHeight="1" x14ac:dyDescent="0.25">
      <c r="P11575" s="216"/>
      <c r="Q11575" s="217"/>
      <c r="R11575" s="217"/>
      <c r="S11575" s="218"/>
    </row>
    <row r="11576" spans="16:19" ht="15" customHeight="1" x14ac:dyDescent="0.25">
      <c r="P11576" s="216"/>
      <c r="Q11576" s="217"/>
      <c r="R11576" s="217"/>
      <c r="S11576" s="218"/>
    </row>
    <row r="11577" spans="16:19" ht="15" customHeight="1" x14ac:dyDescent="0.25">
      <c r="P11577" s="216"/>
      <c r="Q11577" s="217"/>
      <c r="R11577" s="217"/>
      <c r="S11577" s="218"/>
    </row>
    <row r="11578" spans="16:19" ht="15" customHeight="1" x14ac:dyDescent="0.25">
      <c r="P11578" s="216"/>
      <c r="Q11578" s="217"/>
      <c r="R11578" s="217"/>
      <c r="S11578" s="218"/>
    </row>
    <row r="11579" spans="16:19" ht="15" customHeight="1" x14ac:dyDescent="0.25">
      <c r="P11579" s="216"/>
      <c r="Q11579" s="217"/>
      <c r="R11579" s="217"/>
      <c r="S11579" s="218"/>
    </row>
    <row r="11580" spans="16:19" ht="15" customHeight="1" x14ac:dyDescent="0.25">
      <c r="P11580" s="216"/>
      <c r="Q11580" s="217"/>
      <c r="R11580" s="217"/>
      <c r="S11580" s="218"/>
    </row>
    <row r="11581" spans="16:19" ht="15" customHeight="1" x14ac:dyDescent="0.25">
      <c r="P11581" s="216"/>
      <c r="Q11581" s="217"/>
      <c r="R11581" s="217"/>
      <c r="S11581" s="218"/>
    </row>
    <row r="11582" spans="16:19" ht="15" customHeight="1" x14ac:dyDescent="0.25">
      <c r="P11582" s="216"/>
      <c r="Q11582" s="217"/>
      <c r="R11582" s="217"/>
      <c r="S11582" s="218"/>
    </row>
    <row r="11583" spans="16:19" ht="15" customHeight="1" x14ac:dyDescent="0.25">
      <c r="P11583" s="216"/>
      <c r="Q11583" s="217"/>
      <c r="R11583" s="217"/>
      <c r="S11583" s="218"/>
    </row>
    <row r="11584" spans="16:19" ht="15" customHeight="1" x14ac:dyDescent="0.25">
      <c r="P11584" s="216"/>
      <c r="Q11584" s="217"/>
      <c r="R11584" s="217"/>
      <c r="S11584" s="218"/>
    </row>
    <row r="11585" spans="16:19" ht="15" customHeight="1" x14ac:dyDescent="0.25">
      <c r="P11585" s="216"/>
      <c r="Q11585" s="217"/>
      <c r="R11585" s="217"/>
      <c r="S11585" s="218"/>
    </row>
    <row r="11586" spans="16:19" ht="15" customHeight="1" x14ac:dyDescent="0.25">
      <c r="P11586" s="216"/>
      <c r="Q11586" s="217"/>
      <c r="R11586" s="217"/>
      <c r="S11586" s="218"/>
    </row>
    <row r="11587" spans="16:19" ht="15" customHeight="1" x14ac:dyDescent="0.25">
      <c r="P11587" s="216"/>
      <c r="Q11587" s="217"/>
      <c r="R11587" s="217"/>
      <c r="S11587" s="218"/>
    </row>
    <row r="11588" spans="16:19" ht="15" customHeight="1" x14ac:dyDescent="0.25">
      <c r="P11588" s="216"/>
      <c r="Q11588" s="217"/>
      <c r="R11588" s="217"/>
      <c r="S11588" s="218"/>
    </row>
    <row r="11589" spans="16:19" ht="15" customHeight="1" x14ac:dyDescent="0.25">
      <c r="P11589" s="216"/>
      <c r="Q11589" s="217"/>
      <c r="R11589" s="217"/>
      <c r="S11589" s="218"/>
    </row>
    <row r="11590" spans="16:19" ht="15" customHeight="1" x14ac:dyDescent="0.25">
      <c r="P11590" s="216"/>
      <c r="Q11590" s="217"/>
      <c r="R11590" s="217"/>
      <c r="S11590" s="218"/>
    </row>
    <row r="11591" spans="16:19" ht="15" customHeight="1" x14ac:dyDescent="0.25">
      <c r="P11591" s="216"/>
      <c r="Q11591" s="217"/>
      <c r="R11591" s="217"/>
      <c r="S11591" s="218"/>
    </row>
    <row r="11592" spans="16:19" ht="15" customHeight="1" x14ac:dyDescent="0.25">
      <c r="P11592" s="216"/>
      <c r="Q11592" s="217"/>
      <c r="R11592" s="217"/>
      <c r="S11592" s="218"/>
    </row>
    <row r="11593" spans="16:19" ht="15" customHeight="1" x14ac:dyDescent="0.25">
      <c r="P11593" s="216"/>
      <c r="Q11593" s="217"/>
      <c r="R11593" s="217"/>
      <c r="S11593" s="218"/>
    </row>
    <row r="11594" spans="16:19" ht="15" customHeight="1" x14ac:dyDescent="0.25">
      <c r="P11594" s="216"/>
      <c r="Q11594" s="217"/>
      <c r="R11594" s="217"/>
      <c r="S11594" s="218"/>
    </row>
    <row r="11595" spans="16:19" ht="15" customHeight="1" x14ac:dyDescent="0.25">
      <c r="P11595" s="216"/>
      <c r="Q11595" s="217"/>
      <c r="R11595" s="217"/>
      <c r="S11595" s="218"/>
    </row>
    <row r="11596" spans="16:19" ht="15" customHeight="1" x14ac:dyDescent="0.25">
      <c r="P11596" s="216"/>
      <c r="Q11596" s="217"/>
      <c r="R11596" s="217"/>
      <c r="S11596" s="218"/>
    </row>
    <row r="11597" spans="16:19" ht="15" customHeight="1" x14ac:dyDescent="0.25">
      <c r="P11597" s="216"/>
      <c r="Q11597" s="217"/>
      <c r="R11597" s="217"/>
      <c r="S11597" s="218"/>
    </row>
    <row r="11598" spans="16:19" ht="15" customHeight="1" x14ac:dyDescent="0.25">
      <c r="P11598" s="216"/>
      <c r="Q11598" s="217"/>
      <c r="R11598" s="217"/>
      <c r="S11598" s="218"/>
    </row>
    <row r="11599" spans="16:19" ht="15" customHeight="1" x14ac:dyDescent="0.25">
      <c r="P11599" s="216"/>
      <c r="Q11599" s="217"/>
      <c r="R11599" s="217"/>
      <c r="S11599" s="218"/>
    </row>
    <row r="11600" spans="16:19" ht="15" customHeight="1" x14ac:dyDescent="0.25">
      <c r="P11600" s="216"/>
      <c r="Q11600" s="217"/>
      <c r="R11600" s="217"/>
      <c r="S11600" s="218"/>
    </row>
    <row r="11601" spans="16:19" ht="15" customHeight="1" x14ac:dyDescent="0.25">
      <c r="P11601" s="216"/>
      <c r="Q11601" s="217"/>
      <c r="R11601" s="217"/>
      <c r="S11601" s="218"/>
    </row>
    <row r="11602" spans="16:19" ht="15" customHeight="1" x14ac:dyDescent="0.25">
      <c r="P11602" s="216"/>
      <c r="Q11602" s="217"/>
      <c r="R11602" s="217"/>
      <c r="S11602" s="218"/>
    </row>
    <row r="11603" spans="16:19" ht="15" customHeight="1" x14ac:dyDescent="0.25">
      <c r="P11603" s="216"/>
      <c r="Q11603" s="217"/>
      <c r="R11603" s="217"/>
      <c r="S11603" s="218"/>
    </row>
    <row r="11604" spans="16:19" ht="15" customHeight="1" x14ac:dyDescent="0.25">
      <c r="P11604" s="216"/>
      <c r="Q11604" s="217"/>
      <c r="R11604" s="217"/>
      <c r="S11604" s="218"/>
    </row>
    <row r="11605" spans="16:19" ht="15" customHeight="1" x14ac:dyDescent="0.25">
      <c r="P11605" s="216"/>
      <c r="Q11605" s="217"/>
      <c r="R11605" s="217"/>
      <c r="S11605" s="218"/>
    </row>
    <row r="11606" spans="16:19" ht="15" customHeight="1" x14ac:dyDescent="0.25">
      <c r="P11606" s="216"/>
      <c r="Q11606" s="217"/>
      <c r="R11606" s="217"/>
      <c r="S11606" s="218"/>
    </row>
    <row r="11607" spans="16:19" ht="15" customHeight="1" x14ac:dyDescent="0.25">
      <c r="P11607" s="216"/>
      <c r="Q11607" s="217"/>
      <c r="R11607" s="217"/>
      <c r="S11607" s="218"/>
    </row>
    <row r="11608" spans="16:19" ht="15" customHeight="1" x14ac:dyDescent="0.25">
      <c r="P11608" s="216"/>
      <c r="Q11608" s="217"/>
      <c r="R11608" s="217"/>
      <c r="S11608" s="218"/>
    </row>
    <row r="11609" spans="16:19" ht="15" customHeight="1" x14ac:dyDescent="0.25">
      <c r="P11609" s="216"/>
      <c r="Q11609" s="217"/>
      <c r="R11609" s="217"/>
      <c r="S11609" s="218"/>
    </row>
    <row r="11610" spans="16:19" ht="15" customHeight="1" x14ac:dyDescent="0.25">
      <c r="P11610" s="216"/>
      <c r="Q11610" s="217"/>
      <c r="R11610" s="217"/>
      <c r="S11610" s="218"/>
    </row>
    <row r="11611" spans="16:19" ht="15" customHeight="1" x14ac:dyDescent="0.25">
      <c r="P11611" s="216"/>
      <c r="Q11611" s="217"/>
      <c r="R11611" s="217"/>
      <c r="S11611" s="218"/>
    </row>
    <row r="11612" spans="16:19" ht="15" customHeight="1" x14ac:dyDescent="0.25">
      <c r="P11612" s="216"/>
      <c r="Q11612" s="217"/>
      <c r="R11612" s="217"/>
      <c r="S11612" s="218"/>
    </row>
    <row r="11613" spans="16:19" ht="15" customHeight="1" x14ac:dyDescent="0.25">
      <c r="P11613" s="216"/>
      <c r="Q11613" s="217"/>
      <c r="R11613" s="217"/>
      <c r="S11613" s="218"/>
    </row>
    <row r="11614" spans="16:19" ht="15" customHeight="1" x14ac:dyDescent="0.25">
      <c r="P11614" s="216"/>
      <c r="Q11614" s="217"/>
      <c r="R11614" s="217"/>
      <c r="S11614" s="218"/>
    </row>
    <row r="11615" spans="16:19" ht="15" customHeight="1" x14ac:dyDescent="0.25">
      <c r="P11615" s="216"/>
      <c r="Q11615" s="217"/>
      <c r="R11615" s="217"/>
      <c r="S11615" s="218"/>
    </row>
    <row r="11616" spans="16:19" ht="15" customHeight="1" x14ac:dyDescent="0.25">
      <c r="P11616" s="216"/>
      <c r="Q11616" s="217"/>
      <c r="R11616" s="217"/>
      <c r="S11616" s="218"/>
    </row>
    <row r="11617" spans="16:19" ht="15" customHeight="1" x14ac:dyDescent="0.25">
      <c r="P11617" s="216"/>
      <c r="Q11617" s="217"/>
      <c r="R11617" s="217"/>
      <c r="S11617" s="218"/>
    </row>
    <row r="11618" spans="16:19" ht="15" customHeight="1" x14ac:dyDescent="0.25">
      <c r="P11618" s="216"/>
      <c r="Q11618" s="217"/>
      <c r="R11618" s="217"/>
      <c r="S11618" s="218"/>
    </row>
    <row r="11619" spans="16:19" ht="15" customHeight="1" x14ac:dyDescent="0.25">
      <c r="P11619" s="216"/>
      <c r="Q11619" s="217"/>
      <c r="R11619" s="217"/>
      <c r="S11619" s="218"/>
    </row>
    <row r="11620" spans="16:19" ht="15" customHeight="1" x14ac:dyDescent="0.25">
      <c r="P11620" s="216"/>
      <c r="Q11620" s="217"/>
      <c r="R11620" s="217"/>
      <c r="S11620" s="218"/>
    </row>
    <row r="11621" spans="16:19" ht="15" customHeight="1" x14ac:dyDescent="0.25">
      <c r="P11621" s="216"/>
      <c r="Q11621" s="217"/>
      <c r="R11621" s="217"/>
      <c r="S11621" s="218"/>
    </row>
    <row r="11622" spans="16:19" ht="15" customHeight="1" x14ac:dyDescent="0.25">
      <c r="P11622" s="216"/>
      <c r="Q11622" s="217"/>
      <c r="R11622" s="217"/>
      <c r="S11622" s="218"/>
    </row>
    <row r="11623" spans="16:19" ht="15" customHeight="1" x14ac:dyDescent="0.25">
      <c r="P11623" s="216"/>
      <c r="Q11623" s="217"/>
      <c r="R11623" s="217"/>
      <c r="S11623" s="218"/>
    </row>
    <row r="11624" spans="16:19" ht="15" customHeight="1" x14ac:dyDescent="0.25">
      <c r="P11624" s="216"/>
      <c r="Q11624" s="217"/>
      <c r="R11624" s="217"/>
      <c r="S11624" s="218"/>
    </row>
    <row r="11625" spans="16:19" ht="15" customHeight="1" x14ac:dyDescent="0.25">
      <c r="P11625" s="216"/>
      <c r="Q11625" s="217"/>
      <c r="R11625" s="217"/>
      <c r="S11625" s="218"/>
    </row>
    <row r="11626" spans="16:19" ht="15" customHeight="1" x14ac:dyDescent="0.25">
      <c r="P11626" s="216"/>
      <c r="Q11626" s="217"/>
      <c r="R11626" s="217"/>
      <c r="S11626" s="218"/>
    </row>
    <row r="11627" spans="16:19" ht="15" customHeight="1" x14ac:dyDescent="0.25">
      <c r="P11627" s="216"/>
      <c r="Q11627" s="217"/>
      <c r="R11627" s="217"/>
      <c r="S11627" s="218"/>
    </row>
    <row r="11628" spans="16:19" ht="15" customHeight="1" x14ac:dyDescent="0.25">
      <c r="P11628" s="216"/>
      <c r="Q11628" s="217"/>
      <c r="R11628" s="217"/>
      <c r="S11628" s="218"/>
    </row>
    <row r="11629" spans="16:19" ht="15" customHeight="1" x14ac:dyDescent="0.25">
      <c r="P11629" s="216"/>
      <c r="Q11629" s="217"/>
      <c r="R11629" s="217"/>
      <c r="S11629" s="218"/>
    </row>
    <row r="11630" spans="16:19" ht="15" customHeight="1" x14ac:dyDescent="0.25">
      <c r="P11630" s="216"/>
      <c r="Q11630" s="217"/>
      <c r="R11630" s="217"/>
      <c r="S11630" s="218"/>
    </row>
    <row r="11631" spans="16:19" ht="15" customHeight="1" x14ac:dyDescent="0.25">
      <c r="P11631" s="216"/>
      <c r="Q11631" s="217"/>
      <c r="R11631" s="217"/>
      <c r="S11631" s="218"/>
    </row>
    <row r="11632" spans="16:19" ht="15" customHeight="1" x14ac:dyDescent="0.25">
      <c r="P11632" s="216"/>
      <c r="Q11632" s="217"/>
      <c r="R11632" s="217"/>
      <c r="S11632" s="218"/>
    </row>
    <row r="11633" spans="16:19" ht="15" customHeight="1" x14ac:dyDescent="0.25">
      <c r="P11633" s="216"/>
      <c r="Q11633" s="217"/>
      <c r="R11633" s="217"/>
      <c r="S11633" s="218"/>
    </row>
    <row r="11634" spans="16:19" ht="15" customHeight="1" x14ac:dyDescent="0.25">
      <c r="P11634" s="216"/>
      <c r="Q11634" s="217"/>
      <c r="R11634" s="217"/>
      <c r="S11634" s="218"/>
    </row>
    <row r="11635" spans="16:19" ht="15" customHeight="1" x14ac:dyDescent="0.25">
      <c r="P11635" s="216"/>
      <c r="Q11635" s="217"/>
      <c r="R11635" s="217"/>
      <c r="S11635" s="218"/>
    </row>
    <row r="11636" spans="16:19" ht="15" customHeight="1" x14ac:dyDescent="0.25">
      <c r="P11636" s="216"/>
      <c r="Q11636" s="217"/>
      <c r="R11636" s="217"/>
      <c r="S11636" s="218"/>
    </row>
    <row r="11637" spans="16:19" ht="15" customHeight="1" x14ac:dyDescent="0.25">
      <c r="P11637" s="216"/>
      <c r="Q11637" s="217"/>
      <c r="R11637" s="217"/>
      <c r="S11637" s="218"/>
    </row>
    <row r="11638" spans="16:19" ht="15" customHeight="1" x14ac:dyDescent="0.25">
      <c r="P11638" s="216"/>
      <c r="Q11638" s="217"/>
      <c r="R11638" s="217"/>
      <c r="S11638" s="218"/>
    </row>
    <row r="11639" spans="16:19" ht="15" customHeight="1" x14ac:dyDescent="0.25">
      <c r="P11639" s="216"/>
      <c r="Q11639" s="217"/>
      <c r="R11639" s="217"/>
      <c r="S11639" s="218"/>
    </row>
    <row r="11640" spans="16:19" ht="15" customHeight="1" x14ac:dyDescent="0.25">
      <c r="P11640" s="216"/>
      <c r="Q11640" s="217"/>
      <c r="R11640" s="217"/>
      <c r="S11640" s="218"/>
    </row>
    <row r="11641" spans="16:19" ht="15" customHeight="1" x14ac:dyDescent="0.25">
      <c r="P11641" s="216"/>
      <c r="Q11641" s="217"/>
      <c r="R11641" s="217"/>
      <c r="S11641" s="218"/>
    </row>
    <row r="11642" spans="16:19" ht="15" customHeight="1" x14ac:dyDescent="0.25">
      <c r="P11642" s="216"/>
      <c r="Q11642" s="217"/>
      <c r="R11642" s="217"/>
      <c r="S11642" s="218"/>
    </row>
    <row r="11643" spans="16:19" ht="15" customHeight="1" x14ac:dyDescent="0.25">
      <c r="P11643" s="216"/>
      <c r="Q11643" s="217"/>
      <c r="R11643" s="217"/>
      <c r="S11643" s="218"/>
    </row>
    <row r="11644" spans="16:19" ht="15" customHeight="1" x14ac:dyDescent="0.25">
      <c r="P11644" s="216"/>
      <c r="Q11644" s="217"/>
      <c r="R11644" s="217"/>
      <c r="S11644" s="218"/>
    </row>
    <row r="11645" spans="16:19" ht="15" customHeight="1" x14ac:dyDescent="0.25">
      <c r="P11645" s="216"/>
      <c r="Q11645" s="217"/>
      <c r="R11645" s="217"/>
      <c r="S11645" s="218"/>
    </row>
    <row r="11646" spans="16:19" ht="15" customHeight="1" x14ac:dyDescent="0.25">
      <c r="P11646" s="216"/>
      <c r="Q11646" s="217"/>
      <c r="R11646" s="217"/>
      <c r="S11646" s="218"/>
    </row>
    <row r="11647" spans="16:19" ht="15" customHeight="1" x14ac:dyDescent="0.25">
      <c r="P11647" s="216"/>
      <c r="Q11647" s="217"/>
      <c r="R11647" s="217"/>
      <c r="S11647" s="218"/>
    </row>
    <row r="11648" spans="16:19" ht="15" customHeight="1" x14ac:dyDescent="0.25">
      <c r="P11648" s="216"/>
      <c r="Q11648" s="217"/>
      <c r="R11648" s="217"/>
      <c r="S11648" s="218"/>
    </row>
    <row r="11649" spans="16:19" ht="15" customHeight="1" x14ac:dyDescent="0.25">
      <c r="P11649" s="216"/>
      <c r="Q11649" s="217"/>
      <c r="R11649" s="217"/>
      <c r="S11649" s="218"/>
    </row>
    <row r="11650" spans="16:19" ht="15" customHeight="1" x14ac:dyDescent="0.25">
      <c r="P11650" s="216"/>
      <c r="Q11650" s="217"/>
      <c r="R11650" s="217"/>
      <c r="S11650" s="218"/>
    </row>
    <row r="11651" spans="16:19" ht="15" customHeight="1" x14ac:dyDescent="0.25">
      <c r="P11651" s="216"/>
      <c r="Q11651" s="217"/>
      <c r="R11651" s="217"/>
      <c r="S11651" s="218"/>
    </row>
    <row r="11652" spans="16:19" ht="15" customHeight="1" x14ac:dyDescent="0.25">
      <c r="P11652" s="216"/>
      <c r="Q11652" s="217"/>
      <c r="R11652" s="217"/>
      <c r="S11652" s="218"/>
    </row>
    <row r="11653" spans="16:19" ht="15" customHeight="1" x14ac:dyDescent="0.25">
      <c r="P11653" s="216"/>
      <c r="Q11653" s="217"/>
      <c r="R11653" s="217"/>
      <c r="S11653" s="218"/>
    </row>
    <row r="11654" spans="16:19" ht="15" customHeight="1" x14ac:dyDescent="0.25">
      <c r="P11654" s="216"/>
      <c r="Q11654" s="217"/>
      <c r="R11654" s="217"/>
      <c r="S11654" s="218"/>
    </row>
    <row r="11655" spans="16:19" ht="15" customHeight="1" x14ac:dyDescent="0.25">
      <c r="P11655" s="216"/>
      <c r="Q11655" s="217"/>
      <c r="R11655" s="217"/>
      <c r="S11655" s="218"/>
    </row>
    <row r="11656" spans="16:19" ht="15" customHeight="1" x14ac:dyDescent="0.25">
      <c r="P11656" s="216"/>
      <c r="Q11656" s="217"/>
      <c r="R11656" s="217"/>
      <c r="S11656" s="218"/>
    </row>
    <row r="11657" spans="16:19" ht="15" customHeight="1" x14ac:dyDescent="0.25">
      <c r="P11657" s="216"/>
      <c r="Q11657" s="217"/>
      <c r="R11657" s="217"/>
      <c r="S11657" s="218"/>
    </row>
    <row r="11658" spans="16:19" ht="15" customHeight="1" x14ac:dyDescent="0.25">
      <c r="P11658" s="216"/>
      <c r="Q11658" s="217"/>
      <c r="R11658" s="217"/>
      <c r="S11658" s="218"/>
    </row>
    <row r="11659" spans="16:19" ht="15" customHeight="1" x14ac:dyDescent="0.25">
      <c r="P11659" s="216"/>
      <c r="Q11659" s="217"/>
      <c r="R11659" s="217"/>
      <c r="S11659" s="218"/>
    </row>
    <row r="11660" spans="16:19" ht="15" customHeight="1" x14ac:dyDescent="0.25">
      <c r="P11660" s="216"/>
      <c r="Q11660" s="217"/>
      <c r="R11660" s="217"/>
      <c r="S11660" s="218"/>
    </row>
    <row r="11661" spans="16:19" ht="15" customHeight="1" x14ac:dyDescent="0.25">
      <c r="P11661" s="216"/>
      <c r="Q11661" s="217"/>
      <c r="R11661" s="217"/>
      <c r="S11661" s="218"/>
    </row>
    <row r="11662" spans="16:19" ht="15" customHeight="1" x14ac:dyDescent="0.25">
      <c r="P11662" s="216"/>
      <c r="Q11662" s="217"/>
      <c r="R11662" s="217"/>
      <c r="S11662" s="218"/>
    </row>
    <row r="11663" spans="16:19" ht="15" customHeight="1" x14ac:dyDescent="0.25">
      <c r="P11663" s="216"/>
      <c r="Q11663" s="217"/>
      <c r="R11663" s="217"/>
      <c r="S11663" s="218"/>
    </row>
    <row r="11664" spans="16:19" ht="15" customHeight="1" x14ac:dyDescent="0.25">
      <c r="P11664" s="216"/>
      <c r="Q11664" s="217"/>
      <c r="R11664" s="217"/>
      <c r="S11664" s="218"/>
    </row>
    <row r="11665" spans="16:19" ht="15" customHeight="1" x14ac:dyDescent="0.25">
      <c r="P11665" s="216"/>
      <c r="Q11665" s="217"/>
      <c r="R11665" s="217"/>
      <c r="S11665" s="218"/>
    </row>
    <row r="11666" spans="16:19" ht="15" customHeight="1" x14ac:dyDescent="0.25">
      <c r="P11666" s="216"/>
      <c r="Q11666" s="217"/>
      <c r="R11666" s="217"/>
      <c r="S11666" s="218"/>
    </row>
    <row r="11667" spans="16:19" ht="15" customHeight="1" x14ac:dyDescent="0.25">
      <c r="P11667" s="216"/>
      <c r="Q11667" s="217"/>
      <c r="R11667" s="217"/>
      <c r="S11667" s="218"/>
    </row>
    <row r="11668" spans="16:19" ht="15" customHeight="1" x14ac:dyDescent="0.25">
      <c r="P11668" s="216"/>
      <c r="Q11668" s="217"/>
      <c r="R11668" s="217"/>
      <c r="S11668" s="218"/>
    </row>
    <row r="11669" spans="16:19" ht="15" customHeight="1" x14ac:dyDescent="0.25">
      <c r="P11669" s="216"/>
      <c r="Q11669" s="217"/>
      <c r="R11669" s="217"/>
      <c r="S11669" s="218"/>
    </row>
    <row r="11670" spans="16:19" ht="15" customHeight="1" x14ac:dyDescent="0.25">
      <c r="P11670" s="216"/>
      <c r="Q11670" s="217"/>
      <c r="R11670" s="217"/>
      <c r="S11670" s="218"/>
    </row>
    <row r="11671" spans="16:19" ht="15" customHeight="1" x14ac:dyDescent="0.25">
      <c r="P11671" s="216"/>
      <c r="Q11671" s="217"/>
      <c r="R11671" s="217"/>
      <c r="S11671" s="218"/>
    </row>
    <row r="11672" spans="16:19" ht="15" customHeight="1" x14ac:dyDescent="0.25">
      <c r="P11672" s="216"/>
      <c r="Q11672" s="217"/>
      <c r="R11672" s="217"/>
      <c r="S11672" s="218"/>
    </row>
    <row r="11673" spans="16:19" ht="15" customHeight="1" x14ac:dyDescent="0.25">
      <c r="P11673" s="216"/>
      <c r="Q11673" s="217"/>
      <c r="R11673" s="217"/>
      <c r="S11673" s="218"/>
    </row>
    <row r="11674" spans="16:19" ht="15" customHeight="1" x14ac:dyDescent="0.25">
      <c r="P11674" s="216"/>
      <c r="Q11674" s="217"/>
      <c r="R11674" s="217"/>
      <c r="S11674" s="218"/>
    </row>
    <row r="11675" spans="16:19" ht="15" customHeight="1" x14ac:dyDescent="0.25">
      <c r="P11675" s="216"/>
      <c r="Q11675" s="217"/>
      <c r="R11675" s="217"/>
      <c r="S11675" s="218"/>
    </row>
    <row r="11676" spans="16:19" ht="15" customHeight="1" x14ac:dyDescent="0.25">
      <c r="P11676" s="216"/>
      <c r="Q11676" s="217"/>
      <c r="R11676" s="217"/>
      <c r="S11676" s="218"/>
    </row>
    <row r="11677" spans="16:19" ht="15" customHeight="1" x14ac:dyDescent="0.25">
      <c r="P11677" s="216"/>
      <c r="Q11677" s="217"/>
      <c r="R11677" s="217"/>
      <c r="S11677" s="218"/>
    </row>
    <row r="11678" spans="16:19" ht="15" customHeight="1" x14ac:dyDescent="0.25">
      <c r="P11678" s="216"/>
      <c r="Q11678" s="217"/>
      <c r="R11678" s="217"/>
      <c r="S11678" s="218"/>
    </row>
    <row r="11679" spans="16:19" ht="15" customHeight="1" x14ac:dyDescent="0.25">
      <c r="P11679" s="216"/>
      <c r="Q11679" s="217"/>
      <c r="R11679" s="217"/>
      <c r="S11679" s="218"/>
    </row>
    <row r="11680" spans="16:19" ht="15" customHeight="1" x14ac:dyDescent="0.25">
      <c r="P11680" s="216"/>
      <c r="Q11680" s="217"/>
      <c r="R11680" s="217"/>
      <c r="S11680" s="218"/>
    </row>
    <row r="11681" spans="16:19" ht="15" customHeight="1" x14ac:dyDescent="0.25">
      <c r="P11681" s="216"/>
      <c r="Q11681" s="217"/>
      <c r="R11681" s="217"/>
      <c r="S11681" s="218"/>
    </row>
    <row r="11682" spans="16:19" ht="15" customHeight="1" x14ac:dyDescent="0.25">
      <c r="P11682" s="216"/>
      <c r="Q11682" s="217"/>
      <c r="R11682" s="217"/>
      <c r="S11682" s="218"/>
    </row>
    <row r="11683" spans="16:19" ht="15" customHeight="1" x14ac:dyDescent="0.25">
      <c r="P11683" s="216"/>
      <c r="Q11683" s="217"/>
      <c r="R11683" s="217"/>
      <c r="S11683" s="218"/>
    </row>
    <row r="11684" spans="16:19" ht="15" customHeight="1" x14ac:dyDescent="0.25">
      <c r="P11684" s="216"/>
      <c r="Q11684" s="217"/>
      <c r="R11684" s="217"/>
      <c r="S11684" s="218"/>
    </row>
    <row r="11685" spans="16:19" ht="15" customHeight="1" x14ac:dyDescent="0.25">
      <c r="P11685" s="216"/>
      <c r="Q11685" s="217"/>
      <c r="R11685" s="217"/>
      <c r="S11685" s="218"/>
    </row>
    <row r="11686" spans="16:19" ht="15" customHeight="1" x14ac:dyDescent="0.25">
      <c r="P11686" s="216"/>
      <c r="Q11686" s="217"/>
      <c r="R11686" s="217"/>
      <c r="S11686" s="218"/>
    </row>
    <row r="11687" spans="16:19" ht="15" customHeight="1" x14ac:dyDescent="0.25">
      <c r="P11687" s="216"/>
      <c r="Q11687" s="217"/>
      <c r="R11687" s="217"/>
      <c r="S11687" s="218"/>
    </row>
    <row r="11688" spans="16:19" ht="15" customHeight="1" x14ac:dyDescent="0.25">
      <c r="P11688" s="216"/>
      <c r="Q11688" s="217"/>
      <c r="R11688" s="217"/>
      <c r="S11688" s="218"/>
    </row>
    <row r="11689" spans="16:19" ht="15" customHeight="1" x14ac:dyDescent="0.25">
      <c r="P11689" s="216"/>
      <c r="Q11689" s="217"/>
      <c r="R11689" s="217"/>
      <c r="S11689" s="218"/>
    </row>
    <row r="11690" spans="16:19" ht="15" customHeight="1" x14ac:dyDescent="0.25">
      <c r="P11690" s="216"/>
      <c r="Q11690" s="217"/>
      <c r="R11690" s="217"/>
      <c r="S11690" s="218"/>
    </row>
    <row r="11691" spans="16:19" ht="15" customHeight="1" x14ac:dyDescent="0.25">
      <c r="P11691" s="216"/>
      <c r="Q11691" s="217"/>
      <c r="R11691" s="217"/>
      <c r="S11691" s="218"/>
    </row>
    <row r="11692" spans="16:19" ht="15" customHeight="1" x14ac:dyDescent="0.25">
      <c r="P11692" s="216"/>
      <c r="Q11692" s="217"/>
      <c r="R11692" s="217"/>
      <c r="S11692" s="218"/>
    </row>
    <row r="11693" spans="16:19" ht="15" customHeight="1" x14ac:dyDescent="0.25">
      <c r="P11693" s="216"/>
      <c r="Q11693" s="217"/>
      <c r="R11693" s="217"/>
      <c r="S11693" s="218"/>
    </row>
    <row r="11694" spans="16:19" ht="15" customHeight="1" x14ac:dyDescent="0.25">
      <c r="P11694" s="216"/>
      <c r="Q11694" s="217"/>
      <c r="R11694" s="217"/>
      <c r="S11694" s="218"/>
    </row>
    <row r="11695" spans="16:19" ht="15" customHeight="1" x14ac:dyDescent="0.25">
      <c r="P11695" s="216"/>
      <c r="Q11695" s="217"/>
      <c r="R11695" s="217"/>
      <c r="S11695" s="218"/>
    </row>
    <row r="11696" spans="16:19" ht="15" customHeight="1" x14ac:dyDescent="0.25">
      <c r="P11696" s="216"/>
      <c r="Q11696" s="217"/>
      <c r="R11696" s="217"/>
      <c r="S11696" s="218"/>
    </row>
    <row r="11697" spans="16:19" ht="15" customHeight="1" x14ac:dyDescent="0.25">
      <c r="P11697" s="216"/>
      <c r="Q11697" s="217"/>
      <c r="R11697" s="217"/>
      <c r="S11697" s="218"/>
    </row>
    <row r="11698" spans="16:19" ht="15" customHeight="1" x14ac:dyDescent="0.25">
      <c r="P11698" s="216"/>
      <c r="Q11698" s="217"/>
      <c r="R11698" s="217"/>
      <c r="S11698" s="218"/>
    </row>
    <row r="11699" spans="16:19" ht="15" customHeight="1" x14ac:dyDescent="0.25">
      <c r="P11699" s="216"/>
      <c r="Q11699" s="217"/>
      <c r="R11699" s="217"/>
      <c r="S11699" s="218"/>
    </row>
    <row r="11700" spans="16:19" ht="15" customHeight="1" x14ac:dyDescent="0.25">
      <c r="P11700" s="216"/>
      <c r="Q11700" s="217"/>
      <c r="R11700" s="217"/>
      <c r="S11700" s="218"/>
    </row>
    <row r="11701" spans="16:19" ht="15" customHeight="1" x14ac:dyDescent="0.25">
      <c r="P11701" s="216"/>
      <c r="Q11701" s="217"/>
      <c r="R11701" s="217"/>
      <c r="S11701" s="218"/>
    </row>
    <row r="11702" spans="16:19" ht="15" customHeight="1" x14ac:dyDescent="0.25">
      <c r="P11702" s="216"/>
      <c r="Q11702" s="217"/>
      <c r="R11702" s="217"/>
      <c r="S11702" s="218"/>
    </row>
    <row r="11703" spans="16:19" ht="15" customHeight="1" x14ac:dyDescent="0.25">
      <c r="P11703" s="216"/>
      <c r="Q11703" s="217"/>
      <c r="R11703" s="217"/>
      <c r="S11703" s="218"/>
    </row>
    <row r="11704" spans="16:19" ht="15" customHeight="1" x14ac:dyDescent="0.25">
      <c r="P11704" s="216"/>
      <c r="Q11704" s="217"/>
      <c r="R11704" s="217"/>
      <c r="S11704" s="218"/>
    </row>
    <row r="11705" spans="16:19" ht="15" customHeight="1" x14ac:dyDescent="0.25">
      <c r="P11705" s="216"/>
      <c r="Q11705" s="217"/>
      <c r="R11705" s="217"/>
      <c r="S11705" s="218"/>
    </row>
    <row r="11706" spans="16:19" ht="15" customHeight="1" x14ac:dyDescent="0.25">
      <c r="P11706" s="216"/>
      <c r="Q11706" s="217"/>
      <c r="R11706" s="217"/>
      <c r="S11706" s="218"/>
    </row>
    <row r="11707" spans="16:19" ht="15" customHeight="1" x14ac:dyDescent="0.25">
      <c r="P11707" s="216"/>
      <c r="Q11707" s="217"/>
      <c r="R11707" s="217"/>
      <c r="S11707" s="218"/>
    </row>
    <row r="11708" spans="16:19" ht="15" customHeight="1" x14ac:dyDescent="0.25">
      <c r="P11708" s="216"/>
      <c r="Q11708" s="217"/>
      <c r="R11708" s="217"/>
      <c r="S11708" s="218"/>
    </row>
    <row r="11709" spans="16:19" ht="15" customHeight="1" x14ac:dyDescent="0.25">
      <c r="P11709" s="216"/>
      <c r="Q11709" s="217"/>
      <c r="R11709" s="217"/>
      <c r="S11709" s="218"/>
    </row>
    <row r="11710" spans="16:19" ht="15" customHeight="1" x14ac:dyDescent="0.25">
      <c r="P11710" s="216"/>
      <c r="Q11710" s="217"/>
      <c r="R11710" s="217"/>
      <c r="S11710" s="218"/>
    </row>
    <row r="11711" spans="16:19" ht="15" customHeight="1" x14ac:dyDescent="0.25">
      <c r="P11711" s="216"/>
      <c r="Q11711" s="217"/>
      <c r="R11711" s="217"/>
      <c r="S11711" s="218"/>
    </row>
    <row r="11712" spans="16:19" ht="15" customHeight="1" x14ac:dyDescent="0.25">
      <c r="P11712" s="216"/>
      <c r="Q11712" s="217"/>
      <c r="R11712" s="217"/>
      <c r="S11712" s="218"/>
    </row>
    <row r="11713" spans="16:19" ht="15" customHeight="1" x14ac:dyDescent="0.25">
      <c r="P11713" s="216"/>
      <c r="Q11713" s="217"/>
      <c r="R11713" s="217"/>
      <c r="S11713" s="218"/>
    </row>
    <row r="11714" spans="16:19" ht="15" customHeight="1" x14ac:dyDescent="0.25">
      <c r="P11714" s="216"/>
      <c r="Q11714" s="217"/>
      <c r="R11714" s="217"/>
      <c r="S11714" s="218"/>
    </row>
    <row r="11715" spans="16:19" ht="15" customHeight="1" x14ac:dyDescent="0.25">
      <c r="P11715" s="216"/>
      <c r="Q11715" s="217"/>
      <c r="R11715" s="217"/>
      <c r="S11715" s="218"/>
    </row>
    <row r="11716" spans="16:19" ht="15" customHeight="1" x14ac:dyDescent="0.25">
      <c r="P11716" s="216"/>
      <c r="Q11716" s="217"/>
      <c r="R11716" s="217"/>
      <c r="S11716" s="218"/>
    </row>
    <row r="11717" spans="16:19" ht="15" customHeight="1" x14ac:dyDescent="0.25">
      <c r="P11717" s="216"/>
      <c r="Q11717" s="217"/>
      <c r="R11717" s="217"/>
      <c r="S11717" s="218"/>
    </row>
    <row r="11718" spans="16:19" ht="15" customHeight="1" x14ac:dyDescent="0.25">
      <c r="P11718" s="216"/>
      <c r="Q11718" s="217"/>
      <c r="R11718" s="217"/>
      <c r="S11718" s="218"/>
    </row>
    <row r="11719" spans="16:19" ht="15" customHeight="1" x14ac:dyDescent="0.25">
      <c r="P11719" s="216"/>
      <c r="Q11719" s="217"/>
      <c r="R11719" s="217"/>
      <c r="S11719" s="218"/>
    </row>
    <row r="11720" spans="16:19" ht="15" customHeight="1" x14ac:dyDescent="0.25">
      <c r="P11720" s="216"/>
      <c r="Q11720" s="217"/>
      <c r="R11720" s="217"/>
      <c r="S11720" s="218"/>
    </row>
    <row r="11721" spans="16:19" ht="15" customHeight="1" x14ac:dyDescent="0.25">
      <c r="P11721" s="216"/>
      <c r="Q11721" s="217"/>
      <c r="R11721" s="217"/>
      <c r="S11721" s="218"/>
    </row>
    <row r="11722" spans="16:19" ht="15" customHeight="1" x14ac:dyDescent="0.25">
      <c r="P11722" s="216"/>
      <c r="Q11722" s="217"/>
      <c r="R11722" s="217"/>
      <c r="S11722" s="218"/>
    </row>
    <row r="11723" spans="16:19" ht="15" customHeight="1" x14ac:dyDescent="0.25">
      <c r="P11723" s="216"/>
      <c r="Q11723" s="217"/>
      <c r="R11723" s="217"/>
      <c r="S11723" s="218"/>
    </row>
    <row r="11724" spans="16:19" ht="15" customHeight="1" x14ac:dyDescent="0.25">
      <c r="P11724" s="216"/>
      <c r="Q11724" s="217"/>
      <c r="R11724" s="217"/>
      <c r="S11724" s="218"/>
    </row>
    <row r="11725" spans="16:19" ht="15" customHeight="1" x14ac:dyDescent="0.25">
      <c r="P11725" s="216"/>
      <c r="Q11725" s="217"/>
      <c r="R11725" s="217"/>
      <c r="S11725" s="218"/>
    </row>
    <row r="11726" spans="16:19" ht="15" customHeight="1" x14ac:dyDescent="0.25">
      <c r="P11726" s="216"/>
      <c r="Q11726" s="217"/>
      <c r="R11726" s="217"/>
      <c r="S11726" s="218"/>
    </row>
    <row r="11727" spans="16:19" ht="15" customHeight="1" x14ac:dyDescent="0.25">
      <c r="P11727" s="216"/>
      <c r="Q11727" s="217"/>
      <c r="R11727" s="217"/>
      <c r="S11727" s="218"/>
    </row>
    <row r="11728" spans="16:19" ht="15" customHeight="1" x14ac:dyDescent="0.25">
      <c r="P11728" s="216"/>
      <c r="Q11728" s="217"/>
      <c r="R11728" s="217"/>
      <c r="S11728" s="218"/>
    </row>
    <row r="11729" spans="16:19" ht="15" customHeight="1" x14ac:dyDescent="0.25">
      <c r="P11729" s="216"/>
      <c r="Q11729" s="217"/>
      <c r="R11729" s="217"/>
      <c r="S11729" s="218"/>
    </row>
    <row r="11730" spans="16:19" ht="15" customHeight="1" x14ac:dyDescent="0.25">
      <c r="P11730" s="216"/>
      <c r="Q11730" s="217"/>
      <c r="R11730" s="217"/>
      <c r="S11730" s="218"/>
    </row>
    <row r="11731" spans="16:19" ht="15" customHeight="1" x14ac:dyDescent="0.25">
      <c r="P11731" s="216"/>
      <c r="Q11731" s="217"/>
      <c r="R11731" s="217"/>
      <c r="S11731" s="218"/>
    </row>
    <row r="11732" spans="16:19" ht="15" customHeight="1" x14ac:dyDescent="0.25">
      <c r="P11732" s="216"/>
      <c r="Q11732" s="217"/>
      <c r="R11732" s="217"/>
      <c r="S11732" s="218"/>
    </row>
    <row r="11733" spans="16:19" ht="15" customHeight="1" x14ac:dyDescent="0.25">
      <c r="P11733" s="216"/>
      <c r="Q11733" s="217"/>
      <c r="R11733" s="217"/>
      <c r="S11733" s="218"/>
    </row>
    <row r="11734" spans="16:19" ht="15" customHeight="1" x14ac:dyDescent="0.25">
      <c r="P11734" s="216"/>
      <c r="Q11734" s="217"/>
      <c r="R11734" s="217"/>
      <c r="S11734" s="218"/>
    </row>
    <row r="11735" spans="16:19" ht="15" customHeight="1" x14ac:dyDescent="0.25">
      <c r="P11735" s="216"/>
      <c r="Q11735" s="217"/>
      <c r="R11735" s="217"/>
      <c r="S11735" s="218"/>
    </row>
    <row r="11736" spans="16:19" ht="15" customHeight="1" x14ac:dyDescent="0.25">
      <c r="P11736" s="216"/>
      <c r="Q11736" s="217"/>
      <c r="R11736" s="217"/>
      <c r="S11736" s="218"/>
    </row>
    <row r="11737" spans="16:19" ht="15" customHeight="1" x14ac:dyDescent="0.25">
      <c r="P11737" s="216"/>
      <c r="Q11737" s="217"/>
      <c r="R11737" s="217"/>
      <c r="S11737" s="218"/>
    </row>
    <row r="11738" spans="16:19" ht="15" customHeight="1" x14ac:dyDescent="0.25">
      <c r="P11738" s="216"/>
      <c r="Q11738" s="217"/>
      <c r="R11738" s="217"/>
      <c r="S11738" s="218"/>
    </row>
    <row r="11739" spans="16:19" ht="15" customHeight="1" x14ac:dyDescent="0.25">
      <c r="P11739" s="216"/>
      <c r="Q11739" s="217"/>
      <c r="R11739" s="217"/>
      <c r="S11739" s="218"/>
    </row>
    <row r="11740" spans="16:19" ht="15" customHeight="1" x14ac:dyDescent="0.25">
      <c r="P11740" s="216"/>
      <c r="Q11740" s="217"/>
      <c r="R11740" s="217"/>
      <c r="S11740" s="218"/>
    </row>
    <row r="11741" spans="16:19" ht="15" customHeight="1" x14ac:dyDescent="0.25">
      <c r="P11741" s="216"/>
      <c r="Q11741" s="217"/>
      <c r="R11741" s="217"/>
      <c r="S11741" s="218"/>
    </row>
    <row r="11742" spans="16:19" ht="15" customHeight="1" x14ac:dyDescent="0.25">
      <c r="P11742" s="216"/>
      <c r="Q11742" s="217"/>
      <c r="R11742" s="217"/>
      <c r="S11742" s="218"/>
    </row>
    <row r="11743" spans="16:19" ht="15" customHeight="1" x14ac:dyDescent="0.25">
      <c r="P11743" s="216"/>
      <c r="Q11743" s="217"/>
      <c r="R11743" s="217"/>
      <c r="S11743" s="218"/>
    </row>
    <row r="11744" spans="16:19" ht="15" customHeight="1" x14ac:dyDescent="0.25">
      <c r="P11744" s="216"/>
      <c r="Q11744" s="217"/>
      <c r="R11744" s="217"/>
      <c r="S11744" s="218"/>
    </row>
    <row r="11745" spans="16:19" ht="15" customHeight="1" x14ac:dyDescent="0.25">
      <c r="P11745" s="216"/>
      <c r="Q11745" s="217"/>
      <c r="R11745" s="217"/>
      <c r="S11745" s="218"/>
    </row>
    <row r="11746" spans="16:19" ht="15" customHeight="1" x14ac:dyDescent="0.25">
      <c r="P11746" s="216"/>
      <c r="Q11746" s="217"/>
      <c r="R11746" s="217"/>
      <c r="S11746" s="218"/>
    </row>
    <row r="11747" spans="16:19" ht="15" customHeight="1" x14ac:dyDescent="0.25">
      <c r="P11747" s="216"/>
      <c r="Q11747" s="217"/>
      <c r="R11747" s="217"/>
      <c r="S11747" s="218"/>
    </row>
    <row r="11748" spans="16:19" ht="15" customHeight="1" x14ac:dyDescent="0.25">
      <c r="P11748" s="216"/>
      <c r="Q11748" s="217"/>
      <c r="R11748" s="217"/>
      <c r="S11748" s="218"/>
    </row>
    <row r="11749" spans="16:19" ht="15" customHeight="1" x14ac:dyDescent="0.25">
      <c r="P11749" s="216"/>
      <c r="Q11749" s="217"/>
      <c r="R11749" s="217"/>
      <c r="S11749" s="218"/>
    </row>
    <row r="11750" spans="16:19" ht="15" customHeight="1" x14ac:dyDescent="0.25">
      <c r="P11750" s="216"/>
      <c r="Q11750" s="217"/>
      <c r="R11750" s="217"/>
      <c r="S11750" s="218"/>
    </row>
    <row r="11751" spans="16:19" ht="15" customHeight="1" x14ac:dyDescent="0.25">
      <c r="P11751" s="216"/>
      <c r="Q11751" s="217"/>
      <c r="R11751" s="217"/>
      <c r="S11751" s="218"/>
    </row>
    <row r="11752" spans="16:19" ht="15" customHeight="1" x14ac:dyDescent="0.25">
      <c r="P11752" s="216"/>
      <c r="Q11752" s="217"/>
      <c r="R11752" s="217"/>
      <c r="S11752" s="218"/>
    </row>
    <row r="11753" spans="16:19" ht="15" customHeight="1" x14ac:dyDescent="0.25">
      <c r="P11753" s="216"/>
      <c r="Q11753" s="217"/>
      <c r="R11753" s="217"/>
      <c r="S11753" s="218"/>
    </row>
    <row r="11754" spans="16:19" ht="15" customHeight="1" x14ac:dyDescent="0.25">
      <c r="P11754" s="216"/>
      <c r="Q11754" s="217"/>
      <c r="R11754" s="217"/>
      <c r="S11754" s="218"/>
    </row>
    <row r="11755" spans="16:19" ht="15" customHeight="1" x14ac:dyDescent="0.25">
      <c r="P11755" s="216"/>
      <c r="Q11755" s="217"/>
      <c r="R11755" s="217"/>
      <c r="S11755" s="218"/>
    </row>
    <row r="11756" spans="16:19" ht="15" customHeight="1" x14ac:dyDescent="0.25">
      <c r="P11756" s="216"/>
      <c r="Q11756" s="217"/>
      <c r="R11756" s="217"/>
      <c r="S11756" s="218"/>
    </row>
    <row r="11757" spans="16:19" ht="15" customHeight="1" x14ac:dyDescent="0.25">
      <c r="P11757" s="216"/>
      <c r="Q11757" s="217"/>
      <c r="R11757" s="217"/>
      <c r="S11757" s="218"/>
    </row>
    <row r="11758" spans="16:19" ht="15" customHeight="1" x14ac:dyDescent="0.25">
      <c r="P11758" s="216"/>
      <c r="Q11758" s="217"/>
      <c r="R11758" s="217"/>
      <c r="S11758" s="218"/>
    </row>
    <row r="11759" spans="16:19" ht="15" customHeight="1" x14ac:dyDescent="0.25">
      <c r="P11759" s="216"/>
      <c r="Q11759" s="217"/>
      <c r="R11759" s="217"/>
      <c r="S11759" s="218"/>
    </row>
    <row r="11760" spans="16:19" ht="15" customHeight="1" x14ac:dyDescent="0.25">
      <c r="P11760" s="216"/>
      <c r="Q11760" s="217"/>
      <c r="R11760" s="217"/>
      <c r="S11760" s="218"/>
    </row>
    <row r="11761" spans="16:19" ht="15" customHeight="1" x14ac:dyDescent="0.25">
      <c r="P11761" s="216"/>
      <c r="Q11761" s="217"/>
      <c r="R11761" s="217"/>
      <c r="S11761" s="218"/>
    </row>
    <row r="11762" spans="16:19" ht="15" customHeight="1" x14ac:dyDescent="0.25">
      <c r="P11762" s="216"/>
      <c r="Q11762" s="217"/>
      <c r="R11762" s="217"/>
      <c r="S11762" s="218"/>
    </row>
    <row r="11763" spans="16:19" ht="15" customHeight="1" x14ac:dyDescent="0.25">
      <c r="P11763" s="216"/>
      <c r="Q11763" s="217"/>
      <c r="R11763" s="217"/>
      <c r="S11763" s="218"/>
    </row>
    <row r="11764" spans="16:19" ht="15" customHeight="1" x14ac:dyDescent="0.25">
      <c r="P11764" s="216"/>
      <c r="Q11764" s="217"/>
      <c r="R11764" s="217"/>
      <c r="S11764" s="218"/>
    </row>
    <row r="11765" spans="16:19" ht="15" customHeight="1" x14ac:dyDescent="0.25">
      <c r="P11765" s="216"/>
      <c r="Q11765" s="217"/>
      <c r="R11765" s="217"/>
      <c r="S11765" s="218"/>
    </row>
    <row r="11766" spans="16:19" ht="15" customHeight="1" x14ac:dyDescent="0.25">
      <c r="P11766" s="216"/>
      <c r="Q11766" s="217"/>
      <c r="R11766" s="217"/>
      <c r="S11766" s="218"/>
    </row>
    <row r="11767" spans="16:19" ht="15" customHeight="1" x14ac:dyDescent="0.25">
      <c r="P11767" s="216"/>
      <c r="Q11767" s="217"/>
      <c r="R11767" s="217"/>
      <c r="S11767" s="218"/>
    </row>
    <row r="11768" spans="16:19" ht="15" customHeight="1" x14ac:dyDescent="0.25">
      <c r="P11768" s="216"/>
      <c r="Q11768" s="217"/>
      <c r="R11768" s="217"/>
      <c r="S11768" s="218"/>
    </row>
    <row r="11769" spans="16:19" ht="15" customHeight="1" x14ac:dyDescent="0.25">
      <c r="P11769" s="216"/>
      <c r="Q11769" s="217"/>
      <c r="R11769" s="217"/>
      <c r="S11769" s="218"/>
    </row>
    <row r="11770" spans="16:19" ht="15" customHeight="1" x14ac:dyDescent="0.25">
      <c r="P11770" s="216"/>
      <c r="Q11770" s="217"/>
      <c r="R11770" s="217"/>
      <c r="S11770" s="218"/>
    </row>
    <row r="11771" spans="16:19" ht="15" customHeight="1" x14ac:dyDescent="0.25">
      <c r="P11771" s="216"/>
      <c r="Q11771" s="217"/>
      <c r="R11771" s="217"/>
      <c r="S11771" s="218"/>
    </row>
    <row r="11772" spans="16:19" ht="15" customHeight="1" x14ac:dyDescent="0.25">
      <c r="P11772" s="216"/>
      <c r="Q11772" s="217"/>
      <c r="R11772" s="217"/>
      <c r="S11772" s="218"/>
    </row>
    <row r="11773" spans="16:19" ht="15" customHeight="1" x14ac:dyDescent="0.25">
      <c r="P11773" s="216"/>
      <c r="Q11773" s="217"/>
      <c r="R11773" s="217"/>
      <c r="S11773" s="218"/>
    </row>
    <row r="11774" spans="16:19" ht="15" customHeight="1" x14ac:dyDescent="0.25">
      <c r="P11774" s="216"/>
      <c r="Q11774" s="217"/>
      <c r="R11774" s="217"/>
      <c r="S11774" s="218"/>
    </row>
    <row r="11775" spans="16:19" ht="15" customHeight="1" x14ac:dyDescent="0.25">
      <c r="P11775" s="216"/>
      <c r="Q11775" s="217"/>
      <c r="R11775" s="217"/>
      <c r="S11775" s="218"/>
    </row>
    <row r="11776" spans="16:19" ht="15" customHeight="1" x14ac:dyDescent="0.25">
      <c r="P11776" s="216"/>
      <c r="Q11776" s="217"/>
      <c r="R11776" s="217"/>
      <c r="S11776" s="218"/>
    </row>
    <row r="11777" spans="16:19" ht="15" customHeight="1" x14ac:dyDescent="0.25">
      <c r="P11777" s="216"/>
      <c r="Q11777" s="217"/>
      <c r="R11777" s="217"/>
      <c r="S11777" s="218"/>
    </row>
    <row r="11778" spans="16:19" ht="15" customHeight="1" x14ac:dyDescent="0.25">
      <c r="P11778" s="216"/>
      <c r="Q11778" s="217"/>
      <c r="R11778" s="217"/>
      <c r="S11778" s="218"/>
    </row>
    <row r="11779" spans="16:19" ht="15" customHeight="1" x14ac:dyDescent="0.25">
      <c r="P11779" s="216"/>
      <c r="Q11779" s="217"/>
      <c r="R11779" s="217"/>
      <c r="S11779" s="218"/>
    </row>
    <row r="11780" spans="16:19" ht="15" customHeight="1" x14ac:dyDescent="0.25">
      <c r="P11780" s="216"/>
      <c r="Q11780" s="217"/>
      <c r="R11780" s="217"/>
      <c r="S11780" s="218"/>
    </row>
    <row r="11781" spans="16:19" ht="15" customHeight="1" x14ac:dyDescent="0.25">
      <c r="P11781" s="216"/>
      <c r="Q11781" s="217"/>
      <c r="R11781" s="217"/>
      <c r="S11781" s="218"/>
    </row>
    <row r="11782" spans="16:19" ht="15" customHeight="1" x14ac:dyDescent="0.25">
      <c r="P11782" s="216"/>
      <c r="Q11782" s="217"/>
      <c r="R11782" s="217"/>
      <c r="S11782" s="218"/>
    </row>
    <row r="11783" spans="16:19" ht="15" customHeight="1" x14ac:dyDescent="0.25">
      <c r="P11783" s="216"/>
      <c r="Q11783" s="217"/>
      <c r="R11783" s="217"/>
      <c r="S11783" s="218"/>
    </row>
    <row r="11784" spans="16:19" ht="15" customHeight="1" x14ac:dyDescent="0.25">
      <c r="P11784" s="216"/>
      <c r="Q11784" s="217"/>
      <c r="R11784" s="217"/>
      <c r="S11784" s="218"/>
    </row>
    <row r="11785" spans="16:19" ht="15" customHeight="1" x14ac:dyDescent="0.25">
      <c r="P11785" s="216"/>
      <c r="Q11785" s="217"/>
      <c r="R11785" s="217"/>
      <c r="S11785" s="218"/>
    </row>
    <row r="11786" spans="16:19" ht="15" customHeight="1" x14ac:dyDescent="0.25">
      <c r="P11786" s="216"/>
      <c r="Q11786" s="217"/>
      <c r="R11786" s="217"/>
      <c r="S11786" s="218"/>
    </row>
    <row r="11787" spans="16:19" ht="15" customHeight="1" x14ac:dyDescent="0.25">
      <c r="P11787" s="216"/>
      <c r="Q11787" s="217"/>
      <c r="R11787" s="217"/>
      <c r="S11787" s="218"/>
    </row>
    <row r="11788" spans="16:19" ht="15" customHeight="1" x14ac:dyDescent="0.25">
      <c r="P11788" s="216"/>
      <c r="Q11788" s="217"/>
      <c r="R11788" s="217"/>
      <c r="S11788" s="218"/>
    </row>
    <row r="11789" spans="16:19" ht="15" customHeight="1" x14ac:dyDescent="0.25">
      <c r="P11789" s="216"/>
      <c r="Q11789" s="217"/>
      <c r="R11789" s="217"/>
      <c r="S11789" s="218"/>
    </row>
    <row r="11790" spans="16:19" ht="15" customHeight="1" x14ac:dyDescent="0.25">
      <c r="P11790" s="216"/>
      <c r="Q11790" s="217"/>
      <c r="R11790" s="217"/>
      <c r="S11790" s="218"/>
    </row>
    <row r="11791" spans="16:19" ht="15" customHeight="1" x14ac:dyDescent="0.25">
      <c r="P11791" s="216"/>
      <c r="Q11791" s="217"/>
      <c r="R11791" s="217"/>
      <c r="S11791" s="218"/>
    </row>
    <row r="11792" spans="16:19" ht="15" customHeight="1" x14ac:dyDescent="0.25">
      <c r="P11792" s="216"/>
      <c r="Q11792" s="217"/>
      <c r="R11792" s="217"/>
      <c r="S11792" s="218"/>
    </row>
    <row r="11793" spans="16:19" ht="15" customHeight="1" x14ac:dyDescent="0.25">
      <c r="P11793" s="216"/>
      <c r="Q11793" s="217"/>
      <c r="R11793" s="217"/>
      <c r="S11793" s="218"/>
    </row>
    <row r="11794" spans="16:19" ht="15" customHeight="1" x14ac:dyDescent="0.25">
      <c r="P11794" s="216"/>
      <c r="Q11794" s="217"/>
      <c r="R11794" s="217"/>
      <c r="S11794" s="218"/>
    </row>
    <row r="11795" spans="16:19" ht="15" customHeight="1" x14ac:dyDescent="0.25">
      <c r="P11795" s="216"/>
      <c r="Q11795" s="217"/>
      <c r="R11795" s="217"/>
      <c r="S11795" s="218"/>
    </row>
    <row r="11796" spans="16:19" ht="15" customHeight="1" x14ac:dyDescent="0.25">
      <c r="P11796" s="216"/>
      <c r="Q11796" s="217"/>
      <c r="R11796" s="217"/>
      <c r="S11796" s="218"/>
    </row>
    <row r="11797" spans="16:19" ht="15" customHeight="1" x14ac:dyDescent="0.25">
      <c r="P11797" s="216"/>
      <c r="Q11797" s="217"/>
      <c r="R11797" s="217"/>
      <c r="S11797" s="218"/>
    </row>
    <row r="11798" spans="16:19" ht="15" customHeight="1" x14ac:dyDescent="0.25">
      <c r="P11798" s="216"/>
      <c r="Q11798" s="217"/>
      <c r="R11798" s="217"/>
      <c r="S11798" s="218"/>
    </row>
    <row r="11799" spans="16:19" ht="15" customHeight="1" x14ac:dyDescent="0.25">
      <c r="P11799" s="216"/>
      <c r="Q11799" s="217"/>
      <c r="R11799" s="217"/>
      <c r="S11799" s="218"/>
    </row>
    <row r="11800" spans="16:19" ht="15" customHeight="1" x14ac:dyDescent="0.25">
      <c r="P11800" s="216"/>
      <c r="Q11800" s="217"/>
      <c r="R11800" s="217"/>
      <c r="S11800" s="218"/>
    </row>
    <row r="11801" spans="16:19" ht="15" customHeight="1" x14ac:dyDescent="0.25">
      <c r="P11801" s="216"/>
      <c r="Q11801" s="217"/>
      <c r="R11801" s="217"/>
      <c r="S11801" s="218"/>
    </row>
    <row r="11802" spans="16:19" ht="15" customHeight="1" x14ac:dyDescent="0.25">
      <c r="P11802" s="216"/>
      <c r="Q11802" s="217"/>
      <c r="R11802" s="217"/>
      <c r="S11802" s="218"/>
    </row>
    <row r="11803" spans="16:19" ht="15" customHeight="1" x14ac:dyDescent="0.25">
      <c r="P11803" s="216"/>
      <c r="Q11803" s="217"/>
      <c r="R11803" s="217"/>
      <c r="S11803" s="218"/>
    </row>
    <row r="11804" spans="16:19" ht="15" customHeight="1" x14ac:dyDescent="0.25">
      <c r="P11804" s="216"/>
      <c r="Q11804" s="217"/>
      <c r="R11804" s="217"/>
      <c r="S11804" s="218"/>
    </row>
    <row r="11805" spans="16:19" ht="15" customHeight="1" x14ac:dyDescent="0.25">
      <c r="P11805" s="216"/>
      <c r="Q11805" s="217"/>
      <c r="R11805" s="217"/>
      <c r="S11805" s="218"/>
    </row>
    <row r="11806" spans="16:19" ht="15" customHeight="1" x14ac:dyDescent="0.25">
      <c r="P11806" s="216"/>
      <c r="Q11806" s="217"/>
      <c r="R11806" s="217"/>
      <c r="S11806" s="218"/>
    </row>
    <row r="11807" spans="16:19" ht="15" customHeight="1" x14ac:dyDescent="0.25">
      <c r="P11807" s="216"/>
      <c r="Q11807" s="217"/>
      <c r="R11807" s="217"/>
      <c r="S11807" s="218"/>
    </row>
    <row r="11808" spans="16:19" ht="15" customHeight="1" x14ac:dyDescent="0.25">
      <c r="P11808" s="216"/>
      <c r="Q11808" s="217"/>
      <c r="R11808" s="217"/>
      <c r="S11808" s="218"/>
    </row>
    <row r="11809" spans="16:19" ht="15" customHeight="1" x14ac:dyDescent="0.25">
      <c r="P11809" s="216"/>
      <c r="Q11809" s="217"/>
      <c r="R11809" s="217"/>
      <c r="S11809" s="218"/>
    </row>
    <row r="11810" spans="16:19" ht="15" customHeight="1" x14ac:dyDescent="0.25">
      <c r="P11810" s="216"/>
      <c r="Q11810" s="217"/>
      <c r="R11810" s="217"/>
      <c r="S11810" s="218"/>
    </row>
    <row r="11811" spans="16:19" ht="15" customHeight="1" x14ac:dyDescent="0.25">
      <c r="P11811" s="216"/>
      <c r="Q11811" s="217"/>
      <c r="R11811" s="217"/>
      <c r="S11811" s="218"/>
    </row>
    <row r="11812" spans="16:19" ht="15" customHeight="1" x14ac:dyDescent="0.25">
      <c r="P11812" s="216"/>
      <c r="Q11812" s="217"/>
      <c r="R11812" s="217"/>
      <c r="S11812" s="218"/>
    </row>
    <row r="11813" spans="16:19" ht="15" customHeight="1" x14ac:dyDescent="0.25">
      <c r="P11813" s="216"/>
      <c r="Q11813" s="217"/>
      <c r="R11813" s="217"/>
      <c r="S11813" s="218"/>
    </row>
    <row r="11814" spans="16:19" ht="15" customHeight="1" x14ac:dyDescent="0.25">
      <c r="P11814" s="216"/>
      <c r="Q11814" s="217"/>
      <c r="R11814" s="217"/>
      <c r="S11814" s="218"/>
    </row>
    <row r="11815" spans="16:19" ht="15" customHeight="1" x14ac:dyDescent="0.25">
      <c r="P11815" s="216"/>
      <c r="Q11815" s="217"/>
      <c r="R11815" s="217"/>
      <c r="S11815" s="218"/>
    </row>
    <row r="11816" spans="16:19" ht="15" customHeight="1" x14ac:dyDescent="0.25">
      <c r="P11816" s="216"/>
      <c r="Q11816" s="217"/>
      <c r="R11816" s="217"/>
      <c r="S11816" s="218"/>
    </row>
    <row r="11817" spans="16:19" ht="15" customHeight="1" x14ac:dyDescent="0.25">
      <c r="P11817" s="216"/>
      <c r="Q11817" s="217"/>
      <c r="R11817" s="217"/>
      <c r="S11817" s="218"/>
    </row>
    <row r="11818" spans="16:19" ht="15" customHeight="1" x14ac:dyDescent="0.25">
      <c r="P11818" s="216"/>
      <c r="Q11818" s="217"/>
      <c r="R11818" s="217"/>
      <c r="S11818" s="218"/>
    </row>
    <row r="11819" spans="16:19" ht="15" customHeight="1" x14ac:dyDescent="0.25">
      <c r="P11819" s="216"/>
      <c r="Q11819" s="217"/>
      <c r="R11819" s="217"/>
      <c r="S11819" s="218"/>
    </row>
    <row r="11820" spans="16:19" ht="15" customHeight="1" x14ac:dyDescent="0.25">
      <c r="P11820" s="216"/>
      <c r="Q11820" s="217"/>
      <c r="R11820" s="217"/>
      <c r="S11820" s="218"/>
    </row>
    <row r="11821" spans="16:19" ht="15" customHeight="1" x14ac:dyDescent="0.25">
      <c r="P11821" s="216"/>
      <c r="Q11821" s="217"/>
      <c r="R11821" s="217"/>
      <c r="S11821" s="218"/>
    </row>
    <row r="11822" spans="16:19" ht="15" customHeight="1" x14ac:dyDescent="0.25">
      <c r="P11822" s="216"/>
      <c r="Q11822" s="217"/>
      <c r="R11822" s="217"/>
      <c r="S11822" s="218"/>
    </row>
    <row r="11823" spans="16:19" ht="15" customHeight="1" x14ac:dyDescent="0.25">
      <c r="P11823" s="216"/>
      <c r="Q11823" s="217"/>
      <c r="R11823" s="217"/>
      <c r="S11823" s="218"/>
    </row>
    <row r="11824" spans="16:19" ht="15" customHeight="1" x14ac:dyDescent="0.25">
      <c r="P11824" s="216"/>
      <c r="Q11824" s="217"/>
      <c r="R11824" s="217"/>
      <c r="S11824" s="218"/>
    </row>
    <row r="11825" spans="16:19" ht="15" customHeight="1" x14ac:dyDescent="0.25">
      <c r="P11825" s="216"/>
      <c r="Q11825" s="217"/>
      <c r="R11825" s="217"/>
      <c r="S11825" s="218"/>
    </row>
    <row r="11826" spans="16:19" ht="15" customHeight="1" x14ac:dyDescent="0.25">
      <c r="P11826" s="216"/>
      <c r="Q11826" s="217"/>
      <c r="R11826" s="217"/>
      <c r="S11826" s="218"/>
    </row>
    <row r="11827" spans="16:19" ht="15" customHeight="1" x14ac:dyDescent="0.25">
      <c r="P11827" s="216"/>
      <c r="Q11827" s="217"/>
      <c r="R11827" s="217"/>
      <c r="S11827" s="218"/>
    </row>
    <row r="11828" spans="16:19" ht="15" customHeight="1" x14ac:dyDescent="0.25">
      <c r="P11828" s="216"/>
      <c r="Q11828" s="217"/>
      <c r="R11828" s="217"/>
      <c r="S11828" s="218"/>
    </row>
    <row r="11829" spans="16:19" ht="15" customHeight="1" x14ac:dyDescent="0.25">
      <c r="P11829" s="216"/>
      <c r="Q11829" s="217"/>
      <c r="R11829" s="217"/>
      <c r="S11829" s="218"/>
    </row>
    <row r="11830" spans="16:19" ht="15" customHeight="1" x14ac:dyDescent="0.25">
      <c r="P11830" s="216"/>
      <c r="Q11830" s="217"/>
      <c r="R11830" s="217"/>
      <c r="S11830" s="218"/>
    </row>
    <row r="11831" spans="16:19" ht="15" customHeight="1" x14ac:dyDescent="0.25">
      <c r="P11831" s="216"/>
      <c r="Q11831" s="217"/>
      <c r="R11831" s="217"/>
      <c r="S11831" s="218"/>
    </row>
    <row r="11832" spans="16:19" ht="15" customHeight="1" x14ac:dyDescent="0.25">
      <c r="P11832" s="216"/>
      <c r="Q11832" s="217"/>
      <c r="R11832" s="217"/>
      <c r="S11832" s="218"/>
    </row>
    <row r="11833" spans="16:19" ht="15" customHeight="1" x14ac:dyDescent="0.25">
      <c r="P11833" s="216"/>
      <c r="Q11833" s="217"/>
      <c r="R11833" s="217"/>
      <c r="S11833" s="218"/>
    </row>
    <row r="11834" spans="16:19" ht="15" customHeight="1" x14ac:dyDescent="0.25">
      <c r="P11834" s="216"/>
      <c r="Q11834" s="217"/>
      <c r="R11834" s="217"/>
      <c r="S11834" s="218"/>
    </row>
    <row r="11835" spans="16:19" ht="15" customHeight="1" x14ac:dyDescent="0.25">
      <c r="P11835" s="216"/>
      <c r="Q11835" s="217"/>
      <c r="R11835" s="217"/>
      <c r="S11835" s="218"/>
    </row>
    <row r="11836" spans="16:19" ht="15" customHeight="1" x14ac:dyDescent="0.25">
      <c r="P11836" s="216"/>
      <c r="Q11836" s="217"/>
      <c r="R11836" s="217"/>
      <c r="S11836" s="218"/>
    </row>
    <row r="11837" spans="16:19" ht="15" customHeight="1" x14ac:dyDescent="0.25">
      <c r="P11837" s="216"/>
      <c r="Q11837" s="217"/>
      <c r="R11837" s="217"/>
      <c r="S11837" s="218"/>
    </row>
    <row r="11838" spans="16:19" ht="15" customHeight="1" x14ac:dyDescent="0.25">
      <c r="P11838" s="216"/>
      <c r="Q11838" s="217"/>
      <c r="R11838" s="217"/>
      <c r="S11838" s="218"/>
    </row>
    <row r="11839" spans="16:19" ht="15" customHeight="1" x14ac:dyDescent="0.25">
      <c r="P11839" s="216"/>
      <c r="Q11839" s="217"/>
      <c r="R11839" s="217"/>
      <c r="S11839" s="218"/>
    </row>
    <row r="11840" spans="16:19" ht="15" customHeight="1" x14ac:dyDescent="0.25">
      <c r="P11840" s="216"/>
      <c r="Q11840" s="217"/>
      <c r="R11840" s="217"/>
      <c r="S11840" s="218"/>
    </row>
    <row r="11841" spans="16:19" ht="15" customHeight="1" x14ac:dyDescent="0.25">
      <c r="P11841" s="216"/>
      <c r="Q11841" s="217"/>
      <c r="R11841" s="217"/>
      <c r="S11841" s="218"/>
    </row>
    <row r="11842" spans="16:19" ht="15" customHeight="1" x14ac:dyDescent="0.25">
      <c r="P11842" s="216"/>
      <c r="Q11842" s="217"/>
      <c r="R11842" s="217"/>
      <c r="S11842" s="218"/>
    </row>
    <row r="11843" spans="16:19" ht="15" customHeight="1" x14ac:dyDescent="0.25">
      <c r="P11843" s="216"/>
      <c r="Q11843" s="217"/>
      <c r="R11843" s="217"/>
      <c r="S11843" s="218"/>
    </row>
    <row r="11844" spans="16:19" ht="15" customHeight="1" x14ac:dyDescent="0.25">
      <c r="P11844" s="216"/>
      <c r="Q11844" s="217"/>
      <c r="R11844" s="217"/>
      <c r="S11844" s="218"/>
    </row>
    <row r="11845" spans="16:19" ht="15" customHeight="1" x14ac:dyDescent="0.25">
      <c r="P11845" s="216"/>
      <c r="Q11845" s="217"/>
      <c r="R11845" s="217"/>
      <c r="S11845" s="218"/>
    </row>
    <row r="11846" spans="16:19" ht="15" customHeight="1" x14ac:dyDescent="0.25">
      <c r="P11846" s="216"/>
      <c r="Q11846" s="217"/>
      <c r="R11846" s="217"/>
      <c r="S11846" s="218"/>
    </row>
    <row r="11847" spans="16:19" ht="15" customHeight="1" x14ac:dyDescent="0.25">
      <c r="P11847" s="216"/>
      <c r="Q11847" s="217"/>
      <c r="R11847" s="217"/>
      <c r="S11847" s="218"/>
    </row>
    <row r="11848" spans="16:19" ht="15" customHeight="1" x14ac:dyDescent="0.25">
      <c r="P11848" s="216"/>
      <c r="Q11848" s="217"/>
      <c r="R11848" s="217"/>
      <c r="S11848" s="218"/>
    </row>
    <row r="11849" spans="16:19" ht="15" customHeight="1" x14ac:dyDescent="0.25">
      <c r="P11849" s="216"/>
      <c r="Q11849" s="217"/>
      <c r="R11849" s="217"/>
      <c r="S11849" s="218"/>
    </row>
    <row r="11850" spans="16:19" ht="15" customHeight="1" x14ac:dyDescent="0.25">
      <c r="P11850" s="216"/>
      <c r="Q11850" s="217"/>
      <c r="R11850" s="217"/>
      <c r="S11850" s="218"/>
    </row>
    <row r="11851" spans="16:19" ht="15" customHeight="1" x14ac:dyDescent="0.25">
      <c r="P11851" s="216"/>
      <c r="Q11851" s="217"/>
      <c r="R11851" s="217"/>
      <c r="S11851" s="218"/>
    </row>
    <row r="11852" spans="16:19" ht="15" customHeight="1" x14ac:dyDescent="0.25">
      <c r="P11852" s="216"/>
      <c r="Q11852" s="217"/>
      <c r="R11852" s="217"/>
      <c r="S11852" s="218"/>
    </row>
    <row r="11853" spans="16:19" ht="15" customHeight="1" x14ac:dyDescent="0.25">
      <c r="P11853" s="216"/>
      <c r="Q11853" s="217"/>
      <c r="R11853" s="217"/>
      <c r="S11853" s="218"/>
    </row>
    <row r="11854" spans="16:19" ht="15" customHeight="1" x14ac:dyDescent="0.25">
      <c r="P11854" s="216"/>
      <c r="Q11854" s="217"/>
      <c r="R11854" s="217"/>
      <c r="S11854" s="218"/>
    </row>
    <row r="11855" spans="16:19" ht="15" customHeight="1" x14ac:dyDescent="0.25">
      <c r="P11855" s="216"/>
      <c r="Q11855" s="217"/>
      <c r="R11855" s="217"/>
      <c r="S11855" s="218"/>
    </row>
    <row r="11856" spans="16:19" ht="15" customHeight="1" x14ac:dyDescent="0.25">
      <c r="P11856" s="216"/>
      <c r="Q11856" s="217"/>
      <c r="R11856" s="217"/>
      <c r="S11856" s="218"/>
    </row>
    <row r="11857" spans="16:19" ht="15" customHeight="1" x14ac:dyDescent="0.25">
      <c r="P11857" s="216"/>
      <c r="Q11857" s="217"/>
      <c r="R11857" s="217"/>
      <c r="S11857" s="218"/>
    </row>
    <row r="11858" spans="16:19" ht="15" customHeight="1" x14ac:dyDescent="0.25">
      <c r="P11858" s="216"/>
      <c r="Q11858" s="217"/>
      <c r="R11858" s="217"/>
      <c r="S11858" s="218"/>
    </row>
    <row r="11859" spans="16:19" ht="15" customHeight="1" x14ac:dyDescent="0.25">
      <c r="P11859" s="216"/>
      <c r="Q11859" s="217"/>
      <c r="R11859" s="217"/>
      <c r="S11859" s="218"/>
    </row>
    <row r="11860" spans="16:19" ht="15" customHeight="1" x14ac:dyDescent="0.25">
      <c r="P11860" s="216"/>
      <c r="Q11860" s="217"/>
      <c r="R11860" s="217"/>
      <c r="S11860" s="218"/>
    </row>
    <row r="11861" spans="16:19" ht="15" customHeight="1" x14ac:dyDescent="0.25">
      <c r="P11861" s="216"/>
      <c r="Q11861" s="217"/>
      <c r="R11861" s="217"/>
      <c r="S11861" s="218"/>
    </row>
    <row r="11862" spans="16:19" ht="15" customHeight="1" x14ac:dyDescent="0.25">
      <c r="P11862" s="216"/>
      <c r="Q11862" s="217"/>
      <c r="R11862" s="217"/>
      <c r="S11862" s="218"/>
    </row>
    <row r="11863" spans="16:19" ht="15" customHeight="1" x14ac:dyDescent="0.25">
      <c r="P11863" s="216"/>
      <c r="Q11863" s="217"/>
      <c r="R11863" s="217"/>
      <c r="S11863" s="218"/>
    </row>
    <row r="11864" spans="16:19" ht="15" customHeight="1" x14ac:dyDescent="0.25">
      <c r="P11864" s="216"/>
      <c r="Q11864" s="217"/>
      <c r="R11864" s="217"/>
      <c r="S11864" s="218"/>
    </row>
    <row r="11865" spans="16:19" ht="15" customHeight="1" x14ac:dyDescent="0.25">
      <c r="P11865" s="216"/>
      <c r="Q11865" s="217"/>
      <c r="R11865" s="217"/>
      <c r="S11865" s="218"/>
    </row>
    <row r="11866" spans="16:19" ht="15" customHeight="1" x14ac:dyDescent="0.25">
      <c r="P11866" s="216"/>
      <c r="Q11866" s="217"/>
      <c r="R11866" s="217"/>
      <c r="S11866" s="218"/>
    </row>
    <row r="11867" spans="16:19" ht="15" customHeight="1" x14ac:dyDescent="0.25">
      <c r="P11867" s="216"/>
      <c r="Q11867" s="217"/>
      <c r="R11867" s="217"/>
      <c r="S11867" s="218"/>
    </row>
    <row r="11868" spans="16:19" ht="15" customHeight="1" x14ac:dyDescent="0.25">
      <c r="P11868" s="216"/>
      <c r="Q11868" s="217"/>
      <c r="R11868" s="217"/>
      <c r="S11868" s="218"/>
    </row>
    <row r="11869" spans="16:19" ht="15" customHeight="1" x14ac:dyDescent="0.25">
      <c r="P11869" s="216"/>
      <c r="Q11869" s="217"/>
      <c r="R11869" s="217"/>
      <c r="S11869" s="218"/>
    </row>
    <row r="11870" spans="16:19" ht="15" customHeight="1" x14ac:dyDescent="0.25">
      <c r="P11870" s="216"/>
      <c r="Q11870" s="217"/>
      <c r="R11870" s="217"/>
      <c r="S11870" s="218"/>
    </row>
    <row r="11871" spans="16:19" ht="15" customHeight="1" x14ac:dyDescent="0.25">
      <c r="P11871" s="216"/>
      <c r="Q11871" s="217"/>
      <c r="R11871" s="217"/>
      <c r="S11871" s="218"/>
    </row>
    <row r="11872" spans="16:19" ht="15" customHeight="1" x14ac:dyDescent="0.25">
      <c r="P11872" s="216"/>
      <c r="Q11872" s="217"/>
      <c r="R11872" s="217"/>
      <c r="S11872" s="218"/>
    </row>
    <row r="11873" spans="16:19" ht="15" customHeight="1" x14ac:dyDescent="0.25">
      <c r="P11873" s="216"/>
      <c r="Q11873" s="217"/>
      <c r="R11873" s="217"/>
      <c r="S11873" s="218"/>
    </row>
    <row r="11874" spans="16:19" ht="15" customHeight="1" x14ac:dyDescent="0.25">
      <c r="P11874" s="216"/>
      <c r="Q11874" s="217"/>
      <c r="R11874" s="217"/>
      <c r="S11874" s="218"/>
    </row>
    <row r="11875" spans="16:19" ht="15" customHeight="1" x14ac:dyDescent="0.25">
      <c r="P11875" s="216"/>
      <c r="Q11875" s="217"/>
      <c r="R11875" s="217"/>
      <c r="S11875" s="218"/>
    </row>
    <row r="11876" spans="16:19" ht="15" customHeight="1" x14ac:dyDescent="0.25">
      <c r="P11876" s="216"/>
      <c r="Q11876" s="217"/>
      <c r="R11876" s="217"/>
      <c r="S11876" s="218"/>
    </row>
    <row r="11877" spans="16:19" ht="15" customHeight="1" x14ac:dyDescent="0.25">
      <c r="P11877" s="216"/>
      <c r="Q11877" s="217"/>
      <c r="R11877" s="217"/>
      <c r="S11877" s="218"/>
    </row>
    <row r="11878" spans="16:19" ht="15" customHeight="1" x14ac:dyDescent="0.25">
      <c r="P11878" s="216"/>
      <c r="Q11878" s="217"/>
      <c r="R11878" s="217"/>
      <c r="S11878" s="218"/>
    </row>
    <row r="11879" spans="16:19" ht="15" customHeight="1" x14ac:dyDescent="0.25">
      <c r="P11879" s="216"/>
      <c r="Q11879" s="217"/>
      <c r="R11879" s="217"/>
      <c r="S11879" s="218"/>
    </row>
    <row r="11880" spans="16:19" ht="15" customHeight="1" x14ac:dyDescent="0.25">
      <c r="P11880" s="216"/>
      <c r="Q11880" s="217"/>
      <c r="R11880" s="217"/>
      <c r="S11880" s="218"/>
    </row>
    <row r="11881" spans="16:19" ht="15" customHeight="1" x14ac:dyDescent="0.25">
      <c r="P11881" s="216"/>
      <c r="Q11881" s="217"/>
      <c r="R11881" s="217"/>
      <c r="S11881" s="218"/>
    </row>
    <row r="11882" spans="16:19" ht="15" customHeight="1" x14ac:dyDescent="0.25">
      <c r="P11882" s="216"/>
      <c r="Q11882" s="217"/>
      <c r="R11882" s="217"/>
      <c r="S11882" s="218"/>
    </row>
    <row r="11883" spans="16:19" ht="15" customHeight="1" x14ac:dyDescent="0.25">
      <c r="P11883" s="216"/>
      <c r="Q11883" s="217"/>
      <c r="R11883" s="217"/>
      <c r="S11883" s="218"/>
    </row>
    <row r="11884" spans="16:19" ht="15" customHeight="1" x14ac:dyDescent="0.25">
      <c r="P11884" s="216"/>
      <c r="Q11884" s="217"/>
      <c r="R11884" s="217"/>
      <c r="S11884" s="218"/>
    </row>
    <row r="11885" spans="16:19" ht="15" customHeight="1" x14ac:dyDescent="0.25">
      <c r="P11885" s="216"/>
      <c r="Q11885" s="217"/>
      <c r="R11885" s="217"/>
      <c r="S11885" s="218"/>
    </row>
    <row r="11886" spans="16:19" ht="15" customHeight="1" x14ac:dyDescent="0.25">
      <c r="P11886" s="216"/>
      <c r="Q11886" s="217"/>
      <c r="R11886" s="217"/>
      <c r="S11886" s="218"/>
    </row>
    <row r="11887" spans="16:19" ht="15" customHeight="1" x14ac:dyDescent="0.25">
      <c r="P11887" s="216"/>
      <c r="Q11887" s="217"/>
      <c r="R11887" s="217"/>
      <c r="S11887" s="218"/>
    </row>
    <row r="11888" spans="16:19" ht="15" customHeight="1" x14ac:dyDescent="0.25">
      <c r="P11888" s="216"/>
      <c r="Q11888" s="217"/>
      <c r="R11888" s="217"/>
      <c r="S11888" s="218"/>
    </row>
    <row r="11889" spans="16:19" ht="15" customHeight="1" x14ac:dyDescent="0.25">
      <c r="P11889" s="216"/>
      <c r="Q11889" s="217"/>
      <c r="R11889" s="217"/>
      <c r="S11889" s="218"/>
    </row>
    <row r="11890" spans="16:19" ht="15" customHeight="1" x14ac:dyDescent="0.25">
      <c r="P11890" s="216"/>
      <c r="Q11890" s="217"/>
      <c r="R11890" s="217"/>
      <c r="S11890" s="218"/>
    </row>
    <row r="11891" spans="16:19" ht="15" customHeight="1" x14ac:dyDescent="0.25">
      <c r="P11891" s="216"/>
      <c r="Q11891" s="217"/>
      <c r="R11891" s="217"/>
      <c r="S11891" s="218"/>
    </row>
    <row r="11892" spans="16:19" ht="15" customHeight="1" x14ac:dyDescent="0.25">
      <c r="P11892" s="216"/>
      <c r="Q11892" s="217"/>
      <c r="R11892" s="217"/>
      <c r="S11892" s="218"/>
    </row>
    <row r="11893" spans="16:19" ht="15" customHeight="1" x14ac:dyDescent="0.25">
      <c r="P11893" s="216"/>
      <c r="Q11893" s="217"/>
      <c r="R11893" s="217"/>
      <c r="S11893" s="218"/>
    </row>
    <row r="11894" spans="16:19" ht="15" customHeight="1" x14ac:dyDescent="0.25">
      <c r="P11894" s="216"/>
      <c r="Q11894" s="217"/>
      <c r="R11894" s="217"/>
      <c r="S11894" s="218"/>
    </row>
    <row r="11895" spans="16:19" ht="15" customHeight="1" x14ac:dyDescent="0.25">
      <c r="P11895" s="216"/>
      <c r="Q11895" s="217"/>
      <c r="R11895" s="217"/>
      <c r="S11895" s="218"/>
    </row>
    <row r="11896" spans="16:19" ht="15" customHeight="1" x14ac:dyDescent="0.25">
      <c r="P11896" s="216"/>
      <c r="Q11896" s="217"/>
      <c r="R11896" s="217"/>
      <c r="S11896" s="218"/>
    </row>
    <row r="11897" spans="16:19" ht="15" customHeight="1" x14ac:dyDescent="0.25">
      <c r="P11897" s="216"/>
      <c r="Q11897" s="217"/>
      <c r="R11897" s="217"/>
      <c r="S11897" s="218"/>
    </row>
    <row r="11898" spans="16:19" ht="15" customHeight="1" x14ac:dyDescent="0.25">
      <c r="P11898" s="216"/>
      <c r="Q11898" s="217"/>
      <c r="R11898" s="217"/>
      <c r="S11898" s="218"/>
    </row>
    <row r="11899" spans="16:19" ht="15" customHeight="1" x14ac:dyDescent="0.25">
      <c r="P11899" s="216"/>
      <c r="Q11899" s="217"/>
      <c r="R11899" s="217"/>
      <c r="S11899" s="218"/>
    </row>
    <row r="11900" spans="16:19" ht="15" customHeight="1" x14ac:dyDescent="0.25">
      <c r="P11900" s="216"/>
      <c r="Q11900" s="217"/>
      <c r="R11900" s="217"/>
      <c r="S11900" s="218"/>
    </row>
    <row r="11901" spans="16:19" ht="15" customHeight="1" x14ac:dyDescent="0.25">
      <c r="P11901" s="216"/>
      <c r="Q11901" s="217"/>
      <c r="R11901" s="217"/>
      <c r="S11901" s="218"/>
    </row>
    <row r="11902" spans="16:19" ht="15" customHeight="1" x14ac:dyDescent="0.25">
      <c r="P11902" s="216"/>
      <c r="Q11902" s="217"/>
      <c r="R11902" s="217"/>
      <c r="S11902" s="218"/>
    </row>
    <row r="11903" spans="16:19" ht="15" customHeight="1" x14ac:dyDescent="0.25">
      <c r="P11903" s="216"/>
      <c r="Q11903" s="217"/>
      <c r="R11903" s="217"/>
      <c r="S11903" s="218"/>
    </row>
    <row r="11904" spans="16:19" ht="15" customHeight="1" x14ac:dyDescent="0.25">
      <c r="P11904" s="216"/>
      <c r="Q11904" s="217"/>
      <c r="R11904" s="217"/>
      <c r="S11904" s="218"/>
    </row>
    <row r="11905" spans="16:19" ht="15" customHeight="1" x14ac:dyDescent="0.25">
      <c r="P11905" s="216"/>
      <c r="Q11905" s="217"/>
      <c r="R11905" s="217"/>
      <c r="S11905" s="218"/>
    </row>
    <row r="11906" spans="16:19" ht="15" customHeight="1" x14ac:dyDescent="0.25">
      <c r="P11906" s="216"/>
      <c r="Q11906" s="217"/>
      <c r="R11906" s="217"/>
      <c r="S11906" s="218"/>
    </row>
    <row r="11907" spans="16:19" ht="15" customHeight="1" x14ac:dyDescent="0.25">
      <c r="P11907" s="216"/>
      <c r="Q11907" s="217"/>
      <c r="R11907" s="217"/>
      <c r="S11907" s="218"/>
    </row>
    <row r="11908" spans="16:19" ht="15" customHeight="1" x14ac:dyDescent="0.25">
      <c r="P11908" s="216"/>
      <c r="Q11908" s="217"/>
      <c r="R11908" s="217"/>
      <c r="S11908" s="218"/>
    </row>
    <row r="11909" spans="16:19" ht="15" customHeight="1" x14ac:dyDescent="0.25">
      <c r="P11909" s="216"/>
      <c r="Q11909" s="217"/>
      <c r="R11909" s="217"/>
      <c r="S11909" s="218"/>
    </row>
    <row r="11910" spans="16:19" ht="15" customHeight="1" x14ac:dyDescent="0.25">
      <c r="P11910" s="216"/>
      <c r="Q11910" s="217"/>
      <c r="R11910" s="217"/>
      <c r="S11910" s="218"/>
    </row>
    <row r="11911" spans="16:19" ht="15" customHeight="1" x14ac:dyDescent="0.25">
      <c r="P11911" s="216"/>
      <c r="Q11911" s="217"/>
      <c r="R11911" s="217"/>
      <c r="S11911" s="218"/>
    </row>
    <row r="11912" spans="16:19" ht="15" customHeight="1" x14ac:dyDescent="0.25">
      <c r="P11912" s="216"/>
      <c r="Q11912" s="217"/>
      <c r="R11912" s="217"/>
      <c r="S11912" s="218"/>
    </row>
    <row r="11913" spans="16:19" ht="15" customHeight="1" x14ac:dyDescent="0.25">
      <c r="P11913" s="216"/>
      <c r="Q11913" s="217"/>
      <c r="R11913" s="217"/>
      <c r="S11913" s="218"/>
    </row>
    <row r="11914" spans="16:19" ht="15" customHeight="1" x14ac:dyDescent="0.25">
      <c r="P11914" s="216"/>
      <c r="Q11914" s="217"/>
      <c r="R11914" s="217"/>
      <c r="S11914" s="218"/>
    </row>
    <row r="11915" spans="16:19" ht="15" customHeight="1" x14ac:dyDescent="0.25">
      <c r="P11915" s="216"/>
      <c r="Q11915" s="217"/>
      <c r="R11915" s="217"/>
      <c r="S11915" s="218"/>
    </row>
    <row r="11916" spans="16:19" ht="15" customHeight="1" x14ac:dyDescent="0.25">
      <c r="P11916" s="216"/>
      <c r="Q11916" s="217"/>
      <c r="R11916" s="217"/>
      <c r="S11916" s="218"/>
    </row>
    <row r="11917" spans="16:19" ht="15" customHeight="1" x14ac:dyDescent="0.25">
      <c r="P11917" s="216"/>
      <c r="Q11917" s="217"/>
      <c r="R11917" s="217"/>
      <c r="S11917" s="218"/>
    </row>
    <row r="11918" spans="16:19" ht="15" customHeight="1" x14ac:dyDescent="0.25">
      <c r="P11918" s="216"/>
      <c r="Q11918" s="217"/>
      <c r="R11918" s="217"/>
      <c r="S11918" s="218"/>
    </row>
    <row r="11919" spans="16:19" ht="15" customHeight="1" x14ac:dyDescent="0.25">
      <c r="P11919" s="216"/>
      <c r="Q11919" s="217"/>
      <c r="R11919" s="217"/>
      <c r="S11919" s="218"/>
    </row>
    <row r="11920" spans="16:19" ht="15" customHeight="1" x14ac:dyDescent="0.25">
      <c r="P11920" s="216"/>
      <c r="Q11920" s="217"/>
      <c r="R11920" s="217"/>
      <c r="S11920" s="218"/>
    </row>
    <row r="11921" spans="16:19" ht="15" customHeight="1" x14ac:dyDescent="0.25">
      <c r="P11921" s="216"/>
      <c r="Q11921" s="217"/>
      <c r="R11921" s="217"/>
      <c r="S11921" s="218"/>
    </row>
    <row r="11922" spans="16:19" ht="15" customHeight="1" x14ac:dyDescent="0.25">
      <c r="P11922" s="216"/>
      <c r="Q11922" s="217"/>
      <c r="R11922" s="217"/>
      <c r="S11922" s="218"/>
    </row>
    <row r="11923" spans="16:19" ht="15" customHeight="1" x14ac:dyDescent="0.25">
      <c r="P11923" s="216"/>
      <c r="Q11923" s="217"/>
      <c r="R11923" s="217"/>
      <c r="S11923" s="218"/>
    </row>
    <row r="11924" spans="16:19" ht="15" customHeight="1" x14ac:dyDescent="0.25">
      <c r="P11924" s="216"/>
      <c r="Q11924" s="217"/>
      <c r="R11924" s="217"/>
      <c r="S11924" s="218"/>
    </row>
    <row r="11925" spans="16:19" ht="15" customHeight="1" x14ac:dyDescent="0.25">
      <c r="P11925" s="216"/>
      <c r="Q11925" s="217"/>
      <c r="R11925" s="217"/>
      <c r="S11925" s="218"/>
    </row>
    <row r="11926" spans="16:19" ht="15" customHeight="1" x14ac:dyDescent="0.25">
      <c r="P11926" s="216"/>
      <c r="Q11926" s="217"/>
      <c r="R11926" s="217"/>
      <c r="S11926" s="218"/>
    </row>
    <row r="11927" spans="16:19" ht="15" customHeight="1" x14ac:dyDescent="0.25">
      <c r="P11927" s="216"/>
      <c r="Q11927" s="217"/>
      <c r="R11927" s="217"/>
      <c r="S11927" s="218"/>
    </row>
    <row r="11928" spans="16:19" ht="15" customHeight="1" x14ac:dyDescent="0.25">
      <c r="P11928" s="216"/>
      <c r="Q11928" s="217"/>
      <c r="R11928" s="217"/>
      <c r="S11928" s="218"/>
    </row>
    <row r="11929" spans="16:19" ht="15" customHeight="1" x14ac:dyDescent="0.25">
      <c r="P11929" s="216"/>
      <c r="Q11929" s="217"/>
      <c r="R11929" s="217"/>
      <c r="S11929" s="218"/>
    </row>
    <row r="11930" spans="16:19" ht="15" customHeight="1" x14ac:dyDescent="0.25">
      <c r="P11930" s="216"/>
      <c r="Q11930" s="217"/>
      <c r="R11930" s="217"/>
      <c r="S11930" s="218"/>
    </row>
    <row r="11931" spans="16:19" ht="15" customHeight="1" x14ac:dyDescent="0.25">
      <c r="P11931" s="216"/>
      <c r="Q11931" s="217"/>
      <c r="R11931" s="217"/>
      <c r="S11931" s="218"/>
    </row>
    <row r="11932" spans="16:19" ht="15" customHeight="1" x14ac:dyDescent="0.25">
      <c r="P11932" s="216"/>
      <c r="Q11932" s="217"/>
      <c r="R11932" s="217"/>
      <c r="S11932" s="218"/>
    </row>
    <row r="11933" spans="16:19" ht="15" customHeight="1" x14ac:dyDescent="0.25">
      <c r="P11933" s="216"/>
      <c r="Q11933" s="217"/>
      <c r="R11933" s="217"/>
      <c r="S11933" s="218"/>
    </row>
    <row r="11934" spans="16:19" ht="15" customHeight="1" x14ac:dyDescent="0.25">
      <c r="P11934" s="216"/>
      <c r="Q11934" s="217"/>
      <c r="R11934" s="217"/>
      <c r="S11934" s="218"/>
    </row>
    <row r="11935" spans="16:19" ht="15" customHeight="1" x14ac:dyDescent="0.25">
      <c r="P11935" s="216"/>
      <c r="Q11935" s="217"/>
      <c r="R11935" s="217"/>
      <c r="S11935" s="218"/>
    </row>
    <row r="11936" spans="16:19" ht="15" customHeight="1" x14ac:dyDescent="0.25">
      <c r="P11936" s="216"/>
      <c r="Q11936" s="217"/>
      <c r="R11936" s="217"/>
      <c r="S11936" s="218"/>
    </row>
    <row r="11937" spans="16:19" ht="15" customHeight="1" x14ac:dyDescent="0.25">
      <c r="P11937" s="216"/>
      <c r="Q11937" s="217"/>
      <c r="R11937" s="217"/>
      <c r="S11937" s="218"/>
    </row>
    <row r="11938" spans="16:19" ht="15" customHeight="1" x14ac:dyDescent="0.25">
      <c r="P11938" s="216"/>
      <c r="Q11938" s="217"/>
      <c r="R11938" s="217"/>
      <c r="S11938" s="218"/>
    </row>
    <row r="11939" spans="16:19" ht="15" customHeight="1" x14ac:dyDescent="0.25">
      <c r="P11939" s="216"/>
      <c r="Q11939" s="217"/>
      <c r="R11939" s="217"/>
      <c r="S11939" s="218"/>
    </row>
    <row r="11940" spans="16:19" ht="15" customHeight="1" x14ac:dyDescent="0.25">
      <c r="P11940" s="216"/>
      <c r="Q11940" s="217"/>
      <c r="R11940" s="217"/>
      <c r="S11940" s="218"/>
    </row>
    <row r="11941" spans="16:19" ht="15" customHeight="1" x14ac:dyDescent="0.25">
      <c r="P11941" s="216"/>
      <c r="Q11941" s="217"/>
      <c r="R11941" s="217"/>
      <c r="S11941" s="218"/>
    </row>
    <row r="11942" spans="16:19" ht="15" customHeight="1" x14ac:dyDescent="0.25">
      <c r="P11942" s="216"/>
      <c r="Q11942" s="217"/>
      <c r="R11942" s="217"/>
      <c r="S11942" s="218"/>
    </row>
    <row r="11943" spans="16:19" ht="15" customHeight="1" x14ac:dyDescent="0.25">
      <c r="P11943" s="216"/>
      <c r="Q11943" s="217"/>
      <c r="R11943" s="217"/>
      <c r="S11943" s="218"/>
    </row>
    <row r="11944" spans="16:19" ht="15" customHeight="1" x14ac:dyDescent="0.25">
      <c r="P11944" s="216"/>
      <c r="Q11944" s="217"/>
      <c r="R11944" s="217"/>
      <c r="S11944" s="218"/>
    </row>
    <row r="11945" spans="16:19" ht="15" customHeight="1" x14ac:dyDescent="0.25">
      <c r="P11945" s="216"/>
      <c r="Q11945" s="217"/>
      <c r="R11945" s="217"/>
      <c r="S11945" s="218"/>
    </row>
    <row r="11946" spans="16:19" ht="15" customHeight="1" x14ac:dyDescent="0.25">
      <c r="P11946" s="216"/>
      <c r="Q11946" s="217"/>
      <c r="R11946" s="217"/>
      <c r="S11946" s="218"/>
    </row>
    <row r="11947" spans="16:19" ht="15" customHeight="1" x14ac:dyDescent="0.25">
      <c r="P11947" s="216"/>
      <c r="Q11947" s="217"/>
      <c r="R11947" s="217"/>
      <c r="S11947" s="218"/>
    </row>
    <row r="11948" spans="16:19" ht="15" customHeight="1" x14ac:dyDescent="0.25">
      <c r="P11948" s="216"/>
      <c r="Q11948" s="217"/>
      <c r="R11948" s="217"/>
      <c r="S11948" s="218"/>
    </row>
    <row r="11949" spans="16:19" ht="15" customHeight="1" x14ac:dyDescent="0.25">
      <c r="P11949" s="216"/>
      <c r="Q11949" s="217"/>
      <c r="R11949" s="217"/>
      <c r="S11949" s="218"/>
    </row>
    <row r="11950" spans="16:19" ht="15" customHeight="1" x14ac:dyDescent="0.25">
      <c r="P11950" s="216"/>
      <c r="Q11950" s="217"/>
      <c r="R11950" s="217"/>
      <c r="S11950" s="218"/>
    </row>
    <row r="11951" spans="16:19" ht="15" customHeight="1" x14ac:dyDescent="0.25">
      <c r="P11951" s="216"/>
      <c r="Q11951" s="217"/>
      <c r="R11951" s="217"/>
      <c r="S11951" s="218"/>
    </row>
    <row r="11952" spans="16:19" ht="15" customHeight="1" x14ac:dyDescent="0.25">
      <c r="P11952" s="216"/>
      <c r="Q11952" s="217"/>
      <c r="R11952" s="217"/>
      <c r="S11952" s="218"/>
    </row>
    <row r="11953" spans="16:19" ht="15" customHeight="1" x14ac:dyDescent="0.25">
      <c r="P11953" s="216"/>
      <c r="Q11953" s="217"/>
      <c r="R11953" s="217"/>
      <c r="S11953" s="218"/>
    </row>
    <row r="11954" spans="16:19" ht="15" customHeight="1" x14ac:dyDescent="0.25">
      <c r="P11954" s="216"/>
      <c r="Q11954" s="217"/>
      <c r="R11954" s="217"/>
      <c r="S11954" s="218"/>
    </row>
    <row r="11955" spans="16:19" ht="15" customHeight="1" x14ac:dyDescent="0.25">
      <c r="P11955" s="216"/>
      <c r="Q11955" s="217"/>
      <c r="R11955" s="217"/>
      <c r="S11955" s="218"/>
    </row>
    <row r="11956" spans="16:19" ht="15" customHeight="1" x14ac:dyDescent="0.25">
      <c r="P11956" s="216"/>
      <c r="Q11956" s="217"/>
      <c r="R11956" s="217"/>
      <c r="S11956" s="218"/>
    </row>
    <row r="11957" spans="16:19" ht="15" customHeight="1" x14ac:dyDescent="0.25">
      <c r="P11957" s="216"/>
      <c r="Q11957" s="217"/>
      <c r="R11957" s="217"/>
      <c r="S11957" s="218"/>
    </row>
    <row r="11958" spans="16:19" ht="15" customHeight="1" x14ac:dyDescent="0.25">
      <c r="P11958" s="216"/>
      <c r="Q11958" s="217"/>
      <c r="R11958" s="217"/>
      <c r="S11958" s="218"/>
    </row>
    <row r="11959" spans="16:19" ht="15" customHeight="1" x14ac:dyDescent="0.25">
      <c r="P11959" s="216"/>
      <c r="Q11959" s="217"/>
      <c r="R11959" s="217"/>
      <c r="S11959" s="218"/>
    </row>
    <row r="11960" spans="16:19" ht="15" customHeight="1" x14ac:dyDescent="0.25">
      <c r="P11960" s="216"/>
      <c r="Q11960" s="217"/>
      <c r="R11960" s="217"/>
      <c r="S11960" s="218"/>
    </row>
    <row r="11961" spans="16:19" ht="15" customHeight="1" x14ac:dyDescent="0.25">
      <c r="P11961" s="216"/>
      <c r="Q11961" s="217"/>
      <c r="R11961" s="217"/>
      <c r="S11961" s="218"/>
    </row>
    <row r="11962" spans="16:19" ht="15" customHeight="1" x14ac:dyDescent="0.25">
      <c r="P11962" s="216"/>
      <c r="Q11962" s="217"/>
      <c r="R11962" s="217"/>
      <c r="S11962" s="218"/>
    </row>
    <row r="11963" spans="16:19" ht="15" customHeight="1" x14ac:dyDescent="0.25">
      <c r="P11963" s="216"/>
      <c r="Q11963" s="217"/>
      <c r="R11963" s="217"/>
      <c r="S11963" s="218"/>
    </row>
    <row r="11964" spans="16:19" ht="15" customHeight="1" x14ac:dyDescent="0.25">
      <c r="P11964" s="216"/>
      <c r="Q11964" s="217"/>
      <c r="R11964" s="217"/>
      <c r="S11964" s="218"/>
    </row>
    <row r="11965" spans="16:19" ht="15" customHeight="1" x14ac:dyDescent="0.25">
      <c r="P11965" s="216"/>
      <c r="Q11965" s="217"/>
      <c r="R11965" s="217"/>
      <c r="S11965" s="218"/>
    </row>
    <row r="11966" spans="16:19" ht="15" customHeight="1" x14ac:dyDescent="0.25">
      <c r="P11966" s="216"/>
      <c r="Q11966" s="217"/>
      <c r="R11966" s="217"/>
      <c r="S11966" s="218"/>
    </row>
    <row r="11967" spans="16:19" ht="15" customHeight="1" x14ac:dyDescent="0.25">
      <c r="P11967" s="216"/>
      <c r="Q11967" s="217"/>
      <c r="R11967" s="217"/>
      <c r="S11967" s="218"/>
    </row>
    <row r="11968" spans="16:19" ht="15" customHeight="1" x14ac:dyDescent="0.25">
      <c r="P11968" s="216"/>
      <c r="Q11968" s="217"/>
      <c r="R11968" s="217"/>
      <c r="S11968" s="218"/>
    </row>
    <row r="11969" spans="16:19" ht="15" customHeight="1" x14ac:dyDescent="0.25">
      <c r="P11969" s="216"/>
      <c r="Q11969" s="217"/>
      <c r="R11969" s="217"/>
      <c r="S11969" s="218"/>
    </row>
    <row r="11970" spans="16:19" ht="15" customHeight="1" x14ac:dyDescent="0.25">
      <c r="P11970" s="216"/>
      <c r="Q11970" s="217"/>
      <c r="R11970" s="217"/>
      <c r="S11970" s="218"/>
    </row>
    <row r="11971" spans="16:19" ht="15" customHeight="1" x14ac:dyDescent="0.25">
      <c r="P11971" s="216"/>
      <c r="Q11971" s="217"/>
      <c r="R11971" s="217"/>
      <c r="S11971" s="218"/>
    </row>
    <row r="11972" spans="16:19" ht="15" customHeight="1" x14ac:dyDescent="0.25">
      <c r="P11972" s="216"/>
      <c r="Q11972" s="217"/>
      <c r="R11972" s="217"/>
      <c r="S11972" s="218"/>
    </row>
    <row r="11973" spans="16:19" ht="15" customHeight="1" x14ac:dyDescent="0.25">
      <c r="P11973" s="216"/>
      <c r="Q11973" s="217"/>
      <c r="R11973" s="217"/>
      <c r="S11973" s="218"/>
    </row>
    <row r="11974" spans="16:19" ht="15" customHeight="1" x14ac:dyDescent="0.25">
      <c r="P11974" s="216"/>
      <c r="Q11974" s="217"/>
      <c r="R11974" s="217"/>
      <c r="S11974" s="218"/>
    </row>
    <row r="11975" spans="16:19" ht="15" customHeight="1" x14ac:dyDescent="0.25">
      <c r="P11975" s="216"/>
      <c r="Q11975" s="217"/>
      <c r="R11975" s="217"/>
      <c r="S11975" s="218"/>
    </row>
    <row r="11976" spans="16:19" ht="15" customHeight="1" x14ac:dyDescent="0.25">
      <c r="P11976" s="216"/>
      <c r="Q11976" s="217"/>
      <c r="R11976" s="217"/>
      <c r="S11976" s="218"/>
    </row>
    <row r="11977" spans="16:19" ht="15" customHeight="1" x14ac:dyDescent="0.25">
      <c r="P11977" s="216"/>
      <c r="Q11977" s="217"/>
      <c r="R11977" s="217"/>
      <c r="S11977" s="218"/>
    </row>
    <row r="11978" spans="16:19" ht="15" customHeight="1" x14ac:dyDescent="0.25">
      <c r="P11978" s="216"/>
      <c r="Q11978" s="217"/>
      <c r="R11978" s="217"/>
      <c r="S11978" s="218"/>
    </row>
    <row r="11979" spans="16:19" ht="15" customHeight="1" x14ac:dyDescent="0.25">
      <c r="P11979" s="216"/>
      <c r="Q11979" s="217"/>
      <c r="R11979" s="217"/>
      <c r="S11979" s="218"/>
    </row>
    <row r="11980" spans="16:19" ht="15" customHeight="1" x14ac:dyDescent="0.25">
      <c r="P11980" s="216"/>
      <c r="Q11980" s="217"/>
      <c r="R11980" s="217"/>
      <c r="S11980" s="218"/>
    </row>
    <row r="11981" spans="16:19" ht="15" customHeight="1" x14ac:dyDescent="0.25">
      <c r="P11981" s="216"/>
      <c r="Q11981" s="217"/>
      <c r="R11981" s="217"/>
      <c r="S11981" s="218"/>
    </row>
    <row r="11982" spans="16:19" ht="15" customHeight="1" x14ac:dyDescent="0.25">
      <c r="P11982" s="216"/>
      <c r="Q11982" s="217"/>
      <c r="R11982" s="217"/>
      <c r="S11982" s="218"/>
    </row>
    <row r="11983" spans="16:19" ht="15" customHeight="1" x14ac:dyDescent="0.25">
      <c r="P11983" s="216"/>
      <c r="Q11983" s="217"/>
      <c r="R11983" s="217"/>
      <c r="S11983" s="218"/>
    </row>
    <row r="11984" spans="16:19" ht="15" customHeight="1" x14ac:dyDescent="0.25">
      <c r="P11984" s="216"/>
      <c r="Q11984" s="217"/>
      <c r="R11984" s="217"/>
      <c r="S11984" s="218"/>
    </row>
    <row r="11985" spans="16:19" ht="15" customHeight="1" x14ac:dyDescent="0.25">
      <c r="P11985" s="216"/>
      <c r="Q11985" s="217"/>
      <c r="R11985" s="217"/>
      <c r="S11985" s="218"/>
    </row>
    <row r="11986" spans="16:19" ht="15" customHeight="1" x14ac:dyDescent="0.25">
      <c r="P11986" s="216"/>
      <c r="Q11986" s="217"/>
      <c r="R11986" s="217"/>
      <c r="S11986" s="218"/>
    </row>
    <row r="11987" spans="16:19" ht="15" customHeight="1" x14ac:dyDescent="0.25">
      <c r="P11987" s="216"/>
      <c r="Q11987" s="217"/>
      <c r="R11987" s="217"/>
      <c r="S11987" s="218"/>
    </row>
    <row r="11988" spans="16:19" ht="15" customHeight="1" x14ac:dyDescent="0.25">
      <c r="P11988" s="216"/>
      <c r="Q11988" s="217"/>
      <c r="R11988" s="217"/>
      <c r="S11988" s="218"/>
    </row>
    <row r="11989" spans="16:19" ht="15" customHeight="1" x14ac:dyDescent="0.25">
      <c r="P11989" s="216"/>
      <c r="Q11989" s="217"/>
      <c r="R11989" s="217"/>
      <c r="S11989" s="218"/>
    </row>
    <row r="11990" spans="16:19" ht="15" customHeight="1" x14ac:dyDescent="0.25">
      <c r="P11990" s="216"/>
      <c r="Q11990" s="217"/>
      <c r="R11990" s="217"/>
      <c r="S11990" s="218"/>
    </row>
    <row r="11991" spans="16:19" ht="15" customHeight="1" x14ac:dyDescent="0.25">
      <c r="P11991" s="216"/>
      <c r="Q11991" s="217"/>
      <c r="R11991" s="217"/>
      <c r="S11991" s="218"/>
    </row>
    <row r="11992" spans="16:19" ht="15" customHeight="1" x14ac:dyDescent="0.25">
      <c r="P11992" s="216"/>
      <c r="Q11992" s="217"/>
      <c r="R11992" s="217"/>
      <c r="S11992" s="218"/>
    </row>
    <row r="11993" spans="16:19" ht="15" customHeight="1" x14ac:dyDescent="0.25">
      <c r="P11993" s="216"/>
      <c r="Q11993" s="217"/>
      <c r="R11993" s="217"/>
      <c r="S11993" s="218"/>
    </row>
    <row r="11994" spans="16:19" ht="15" customHeight="1" x14ac:dyDescent="0.25">
      <c r="P11994" s="216"/>
      <c r="Q11994" s="217"/>
      <c r="R11994" s="217"/>
      <c r="S11994" s="218"/>
    </row>
    <row r="11995" spans="16:19" ht="15" customHeight="1" x14ac:dyDescent="0.25">
      <c r="P11995" s="216"/>
      <c r="Q11995" s="217"/>
      <c r="R11995" s="217"/>
      <c r="S11995" s="218"/>
    </row>
    <row r="11996" spans="16:19" ht="15" customHeight="1" x14ac:dyDescent="0.25">
      <c r="P11996" s="216"/>
      <c r="Q11996" s="217"/>
      <c r="R11996" s="217"/>
      <c r="S11996" s="218"/>
    </row>
    <row r="11997" spans="16:19" ht="15" customHeight="1" x14ac:dyDescent="0.25">
      <c r="P11997" s="216"/>
      <c r="Q11997" s="217"/>
      <c r="R11997" s="217"/>
      <c r="S11997" s="218"/>
    </row>
    <row r="11998" spans="16:19" ht="15" customHeight="1" x14ac:dyDescent="0.25">
      <c r="P11998" s="216"/>
      <c r="Q11998" s="217"/>
      <c r="R11998" s="217"/>
      <c r="S11998" s="218"/>
    </row>
    <row r="11999" spans="16:19" ht="15" customHeight="1" x14ac:dyDescent="0.25">
      <c r="P11999" s="216"/>
      <c r="Q11999" s="217"/>
      <c r="R11999" s="217"/>
      <c r="S11999" s="218"/>
    </row>
    <row r="12000" spans="16:19" ht="15" customHeight="1" x14ac:dyDescent="0.25">
      <c r="P12000" s="216"/>
      <c r="Q12000" s="217"/>
      <c r="R12000" s="217"/>
      <c r="S12000" s="218"/>
    </row>
    <row r="12001" spans="16:19" ht="15" customHeight="1" x14ac:dyDescent="0.25">
      <c r="P12001" s="216"/>
      <c r="Q12001" s="217"/>
      <c r="R12001" s="217"/>
      <c r="S12001" s="218"/>
    </row>
    <row r="12002" spans="16:19" ht="15" customHeight="1" x14ac:dyDescent="0.25">
      <c r="P12002" s="216"/>
      <c r="Q12002" s="217"/>
      <c r="R12002" s="217"/>
      <c r="S12002" s="218"/>
    </row>
    <row r="12003" spans="16:19" ht="15" customHeight="1" x14ac:dyDescent="0.25">
      <c r="P12003" s="216"/>
      <c r="Q12003" s="217"/>
      <c r="R12003" s="217"/>
      <c r="S12003" s="218"/>
    </row>
    <row r="12004" spans="16:19" ht="15" customHeight="1" x14ac:dyDescent="0.25">
      <c r="P12004" s="216"/>
      <c r="Q12004" s="217"/>
      <c r="R12004" s="217"/>
      <c r="S12004" s="218"/>
    </row>
    <row r="12005" spans="16:19" ht="15" customHeight="1" x14ac:dyDescent="0.25">
      <c r="P12005" s="216"/>
      <c r="Q12005" s="217"/>
      <c r="R12005" s="217"/>
      <c r="S12005" s="218"/>
    </row>
    <row r="12006" spans="16:19" ht="15" customHeight="1" x14ac:dyDescent="0.25">
      <c r="P12006" s="216"/>
      <c r="Q12006" s="217"/>
      <c r="R12006" s="217"/>
      <c r="S12006" s="218"/>
    </row>
    <row r="12007" spans="16:19" ht="15" customHeight="1" x14ac:dyDescent="0.25">
      <c r="P12007" s="216"/>
      <c r="Q12007" s="217"/>
      <c r="R12007" s="217"/>
      <c r="S12007" s="218"/>
    </row>
    <row r="12008" spans="16:19" ht="15" customHeight="1" x14ac:dyDescent="0.25">
      <c r="P12008" s="216"/>
      <c r="Q12008" s="217"/>
      <c r="R12008" s="217"/>
      <c r="S12008" s="218"/>
    </row>
    <row r="12009" spans="16:19" ht="15" customHeight="1" x14ac:dyDescent="0.25">
      <c r="P12009" s="216"/>
      <c r="Q12009" s="217"/>
      <c r="R12009" s="217"/>
      <c r="S12009" s="218"/>
    </row>
  </sheetData>
  <autoFilter ref="A1:AT9478" xr:uid="{2D2C8E10-49BB-4A30-B61F-435C014DF8CA}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2CF3C-7674-4B7E-93FC-0BE44A5ACA42}">
  <dimension ref="A1:O1736"/>
  <sheetViews>
    <sheetView tabSelected="1" topLeftCell="C1" workbookViewId="0">
      <selection activeCell="R21" sqref="R21"/>
    </sheetView>
  </sheetViews>
  <sheetFormatPr defaultRowHeight="15" x14ac:dyDescent="0.25"/>
  <sheetData>
    <row r="1" spans="1:15" x14ac:dyDescent="0.25">
      <c r="A1" s="238" t="s">
        <v>7250</v>
      </c>
      <c r="B1" s="237" t="s">
        <v>142</v>
      </c>
      <c r="C1" s="239" t="s">
        <v>7251</v>
      </c>
      <c r="D1" s="238" t="s">
        <v>7252</v>
      </c>
      <c r="E1" s="238" t="s">
        <v>7253</v>
      </c>
      <c r="F1" s="240" t="s">
        <v>7254</v>
      </c>
      <c r="G1" s="241" t="s">
        <v>7255</v>
      </c>
      <c r="H1" s="238" t="s">
        <v>7256</v>
      </c>
      <c r="I1" s="238" t="s">
        <v>7257</v>
      </c>
      <c r="J1" s="242" t="s">
        <v>7258</v>
      </c>
      <c r="K1" s="242" t="s">
        <v>7259</v>
      </c>
      <c r="L1" s="242" t="s">
        <v>7260</v>
      </c>
      <c r="M1" s="243" t="s">
        <v>7261</v>
      </c>
      <c r="N1" s="244" t="s">
        <v>7262</v>
      </c>
      <c r="O1" s="244" t="s">
        <v>7263</v>
      </c>
    </row>
    <row r="2" spans="1:15" x14ac:dyDescent="0.25">
      <c r="A2" s="234" t="s">
        <v>1789</v>
      </c>
      <c r="B2" s="234" t="s">
        <v>39</v>
      </c>
      <c r="C2" s="245">
        <v>46143</v>
      </c>
      <c r="D2" s="234" t="s">
        <v>7264</v>
      </c>
      <c r="E2" s="246">
        <v>485000</v>
      </c>
      <c r="F2" s="247">
        <v>0</v>
      </c>
      <c r="G2" s="34" t="s">
        <v>83</v>
      </c>
      <c r="H2" s="234" t="s">
        <v>1790</v>
      </c>
      <c r="I2" s="248" t="s">
        <v>7</v>
      </c>
      <c r="J2" s="249" t="s">
        <v>492</v>
      </c>
      <c r="K2" s="250">
        <v>0</v>
      </c>
      <c r="L2" s="250">
        <v>0</v>
      </c>
      <c r="M2" s="251" t="s">
        <v>39</v>
      </c>
      <c r="N2" s="252">
        <v>0</v>
      </c>
      <c r="O2" s="185" t="s">
        <v>51</v>
      </c>
    </row>
    <row r="3" spans="1:15" x14ac:dyDescent="0.25">
      <c r="A3" s="234" t="s">
        <v>552</v>
      </c>
      <c r="B3" s="234" t="s">
        <v>39</v>
      </c>
      <c r="C3" s="245">
        <v>46143</v>
      </c>
      <c r="D3" s="234" t="s">
        <v>546</v>
      </c>
      <c r="E3" s="246">
        <v>150000</v>
      </c>
      <c r="F3" s="247" t="s">
        <v>7265</v>
      </c>
      <c r="G3" s="34" t="s">
        <v>83</v>
      </c>
      <c r="H3" s="234" t="s">
        <v>555</v>
      </c>
      <c r="I3" s="248" t="s">
        <v>7</v>
      </c>
      <c r="J3" s="249" t="s">
        <v>492</v>
      </c>
      <c r="K3" s="250">
        <v>0</v>
      </c>
      <c r="L3" s="250">
        <v>0</v>
      </c>
      <c r="M3" s="251" t="s">
        <v>39</v>
      </c>
      <c r="N3" s="252">
        <v>0</v>
      </c>
      <c r="O3" s="185" t="s">
        <v>51</v>
      </c>
    </row>
    <row r="4" spans="1:15" x14ac:dyDescent="0.25">
      <c r="A4" s="234" t="s">
        <v>7266</v>
      </c>
      <c r="B4" s="234" t="s">
        <v>39</v>
      </c>
      <c r="C4" s="245">
        <v>46143</v>
      </c>
      <c r="D4" s="234" t="s">
        <v>546</v>
      </c>
      <c r="E4" s="246">
        <v>136000</v>
      </c>
      <c r="F4" s="247" t="s">
        <v>7267</v>
      </c>
      <c r="G4" s="34" t="s">
        <v>83</v>
      </c>
      <c r="H4" s="234" t="s">
        <v>7268</v>
      </c>
      <c r="I4" s="248" t="s">
        <v>7</v>
      </c>
      <c r="J4" s="249" t="s">
        <v>492</v>
      </c>
      <c r="K4" s="250">
        <v>0</v>
      </c>
      <c r="L4" s="250">
        <v>0</v>
      </c>
      <c r="M4" s="251" t="s">
        <v>39</v>
      </c>
      <c r="N4" s="252">
        <v>0</v>
      </c>
      <c r="O4" s="185" t="s">
        <v>51</v>
      </c>
    </row>
    <row r="5" spans="1:15" x14ac:dyDescent="0.25">
      <c r="A5" s="234" t="s">
        <v>1831</v>
      </c>
      <c r="B5" s="234" t="s">
        <v>39</v>
      </c>
      <c r="C5" s="245">
        <v>46143</v>
      </c>
      <c r="D5" s="234" t="s">
        <v>7269</v>
      </c>
      <c r="E5" s="246">
        <v>200100</v>
      </c>
      <c r="F5" s="247" t="s">
        <v>1833</v>
      </c>
      <c r="G5" s="34" t="s">
        <v>83</v>
      </c>
      <c r="H5" s="234" t="s">
        <v>1832</v>
      </c>
      <c r="I5" s="248" t="s">
        <v>7</v>
      </c>
      <c r="J5" s="249" t="s">
        <v>554</v>
      </c>
      <c r="K5" s="250">
        <v>200100</v>
      </c>
      <c r="L5" s="250">
        <v>0</v>
      </c>
      <c r="M5" s="251" t="s">
        <v>39</v>
      </c>
      <c r="N5" s="252">
        <v>0</v>
      </c>
      <c r="O5" s="185" t="s">
        <v>51</v>
      </c>
    </row>
    <row r="6" spans="1:15" x14ac:dyDescent="0.25">
      <c r="A6" s="234" t="s">
        <v>1984</v>
      </c>
      <c r="B6" s="234" t="s">
        <v>39</v>
      </c>
      <c r="C6" s="245">
        <v>46143</v>
      </c>
      <c r="D6" s="234" t="s">
        <v>7264</v>
      </c>
      <c r="E6" s="246">
        <v>182500</v>
      </c>
      <c r="F6" s="247" t="s">
        <v>1986</v>
      </c>
      <c r="G6" s="34" t="s">
        <v>83</v>
      </c>
      <c r="H6" s="234" t="s">
        <v>1985</v>
      </c>
      <c r="I6" s="248" t="s">
        <v>7</v>
      </c>
      <c r="J6" s="249" t="s">
        <v>554</v>
      </c>
      <c r="K6" s="250">
        <v>183625</v>
      </c>
      <c r="L6" s="250">
        <v>0</v>
      </c>
      <c r="M6" s="251" t="s">
        <v>39</v>
      </c>
      <c r="N6" s="252">
        <v>0</v>
      </c>
      <c r="O6" s="185" t="s">
        <v>51</v>
      </c>
    </row>
    <row r="7" spans="1:15" x14ac:dyDescent="0.25">
      <c r="A7" s="234" t="s">
        <v>1984</v>
      </c>
      <c r="B7" s="234" t="s">
        <v>39</v>
      </c>
      <c r="C7" s="245">
        <v>46143</v>
      </c>
      <c r="D7" s="234" t="s">
        <v>7264</v>
      </c>
      <c r="E7" s="246">
        <v>182500</v>
      </c>
      <c r="F7" s="247" t="s">
        <v>1983</v>
      </c>
      <c r="G7" s="34" t="s">
        <v>83</v>
      </c>
      <c r="H7" s="234" t="s">
        <v>1985</v>
      </c>
      <c r="I7" s="248" t="s">
        <v>7</v>
      </c>
      <c r="J7" s="249" t="s">
        <v>554</v>
      </c>
      <c r="K7" s="250">
        <v>183625</v>
      </c>
      <c r="L7" s="250">
        <v>0</v>
      </c>
      <c r="M7" s="251" t="s">
        <v>39</v>
      </c>
      <c r="N7" s="252">
        <v>0</v>
      </c>
      <c r="O7" s="185" t="s">
        <v>51</v>
      </c>
    </row>
    <row r="8" spans="1:15" x14ac:dyDescent="0.25">
      <c r="A8" s="234" t="s">
        <v>1984</v>
      </c>
      <c r="B8" s="234" t="s">
        <v>39</v>
      </c>
      <c r="C8" s="245">
        <v>46143</v>
      </c>
      <c r="D8" s="234" t="s">
        <v>7264</v>
      </c>
      <c r="E8" s="246">
        <v>182500</v>
      </c>
      <c r="F8" s="247">
        <v>0</v>
      </c>
      <c r="G8" s="34" t="s">
        <v>83</v>
      </c>
      <c r="H8" s="234" t="s">
        <v>1985</v>
      </c>
      <c r="I8" s="248" t="s">
        <v>7</v>
      </c>
      <c r="J8" s="249" t="s">
        <v>492</v>
      </c>
      <c r="K8" s="250">
        <v>0</v>
      </c>
      <c r="L8" s="250">
        <v>0</v>
      </c>
      <c r="M8" s="251" t="s">
        <v>39</v>
      </c>
      <c r="N8" s="252">
        <v>0</v>
      </c>
      <c r="O8" s="185" t="s">
        <v>51</v>
      </c>
    </row>
    <row r="9" spans="1:15" x14ac:dyDescent="0.25">
      <c r="A9" s="234" t="s">
        <v>1984</v>
      </c>
      <c r="B9" s="234" t="s">
        <v>39</v>
      </c>
      <c r="C9" s="245">
        <v>46143</v>
      </c>
      <c r="D9" s="234" t="s">
        <v>7264</v>
      </c>
      <c r="E9" s="246">
        <v>235000</v>
      </c>
      <c r="F9" s="247">
        <v>0</v>
      </c>
      <c r="G9" s="34" t="s">
        <v>83</v>
      </c>
      <c r="H9" s="234" t="s">
        <v>1985</v>
      </c>
      <c r="I9" s="248" t="s">
        <v>7</v>
      </c>
      <c r="J9" s="249" t="s">
        <v>492</v>
      </c>
      <c r="K9" s="250">
        <v>0</v>
      </c>
      <c r="L9" s="250">
        <v>0</v>
      </c>
      <c r="M9" s="251" t="s">
        <v>39</v>
      </c>
      <c r="N9" s="252">
        <v>0</v>
      </c>
      <c r="O9" s="185" t="s">
        <v>51</v>
      </c>
    </row>
    <row r="10" spans="1:15" x14ac:dyDescent="0.25">
      <c r="A10" s="234" t="s">
        <v>552</v>
      </c>
      <c r="B10" s="234" t="s">
        <v>39</v>
      </c>
      <c r="C10" s="245">
        <v>46143</v>
      </c>
      <c r="D10" s="234" t="s">
        <v>546</v>
      </c>
      <c r="E10" s="246">
        <v>150000</v>
      </c>
      <c r="F10" s="247" t="s">
        <v>551</v>
      </c>
      <c r="G10" s="34" t="s">
        <v>83</v>
      </c>
      <c r="H10" s="234" t="s">
        <v>555</v>
      </c>
      <c r="I10" s="248" t="s">
        <v>7</v>
      </c>
      <c r="J10" s="249" t="s">
        <v>554</v>
      </c>
      <c r="K10" s="250">
        <v>150000</v>
      </c>
      <c r="L10" s="250">
        <v>0</v>
      </c>
      <c r="M10" s="251" t="s">
        <v>39</v>
      </c>
      <c r="N10" s="252">
        <v>0</v>
      </c>
      <c r="O10" s="185" t="s">
        <v>51</v>
      </c>
    </row>
    <row r="11" spans="1:15" x14ac:dyDescent="0.25">
      <c r="A11" s="234" t="s">
        <v>3854</v>
      </c>
      <c r="B11" s="234" t="s">
        <v>40</v>
      </c>
      <c r="C11" s="245">
        <v>46143</v>
      </c>
      <c r="D11" s="234">
        <v>0</v>
      </c>
      <c r="E11" s="246">
        <v>2577558</v>
      </c>
      <c r="F11" s="247" t="s">
        <v>3853</v>
      </c>
      <c r="G11" s="34" t="s">
        <v>83</v>
      </c>
      <c r="H11" s="234" t="s">
        <v>3855</v>
      </c>
      <c r="I11" s="248" t="s">
        <v>7</v>
      </c>
      <c r="J11" s="249" t="s">
        <v>554</v>
      </c>
      <c r="K11" s="250">
        <v>2577558</v>
      </c>
      <c r="L11" s="250">
        <v>0</v>
      </c>
      <c r="M11" s="251" t="s">
        <v>40</v>
      </c>
      <c r="N11" s="252">
        <v>0</v>
      </c>
      <c r="O11" s="185" t="s">
        <v>51</v>
      </c>
    </row>
    <row r="12" spans="1:15" x14ac:dyDescent="0.25">
      <c r="A12" s="234" t="s">
        <v>2160</v>
      </c>
      <c r="B12" s="234" t="s">
        <v>38</v>
      </c>
      <c r="C12" s="245">
        <v>46143</v>
      </c>
      <c r="D12" s="234" t="s">
        <v>7270</v>
      </c>
      <c r="E12" s="246">
        <v>250000</v>
      </c>
      <c r="F12" s="247">
        <v>0</v>
      </c>
      <c r="G12" s="34" t="s">
        <v>83</v>
      </c>
      <c r="H12" s="234" t="s">
        <v>2161</v>
      </c>
      <c r="I12" s="248" t="s">
        <v>7</v>
      </c>
      <c r="J12" s="249" t="s">
        <v>492</v>
      </c>
      <c r="K12" s="250">
        <v>0</v>
      </c>
      <c r="L12" s="250">
        <v>0</v>
      </c>
      <c r="M12" s="251" t="s">
        <v>38</v>
      </c>
      <c r="N12" s="252">
        <v>0</v>
      </c>
      <c r="O12" s="185" t="s">
        <v>51</v>
      </c>
    </row>
    <row r="13" spans="1:15" x14ac:dyDescent="0.25">
      <c r="A13" s="234" t="s">
        <v>3301</v>
      </c>
      <c r="B13" s="234" t="s">
        <v>38</v>
      </c>
      <c r="C13" s="245">
        <v>46143</v>
      </c>
      <c r="D13" s="234" t="s">
        <v>7270</v>
      </c>
      <c r="E13" s="246">
        <v>277000</v>
      </c>
      <c r="F13" s="247">
        <v>0</v>
      </c>
      <c r="G13" s="34" t="s">
        <v>83</v>
      </c>
      <c r="H13" s="234" t="s">
        <v>3302</v>
      </c>
      <c r="I13" s="248" t="s">
        <v>7</v>
      </c>
      <c r="J13" s="249" t="s">
        <v>492</v>
      </c>
      <c r="K13" s="250">
        <v>0</v>
      </c>
      <c r="L13" s="250">
        <v>0</v>
      </c>
      <c r="M13" s="251" t="s">
        <v>38</v>
      </c>
      <c r="N13" s="252">
        <v>0</v>
      </c>
      <c r="O13" s="185" t="s">
        <v>51</v>
      </c>
    </row>
    <row r="14" spans="1:15" x14ac:dyDescent="0.25">
      <c r="A14" s="234" t="s">
        <v>1614</v>
      </c>
      <c r="B14" s="234" t="s">
        <v>48</v>
      </c>
      <c r="C14" s="245">
        <v>46143</v>
      </c>
      <c r="D14" s="234">
        <v>0</v>
      </c>
      <c r="E14" s="246">
        <v>300000</v>
      </c>
      <c r="F14" s="247" t="s">
        <v>1613</v>
      </c>
      <c r="G14" s="34" t="s">
        <v>83</v>
      </c>
      <c r="H14" s="234" t="s">
        <v>1615</v>
      </c>
      <c r="I14" s="248" t="s">
        <v>7</v>
      </c>
      <c r="J14" s="249" t="s">
        <v>554</v>
      </c>
      <c r="K14" s="250">
        <v>300000</v>
      </c>
      <c r="L14" s="250">
        <v>0</v>
      </c>
      <c r="M14" s="251" t="s">
        <v>48</v>
      </c>
      <c r="N14" s="252">
        <v>0</v>
      </c>
      <c r="O14" s="185" t="s">
        <v>51</v>
      </c>
    </row>
    <row r="15" spans="1:15" x14ac:dyDescent="0.25">
      <c r="A15" s="234" t="s">
        <v>4737</v>
      </c>
      <c r="B15" s="234" t="s">
        <v>48</v>
      </c>
      <c r="C15" s="245">
        <v>46143</v>
      </c>
      <c r="D15" s="234">
        <v>0</v>
      </c>
      <c r="E15" s="246">
        <v>457833</v>
      </c>
      <c r="F15" s="247" t="s">
        <v>4736</v>
      </c>
      <c r="G15" s="34" t="s">
        <v>83</v>
      </c>
      <c r="H15" s="234" t="s">
        <v>4738</v>
      </c>
      <c r="I15" s="248" t="s">
        <v>7</v>
      </c>
      <c r="J15" s="249" t="s">
        <v>554</v>
      </c>
      <c r="K15" s="250">
        <v>457833</v>
      </c>
      <c r="L15" s="250">
        <v>0</v>
      </c>
      <c r="M15" s="251" t="s">
        <v>48</v>
      </c>
      <c r="N15" s="252">
        <v>0</v>
      </c>
      <c r="O15" s="185" t="s">
        <v>51</v>
      </c>
    </row>
    <row r="16" spans="1:15" x14ac:dyDescent="0.25">
      <c r="A16" s="234" t="s">
        <v>7271</v>
      </c>
      <c r="B16" s="234" t="s">
        <v>48</v>
      </c>
      <c r="C16" s="245">
        <v>46143</v>
      </c>
      <c r="D16" s="234">
        <v>0</v>
      </c>
      <c r="E16" s="246">
        <v>198000</v>
      </c>
      <c r="F16" s="247" t="s">
        <v>7272</v>
      </c>
      <c r="G16" s="34" t="s">
        <v>83</v>
      </c>
      <c r="H16" s="234" t="s">
        <v>7273</v>
      </c>
      <c r="I16" s="248" t="s">
        <v>7</v>
      </c>
      <c r="J16" s="249" t="s">
        <v>492</v>
      </c>
      <c r="K16" s="250">
        <v>0</v>
      </c>
      <c r="L16" s="250">
        <v>0</v>
      </c>
      <c r="M16" s="251" t="s">
        <v>48</v>
      </c>
      <c r="N16" s="252">
        <v>0</v>
      </c>
      <c r="O16" s="185" t="s">
        <v>51</v>
      </c>
    </row>
    <row r="17" spans="1:15" x14ac:dyDescent="0.25">
      <c r="A17" s="234" t="s">
        <v>1593</v>
      </c>
      <c r="B17" s="234" t="s">
        <v>48</v>
      </c>
      <c r="C17" s="245">
        <v>46143</v>
      </c>
      <c r="D17" s="234">
        <v>0</v>
      </c>
      <c r="E17" s="246">
        <v>1052249</v>
      </c>
      <c r="F17" s="247" t="s">
        <v>1592</v>
      </c>
      <c r="G17" s="34" t="s">
        <v>83</v>
      </c>
      <c r="H17" s="234" t="s">
        <v>1594</v>
      </c>
      <c r="I17" s="248" t="s">
        <v>7</v>
      </c>
      <c r="J17" s="249" t="s">
        <v>554</v>
      </c>
      <c r="K17" s="250">
        <v>1652249</v>
      </c>
      <c r="L17" s="250">
        <v>0</v>
      </c>
      <c r="M17" s="251" t="s">
        <v>48</v>
      </c>
      <c r="N17" s="252">
        <v>0</v>
      </c>
      <c r="O17" s="185" t="s">
        <v>51</v>
      </c>
    </row>
    <row r="18" spans="1:15" x14ac:dyDescent="0.25">
      <c r="A18" s="234" t="s">
        <v>7274</v>
      </c>
      <c r="B18" s="234" t="s">
        <v>42</v>
      </c>
      <c r="C18" s="245">
        <v>46143</v>
      </c>
      <c r="D18" s="234">
        <v>0</v>
      </c>
      <c r="E18" s="246">
        <v>800000</v>
      </c>
      <c r="F18" s="247" t="s">
        <v>7275</v>
      </c>
      <c r="G18" s="34" t="s">
        <v>83</v>
      </c>
      <c r="H18" s="234" t="s">
        <v>7276</v>
      </c>
      <c r="I18" s="248" t="s">
        <v>7</v>
      </c>
      <c r="J18" s="249" t="s">
        <v>492</v>
      </c>
      <c r="K18" s="250">
        <v>0</v>
      </c>
      <c r="L18" s="250">
        <v>0</v>
      </c>
      <c r="M18" s="251" t="s">
        <v>42</v>
      </c>
      <c r="N18" s="252">
        <v>0</v>
      </c>
      <c r="O18" s="185" t="s">
        <v>78</v>
      </c>
    </row>
    <row r="19" spans="1:15" x14ac:dyDescent="0.25">
      <c r="A19" s="234" t="s">
        <v>7277</v>
      </c>
      <c r="B19" s="234" t="s">
        <v>42</v>
      </c>
      <c r="C19" s="245">
        <v>46143</v>
      </c>
      <c r="D19" s="234">
        <v>0</v>
      </c>
      <c r="E19" s="246">
        <v>70000</v>
      </c>
      <c r="F19" s="247" t="s">
        <v>7278</v>
      </c>
      <c r="G19" s="34" t="s">
        <v>83</v>
      </c>
      <c r="H19" s="234" t="s">
        <v>7279</v>
      </c>
      <c r="I19" s="248" t="s">
        <v>7</v>
      </c>
      <c r="J19" s="249" t="s">
        <v>492</v>
      </c>
      <c r="K19" s="250">
        <v>0</v>
      </c>
      <c r="L19" s="250">
        <v>0</v>
      </c>
      <c r="M19" s="251" t="s">
        <v>42</v>
      </c>
      <c r="N19" s="252">
        <v>0</v>
      </c>
      <c r="O19" s="185" t="s">
        <v>78</v>
      </c>
    </row>
    <row r="20" spans="1:15" x14ac:dyDescent="0.25">
      <c r="A20" s="234" t="s">
        <v>7277</v>
      </c>
      <c r="B20" s="234" t="s">
        <v>42</v>
      </c>
      <c r="C20" s="245">
        <v>46143</v>
      </c>
      <c r="D20" s="234">
        <v>0</v>
      </c>
      <c r="E20" s="246">
        <v>69570</v>
      </c>
      <c r="F20" s="247" t="s">
        <v>7280</v>
      </c>
      <c r="G20" s="34" t="s">
        <v>83</v>
      </c>
      <c r="H20" s="234" t="s">
        <v>7279</v>
      </c>
      <c r="I20" s="248" t="s">
        <v>7</v>
      </c>
      <c r="J20" s="249" t="s">
        <v>492</v>
      </c>
      <c r="K20" s="250">
        <v>0</v>
      </c>
      <c r="L20" s="250">
        <v>0</v>
      </c>
      <c r="M20" s="251" t="s">
        <v>42</v>
      </c>
      <c r="N20" s="252">
        <v>0</v>
      </c>
      <c r="O20" s="185" t="s">
        <v>78</v>
      </c>
    </row>
    <row r="21" spans="1:15" x14ac:dyDescent="0.25">
      <c r="A21" s="234" t="s">
        <v>7281</v>
      </c>
      <c r="B21" s="234" t="s">
        <v>42</v>
      </c>
      <c r="C21" s="245">
        <v>46143</v>
      </c>
      <c r="D21" s="234">
        <v>0</v>
      </c>
      <c r="E21" s="246">
        <v>50000</v>
      </c>
      <c r="F21" s="247" t="s">
        <v>7282</v>
      </c>
      <c r="G21" s="34" t="s">
        <v>83</v>
      </c>
      <c r="H21" s="234" t="s">
        <v>7283</v>
      </c>
      <c r="I21" s="248" t="s">
        <v>7</v>
      </c>
      <c r="J21" s="249" t="s">
        <v>492</v>
      </c>
      <c r="K21" s="250">
        <v>0</v>
      </c>
      <c r="L21" s="250">
        <v>0</v>
      </c>
      <c r="M21" s="251" t="s">
        <v>42</v>
      </c>
      <c r="N21" s="252">
        <v>0</v>
      </c>
      <c r="O21" s="185" t="s">
        <v>78</v>
      </c>
    </row>
    <row r="22" spans="1:15" x14ac:dyDescent="0.25">
      <c r="A22" s="234" t="s">
        <v>7284</v>
      </c>
      <c r="B22" s="234" t="s">
        <v>42</v>
      </c>
      <c r="C22" s="245">
        <v>46143</v>
      </c>
      <c r="D22" s="234">
        <v>0</v>
      </c>
      <c r="E22" s="246">
        <v>11019</v>
      </c>
      <c r="F22" s="247" t="s">
        <v>7285</v>
      </c>
      <c r="G22" s="34" t="s">
        <v>83</v>
      </c>
      <c r="H22" s="234" t="s">
        <v>7286</v>
      </c>
      <c r="I22" s="248" t="s">
        <v>7</v>
      </c>
      <c r="J22" s="249" t="s">
        <v>492</v>
      </c>
      <c r="K22" s="250">
        <v>0</v>
      </c>
      <c r="L22" s="250">
        <v>0</v>
      </c>
      <c r="M22" s="251" t="s">
        <v>42</v>
      </c>
      <c r="N22" s="252">
        <v>0</v>
      </c>
      <c r="O22" s="185" t="s">
        <v>77</v>
      </c>
    </row>
    <row r="23" spans="1:15" x14ac:dyDescent="0.25">
      <c r="A23" s="234" t="s">
        <v>4484</v>
      </c>
      <c r="B23" s="234" t="s">
        <v>44</v>
      </c>
      <c r="C23" s="245">
        <v>46143</v>
      </c>
      <c r="D23" s="234" t="s">
        <v>7287</v>
      </c>
      <c r="E23" s="246">
        <v>286577</v>
      </c>
      <c r="F23" s="247" t="s">
        <v>4483</v>
      </c>
      <c r="G23" s="34" t="s">
        <v>83</v>
      </c>
      <c r="H23" s="234" t="s">
        <v>4485</v>
      </c>
      <c r="I23" s="248" t="s">
        <v>7</v>
      </c>
      <c r="J23" s="249" t="s">
        <v>61</v>
      </c>
      <c r="K23" s="250">
        <v>427680</v>
      </c>
      <c r="L23" s="250">
        <v>0</v>
      </c>
      <c r="M23" s="251" t="s">
        <v>44</v>
      </c>
      <c r="N23" s="252">
        <v>0</v>
      </c>
      <c r="O23" s="185" t="s">
        <v>74</v>
      </c>
    </row>
    <row r="24" spans="1:15" x14ac:dyDescent="0.25">
      <c r="A24" s="234" t="s">
        <v>7288</v>
      </c>
      <c r="B24" s="234" t="s">
        <v>44</v>
      </c>
      <c r="C24" s="245">
        <v>46143</v>
      </c>
      <c r="D24" s="234" t="s">
        <v>7289</v>
      </c>
      <c r="E24" s="246">
        <v>150000</v>
      </c>
      <c r="F24" s="247">
        <v>0</v>
      </c>
      <c r="G24" s="34" t="s">
        <v>83</v>
      </c>
      <c r="H24" s="234" t="s">
        <v>7290</v>
      </c>
      <c r="I24" s="248" t="s">
        <v>7</v>
      </c>
      <c r="J24" s="249" t="s">
        <v>492</v>
      </c>
      <c r="K24" s="250">
        <v>0</v>
      </c>
      <c r="L24" s="250">
        <v>0</v>
      </c>
      <c r="M24" s="251" t="s">
        <v>44</v>
      </c>
      <c r="N24" s="252">
        <v>0</v>
      </c>
      <c r="O24" s="185" t="s">
        <v>74</v>
      </c>
    </row>
    <row r="25" spans="1:15" x14ac:dyDescent="0.25">
      <c r="A25" s="234" t="s">
        <v>7291</v>
      </c>
      <c r="B25" s="234" t="s">
        <v>43</v>
      </c>
      <c r="C25" s="245">
        <v>46143</v>
      </c>
      <c r="D25" s="234" t="s">
        <v>7292</v>
      </c>
      <c r="E25" s="246">
        <v>214550</v>
      </c>
      <c r="F25" s="247" t="s">
        <v>7293</v>
      </c>
      <c r="G25" s="34" t="s">
        <v>83</v>
      </c>
      <c r="H25" s="234" t="s">
        <v>7294</v>
      </c>
      <c r="I25" s="248" t="s">
        <v>7</v>
      </c>
      <c r="J25" s="249" t="s">
        <v>492</v>
      </c>
      <c r="K25" s="250">
        <v>0</v>
      </c>
      <c r="L25" s="250">
        <v>0</v>
      </c>
      <c r="M25" s="251" t="s">
        <v>43</v>
      </c>
      <c r="N25" s="252">
        <v>0</v>
      </c>
      <c r="O25" s="185" t="s">
        <v>51</v>
      </c>
    </row>
    <row r="26" spans="1:15" x14ac:dyDescent="0.25">
      <c r="A26" s="234" t="s">
        <v>2468</v>
      </c>
      <c r="B26" s="234" t="s">
        <v>43</v>
      </c>
      <c r="C26" s="245">
        <v>46143</v>
      </c>
      <c r="D26" s="234" t="s">
        <v>7292</v>
      </c>
      <c r="E26" s="246">
        <v>56842</v>
      </c>
      <c r="F26" s="247" t="s">
        <v>2467</v>
      </c>
      <c r="G26" s="34" t="s">
        <v>83</v>
      </c>
      <c r="H26" s="234" t="s">
        <v>2469</v>
      </c>
      <c r="I26" s="248" t="s">
        <v>7</v>
      </c>
      <c r="J26" s="249" t="s">
        <v>554</v>
      </c>
      <c r="K26" s="250">
        <v>168000</v>
      </c>
      <c r="L26" s="250">
        <v>0</v>
      </c>
      <c r="M26" s="251" t="s">
        <v>43</v>
      </c>
      <c r="N26" s="252">
        <v>0</v>
      </c>
      <c r="O26" s="185" t="s">
        <v>51</v>
      </c>
    </row>
    <row r="27" spans="1:15" x14ac:dyDescent="0.25">
      <c r="A27" s="234" t="s">
        <v>2515</v>
      </c>
      <c r="B27" s="234" t="s">
        <v>43</v>
      </c>
      <c r="C27" s="245">
        <v>46143</v>
      </c>
      <c r="D27" s="234" t="s">
        <v>7292</v>
      </c>
      <c r="E27" s="246">
        <v>72500</v>
      </c>
      <c r="F27" s="247" t="s">
        <v>7296</v>
      </c>
      <c r="G27" s="34" t="s">
        <v>83</v>
      </c>
      <c r="H27" s="234" t="s">
        <v>2516</v>
      </c>
      <c r="I27" s="248" t="s">
        <v>7</v>
      </c>
      <c r="J27" s="249" t="s">
        <v>492</v>
      </c>
      <c r="K27" s="250">
        <v>0</v>
      </c>
      <c r="L27" s="250">
        <v>0</v>
      </c>
      <c r="M27" s="251" t="s">
        <v>43</v>
      </c>
      <c r="N27" s="252">
        <v>0</v>
      </c>
      <c r="O27" s="185" t="s">
        <v>51</v>
      </c>
    </row>
    <row r="28" spans="1:15" x14ac:dyDescent="0.25">
      <c r="A28" s="234" t="s">
        <v>7297</v>
      </c>
      <c r="B28" s="234" t="s">
        <v>43</v>
      </c>
      <c r="C28" s="245">
        <v>46143</v>
      </c>
      <c r="D28" s="234" t="s">
        <v>7292</v>
      </c>
      <c r="E28" s="246">
        <v>12000</v>
      </c>
      <c r="F28" s="247" t="s">
        <v>7298</v>
      </c>
      <c r="G28" s="34" t="s">
        <v>83</v>
      </c>
      <c r="H28" s="234" t="s">
        <v>7299</v>
      </c>
      <c r="I28" s="248" t="s">
        <v>7</v>
      </c>
      <c r="J28" s="249" t="s">
        <v>492</v>
      </c>
      <c r="K28" s="250">
        <v>0</v>
      </c>
      <c r="L28" s="250">
        <v>0</v>
      </c>
      <c r="M28" s="251" t="s">
        <v>43</v>
      </c>
      <c r="N28" s="252">
        <v>0</v>
      </c>
      <c r="O28" s="185" t="s">
        <v>51</v>
      </c>
    </row>
    <row r="29" spans="1:15" x14ac:dyDescent="0.25">
      <c r="A29" s="234" t="s">
        <v>7300</v>
      </c>
      <c r="B29" s="234" t="s">
        <v>43</v>
      </c>
      <c r="C29" s="245">
        <v>46143</v>
      </c>
      <c r="D29" s="234" t="s">
        <v>7292</v>
      </c>
      <c r="E29" s="246">
        <v>80000</v>
      </c>
      <c r="F29" s="247" t="s">
        <v>7301</v>
      </c>
      <c r="G29" s="34" t="s">
        <v>83</v>
      </c>
      <c r="H29" s="234" t="s">
        <v>7302</v>
      </c>
      <c r="I29" s="248" t="s">
        <v>7</v>
      </c>
      <c r="J29" s="249" t="s">
        <v>492</v>
      </c>
      <c r="K29" s="250">
        <v>0</v>
      </c>
      <c r="L29" s="250">
        <v>0</v>
      </c>
      <c r="M29" s="251" t="s">
        <v>43</v>
      </c>
      <c r="N29" s="252">
        <v>0</v>
      </c>
      <c r="O29" s="185" t="s">
        <v>51</v>
      </c>
    </row>
    <row r="30" spans="1:15" x14ac:dyDescent="0.25">
      <c r="A30" s="234" t="s">
        <v>7303</v>
      </c>
      <c r="B30" s="234" t="s">
        <v>43</v>
      </c>
      <c r="C30" s="245">
        <v>46143</v>
      </c>
      <c r="D30" s="234" t="s">
        <v>7292</v>
      </c>
      <c r="E30" s="246">
        <v>5000</v>
      </c>
      <c r="F30" s="247" t="s">
        <v>7304</v>
      </c>
      <c r="G30" s="34" t="s">
        <v>83</v>
      </c>
      <c r="H30" s="234" t="s">
        <v>7305</v>
      </c>
      <c r="I30" s="248" t="s">
        <v>7</v>
      </c>
      <c r="J30" s="249" t="s">
        <v>492</v>
      </c>
      <c r="K30" s="250">
        <v>0</v>
      </c>
      <c r="L30" s="250">
        <v>0</v>
      </c>
      <c r="M30" s="251" t="s">
        <v>43</v>
      </c>
      <c r="N30" s="252">
        <v>0</v>
      </c>
      <c r="O30" s="185" t="s">
        <v>51</v>
      </c>
    </row>
    <row r="31" spans="1:15" x14ac:dyDescent="0.25">
      <c r="A31" s="234" t="s">
        <v>4119</v>
      </c>
      <c r="B31" s="234" t="s">
        <v>43</v>
      </c>
      <c r="C31" s="245">
        <v>46143</v>
      </c>
      <c r="D31" s="234" t="s">
        <v>7292</v>
      </c>
      <c r="E31" s="246">
        <v>105470</v>
      </c>
      <c r="F31" s="247" t="s">
        <v>4118</v>
      </c>
      <c r="G31" s="34" t="s">
        <v>83</v>
      </c>
      <c r="H31" s="234" t="s">
        <v>4120</v>
      </c>
      <c r="I31" s="248" t="s">
        <v>7</v>
      </c>
      <c r="J31" s="249" t="s">
        <v>554</v>
      </c>
      <c r="K31" s="250">
        <v>105470</v>
      </c>
      <c r="L31" s="250">
        <v>0</v>
      </c>
      <c r="M31" s="251" t="s">
        <v>43</v>
      </c>
      <c r="N31" s="252">
        <v>0</v>
      </c>
      <c r="O31" s="185" t="s">
        <v>51</v>
      </c>
    </row>
    <row r="32" spans="1:15" x14ac:dyDescent="0.25">
      <c r="A32" s="234" t="s">
        <v>2249</v>
      </c>
      <c r="B32" s="234" t="s">
        <v>43</v>
      </c>
      <c r="C32" s="245">
        <v>46143</v>
      </c>
      <c r="D32" s="234" t="s">
        <v>7292</v>
      </c>
      <c r="E32" s="246">
        <v>440000</v>
      </c>
      <c r="F32" s="247" t="s">
        <v>2251</v>
      </c>
      <c r="G32" s="34" t="s">
        <v>83</v>
      </c>
      <c r="H32" s="234" t="s">
        <v>2250</v>
      </c>
      <c r="I32" s="248" t="s">
        <v>7</v>
      </c>
      <c r="J32" s="249" t="s">
        <v>554</v>
      </c>
      <c r="K32" s="250">
        <v>440000</v>
      </c>
      <c r="L32" s="250">
        <v>0</v>
      </c>
      <c r="M32" s="251" t="s">
        <v>43</v>
      </c>
      <c r="N32" s="252">
        <v>0</v>
      </c>
      <c r="O32" s="185" t="s">
        <v>51</v>
      </c>
    </row>
    <row r="33" spans="1:15" x14ac:dyDescent="0.25">
      <c r="A33" s="234" t="s">
        <v>7306</v>
      </c>
      <c r="B33" s="234" t="s">
        <v>43</v>
      </c>
      <c r="C33" s="245">
        <v>46143</v>
      </c>
      <c r="D33" s="234" t="s">
        <v>7292</v>
      </c>
      <c r="E33" s="246">
        <v>50000</v>
      </c>
      <c r="F33" s="247" t="s">
        <v>7307</v>
      </c>
      <c r="G33" s="34" t="s">
        <v>83</v>
      </c>
      <c r="H33" s="234" t="s">
        <v>7308</v>
      </c>
      <c r="I33" s="248" t="s">
        <v>7</v>
      </c>
      <c r="J33" s="249" t="s">
        <v>492</v>
      </c>
      <c r="K33" s="250">
        <v>0</v>
      </c>
      <c r="L33" s="250">
        <v>0</v>
      </c>
      <c r="M33" s="251" t="s">
        <v>43</v>
      </c>
      <c r="N33" s="252">
        <v>0</v>
      </c>
      <c r="O33" s="185" t="s">
        <v>51</v>
      </c>
    </row>
    <row r="34" spans="1:15" x14ac:dyDescent="0.25">
      <c r="A34" s="234" t="s">
        <v>4637</v>
      </c>
      <c r="B34" s="234" t="s">
        <v>14</v>
      </c>
      <c r="C34" s="245">
        <v>46143</v>
      </c>
      <c r="D34" s="234">
        <v>0</v>
      </c>
      <c r="E34" s="246">
        <v>46751</v>
      </c>
      <c r="F34" s="247" t="s">
        <v>4636</v>
      </c>
      <c r="G34" s="34" t="s">
        <v>7</v>
      </c>
      <c r="H34" s="234" t="s">
        <v>4638</v>
      </c>
      <c r="I34" s="248" t="s">
        <v>7</v>
      </c>
      <c r="J34" s="249" t="s">
        <v>554</v>
      </c>
      <c r="K34" s="250">
        <v>46751.06</v>
      </c>
      <c r="L34" s="250">
        <v>0</v>
      </c>
      <c r="M34" s="251" t="s">
        <v>14</v>
      </c>
      <c r="N34" s="252">
        <v>0</v>
      </c>
      <c r="O34" s="185" t="s">
        <v>51</v>
      </c>
    </row>
    <row r="35" spans="1:15" x14ac:dyDescent="0.25">
      <c r="A35" s="234" t="s">
        <v>4637</v>
      </c>
      <c r="B35" s="234" t="s">
        <v>14</v>
      </c>
      <c r="C35" s="245">
        <v>46143</v>
      </c>
      <c r="D35" s="234">
        <v>0</v>
      </c>
      <c r="E35" s="246">
        <v>48000</v>
      </c>
      <c r="F35" s="247" t="s">
        <v>7309</v>
      </c>
      <c r="G35" s="34" t="s">
        <v>7</v>
      </c>
      <c r="H35" s="234" t="s">
        <v>4638</v>
      </c>
      <c r="I35" s="248" t="s">
        <v>7</v>
      </c>
      <c r="J35" s="249" t="s">
        <v>492</v>
      </c>
      <c r="K35" s="250">
        <v>0</v>
      </c>
      <c r="L35" s="250">
        <v>0</v>
      </c>
      <c r="M35" s="251" t="s">
        <v>14</v>
      </c>
      <c r="N35" s="252">
        <v>0</v>
      </c>
      <c r="O35" s="185" t="s">
        <v>51</v>
      </c>
    </row>
    <row r="36" spans="1:15" x14ac:dyDescent="0.25">
      <c r="A36" s="234" t="s">
        <v>7310</v>
      </c>
      <c r="B36" s="234" t="s">
        <v>14</v>
      </c>
      <c r="C36" s="245">
        <v>46143</v>
      </c>
      <c r="D36" s="234">
        <v>0</v>
      </c>
      <c r="E36" s="246">
        <v>170290</v>
      </c>
      <c r="F36" s="247" t="s">
        <v>7311</v>
      </c>
      <c r="G36" s="34" t="s">
        <v>7</v>
      </c>
      <c r="H36" s="234" t="s">
        <v>7312</v>
      </c>
      <c r="I36" s="248" t="s">
        <v>7</v>
      </c>
      <c r="J36" s="249" t="s">
        <v>492</v>
      </c>
      <c r="K36" s="250">
        <v>0</v>
      </c>
      <c r="L36" s="250">
        <v>0</v>
      </c>
      <c r="M36" s="251" t="s">
        <v>14</v>
      </c>
      <c r="N36" s="252">
        <v>0</v>
      </c>
      <c r="O36" s="185" t="s">
        <v>51</v>
      </c>
    </row>
    <row r="37" spans="1:15" x14ac:dyDescent="0.25">
      <c r="A37" s="234" t="s">
        <v>2750</v>
      </c>
      <c r="B37" s="234" t="s">
        <v>14</v>
      </c>
      <c r="C37" s="245">
        <v>46143</v>
      </c>
      <c r="D37" s="234">
        <v>0</v>
      </c>
      <c r="E37" s="246">
        <v>49495</v>
      </c>
      <c r="F37" s="247" t="s">
        <v>2749</v>
      </c>
      <c r="G37" s="34" t="s">
        <v>7</v>
      </c>
      <c r="H37" s="234" t="s">
        <v>2751</v>
      </c>
      <c r="I37" s="248" t="s">
        <v>7</v>
      </c>
      <c r="J37" s="249" t="s">
        <v>554</v>
      </c>
      <c r="K37" s="250">
        <v>49495</v>
      </c>
      <c r="L37" s="250">
        <v>0</v>
      </c>
      <c r="M37" s="251" t="s">
        <v>14</v>
      </c>
      <c r="N37" s="252">
        <v>0</v>
      </c>
      <c r="O37" s="185" t="s">
        <v>51</v>
      </c>
    </row>
    <row r="38" spans="1:15" x14ac:dyDescent="0.25">
      <c r="A38" s="234" t="s">
        <v>2750</v>
      </c>
      <c r="B38" s="234" t="s">
        <v>14</v>
      </c>
      <c r="C38" s="245">
        <v>46143</v>
      </c>
      <c r="D38" s="234">
        <v>0</v>
      </c>
      <c r="E38" s="246">
        <v>50000</v>
      </c>
      <c r="F38" s="247" t="s">
        <v>2752</v>
      </c>
      <c r="G38" s="34" t="s">
        <v>7</v>
      </c>
      <c r="H38" s="234" t="s">
        <v>2751</v>
      </c>
      <c r="I38" s="248" t="s">
        <v>7</v>
      </c>
      <c r="J38" s="249" t="s">
        <v>554</v>
      </c>
      <c r="K38" s="250">
        <v>50000</v>
      </c>
      <c r="L38" s="250">
        <v>0</v>
      </c>
      <c r="M38" s="251" t="s">
        <v>14</v>
      </c>
      <c r="N38" s="252">
        <v>0</v>
      </c>
      <c r="O38" s="185" t="s">
        <v>51</v>
      </c>
    </row>
    <row r="39" spans="1:15" x14ac:dyDescent="0.25">
      <c r="A39" s="234" t="s">
        <v>1648</v>
      </c>
      <c r="B39" s="234" t="s">
        <v>14</v>
      </c>
      <c r="C39" s="245">
        <v>46143</v>
      </c>
      <c r="D39" s="234">
        <v>0</v>
      </c>
      <c r="E39" s="246">
        <v>20000</v>
      </c>
      <c r="F39" s="247" t="s">
        <v>1647</v>
      </c>
      <c r="G39" s="34" t="s">
        <v>7</v>
      </c>
      <c r="H39" s="234" t="s">
        <v>1649</v>
      </c>
      <c r="I39" s="248" t="s">
        <v>7</v>
      </c>
      <c r="J39" s="249" t="s">
        <v>554</v>
      </c>
      <c r="K39" s="250">
        <v>20000</v>
      </c>
      <c r="L39" s="250">
        <v>0</v>
      </c>
      <c r="M39" s="251" t="s">
        <v>14</v>
      </c>
      <c r="N39" s="252">
        <v>0</v>
      </c>
      <c r="O39" s="185" t="s">
        <v>51</v>
      </c>
    </row>
    <row r="40" spans="1:15" x14ac:dyDescent="0.25">
      <c r="A40" s="234" t="s">
        <v>1648</v>
      </c>
      <c r="B40" s="234" t="s">
        <v>14</v>
      </c>
      <c r="C40" s="245">
        <v>46143</v>
      </c>
      <c r="D40" s="234">
        <v>0</v>
      </c>
      <c r="E40" s="246">
        <v>20000</v>
      </c>
      <c r="F40" s="247" t="s">
        <v>1650</v>
      </c>
      <c r="G40" s="34" t="s">
        <v>7</v>
      </c>
      <c r="H40" s="234" t="s">
        <v>1649</v>
      </c>
      <c r="I40" s="248" t="s">
        <v>7</v>
      </c>
      <c r="J40" s="249" t="s">
        <v>554</v>
      </c>
      <c r="K40" s="250">
        <v>20000</v>
      </c>
      <c r="L40" s="250">
        <v>0</v>
      </c>
      <c r="M40" s="251" t="s">
        <v>14</v>
      </c>
      <c r="N40" s="252">
        <v>0</v>
      </c>
      <c r="O40" s="185" t="s">
        <v>51</v>
      </c>
    </row>
    <row r="41" spans="1:15" x14ac:dyDescent="0.25">
      <c r="A41" s="234" t="s">
        <v>1638</v>
      </c>
      <c r="B41" s="234" t="s">
        <v>14</v>
      </c>
      <c r="C41" s="245">
        <v>46143</v>
      </c>
      <c r="D41" s="234">
        <v>0</v>
      </c>
      <c r="E41" s="246">
        <v>1072124</v>
      </c>
      <c r="F41" s="247">
        <v>0</v>
      </c>
      <c r="G41" s="34" t="s">
        <v>7</v>
      </c>
      <c r="H41" s="234" t="s">
        <v>1640</v>
      </c>
      <c r="I41" s="248" t="s">
        <v>7</v>
      </c>
      <c r="J41" s="249" t="s">
        <v>492</v>
      </c>
      <c r="K41" s="250">
        <v>0</v>
      </c>
      <c r="L41" s="250">
        <v>0</v>
      </c>
      <c r="M41" s="251" t="s">
        <v>14</v>
      </c>
      <c r="N41" s="252">
        <v>0</v>
      </c>
      <c r="O41" s="185" t="s">
        <v>51</v>
      </c>
    </row>
    <row r="42" spans="1:15" x14ac:dyDescent="0.25">
      <c r="A42" s="234" t="s">
        <v>3242</v>
      </c>
      <c r="B42" s="234" t="s">
        <v>25</v>
      </c>
      <c r="C42" s="245">
        <v>46143</v>
      </c>
      <c r="D42" s="234">
        <v>0</v>
      </c>
      <c r="E42" s="246">
        <v>47095</v>
      </c>
      <c r="F42" s="247" t="s">
        <v>7313</v>
      </c>
      <c r="G42" s="34" t="s">
        <v>7</v>
      </c>
      <c r="H42" s="234" t="s">
        <v>3244</v>
      </c>
      <c r="I42" s="248" t="s">
        <v>7</v>
      </c>
      <c r="J42" s="249" t="s">
        <v>492</v>
      </c>
      <c r="K42" s="250">
        <v>0</v>
      </c>
      <c r="L42" s="250">
        <v>0</v>
      </c>
      <c r="M42" s="251" t="s">
        <v>25</v>
      </c>
      <c r="N42" s="252">
        <v>0</v>
      </c>
      <c r="O42" s="185" t="s">
        <v>51</v>
      </c>
    </row>
    <row r="43" spans="1:15" x14ac:dyDescent="0.25">
      <c r="A43" s="234" t="s">
        <v>3170</v>
      </c>
      <c r="B43" s="234" t="s">
        <v>25</v>
      </c>
      <c r="C43" s="245">
        <v>46143</v>
      </c>
      <c r="D43" s="234">
        <v>0</v>
      </c>
      <c r="E43" s="246">
        <v>15120</v>
      </c>
      <c r="F43" s="247" t="s">
        <v>7314</v>
      </c>
      <c r="G43" s="34" t="s">
        <v>7</v>
      </c>
      <c r="H43" s="234" t="s">
        <v>3172</v>
      </c>
      <c r="I43" s="248" t="s">
        <v>7</v>
      </c>
      <c r="J43" s="249" t="s">
        <v>492</v>
      </c>
      <c r="K43" s="250">
        <v>0</v>
      </c>
      <c r="L43" s="250">
        <v>0</v>
      </c>
      <c r="M43" s="251" t="s">
        <v>25</v>
      </c>
      <c r="N43" s="252">
        <v>0</v>
      </c>
      <c r="O43" s="185" t="s">
        <v>51</v>
      </c>
    </row>
    <row r="44" spans="1:15" x14ac:dyDescent="0.25">
      <c r="A44" s="234" t="s">
        <v>3170</v>
      </c>
      <c r="B44" s="234" t="s">
        <v>25</v>
      </c>
      <c r="C44" s="245">
        <v>46143</v>
      </c>
      <c r="D44" s="234">
        <v>0</v>
      </c>
      <c r="E44" s="246">
        <v>48000</v>
      </c>
      <c r="F44" s="247" t="s">
        <v>7315</v>
      </c>
      <c r="G44" s="34" t="s">
        <v>7</v>
      </c>
      <c r="H44" s="234" t="s">
        <v>3172</v>
      </c>
      <c r="I44" s="248" t="s">
        <v>7</v>
      </c>
      <c r="J44" s="249" t="s">
        <v>492</v>
      </c>
      <c r="K44" s="250">
        <v>0</v>
      </c>
      <c r="L44" s="250">
        <v>0</v>
      </c>
      <c r="M44" s="251" t="s">
        <v>25</v>
      </c>
      <c r="N44" s="252">
        <v>0</v>
      </c>
      <c r="O44" s="185" t="s">
        <v>51</v>
      </c>
    </row>
    <row r="45" spans="1:15" x14ac:dyDescent="0.25">
      <c r="A45" s="234" t="s">
        <v>3510</v>
      </c>
      <c r="B45" s="234" t="s">
        <v>25</v>
      </c>
      <c r="C45" s="245">
        <v>46143</v>
      </c>
      <c r="D45" s="234">
        <v>0</v>
      </c>
      <c r="E45" s="246">
        <v>50000</v>
      </c>
      <c r="F45" s="247" t="s">
        <v>7316</v>
      </c>
      <c r="G45" s="34" t="s">
        <v>7</v>
      </c>
      <c r="H45" s="234" t="s">
        <v>3511</v>
      </c>
      <c r="I45" s="248" t="s">
        <v>7</v>
      </c>
      <c r="J45" s="249" t="s">
        <v>492</v>
      </c>
      <c r="K45" s="250">
        <v>0</v>
      </c>
      <c r="L45" s="250">
        <v>0</v>
      </c>
      <c r="M45" s="251" t="s">
        <v>25</v>
      </c>
      <c r="N45" s="252">
        <v>0</v>
      </c>
      <c r="O45" s="185" t="s">
        <v>51</v>
      </c>
    </row>
    <row r="46" spans="1:15" x14ac:dyDescent="0.25">
      <c r="A46" s="234" t="s">
        <v>3510</v>
      </c>
      <c r="B46" s="234" t="s">
        <v>25</v>
      </c>
      <c r="C46" s="245">
        <v>46143</v>
      </c>
      <c r="D46" s="234">
        <v>0</v>
      </c>
      <c r="E46" s="246">
        <v>50000</v>
      </c>
      <c r="F46" s="247" t="s">
        <v>7317</v>
      </c>
      <c r="G46" s="34" t="s">
        <v>7</v>
      </c>
      <c r="H46" s="234" t="s">
        <v>3511</v>
      </c>
      <c r="I46" s="248" t="s">
        <v>7</v>
      </c>
      <c r="J46" s="249" t="s">
        <v>492</v>
      </c>
      <c r="K46" s="250">
        <v>0</v>
      </c>
      <c r="L46" s="250">
        <v>0</v>
      </c>
      <c r="M46" s="251" t="s">
        <v>25</v>
      </c>
      <c r="N46" s="252">
        <v>0</v>
      </c>
      <c r="O46" s="185" t="s">
        <v>51</v>
      </c>
    </row>
    <row r="47" spans="1:15" x14ac:dyDescent="0.25">
      <c r="A47" s="234" t="s">
        <v>3209</v>
      </c>
      <c r="B47" s="234" t="s">
        <v>25</v>
      </c>
      <c r="C47" s="245">
        <v>46143</v>
      </c>
      <c r="D47" s="234">
        <v>0</v>
      </c>
      <c r="E47" s="246">
        <v>1000</v>
      </c>
      <c r="F47" s="247" t="s">
        <v>7318</v>
      </c>
      <c r="G47" s="34" t="s">
        <v>7</v>
      </c>
      <c r="H47" s="234" t="s">
        <v>3211</v>
      </c>
      <c r="I47" s="248" t="s">
        <v>7</v>
      </c>
      <c r="J47" s="249" t="s">
        <v>492</v>
      </c>
      <c r="K47" s="250">
        <v>0</v>
      </c>
      <c r="L47" s="250">
        <v>0</v>
      </c>
      <c r="M47" s="251" t="s">
        <v>25</v>
      </c>
      <c r="N47" s="252">
        <v>0</v>
      </c>
      <c r="O47" s="185" t="s">
        <v>51</v>
      </c>
    </row>
    <row r="48" spans="1:15" x14ac:dyDescent="0.25">
      <c r="A48" s="234" t="s">
        <v>3209</v>
      </c>
      <c r="B48" s="234" t="s">
        <v>25</v>
      </c>
      <c r="C48" s="245">
        <v>46143</v>
      </c>
      <c r="D48" s="234">
        <v>0</v>
      </c>
      <c r="E48" s="246">
        <v>18000</v>
      </c>
      <c r="F48" s="247" t="s">
        <v>7319</v>
      </c>
      <c r="G48" s="34" t="s">
        <v>7</v>
      </c>
      <c r="H48" s="234" t="s">
        <v>3211</v>
      </c>
      <c r="I48" s="248" t="s">
        <v>7</v>
      </c>
      <c r="J48" s="249" t="s">
        <v>492</v>
      </c>
      <c r="K48" s="250">
        <v>0</v>
      </c>
      <c r="L48" s="250">
        <v>0</v>
      </c>
      <c r="M48" s="251" t="s">
        <v>25</v>
      </c>
      <c r="N48" s="252">
        <v>0</v>
      </c>
      <c r="O48" s="185" t="s">
        <v>51</v>
      </c>
    </row>
    <row r="49" spans="1:15" x14ac:dyDescent="0.25">
      <c r="A49" s="234" t="s">
        <v>3209</v>
      </c>
      <c r="B49" s="234" t="s">
        <v>25</v>
      </c>
      <c r="C49" s="245">
        <v>46143</v>
      </c>
      <c r="D49" s="234">
        <v>0</v>
      </c>
      <c r="E49" s="246">
        <v>36000</v>
      </c>
      <c r="F49" s="247" t="s">
        <v>7320</v>
      </c>
      <c r="G49" s="34" t="s">
        <v>7</v>
      </c>
      <c r="H49" s="234" t="s">
        <v>3211</v>
      </c>
      <c r="I49" s="248" t="s">
        <v>7</v>
      </c>
      <c r="J49" s="249" t="s">
        <v>492</v>
      </c>
      <c r="K49" s="250">
        <v>0</v>
      </c>
      <c r="L49" s="250">
        <v>0</v>
      </c>
      <c r="M49" s="251" t="s">
        <v>25</v>
      </c>
      <c r="N49" s="252">
        <v>0</v>
      </c>
      <c r="O49" s="185" t="s">
        <v>51</v>
      </c>
    </row>
    <row r="50" spans="1:15" x14ac:dyDescent="0.25">
      <c r="A50" s="234" t="s">
        <v>3209</v>
      </c>
      <c r="B50" s="234" t="s">
        <v>25</v>
      </c>
      <c r="C50" s="245">
        <v>46143</v>
      </c>
      <c r="D50" s="234">
        <v>0</v>
      </c>
      <c r="E50" s="246">
        <v>27000</v>
      </c>
      <c r="F50" s="247" t="s">
        <v>7321</v>
      </c>
      <c r="G50" s="34" t="s">
        <v>7</v>
      </c>
      <c r="H50" s="234" t="s">
        <v>3211</v>
      </c>
      <c r="I50" s="248" t="s">
        <v>7</v>
      </c>
      <c r="J50" s="249" t="s">
        <v>492</v>
      </c>
      <c r="K50" s="250">
        <v>0</v>
      </c>
      <c r="L50" s="250">
        <v>0</v>
      </c>
      <c r="M50" s="251" t="s">
        <v>25</v>
      </c>
      <c r="N50" s="252">
        <v>0</v>
      </c>
      <c r="O50" s="185" t="s">
        <v>51</v>
      </c>
    </row>
    <row r="51" spans="1:15" x14ac:dyDescent="0.25">
      <c r="A51" s="234" t="s">
        <v>3163</v>
      </c>
      <c r="B51" s="234" t="s">
        <v>25</v>
      </c>
      <c r="C51" s="245">
        <v>46143</v>
      </c>
      <c r="D51" s="234">
        <v>0</v>
      </c>
      <c r="E51" s="246">
        <v>368096</v>
      </c>
      <c r="F51" s="247" t="s">
        <v>3162</v>
      </c>
      <c r="G51" s="34" t="s">
        <v>7</v>
      </c>
      <c r="H51" s="234" t="s">
        <v>3164</v>
      </c>
      <c r="I51" s="248" t="s">
        <v>7</v>
      </c>
      <c r="J51" s="249" t="s">
        <v>554</v>
      </c>
      <c r="K51" s="250">
        <v>368096</v>
      </c>
      <c r="L51" s="250">
        <v>0</v>
      </c>
      <c r="M51" s="251" t="s">
        <v>25</v>
      </c>
      <c r="N51" s="252">
        <v>0</v>
      </c>
      <c r="O51" s="185" t="s">
        <v>51</v>
      </c>
    </row>
    <row r="52" spans="1:15" x14ac:dyDescent="0.25">
      <c r="A52" s="234" t="s">
        <v>3248</v>
      </c>
      <c r="B52" s="234" t="s">
        <v>25</v>
      </c>
      <c r="C52" s="245">
        <v>46143</v>
      </c>
      <c r="D52" s="234">
        <v>0</v>
      </c>
      <c r="E52" s="246">
        <v>187000</v>
      </c>
      <c r="F52" s="247" t="s">
        <v>3247</v>
      </c>
      <c r="G52" s="34" t="s">
        <v>7</v>
      </c>
      <c r="H52" s="234" t="s">
        <v>3249</v>
      </c>
      <c r="I52" s="248" t="s">
        <v>7</v>
      </c>
      <c r="J52" s="249" t="s">
        <v>554</v>
      </c>
      <c r="K52" s="250">
        <v>185205.6</v>
      </c>
      <c r="L52" s="250">
        <v>0</v>
      </c>
      <c r="M52" s="251" t="s">
        <v>25</v>
      </c>
      <c r="N52" s="252">
        <v>0</v>
      </c>
      <c r="O52" s="185" t="s">
        <v>51</v>
      </c>
    </row>
    <row r="53" spans="1:15" x14ac:dyDescent="0.25">
      <c r="A53" s="234" t="s">
        <v>3194</v>
      </c>
      <c r="B53" s="234" t="s">
        <v>25</v>
      </c>
      <c r="C53" s="245">
        <v>46143</v>
      </c>
      <c r="D53" s="234">
        <v>0</v>
      </c>
      <c r="E53" s="246">
        <v>130000</v>
      </c>
      <c r="F53" s="247" t="s">
        <v>3193</v>
      </c>
      <c r="G53" s="34" t="s">
        <v>7</v>
      </c>
      <c r="H53" s="234" t="s">
        <v>3195</v>
      </c>
      <c r="I53" s="248" t="s">
        <v>7</v>
      </c>
      <c r="J53" s="249" t="s">
        <v>554</v>
      </c>
      <c r="K53" s="250">
        <v>130000</v>
      </c>
      <c r="L53" s="250">
        <v>0</v>
      </c>
      <c r="M53" s="251" t="s">
        <v>25</v>
      </c>
      <c r="N53" s="252">
        <v>0</v>
      </c>
      <c r="O53" s="185" t="s">
        <v>51</v>
      </c>
    </row>
    <row r="54" spans="1:15" x14ac:dyDescent="0.25">
      <c r="A54" s="234" t="s">
        <v>7322</v>
      </c>
      <c r="B54" s="234" t="s">
        <v>25</v>
      </c>
      <c r="C54" s="245">
        <v>46143</v>
      </c>
      <c r="D54" s="234">
        <v>0</v>
      </c>
      <c r="E54" s="246">
        <v>409500</v>
      </c>
      <c r="F54" s="247" t="s">
        <v>7323</v>
      </c>
      <c r="G54" s="34" t="s">
        <v>7</v>
      </c>
      <c r="H54" s="234" t="s">
        <v>7324</v>
      </c>
      <c r="I54" s="248" t="s">
        <v>7</v>
      </c>
      <c r="J54" s="249" t="s">
        <v>492</v>
      </c>
      <c r="K54" s="250">
        <v>0</v>
      </c>
      <c r="L54" s="250">
        <v>0</v>
      </c>
      <c r="M54" s="251" t="s">
        <v>25</v>
      </c>
      <c r="N54" s="252">
        <v>0</v>
      </c>
      <c r="O54" s="185" t="s">
        <v>51</v>
      </c>
    </row>
    <row r="55" spans="1:15" x14ac:dyDescent="0.25">
      <c r="A55" s="234" t="s">
        <v>3473</v>
      </c>
      <c r="B55" s="234" t="s">
        <v>25</v>
      </c>
      <c r="C55" s="245">
        <v>46143</v>
      </c>
      <c r="D55" s="234">
        <v>0</v>
      </c>
      <c r="E55" s="246">
        <v>70000</v>
      </c>
      <c r="F55" s="247" t="s">
        <v>3472</v>
      </c>
      <c r="G55" s="34" t="s">
        <v>7</v>
      </c>
      <c r="H55" s="234" t="s">
        <v>3474</v>
      </c>
      <c r="I55" s="248" t="s">
        <v>7</v>
      </c>
      <c r="J55" s="249" t="s">
        <v>554</v>
      </c>
      <c r="K55" s="250">
        <v>70000</v>
      </c>
      <c r="L55" s="250">
        <v>0</v>
      </c>
      <c r="M55" s="251" t="s">
        <v>25</v>
      </c>
      <c r="N55" s="252">
        <v>0</v>
      </c>
      <c r="O55" s="185" t="s">
        <v>51</v>
      </c>
    </row>
    <row r="56" spans="1:15" x14ac:dyDescent="0.25">
      <c r="A56" s="234" t="s">
        <v>7325</v>
      </c>
      <c r="B56" s="234" t="s">
        <v>25</v>
      </c>
      <c r="C56" s="245">
        <v>46143</v>
      </c>
      <c r="D56" s="234">
        <v>0</v>
      </c>
      <c r="E56" s="246">
        <v>413395</v>
      </c>
      <c r="F56" s="247">
        <v>0</v>
      </c>
      <c r="G56" s="34" t="s">
        <v>7</v>
      </c>
      <c r="H56" s="234" t="s">
        <v>7326</v>
      </c>
      <c r="I56" s="248" t="s">
        <v>7</v>
      </c>
      <c r="J56" s="249" t="s">
        <v>492</v>
      </c>
      <c r="K56" s="250">
        <v>0</v>
      </c>
      <c r="L56" s="250">
        <v>0</v>
      </c>
      <c r="M56" s="251" t="s">
        <v>25</v>
      </c>
      <c r="N56" s="252">
        <v>0</v>
      </c>
      <c r="O56" s="185" t="s">
        <v>51</v>
      </c>
    </row>
    <row r="57" spans="1:15" x14ac:dyDescent="0.25">
      <c r="A57" s="234" t="s">
        <v>3233</v>
      </c>
      <c r="B57" s="234" t="s">
        <v>25</v>
      </c>
      <c r="C57" s="245">
        <v>46143</v>
      </c>
      <c r="D57" s="234">
        <v>0</v>
      </c>
      <c r="E57" s="246">
        <v>26000</v>
      </c>
      <c r="F57" s="247" t="s">
        <v>3232</v>
      </c>
      <c r="G57" s="34" t="s">
        <v>7</v>
      </c>
      <c r="H57" s="234" t="s">
        <v>3234</v>
      </c>
      <c r="I57" s="248" t="s">
        <v>7</v>
      </c>
      <c r="J57" s="249" t="s">
        <v>554</v>
      </c>
      <c r="K57" s="250">
        <v>26000</v>
      </c>
      <c r="L57" s="250">
        <v>0</v>
      </c>
      <c r="M57" s="251" t="s">
        <v>25</v>
      </c>
      <c r="N57" s="252">
        <v>0</v>
      </c>
      <c r="O57" s="185" t="s">
        <v>51</v>
      </c>
    </row>
    <row r="58" spans="1:15" x14ac:dyDescent="0.25">
      <c r="A58" s="234" t="s">
        <v>3326</v>
      </c>
      <c r="B58" s="234" t="s">
        <v>25</v>
      </c>
      <c r="C58" s="245">
        <v>46143</v>
      </c>
      <c r="D58" s="234">
        <v>0</v>
      </c>
      <c r="E58" s="246">
        <v>200653</v>
      </c>
      <c r="F58" s="247" t="s">
        <v>3325</v>
      </c>
      <c r="G58" s="34" t="s">
        <v>7</v>
      </c>
      <c r="H58" s="234" t="s">
        <v>3327</v>
      </c>
      <c r="I58" s="248" t="s">
        <v>7</v>
      </c>
      <c r="J58" s="249" t="s">
        <v>554</v>
      </c>
      <c r="K58" s="250">
        <v>200653</v>
      </c>
      <c r="L58" s="250">
        <v>0</v>
      </c>
      <c r="M58" s="251" t="s">
        <v>25</v>
      </c>
      <c r="N58" s="252">
        <v>0</v>
      </c>
      <c r="O58" s="185" t="s">
        <v>51</v>
      </c>
    </row>
    <row r="59" spans="1:15" x14ac:dyDescent="0.25">
      <c r="A59" s="234" t="s">
        <v>532</v>
      </c>
      <c r="B59" s="234" t="s">
        <v>25</v>
      </c>
      <c r="C59" s="245">
        <v>46143</v>
      </c>
      <c r="D59" s="234">
        <v>0</v>
      </c>
      <c r="E59" s="246">
        <v>173128</v>
      </c>
      <c r="F59" s="247" t="s">
        <v>7327</v>
      </c>
      <c r="G59" s="34" t="s">
        <v>7</v>
      </c>
      <c r="H59" s="234" t="s">
        <v>531</v>
      </c>
      <c r="I59" s="248" t="s">
        <v>7</v>
      </c>
      <c r="J59" s="249" t="s">
        <v>492</v>
      </c>
      <c r="K59" s="250">
        <v>0</v>
      </c>
      <c r="L59" s="250">
        <v>0</v>
      </c>
      <c r="M59" s="251" t="s">
        <v>25</v>
      </c>
      <c r="N59" s="252">
        <v>0</v>
      </c>
      <c r="O59" s="185" t="s">
        <v>51</v>
      </c>
    </row>
    <row r="60" spans="1:15" x14ac:dyDescent="0.25">
      <c r="A60" s="234" t="s">
        <v>7328</v>
      </c>
      <c r="B60" s="234" t="s">
        <v>15</v>
      </c>
      <c r="C60" s="245">
        <v>46143</v>
      </c>
      <c r="D60" s="234">
        <v>0</v>
      </c>
      <c r="E60" s="246">
        <v>163277.97</v>
      </c>
      <c r="F60" s="247" t="s">
        <v>7329</v>
      </c>
      <c r="G60" s="34" t="s">
        <v>7</v>
      </c>
      <c r="H60" s="234" t="s">
        <v>7330</v>
      </c>
      <c r="I60" s="248" t="s">
        <v>7</v>
      </c>
      <c r="J60" s="249" t="s">
        <v>492</v>
      </c>
      <c r="K60" s="250">
        <v>0</v>
      </c>
      <c r="L60" s="250">
        <v>0</v>
      </c>
      <c r="M60" s="251" t="s">
        <v>15</v>
      </c>
      <c r="N60" s="252">
        <v>0</v>
      </c>
      <c r="O60" s="185" t="s">
        <v>51</v>
      </c>
    </row>
    <row r="61" spans="1:15" x14ac:dyDescent="0.25">
      <c r="A61" s="234" t="s">
        <v>1157</v>
      </c>
      <c r="B61" s="234" t="s">
        <v>15</v>
      </c>
      <c r="C61" s="245">
        <v>46143</v>
      </c>
      <c r="D61" s="234">
        <v>0</v>
      </c>
      <c r="E61" s="246">
        <v>127498.21</v>
      </c>
      <c r="F61" s="247" t="s">
        <v>7331</v>
      </c>
      <c r="G61" s="34" t="s">
        <v>7</v>
      </c>
      <c r="H61" s="234" t="s">
        <v>1158</v>
      </c>
      <c r="I61" s="248" t="s">
        <v>7</v>
      </c>
      <c r="J61" s="249" t="s">
        <v>492</v>
      </c>
      <c r="K61" s="250">
        <v>0</v>
      </c>
      <c r="L61" s="250">
        <v>0</v>
      </c>
      <c r="M61" s="251" t="s">
        <v>15</v>
      </c>
      <c r="N61" s="252">
        <v>0</v>
      </c>
      <c r="O61" s="185" t="s">
        <v>51</v>
      </c>
    </row>
    <row r="62" spans="1:15" x14ac:dyDescent="0.25">
      <c r="A62" s="234" t="s">
        <v>1160</v>
      </c>
      <c r="B62" s="234" t="s">
        <v>15</v>
      </c>
      <c r="C62" s="245">
        <v>46143</v>
      </c>
      <c r="D62" s="234">
        <v>0</v>
      </c>
      <c r="E62" s="246">
        <v>127498.22</v>
      </c>
      <c r="F62" s="247" t="s">
        <v>7332</v>
      </c>
      <c r="G62" s="34" t="s">
        <v>7</v>
      </c>
      <c r="H62" s="234" t="s">
        <v>1161</v>
      </c>
      <c r="I62" s="248" t="s">
        <v>7</v>
      </c>
      <c r="J62" s="249" t="s">
        <v>492</v>
      </c>
      <c r="K62" s="250">
        <v>0</v>
      </c>
      <c r="L62" s="250">
        <v>0</v>
      </c>
      <c r="M62" s="251" t="s">
        <v>15</v>
      </c>
      <c r="N62" s="252">
        <v>0</v>
      </c>
      <c r="O62" s="185" t="s">
        <v>51</v>
      </c>
    </row>
    <row r="63" spans="1:15" x14ac:dyDescent="0.25">
      <c r="A63" s="234" t="s">
        <v>1015</v>
      </c>
      <c r="B63" s="234" t="s">
        <v>15</v>
      </c>
      <c r="C63" s="245">
        <v>46143</v>
      </c>
      <c r="D63" s="234">
        <v>0</v>
      </c>
      <c r="E63" s="246">
        <v>13500</v>
      </c>
      <c r="F63" s="247" t="s">
        <v>7333</v>
      </c>
      <c r="G63" s="34" t="s">
        <v>7</v>
      </c>
      <c r="H63" s="234" t="s">
        <v>1016</v>
      </c>
      <c r="I63" s="248" t="s">
        <v>7</v>
      </c>
      <c r="J63" s="249" t="s">
        <v>492</v>
      </c>
      <c r="K63" s="250">
        <v>0</v>
      </c>
      <c r="L63" s="250">
        <v>0</v>
      </c>
      <c r="M63" s="251" t="s">
        <v>15</v>
      </c>
      <c r="N63" s="252">
        <v>0</v>
      </c>
      <c r="O63" s="185" t="s">
        <v>51</v>
      </c>
    </row>
    <row r="64" spans="1:15" x14ac:dyDescent="0.25">
      <c r="A64" s="234" t="s">
        <v>7334</v>
      </c>
      <c r="B64" s="234" t="s">
        <v>15</v>
      </c>
      <c r="C64" s="245">
        <v>46143</v>
      </c>
      <c r="D64" s="234">
        <v>0</v>
      </c>
      <c r="E64" s="246">
        <v>252507.06</v>
      </c>
      <c r="F64" s="247" t="s">
        <v>7335</v>
      </c>
      <c r="G64" s="34" t="s">
        <v>7</v>
      </c>
      <c r="H64" s="234" t="s">
        <v>7336</v>
      </c>
      <c r="I64" s="248" t="s">
        <v>7</v>
      </c>
      <c r="J64" s="249" t="s">
        <v>492</v>
      </c>
      <c r="K64" s="250">
        <v>0</v>
      </c>
      <c r="L64" s="250">
        <v>0</v>
      </c>
      <c r="M64" s="251" t="s">
        <v>15</v>
      </c>
      <c r="N64" s="252">
        <v>0</v>
      </c>
      <c r="O64" s="185" t="s">
        <v>51</v>
      </c>
    </row>
    <row r="65" spans="1:15" x14ac:dyDescent="0.25">
      <c r="A65" s="234" t="s">
        <v>7337</v>
      </c>
      <c r="B65" s="234" t="s">
        <v>15</v>
      </c>
      <c r="C65" s="245">
        <v>46143</v>
      </c>
      <c r="D65" s="234">
        <v>0</v>
      </c>
      <c r="E65" s="246">
        <v>252507</v>
      </c>
      <c r="F65" s="247" t="s">
        <v>7338</v>
      </c>
      <c r="G65" s="34" t="s">
        <v>7</v>
      </c>
      <c r="H65" s="234" t="s">
        <v>7339</v>
      </c>
      <c r="I65" s="248" t="s">
        <v>7</v>
      </c>
      <c r="J65" s="249" t="s">
        <v>492</v>
      </c>
      <c r="K65" s="250">
        <v>0</v>
      </c>
      <c r="L65" s="250">
        <v>0</v>
      </c>
      <c r="M65" s="251" t="s">
        <v>15</v>
      </c>
      <c r="N65" s="252">
        <v>0</v>
      </c>
      <c r="O65" s="185" t="s">
        <v>51</v>
      </c>
    </row>
    <row r="66" spans="1:15" x14ac:dyDescent="0.25">
      <c r="A66" s="234" t="s">
        <v>7340</v>
      </c>
      <c r="B66" s="234" t="s">
        <v>15</v>
      </c>
      <c r="C66" s="245">
        <v>46143</v>
      </c>
      <c r="D66" s="234">
        <v>0</v>
      </c>
      <c r="E66" s="246">
        <v>253568</v>
      </c>
      <c r="F66" s="247" t="s">
        <v>7341</v>
      </c>
      <c r="G66" s="34" t="s">
        <v>7</v>
      </c>
      <c r="H66" s="234" t="s">
        <v>7342</v>
      </c>
      <c r="I66" s="248" t="s">
        <v>7</v>
      </c>
      <c r="J66" s="249" t="s">
        <v>492</v>
      </c>
      <c r="K66" s="250">
        <v>0</v>
      </c>
      <c r="L66" s="250">
        <v>0</v>
      </c>
      <c r="M66" s="251" t="s">
        <v>15</v>
      </c>
      <c r="N66" s="252">
        <v>0</v>
      </c>
      <c r="O66" s="185" t="s">
        <v>51</v>
      </c>
    </row>
    <row r="67" spans="1:15" x14ac:dyDescent="0.25">
      <c r="A67" s="234" t="s">
        <v>7343</v>
      </c>
      <c r="B67" s="234" t="s">
        <v>15</v>
      </c>
      <c r="C67" s="245">
        <v>46143</v>
      </c>
      <c r="D67" s="234">
        <v>0</v>
      </c>
      <c r="E67" s="246">
        <v>241030</v>
      </c>
      <c r="F67" s="247" t="s">
        <v>7344</v>
      </c>
      <c r="G67" s="34" t="s">
        <v>7</v>
      </c>
      <c r="H67" s="234" t="s">
        <v>7345</v>
      </c>
      <c r="I67" s="248" t="s">
        <v>7</v>
      </c>
      <c r="J67" s="249" t="s">
        <v>492</v>
      </c>
      <c r="K67" s="250">
        <v>0</v>
      </c>
      <c r="L67" s="250">
        <v>0</v>
      </c>
      <c r="M67" s="251" t="s">
        <v>15</v>
      </c>
      <c r="N67" s="252">
        <v>0</v>
      </c>
      <c r="O67" s="185" t="s">
        <v>51</v>
      </c>
    </row>
    <row r="68" spans="1:15" x14ac:dyDescent="0.25">
      <c r="A68" s="234" t="s">
        <v>1268</v>
      </c>
      <c r="B68" s="234" t="s">
        <v>15</v>
      </c>
      <c r="C68" s="245">
        <v>46143</v>
      </c>
      <c r="D68" s="234">
        <v>0</v>
      </c>
      <c r="E68" s="246">
        <v>30000</v>
      </c>
      <c r="F68" s="247" t="s">
        <v>7346</v>
      </c>
      <c r="G68" s="34" t="s">
        <v>7</v>
      </c>
      <c r="H68" s="234" t="s">
        <v>1269</v>
      </c>
      <c r="I68" s="248" t="s">
        <v>7</v>
      </c>
      <c r="J68" s="249" t="s">
        <v>492</v>
      </c>
      <c r="K68" s="250">
        <v>0</v>
      </c>
      <c r="L68" s="250">
        <v>0</v>
      </c>
      <c r="M68" s="251" t="s">
        <v>15</v>
      </c>
      <c r="N68" s="252">
        <v>0</v>
      </c>
      <c r="O68" s="185" t="s">
        <v>51</v>
      </c>
    </row>
    <row r="69" spans="1:15" x14ac:dyDescent="0.25">
      <c r="A69" s="234" t="s">
        <v>1268</v>
      </c>
      <c r="B69" s="234" t="s">
        <v>15</v>
      </c>
      <c r="C69" s="245">
        <v>46143</v>
      </c>
      <c r="D69" s="234">
        <v>0</v>
      </c>
      <c r="E69" s="246">
        <v>30000</v>
      </c>
      <c r="F69" s="247" t="s">
        <v>7347</v>
      </c>
      <c r="G69" s="34" t="s">
        <v>7</v>
      </c>
      <c r="H69" s="234" t="s">
        <v>1269</v>
      </c>
      <c r="I69" s="248" t="s">
        <v>7</v>
      </c>
      <c r="J69" s="249" t="s">
        <v>492</v>
      </c>
      <c r="K69" s="250">
        <v>0</v>
      </c>
      <c r="L69" s="250">
        <v>0</v>
      </c>
      <c r="M69" s="251" t="s">
        <v>15</v>
      </c>
      <c r="N69" s="252">
        <v>0</v>
      </c>
      <c r="O69" s="185" t="s">
        <v>51</v>
      </c>
    </row>
    <row r="70" spans="1:15" x14ac:dyDescent="0.25">
      <c r="A70" s="234" t="s">
        <v>7348</v>
      </c>
      <c r="B70" s="234" t="s">
        <v>15</v>
      </c>
      <c r="C70" s="245">
        <v>46143</v>
      </c>
      <c r="D70" s="234">
        <v>0</v>
      </c>
      <c r="E70" s="246">
        <v>202027</v>
      </c>
      <c r="F70" s="247" t="s">
        <v>7349</v>
      </c>
      <c r="G70" s="34" t="s">
        <v>7</v>
      </c>
      <c r="H70" s="234" t="s">
        <v>7350</v>
      </c>
      <c r="I70" s="248" t="s">
        <v>7</v>
      </c>
      <c r="J70" s="249" t="s">
        <v>492</v>
      </c>
      <c r="K70" s="250">
        <v>0</v>
      </c>
      <c r="L70" s="250">
        <v>0</v>
      </c>
      <c r="M70" s="251" t="s">
        <v>15</v>
      </c>
      <c r="N70" s="252">
        <v>0</v>
      </c>
      <c r="O70" s="185" t="s">
        <v>51</v>
      </c>
    </row>
    <row r="71" spans="1:15" x14ac:dyDescent="0.25">
      <c r="A71" s="234" t="s">
        <v>1015</v>
      </c>
      <c r="B71" s="234" t="s">
        <v>15</v>
      </c>
      <c r="C71" s="245">
        <v>46143</v>
      </c>
      <c r="D71" s="234">
        <v>0</v>
      </c>
      <c r="E71" s="246">
        <v>20000</v>
      </c>
      <c r="F71" s="247" t="s">
        <v>7351</v>
      </c>
      <c r="G71" s="34" t="s">
        <v>7</v>
      </c>
      <c r="H71" s="234" t="s">
        <v>1016</v>
      </c>
      <c r="I71" s="248" t="s">
        <v>7</v>
      </c>
      <c r="J71" s="249" t="s">
        <v>492</v>
      </c>
      <c r="K71" s="250">
        <v>0</v>
      </c>
      <c r="L71" s="250">
        <v>0</v>
      </c>
      <c r="M71" s="251" t="s">
        <v>15</v>
      </c>
      <c r="N71" s="252">
        <v>0</v>
      </c>
      <c r="O71" s="185" t="s">
        <v>51</v>
      </c>
    </row>
    <row r="72" spans="1:15" x14ac:dyDescent="0.25">
      <c r="A72" s="234" t="s">
        <v>7352</v>
      </c>
      <c r="B72" s="234" t="s">
        <v>15</v>
      </c>
      <c r="C72" s="245">
        <v>46143</v>
      </c>
      <c r="D72" s="234">
        <v>0</v>
      </c>
      <c r="E72" s="246">
        <v>194490</v>
      </c>
      <c r="F72" s="247" t="s">
        <v>7353</v>
      </c>
      <c r="G72" s="34" t="s">
        <v>7</v>
      </c>
      <c r="H72" s="234" t="s">
        <v>7354</v>
      </c>
      <c r="I72" s="248" t="s">
        <v>7</v>
      </c>
      <c r="J72" s="249" t="s">
        <v>492</v>
      </c>
      <c r="K72" s="250">
        <v>0</v>
      </c>
      <c r="L72" s="250">
        <v>0</v>
      </c>
      <c r="M72" s="251" t="s">
        <v>15</v>
      </c>
      <c r="N72" s="252">
        <v>0</v>
      </c>
      <c r="O72" s="185" t="s">
        <v>51</v>
      </c>
    </row>
    <row r="73" spans="1:15" x14ac:dyDescent="0.25">
      <c r="A73" s="234" t="s">
        <v>1219</v>
      </c>
      <c r="B73" s="234" t="s">
        <v>15</v>
      </c>
      <c r="C73" s="245">
        <v>46143</v>
      </c>
      <c r="D73" s="234">
        <v>0</v>
      </c>
      <c r="E73" s="246">
        <v>115541.93</v>
      </c>
      <c r="F73" s="247" t="s">
        <v>7355</v>
      </c>
      <c r="G73" s="34" t="s">
        <v>7</v>
      </c>
      <c r="H73" s="234" t="s">
        <v>1220</v>
      </c>
      <c r="I73" s="248" t="s">
        <v>7</v>
      </c>
      <c r="J73" s="249" t="s">
        <v>492</v>
      </c>
      <c r="K73" s="250">
        <v>0</v>
      </c>
      <c r="L73" s="250">
        <v>0</v>
      </c>
      <c r="M73" s="251" t="s">
        <v>15</v>
      </c>
      <c r="N73" s="252">
        <v>0</v>
      </c>
      <c r="O73" s="185" t="s">
        <v>51</v>
      </c>
    </row>
    <row r="74" spans="1:15" x14ac:dyDescent="0.25">
      <c r="A74" s="234" t="s">
        <v>1215</v>
      </c>
      <c r="B74" s="234" t="s">
        <v>15</v>
      </c>
      <c r="C74" s="245">
        <v>46143</v>
      </c>
      <c r="D74" s="234">
        <v>0</v>
      </c>
      <c r="E74" s="246">
        <v>12583</v>
      </c>
      <c r="F74" s="247" t="s">
        <v>7356</v>
      </c>
      <c r="G74" s="34" t="s">
        <v>7</v>
      </c>
      <c r="H74" s="234" t="s">
        <v>1216</v>
      </c>
      <c r="I74" s="248" t="s">
        <v>7</v>
      </c>
      <c r="J74" s="249" t="s">
        <v>492</v>
      </c>
      <c r="K74" s="250">
        <v>0</v>
      </c>
      <c r="L74" s="250">
        <v>0</v>
      </c>
      <c r="M74" s="251" t="s">
        <v>15</v>
      </c>
      <c r="N74" s="252">
        <v>0</v>
      </c>
      <c r="O74" s="185" t="s">
        <v>51</v>
      </c>
    </row>
    <row r="75" spans="1:15" x14ac:dyDescent="0.25">
      <c r="A75" s="234" t="s">
        <v>1137</v>
      </c>
      <c r="B75" s="234" t="s">
        <v>15</v>
      </c>
      <c r="C75" s="245">
        <v>46143</v>
      </c>
      <c r="D75" s="234">
        <v>0</v>
      </c>
      <c r="E75" s="246">
        <v>253568</v>
      </c>
      <c r="F75" s="247" t="s">
        <v>7357</v>
      </c>
      <c r="G75" s="34" t="s">
        <v>7</v>
      </c>
      <c r="H75" s="234" t="s">
        <v>1138</v>
      </c>
      <c r="I75" s="248" t="s">
        <v>7</v>
      </c>
      <c r="J75" s="249" t="s">
        <v>492</v>
      </c>
      <c r="K75" s="250">
        <v>0</v>
      </c>
      <c r="L75" s="250">
        <v>0</v>
      </c>
      <c r="M75" s="251" t="s">
        <v>15</v>
      </c>
      <c r="N75" s="252">
        <v>0</v>
      </c>
      <c r="O75" s="185" t="s">
        <v>51</v>
      </c>
    </row>
    <row r="76" spans="1:15" x14ac:dyDescent="0.25">
      <c r="A76" s="234" t="s">
        <v>1055</v>
      </c>
      <c r="B76" s="234" t="s">
        <v>15</v>
      </c>
      <c r="C76" s="245">
        <v>46143</v>
      </c>
      <c r="D76" s="234">
        <v>0</v>
      </c>
      <c r="E76" s="246">
        <v>197545.91</v>
      </c>
      <c r="F76" s="247" t="s">
        <v>7358</v>
      </c>
      <c r="G76" s="34" t="s">
        <v>7</v>
      </c>
      <c r="H76" s="234" t="s">
        <v>1056</v>
      </c>
      <c r="I76" s="248" t="s">
        <v>7</v>
      </c>
      <c r="J76" s="249" t="s">
        <v>492</v>
      </c>
      <c r="K76" s="250">
        <v>0</v>
      </c>
      <c r="L76" s="250">
        <v>0</v>
      </c>
      <c r="M76" s="251" t="s">
        <v>15</v>
      </c>
      <c r="N76" s="252">
        <v>0</v>
      </c>
      <c r="O76" s="185" t="s">
        <v>51</v>
      </c>
    </row>
    <row r="77" spans="1:15" x14ac:dyDescent="0.25">
      <c r="A77" s="234" t="s">
        <v>5133</v>
      </c>
      <c r="B77" s="234" t="s">
        <v>16</v>
      </c>
      <c r="C77" s="245">
        <v>46143</v>
      </c>
      <c r="D77" s="234">
        <v>0</v>
      </c>
      <c r="E77" s="246">
        <v>259399</v>
      </c>
      <c r="F77" s="247">
        <v>0</v>
      </c>
      <c r="G77" s="34" t="s">
        <v>7</v>
      </c>
      <c r="H77" s="234" t="s">
        <v>5134</v>
      </c>
      <c r="I77" s="248" t="s">
        <v>7</v>
      </c>
      <c r="J77" s="249" t="s">
        <v>492</v>
      </c>
      <c r="K77" s="250">
        <v>0</v>
      </c>
      <c r="L77" s="250">
        <v>0</v>
      </c>
      <c r="M77" s="251" t="s">
        <v>16</v>
      </c>
      <c r="N77" s="252">
        <v>0</v>
      </c>
      <c r="O77" s="185" t="s">
        <v>51</v>
      </c>
    </row>
    <row r="78" spans="1:15" x14ac:dyDescent="0.25">
      <c r="A78" s="234" t="s">
        <v>4999</v>
      </c>
      <c r="B78" s="234" t="s">
        <v>16</v>
      </c>
      <c r="C78" s="245">
        <v>46143</v>
      </c>
      <c r="D78" s="234" t="s">
        <v>7359</v>
      </c>
      <c r="E78" s="246">
        <v>168502</v>
      </c>
      <c r="F78" s="247" t="s">
        <v>4998</v>
      </c>
      <c r="G78" s="34" t="s">
        <v>7</v>
      </c>
      <c r="H78" s="234" t="s">
        <v>5000</v>
      </c>
      <c r="I78" s="248" t="s">
        <v>7</v>
      </c>
      <c r="J78" s="249" t="s">
        <v>554</v>
      </c>
      <c r="K78" s="250">
        <v>150643</v>
      </c>
      <c r="L78" s="250">
        <v>0</v>
      </c>
      <c r="M78" s="251" t="s">
        <v>16</v>
      </c>
      <c r="N78" s="252">
        <v>0</v>
      </c>
      <c r="O78" s="185" t="s">
        <v>51</v>
      </c>
    </row>
    <row r="79" spans="1:15" x14ac:dyDescent="0.25">
      <c r="A79" s="234" t="s">
        <v>4952</v>
      </c>
      <c r="B79" s="234" t="s">
        <v>16</v>
      </c>
      <c r="C79" s="245">
        <v>46143</v>
      </c>
      <c r="D79" s="234" t="s">
        <v>7360</v>
      </c>
      <c r="E79" s="246">
        <v>156974</v>
      </c>
      <c r="F79" s="247" t="s">
        <v>4951</v>
      </c>
      <c r="G79" s="34" t="s">
        <v>7</v>
      </c>
      <c r="H79" s="234" t="s">
        <v>4953</v>
      </c>
      <c r="I79" s="248" t="s">
        <v>7</v>
      </c>
      <c r="J79" s="249" t="s">
        <v>554</v>
      </c>
      <c r="K79" s="250">
        <v>96973.42</v>
      </c>
      <c r="L79" s="250">
        <v>0</v>
      </c>
      <c r="M79" s="251" t="s">
        <v>16</v>
      </c>
      <c r="N79" s="252">
        <v>0</v>
      </c>
      <c r="O79" s="185" t="s">
        <v>51</v>
      </c>
    </row>
    <row r="80" spans="1:15" x14ac:dyDescent="0.25">
      <c r="A80" s="234" t="s">
        <v>5149</v>
      </c>
      <c r="B80" s="234" t="s">
        <v>16</v>
      </c>
      <c r="C80" s="245">
        <v>46143</v>
      </c>
      <c r="D80" s="234" t="s">
        <v>7360</v>
      </c>
      <c r="E80" s="246">
        <v>340991</v>
      </c>
      <c r="F80" s="247" t="s">
        <v>5152</v>
      </c>
      <c r="G80" s="34" t="s">
        <v>7</v>
      </c>
      <c r="H80" s="234" t="s">
        <v>5150</v>
      </c>
      <c r="I80" s="248" t="s">
        <v>7</v>
      </c>
      <c r="J80" s="249" t="s">
        <v>62</v>
      </c>
      <c r="K80" s="250">
        <v>340991</v>
      </c>
      <c r="L80" s="250">
        <v>0</v>
      </c>
      <c r="M80" s="251" t="s">
        <v>16</v>
      </c>
      <c r="N80" s="252">
        <v>0</v>
      </c>
      <c r="O80" s="185" t="s">
        <v>51</v>
      </c>
    </row>
    <row r="81" spans="1:15" x14ac:dyDescent="0.25">
      <c r="A81" s="234" t="s">
        <v>7361</v>
      </c>
      <c r="B81" s="234" t="s">
        <v>16</v>
      </c>
      <c r="C81" s="245">
        <v>46143</v>
      </c>
      <c r="D81" s="234">
        <v>0</v>
      </c>
      <c r="E81" s="246">
        <v>338967</v>
      </c>
      <c r="F81" s="247">
        <v>0</v>
      </c>
      <c r="G81" s="34" t="s">
        <v>7</v>
      </c>
      <c r="H81" s="234" t="s">
        <v>7362</v>
      </c>
      <c r="I81" s="248" t="s">
        <v>7</v>
      </c>
      <c r="J81" s="249" t="s">
        <v>492</v>
      </c>
      <c r="K81" s="250">
        <v>0</v>
      </c>
      <c r="L81" s="250">
        <v>0</v>
      </c>
      <c r="M81" s="251" t="s">
        <v>16</v>
      </c>
      <c r="N81" s="252">
        <v>0</v>
      </c>
      <c r="O81" s="185" t="s">
        <v>51</v>
      </c>
    </row>
    <row r="82" spans="1:15" x14ac:dyDescent="0.25">
      <c r="A82" s="234" t="s">
        <v>5059</v>
      </c>
      <c r="B82" s="234" t="s">
        <v>16</v>
      </c>
      <c r="C82" s="245">
        <v>46143</v>
      </c>
      <c r="D82" s="234" t="s">
        <v>7287</v>
      </c>
      <c r="E82" s="246">
        <v>207111</v>
      </c>
      <c r="F82" s="247" t="s">
        <v>7363</v>
      </c>
      <c r="G82" s="34" t="s">
        <v>7</v>
      </c>
      <c r="H82" s="234" t="s">
        <v>5061</v>
      </c>
      <c r="I82" s="248" t="s">
        <v>7</v>
      </c>
      <c r="J82" s="249" t="s">
        <v>492</v>
      </c>
      <c r="K82" s="250">
        <v>0</v>
      </c>
      <c r="L82" s="250">
        <v>0</v>
      </c>
      <c r="M82" s="251" t="s">
        <v>16</v>
      </c>
      <c r="N82" s="252">
        <v>0</v>
      </c>
      <c r="O82" s="185" t="s">
        <v>51</v>
      </c>
    </row>
    <row r="83" spans="1:15" x14ac:dyDescent="0.25">
      <c r="A83" s="234" t="s">
        <v>7364</v>
      </c>
      <c r="B83" s="234" t="s">
        <v>27</v>
      </c>
      <c r="C83" s="245">
        <v>46143</v>
      </c>
      <c r="D83" s="234">
        <v>0</v>
      </c>
      <c r="E83" s="246">
        <v>208272</v>
      </c>
      <c r="F83" s="247" t="s">
        <v>7365</v>
      </c>
      <c r="G83" s="34" t="s">
        <v>7</v>
      </c>
      <c r="H83" s="234" t="s">
        <v>7366</v>
      </c>
      <c r="I83" s="248" t="s">
        <v>7367</v>
      </c>
      <c r="J83" s="249" t="s">
        <v>492</v>
      </c>
      <c r="K83" s="250">
        <v>0</v>
      </c>
      <c r="L83" s="250">
        <v>0</v>
      </c>
      <c r="M83" s="251" t="s">
        <v>27</v>
      </c>
      <c r="N83" s="252">
        <v>207041</v>
      </c>
      <c r="O83" s="185" t="s">
        <v>51</v>
      </c>
    </row>
    <row r="84" spans="1:15" x14ac:dyDescent="0.25">
      <c r="A84" s="234" t="s">
        <v>5529</v>
      </c>
      <c r="B84" s="234" t="s">
        <v>27</v>
      </c>
      <c r="C84" s="245">
        <v>46143</v>
      </c>
      <c r="D84" s="234">
        <v>0</v>
      </c>
      <c r="E84" s="246">
        <v>50000</v>
      </c>
      <c r="F84" s="247" t="s">
        <v>5528</v>
      </c>
      <c r="G84" s="34" t="s">
        <v>7</v>
      </c>
      <c r="H84" s="234" t="s">
        <v>5530</v>
      </c>
      <c r="I84" s="248" t="s">
        <v>7</v>
      </c>
      <c r="J84" s="249" t="s">
        <v>582</v>
      </c>
      <c r="K84" s="250">
        <v>50000</v>
      </c>
      <c r="L84" s="250">
        <v>0</v>
      </c>
      <c r="M84" s="251" t="s">
        <v>27</v>
      </c>
      <c r="N84" s="252">
        <v>0</v>
      </c>
      <c r="O84" s="185" t="s">
        <v>51</v>
      </c>
    </row>
    <row r="85" spans="1:15" x14ac:dyDescent="0.25">
      <c r="A85" s="234" t="s">
        <v>4161</v>
      </c>
      <c r="B85" s="234" t="s">
        <v>27</v>
      </c>
      <c r="C85" s="245">
        <v>46143</v>
      </c>
      <c r="D85" s="234">
        <v>0</v>
      </c>
      <c r="E85" s="246">
        <v>110128</v>
      </c>
      <c r="F85" s="247" t="s">
        <v>4160</v>
      </c>
      <c r="G85" s="34" t="s">
        <v>7</v>
      </c>
      <c r="H85" s="234" t="s">
        <v>4162</v>
      </c>
      <c r="I85" s="248" t="s">
        <v>7</v>
      </c>
      <c r="J85" s="249" t="s">
        <v>554</v>
      </c>
      <c r="K85" s="250">
        <v>110128</v>
      </c>
      <c r="L85" s="250">
        <v>0</v>
      </c>
      <c r="M85" s="251" t="s">
        <v>27</v>
      </c>
      <c r="N85" s="252">
        <v>0</v>
      </c>
      <c r="O85" s="185" t="s">
        <v>51</v>
      </c>
    </row>
    <row r="86" spans="1:15" x14ac:dyDescent="0.25">
      <c r="A86" s="234" t="s">
        <v>5525</v>
      </c>
      <c r="B86" s="234" t="s">
        <v>27</v>
      </c>
      <c r="C86" s="245">
        <v>46143</v>
      </c>
      <c r="D86" s="234">
        <v>0</v>
      </c>
      <c r="E86" s="246">
        <v>188435</v>
      </c>
      <c r="F86" s="247">
        <v>0</v>
      </c>
      <c r="G86" s="34" t="s">
        <v>7</v>
      </c>
      <c r="H86" s="234" t="s">
        <v>5527</v>
      </c>
      <c r="I86" s="248" t="s">
        <v>7</v>
      </c>
      <c r="J86" s="249" t="s">
        <v>492</v>
      </c>
      <c r="K86" s="250">
        <v>0</v>
      </c>
      <c r="L86" s="250">
        <v>0</v>
      </c>
      <c r="M86" s="251" t="s">
        <v>27</v>
      </c>
      <c r="N86" s="252">
        <v>0</v>
      </c>
      <c r="O86" s="185" t="s">
        <v>51</v>
      </c>
    </row>
    <row r="87" spans="1:15" x14ac:dyDescent="0.25">
      <c r="A87" s="234" t="s">
        <v>7368</v>
      </c>
      <c r="B87" s="234" t="s">
        <v>27</v>
      </c>
      <c r="C87" s="245">
        <v>46143</v>
      </c>
      <c r="D87" s="234">
        <v>0</v>
      </c>
      <c r="E87" s="246">
        <v>959562</v>
      </c>
      <c r="F87" s="247">
        <v>0</v>
      </c>
      <c r="G87" s="34" t="s">
        <v>7</v>
      </c>
      <c r="H87" s="234" t="s">
        <v>7369</v>
      </c>
      <c r="I87" s="248" t="s">
        <v>7</v>
      </c>
      <c r="J87" s="249" t="s">
        <v>492</v>
      </c>
      <c r="K87" s="250">
        <v>0</v>
      </c>
      <c r="L87" s="250">
        <v>0</v>
      </c>
      <c r="M87" s="251" t="s">
        <v>27</v>
      </c>
      <c r="N87" s="252">
        <v>0</v>
      </c>
      <c r="O87" s="185" t="s">
        <v>51</v>
      </c>
    </row>
    <row r="88" spans="1:15" x14ac:dyDescent="0.25">
      <c r="A88" s="234" t="s">
        <v>7370</v>
      </c>
      <c r="B88" s="234" t="s">
        <v>27</v>
      </c>
      <c r="C88" s="245">
        <v>46143</v>
      </c>
      <c r="D88" s="234">
        <v>0</v>
      </c>
      <c r="E88" s="246">
        <v>46043</v>
      </c>
      <c r="F88" s="247" t="s">
        <v>7371</v>
      </c>
      <c r="G88" s="34" t="s">
        <v>7</v>
      </c>
      <c r="H88" s="234" t="s">
        <v>7372</v>
      </c>
      <c r="I88" s="248" t="s">
        <v>7</v>
      </c>
      <c r="J88" s="249" t="s">
        <v>492</v>
      </c>
      <c r="K88" s="250">
        <v>0</v>
      </c>
      <c r="L88" s="250">
        <v>0</v>
      </c>
      <c r="M88" s="251" t="s">
        <v>27</v>
      </c>
      <c r="N88" s="252">
        <v>0</v>
      </c>
      <c r="O88" s="185" t="s">
        <v>51</v>
      </c>
    </row>
    <row r="89" spans="1:15" x14ac:dyDescent="0.25">
      <c r="A89" s="234" t="s">
        <v>2648</v>
      </c>
      <c r="B89" s="234" t="s">
        <v>33</v>
      </c>
      <c r="C89" s="245">
        <v>46143</v>
      </c>
      <c r="D89" s="234">
        <v>0</v>
      </c>
      <c r="E89" s="246">
        <v>779728</v>
      </c>
      <c r="F89" s="247" t="s">
        <v>2647</v>
      </c>
      <c r="G89" s="34" t="s">
        <v>7</v>
      </c>
      <c r="H89" s="234" t="s">
        <v>2649</v>
      </c>
      <c r="I89" s="248" t="s">
        <v>7</v>
      </c>
      <c r="J89" s="249" t="s">
        <v>554</v>
      </c>
      <c r="K89" s="250">
        <v>779728</v>
      </c>
      <c r="L89" s="250">
        <v>0</v>
      </c>
      <c r="M89" s="251" t="s">
        <v>33</v>
      </c>
      <c r="N89" s="252">
        <v>0</v>
      </c>
      <c r="O89" s="185" t="s">
        <v>51</v>
      </c>
    </row>
    <row r="90" spans="1:15" x14ac:dyDescent="0.25">
      <c r="A90" s="234" t="s">
        <v>4283</v>
      </c>
      <c r="B90" s="234" t="s">
        <v>17</v>
      </c>
      <c r="C90" s="245">
        <v>46143</v>
      </c>
      <c r="D90" s="234">
        <v>0</v>
      </c>
      <c r="E90" s="246">
        <v>110237</v>
      </c>
      <c r="F90" s="247">
        <v>0</v>
      </c>
      <c r="G90" s="34" t="s">
        <v>7</v>
      </c>
      <c r="H90" s="234" t="s">
        <v>4284</v>
      </c>
      <c r="I90" s="248" t="s">
        <v>7</v>
      </c>
      <c r="J90" s="249" t="s">
        <v>492</v>
      </c>
      <c r="K90" s="250">
        <v>0</v>
      </c>
      <c r="L90" s="250">
        <v>0</v>
      </c>
      <c r="M90" s="251" t="s">
        <v>17</v>
      </c>
      <c r="N90" s="252">
        <v>0</v>
      </c>
      <c r="O90" s="185" t="s">
        <v>51</v>
      </c>
    </row>
    <row r="91" spans="1:15" x14ac:dyDescent="0.25">
      <c r="A91" s="234" t="s">
        <v>4259</v>
      </c>
      <c r="B91" s="234" t="s">
        <v>17</v>
      </c>
      <c r="C91" s="245">
        <v>46143</v>
      </c>
      <c r="D91" s="234">
        <v>0</v>
      </c>
      <c r="E91" s="246">
        <v>57166</v>
      </c>
      <c r="F91" s="247">
        <v>0</v>
      </c>
      <c r="G91" s="34" t="s">
        <v>7</v>
      </c>
      <c r="H91" s="234" t="s">
        <v>4260</v>
      </c>
      <c r="I91" s="248" t="s">
        <v>7</v>
      </c>
      <c r="J91" s="249" t="s">
        <v>492</v>
      </c>
      <c r="K91" s="250">
        <v>0</v>
      </c>
      <c r="L91" s="250">
        <v>0</v>
      </c>
      <c r="M91" s="251" t="s">
        <v>17</v>
      </c>
      <c r="N91" s="252">
        <v>0</v>
      </c>
      <c r="O91" s="185" t="s">
        <v>51</v>
      </c>
    </row>
    <row r="92" spans="1:15" x14ac:dyDescent="0.25">
      <c r="A92" s="234" t="s">
        <v>4263</v>
      </c>
      <c r="B92" s="234" t="s">
        <v>17</v>
      </c>
      <c r="C92" s="245">
        <v>46143</v>
      </c>
      <c r="D92" s="234">
        <v>0</v>
      </c>
      <c r="E92" s="246">
        <v>108546</v>
      </c>
      <c r="F92" s="247">
        <v>0</v>
      </c>
      <c r="G92" s="34" t="s">
        <v>7</v>
      </c>
      <c r="H92" s="234" t="s">
        <v>4264</v>
      </c>
      <c r="I92" s="248" t="s">
        <v>7</v>
      </c>
      <c r="J92" s="249" t="s">
        <v>492</v>
      </c>
      <c r="K92" s="250">
        <v>0</v>
      </c>
      <c r="L92" s="250">
        <v>0</v>
      </c>
      <c r="M92" s="251" t="s">
        <v>17</v>
      </c>
      <c r="N92" s="252">
        <v>0</v>
      </c>
      <c r="O92" s="185" t="s">
        <v>51</v>
      </c>
    </row>
    <row r="93" spans="1:15" x14ac:dyDescent="0.25">
      <c r="A93" s="234" t="s">
        <v>7373</v>
      </c>
      <c r="B93" s="234" t="s">
        <v>17</v>
      </c>
      <c r="C93" s="245">
        <v>46143</v>
      </c>
      <c r="D93" s="234">
        <v>0</v>
      </c>
      <c r="E93" s="246">
        <v>68942</v>
      </c>
      <c r="F93" s="247">
        <v>0</v>
      </c>
      <c r="G93" s="34" t="s">
        <v>7</v>
      </c>
      <c r="H93" s="234" t="s">
        <v>7374</v>
      </c>
      <c r="I93" s="248" t="s">
        <v>7</v>
      </c>
      <c r="J93" s="249" t="s">
        <v>492</v>
      </c>
      <c r="K93" s="250">
        <v>0</v>
      </c>
      <c r="L93" s="250">
        <v>0</v>
      </c>
      <c r="M93" s="251" t="s">
        <v>17</v>
      </c>
      <c r="N93" s="252">
        <v>0</v>
      </c>
      <c r="O93" s="185" t="s">
        <v>51</v>
      </c>
    </row>
    <row r="94" spans="1:15" x14ac:dyDescent="0.25">
      <c r="A94" s="234" t="s">
        <v>7375</v>
      </c>
      <c r="B94" s="234" t="s">
        <v>17</v>
      </c>
      <c r="C94" s="245">
        <v>46143</v>
      </c>
      <c r="D94" s="234">
        <v>0</v>
      </c>
      <c r="E94" s="246">
        <v>69926</v>
      </c>
      <c r="F94" s="247">
        <v>0</v>
      </c>
      <c r="G94" s="34" t="s">
        <v>7</v>
      </c>
      <c r="H94" s="234" t="s">
        <v>7376</v>
      </c>
      <c r="I94" s="248" t="s">
        <v>7</v>
      </c>
      <c r="J94" s="249" t="s">
        <v>492</v>
      </c>
      <c r="K94" s="250">
        <v>0</v>
      </c>
      <c r="L94" s="250">
        <v>0</v>
      </c>
      <c r="M94" s="251" t="s">
        <v>17</v>
      </c>
      <c r="N94" s="252">
        <v>0</v>
      </c>
      <c r="O94" s="185" t="s">
        <v>51</v>
      </c>
    </row>
    <row r="95" spans="1:15" x14ac:dyDescent="0.25">
      <c r="A95" s="234" t="s">
        <v>7377</v>
      </c>
      <c r="B95" s="234" t="s">
        <v>17</v>
      </c>
      <c r="C95" s="245">
        <v>46143</v>
      </c>
      <c r="D95" s="234">
        <v>0</v>
      </c>
      <c r="E95" s="246">
        <v>393254</v>
      </c>
      <c r="F95" s="247">
        <v>0</v>
      </c>
      <c r="G95" s="34" t="s">
        <v>7</v>
      </c>
      <c r="H95" s="234" t="s">
        <v>7378</v>
      </c>
      <c r="I95" s="248" t="s">
        <v>7</v>
      </c>
      <c r="J95" s="249" t="s">
        <v>492</v>
      </c>
      <c r="K95" s="250">
        <v>0</v>
      </c>
      <c r="L95" s="250">
        <v>0</v>
      </c>
      <c r="M95" s="251" t="s">
        <v>17</v>
      </c>
      <c r="N95" s="252">
        <v>0</v>
      </c>
      <c r="O95" s="185" t="s">
        <v>51</v>
      </c>
    </row>
    <row r="96" spans="1:15" x14ac:dyDescent="0.25">
      <c r="A96" s="234" t="s">
        <v>7379</v>
      </c>
      <c r="B96" s="234" t="s">
        <v>17</v>
      </c>
      <c r="C96" s="245">
        <v>46143</v>
      </c>
      <c r="D96" s="234">
        <v>0</v>
      </c>
      <c r="E96" s="246">
        <v>617959</v>
      </c>
      <c r="F96" s="247">
        <v>0</v>
      </c>
      <c r="G96" s="34" t="s">
        <v>7</v>
      </c>
      <c r="H96" s="234" t="s">
        <v>7380</v>
      </c>
      <c r="I96" s="248" t="s">
        <v>7</v>
      </c>
      <c r="J96" s="249" t="s">
        <v>492</v>
      </c>
      <c r="K96" s="250">
        <v>0</v>
      </c>
      <c r="L96" s="250">
        <v>0</v>
      </c>
      <c r="M96" s="251" t="s">
        <v>17</v>
      </c>
      <c r="N96" s="252">
        <v>0</v>
      </c>
      <c r="O96" s="185" t="s">
        <v>51</v>
      </c>
    </row>
    <row r="97" spans="1:15" x14ac:dyDescent="0.25">
      <c r="A97" s="234" t="s">
        <v>2780</v>
      </c>
      <c r="B97" s="234" t="s">
        <v>26</v>
      </c>
      <c r="C97" s="245">
        <v>46143</v>
      </c>
      <c r="D97" s="234">
        <v>0</v>
      </c>
      <c r="E97" s="246">
        <v>2102595</v>
      </c>
      <c r="F97" s="247" t="s">
        <v>2779</v>
      </c>
      <c r="G97" s="34" t="s">
        <v>7</v>
      </c>
      <c r="H97" s="234" t="s">
        <v>2781</v>
      </c>
      <c r="I97" s="248" t="s">
        <v>7</v>
      </c>
      <c r="J97" s="249" t="s">
        <v>582</v>
      </c>
      <c r="K97" s="250">
        <v>2102595</v>
      </c>
      <c r="L97" s="250">
        <v>0</v>
      </c>
      <c r="M97" s="251" t="s">
        <v>26</v>
      </c>
      <c r="N97" s="252">
        <v>0</v>
      </c>
      <c r="O97" s="185" t="s">
        <v>51</v>
      </c>
    </row>
    <row r="98" spans="1:15" x14ac:dyDescent="0.25">
      <c r="A98" s="234" t="s">
        <v>7381</v>
      </c>
      <c r="B98" s="234" t="s">
        <v>9</v>
      </c>
      <c r="C98" s="245">
        <v>46143</v>
      </c>
      <c r="D98" s="234" t="s">
        <v>7287</v>
      </c>
      <c r="E98" s="246">
        <v>23183</v>
      </c>
      <c r="F98" s="247" t="s">
        <v>7382</v>
      </c>
      <c r="G98" s="34" t="s">
        <v>7</v>
      </c>
      <c r="H98" s="234" t="s">
        <v>7383</v>
      </c>
      <c r="I98" s="248" t="s">
        <v>7</v>
      </c>
      <c r="J98" s="249" t="s">
        <v>492</v>
      </c>
      <c r="K98" s="250">
        <v>0</v>
      </c>
      <c r="L98" s="250">
        <v>0</v>
      </c>
      <c r="M98" s="251" t="s">
        <v>9</v>
      </c>
      <c r="N98" s="252">
        <v>0</v>
      </c>
      <c r="O98" s="185" t="s">
        <v>74</v>
      </c>
    </row>
    <row r="99" spans="1:15" x14ac:dyDescent="0.25">
      <c r="A99" s="234" t="s">
        <v>7384</v>
      </c>
      <c r="B99" s="234" t="s">
        <v>9</v>
      </c>
      <c r="C99" s="245">
        <v>46143</v>
      </c>
      <c r="D99" s="234" t="s">
        <v>7385</v>
      </c>
      <c r="E99" s="246">
        <v>71356</v>
      </c>
      <c r="F99" s="247" t="s">
        <v>7386</v>
      </c>
      <c r="G99" s="34" t="s">
        <v>7</v>
      </c>
      <c r="H99" s="234" t="s">
        <v>7387</v>
      </c>
      <c r="I99" s="248" t="s">
        <v>7</v>
      </c>
      <c r="J99" s="249" t="s">
        <v>492</v>
      </c>
      <c r="K99" s="250">
        <v>0</v>
      </c>
      <c r="L99" s="250">
        <v>0</v>
      </c>
      <c r="M99" s="251" t="s">
        <v>9</v>
      </c>
      <c r="N99" s="252">
        <v>0</v>
      </c>
      <c r="O99" s="185" t="s">
        <v>74</v>
      </c>
    </row>
    <row r="100" spans="1:15" x14ac:dyDescent="0.25">
      <c r="A100" s="234" t="s">
        <v>7388</v>
      </c>
      <c r="B100" s="234" t="s">
        <v>9</v>
      </c>
      <c r="C100" s="245">
        <v>46143</v>
      </c>
      <c r="D100" s="234" t="s">
        <v>7385</v>
      </c>
      <c r="E100" s="246">
        <v>130697.48</v>
      </c>
      <c r="F100" s="247" t="s">
        <v>7389</v>
      </c>
      <c r="G100" s="34" t="s">
        <v>7</v>
      </c>
      <c r="H100" s="234" t="s">
        <v>7390</v>
      </c>
      <c r="I100" s="248" t="s">
        <v>7</v>
      </c>
      <c r="J100" s="249" t="s">
        <v>492</v>
      </c>
      <c r="K100" s="250">
        <v>0</v>
      </c>
      <c r="L100" s="250">
        <v>0</v>
      </c>
      <c r="M100" s="251" t="s">
        <v>9</v>
      </c>
      <c r="N100" s="252">
        <v>0</v>
      </c>
      <c r="O100" s="185" t="s">
        <v>74</v>
      </c>
    </row>
    <row r="101" spans="1:15" x14ac:dyDescent="0.25">
      <c r="A101" s="234" t="s">
        <v>7391</v>
      </c>
      <c r="B101" s="234" t="s">
        <v>9</v>
      </c>
      <c r="C101" s="245">
        <v>46143</v>
      </c>
      <c r="D101" s="234" t="s">
        <v>7289</v>
      </c>
      <c r="E101" s="246">
        <v>149821.19</v>
      </c>
      <c r="F101" s="247" t="s">
        <v>7392</v>
      </c>
      <c r="G101" s="34" t="s">
        <v>7</v>
      </c>
      <c r="H101" s="234" t="s">
        <v>7393</v>
      </c>
      <c r="I101" s="248" t="s">
        <v>7</v>
      </c>
      <c r="J101" s="249" t="s">
        <v>492</v>
      </c>
      <c r="K101" s="250">
        <v>0</v>
      </c>
      <c r="L101" s="250">
        <v>0</v>
      </c>
      <c r="M101" s="251" t="s">
        <v>9</v>
      </c>
      <c r="N101" s="252">
        <v>0</v>
      </c>
      <c r="O101" s="185" t="s">
        <v>74</v>
      </c>
    </row>
    <row r="102" spans="1:15" x14ac:dyDescent="0.25">
      <c r="A102" s="234" t="s">
        <v>5220</v>
      </c>
      <c r="B102" s="234" t="s">
        <v>9</v>
      </c>
      <c r="C102" s="245">
        <v>46143</v>
      </c>
      <c r="D102" s="234" t="s">
        <v>7385</v>
      </c>
      <c r="E102" s="246">
        <v>10000</v>
      </c>
      <c r="F102" s="247" t="s">
        <v>5219</v>
      </c>
      <c r="G102" s="34" t="s">
        <v>7</v>
      </c>
      <c r="H102" s="234" t="s">
        <v>5222</v>
      </c>
      <c r="I102" s="248" t="s">
        <v>7</v>
      </c>
      <c r="J102" s="249" t="s">
        <v>554</v>
      </c>
      <c r="K102" s="250">
        <v>10000</v>
      </c>
      <c r="L102" s="250">
        <v>0</v>
      </c>
      <c r="M102" s="251" t="s">
        <v>9</v>
      </c>
      <c r="N102" s="252">
        <v>0</v>
      </c>
      <c r="O102" s="185" t="s">
        <v>74</v>
      </c>
    </row>
    <row r="103" spans="1:15" x14ac:dyDescent="0.25">
      <c r="A103" s="234" t="s">
        <v>5276</v>
      </c>
      <c r="B103" s="234" t="s">
        <v>9</v>
      </c>
      <c r="C103" s="245">
        <v>46143</v>
      </c>
      <c r="D103" s="234" t="s">
        <v>7394</v>
      </c>
      <c r="E103" s="246">
        <v>110650</v>
      </c>
      <c r="F103" s="247" t="s">
        <v>5275</v>
      </c>
      <c r="G103" s="34" t="s">
        <v>7</v>
      </c>
      <c r="H103" s="234" t="s">
        <v>5277</v>
      </c>
      <c r="I103" s="248" t="s">
        <v>7</v>
      </c>
      <c r="J103" s="249" t="s">
        <v>582</v>
      </c>
      <c r="K103" s="250">
        <v>110650</v>
      </c>
      <c r="L103" s="250">
        <v>0</v>
      </c>
      <c r="M103" s="251" t="s">
        <v>9</v>
      </c>
      <c r="N103" s="252">
        <v>0</v>
      </c>
      <c r="O103" s="185" t="s">
        <v>74</v>
      </c>
    </row>
    <row r="104" spans="1:15" x14ac:dyDescent="0.25">
      <c r="A104" s="234" t="s">
        <v>3976</v>
      </c>
      <c r="B104" s="234" t="s">
        <v>9</v>
      </c>
      <c r="C104" s="245">
        <v>46143</v>
      </c>
      <c r="D104" s="234" t="s">
        <v>7385</v>
      </c>
      <c r="E104" s="246">
        <v>154257.92000000001</v>
      </c>
      <c r="F104" s="247" t="s">
        <v>3975</v>
      </c>
      <c r="G104" s="34" t="s">
        <v>7</v>
      </c>
      <c r="H104" s="234" t="s">
        <v>3977</v>
      </c>
      <c r="I104" s="248" t="s">
        <v>7</v>
      </c>
      <c r="J104" s="249" t="s">
        <v>554</v>
      </c>
      <c r="K104" s="250">
        <v>154261.76999999999</v>
      </c>
      <c r="L104" s="250">
        <v>0</v>
      </c>
      <c r="M104" s="251" t="s">
        <v>9</v>
      </c>
      <c r="N104" s="252">
        <v>0</v>
      </c>
      <c r="O104" s="185" t="s">
        <v>74</v>
      </c>
    </row>
    <row r="105" spans="1:15" x14ac:dyDescent="0.25">
      <c r="A105" s="234" t="s">
        <v>4443</v>
      </c>
      <c r="B105" s="234" t="s">
        <v>9</v>
      </c>
      <c r="C105" s="245">
        <v>46143</v>
      </c>
      <c r="D105" s="234" t="s">
        <v>7289</v>
      </c>
      <c r="E105" s="246">
        <v>143310.70000000001</v>
      </c>
      <c r="F105" s="247" t="s">
        <v>4445</v>
      </c>
      <c r="G105" s="34" t="s">
        <v>7</v>
      </c>
      <c r="H105" s="234" t="s">
        <v>4444</v>
      </c>
      <c r="I105" s="248" t="s">
        <v>7</v>
      </c>
      <c r="J105" s="249" t="s">
        <v>554</v>
      </c>
      <c r="K105" s="250">
        <v>143310</v>
      </c>
      <c r="L105" s="250">
        <v>0</v>
      </c>
      <c r="M105" s="251" t="s">
        <v>9</v>
      </c>
      <c r="N105" s="252">
        <v>0</v>
      </c>
      <c r="O105" s="185" t="s">
        <v>74</v>
      </c>
    </row>
    <row r="106" spans="1:15" x14ac:dyDescent="0.25">
      <c r="A106" s="234" t="s">
        <v>4443</v>
      </c>
      <c r="B106" s="234" t="s">
        <v>9</v>
      </c>
      <c r="C106" s="245">
        <v>46143</v>
      </c>
      <c r="D106" s="234" t="s">
        <v>7289</v>
      </c>
      <c r="E106" s="246">
        <v>32309.4</v>
      </c>
      <c r="F106" s="247" t="s">
        <v>4442</v>
      </c>
      <c r="G106" s="34" t="s">
        <v>7</v>
      </c>
      <c r="H106" s="234" t="s">
        <v>4444</v>
      </c>
      <c r="I106" s="248" t="s">
        <v>7</v>
      </c>
      <c r="J106" s="249" t="s">
        <v>554</v>
      </c>
      <c r="K106" s="250">
        <v>32310</v>
      </c>
      <c r="L106" s="250">
        <v>0</v>
      </c>
      <c r="M106" s="251" t="s">
        <v>9</v>
      </c>
      <c r="N106" s="252">
        <v>0</v>
      </c>
      <c r="O106" s="185" t="s">
        <v>74</v>
      </c>
    </row>
    <row r="107" spans="1:15" x14ac:dyDescent="0.25">
      <c r="A107" s="234" t="s">
        <v>3935</v>
      </c>
      <c r="B107" s="234" t="s">
        <v>9</v>
      </c>
      <c r="C107" s="245">
        <v>46143</v>
      </c>
      <c r="D107" s="234" t="s">
        <v>7287</v>
      </c>
      <c r="E107" s="246">
        <v>153442.23000000001</v>
      </c>
      <c r="F107" s="247">
        <v>0</v>
      </c>
      <c r="G107" s="34" t="s">
        <v>7</v>
      </c>
      <c r="H107" s="234" t="s">
        <v>3936</v>
      </c>
      <c r="I107" s="248" t="s">
        <v>7</v>
      </c>
      <c r="J107" s="249" t="s">
        <v>492</v>
      </c>
      <c r="K107" s="250">
        <v>0</v>
      </c>
      <c r="L107" s="250">
        <v>0</v>
      </c>
      <c r="M107" s="251" t="s">
        <v>9</v>
      </c>
      <c r="N107" s="252">
        <v>0</v>
      </c>
      <c r="O107" s="185" t="s">
        <v>74</v>
      </c>
    </row>
    <row r="108" spans="1:15" x14ac:dyDescent="0.25">
      <c r="A108" s="234" t="s">
        <v>7395</v>
      </c>
      <c r="B108" s="234" t="s">
        <v>9</v>
      </c>
      <c r="C108" s="245">
        <v>46143</v>
      </c>
      <c r="D108" s="234" t="s">
        <v>7394</v>
      </c>
      <c r="E108" s="246">
        <v>143198.04</v>
      </c>
      <c r="F108" s="247" t="s">
        <v>7396</v>
      </c>
      <c r="G108" s="34" t="s">
        <v>7</v>
      </c>
      <c r="H108" s="234" t="s">
        <v>7397</v>
      </c>
      <c r="I108" s="248" t="s">
        <v>7</v>
      </c>
      <c r="J108" s="249" t="s">
        <v>492</v>
      </c>
      <c r="K108" s="250">
        <v>0</v>
      </c>
      <c r="L108" s="250">
        <v>0</v>
      </c>
      <c r="M108" s="251" t="s">
        <v>9</v>
      </c>
      <c r="N108" s="252">
        <v>0</v>
      </c>
      <c r="O108" s="185" t="s">
        <v>74</v>
      </c>
    </row>
    <row r="109" spans="1:15" x14ac:dyDescent="0.25">
      <c r="A109" s="234" t="s">
        <v>5245</v>
      </c>
      <c r="B109" s="234" t="s">
        <v>9</v>
      </c>
      <c r="C109" s="245">
        <v>46143</v>
      </c>
      <c r="D109" s="234" t="s">
        <v>7289</v>
      </c>
      <c r="E109" s="246">
        <v>22835.599999999999</v>
      </c>
      <c r="F109" s="247" t="s">
        <v>5244</v>
      </c>
      <c r="G109" s="34" t="s">
        <v>7</v>
      </c>
      <c r="H109" s="234" t="s">
        <v>5246</v>
      </c>
      <c r="I109" s="248" t="s">
        <v>7</v>
      </c>
      <c r="J109" s="249" t="s">
        <v>554</v>
      </c>
      <c r="K109" s="250">
        <v>25000</v>
      </c>
      <c r="L109" s="250">
        <v>0</v>
      </c>
      <c r="M109" s="251" t="s">
        <v>9</v>
      </c>
      <c r="N109" s="252">
        <v>0</v>
      </c>
      <c r="O109" s="185" t="s">
        <v>74</v>
      </c>
    </row>
    <row r="110" spans="1:15" x14ac:dyDescent="0.25">
      <c r="A110" s="234" t="s">
        <v>7398</v>
      </c>
      <c r="B110" s="234" t="s">
        <v>8</v>
      </c>
      <c r="C110" s="245">
        <v>46143</v>
      </c>
      <c r="D110" s="234" t="s">
        <v>7399</v>
      </c>
      <c r="E110" s="246">
        <v>124819</v>
      </c>
      <c r="F110" s="247" t="s">
        <v>7400</v>
      </c>
      <c r="G110" s="34" t="s">
        <v>7</v>
      </c>
      <c r="H110" s="234" t="s">
        <v>7401</v>
      </c>
      <c r="I110" s="248" t="s">
        <v>7</v>
      </c>
      <c r="J110" s="249" t="s">
        <v>492</v>
      </c>
      <c r="K110" s="250">
        <v>0</v>
      </c>
      <c r="L110" s="250">
        <v>0</v>
      </c>
      <c r="M110" s="251" t="s">
        <v>8</v>
      </c>
      <c r="N110" s="252">
        <v>0</v>
      </c>
      <c r="O110" s="185" t="s">
        <v>74</v>
      </c>
    </row>
    <row r="111" spans="1:15" x14ac:dyDescent="0.25">
      <c r="A111" s="234" t="s">
        <v>7402</v>
      </c>
      <c r="B111" s="234" t="s">
        <v>8</v>
      </c>
      <c r="C111" s="245">
        <v>46143</v>
      </c>
      <c r="D111" s="234" t="s">
        <v>7399</v>
      </c>
      <c r="E111" s="246">
        <v>2140</v>
      </c>
      <c r="F111" s="247" t="s">
        <v>7403</v>
      </c>
      <c r="G111" s="34" t="s">
        <v>7</v>
      </c>
      <c r="H111" s="234" t="s">
        <v>7404</v>
      </c>
      <c r="I111" s="248" t="s">
        <v>7</v>
      </c>
      <c r="J111" s="249" t="s">
        <v>492</v>
      </c>
      <c r="K111" s="250">
        <v>0</v>
      </c>
      <c r="L111" s="250">
        <v>0</v>
      </c>
      <c r="M111" s="251" t="s">
        <v>8</v>
      </c>
      <c r="N111" s="252">
        <v>0</v>
      </c>
      <c r="O111" s="185" t="s">
        <v>74</v>
      </c>
    </row>
    <row r="112" spans="1:15" x14ac:dyDescent="0.25">
      <c r="A112" s="234" t="s">
        <v>3831</v>
      </c>
      <c r="B112" s="234" t="s">
        <v>8</v>
      </c>
      <c r="C112" s="245">
        <v>46143</v>
      </c>
      <c r="D112" s="234" t="s">
        <v>7289</v>
      </c>
      <c r="E112" s="246">
        <v>27500</v>
      </c>
      <c r="F112" s="247" t="s">
        <v>7405</v>
      </c>
      <c r="G112" s="34" t="s">
        <v>7</v>
      </c>
      <c r="H112" s="234" t="s">
        <v>3832</v>
      </c>
      <c r="I112" s="248" t="s">
        <v>7</v>
      </c>
      <c r="J112" s="249" t="s">
        <v>492</v>
      </c>
      <c r="K112" s="250">
        <v>0</v>
      </c>
      <c r="L112" s="250">
        <v>0</v>
      </c>
      <c r="M112" s="251" t="s">
        <v>8</v>
      </c>
      <c r="N112" s="252">
        <v>0</v>
      </c>
      <c r="O112" s="185" t="s">
        <v>74</v>
      </c>
    </row>
    <row r="113" spans="1:15" x14ac:dyDescent="0.25">
      <c r="A113" s="234" t="s">
        <v>7406</v>
      </c>
      <c r="B113" s="234" t="s">
        <v>8</v>
      </c>
      <c r="C113" s="245">
        <v>46143</v>
      </c>
      <c r="D113" s="234" t="s">
        <v>7399</v>
      </c>
      <c r="E113" s="246">
        <v>110000</v>
      </c>
      <c r="F113" s="247" t="s">
        <v>7407</v>
      </c>
      <c r="G113" s="34" t="s">
        <v>7</v>
      </c>
      <c r="H113" s="234" t="s">
        <v>7408</v>
      </c>
      <c r="I113" s="248" t="s">
        <v>7</v>
      </c>
      <c r="J113" s="249" t="s">
        <v>492</v>
      </c>
      <c r="K113" s="250">
        <v>0</v>
      </c>
      <c r="L113" s="250">
        <v>0</v>
      </c>
      <c r="M113" s="251" t="s">
        <v>8</v>
      </c>
      <c r="N113" s="252">
        <v>0</v>
      </c>
      <c r="O113" s="185" t="s">
        <v>74</v>
      </c>
    </row>
    <row r="114" spans="1:15" x14ac:dyDescent="0.25">
      <c r="A114" s="234" t="s">
        <v>7406</v>
      </c>
      <c r="B114" s="234" t="s">
        <v>8</v>
      </c>
      <c r="C114" s="245">
        <v>46143</v>
      </c>
      <c r="D114" s="234" t="s">
        <v>7399</v>
      </c>
      <c r="E114" s="246">
        <v>13457</v>
      </c>
      <c r="F114" s="247" t="s">
        <v>7409</v>
      </c>
      <c r="G114" s="34" t="s">
        <v>7</v>
      </c>
      <c r="H114" s="234" t="s">
        <v>7408</v>
      </c>
      <c r="I114" s="248" t="s">
        <v>7</v>
      </c>
      <c r="J114" s="249" t="s">
        <v>492</v>
      </c>
      <c r="K114" s="250">
        <v>0</v>
      </c>
      <c r="L114" s="250">
        <v>0</v>
      </c>
      <c r="M114" s="251" t="s">
        <v>8</v>
      </c>
      <c r="N114" s="252">
        <v>0</v>
      </c>
      <c r="O114" s="185" t="s">
        <v>74</v>
      </c>
    </row>
    <row r="115" spans="1:15" x14ac:dyDescent="0.25">
      <c r="A115" s="234" t="s">
        <v>4341</v>
      </c>
      <c r="B115" s="234" t="s">
        <v>8</v>
      </c>
      <c r="C115" s="245">
        <v>46143</v>
      </c>
      <c r="D115" s="234" t="s">
        <v>7399</v>
      </c>
      <c r="E115" s="246">
        <v>69937</v>
      </c>
      <c r="F115" s="247" t="s">
        <v>7410</v>
      </c>
      <c r="G115" s="34" t="s">
        <v>7</v>
      </c>
      <c r="H115" s="234" t="s">
        <v>4342</v>
      </c>
      <c r="I115" s="248" t="s">
        <v>7</v>
      </c>
      <c r="J115" s="249" t="s">
        <v>492</v>
      </c>
      <c r="K115" s="250">
        <v>0</v>
      </c>
      <c r="L115" s="250">
        <v>0</v>
      </c>
      <c r="M115" s="251" t="s">
        <v>8</v>
      </c>
      <c r="N115" s="252">
        <v>0</v>
      </c>
      <c r="O115" s="185" t="s">
        <v>74</v>
      </c>
    </row>
    <row r="116" spans="1:15" x14ac:dyDescent="0.25">
      <c r="A116" s="234" t="s">
        <v>4341</v>
      </c>
      <c r="B116" s="234" t="s">
        <v>8</v>
      </c>
      <c r="C116" s="245">
        <v>46143</v>
      </c>
      <c r="D116" s="234" t="s">
        <v>7399</v>
      </c>
      <c r="E116" s="246">
        <v>40000</v>
      </c>
      <c r="F116" s="247" t="s">
        <v>7411</v>
      </c>
      <c r="G116" s="34" t="s">
        <v>7</v>
      </c>
      <c r="H116" s="234" t="s">
        <v>4342</v>
      </c>
      <c r="I116" s="248" t="s">
        <v>7</v>
      </c>
      <c r="J116" s="249" t="s">
        <v>492</v>
      </c>
      <c r="K116" s="250">
        <v>0</v>
      </c>
      <c r="L116" s="250">
        <v>0</v>
      </c>
      <c r="M116" s="251" t="s">
        <v>8</v>
      </c>
      <c r="N116" s="252">
        <v>0</v>
      </c>
      <c r="O116" s="185" t="s">
        <v>74</v>
      </c>
    </row>
    <row r="117" spans="1:15" x14ac:dyDescent="0.25">
      <c r="A117" s="234" t="s">
        <v>3822</v>
      </c>
      <c r="B117" s="234" t="s">
        <v>8</v>
      </c>
      <c r="C117" s="245">
        <v>46143</v>
      </c>
      <c r="D117" s="234" t="s">
        <v>7287</v>
      </c>
      <c r="E117" s="246">
        <v>235345</v>
      </c>
      <c r="F117" s="247" t="s">
        <v>7412</v>
      </c>
      <c r="G117" s="34" t="s">
        <v>7</v>
      </c>
      <c r="H117" s="234" t="s">
        <v>3823</v>
      </c>
      <c r="I117" s="248" t="s">
        <v>7</v>
      </c>
      <c r="J117" s="249" t="s">
        <v>492</v>
      </c>
      <c r="K117" s="250">
        <v>0</v>
      </c>
      <c r="L117" s="250">
        <v>0</v>
      </c>
      <c r="M117" s="251" t="s">
        <v>8</v>
      </c>
      <c r="N117" s="252">
        <v>0</v>
      </c>
      <c r="O117" s="185" t="s">
        <v>74</v>
      </c>
    </row>
    <row r="118" spans="1:15" x14ac:dyDescent="0.25">
      <c r="A118" s="234" t="s">
        <v>7413</v>
      </c>
      <c r="B118" s="234" t="s">
        <v>8</v>
      </c>
      <c r="C118" s="245">
        <v>46143</v>
      </c>
      <c r="D118" s="234" t="s">
        <v>7399</v>
      </c>
      <c r="E118" s="246">
        <v>113252</v>
      </c>
      <c r="F118" s="247" t="s">
        <v>7414</v>
      </c>
      <c r="G118" s="34" t="s">
        <v>7</v>
      </c>
      <c r="H118" s="234" t="s">
        <v>7415</v>
      </c>
      <c r="I118" s="248" t="s">
        <v>7</v>
      </c>
      <c r="J118" s="249" t="s">
        <v>492</v>
      </c>
      <c r="K118" s="250">
        <v>0</v>
      </c>
      <c r="L118" s="250">
        <v>0</v>
      </c>
      <c r="M118" s="251" t="s">
        <v>8</v>
      </c>
      <c r="N118" s="252">
        <v>0</v>
      </c>
      <c r="O118" s="185" t="s">
        <v>74</v>
      </c>
    </row>
    <row r="119" spans="1:15" x14ac:dyDescent="0.25">
      <c r="A119" s="234" t="s">
        <v>7416</v>
      </c>
      <c r="B119" s="234" t="s">
        <v>8</v>
      </c>
      <c r="C119" s="245">
        <v>46143</v>
      </c>
      <c r="D119" s="234" t="s">
        <v>7289</v>
      </c>
      <c r="E119" s="246">
        <v>80000</v>
      </c>
      <c r="F119" s="247" t="s">
        <v>7417</v>
      </c>
      <c r="G119" s="34" t="s">
        <v>7</v>
      </c>
      <c r="H119" s="234" t="s">
        <v>7418</v>
      </c>
      <c r="I119" s="248" t="s">
        <v>7</v>
      </c>
      <c r="J119" s="249" t="s">
        <v>492</v>
      </c>
      <c r="K119" s="250">
        <v>0</v>
      </c>
      <c r="L119" s="250">
        <v>0</v>
      </c>
      <c r="M119" s="251" t="s">
        <v>8</v>
      </c>
      <c r="N119" s="252">
        <v>0</v>
      </c>
      <c r="O119" s="185" t="s">
        <v>74</v>
      </c>
    </row>
    <row r="120" spans="1:15" x14ac:dyDescent="0.25">
      <c r="A120" s="234" t="s">
        <v>7416</v>
      </c>
      <c r="B120" s="234" t="s">
        <v>8</v>
      </c>
      <c r="C120" s="245">
        <v>46143</v>
      </c>
      <c r="D120" s="234" t="s">
        <v>7289</v>
      </c>
      <c r="E120" s="246">
        <v>38073</v>
      </c>
      <c r="F120" s="247" t="s">
        <v>7419</v>
      </c>
      <c r="G120" s="34" t="s">
        <v>7</v>
      </c>
      <c r="H120" s="234" t="s">
        <v>7418</v>
      </c>
      <c r="I120" s="248" t="s">
        <v>7</v>
      </c>
      <c r="J120" s="249" t="s">
        <v>492</v>
      </c>
      <c r="K120" s="250">
        <v>0</v>
      </c>
      <c r="L120" s="250">
        <v>0</v>
      </c>
      <c r="M120" s="251" t="s">
        <v>8</v>
      </c>
      <c r="N120" s="252">
        <v>0</v>
      </c>
      <c r="O120" s="185" t="s">
        <v>74</v>
      </c>
    </row>
    <row r="121" spans="1:15" x14ac:dyDescent="0.25">
      <c r="A121" s="234" t="s">
        <v>3395</v>
      </c>
      <c r="B121" s="234" t="s">
        <v>8</v>
      </c>
      <c r="C121" s="245">
        <v>46143</v>
      </c>
      <c r="D121" s="234" t="s">
        <v>7399</v>
      </c>
      <c r="E121" s="246">
        <v>40000</v>
      </c>
      <c r="F121" s="247" t="s">
        <v>3394</v>
      </c>
      <c r="G121" s="34" t="s">
        <v>7</v>
      </c>
      <c r="H121" s="234" t="s">
        <v>3396</v>
      </c>
      <c r="I121" s="248" t="s">
        <v>7</v>
      </c>
      <c r="J121" s="249" t="s">
        <v>554</v>
      </c>
      <c r="K121" s="250">
        <v>40000</v>
      </c>
      <c r="L121" s="250">
        <v>0</v>
      </c>
      <c r="M121" s="251" t="s">
        <v>8</v>
      </c>
      <c r="N121" s="252">
        <v>0</v>
      </c>
      <c r="O121" s="185" t="s">
        <v>74</v>
      </c>
    </row>
    <row r="122" spans="1:15" x14ac:dyDescent="0.25">
      <c r="A122" s="234" t="s">
        <v>3401</v>
      </c>
      <c r="B122" s="234" t="s">
        <v>8</v>
      </c>
      <c r="C122" s="245">
        <v>46143</v>
      </c>
      <c r="D122" s="234" t="s">
        <v>7289</v>
      </c>
      <c r="E122" s="246">
        <v>227114</v>
      </c>
      <c r="F122" s="247" t="s">
        <v>3400</v>
      </c>
      <c r="G122" s="34" t="s">
        <v>7</v>
      </c>
      <c r="H122" s="234" t="s">
        <v>3402</v>
      </c>
      <c r="I122" s="248" t="s">
        <v>7</v>
      </c>
      <c r="J122" s="249" t="s">
        <v>554</v>
      </c>
      <c r="K122" s="250">
        <v>230123.33</v>
      </c>
      <c r="L122" s="250">
        <v>0</v>
      </c>
      <c r="M122" s="251" t="s">
        <v>8</v>
      </c>
      <c r="N122" s="252">
        <v>0</v>
      </c>
      <c r="O122" s="185" t="s">
        <v>74</v>
      </c>
    </row>
    <row r="123" spans="1:15" x14ac:dyDescent="0.25">
      <c r="A123" s="234" t="s">
        <v>4317</v>
      </c>
      <c r="B123" s="234" t="s">
        <v>8</v>
      </c>
      <c r="C123" s="245">
        <v>46143</v>
      </c>
      <c r="D123" s="234" t="s">
        <v>7289</v>
      </c>
      <c r="E123" s="246">
        <v>148328</v>
      </c>
      <c r="F123" s="247" t="s">
        <v>4316</v>
      </c>
      <c r="G123" s="34" t="s">
        <v>7</v>
      </c>
      <c r="H123" s="234" t="s">
        <v>4318</v>
      </c>
      <c r="I123" s="248" t="s">
        <v>7</v>
      </c>
      <c r="J123" s="249" t="s">
        <v>554</v>
      </c>
      <c r="K123" s="250">
        <v>148328</v>
      </c>
      <c r="L123" s="250">
        <v>0</v>
      </c>
      <c r="M123" s="251" t="s">
        <v>8</v>
      </c>
      <c r="N123" s="252">
        <v>0</v>
      </c>
      <c r="O123" s="185" t="s">
        <v>74</v>
      </c>
    </row>
    <row r="124" spans="1:15" x14ac:dyDescent="0.25">
      <c r="A124" s="234" t="s">
        <v>3847</v>
      </c>
      <c r="B124" s="234" t="s">
        <v>8</v>
      </c>
      <c r="C124" s="245">
        <v>46143</v>
      </c>
      <c r="D124" s="234" t="s">
        <v>7420</v>
      </c>
      <c r="E124" s="246">
        <v>1122989</v>
      </c>
      <c r="F124" s="247" t="s">
        <v>3846</v>
      </c>
      <c r="G124" s="34" t="s">
        <v>7</v>
      </c>
      <c r="H124" s="234" t="s">
        <v>3848</v>
      </c>
      <c r="I124" s="248" t="s">
        <v>7</v>
      </c>
      <c r="J124" s="249" t="s">
        <v>554</v>
      </c>
      <c r="K124" s="250">
        <v>1122989</v>
      </c>
      <c r="L124" s="250">
        <v>0</v>
      </c>
      <c r="M124" s="251" t="s">
        <v>8</v>
      </c>
      <c r="N124" s="252">
        <v>0</v>
      </c>
      <c r="O124" s="185" t="s">
        <v>74</v>
      </c>
    </row>
    <row r="125" spans="1:15" x14ac:dyDescent="0.25">
      <c r="A125" s="234" t="s">
        <v>5315</v>
      </c>
      <c r="B125" s="234" t="s">
        <v>8</v>
      </c>
      <c r="C125" s="245">
        <v>46143</v>
      </c>
      <c r="D125" s="234" t="s">
        <v>7289</v>
      </c>
      <c r="E125" s="246">
        <v>30000</v>
      </c>
      <c r="F125" s="247" t="s">
        <v>5317</v>
      </c>
      <c r="G125" s="34" t="s">
        <v>7</v>
      </c>
      <c r="H125" s="234" t="s">
        <v>5316</v>
      </c>
      <c r="I125" s="248" t="s">
        <v>7</v>
      </c>
      <c r="J125" s="249" t="s">
        <v>554</v>
      </c>
      <c r="K125" s="250">
        <v>30000</v>
      </c>
      <c r="L125" s="250">
        <v>0</v>
      </c>
      <c r="M125" s="251" t="s">
        <v>8</v>
      </c>
      <c r="N125" s="252">
        <v>0</v>
      </c>
      <c r="O125" s="185" t="s">
        <v>74</v>
      </c>
    </row>
    <row r="126" spans="1:15" x14ac:dyDescent="0.25">
      <c r="A126" s="234" t="s">
        <v>5315</v>
      </c>
      <c r="B126" s="234" t="s">
        <v>8</v>
      </c>
      <c r="C126" s="245">
        <v>46143</v>
      </c>
      <c r="D126" s="234" t="s">
        <v>7289</v>
      </c>
      <c r="E126" s="246">
        <v>111043</v>
      </c>
      <c r="F126" s="247" t="s">
        <v>5314</v>
      </c>
      <c r="G126" s="34" t="s">
        <v>7</v>
      </c>
      <c r="H126" s="234" t="s">
        <v>5316</v>
      </c>
      <c r="I126" s="248" t="s">
        <v>7</v>
      </c>
      <c r="J126" s="249" t="s">
        <v>554</v>
      </c>
      <c r="K126" s="250">
        <v>111043</v>
      </c>
      <c r="L126" s="250">
        <v>0</v>
      </c>
      <c r="M126" s="251" t="s">
        <v>8</v>
      </c>
      <c r="N126" s="252">
        <v>0</v>
      </c>
      <c r="O126" s="185" t="s">
        <v>74</v>
      </c>
    </row>
    <row r="127" spans="1:15" x14ac:dyDescent="0.25">
      <c r="A127" s="234" t="s">
        <v>5422</v>
      </c>
      <c r="B127" s="234" t="s">
        <v>8</v>
      </c>
      <c r="C127" s="245">
        <v>46143</v>
      </c>
      <c r="D127" s="234" t="s">
        <v>7399</v>
      </c>
      <c r="E127" s="246">
        <v>182164</v>
      </c>
      <c r="F127" s="247" t="s">
        <v>5421</v>
      </c>
      <c r="G127" s="34" t="s">
        <v>7</v>
      </c>
      <c r="H127" s="234" t="s">
        <v>5423</v>
      </c>
      <c r="I127" s="248" t="s">
        <v>7</v>
      </c>
      <c r="J127" s="249" t="s">
        <v>554</v>
      </c>
      <c r="K127" s="250">
        <v>182163.89</v>
      </c>
      <c r="L127" s="250">
        <v>0</v>
      </c>
      <c r="M127" s="251" t="s">
        <v>8</v>
      </c>
      <c r="N127" s="252">
        <v>0</v>
      </c>
      <c r="O127" s="185" t="s">
        <v>74</v>
      </c>
    </row>
    <row r="128" spans="1:15" x14ac:dyDescent="0.25">
      <c r="A128" s="234" t="s">
        <v>5374</v>
      </c>
      <c r="B128" s="234" t="s">
        <v>8</v>
      </c>
      <c r="C128" s="245">
        <v>46143</v>
      </c>
      <c r="D128" s="234" t="s">
        <v>7287</v>
      </c>
      <c r="E128" s="246">
        <v>62851.199999999997</v>
      </c>
      <c r="F128" s="247">
        <v>0</v>
      </c>
      <c r="G128" s="34" t="s">
        <v>7</v>
      </c>
      <c r="H128" s="234" t="s">
        <v>5375</v>
      </c>
      <c r="I128" s="248" t="s">
        <v>7</v>
      </c>
      <c r="J128" s="249" t="s">
        <v>492</v>
      </c>
      <c r="K128" s="250">
        <v>0</v>
      </c>
      <c r="L128" s="250">
        <v>0</v>
      </c>
      <c r="M128" s="251" t="s">
        <v>8</v>
      </c>
      <c r="N128" s="252">
        <v>0</v>
      </c>
      <c r="O128" s="185" t="s">
        <v>74</v>
      </c>
    </row>
    <row r="129" spans="1:15" x14ac:dyDescent="0.25">
      <c r="A129" s="234" t="s">
        <v>5374</v>
      </c>
      <c r="B129" s="234" t="s">
        <v>8</v>
      </c>
      <c r="C129" s="245">
        <v>46143</v>
      </c>
      <c r="D129" s="234" t="s">
        <v>7287</v>
      </c>
      <c r="E129" s="246">
        <v>62851.199999999997</v>
      </c>
      <c r="F129" s="247">
        <v>0</v>
      </c>
      <c r="G129" s="34" t="s">
        <v>7</v>
      </c>
      <c r="H129" s="234" t="s">
        <v>5375</v>
      </c>
      <c r="I129" s="248" t="s">
        <v>7</v>
      </c>
      <c r="J129" s="249" t="s">
        <v>492</v>
      </c>
      <c r="K129" s="250">
        <v>0</v>
      </c>
      <c r="L129" s="250">
        <v>0</v>
      </c>
      <c r="M129" s="251" t="s">
        <v>8</v>
      </c>
      <c r="N129" s="252">
        <v>0</v>
      </c>
      <c r="O129" s="185" t="s">
        <v>74</v>
      </c>
    </row>
    <row r="130" spans="1:15" x14ac:dyDescent="0.25">
      <c r="A130" s="234" t="s">
        <v>3723</v>
      </c>
      <c r="B130" s="234" t="s">
        <v>8</v>
      </c>
      <c r="C130" s="245">
        <v>46143</v>
      </c>
      <c r="D130" s="234" t="s">
        <v>7289</v>
      </c>
      <c r="E130" s="246">
        <v>115613</v>
      </c>
      <c r="F130" s="247">
        <v>0</v>
      </c>
      <c r="G130" s="34" t="s">
        <v>7</v>
      </c>
      <c r="H130" s="234" t="s">
        <v>3724</v>
      </c>
      <c r="I130" s="248" t="s">
        <v>7</v>
      </c>
      <c r="J130" s="249" t="s">
        <v>492</v>
      </c>
      <c r="K130" s="250">
        <v>0</v>
      </c>
      <c r="L130" s="250">
        <v>0</v>
      </c>
      <c r="M130" s="251" t="s">
        <v>8</v>
      </c>
      <c r="N130" s="252">
        <v>0</v>
      </c>
      <c r="O130" s="185" t="s">
        <v>74</v>
      </c>
    </row>
    <row r="131" spans="1:15" x14ac:dyDescent="0.25">
      <c r="A131" s="234" t="s">
        <v>7421</v>
      </c>
      <c r="B131" s="234" t="s">
        <v>8</v>
      </c>
      <c r="C131" s="245">
        <v>46143</v>
      </c>
      <c r="D131" s="234" t="s">
        <v>7287</v>
      </c>
      <c r="E131" s="246">
        <v>505608</v>
      </c>
      <c r="F131" s="247">
        <v>0</v>
      </c>
      <c r="G131" s="34" t="s">
        <v>7</v>
      </c>
      <c r="H131" s="234" t="s">
        <v>7422</v>
      </c>
      <c r="I131" s="248" t="s">
        <v>7</v>
      </c>
      <c r="J131" s="249" t="s">
        <v>492</v>
      </c>
      <c r="K131" s="250">
        <v>0</v>
      </c>
      <c r="L131" s="250">
        <v>0</v>
      </c>
      <c r="M131" s="251" t="s">
        <v>8</v>
      </c>
      <c r="N131" s="252">
        <v>0</v>
      </c>
      <c r="O131" s="185" t="s">
        <v>74</v>
      </c>
    </row>
    <row r="132" spans="1:15" x14ac:dyDescent="0.25">
      <c r="A132" s="234" t="s">
        <v>3355</v>
      </c>
      <c r="B132" s="234" t="s">
        <v>8</v>
      </c>
      <c r="C132" s="245">
        <v>46143</v>
      </c>
      <c r="D132" s="234" t="s">
        <v>7287</v>
      </c>
      <c r="E132" s="246">
        <v>177334</v>
      </c>
      <c r="F132" s="247" t="s">
        <v>3354</v>
      </c>
      <c r="G132" s="34" t="s">
        <v>7</v>
      </c>
      <c r="H132" s="234" t="s">
        <v>3356</v>
      </c>
      <c r="I132" s="248" t="s">
        <v>7</v>
      </c>
      <c r="J132" s="249" t="s">
        <v>554</v>
      </c>
      <c r="K132" s="250">
        <v>178500</v>
      </c>
      <c r="L132" s="250">
        <v>0</v>
      </c>
      <c r="M132" s="251" t="s">
        <v>8</v>
      </c>
      <c r="N132" s="252">
        <v>0</v>
      </c>
      <c r="O132" s="185" t="s">
        <v>74</v>
      </c>
    </row>
    <row r="133" spans="1:15" x14ac:dyDescent="0.25">
      <c r="A133" s="234" t="s">
        <v>4478</v>
      </c>
      <c r="B133" s="234" t="s">
        <v>8</v>
      </c>
      <c r="C133" s="245">
        <v>46143</v>
      </c>
      <c r="D133" s="234" t="s">
        <v>7287</v>
      </c>
      <c r="E133" s="246">
        <v>173404</v>
      </c>
      <c r="F133" s="247" t="s">
        <v>4477</v>
      </c>
      <c r="G133" s="34" t="s">
        <v>7</v>
      </c>
      <c r="H133" s="234" t="s">
        <v>4479</v>
      </c>
      <c r="I133" s="248" t="s">
        <v>7</v>
      </c>
      <c r="J133" s="249" t="s">
        <v>61</v>
      </c>
      <c r="K133" s="250">
        <v>35593.42</v>
      </c>
      <c r="L133" s="250">
        <v>0</v>
      </c>
      <c r="M133" s="251" t="s">
        <v>8</v>
      </c>
      <c r="N133" s="252">
        <v>0</v>
      </c>
      <c r="O133" s="185" t="s">
        <v>74</v>
      </c>
    </row>
    <row r="134" spans="1:15" x14ac:dyDescent="0.25">
      <c r="A134" s="234" t="s">
        <v>3358</v>
      </c>
      <c r="B134" s="234" t="s">
        <v>8</v>
      </c>
      <c r="C134" s="245">
        <v>46143</v>
      </c>
      <c r="D134" s="234" t="s">
        <v>7289</v>
      </c>
      <c r="E134" s="246">
        <v>117376</v>
      </c>
      <c r="F134" s="247" t="s">
        <v>3361</v>
      </c>
      <c r="G134" s="34" t="s">
        <v>7</v>
      </c>
      <c r="H134" s="234" t="s">
        <v>3360</v>
      </c>
      <c r="I134" s="248" t="s">
        <v>7</v>
      </c>
      <c r="J134" s="249" t="s">
        <v>554</v>
      </c>
      <c r="K134" s="250">
        <v>117376</v>
      </c>
      <c r="L134" s="250">
        <v>0</v>
      </c>
      <c r="M134" s="251" t="s">
        <v>8</v>
      </c>
      <c r="N134" s="252">
        <v>0</v>
      </c>
      <c r="O134" s="185" t="s">
        <v>74</v>
      </c>
    </row>
    <row r="135" spans="1:15" x14ac:dyDescent="0.25">
      <c r="A135" s="234" t="s">
        <v>3358</v>
      </c>
      <c r="B135" s="234" t="s">
        <v>8</v>
      </c>
      <c r="C135" s="245">
        <v>46143</v>
      </c>
      <c r="D135" s="234" t="s">
        <v>7289</v>
      </c>
      <c r="E135" s="246">
        <v>70426</v>
      </c>
      <c r="F135" s="247" t="s">
        <v>3357</v>
      </c>
      <c r="G135" s="34" t="s">
        <v>7</v>
      </c>
      <c r="H135" s="234" t="s">
        <v>3360</v>
      </c>
      <c r="I135" s="248" t="s">
        <v>7</v>
      </c>
      <c r="J135" s="249" t="s">
        <v>554</v>
      </c>
      <c r="K135" s="250">
        <v>70426</v>
      </c>
      <c r="L135" s="250">
        <v>0</v>
      </c>
      <c r="M135" s="251" t="s">
        <v>8</v>
      </c>
      <c r="N135" s="252">
        <v>0</v>
      </c>
      <c r="O135" s="185" t="s">
        <v>74</v>
      </c>
    </row>
    <row r="136" spans="1:15" x14ac:dyDescent="0.25">
      <c r="A136" s="234" t="s">
        <v>5397</v>
      </c>
      <c r="B136" s="234" t="s">
        <v>8</v>
      </c>
      <c r="C136" s="245">
        <v>46143</v>
      </c>
      <c r="D136" s="234" t="s">
        <v>7289</v>
      </c>
      <c r="E136" s="246">
        <v>37500</v>
      </c>
      <c r="F136" s="247" t="s">
        <v>5396</v>
      </c>
      <c r="G136" s="34" t="s">
        <v>7</v>
      </c>
      <c r="H136" s="234" t="s">
        <v>5398</v>
      </c>
      <c r="I136" s="248" t="s">
        <v>7</v>
      </c>
      <c r="J136" s="249" t="s">
        <v>554</v>
      </c>
      <c r="K136" s="250">
        <v>37500</v>
      </c>
      <c r="L136" s="250">
        <v>0</v>
      </c>
      <c r="M136" s="251" t="s">
        <v>8</v>
      </c>
      <c r="N136" s="252">
        <v>0</v>
      </c>
      <c r="O136" s="185" t="s">
        <v>74</v>
      </c>
    </row>
    <row r="137" spans="1:15" x14ac:dyDescent="0.25">
      <c r="A137" s="234" t="s">
        <v>4320</v>
      </c>
      <c r="B137" s="234" t="s">
        <v>8</v>
      </c>
      <c r="C137" s="245">
        <v>46143</v>
      </c>
      <c r="D137" s="234" t="s">
        <v>7289</v>
      </c>
      <c r="E137" s="246">
        <v>59289</v>
      </c>
      <c r="F137" s="247" t="s">
        <v>4319</v>
      </c>
      <c r="G137" s="34" t="s">
        <v>7</v>
      </c>
      <c r="H137" s="234" t="s">
        <v>4322</v>
      </c>
      <c r="I137" s="248" t="s">
        <v>7</v>
      </c>
      <c r="J137" s="249" t="s">
        <v>554</v>
      </c>
      <c r="K137" s="250">
        <v>59609</v>
      </c>
      <c r="L137" s="250">
        <v>0</v>
      </c>
      <c r="M137" s="251" t="s">
        <v>8</v>
      </c>
      <c r="N137" s="252">
        <v>0</v>
      </c>
      <c r="O137" s="185" t="s">
        <v>74</v>
      </c>
    </row>
    <row r="138" spans="1:15" x14ac:dyDescent="0.25">
      <c r="A138" s="234" t="s">
        <v>757</v>
      </c>
      <c r="B138" s="234" t="s">
        <v>22</v>
      </c>
      <c r="C138" s="245">
        <v>46143</v>
      </c>
      <c r="D138" s="234" t="s">
        <v>546</v>
      </c>
      <c r="E138" s="246">
        <v>50000</v>
      </c>
      <c r="F138" s="247" t="s">
        <v>7423</v>
      </c>
      <c r="G138" s="34" t="s">
        <v>7</v>
      </c>
      <c r="H138" s="234" t="s">
        <v>758</v>
      </c>
      <c r="I138" s="248" t="s">
        <v>7</v>
      </c>
      <c r="J138" s="249" t="s">
        <v>492</v>
      </c>
      <c r="K138" s="250">
        <v>0</v>
      </c>
      <c r="L138" s="250">
        <v>0</v>
      </c>
      <c r="M138" s="251" t="s">
        <v>22</v>
      </c>
      <c r="N138" s="252">
        <v>0</v>
      </c>
      <c r="O138" s="185" t="s">
        <v>51</v>
      </c>
    </row>
    <row r="139" spans="1:15" x14ac:dyDescent="0.25">
      <c r="A139" s="234" t="s">
        <v>757</v>
      </c>
      <c r="B139" s="234" t="s">
        <v>22</v>
      </c>
      <c r="C139" s="245">
        <v>46143</v>
      </c>
      <c r="D139" s="234" t="s">
        <v>546</v>
      </c>
      <c r="E139" s="246">
        <v>50000</v>
      </c>
      <c r="F139" s="247" t="s">
        <v>7424</v>
      </c>
      <c r="G139" s="34" t="s">
        <v>7</v>
      </c>
      <c r="H139" s="234" t="s">
        <v>758</v>
      </c>
      <c r="I139" s="248" t="s">
        <v>7</v>
      </c>
      <c r="J139" s="249" t="s">
        <v>492</v>
      </c>
      <c r="K139" s="250">
        <v>0</v>
      </c>
      <c r="L139" s="250">
        <v>0</v>
      </c>
      <c r="M139" s="251" t="s">
        <v>22</v>
      </c>
      <c r="N139" s="252">
        <v>0</v>
      </c>
      <c r="O139" s="185" t="s">
        <v>51</v>
      </c>
    </row>
    <row r="140" spans="1:15" x14ac:dyDescent="0.25">
      <c r="A140" s="234" t="s">
        <v>1315</v>
      </c>
      <c r="B140" s="234" t="s">
        <v>22</v>
      </c>
      <c r="C140" s="245">
        <v>46143</v>
      </c>
      <c r="D140" s="234" t="s">
        <v>546</v>
      </c>
      <c r="E140" s="246">
        <v>115000</v>
      </c>
      <c r="F140" s="247" t="s">
        <v>7425</v>
      </c>
      <c r="G140" s="34" t="s">
        <v>7</v>
      </c>
      <c r="H140" s="234" t="s">
        <v>1316</v>
      </c>
      <c r="I140" s="248" t="s">
        <v>7</v>
      </c>
      <c r="J140" s="249" t="s">
        <v>492</v>
      </c>
      <c r="K140" s="250">
        <v>0</v>
      </c>
      <c r="L140" s="250">
        <v>0</v>
      </c>
      <c r="M140" s="251" t="s">
        <v>22</v>
      </c>
      <c r="N140" s="252">
        <v>0</v>
      </c>
      <c r="O140" s="185" t="s">
        <v>51</v>
      </c>
    </row>
    <row r="141" spans="1:15" x14ac:dyDescent="0.25">
      <c r="A141" s="234" t="s">
        <v>1315</v>
      </c>
      <c r="B141" s="234" t="s">
        <v>22</v>
      </c>
      <c r="C141" s="245">
        <v>46143</v>
      </c>
      <c r="D141" s="234" t="s">
        <v>546</v>
      </c>
      <c r="E141" s="246">
        <v>125000</v>
      </c>
      <c r="F141" s="247" t="s">
        <v>7426</v>
      </c>
      <c r="G141" s="34" t="s">
        <v>7</v>
      </c>
      <c r="H141" s="234" t="s">
        <v>1316</v>
      </c>
      <c r="I141" s="248" t="s">
        <v>7</v>
      </c>
      <c r="J141" s="249" t="s">
        <v>492</v>
      </c>
      <c r="K141" s="250">
        <v>0</v>
      </c>
      <c r="L141" s="250">
        <v>0</v>
      </c>
      <c r="M141" s="251" t="s">
        <v>22</v>
      </c>
      <c r="N141" s="252">
        <v>0</v>
      </c>
      <c r="O141" s="185" t="s">
        <v>51</v>
      </c>
    </row>
    <row r="142" spans="1:15" x14ac:dyDescent="0.25">
      <c r="A142" s="234" t="s">
        <v>1328</v>
      </c>
      <c r="B142" s="234" t="s">
        <v>22</v>
      </c>
      <c r="C142" s="245">
        <v>46143</v>
      </c>
      <c r="D142" s="234">
        <v>0</v>
      </c>
      <c r="E142" s="246">
        <v>86025</v>
      </c>
      <c r="F142" s="247">
        <v>0</v>
      </c>
      <c r="G142" s="34" t="s">
        <v>7</v>
      </c>
      <c r="H142" s="234" t="s">
        <v>1329</v>
      </c>
      <c r="I142" s="248" t="s">
        <v>7</v>
      </c>
      <c r="J142" s="249" t="s">
        <v>492</v>
      </c>
      <c r="K142" s="250">
        <v>0</v>
      </c>
      <c r="L142" s="250">
        <v>0</v>
      </c>
      <c r="M142" s="251" t="s">
        <v>22</v>
      </c>
      <c r="N142" s="252">
        <v>0</v>
      </c>
      <c r="O142" s="185" t="s">
        <v>51</v>
      </c>
    </row>
    <row r="143" spans="1:15" x14ac:dyDescent="0.25">
      <c r="A143" s="234" t="s">
        <v>2185</v>
      </c>
      <c r="B143" s="234" t="s">
        <v>22</v>
      </c>
      <c r="C143" s="245">
        <v>46143</v>
      </c>
      <c r="D143" s="234" t="s">
        <v>546</v>
      </c>
      <c r="E143" s="246">
        <v>39000</v>
      </c>
      <c r="F143" s="247" t="s">
        <v>2190</v>
      </c>
      <c r="G143" s="34" t="s">
        <v>7</v>
      </c>
      <c r="H143" s="234" t="s">
        <v>2187</v>
      </c>
      <c r="I143" s="248" t="s">
        <v>7</v>
      </c>
      <c r="J143" s="249" t="s">
        <v>554</v>
      </c>
      <c r="K143" s="250">
        <v>39000</v>
      </c>
      <c r="L143" s="250">
        <v>0</v>
      </c>
      <c r="M143" s="251" t="s">
        <v>22</v>
      </c>
      <c r="N143" s="252">
        <v>0</v>
      </c>
      <c r="O143" s="185" t="s">
        <v>51</v>
      </c>
    </row>
    <row r="144" spans="1:15" x14ac:dyDescent="0.25">
      <c r="A144" s="234" t="s">
        <v>2185</v>
      </c>
      <c r="B144" s="234" t="s">
        <v>22</v>
      </c>
      <c r="C144" s="245">
        <v>46143</v>
      </c>
      <c r="D144" s="234" t="s">
        <v>546</v>
      </c>
      <c r="E144" s="246">
        <v>50000</v>
      </c>
      <c r="F144" s="247" t="s">
        <v>2191</v>
      </c>
      <c r="G144" s="34" t="s">
        <v>7</v>
      </c>
      <c r="H144" s="234" t="s">
        <v>2187</v>
      </c>
      <c r="I144" s="248" t="s">
        <v>7</v>
      </c>
      <c r="J144" s="249" t="s">
        <v>554</v>
      </c>
      <c r="K144" s="250">
        <v>50000</v>
      </c>
      <c r="L144" s="250">
        <v>0</v>
      </c>
      <c r="M144" s="251" t="s">
        <v>22</v>
      </c>
      <c r="N144" s="252">
        <v>0</v>
      </c>
      <c r="O144" s="185" t="s">
        <v>51</v>
      </c>
    </row>
    <row r="145" spans="1:15" x14ac:dyDescent="0.25">
      <c r="A145" s="234" t="s">
        <v>2185</v>
      </c>
      <c r="B145" s="234" t="s">
        <v>22</v>
      </c>
      <c r="C145" s="245">
        <v>46143</v>
      </c>
      <c r="D145" s="234" t="s">
        <v>546</v>
      </c>
      <c r="E145" s="246">
        <v>50000</v>
      </c>
      <c r="F145" s="247" t="s">
        <v>2192</v>
      </c>
      <c r="G145" s="34" t="s">
        <v>7</v>
      </c>
      <c r="H145" s="234" t="s">
        <v>2187</v>
      </c>
      <c r="I145" s="248" t="s">
        <v>7</v>
      </c>
      <c r="J145" s="249" t="s">
        <v>554</v>
      </c>
      <c r="K145" s="250">
        <v>50000</v>
      </c>
      <c r="L145" s="250">
        <v>0</v>
      </c>
      <c r="M145" s="251" t="s">
        <v>22</v>
      </c>
      <c r="N145" s="252">
        <v>0</v>
      </c>
      <c r="O145" s="185" t="s">
        <v>51</v>
      </c>
    </row>
    <row r="146" spans="1:15" x14ac:dyDescent="0.25">
      <c r="A146" s="234" t="s">
        <v>2185</v>
      </c>
      <c r="B146" s="234" t="s">
        <v>22</v>
      </c>
      <c r="C146" s="245">
        <v>46143</v>
      </c>
      <c r="D146" s="234" t="s">
        <v>546</v>
      </c>
      <c r="E146" s="246">
        <v>50000</v>
      </c>
      <c r="F146" s="247" t="s">
        <v>2193</v>
      </c>
      <c r="G146" s="34" t="s">
        <v>7</v>
      </c>
      <c r="H146" s="234" t="s">
        <v>2187</v>
      </c>
      <c r="I146" s="248" t="s">
        <v>7</v>
      </c>
      <c r="J146" s="249" t="s">
        <v>554</v>
      </c>
      <c r="K146" s="250">
        <v>50000</v>
      </c>
      <c r="L146" s="250">
        <v>0</v>
      </c>
      <c r="M146" s="251" t="s">
        <v>22</v>
      </c>
      <c r="N146" s="252">
        <v>0</v>
      </c>
      <c r="O146" s="185" t="s">
        <v>51</v>
      </c>
    </row>
    <row r="147" spans="1:15" x14ac:dyDescent="0.25">
      <c r="A147" s="234" t="s">
        <v>2185</v>
      </c>
      <c r="B147" s="234" t="s">
        <v>22</v>
      </c>
      <c r="C147" s="245">
        <v>46143</v>
      </c>
      <c r="D147" s="234" t="s">
        <v>546</v>
      </c>
      <c r="E147" s="246">
        <v>50000</v>
      </c>
      <c r="F147" s="247" t="s">
        <v>2194</v>
      </c>
      <c r="G147" s="34" t="s">
        <v>7</v>
      </c>
      <c r="H147" s="234" t="s">
        <v>2187</v>
      </c>
      <c r="I147" s="248" t="s">
        <v>7</v>
      </c>
      <c r="J147" s="249" t="s">
        <v>554</v>
      </c>
      <c r="K147" s="250">
        <v>50000</v>
      </c>
      <c r="L147" s="250">
        <v>0</v>
      </c>
      <c r="M147" s="251" t="s">
        <v>22</v>
      </c>
      <c r="N147" s="252">
        <v>0</v>
      </c>
      <c r="O147" s="185" t="s">
        <v>51</v>
      </c>
    </row>
    <row r="148" spans="1:15" x14ac:dyDescent="0.25">
      <c r="A148" s="234" t="s">
        <v>1315</v>
      </c>
      <c r="B148" s="234" t="s">
        <v>22</v>
      </c>
      <c r="C148" s="245">
        <v>46143</v>
      </c>
      <c r="D148" s="234" t="s">
        <v>546</v>
      </c>
      <c r="E148" s="246">
        <v>25491</v>
      </c>
      <c r="F148" s="247" t="s">
        <v>1314</v>
      </c>
      <c r="G148" s="34" t="s">
        <v>7</v>
      </c>
      <c r="H148" s="234" t="s">
        <v>1316</v>
      </c>
      <c r="I148" s="248" t="s">
        <v>7</v>
      </c>
      <c r="J148" s="249" t="s">
        <v>554</v>
      </c>
      <c r="K148" s="250">
        <v>25491.17</v>
      </c>
      <c r="L148" s="250">
        <v>0</v>
      </c>
      <c r="M148" s="251" t="s">
        <v>22</v>
      </c>
      <c r="N148" s="252">
        <v>0</v>
      </c>
      <c r="O148" s="185" t="s">
        <v>51</v>
      </c>
    </row>
    <row r="149" spans="1:15" x14ac:dyDescent="0.25">
      <c r="A149" s="234" t="s">
        <v>1315</v>
      </c>
      <c r="B149" s="234" t="s">
        <v>22</v>
      </c>
      <c r="C149" s="245">
        <v>46143</v>
      </c>
      <c r="D149" s="234" t="s">
        <v>546</v>
      </c>
      <c r="E149" s="246">
        <v>100000</v>
      </c>
      <c r="F149" s="247" t="s">
        <v>1317</v>
      </c>
      <c r="G149" s="34" t="s">
        <v>7</v>
      </c>
      <c r="H149" s="234" t="s">
        <v>1316</v>
      </c>
      <c r="I149" s="248" t="s">
        <v>7</v>
      </c>
      <c r="J149" s="249" t="s">
        <v>554</v>
      </c>
      <c r="K149" s="250">
        <v>100000</v>
      </c>
      <c r="L149" s="250">
        <v>0</v>
      </c>
      <c r="M149" s="251" t="s">
        <v>22</v>
      </c>
      <c r="N149" s="252">
        <v>0</v>
      </c>
      <c r="O149" s="185" t="s">
        <v>51</v>
      </c>
    </row>
    <row r="150" spans="1:15" x14ac:dyDescent="0.25">
      <c r="A150" s="234" t="s">
        <v>1340</v>
      </c>
      <c r="B150" s="234" t="s">
        <v>22</v>
      </c>
      <c r="C150" s="245">
        <v>46143</v>
      </c>
      <c r="D150" s="234" t="s">
        <v>64</v>
      </c>
      <c r="E150" s="246">
        <v>117448</v>
      </c>
      <c r="F150" s="247">
        <v>0</v>
      </c>
      <c r="G150" s="34" t="s">
        <v>7</v>
      </c>
      <c r="H150" s="234" t="s">
        <v>1341</v>
      </c>
      <c r="I150" s="248" t="s">
        <v>7</v>
      </c>
      <c r="J150" s="249" t="s">
        <v>492</v>
      </c>
      <c r="K150" s="250">
        <v>0</v>
      </c>
      <c r="L150" s="250">
        <v>0</v>
      </c>
      <c r="M150" s="251" t="s">
        <v>22</v>
      </c>
      <c r="N150" s="252">
        <v>0</v>
      </c>
      <c r="O150" s="185" t="s">
        <v>51</v>
      </c>
    </row>
    <row r="151" spans="1:15" x14ac:dyDescent="0.25">
      <c r="A151" s="234" t="s">
        <v>7427</v>
      </c>
      <c r="B151" s="234" t="s">
        <v>22</v>
      </c>
      <c r="C151" s="245">
        <v>46143</v>
      </c>
      <c r="D151" s="234" t="s">
        <v>64</v>
      </c>
      <c r="E151" s="246">
        <v>421377</v>
      </c>
      <c r="F151" s="247" t="s">
        <v>7428</v>
      </c>
      <c r="G151" s="34" t="s">
        <v>7</v>
      </c>
      <c r="H151" s="234" t="s">
        <v>7429</v>
      </c>
      <c r="I151" s="248" t="s">
        <v>7</v>
      </c>
      <c r="J151" s="249" t="s">
        <v>492</v>
      </c>
      <c r="K151" s="250">
        <v>0</v>
      </c>
      <c r="L151" s="250">
        <v>0</v>
      </c>
      <c r="M151" s="251" t="s">
        <v>22</v>
      </c>
      <c r="N151" s="252">
        <v>0</v>
      </c>
      <c r="O151" s="185" t="s">
        <v>51</v>
      </c>
    </row>
    <row r="152" spans="1:15" x14ac:dyDescent="0.25">
      <c r="A152" s="234" t="s">
        <v>7430</v>
      </c>
      <c r="B152" s="234" t="s">
        <v>22</v>
      </c>
      <c r="C152" s="245">
        <v>46143</v>
      </c>
      <c r="D152" s="234" t="s">
        <v>64</v>
      </c>
      <c r="E152" s="246">
        <v>386778</v>
      </c>
      <c r="F152" s="247" t="s">
        <v>7431</v>
      </c>
      <c r="G152" s="34" t="s">
        <v>7</v>
      </c>
      <c r="H152" s="234" t="s">
        <v>7432</v>
      </c>
      <c r="I152" s="248" t="s">
        <v>7</v>
      </c>
      <c r="J152" s="249" t="s">
        <v>492</v>
      </c>
      <c r="K152" s="250">
        <v>0</v>
      </c>
      <c r="L152" s="250">
        <v>0</v>
      </c>
      <c r="M152" s="251" t="s">
        <v>22</v>
      </c>
      <c r="N152" s="252">
        <v>0</v>
      </c>
      <c r="O152" s="185" t="s">
        <v>51</v>
      </c>
    </row>
    <row r="153" spans="1:15" x14ac:dyDescent="0.25">
      <c r="A153" s="234" t="s">
        <v>7433</v>
      </c>
      <c r="B153" s="234" t="s">
        <v>22</v>
      </c>
      <c r="C153" s="245">
        <v>46143</v>
      </c>
      <c r="D153" s="234" t="s">
        <v>64</v>
      </c>
      <c r="E153" s="246">
        <v>362410</v>
      </c>
      <c r="F153" s="247" t="s">
        <v>7434</v>
      </c>
      <c r="G153" s="34" t="s">
        <v>7</v>
      </c>
      <c r="H153" s="234" t="s">
        <v>7435</v>
      </c>
      <c r="I153" s="248" t="s">
        <v>7</v>
      </c>
      <c r="J153" s="249" t="s">
        <v>492</v>
      </c>
      <c r="K153" s="250">
        <v>0</v>
      </c>
      <c r="L153" s="250">
        <v>0</v>
      </c>
      <c r="M153" s="251" t="s">
        <v>22</v>
      </c>
      <c r="N153" s="252">
        <v>0</v>
      </c>
      <c r="O153" s="185" t="s">
        <v>51</v>
      </c>
    </row>
    <row r="154" spans="1:15" x14ac:dyDescent="0.25">
      <c r="A154" s="234" t="s">
        <v>757</v>
      </c>
      <c r="B154" s="234" t="s">
        <v>22</v>
      </c>
      <c r="C154" s="245">
        <v>46143</v>
      </c>
      <c r="D154" s="234" t="s">
        <v>546</v>
      </c>
      <c r="E154" s="246">
        <v>50000</v>
      </c>
      <c r="F154" s="247" t="s">
        <v>756</v>
      </c>
      <c r="G154" s="34" t="s">
        <v>7</v>
      </c>
      <c r="H154" s="234" t="s">
        <v>758</v>
      </c>
      <c r="I154" s="248" t="s">
        <v>7</v>
      </c>
      <c r="J154" s="249" t="s">
        <v>554</v>
      </c>
      <c r="K154" s="250">
        <v>50000</v>
      </c>
      <c r="L154" s="250">
        <v>0</v>
      </c>
      <c r="M154" s="251" t="s">
        <v>22</v>
      </c>
      <c r="N154" s="252">
        <v>0</v>
      </c>
      <c r="O154" s="185" t="s">
        <v>51</v>
      </c>
    </row>
    <row r="155" spans="1:15" x14ac:dyDescent="0.25">
      <c r="A155" s="234" t="s">
        <v>7436</v>
      </c>
      <c r="B155" s="234" t="s">
        <v>23</v>
      </c>
      <c r="C155" s="245">
        <v>46143</v>
      </c>
      <c r="D155" s="234" t="s">
        <v>7287</v>
      </c>
      <c r="E155" s="246">
        <v>159387</v>
      </c>
      <c r="F155" s="247">
        <v>0</v>
      </c>
      <c r="G155" s="34" t="s">
        <v>7</v>
      </c>
      <c r="H155" s="234" t="s">
        <v>7437</v>
      </c>
      <c r="I155" s="248" t="s">
        <v>7</v>
      </c>
      <c r="J155" s="249" t="s">
        <v>492</v>
      </c>
      <c r="K155" s="250">
        <v>0</v>
      </c>
      <c r="L155" s="250">
        <v>0</v>
      </c>
      <c r="M155" s="251" t="s">
        <v>23</v>
      </c>
      <c r="N155" s="252">
        <v>0</v>
      </c>
      <c r="O155" s="185" t="s">
        <v>51</v>
      </c>
    </row>
    <row r="156" spans="1:15" x14ac:dyDescent="0.25">
      <c r="A156" s="234" t="s">
        <v>455</v>
      </c>
      <c r="B156" s="234" t="s">
        <v>23</v>
      </c>
      <c r="C156" s="245">
        <v>46143</v>
      </c>
      <c r="D156" s="234" t="s">
        <v>64</v>
      </c>
      <c r="E156" s="246">
        <v>100000</v>
      </c>
      <c r="F156" s="247" t="s">
        <v>1431</v>
      </c>
      <c r="G156" s="34" t="s">
        <v>7</v>
      </c>
      <c r="H156" s="234" t="s">
        <v>454</v>
      </c>
      <c r="I156" s="248" t="s">
        <v>7</v>
      </c>
      <c r="J156" s="249" t="s">
        <v>554</v>
      </c>
      <c r="K156" s="250">
        <v>100000</v>
      </c>
      <c r="L156" s="250">
        <v>0</v>
      </c>
      <c r="M156" s="251" t="s">
        <v>23</v>
      </c>
      <c r="N156" s="252">
        <v>0</v>
      </c>
      <c r="O156" s="185" t="s">
        <v>51</v>
      </c>
    </row>
    <row r="157" spans="1:15" x14ac:dyDescent="0.25">
      <c r="A157" s="234" t="s">
        <v>467</v>
      </c>
      <c r="B157" s="234" t="s">
        <v>23</v>
      </c>
      <c r="C157" s="245">
        <v>46143</v>
      </c>
      <c r="D157" s="234" t="s">
        <v>64</v>
      </c>
      <c r="E157" s="246">
        <v>100000</v>
      </c>
      <c r="F157" s="247" t="s">
        <v>1433</v>
      </c>
      <c r="G157" s="34" t="s">
        <v>7</v>
      </c>
      <c r="H157" s="234" t="s">
        <v>466</v>
      </c>
      <c r="I157" s="248" t="s">
        <v>7</v>
      </c>
      <c r="J157" s="249" t="s">
        <v>554</v>
      </c>
      <c r="K157" s="250">
        <v>100000</v>
      </c>
      <c r="L157" s="250">
        <v>0</v>
      </c>
      <c r="M157" s="251" t="s">
        <v>23</v>
      </c>
      <c r="N157" s="252">
        <v>0</v>
      </c>
      <c r="O157" s="185" t="s">
        <v>51</v>
      </c>
    </row>
    <row r="158" spans="1:15" x14ac:dyDescent="0.25">
      <c r="A158" s="234" t="s">
        <v>347</v>
      </c>
      <c r="B158" s="234" t="s">
        <v>23</v>
      </c>
      <c r="C158" s="245">
        <v>46143</v>
      </c>
      <c r="D158" s="234" t="s">
        <v>7289</v>
      </c>
      <c r="E158" s="246">
        <v>160522</v>
      </c>
      <c r="F158" s="247" t="s">
        <v>1377</v>
      </c>
      <c r="G158" s="34" t="s">
        <v>7</v>
      </c>
      <c r="H158" s="234" t="s">
        <v>346</v>
      </c>
      <c r="I158" s="248" t="s">
        <v>7</v>
      </c>
      <c r="J158" s="249" t="s">
        <v>554</v>
      </c>
      <c r="K158" s="250">
        <v>160522</v>
      </c>
      <c r="L158" s="250">
        <v>0</v>
      </c>
      <c r="M158" s="251" t="s">
        <v>23</v>
      </c>
      <c r="N158" s="252">
        <v>0</v>
      </c>
      <c r="O158" s="185" t="s">
        <v>51</v>
      </c>
    </row>
    <row r="159" spans="1:15" x14ac:dyDescent="0.25">
      <c r="A159" s="234" t="s">
        <v>231</v>
      </c>
      <c r="B159" s="234" t="s">
        <v>23</v>
      </c>
      <c r="C159" s="245">
        <v>46143</v>
      </c>
      <c r="D159" s="234" t="s">
        <v>64</v>
      </c>
      <c r="E159" s="246">
        <v>150062</v>
      </c>
      <c r="F159" s="247">
        <v>0</v>
      </c>
      <c r="G159" s="34" t="s">
        <v>7</v>
      </c>
      <c r="H159" s="234" t="s">
        <v>230</v>
      </c>
      <c r="I159" s="248" t="s">
        <v>7</v>
      </c>
      <c r="J159" s="249" t="s">
        <v>492</v>
      </c>
      <c r="K159" s="250">
        <v>0</v>
      </c>
      <c r="L159" s="250">
        <v>0</v>
      </c>
      <c r="M159" s="251" t="s">
        <v>23</v>
      </c>
      <c r="N159" s="252">
        <v>0</v>
      </c>
      <c r="O159" s="185" t="s">
        <v>51</v>
      </c>
    </row>
    <row r="160" spans="1:15" x14ac:dyDescent="0.25">
      <c r="A160" s="234" t="s">
        <v>7438</v>
      </c>
      <c r="B160" s="234" t="s">
        <v>13</v>
      </c>
      <c r="C160" s="245">
        <v>46143</v>
      </c>
      <c r="D160" s="234" t="s">
        <v>7439</v>
      </c>
      <c r="E160" s="246">
        <v>50000</v>
      </c>
      <c r="F160" s="247" t="s">
        <v>7440</v>
      </c>
      <c r="G160" s="34" t="s">
        <v>7</v>
      </c>
      <c r="H160" s="234" t="s">
        <v>7441</v>
      </c>
      <c r="I160" s="248" t="s">
        <v>7</v>
      </c>
      <c r="J160" s="249" t="s">
        <v>492</v>
      </c>
      <c r="K160" s="250">
        <v>0</v>
      </c>
      <c r="L160" s="250">
        <v>0</v>
      </c>
      <c r="M160" s="251" t="s">
        <v>13</v>
      </c>
      <c r="N160" s="252">
        <v>0</v>
      </c>
      <c r="O160" s="185" t="s">
        <v>51</v>
      </c>
    </row>
    <row r="161" spans="1:15" x14ac:dyDescent="0.25">
      <c r="A161" s="234" t="s">
        <v>552</v>
      </c>
      <c r="B161" s="234" t="s">
        <v>13</v>
      </c>
      <c r="C161" s="245">
        <v>46143</v>
      </c>
      <c r="D161" s="234" t="s">
        <v>7439</v>
      </c>
      <c r="E161" s="246">
        <v>150000</v>
      </c>
      <c r="F161" s="247" t="s">
        <v>7440</v>
      </c>
      <c r="G161" s="34" t="s">
        <v>7</v>
      </c>
      <c r="H161" s="234" t="s">
        <v>555</v>
      </c>
      <c r="I161" s="248" t="s">
        <v>7</v>
      </c>
      <c r="J161" s="249" t="s">
        <v>492</v>
      </c>
      <c r="K161" s="250">
        <v>0</v>
      </c>
      <c r="L161" s="250">
        <v>0</v>
      </c>
      <c r="M161" s="251" t="s">
        <v>13</v>
      </c>
      <c r="N161" s="252">
        <v>0</v>
      </c>
      <c r="O161" s="185" t="s">
        <v>51</v>
      </c>
    </row>
    <row r="162" spans="1:15" x14ac:dyDescent="0.25">
      <c r="A162" s="234" t="s">
        <v>4528</v>
      </c>
      <c r="B162" s="234" t="s">
        <v>31</v>
      </c>
      <c r="C162" s="245">
        <v>46143</v>
      </c>
      <c r="D162" s="234" t="s">
        <v>546</v>
      </c>
      <c r="E162" s="246">
        <v>12775</v>
      </c>
      <c r="F162" s="247" t="s">
        <v>7442</v>
      </c>
      <c r="G162" s="34" t="s">
        <v>7</v>
      </c>
      <c r="H162" s="234" t="s">
        <v>4529</v>
      </c>
      <c r="I162" s="248" t="s">
        <v>7</v>
      </c>
      <c r="J162" s="249" t="s">
        <v>492</v>
      </c>
      <c r="K162" s="250">
        <v>0</v>
      </c>
      <c r="L162" s="250">
        <v>0</v>
      </c>
      <c r="M162" s="251" t="s">
        <v>31</v>
      </c>
      <c r="N162" s="252">
        <v>0</v>
      </c>
      <c r="O162" s="185" t="s">
        <v>51</v>
      </c>
    </row>
    <row r="163" spans="1:15" x14ac:dyDescent="0.25">
      <c r="A163" s="234" t="s">
        <v>7443</v>
      </c>
      <c r="B163" s="234" t="s">
        <v>31</v>
      </c>
      <c r="C163" s="245">
        <v>46143</v>
      </c>
      <c r="D163" s="234" t="s">
        <v>546</v>
      </c>
      <c r="E163" s="246">
        <v>44718</v>
      </c>
      <c r="F163" s="247" t="s">
        <v>7444</v>
      </c>
      <c r="G163" s="34" t="s">
        <v>7</v>
      </c>
      <c r="H163" s="234" t="s">
        <v>7445</v>
      </c>
      <c r="I163" s="248" t="s">
        <v>7</v>
      </c>
      <c r="J163" s="249" t="s">
        <v>492</v>
      </c>
      <c r="K163" s="250">
        <v>0</v>
      </c>
      <c r="L163" s="250">
        <v>0</v>
      </c>
      <c r="M163" s="251" t="s">
        <v>31</v>
      </c>
      <c r="N163" s="252">
        <v>0</v>
      </c>
      <c r="O163" s="185" t="s">
        <v>51</v>
      </c>
    </row>
    <row r="164" spans="1:15" x14ac:dyDescent="0.25">
      <c r="A164" s="234" t="s">
        <v>4515</v>
      </c>
      <c r="B164" s="234" t="s">
        <v>31</v>
      </c>
      <c r="C164" s="245">
        <v>46143</v>
      </c>
      <c r="D164" s="234" t="s">
        <v>546</v>
      </c>
      <c r="E164" s="246">
        <v>20000</v>
      </c>
      <c r="F164" s="247" t="s">
        <v>4514</v>
      </c>
      <c r="G164" s="34" t="s">
        <v>7</v>
      </c>
      <c r="H164" s="234" t="s">
        <v>4516</v>
      </c>
      <c r="I164" s="248" t="s">
        <v>7</v>
      </c>
      <c r="J164" s="249" t="s">
        <v>554</v>
      </c>
      <c r="K164" s="250">
        <v>20000</v>
      </c>
      <c r="L164" s="250">
        <v>0</v>
      </c>
      <c r="M164" s="251" t="s">
        <v>31</v>
      </c>
      <c r="N164" s="252">
        <v>0</v>
      </c>
      <c r="O164" s="185" t="s">
        <v>51</v>
      </c>
    </row>
    <row r="165" spans="1:15" x14ac:dyDescent="0.25">
      <c r="A165" s="234" t="s">
        <v>2775</v>
      </c>
      <c r="B165" s="234" t="s">
        <v>31</v>
      </c>
      <c r="C165" s="245">
        <v>46143</v>
      </c>
      <c r="D165" s="234" t="s">
        <v>546</v>
      </c>
      <c r="E165" s="246">
        <v>8000</v>
      </c>
      <c r="F165" s="247" t="s">
        <v>2774</v>
      </c>
      <c r="G165" s="34" t="s">
        <v>7</v>
      </c>
      <c r="H165" s="234" t="s">
        <v>2776</v>
      </c>
      <c r="I165" s="248" t="s">
        <v>7</v>
      </c>
      <c r="J165" s="249" t="s">
        <v>554</v>
      </c>
      <c r="K165" s="250">
        <v>8000</v>
      </c>
      <c r="L165" s="250">
        <v>0</v>
      </c>
      <c r="M165" s="251" t="s">
        <v>31</v>
      </c>
      <c r="N165" s="252">
        <v>0</v>
      </c>
      <c r="O165" s="185" t="s">
        <v>51</v>
      </c>
    </row>
    <row r="166" spans="1:15" x14ac:dyDescent="0.25">
      <c r="A166" s="234" t="s">
        <v>4952</v>
      </c>
      <c r="B166" s="234" t="s">
        <v>31</v>
      </c>
      <c r="C166" s="245">
        <v>46143</v>
      </c>
      <c r="D166" s="234" t="s">
        <v>546</v>
      </c>
      <c r="E166" s="246">
        <v>60000</v>
      </c>
      <c r="F166" s="247" t="s">
        <v>4954</v>
      </c>
      <c r="G166" s="34" t="s">
        <v>7</v>
      </c>
      <c r="H166" s="234" t="s">
        <v>4953</v>
      </c>
      <c r="I166" s="248" t="s">
        <v>7</v>
      </c>
      <c r="J166" s="249" t="s">
        <v>554</v>
      </c>
      <c r="K166" s="250">
        <v>60000</v>
      </c>
      <c r="L166" s="250">
        <v>0</v>
      </c>
      <c r="M166" s="251" t="s">
        <v>31</v>
      </c>
      <c r="N166" s="252">
        <v>0</v>
      </c>
      <c r="O166" s="185" t="s">
        <v>51</v>
      </c>
    </row>
    <row r="167" spans="1:15" x14ac:dyDescent="0.25">
      <c r="A167" s="234" t="s">
        <v>4719</v>
      </c>
      <c r="B167" s="234" t="s">
        <v>31</v>
      </c>
      <c r="C167" s="245">
        <v>46143</v>
      </c>
      <c r="D167" s="234" t="s">
        <v>546</v>
      </c>
      <c r="E167" s="246">
        <v>100000</v>
      </c>
      <c r="F167" s="247" t="s">
        <v>4723</v>
      </c>
      <c r="G167" s="34" t="s">
        <v>7</v>
      </c>
      <c r="H167" s="234" t="s">
        <v>4720</v>
      </c>
      <c r="I167" s="248" t="s">
        <v>7</v>
      </c>
      <c r="J167" s="249" t="s">
        <v>554</v>
      </c>
      <c r="K167" s="250">
        <v>100000</v>
      </c>
      <c r="L167" s="250">
        <v>0</v>
      </c>
      <c r="M167" s="251" t="s">
        <v>31</v>
      </c>
      <c r="N167" s="252">
        <v>0</v>
      </c>
      <c r="O167" s="185" t="s">
        <v>51</v>
      </c>
    </row>
    <row r="168" spans="1:15" x14ac:dyDescent="0.25">
      <c r="A168" s="234" t="s">
        <v>2540</v>
      </c>
      <c r="B168" s="234" t="s">
        <v>31</v>
      </c>
      <c r="C168" s="245">
        <v>46143</v>
      </c>
      <c r="D168" s="234" t="s">
        <v>575</v>
      </c>
      <c r="E168" s="246">
        <v>50000</v>
      </c>
      <c r="F168" s="247" t="s">
        <v>2542</v>
      </c>
      <c r="G168" s="34" t="s">
        <v>7</v>
      </c>
      <c r="H168" s="234" t="s">
        <v>2541</v>
      </c>
      <c r="I168" s="248" t="s">
        <v>7</v>
      </c>
      <c r="J168" s="249" t="s">
        <v>554</v>
      </c>
      <c r="K168" s="250">
        <v>50000</v>
      </c>
      <c r="L168" s="250">
        <v>0</v>
      </c>
      <c r="M168" s="251" t="s">
        <v>31</v>
      </c>
      <c r="N168" s="252">
        <v>0</v>
      </c>
      <c r="O168" s="185" t="s">
        <v>51</v>
      </c>
    </row>
    <row r="169" spans="1:15" x14ac:dyDescent="0.25">
      <c r="A169" s="234" t="s">
        <v>2540</v>
      </c>
      <c r="B169" s="234" t="s">
        <v>31</v>
      </c>
      <c r="C169" s="245">
        <v>46143</v>
      </c>
      <c r="D169" s="234" t="s">
        <v>575</v>
      </c>
      <c r="E169" s="246">
        <v>50000</v>
      </c>
      <c r="F169" s="247" t="s">
        <v>2539</v>
      </c>
      <c r="G169" s="34" t="s">
        <v>7</v>
      </c>
      <c r="H169" s="234" t="s">
        <v>2541</v>
      </c>
      <c r="I169" s="248" t="s">
        <v>7</v>
      </c>
      <c r="J169" s="249" t="s">
        <v>554</v>
      </c>
      <c r="K169" s="250">
        <v>50000</v>
      </c>
      <c r="L169" s="250">
        <v>0</v>
      </c>
      <c r="M169" s="251" t="s">
        <v>31</v>
      </c>
      <c r="N169" s="252">
        <v>0</v>
      </c>
      <c r="O169" s="185" t="s">
        <v>51</v>
      </c>
    </row>
    <row r="170" spans="1:15" x14ac:dyDescent="0.25">
      <c r="A170" s="234" t="s">
        <v>4952</v>
      </c>
      <c r="B170" s="234" t="s">
        <v>31</v>
      </c>
      <c r="C170" s="245">
        <v>46143</v>
      </c>
      <c r="D170" s="234" t="s">
        <v>575</v>
      </c>
      <c r="E170" s="246">
        <v>96974</v>
      </c>
      <c r="F170" s="247" t="s">
        <v>4951</v>
      </c>
      <c r="G170" s="34" t="s">
        <v>7</v>
      </c>
      <c r="H170" s="234" t="s">
        <v>4953</v>
      </c>
      <c r="I170" s="248" t="s">
        <v>7</v>
      </c>
      <c r="J170" s="249" t="s">
        <v>554</v>
      </c>
      <c r="K170" s="250">
        <v>96973.42</v>
      </c>
      <c r="L170" s="250">
        <v>0</v>
      </c>
      <c r="M170" s="251" t="s">
        <v>31</v>
      </c>
      <c r="N170" s="252">
        <v>0</v>
      </c>
      <c r="O170" s="185" t="s">
        <v>51</v>
      </c>
    </row>
    <row r="171" spans="1:15" x14ac:dyDescent="0.25">
      <c r="A171" s="234" t="s">
        <v>2633</v>
      </c>
      <c r="B171" s="234" t="s">
        <v>31</v>
      </c>
      <c r="C171" s="245">
        <v>46143</v>
      </c>
      <c r="D171" s="234" t="s">
        <v>575</v>
      </c>
      <c r="E171" s="246">
        <v>30000</v>
      </c>
      <c r="F171" s="247">
        <v>0</v>
      </c>
      <c r="G171" s="34" t="s">
        <v>7</v>
      </c>
      <c r="H171" s="234" t="s">
        <v>2634</v>
      </c>
      <c r="I171" s="248" t="s">
        <v>7</v>
      </c>
      <c r="J171" s="249" t="s">
        <v>492</v>
      </c>
      <c r="K171" s="250">
        <v>0</v>
      </c>
      <c r="L171" s="250">
        <v>0</v>
      </c>
      <c r="M171" s="251" t="s">
        <v>31</v>
      </c>
      <c r="N171" s="252">
        <v>0</v>
      </c>
      <c r="O171" s="185" t="s">
        <v>51</v>
      </c>
    </row>
    <row r="172" spans="1:15" x14ac:dyDescent="0.25">
      <c r="A172" s="234" t="s">
        <v>7446</v>
      </c>
      <c r="B172" s="234" t="s">
        <v>20</v>
      </c>
      <c r="C172" s="245">
        <v>46143</v>
      </c>
      <c r="D172" s="234">
        <v>0</v>
      </c>
      <c r="E172" s="246">
        <v>264966</v>
      </c>
      <c r="F172" s="247" t="s">
        <v>7447</v>
      </c>
      <c r="G172" s="34" t="s">
        <v>7</v>
      </c>
      <c r="H172" s="234" t="s">
        <v>7448</v>
      </c>
      <c r="I172" s="248" t="s">
        <v>7</v>
      </c>
      <c r="J172" s="249" t="s">
        <v>492</v>
      </c>
      <c r="K172" s="250">
        <v>0</v>
      </c>
      <c r="L172" s="250">
        <v>0</v>
      </c>
      <c r="M172" s="251" t="s">
        <v>20</v>
      </c>
      <c r="N172" s="252">
        <v>0</v>
      </c>
      <c r="O172" s="185" t="s">
        <v>51</v>
      </c>
    </row>
    <row r="173" spans="1:15" x14ac:dyDescent="0.25">
      <c r="A173" s="234" t="s">
        <v>7449</v>
      </c>
      <c r="B173" s="234" t="s">
        <v>20</v>
      </c>
      <c r="C173" s="245">
        <v>46143</v>
      </c>
      <c r="D173" s="234">
        <v>0</v>
      </c>
      <c r="E173" s="246">
        <v>343453</v>
      </c>
      <c r="F173" s="247" t="s">
        <v>7450</v>
      </c>
      <c r="G173" s="34" t="s">
        <v>7</v>
      </c>
      <c r="H173" s="234" t="s">
        <v>7451</v>
      </c>
      <c r="I173" s="248" t="s">
        <v>7</v>
      </c>
      <c r="J173" s="249" t="s">
        <v>492</v>
      </c>
      <c r="K173" s="250">
        <v>0</v>
      </c>
      <c r="L173" s="250">
        <v>0</v>
      </c>
      <c r="M173" s="251" t="s">
        <v>20</v>
      </c>
      <c r="N173" s="252">
        <v>0</v>
      </c>
      <c r="O173" s="185" t="s">
        <v>51</v>
      </c>
    </row>
    <row r="174" spans="1:15" x14ac:dyDescent="0.25">
      <c r="A174" s="234" t="s">
        <v>7452</v>
      </c>
      <c r="B174" s="234" t="s">
        <v>20</v>
      </c>
      <c r="C174" s="245">
        <v>46143</v>
      </c>
      <c r="D174" s="234">
        <v>0</v>
      </c>
      <c r="E174" s="246">
        <v>1642520</v>
      </c>
      <c r="F174" s="247" t="s">
        <v>7453</v>
      </c>
      <c r="G174" s="34" t="s">
        <v>7</v>
      </c>
      <c r="H174" s="234" t="s">
        <v>7454</v>
      </c>
      <c r="I174" s="248" t="s">
        <v>7</v>
      </c>
      <c r="J174" s="249" t="s">
        <v>492</v>
      </c>
      <c r="K174" s="250">
        <v>0</v>
      </c>
      <c r="L174" s="250">
        <v>0</v>
      </c>
      <c r="M174" s="251" t="s">
        <v>20</v>
      </c>
      <c r="N174" s="252">
        <v>0</v>
      </c>
      <c r="O174" s="185" t="s">
        <v>51</v>
      </c>
    </row>
    <row r="175" spans="1:15" x14ac:dyDescent="0.25">
      <c r="A175" s="234" t="s">
        <v>1301</v>
      </c>
      <c r="B175" s="234" t="s">
        <v>20</v>
      </c>
      <c r="C175" s="245">
        <v>46143</v>
      </c>
      <c r="D175" s="234">
        <v>0</v>
      </c>
      <c r="E175" s="246">
        <v>120032</v>
      </c>
      <c r="F175" s="247" t="s">
        <v>1300</v>
      </c>
      <c r="G175" s="34" t="s">
        <v>7</v>
      </c>
      <c r="H175" s="234" t="s">
        <v>1302</v>
      </c>
      <c r="I175" s="248" t="s">
        <v>7</v>
      </c>
      <c r="J175" s="249" t="s">
        <v>554</v>
      </c>
      <c r="K175" s="250">
        <v>120032</v>
      </c>
      <c r="L175" s="250">
        <v>0</v>
      </c>
      <c r="M175" s="251" t="s">
        <v>20</v>
      </c>
      <c r="N175" s="252">
        <v>0</v>
      </c>
      <c r="O175" s="185" t="s">
        <v>51</v>
      </c>
    </row>
    <row r="176" spans="1:15" x14ac:dyDescent="0.25">
      <c r="A176" s="234" t="s">
        <v>1288</v>
      </c>
      <c r="B176" s="234" t="s">
        <v>20</v>
      </c>
      <c r="C176" s="245">
        <v>46143</v>
      </c>
      <c r="D176" s="234">
        <v>0</v>
      </c>
      <c r="E176" s="246">
        <v>35000</v>
      </c>
      <c r="F176" s="247" t="s">
        <v>7455</v>
      </c>
      <c r="G176" s="34" t="s">
        <v>7</v>
      </c>
      <c r="H176" s="234" t="s">
        <v>1289</v>
      </c>
      <c r="I176" s="248" t="s">
        <v>7</v>
      </c>
      <c r="J176" s="249" t="s">
        <v>492</v>
      </c>
      <c r="K176" s="250">
        <v>0</v>
      </c>
      <c r="L176" s="250">
        <v>0</v>
      </c>
      <c r="M176" s="251" t="s">
        <v>20</v>
      </c>
      <c r="N176" s="252">
        <v>0</v>
      </c>
      <c r="O176" s="185" t="s">
        <v>51</v>
      </c>
    </row>
    <row r="177" spans="1:15" x14ac:dyDescent="0.25">
      <c r="A177" s="234" t="s">
        <v>1285</v>
      </c>
      <c r="B177" s="234" t="s">
        <v>20</v>
      </c>
      <c r="C177" s="245">
        <v>46143</v>
      </c>
      <c r="D177" s="234">
        <v>0</v>
      </c>
      <c r="E177" s="246">
        <v>81518</v>
      </c>
      <c r="F177" s="247" t="s">
        <v>1284</v>
      </c>
      <c r="G177" s="34" t="s">
        <v>7</v>
      </c>
      <c r="H177" s="234" t="s">
        <v>1286</v>
      </c>
      <c r="I177" s="248" t="s">
        <v>7</v>
      </c>
      <c r="J177" s="249" t="s">
        <v>554</v>
      </c>
      <c r="K177" s="250">
        <v>81518</v>
      </c>
      <c r="L177" s="250">
        <v>0</v>
      </c>
      <c r="M177" s="251" t="s">
        <v>20</v>
      </c>
      <c r="N177" s="252">
        <v>0</v>
      </c>
      <c r="O177" s="185" t="s">
        <v>51</v>
      </c>
    </row>
    <row r="178" spans="1:15" x14ac:dyDescent="0.25">
      <c r="A178" s="234" t="s">
        <v>1716</v>
      </c>
      <c r="B178" s="234" t="s">
        <v>20</v>
      </c>
      <c r="C178" s="245">
        <v>46143</v>
      </c>
      <c r="D178" s="234">
        <v>0</v>
      </c>
      <c r="E178" s="246">
        <v>250000</v>
      </c>
      <c r="F178" s="247">
        <v>0</v>
      </c>
      <c r="G178" s="34" t="s">
        <v>7</v>
      </c>
      <c r="H178" s="234" t="s">
        <v>1717</v>
      </c>
      <c r="I178" s="248" t="s">
        <v>7</v>
      </c>
      <c r="J178" s="249" t="s">
        <v>492</v>
      </c>
      <c r="K178" s="250">
        <v>0</v>
      </c>
      <c r="L178" s="250">
        <v>0</v>
      </c>
      <c r="M178" s="251" t="s">
        <v>20</v>
      </c>
      <c r="N178" s="252">
        <v>0</v>
      </c>
      <c r="O178" s="185" t="s">
        <v>51</v>
      </c>
    </row>
    <row r="179" spans="1:15" x14ac:dyDescent="0.25">
      <c r="A179" s="234" t="s">
        <v>2262</v>
      </c>
      <c r="B179" s="234" t="s">
        <v>24</v>
      </c>
      <c r="C179" s="245">
        <v>46143</v>
      </c>
      <c r="D179" s="234">
        <v>0</v>
      </c>
      <c r="E179" s="246">
        <v>30850</v>
      </c>
      <c r="F179" s="247" t="s">
        <v>2261</v>
      </c>
      <c r="G179" s="34" t="s">
        <v>7</v>
      </c>
      <c r="H179" s="234" t="s">
        <v>2263</v>
      </c>
      <c r="I179" s="248" t="s">
        <v>7</v>
      </c>
      <c r="J179" s="249" t="s">
        <v>554</v>
      </c>
      <c r="K179" s="250">
        <v>30835</v>
      </c>
      <c r="L179" s="250">
        <v>0</v>
      </c>
      <c r="M179" s="251" t="s">
        <v>24</v>
      </c>
      <c r="N179" s="252">
        <v>0</v>
      </c>
      <c r="O179" s="185" t="s">
        <v>51</v>
      </c>
    </row>
    <row r="180" spans="1:15" x14ac:dyDescent="0.25">
      <c r="A180" s="234" t="s">
        <v>2262</v>
      </c>
      <c r="B180" s="234" t="s">
        <v>24</v>
      </c>
      <c r="C180" s="245">
        <v>46143</v>
      </c>
      <c r="D180" s="234">
        <v>0</v>
      </c>
      <c r="E180" s="246">
        <v>49000</v>
      </c>
      <c r="F180" s="247" t="s">
        <v>2264</v>
      </c>
      <c r="G180" s="34" t="s">
        <v>7</v>
      </c>
      <c r="H180" s="234" t="s">
        <v>2263</v>
      </c>
      <c r="I180" s="248" t="s">
        <v>7</v>
      </c>
      <c r="J180" s="249" t="s">
        <v>554</v>
      </c>
      <c r="K180" s="250">
        <v>49000</v>
      </c>
      <c r="L180" s="250">
        <v>0</v>
      </c>
      <c r="M180" s="251" t="s">
        <v>24</v>
      </c>
      <c r="N180" s="252">
        <v>0</v>
      </c>
      <c r="O180" s="185" t="s">
        <v>51</v>
      </c>
    </row>
    <row r="181" spans="1:15" x14ac:dyDescent="0.25">
      <c r="A181" s="234" t="s">
        <v>1812</v>
      </c>
      <c r="B181" s="234" t="s">
        <v>24</v>
      </c>
      <c r="C181" s="245">
        <v>46143</v>
      </c>
      <c r="D181" s="234">
        <v>0</v>
      </c>
      <c r="E181" s="246">
        <v>80000</v>
      </c>
      <c r="F181" s="247" t="s">
        <v>1815</v>
      </c>
      <c r="G181" s="34" t="s">
        <v>7</v>
      </c>
      <c r="H181" s="234" t="s">
        <v>1814</v>
      </c>
      <c r="I181" s="248" t="s">
        <v>7</v>
      </c>
      <c r="J181" s="249" t="s">
        <v>554</v>
      </c>
      <c r="K181" s="250">
        <v>0</v>
      </c>
      <c r="L181" s="250">
        <v>0</v>
      </c>
      <c r="M181" s="251" t="s">
        <v>24</v>
      </c>
      <c r="N181" s="252">
        <v>0</v>
      </c>
      <c r="O181" s="185" t="s">
        <v>51</v>
      </c>
    </row>
    <row r="182" spans="1:15" x14ac:dyDescent="0.25">
      <c r="A182" s="234" t="s">
        <v>1812</v>
      </c>
      <c r="B182" s="234" t="s">
        <v>24</v>
      </c>
      <c r="C182" s="245">
        <v>46143</v>
      </c>
      <c r="D182" s="234">
        <v>0</v>
      </c>
      <c r="E182" s="246">
        <v>27651</v>
      </c>
      <c r="F182" s="247" t="s">
        <v>1811</v>
      </c>
      <c r="G182" s="34" t="s">
        <v>7</v>
      </c>
      <c r="H182" s="234" t="s">
        <v>1814</v>
      </c>
      <c r="I182" s="248" t="s">
        <v>7</v>
      </c>
      <c r="J182" s="249" t="s">
        <v>554</v>
      </c>
      <c r="K182" s="250">
        <v>0</v>
      </c>
      <c r="L182" s="250">
        <v>0</v>
      </c>
      <c r="M182" s="251" t="s">
        <v>24</v>
      </c>
      <c r="N182" s="252">
        <v>0</v>
      </c>
      <c r="O182" s="185" t="s">
        <v>51</v>
      </c>
    </row>
    <row r="183" spans="1:15" x14ac:dyDescent="0.25">
      <c r="A183" s="234" t="s">
        <v>2349</v>
      </c>
      <c r="B183" s="234" t="s">
        <v>24</v>
      </c>
      <c r="C183" s="245">
        <v>46143</v>
      </c>
      <c r="D183" s="234">
        <v>0</v>
      </c>
      <c r="E183" s="246">
        <v>294188</v>
      </c>
      <c r="F183" s="247" t="s">
        <v>2348</v>
      </c>
      <c r="G183" s="34" t="s">
        <v>7</v>
      </c>
      <c r="H183" s="234" t="s">
        <v>2350</v>
      </c>
      <c r="I183" s="248" t="s">
        <v>7</v>
      </c>
      <c r="J183" s="249" t="s">
        <v>554</v>
      </c>
      <c r="K183" s="250">
        <v>294188</v>
      </c>
      <c r="L183" s="250">
        <v>0</v>
      </c>
      <c r="M183" s="251" t="s">
        <v>24</v>
      </c>
      <c r="N183" s="252">
        <v>0</v>
      </c>
      <c r="O183" s="185" t="s">
        <v>51</v>
      </c>
    </row>
    <row r="184" spans="1:15" x14ac:dyDescent="0.25">
      <c r="A184" s="234" t="s">
        <v>7456</v>
      </c>
      <c r="B184" s="234" t="s">
        <v>24</v>
      </c>
      <c r="C184" s="245">
        <v>46143</v>
      </c>
      <c r="D184" s="234">
        <v>0</v>
      </c>
      <c r="E184" s="246">
        <v>340000</v>
      </c>
      <c r="F184" s="247" t="s">
        <v>7457</v>
      </c>
      <c r="G184" s="34" t="s">
        <v>7</v>
      </c>
      <c r="H184" s="234" t="s">
        <v>7458</v>
      </c>
      <c r="I184" s="248" t="s">
        <v>7</v>
      </c>
      <c r="J184" s="249" t="s">
        <v>492</v>
      </c>
      <c r="K184" s="250">
        <v>0</v>
      </c>
      <c r="L184" s="250">
        <v>0</v>
      </c>
      <c r="M184" s="251" t="s">
        <v>24</v>
      </c>
      <c r="N184" s="252">
        <v>0</v>
      </c>
      <c r="O184" s="185" t="s">
        <v>51</v>
      </c>
    </row>
    <row r="185" spans="1:15" x14ac:dyDescent="0.25">
      <c r="A185" s="234" t="s">
        <v>7459</v>
      </c>
      <c r="B185" s="234" t="s">
        <v>24</v>
      </c>
      <c r="C185" s="245">
        <v>46143</v>
      </c>
      <c r="D185" s="234">
        <v>0</v>
      </c>
      <c r="E185" s="246">
        <v>30000</v>
      </c>
      <c r="F185" s="247" t="s">
        <v>7460</v>
      </c>
      <c r="G185" s="34" t="s">
        <v>7</v>
      </c>
      <c r="H185" s="234" t="s">
        <v>7461</v>
      </c>
      <c r="I185" s="248" t="s">
        <v>7</v>
      </c>
      <c r="J185" s="249" t="s">
        <v>492</v>
      </c>
      <c r="K185" s="250">
        <v>0</v>
      </c>
      <c r="L185" s="250">
        <v>0</v>
      </c>
      <c r="M185" s="251" t="s">
        <v>24</v>
      </c>
      <c r="N185" s="252">
        <v>0</v>
      </c>
      <c r="O185" s="185" t="s">
        <v>51</v>
      </c>
    </row>
    <row r="186" spans="1:15" x14ac:dyDescent="0.25">
      <c r="A186" s="234" t="s">
        <v>7459</v>
      </c>
      <c r="B186" s="234" t="s">
        <v>24</v>
      </c>
      <c r="C186" s="245">
        <v>46143</v>
      </c>
      <c r="D186" s="234">
        <v>0</v>
      </c>
      <c r="E186" s="246">
        <v>38000</v>
      </c>
      <c r="F186" s="247" t="s">
        <v>7462</v>
      </c>
      <c r="G186" s="34" t="s">
        <v>7</v>
      </c>
      <c r="H186" s="234" t="s">
        <v>7461</v>
      </c>
      <c r="I186" s="248" t="s">
        <v>7</v>
      </c>
      <c r="J186" s="249" t="s">
        <v>492</v>
      </c>
      <c r="K186" s="250">
        <v>0</v>
      </c>
      <c r="L186" s="250">
        <v>0</v>
      </c>
      <c r="M186" s="251" t="s">
        <v>24</v>
      </c>
      <c r="N186" s="252">
        <v>0</v>
      </c>
      <c r="O186" s="185" t="s">
        <v>51</v>
      </c>
    </row>
    <row r="187" spans="1:15" x14ac:dyDescent="0.25">
      <c r="A187" s="234" t="s">
        <v>7459</v>
      </c>
      <c r="B187" s="234" t="s">
        <v>24</v>
      </c>
      <c r="C187" s="245">
        <v>46143</v>
      </c>
      <c r="D187" s="234">
        <v>0</v>
      </c>
      <c r="E187" s="246">
        <v>40000</v>
      </c>
      <c r="F187" s="247" t="s">
        <v>7463</v>
      </c>
      <c r="G187" s="34" t="s">
        <v>7</v>
      </c>
      <c r="H187" s="234" t="s">
        <v>7461</v>
      </c>
      <c r="I187" s="248" t="s">
        <v>7</v>
      </c>
      <c r="J187" s="249" t="s">
        <v>492</v>
      </c>
      <c r="K187" s="250">
        <v>0</v>
      </c>
      <c r="L187" s="250">
        <v>0</v>
      </c>
      <c r="M187" s="251" t="s">
        <v>24</v>
      </c>
      <c r="N187" s="252">
        <v>0</v>
      </c>
      <c r="O187" s="185" t="s">
        <v>51</v>
      </c>
    </row>
    <row r="188" spans="1:15" x14ac:dyDescent="0.25">
      <c r="A188" s="234" t="s">
        <v>7459</v>
      </c>
      <c r="B188" s="234" t="s">
        <v>24</v>
      </c>
      <c r="C188" s="245">
        <v>46143</v>
      </c>
      <c r="D188" s="234">
        <v>0</v>
      </c>
      <c r="E188" s="246">
        <v>36460</v>
      </c>
      <c r="F188" s="247" t="s">
        <v>7464</v>
      </c>
      <c r="G188" s="34" t="s">
        <v>7</v>
      </c>
      <c r="H188" s="234" t="s">
        <v>7461</v>
      </c>
      <c r="I188" s="248" t="s">
        <v>7</v>
      </c>
      <c r="J188" s="249" t="s">
        <v>492</v>
      </c>
      <c r="K188" s="250">
        <v>0</v>
      </c>
      <c r="L188" s="250">
        <v>0</v>
      </c>
      <c r="M188" s="251" t="s">
        <v>24</v>
      </c>
      <c r="N188" s="252">
        <v>0</v>
      </c>
      <c r="O188" s="185" t="s">
        <v>51</v>
      </c>
    </row>
    <row r="189" spans="1:15" x14ac:dyDescent="0.25">
      <c r="A189" s="234" t="s">
        <v>2262</v>
      </c>
      <c r="B189" s="234" t="s">
        <v>24</v>
      </c>
      <c r="C189" s="245">
        <v>46143</v>
      </c>
      <c r="D189" s="234">
        <v>0</v>
      </c>
      <c r="E189" s="246">
        <v>49000</v>
      </c>
      <c r="F189" s="247" t="s">
        <v>7465</v>
      </c>
      <c r="G189" s="34" t="s">
        <v>7</v>
      </c>
      <c r="H189" s="234" t="s">
        <v>2263</v>
      </c>
      <c r="I189" s="248" t="s">
        <v>7</v>
      </c>
      <c r="J189" s="249" t="s">
        <v>492</v>
      </c>
      <c r="K189" s="250">
        <v>0</v>
      </c>
      <c r="L189" s="250">
        <v>0</v>
      </c>
      <c r="M189" s="251" t="s">
        <v>24</v>
      </c>
      <c r="N189" s="252">
        <v>0</v>
      </c>
      <c r="O189" s="185" t="s">
        <v>51</v>
      </c>
    </row>
    <row r="190" spans="1:15" x14ac:dyDescent="0.25">
      <c r="A190" s="234" t="s">
        <v>2262</v>
      </c>
      <c r="B190" s="234" t="s">
        <v>24</v>
      </c>
      <c r="C190" s="245">
        <v>46143</v>
      </c>
      <c r="D190" s="234">
        <v>0</v>
      </c>
      <c r="E190" s="246">
        <v>46450</v>
      </c>
      <c r="F190" s="247" t="s">
        <v>7466</v>
      </c>
      <c r="G190" s="34" t="s">
        <v>7</v>
      </c>
      <c r="H190" s="234" t="s">
        <v>2263</v>
      </c>
      <c r="I190" s="248" t="s">
        <v>7</v>
      </c>
      <c r="J190" s="249" t="s">
        <v>492</v>
      </c>
      <c r="K190" s="250">
        <v>0</v>
      </c>
      <c r="L190" s="250">
        <v>0</v>
      </c>
      <c r="M190" s="251" t="s">
        <v>24</v>
      </c>
      <c r="N190" s="252">
        <v>0</v>
      </c>
      <c r="O190" s="185" t="s">
        <v>51</v>
      </c>
    </row>
    <row r="191" spans="1:15" x14ac:dyDescent="0.25">
      <c r="A191" s="234" t="s">
        <v>4660</v>
      </c>
      <c r="B191" s="234" t="s">
        <v>24</v>
      </c>
      <c r="C191" s="245">
        <v>46143</v>
      </c>
      <c r="D191" s="234">
        <v>0</v>
      </c>
      <c r="E191" s="246">
        <v>235200</v>
      </c>
      <c r="F191" s="247" t="s">
        <v>4659</v>
      </c>
      <c r="G191" s="34" t="s">
        <v>7</v>
      </c>
      <c r="H191" s="234" t="s">
        <v>4661</v>
      </c>
      <c r="I191" s="248" t="s">
        <v>7</v>
      </c>
      <c r="J191" s="249" t="s">
        <v>554</v>
      </c>
      <c r="K191" s="250">
        <v>235200</v>
      </c>
      <c r="L191" s="250">
        <v>0</v>
      </c>
      <c r="M191" s="251" t="s">
        <v>24</v>
      </c>
      <c r="N191" s="252">
        <v>0</v>
      </c>
      <c r="O191" s="185" t="s">
        <v>51</v>
      </c>
    </row>
    <row r="192" spans="1:15" x14ac:dyDescent="0.25">
      <c r="A192" s="234" t="s">
        <v>2365</v>
      </c>
      <c r="B192" s="234" t="s">
        <v>24</v>
      </c>
      <c r="C192" s="245">
        <v>46143</v>
      </c>
      <c r="D192" s="234">
        <v>0</v>
      </c>
      <c r="E192" s="246">
        <v>64658</v>
      </c>
      <c r="F192" s="247" t="s">
        <v>2364</v>
      </c>
      <c r="G192" s="34" t="s">
        <v>7</v>
      </c>
      <c r="H192" s="234" t="s">
        <v>2366</v>
      </c>
      <c r="I192" s="248" t="s">
        <v>7</v>
      </c>
      <c r="J192" s="249" t="s">
        <v>554</v>
      </c>
      <c r="K192" s="250">
        <v>64658.93</v>
      </c>
      <c r="L192" s="250">
        <v>0</v>
      </c>
      <c r="M192" s="251" t="s">
        <v>24</v>
      </c>
      <c r="N192" s="252">
        <v>0</v>
      </c>
      <c r="O192" s="185" t="s">
        <v>51</v>
      </c>
    </row>
    <row r="193" spans="1:15" x14ac:dyDescent="0.25">
      <c r="A193" s="234" t="s">
        <v>4607</v>
      </c>
      <c r="B193" s="234" t="s">
        <v>24</v>
      </c>
      <c r="C193" s="245">
        <v>46143</v>
      </c>
      <c r="D193" s="234">
        <v>0</v>
      </c>
      <c r="E193" s="246">
        <v>233852</v>
      </c>
      <c r="F193" s="247" t="s">
        <v>4606</v>
      </c>
      <c r="G193" s="34" t="s">
        <v>7</v>
      </c>
      <c r="H193" s="234" t="s">
        <v>4608</v>
      </c>
      <c r="I193" s="248" t="s">
        <v>7</v>
      </c>
      <c r="J193" s="249" t="s">
        <v>554</v>
      </c>
      <c r="K193" s="250">
        <v>233852</v>
      </c>
      <c r="L193" s="250">
        <v>0</v>
      </c>
      <c r="M193" s="251" t="s">
        <v>24</v>
      </c>
      <c r="N193" s="252">
        <v>0</v>
      </c>
      <c r="O193" s="185" t="s">
        <v>51</v>
      </c>
    </row>
    <row r="194" spans="1:15" x14ac:dyDescent="0.25">
      <c r="A194" s="234" t="s">
        <v>4619</v>
      </c>
      <c r="B194" s="234" t="s">
        <v>24</v>
      </c>
      <c r="C194" s="245">
        <v>46143</v>
      </c>
      <c r="D194" s="234">
        <v>0</v>
      </c>
      <c r="E194" s="246">
        <v>233852</v>
      </c>
      <c r="F194" s="247" t="s">
        <v>4618</v>
      </c>
      <c r="G194" s="34" t="s">
        <v>7</v>
      </c>
      <c r="H194" s="234" t="s">
        <v>4620</v>
      </c>
      <c r="I194" s="248" t="s">
        <v>7</v>
      </c>
      <c r="J194" s="249" t="s">
        <v>554</v>
      </c>
      <c r="K194" s="250">
        <v>233852</v>
      </c>
      <c r="L194" s="250">
        <v>0</v>
      </c>
      <c r="M194" s="251" t="s">
        <v>24</v>
      </c>
      <c r="N194" s="252">
        <v>0</v>
      </c>
      <c r="O194" s="185" t="s">
        <v>51</v>
      </c>
    </row>
    <row r="195" spans="1:15" x14ac:dyDescent="0.25">
      <c r="A195" s="234" t="s">
        <v>4631</v>
      </c>
      <c r="B195" s="234" t="s">
        <v>24</v>
      </c>
      <c r="C195" s="245">
        <v>46143</v>
      </c>
      <c r="D195" s="234">
        <v>0</v>
      </c>
      <c r="E195" s="246">
        <v>233852</v>
      </c>
      <c r="F195" s="247" t="s">
        <v>4630</v>
      </c>
      <c r="G195" s="34" t="s">
        <v>7</v>
      </c>
      <c r="H195" s="234" t="s">
        <v>4632</v>
      </c>
      <c r="I195" s="248" t="s">
        <v>7</v>
      </c>
      <c r="J195" s="249" t="s">
        <v>554</v>
      </c>
      <c r="K195" s="250">
        <v>233852</v>
      </c>
      <c r="L195" s="250">
        <v>0</v>
      </c>
      <c r="M195" s="251" t="s">
        <v>24</v>
      </c>
      <c r="N195" s="252">
        <v>0</v>
      </c>
      <c r="O195" s="185" t="s">
        <v>51</v>
      </c>
    </row>
    <row r="196" spans="1:15" x14ac:dyDescent="0.25">
      <c r="A196" s="234" t="s">
        <v>7467</v>
      </c>
      <c r="B196" s="234" t="s">
        <v>46</v>
      </c>
      <c r="C196" s="245">
        <v>46143</v>
      </c>
      <c r="D196" s="234">
        <v>0</v>
      </c>
      <c r="E196" s="246">
        <v>410698</v>
      </c>
      <c r="F196" s="247">
        <v>0</v>
      </c>
      <c r="G196" s="34" t="s">
        <v>83</v>
      </c>
      <c r="H196" s="234" t="s">
        <v>7468</v>
      </c>
      <c r="I196" s="248" t="s">
        <v>7</v>
      </c>
      <c r="J196" s="249" t="s">
        <v>492</v>
      </c>
      <c r="K196" s="250">
        <v>0</v>
      </c>
      <c r="L196" s="250">
        <v>0</v>
      </c>
      <c r="M196" s="251" t="s">
        <v>46</v>
      </c>
      <c r="N196" s="252">
        <v>0</v>
      </c>
      <c r="O196" s="185" t="s">
        <v>51</v>
      </c>
    </row>
    <row r="197" spans="1:15" x14ac:dyDescent="0.25">
      <c r="A197" s="234" t="s">
        <v>7469</v>
      </c>
      <c r="B197" s="234" t="s">
        <v>46</v>
      </c>
      <c r="C197" s="245">
        <v>46143</v>
      </c>
      <c r="D197" s="234">
        <v>0</v>
      </c>
      <c r="E197" s="246">
        <v>390000</v>
      </c>
      <c r="F197" s="247">
        <v>0</v>
      </c>
      <c r="G197" s="34" t="s">
        <v>83</v>
      </c>
      <c r="H197" s="234" t="s">
        <v>7470</v>
      </c>
      <c r="I197" s="248" t="s">
        <v>7</v>
      </c>
      <c r="J197" s="249" t="s">
        <v>492</v>
      </c>
      <c r="K197" s="250">
        <v>0</v>
      </c>
      <c r="L197" s="250">
        <v>0</v>
      </c>
      <c r="M197" s="251" t="s">
        <v>46</v>
      </c>
      <c r="N197" s="252">
        <v>0</v>
      </c>
      <c r="O197" s="185" t="s">
        <v>51</v>
      </c>
    </row>
    <row r="198" spans="1:15" x14ac:dyDescent="0.25">
      <c r="A198" s="234" t="s">
        <v>2575</v>
      </c>
      <c r="B198" s="234" t="s">
        <v>46</v>
      </c>
      <c r="C198" s="245">
        <v>46143</v>
      </c>
      <c r="D198" s="234">
        <v>0</v>
      </c>
      <c r="E198" s="246">
        <v>200000</v>
      </c>
      <c r="F198" s="247">
        <v>0</v>
      </c>
      <c r="G198" s="34" t="s">
        <v>83</v>
      </c>
      <c r="H198" s="234" t="s">
        <v>2576</v>
      </c>
      <c r="I198" s="248" t="s">
        <v>7</v>
      </c>
      <c r="J198" s="249" t="s">
        <v>492</v>
      </c>
      <c r="K198" s="250">
        <v>0</v>
      </c>
      <c r="L198" s="250">
        <v>0</v>
      </c>
      <c r="M198" s="251" t="s">
        <v>46</v>
      </c>
      <c r="N198" s="252">
        <v>0</v>
      </c>
      <c r="O198" s="185" t="s">
        <v>51</v>
      </c>
    </row>
    <row r="199" spans="1:15" x14ac:dyDescent="0.25">
      <c r="A199" s="234" t="s">
        <v>2465</v>
      </c>
      <c r="B199" s="234" t="s">
        <v>19</v>
      </c>
      <c r="C199" s="245">
        <v>46143</v>
      </c>
      <c r="D199" s="234" t="s">
        <v>64</v>
      </c>
      <c r="E199" s="246">
        <v>202000</v>
      </c>
      <c r="F199" s="247" t="s">
        <v>7295</v>
      </c>
      <c r="G199" s="34" t="s">
        <v>7</v>
      </c>
      <c r="H199" s="234" t="s">
        <v>2466</v>
      </c>
      <c r="I199" s="248" t="s">
        <v>7</v>
      </c>
      <c r="J199" s="249" t="s">
        <v>492</v>
      </c>
      <c r="K199" s="250">
        <v>0</v>
      </c>
      <c r="L199" s="250">
        <v>0</v>
      </c>
      <c r="M199" s="251" t="s">
        <v>19</v>
      </c>
      <c r="N199" s="252">
        <v>0</v>
      </c>
      <c r="O199" s="185" t="s">
        <v>51</v>
      </c>
    </row>
    <row r="200" spans="1:15" x14ac:dyDescent="0.25">
      <c r="A200" s="234" t="s">
        <v>7471</v>
      </c>
      <c r="B200" s="234" t="s">
        <v>10</v>
      </c>
      <c r="C200" s="245">
        <v>46143</v>
      </c>
      <c r="D200" s="234">
        <v>0</v>
      </c>
      <c r="E200" s="246">
        <v>154597</v>
      </c>
      <c r="F200" s="247" t="s">
        <v>7472</v>
      </c>
      <c r="G200" s="34" t="s">
        <v>7</v>
      </c>
      <c r="H200" s="234" t="s">
        <v>7473</v>
      </c>
      <c r="I200" s="248" t="s">
        <v>7</v>
      </c>
      <c r="J200" s="249" t="s">
        <v>492</v>
      </c>
      <c r="K200" s="250">
        <v>0</v>
      </c>
      <c r="L200" s="250">
        <v>0</v>
      </c>
      <c r="M200" s="251" t="s">
        <v>10</v>
      </c>
      <c r="N200" s="252">
        <v>0</v>
      </c>
      <c r="O200" s="185" t="s">
        <v>77</v>
      </c>
    </row>
    <row r="201" spans="1:15" x14ac:dyDescent="0.25">
      <c r="A201" s="234" t="s">
        <v>7474</v>
      </c>
      <c r="B201" s="234" t="s">
        <v>10</v>
      </c>
      <c r="C201" s="245">
        <v>46143</v>
      </c>
      <c r="D201" s="234">
        <v>0</v>
      </c>
      <c r="E201" s="246">
        <v>160835</v>
      </c>
      <c r="F201" s="247" t="s">
        <v>7475</v>
      </c>
      <c r="G201" s="34" t="s">
        <v>7</v>
      </c>
      <c r="H201" s="234" t="s">
        <v>7476</v>
      </c>
      <c r="I201" s="248" t="s">
        <v>7</v>
      </c>
      <c r="J201" s="249" t="s">
        <v>492</v>
      </c>
      <c r="K201" s="250">
        <v>0</v>
      </c>
      <c r="L201" s="250">
        <v>0</v>
      </c>
      <c r="M201" s="251" t="s">
        <v>10</v>
      </c>
      <c r="N201" s="252">
        <v>0</v>
      </c>
      <c r="O201" s="185" t="s">
        <v>77</v>
      </c>
    </row>
    <row r="202" spans="1:15" x14ac:dyDescent="0.25">
      <c r="A202" s="234" t="s">
        <v>7477</v>
      </c>
      <c r="B202" s="234" t="s">
        <v>10</v>
      </c>
      <c r="C202" s="245">
        <v>46143</v>
      </c>
      <c r="D202" s="234">
        <v>0</v>
      </c>
      <c r="E202" s="246">
        <v>150314.18</v>
      </c>
      <c r="F202" s="247" t="s">
        <v>7478</v>
      </c>
      <c r="G202" s="34" t="s">
        <v>7</v>
      </c>
      <c r="H202" s="234" t="s">
        <v>7479</v>
      </c>
      <c r="I202" s="248" t="s">
        <v>7</v>
      </c>
      <c r="J202" s="249" t="s">
        <v>492</v>
      </c>
      <c r="K202" s="250">
        <v>0</v>
      </c>
      <c r="L202" s="250">
        <v>0</v>
      </c>
      <c r="M202" s="251" t="s">
        <v>10</v>
      </c>
      <c r="N202" s="252">
        <v>0</v>
      </c>
      <c r="O202" s="185" t="s">
        <v>77</v>
      </c>
    </row>
    <row r="203" spans="1:15" x14ac:dyDescent="0.25">
      <c r="A203" s="234" t="s">
        <v>3782</v>
      </c>
      <c r="B203" s="234" t="s">
        <v>10</v>
      </c>
      <c r="C203" s="245">
        <v>46143</v>
      </c>
      <c r="D203" s="234">
        <v>0</v>
      </c>
      <c r="E203" s="246">
        <v>117270.2</v>
      </c>
      <c r="F203" s="247" t="s">
        <v>3784</v>
      </c>
      <c r="G203" s="34" t="s">
        <v>7</v>
      </c>
      <c r="H203" s="234" t="s">
        <v>3783</v>
      </c>
      <c r="I203" s="248" t="s">
        <v>7</v>
      </c>
      <c r="J203" s="249" t="s">
        <v>62</v>
      </c>
      <c r="K203" s="250">
        <v>117270.2</v>
      </c>
      <c r="L203" s="250">
        <v>0</v>
      </c>
      <c r="M203" s="251" t="s">
        <v>10</v>
      </c>
      <c r="N203" s="252">
        <v>0</v>
      </c>
      <c r="O203" s="185" t="s">
        <v>74</v>
      </c>
    </row>
    <row r="204" spans="1:15" x14ac:dyDescent="0.25">
      <c r="A204" s="234" t="s">
        <v>3735</v>
      </c>
      <c r="B204" s="234" t="s">
        <v>10</v>
      </c>
      <c r="C204" s="245">
        <v>46143</v>
      </c>
      <c r="D204" s="234">
        <v>0</v>
      </c>
      <c r="E204" s="246">
        <v>102569</v>
      </c>
      <c r="F204" s="247" t="s">
        <v>3734</v>
      </c>
      <c r="G204" s="34" t="s">
        <v>7</v>
      </c>
      <c r="H204" s="234" t="s">
        <v>3736</v>
      </c>
      <c r="I204" s="248" t="s">
        <v>7</v>
      </c>
      <c r="J204" s="249" t="s">
        <v>554</v>
      </c>
      <c r="K204" s="250">
        <v>102569</v>
      </c>
      <c r="L204" s="250">
        <v>0</v>
      </c>
      <c r="M204" s="251" t="s">
        <v>10</v>
      </c>
      <c r="N204" s="252">
        <v>0</v>
      </c>
      <c r="O204" s="185" t="s">
        <v>74</v>
      </c>
    </row>
    <row r="205" spans="1:15" x14ac:dyDescent="0.25">
      <c r="A205" s="234" t="s">
        <v>4812</v>
      </c>
      <c r="B205" s="234" t="s">
        <v>10</v>
      </c>
      <c r="C205" s="245">
        <v>46143</v>
      </c>
      <c r="D205" s="234">
        <v>0</v>
      </c>
      <c r="E205" s="246">
        <v>50000</v>
      </c>
      <c r="F205" s="247" t="s">
        <v>4814</v>
      </c>
      <c r="G205" s="34" t="s">
        <v>7</v>
      </c>
      <c r="H205" s="234" t="s">
        <v>4813</v>
      </c>
      <c r="I205" s="248" t="s">
        <v>7</v>
      </c>
      <c r="J205" s="249" t="s">
        <v>554</v>
      </c>
      <c r="K205" s="250">
        <v>50000</v>
      </c>
      <c r="L205" s="250">
        <v>0</v>
      </c>
      <c r="M205" s="251" t="s">
        <v>10</v>
      </c>
      <c r="N205" s="252">
        <v>0</v>
      </c>
      <c r="O205" s="185" t="s">
        <v>77</v>
      </c>
    </row>
    <row r="206" spans="1:15" x14ac:dyDescent="0.25">
      <c r="A206" s="234" t="s">
        <v>4812</v>
      </c>
      <c r="B206" s="234" t="s">
        <v>10</v>
      </c>
      <c r="C206" s="245">
        <v>46143</v>
      </c>
      <c r="D206" s="234">
        <v>0</v>
      </c>
      <c r="E206" s="246">
        <v>27500</v>
      </c>
      <c r="F206" s="247" t="s">
        <v>4811</v>
      </c>
      <c r="G206" s="34" t="s">
        <v>7</v>
      </c>
      <c r="H206" s="234" t="s">
        <v>4813</v>
      </c>
      <c r="I206" s="248" t="s">
        <v>7</v>
      </c>
      <c r="J206" s="249" t="s">
        <v>554</v>
      </c>
      <c r="K206" s="250">
        <v>27500</v>
      </c>
      <c r="L206" s="250">
        <v>0</v>
      </c>
      <c r="M206" s="251" t="s">
        <v>10</v>
      </c>
      <c r="N206" s="252">
        <v>0</v>
      </c>
      <c r="O206" s="185" t="s">
        <v>77</v>
      </c>
    </row>
    <row r="207" spans="1:15" x14ac:dyDescent="0.25">
      <c r="A207" s="234" t="s">
        <v>3589</v>
      </c>
      <c r="B207" s="234" t="s">
        <v>10</v>
      </c>
      <c r="C207" s="245">
        <v>46143</v>
      </c>
      <c r="D207" s="234">
        <v>0</v>
      </c>
      <c r="E207" s="246">
        <v>113260</v>
      </c>
      <c r="F207" s="247" t="s">
        <v>3588</v>
      </c>
      <c r="G207" s="34" t="s">
        <v>7</v>
      </c>
      <c r="H207" s="234" t="s">
        <v>3590</v>
      </c>
      <c r="I207" s="248" t="s">
        <v>7</v>
      </c>
      <c r="J207" s="249" t="s">
        <v>61</v>
      </c>
      <c r="K207" s="250">
        <v>113260</v>
      </c>
      <c r="L207" s="250">
        <v>0</v>
      </c>
      <c r="M207" s="251" t="s">
        <v>10</v>
      </c>
      <c r="N207" s="252">
        <v>0</v>
      </c>
      <c r="O207" s="185" t="s">
        <v>74</v>
      </c>
    </row>
    <row r="208" spans="1:15" x14ac:dyDescent="0.25">
      <c r="A208" s="234" t="s">
        <v>3747</v>
      </c>
      <c r="B208" s="234" t="s">
        <v>10</v>
      </c>
      <c r="C208" s="245">
        <v>46143</v>
      </c>
      <c r="D208" s="234">
        <v>0</v>
      </c>
      <c r="E208" s="246">
        <v>30000</v>
      </c>
      <c r="F208" s="247">
        <v>0</v>
      </c>
      <c r="G208" s="34" t="s">
        <v>7</v>
      </c>
      <c r="H208" s="234" t="s">
        <v>3748</v>
      </c>
      <c r="I208" s="248" t="s">
        <v>7</v>
      </c>
      <c r="J208" s="249" t="s">
        <v>492</v>
      </c>
      <c r="K208" s="250">
        <v>0</v>
      </c>
      <c r="L208" s="250">
        <v>0</v>
      </c>
      <c r="M208" s="251" t="s">
        <v>10</v>
      </c>
      <c r="N208" s="252">
        <v>0</v>
      </c>
      <c r="O208" s="185" t="s">
        <v>74</v>
      </c>
    </row>
    <row r="209" spans="1:15" x14ac:dyDescent="0.25">
      <c r="A209" s="234" t="s">
        <v>3747</v>
      </c>
      <c r="B209" s="234" t="s">
        <v>10</v>
      </c>
      <c r="C209" s="245">
        <v>46143</v>
      </c>
      <c r="D209" s="234">
        <v>0</v>
      </c>
      <c r="E209" s="246">
        <v>30000</v>
      </c>
      <c r="F209" s="247" t="s">
        <v>3746</v>
      </c>
      <c r="G209" s="34" t="s">
        <v>7</v>
      </c>
      <c r="H209" s="234" t="s">
        <v>3748</v>
      </c>
      <c r="I209" s="248" t="s">
        <v>7</v>
      </c>
      <c r="J209" s="249" t="s">
        <v>554</v>
      </c>
      <c r="K209" s="250">
        <v>30000</v>
      </c>
      <c r="L209" s="250">
        <v>0</v>
      </c>
      <c r="M209" s="251" t="s">
        <v>10</v>
      </c>
      <c r="N209" s="252">
        <v>0</v>
      </c>
      <c r="O209" s="185" t="s">
        <v>74</v>
      </c>
    </row>
    <row r="210" spans="1:15" x14ac:dyDescent="0.25">
      <c r="A210" s="234" t="s">
        <v>7480</v>
      </c>
      <c r="B210" s="234" t="s">
        <v>10</v>
      </c>
      <c r="C210" s="245">
        <v>46143</v>
      </c>
      <c r="D210" s="234">
        <v>0</v>
      </c>
      <c r="E210" s="246">
        <v>209000</v>
      </c>
      <c r="F210" s="247" t="s">
        <v>7481</v>
      </c>
      <c r="G210" s="34" t="s">
        <v>7</v>
      </c>
      <c r="H210" s="234" t="s">
        <v>7482</v>
      </c>
      <c r="I210" s="248" t="s">
        <v>7</v>
      </c>
      <c r="J210" s="249" t="s">
        <v>492</v>
      </c>
      <c r="K210" s="250">
        <v>0</v>
      </c>
      <c r="L210" s="250">
        <v>0</v>
      </c>
      <c r="M210" s="251" t="s">
        <v>10</v>
      </c>
      <c r="N210" s="252">
        <v>0</v>
      </c>
      <c r="O210" s="185" t="s">
        <v>74</v>
      </c>
    </row>
    <row r="211" spans="1:15" x14ac:dyDescent="0.25">
      <c r="A211" s="234" t="s">
        <v>3723</v>
      </c>
      <c r="B211" s="234" t="s">
        <v>10</v>
      </c>
      <c r="C211" s="245">
        <v>46143</v>
      </c>
      <c r="D211" s="234">
        <v>0</v>
      </c>
      <c r="E211" s="246">
        <v>116755</v>
      </c>
      <c r="F211" s="247">
        <v>0</v>
      </c>
      <c r="G211" s="34" t="s">
        <v>7</v>
      </c>
      <c r="H211" s="234" t="s">
        <v>3724</v>
      </c>
      <c r="I211" s="248" t="s">
        <v>7</v>
      </c>
      <c r="J211" s="249" t="s">
        <v>492</v>
      </c>
      <c r="K211" s="250">
        <v>0</v>
      </c>
      <c r="L211" s="250">
        <v>0</v>
      </c>
      <c r="M211" s="251" t="s">
        <v>10</v>
      </c>
      <c r="N211" s="252">
        <v>0</v>
      </c>
      <c r="O211" s="185" t="s">
        <v>74</v>
      </c>
    </row>
    <row r="212" spans="1:15" x14ac:dyDescent="0.25">
      <c r="A212" s="234" t="s">
        <v>4946</v>
      </c>
      <c r="B212" s="234" t="s">
        <v>10</v>
      </c>
      <c r="C212" s="245">
        <v>46143</v>
      </c>
      <c r="D212" s="234">
        <v>0</v>
      </c>
      <c r="E212" s="246">
        <v>117418</v>
      </c>
      <c r="F212" s="247" t="s">
        <v>4945</v>
      </c>
      <c r="G212" s="34" t="s">
        <v>7</v>
      </c>
      <c r="H212" s="234" t="s">
        <v>4947</v>
      </c>
      <c r="I212" s="248" t="s">
        <v>7</v>
      </c>
      <c r="J212" s="249" t="s">
        <v>554</v>
      </c>
      <c r="K212" s="250">
        <v>117418</v>
      </c>
      <c r="L212" s="250">
        <v>0</v>
      </c>
      <c r="M212" s="251" t="s">
        <v>10</v>
      </c>
      <c r="N212" s="252">
        <v>0</v>
      </c>
      <c r="O212" s="185" t="s">
        <v>77</v>
      </c>
    </row>
    <row r="213" spans="1:15" x14ac:dyDescent="0.25">
      <c r="A213" s="234" t="s">
        <v>4942</v>
      </c>
      <c r="B213" s="234" t="s">
        <v>10</v>
      </c>
      <c r="C213" s="245">
        <v>46143</v>
      </c>
      <c r="D213" s="234">
        <v>0</v>
      </c>
      <c r="E213" s="246">
        <v>50000</v>
      </c>
      <c r="F213" s="247" t="s">
        <v>4941</v>
      </c>
      <c r="G213" s="34" t="s">
        <v>7</v>
      </c>
      <c r="H213" s="234" t="s">
        <v>4943</v>
      </c>
      <c r="I213" s="248" t="s">
        <v>7</v>
      </c>
      <c r="J213" s="249" t="s">
        <v>554</v>
      </c>
      <c r="K213" s="250">
        <v>50000</v>
      </c>
      <c r="L213" s="250">
        <v>0</v>
      </c>
      <c r="M213" s="251" t="s">
        <v>10</v>
      </c>
      <c r="N213" s="252">
        <v>0</v>
      </c>
      <c r="O213" s="185" t="s">
        <v>77</v>
      </c>
    </row>
    <row r="214" spans="1:15" x14ac:dyDescent="0.25">
      <c r="A214" s="234" t="s">
        <v>7483</v>
      </c>
      <c r="B214" s="234" t="s">
        <v>10</v>
      </c>
      <c r="C214" s="245">
        <v>46143</v>
      </c>
      <c r="D214" s="234">
        <v>0</v>
      </c>
      <c r="E214" s="246">
        <v>1400000</v>
      </c>
      <c r="F214" s="247">
        <v>0</v>
      </c>
      <c r="G214" s="34" t="s">
        <v>7</v>
      </c>
      <c r="H214" s="234" t="s">
        <v>7484</v>
      </c>
      <c r="I214" s="248" t="s">
        <v>7</v>
      </c>
      <c r="J214" s="249" t="s">
        <v>492</v>
      </c>
      <c r="K214" s="250">
        <v>0</v>
      </c>
      <c r="L214" s="250">
        <v>0</v>
      </c>
      <c r="M214" s="251" t="s">
        <v>10</v>
      </c>
      <c r="N214" s="252">
        <v>0</v>
      </c>
      <c r="O214" s="185" t="s">
        <v>74</v>
      </c>
    </row>
    <row r="215" spans="1:15" x14ac:dyDescent="0.25">
      <c r="A215" s="234" t="s">
        <v>4788</v>
      </c>
      <c r="B215" s="234" t="s">
        <v>10</v>
      </c>
      <c r="C215" s="245">
        <v>46143</v>
      </c>
      <c r="D215" s="234">
        <v>0</v>
      </c>
      <c r="E215" s="246">
        <v>50000</v>
      </c>
      <c r="F215" s="247" t="s">
        <v>4787</v>
      </c>
      <c r="G215" s="34" t="s">
        <v>7</v>
      </c>
      <c r="H215" s="234" t="s">
        <v>4789</v>
      </c>
      <c r="I215" s="248" t="s">
        <v>7</v>
      </c>
      <c r="J215" s="249" t="s">
        <v>554</v>
      </c>
      <c r="K215" s="250">
        <v>50000</v>
      </c>
      <c r="L215" s="250">
        <v>0</v>
      </c>
      <c r="M215" s="251" t="s">
        <v>10</v>
      </c>
      <c r="N215" s="252">
        <v>0</v>
      </c>
      <c r="O215" s="185" t="s">
        <v>77</v>
      </c>
    </row>
    <row r="216" spans="1:15" x14ac:dyDescent="0.25">
      <c r="A216" s="234" t="s">
        <v>3439</v>
      </c>
      <c r="B216" s="234" t="s">
        <v>21</v>
      </c>
      <c r="C216" s="245">
        <v>46143</v>
      </c>
      <c r="D216" s="234" t="s">
        <v>546</v>
      </c>
      <c r="E216" s="246">
        <v>100000</v>
      </c>
      <c r="F216" s="247" t="s">
        <v>3438</v>
      </c>
      <c r="G216" s="34" t="s">
        <v>7</v>
      </c>
      <c r="H216" s="234" t="s">
        <v>3440</v>
      </c>
      <c r="I216" s="248" t="s">
        <v>7</v>
      </c>
      <c r="J216" s="249" t="s">
        <v>554</v>
      </c>
      <c r="K216" s="250">
        <v>100000</v>
      </c>
      <c r="L216" s="250">
        <v>0</v>
      </c>
      <c r="M216" s="251" t="s">
        <v>21</v>
      </c>
      <c r="N216" s="252">
        <v>0</v>
      </c>
      <c r="O216" s="185" t="s">
        <v>51</v>
      </c>
    </row>
    <row r="217" spans="1:15" x14ac:dyDescent="0.25">
      <c r="A217" s="234" t="s">
        <v>2859</v>
      </c>
      <c r="B217" s="234" t="s">
        <v>21</v>
      </c>
      <c r="C217" s="245">
        <v>46143</v>
      </c>
      <c r="D217" s="234" t="s">
        <v>546</v>
      </c>
      <c r="E217" s="246">
        <v>105872</v>
      </c>
      <c r="F217" s="247" t="s">
        <v>2858</v>
      </c>
      <c r="G217" s="34" t="s">
        <v>7</v>
      </c>
      <c r="H217" s="234" t="s">
        <v>2860</v>
      </c>
      <c r="I217" s="248" t="s">
        <v>7</v>
      </c>
      <c r="J217" s="249" t="s">
        <v>554</v>
      </c>
      <c r="K217" s="250">
        <v>105872</v>
      </c>
      <c r="L217" s="250">
        <v>0</v>
      </c>
      <c r="M217" s="251" t="s">
        <v>21</v>
      </c>
      <c r="N217" s="252">
        <v>0</v>
      </c>
      <c r="O217" s="185" t="s">
        <v>51</v>
      </c>
    </row>
    <row r="218" spans="1:15" x14ac:dyDescent="0.25">
      <c r="A218" s="234" t="s">
        <v>3332</v>
      </c>
      <c r="B218" s="234" t="s">
        <v>21</v>
      </c>
      <c r="C218" s="245">
        <v>46143</v>
      </c>
      <c r="D218" s="234" t="s">
        <v>64</v>
      </c>
      <c r="E218" s="246">
        <v>130213</v>
      </c>
      <c r="F218" s="247" t="s">
        <v>3331</v>
      </c>
      <c r="G218" s="34" t="s">
        <v>7</v>
      </c>
      <c r="H218" s="234" t="s">
        <v>3333</v>
      </c>
      <c r="I218" s="248" t="s">
        <v>7</v>
      </c>
      <c r="J218" s="249" t="s">
        <v>554</v>
      </c>
      <c r="K218" s="250">
        <v>130213</v>
      </c>
      <c r="L218" s="250">
        <v>0</v>
      </c>
      <c r="M218" s="251" t="s">
        <v>21</v>
      </c>
      <c r="N218" s="252">
        <v>0</v>
      </c>
      <c r="O218" s="185" t="s">
        <v>51</v>
      </c>
    </row>
    <row r="219" spans="1:15" x14ac:dyDescent="0.25">
      <c r="A219" s="234" t="s">
        <v>7485</v>
      </c>
      <c r="B219" s="234" t="s">
        <v>21</v>
      </c>
      <c r="C219" s="245">
        <v>46143</v>
      </c>
      <c r="D219" s="234" t="s">
        <v>64</v>
      </c>
      <c r="E219" s="246">
        <v>129216</v>
      </c>
      <c r="F219" s="247" t="s">
        <v>7486</v>
      </c>
      <c r="G219" s="34" t="s">
        <v>7</v>
      </c>
      <c r="H219" s="234" t="s">
        <v>7487</v>
      </c>
      <c r="I219" s="248" t="s">
        <v>7</v>
      </c>
      <c r="J219" s="249" t="s">
        <v>492</v>
      </c>
      <c r="K219" s="250">
        <v>0</v>
      </c>
      <c r="L219" s="250">
        <v>0</v>
      </c>
      <c r="M219" s="251" t="s">
        <v>21</v>
      </c>
      <c r="N219" s="252">
        <v>0</v>
      </c>
      <c r="O219" s="185" t="s">
        <v>51</v>
      </c>
    </row>
    <row r="220" spans="1:15" x14ac:dyDescent="0.25">
      <c r="A220" s="234" t="s">
        <v>3329</v>
      </c>
      <c r="B220" s="234" t="s">
        <v>21</v>
      </c>
      <c r="C220" s="245">
        <v>46143</v>
      </c>
      <c r="D220" s="234" t="s">
        <v>64</v>
      </c>
      <c r="E220" s="246">
        <v>129216</v>
      </c>
      <c r="F220" s="247" t="s">
        <v>3328</v>
      </c>
      <c r="G220" s="34" t="s">
        <v>7</v>
      </c>
      <c r="H220" s="234" t="s">
        <v>3330</v>
      </c>
      <c r="I220" s="248" t="s">
        <v>7</v>
      </c>
      <c r="J220" s="249" t="s">
        <v>554</v>
      </c>
      <c r="K220" s="250">
        <v>129216</v>
      </c>
      <c r="L220" s="250">
        <v>0</v>
      </c>
      <c r="M220" s="251" t="s">
        <v>21</v>
      </c>
      <c r="N220" s="252">
        <v>0</v>
      </c>
      <c r="O220" s="185" t="s">
        <v>51</v>
      </c>
    </row>
    <row r="221" spans="1:15" x14ac:dyDescent="0.25">
      <c r="A221" s="234" t="s">
        <v>5690</v>
      </c>
      <c r="B221" s="234" t="s">
        <v>21</v>
      </c>
      <c r="C221" s="245">
        <v>46143</v>
      </c>
      <c r="D221" s="234" t="s">
        <v>603</v>
      </c>
      <c r="E221" s="246">
        <v>764000</v>
      </c>
      <c r="F221" s="247" t="s">
        <v>5689</v>
      </c>
      <c r="G221" s="34" t="s">
        <v>7</v>
      </c>
      <c r="H221" s="234" t="s">
        <v>5691</v>
      </c>
      <c r="I221" s="248" t="s">
        <v>7</v>
      </c>
      <c r="J221" s="249" t="s">
        <v>554</v>
      </c>
      <c r="K221" s="250">
        <v>764000</v>
      </c>
      <c r="L221" s="250">
        <v>0</v>
      </c>
      <c r="M221" s="251" t="s">
        <v>21</v>
      </c>
      <c r="N221" s="252">
        <v>0</v>
      </c>
      <c r="O221" s="185" t="s">
        <v>51</v>
      </c>
    </row>
    <row r="222" spans="1:15" x14ac:dyDescent="0.25">
      <c r="A222" s="234" t="s">
        <v>3435</v>
      </c>
      <c r="B222" s="234" t="s">
        <v>21</v>
      </c>
      <c r="C222" s="245">
        <v>46143</v>
      </c>
      <c r="D222" s="234" t="s">
        <v>575</v>
      </c>
      <c r="E222" s="246">
        <v>850000</v>
      </c>
      <c r="F222" s="247" t="s">
        <v>3434</v>
      </c>
      <c r="G222" s="34" t="s">
        <v>7</v>
      </c>
      <c r="H222" s="234" t="s">
        <v>3436</v>
      </c>
      <c r="I222" s="248" t="s">
        <v>7</v>
      </c>
      <c r="J222" s="249" t="s">
        <v>554</v>
      </c>
      <c r="K222" s="250">
        <v>850000</v>
      </c>
      <c r="L222" s="250">
        <v>0</v>
      </c>
      <c r="M222" s="251" t="s">
        <v>21</v>
      </c>
      <c r="N222" s="252">
        <v>0</v>
      </c>
      <c r="O222" s="185" t="s">
        <v>51</v>
      </c>
    </row>
    <row r="223" spans="1:15" x14ac:dyDescent="0.25">
      <c r="A223" s="234" t="s">
        <v>3335</v>
      </c>
      <c r="B223" s="234" t="s">
        <v>21</v>
      </c>
      <c r="C223" s="245">
        <v>46143</v>
      </c>
      <c r="D223" s="234" t="s">
        <v>546</v>
      </c>
      <c r="E223" s="246">
        <v>49000</v>
      </c>
      <c r="F223" s="247" t="s">
        <v>3339</v>
      </c>
      <c r="G223" s="34" t="s">
        <v>7</v>
      </c>
      <c r="H223" s="234" t="s">
        <v>3336</v>
      </c>
      <c r="I223" s="248" t="s">
        <v>7</v>
      </c>
      <c r="J223" s="249" t="s">
        <v>554</v>
      </c>
      <c r="K223" s="250">
        <v>49000</v>
      </c>
      <c r="L223" s="250">
        <v>0</v>
      </c>
      <c r="M223" s="251" t="s">
        <v>21</v>
      </c>
      <c r="N223" s="252">
        <v>0</v>
      </c>
      <c r="O223" s="185" t="s">
        <v>51</v>
      </c>
    </row>
    <row r="224" spans="1:15" x14ac:dyDescent="0.25">
      <c r="A224" s="234" t="s">
        <v>3335</v>
      </c>
      <c r="B224" s="234" t="s">
        <v>21</v>
      </c>
      <c r="C224" s="245">
        <v>46143</v>
      </c>
      <c r="D224" s="234" t="s">
        <v>546</v>
      </c>
      <c r="E224" s="246">
        <v>40000</v>
      </c>
      <c r="F224" s="247" t="s">
        <v>3334</v>
      </c>
      <c r="G224" s="34" t="s">
        <v>7</v>
      </c>
      <c r="H224" s="234" t="s">
        <v>3336</v>
      </c>
      <c r="I224" s="248" t="s">
        <v>7</v>
      </c>
      <c r="J224" s="249" t="s">
        <v>554</v>
      </c>
      <c r="K224" s="250">
        <v>40000</v>
      </c>
      <c r="L224" s="250">
        <v>0</v>
      </c>
      <c r="M224" s="251" t="s">
        <v>21</v>
      </c>
      <c r="N224" s="252">
        <v>0</v>
      </c>
      <c r="O224" s="185" t="s">
        <v>51</v>
      </c>
    </row>
    <row r="225" spans="1:15" x14ac:dyDescent="0.25">
      <c r="A225" s="234" t="s">
        <v>7488</v>
      </c>
      <c r="B225" s="234" t="s">
        <v>21</v>
      </c>
      <c r="C225" s="245">
        <v>46143</v>
      </c>
      <c r="D225" s="234" t="s">
        <v>595</v>
      </c>
      <c r="E225" s="246">
        <v>258403.72</v>
      </c>
      <c r="F225" s="247" t="s">
        <v>7275</v>
      </c>
      <c r="G225" s="34" t="s">
        <v>7</v>
      </c>
      <c r="H225" s="234" t="s">
        <v>7489</v>
      </c>
      <c r="I225" s="248" t="s">
        <v>7</v>
      </c>
      <c r="J225" s="249" t="s">
        <v>492</v>
      </c>
      <c r="K225" s="250">
        <v>0</v>
      </c>
      <c r="L225" s="250">
        <v>0</v>
      </c>
      <c r="M225" s="251" t="s">
        <v>21</v>
      </c>
      <c r="N225" s="252">
        <v>0</v>
      </c>
      <c r="O225" s="185" t="s">
        <v>51</v>
      </c>
    </row>
    <row r="226" spans="1:15" x14ac:dyDescent="0.25">
      <c r="A226" s="234" t="s">
        <v>785</v>
      </c>
      <c r="B226" s="234" t="s">
        <v>18</v>
      </c>
      <c r="C226" s="245">
        <v>46143</v>
      </c>
      <c r="D226" s="234">
        <v>0</v>
      </c>
      <c r="E226" s="246">
        <v>252215</v>
      </c>
      <c r="F226" s="247" t="s">
        <v>784</v>
      </c>
      <c r="G226" s="34" t="s">
        <v>7</v>
      </c>
      <c r="H226" s="234" t="s">
        <v>786</v>
      </c>
      <c r="I226" s="248" t="s">
        <v>7</v>
      </c>
      <c r="J226" s="249" t="s">
        <v>61</v>
      </c>
      <c r="K226" s="250">
        <v>69100</v>
      </c>
      <c r="L226" s="250">
        <v>0</v>
      </c>
      <c r="M226" s="251" t="s">
        <v>18</v>
      </c>
      <c r="N226" s="252">
        <v>0</v>
      </c>
      <c r="O226" s="185" t="s">
        <v>51</v>
      </c>
    </row>
    <row r="227" spans="1:15" x14ac:dyDescent="0.25">
      <c r="A227" s="234" t="s">
        <v>790</v>
      </c>
      <c r="B227" s="234" t="s">
        <v>18</v>
      </c>
      <c r="C227" s="245">
        <v>46143</v>
      </c>
      <c r="D227" s="234">
        <v>0</v>
      </c>
      <c r="E227" s="246">
        <v>249296</v>
      </c>
      <c r="F227" s="247" t="s">
        <v>789</v>
      </c>
      <c r="G227" s="34" t="s">
        <v>7</v>
      </c>
      <c r="H227" s="234" t="s">
        <v>791</v>
      </c>
      <c r="I227" s="248" t="s">
        <v>7</v>
      </c>
      <c r="J227" s="249" t="s">
        <v>554</v>
      </c>
      <c r="K227" s="250">
        <v>249296</v>
      </c>
      <c r="L227" s="250">
        <v>0</v>
      </c>
      <c r="M227" s="251" t="s">
        <v>18</v>
      </c>
      <c r="N227" s="252">
        <v>0</v>
      </c>
      <c r="O227" s="185" t="s">
        <v>51</v>
      </c>
    </row>
    <row r="228" spans="1:15" x14ac:dyDescent="0.25">
      <c r="A228" s="234" t="s">
        <v>790</v>
      </c>
      <c r="B228" s="234" t="s">
        <v>18</v>
      </c>
      <c r="C228" s="245">
        <v>46143</v>
      </c>
      <c r="D228" s="234">
        <v>0</v>
      </c>
      <c r="E228" s="246">
        <v>67000</v>
      </c>
      <c r="F228" s="247" t="s">
        <v>7490</v>
      </c>
      <c r="G228" s="34" t="s">
        <v>7</v>
      </c>
      <c r="H228" s="234" t="s">
        <v>791</v>
      </c>
      <c r="I228" s="248" t="s">
        <v>7</v>
      </c>
      <c r="J228" s="249" t="s">
        <v>492</v>
      </c>
      <c r="K228" s="250">
        <v>0</v>
      </c>
      <c r="L228" s="250">
        <v>0</v>
      </c>
      <c r="M228" s="251" t="s">
        <v>18</v>
      </c>
      <c r="N228" s="252">
        <v>0</v>
      </c>
      <c r="O228" s="185" t="s">
        <v>51</v>
      </c>
    </row>
    <row r="229" spans="1:15" x14ac:dyDescent="0.25">
      <c r="A229" s="234" t="s">
        <v>7491</v>
      </c>
      <c r="B229" s="234" t="s">
        <v>18</v>
      </c>
      <c r="C229" s="245">
        <v>46143</v>
      </c>
      <c r="D229" s="234">
        <v>0</v>
      </c>
      <c r="E229" s="246">
        <v>170460</v>
      </c>
      <c r="F229" s="247" t="s">
        <v>7492</v>
      </c>
      <c r="G229" s="34" t="s">
        <v>7</v>
      </c>
      <c r="H229" s="234" t="s">
        <v>7493</v>
      </c>
      <c r="I229" s="248" t="s">
        <v>7</v>
      </c>
      <c r="J229" s="249" t="s">
        <v>492</v>
      </c>
      <c r="K229" s="250">
        <v>0</v>
      </c>
      <c r="L229" s="250">
        <v>0</v>
      </c>
      <c r="M229" s="251" t="s">
        <v>18</v>
      </c>
      <c r="N229" s="252">
        <v>0</v>
      </c>
      <c r="O229" s="185" t="s">
        <v>51</v>
      </c>
    </row>
    <row r="230" spans="1:15" x14ac:dyDescent="0.25">
      <c r="A230" s="234" t="s">
        <v>7494</v>
      </c>
      <c r="B230" s="234" t="s">
        <v>18</v>
      </c>
      <c r="C230" s="245">
        <v>46143</v>
      </c>
      <c r="D230" s="234">
        <v>0</v>
      </c>
      <c r="E230" s="246">
        <v>105757</v>
      </c>
      <c r="F230" s="247" t="s">
        <v>7495</v>
      </c>
      <c r="G230" s="34" t="s">
        <v>7</v>
      </c>
      <c r="H230" s="234" t="s">
        <v>7496</v>
      </c>
      <c r="I230" s="248" t="s">
        <v>7</v>
      </c>
      <c r="J230" s="249" t="s">
        <v>492</v>
      </c>
      <c r="K230" s="250">
        <v>0</v>
      </c>
      <c r="L230" s="250">
        <v>0</v>
      </c>
      <c r="M230" s="251" t="s">
        <v>18</v>
      </c>
      <c r="N230" s="252">
        <v>0</v>
      </c>
      <c r="O230" s="185" t="s">
        <v>51</v>
      </c>
    </row>
    <row r="231" spans="1:15" x14ac:dyDescent="0.25">
      <c r="A231" s="234" t="s">
        <v>7494</v>
      </c>
      <c r="B231" s="234" t="s">
        <v>18</v>
      </c>
      <c r="C231" s="245">
        <v>46143</v>
      </c>
      <c r="D231" s="234">
        <v>0</v>
      </c>
      <c r="E231" s="246">
        <v>100000</v>
      </c>
      <c r="F231" s="247" t="s">
        <v>7497</v>
      </c>
      <c r="G231" s="34" t="s">
        <v>7</v>
      </c>
      <c r="H231" s="234" t="s">
        <v>7496</v>
      </c>
      <c r="I231" s="248" t="s">
        <v>7</v>
      </c>
      <c r="J231" s="249" t="s">
        <v>492</v>
      </c>
      <c r="K231" s="250">
        <v>0</v>
      </c>
      <c r="L231" s="250">
        <v>0</v>
      </c>
      <c r="M231" s="251" t="s">
        <v>18</v>
      </c>
      <c r="N231" s="252">
        <v>0</v>
      </c>
      <c r="O231" s="185" t="s">
        <v>51</v>
      </c>
    </row>
    <row r="232" spans="1:15" x14ac:dyDescent="0.25">
      <c r="A232" s="234" t="s">
        <v>7494</v>
      </c>
      <c r="B232" s="234" t="s">
        <v>18</v>
      </c>
      <c r="C232" s="245">
        <v>46143</v>
      </c>
      <c r="D232" s="234">
        <v>0</v>
      </c>
      <c r="E232" s="246">
        <v>100000</v>
      </c>
      <c r="F232" s="247" t="s">
        <v>7498</v>
      </c>
      <c r="G232" s="34" t="s">
        <v>7</v>
      </c>
      <c r="H232" s="234" t="s">
        <v>7496</v>
      </c>
      <c r="I232" s="248" t="s">
        <v>7</v>
      </c>
      <c r="J232" s="249" t="s">
        <v>492</v>
      </c>
      <c r="K232" s="250">
        <v>0</v>
      </c>
      <c r="L232" s="250">
        <v>0</v>
      </c>
      <c r="M232" s="251" t="s">
        <v>18</v>
      </c>
      <c r="N232" s="252">
        <v>0</v>
      </c>
      <c r="O232" s="185" t="s">
        <v>51</v>
      </c>
    </row>
    <row r="233" spans="1:15" x14ac:dyDescent="0.25">
      <c r="A233" s="234" t="s">
        <v>7499</v>
      </c>
      <c r="B233" s="234" t="s">
        <v>18</v>
      </c>
      <c r="C233" s="245">
        <v>46143</v>
      </c>
      <c r="D233" s="234">
        <v>0</v>
      </c>
      <c r="E233" s="246">
        <v>50000</v>
      </c>
      <c r="F233" s="247" t="s">
        <v>7500</v>
      </c>
      <c r="G233" s="34" t="s">
        <v>7</v>
      </c>
      <c r="H233" s="234" t="s">
        <v>7501</v>
      </c>
      <c r="I233" s="248" t="s">
        <v>7</v>
      </c>
      <c r="J233" s="249" t="s">
        <v>492</v>
      </c>
      <c r="K233" s="250">
        <v>0</v>
      </c>
      <c r="L233" s="250">
        <v>0</v>
      </c>
      <c r="M233" s="251" t="s">
        <v>18</v>
      </c>
      <c r="N233" s="252">
        <v>0</v>
      </c>
      <c r="O233" s="185" t="s">
        <v>51</v>
      </c>
    </row>
    <row r="234" spans="1:15" x14ac:dyDescent="0.25">
      <c r="A234" s="234" t="s">
        <v>7502</v>
      </c>
      <c r="B234" s="234" t="s">
        <v>18</v>
      </c>
      <c r="C234" s="245">
        <v>46143</v>
      </c>
      <c r="D234" s="234">
        <v>0</v>
      </c>
      <c r="E234" s="246">
        <v>65208</v>
      </c>
      <c r="F234" s="247" t="s">
        <v>7503</v>
      </c>
      <c r="G234" s="34" t="s">
        <v>7</v>
      </c>
      <c r="H234" s="234" t="s">
        <v>7504</v>
      </c>
      <c r="I234" s="248" t="s">
        <v>7</v>
      </c>
      <c r="J234" s="249" t="s">
        <v>492</v>
      </c>
      <c r="K234" s="250">
        <v>0</v>
      </c>
      <c r="L234" s="250">
        <v>0</v>
      </c>
      <c r="M234" s="251" t="s">
        <v>18</v>
      </c>
      <c r="N234" s="252">
        <v>0</v>
      </c>
      <c r="O234" s="185" t="s">
        <v>51</v>
      </c>
    </row>
    <row r="235" spans="1:15" x14ac:dyDescent="0.25">
      <c r="A235" s="234" t="s">
        <v>7502</v>
      </c>
      <c r="B235" s="234" t="s">
        <v>18</v>
      </c>
      <c r="C235" s="245">
        <v>46143</v>
      </c>
      <c r="D235" s="234">
        <v>0</v>
      </c>
      <c r="E235" s="246">
        <v>60000</v>
      </c>
      <c r="F235" s="247" t="s">
        <v>7505</v>
      </c>
      <c r="G235" s="34" t="s">
        <v>7</v>
      </c>
      <c r="H235" s="234" t="s">
        <v>7504</v>
      </c>
      <c r="I235" s="248" t="s">
        <v>7</v>
      </c>
      <c r="J235" s="249" t="s">
        <v>492</v>
      </c>
      <c r="K235" s="250">
        <v>0</v>
      </c>
      <c r="L235" s="250">
        <v>0</v>
      </c>
      <c r="M235" s="251" t="s">
        <v>18</v>
      </c>
      <c r="N235" s="252">
        <v>0</v>
      </c>
      <c r="O235" s="185" t="s">
        <v>51</v>
      </c>
    </row>
    <row r="236" spans="1:15" x14ac:dyDescent="0.25">
      <c r="A236" s="234" t="s">
        <v>7502</v>
      </c>
      <c r="B236" s="234" t="s">
        <v>18</v>
      </c>
      <c r="C236" s="245">
        <v>46143</v>
      </c>
      <c r="D236" s="234">
        <v>0</v>
      </c>
      <c r="E236" s="246">
        <v>60000</v>
      </c>
      <c r="F236" s="247" t="s">
        <v>7506</v>
      </c>
      <c r="G236" s="34" t="s">
        <v>7</v>
      </c>
      <c r="H236" s="234" t="s">
        <v>7504</v>
      </c>
      <c r="I236" s="248" t="s">
        <v>7</v>
      </c>
      <c r="J236" s="249" t="s">
        <v>492</v>
      </c>
      <c r="K236" s="250">
        <v>0</v>
      </c>
      <c r="L236" s="250">
        <v>0</v>
      </c>
      <c r="M236" s="251" t="s">
        <v>18</v>
      </c>
      <c r="N236" s="252">
        <v>0</v>
      </c>
      <c r="O236" s="185" t="s">
        <v>51</v>
      </c>
    </row>
    <row r="237" spans="1:15" x14ac:dyDescent="0.25">
      <c r="A237" s="234" t="s">
        <v>7502</v>
      </c>
      <c r="B237" s="234" t="s">
        <v>18</v>
      </c>
      <c r="C237" s="245">
        <v>46143</v>
      </c>
      <c r="D237" s="234">
        <v>0</v>
      </c>
      <c r="E237" s="246">
        <v>60000</v>
      </c>
      <c r="F237" s="247" t="s">
        <v>7507</v>
      </c>
      <c r="G237" s="34" t="s">
        <v>7</v>
      </c>
      <c r="H237" s="234" t="s">
        <v>7504</v>
      </c>
      <c r="I237" s="248" t="s">
        <v>7</v>
      </c>
      <c r="J237" s="249" t="s">
        <v>492</v>
      </c>
      <c r="K237" s="250">
        <v>0</v>
      </c>
      <c r="L237" s="250">
        <v>0</v>
      </c>
      <c r="M237" s="251" t="s">
        <v>18</v>
      </c>
      <c r="N237" s="252">
        <v>0</v>
      </c>
      <c r="O237" s="185" t="s">
        <v>51</v>
      </c>
    </row>
    <row r="238" spans="1:15" x14ac:dyDescent="0.25">
      <c r="A238" s="234" t="s">
        <v>7508</v>
      </c>
      <c r="B238" s="234" t="s">
        <v>18</v>
      </c>
      <c r="C238" s="245">
        <v>46143</v>
      </c>
      <c r="D238" s="234">
        <v>0</v>
      </c>
      <c r="E238" s="246">
        <v>40000</v>
      </c>
      <c r="F238" s="247" t="s">
        <v>7509</v>
      </c>
      <c r="G238" s="34" t="s">
        <v>7</v>
      </c>
      <c r="H238" s="234" t="s">
        <v>7510</v>
      </c>
      <c r="I238" s="248" t="s">
        <v>7</v>
      </c>
      <c r="J238" s="249" t="s">
        <v>492</v>
      </c>
      <c r="K238" s="250">
        <v>0</v>
      </c>
      <c r="L238" s="250">
        <v>0</v>
      </c>
      <c r="M238" s="251" t="s">
        <v>18</v>
      </c>
      <c r="N238" s="252">
        <v>0</v>
      </c>
      <c r="O238" s="185" t="s">
        <v>51</v>
      </c>
    </row>
    <row r="239" spans="1:15" x14ac:dyDescent="0.25">
      <c r="A239" s="234" t="s">
        <v>744</v>
      </c>
      <c r="B239" s="234" t="s">
        <v>18</v>
      </c>
      <c r="C239" s="245">
        <v>46143</v>
      </c>
      <c r="D239" s="234">
        <v>0</v>
      </c>
      <c r="E239" s="246">
        <v>30000</v>
      </c>
      <c r="F239" s="247" t="s">
        <v>743</v>
      </c>
      <c r="G239" s="34" t="s">
        <v>7</v>
      </c>
      <c r="H239" s="234" t="s">
        <v>745</v>
      </c>
      <c r="I239" s="248" t="s">
        <v>7</v>
      </c>
      <c r="J239" s="249" t="s">
        <v>554</v>
      </c>
      <c r="K239" s="250">
        <v>30000</v>
      </c>
      <c r="L239" s="250">
        <v>0</v>
      </c>
      <c r="M239" s="251" t="s">
        <v>18</v>
      </c>
      <c r="N239" s="252">
        <v>0</v>
      </c>
      <c r="O239" s="185" t="s">
        <v>51</v>
      </c>
    </row>
    <row r="240" spans="1:15" x14ac:dyDescent="0.25">
      <c r="A240" s="234" t="s">
        <v>7511</v>
      </c>
      <c r="B240" s="234" t="s">
        <v>18</v>
      </c>
      <c r="C240" s="245">
        <v>46143</v>
      </c>
      <c r="D240" s="234">
        <v>0</v>
      </c>
      <c r="E240" s="246">
        <v>377659</v>
      </c>
      <c r="F240" s="247" t="s">
        <v>7512</v>
      </c>
      <c r="G240" s="34" t="s">
        <v>7</v>
      </c>
      <c r="H240" s="234" t="s">
        <v>7513</v>
      </c>
      <c r="I240" s="248" t="s">
        <v>7</v>
      </c>
      <c r="J240" s="249" t="s">
        <v>492</v>
      </c>
      <c r="K240" s="250">
        <v>0</v>
      </c>
      <c r="L240" s="250">
        <v>0</v>
      </c>
      <c r="M240" s="251" t="s">
        <v>18</v>
      </c>
      <c r="N240" s="252">
        <v>0</v>
      </c>
      <c r="O240" s="185" t="s">
        <v>51</v>
      </c>
    </row>
    <row r="241" spans="1:15" x14ac:dyDescent="0.25">
      <c r="A241" s="234" t="s">
        <v>806</v>
      </c>
      <c r="B241" s="234" t="s">
        <v>18</v>
      </c>
      <c r="C241" s="245">
        <v>46143</v>
      </c>
      <c r="D241" s="234">
        <v>0</v>
      </c>
      <c r="E241" s="246">
        <v>377659</v>
      </c>
      <c r="F241" s="247" t="s">
        <v>7514</v>
      </c>
      <c r="G241" s="34" t="s">
        <v>7</v>
      </c>
      <c r="H241" s="234" t="s">
        <v>807</v>
      </c>
      <c r="I241" s="248" t="s">
        <v>7</v>
      </c>
      <c r="J241" s="249" t="s">
        <v>492</v>
      </c>
      <c r="K241" s="250">
        <v>0</v>
      </c>
      <c r="L241" s="250">
        <v>0</v>
      </c>
      <c r="M241" s="251" t="s">
        <v>18</v>
      </c>
      <c r="N241" s="252">
        <v>0</v>
      </c>
      <c r="O241" s="185" t="s">
        <v>51</v>
      </c>
    </row>
    <row r="242" spans="1:15" x14ac:dyDescent="0.25">
      <c r="A242" s="234" t="s">
        <v>7515</v>
      </c>
      <c r="B242" s="234" t="s">
        <v>18</v>
      </c>
      <c r="C242" s="245">
        <v>46143</v>
      </c>
      <c r="D242" s="234">
        <v>0</v>
      </c>
      <c r="E242" s="246">
        <v>376260</v>
      </c>
      <c r="F242" s="247" t="s">
        <v>7516</v>
      </c>
      <c r="G242" s="34" t="s">
        <v>7</v>
      </c>
      <c r="H242" s="234" t="s">
        <v>7517</v>
      </c>
      <c r="I242" s="248" t="s">
        <v>7</v>
      </c>
      <c r="J242" s="249" t="s">
        <v>492</v>
      </c>
      <c r="K242" s="250">
        <v>0</v>
      </c>
      <c r="L242" s="250">
        <v>0</v>
      </c>
      <c r="M242" s="251" t="s">
        <v>18</v>
      </c>
      <c r="N242" s="252">
        <v>0</v>
      </c>
      <c r="O242" s="185" t="s">
        <v>51</v>
      </c>
    </row>
    <row r="243" spans="1:15" x14ac:dyDescent="0.25">
      <c r="A243" s="234" t="s">
        <v>7518</v>
      </c>
      <c r="B243" s="234" t="s">
        <v>34</v>
      </c>
      <c r="C243" s="245">
        <v>46143</v>
      </c>
      <c r="D243" s="234">
        <v>0</v>
      </c>
      <c r="E243" s="246">
        <v>20000</v>
      </c>
      <c r="F243" s="247" t="s">
        <v>7519</v>
      </c>
      <c r="G243" s="34" t="s">
        <v>7</v>
      </c>
      <c r="H243" s="234" t="s">
        <v>7520</v>
      </c>
      <c r="I243" s="248" t="s">
        <v>7</v>
      </c>
      <c r="J243" s="249" t="s">
        <v>492</v>
      </c>
      <c r="K243" s="250">
        <v>0</v>
      </c>
      <c r="L243" s="250">
        <v>0</v>
      </c>
      <c r="M243" s="251" t="s">
        <v>34</v>
      </c>
      <c r="N243" s="252">
        <v>0</v>
      </c>
      <c r="O243" s="185" t="s">
        <v>51</v>
      </c>
    </row>
    <row r="244" spans="1:15" x14ac:dyDescent="0.25">
      <c r="A244" s="234" t="s">
        <v>7521</v>
      </c>
      <c r="B244" s="234" t="s">
        <v>34</v>
      </c>
      <c r="C244" s="245">
        <v>46143</v>
      </c>
      <c r="D244" s="234">
        <v>0</v>
      </c>
      <c r="E244" s="246">
        <v>18000</v>
      </c>
      <c r="F244" s="247" t="s">
        <v>7522</v>
      </c>
      <c r="G244" s="34" t="s">
        <v>7</v>
      </c>
      <c r="H244" s="234" t="s">
        <v>7523</v>
      </c>
      <c r="I244" s="248" t="s">
        <v>7524</v>
      </c>
      <c r="J244" s="249" t="s">
        <v>492</v>
      </c>
      <c r="K244" s="250">
        <v>0</v>
      </c>
      <c r="L244" s="250">
        <v>0</v>
      </c>
      <c r="M244" s="251" t="s">
        <v>34</v>
      </c>
      <c r="N244" s="252">
        <v>0</v>
      </c>
      <c r="O244" s="185" t="s">
        <v>51</v>
      </c>
    </row>
    <row r="245" spans="1:15" x14ac:dyDescent="0.25">
      <c r="A245" s="234" t="s">
        <v>7521</v>
      </c>
      <c r="B245" s="234" t="s">
        <v>34</v>
      </c>
      <c r="C245" s="245">
        <v>46143</v>
      </c>
      <c r="D245" s="234">
        <v>0</v>
      </c>
      <c r="E245" s="246">
        <v>18000</v>
      </c>
      <c r="F245" s="247" t="s">
        <v>7525</v>
      </c>
      <c r="G245" s="34" t="s">
        <v>7</v>
      </c>
      <c r="H245" s="234" t="s">
        <v>7523</v>
      </c>
      <c r="I245" s="248" t="s">
        <v>7524</v>
      </c>
      <c r="J245" s="249" t="s">
        <v>492</v>
      </c>
      <c r="K245" s="250">
        <v>0</v>
      </c>
      <c r="L245" s="250">
        <v>0</v>
      </c>
      <c r="M245" s="251" t="s">
        <v>34</v>
      </c>
      <c r="N245" s="252">
        <v>0</v>
      </c>
      <c r="O245" s="185" t="s">
        <v>51</v>
      </c>
    </row>
    <row r="246" spans="1:15" x14ac:dyDescent="0.25">
      <c r="A246" s="234" t="s">
        <v>2309</v>
      </c>
      <c r="B246" s="234" t="s">
        <v>34</v>
      </c>
      <c r="C246" s="245">
        <v>46143</v>
      </c>
      <c r="D246" s="234">
        <v>0</v>
      </c>
      <c r="E246" s="246">
        <v>45000</v>
      </c>
      <c r="F246" s="247" t="s">
        <v>2308</v>
      </c>
      <c r="G246" s="34" t="s">
        <v>7</v>
      </c>
      <c r="H246" s="234" t="s">
        <v>2310</v>
      </c>
      <c r="I246" s="248" t="s">
        <v>7</v>
      </c>
      <c r="J246" s="249" t="s">
        <v>554</v>
      </c>
      <c r="K246" s="250">
        <v>45000</v>
      </c>
      <c r="L246" s="250">
        <v>0</v>
      </c>
      <c r="M246" s="251" t="s">
        <v>34</v>
      </c>
      <c r="N246" s="252">
        <v>0</v>
      </c>
      <c r="O246" s="185" t="s">
        <v>51</v>
      </c>
    </row>
    <row r="247" spans="1:15" x14ac:dyDescent="0.25">
      <c r="A247" s="234" t="s">
        <v>5645</v>
      </c>
      <c r="B247" s="234" t="s">
        <v>34</v>
      </c>
      <c r="C247" s="245">
        <v>46143</v>
      </c>
      <c r="D247" s="234">
        <v>0</v>
      </c>
      <c r="E247" s="246">
        <v>30000</v>
      </c>
      <c r="F247" s="247" t="s">
        <v>5647</v>
      </c>
      <c r="G247" s="34" t="s">
        <v>7</v>
      </c>
      <c r="H247" s="234" t="s">
        <v>5646</v>
      </c>
      <c r="I247" s="248" t="s">
        <v>7</v>
      </c>
      <c r="J247" s="249" t="s">
        <v>554</v>
      </c>
      <c r="K247" s="250">
        <v>30000</v>
      </c>
      <c r="L247" s="250">
        <v>0</v>
      </c>
      <c r="M247" s="251" t="s">
        <v>34</v>
      </c>
      <c r="N247" s="252">
        <v>0</v>
      </c>
      <c r="O247" s="185" t="s">
        <v>51</v>
      </c>
    </row>
    <row r="248" spans="1:15" x14ac:dyDescent="0.25">
      <c r="A248" s="234" t="s">
        <v>5645</v>
      </c>
      <c r="B248" s="234" t="s">
        <v>34</v>
      </c>
      <c r="C248" s="245">
        <v>46143</v>
      </c>
      <c r="D248" s="234">
        <v>0</v>
      </c>
      <c r="E248" s="246">
        <v>14458</v>
      </c>
      <c r="F248" s="247" t="s">
        <v>5644</v>
      </c>
      <c r="G248" s="34" t="s">
        <v>7</v>
      </c>
      <c r="H248" s="234" t="s">
        <v>5646</v>
      </c>
      <c r="I248" s="248" t="s">
        <v>7</v>
      </c>
      <c r="J248" s="249" t="s">
        <v>554</v>
      </c>
      <c r="K248" s="250">
        <v>14458</v>
      </c>
      <c r="L248" s="250">
        <v>0</v>
      </c>
      <c r="M248" s="251" t="s">
        <v>34</v>
      </c>
      <c r="N248" s="252">
        <v>0</v>
      </c>
      <c r="O248" s="185" t="s">
        <v>51</v>
      </c>
    </row>
    <row r="249" spans="1:15" x14ac:dyDescent="0.25">
      <c r="A249" s="234" t="s">
        <v>5609</v>
      </c>
      <c r="B249" s="234" t="s">
        <v>34</v>
      </c>
      <c r="C249" s="245">
        <v>46143</v>
      </c>
      <c r="D249" s="234">
        <v>0</v>
      </c>
      <c r="E249" s="246">
        <v>300000</v>
      </c>
      <c r="F249" s="247" t="s">
        <v>5608</v>
      </c>
      <c r="G249" s="34" t="s">
        <v>7</v>
      </c>
      <c r="H249" s="234" t="s">
        <v>5611</v>
      </c>
      <c r="I249" s="248" t="s">
        <v>7524</v>
      </c>
      <c r="J249" s="249" t="s">
        <v>554</v>
      </c>
      <c r="K249" s="250">
        <v>300000</v>
      </c>
      <c r="L249" s="250">
        <v>300000</v>
      </c>
      <c r="M249" s="251" t="s">
        <v>34</v>
      </c>
      <c r="N249" s="252">
        <v>0</v>
      </c>
      <c r="O249" s="185" t="s">
        <v>51</v>
      </c>
    </row>
    <row r="250" spans="1:15" x14ac:dyDescent="0.25">
      <c r="A250" s="234" t="s">
        <v>2361</v>
      </c>
      <c r="B250" s="234" t="s">
        <v>34</v>
      </c>
      <c r="C250" s="245">
        <v>46143</v>
      </c>
      <c r="D250" s="234">
        <v>0</v>
      </c>
      <c r="E250" s="246">
        <v>1667315</v>
      </c>
      <c r="F250" s="247" t="s">
        <v>2360</v>
      </c>
      <c r="G250" s="34" t="s">
        <v>7</v>
      </c>
      <c r="H250" s="234" t="s">
        <v>2362</v>
      </c>
      <c r="I250" s="248" t="s">
        <v>7</v>
      </c>
      <c r="J250" s="249" t="s">
        <v>554</v>
      </c>
      <c r="K250" s="250">
        <v>1666143.3</v>
      </c>
      <c r="L250" s="250">
        <v>0</v>
      </c>
      <c r="M250" s="251" t="s">
        <v>34</v>
      </c>
      <c r="N250" s="252">
        <v>0</v>
      </c>
      <c r="O250" s="185" t="s">
        <v>51</v>
      </c>
    </row>
    <row r="251" spans="1:15" x14ac:dyDescent="0.25">
      <c r="A251" s="234" t="s">
        <v>4026</v>
      </c>
      <c r="B251" s="234" t="s">
        <v>34</v>
      </c>
      <c r="C251" s="245">
        <v>46143</v>
      </c>
      <c r="D251" s="234">
        <v>0</v>
      </c>
      <c r="E251" s="246">
        <v>50000</v>
      </c>
      <c r="F251" s="247" t="s">
        <v>4025</v>
      </c>
      <c r="G251" s="34" t="s">
        <v>7</v>
      </c>
      <c r="H251" s="234" t="s">
        <v>4027</v>
      </c>
      <c r="I251" s="248" t="s">
        <v>7</v>
      </c>
      <c r="J251" s="249" t="s">
        <v>554</v>
      </c>
      <c r="K251" s="250">
        <v>50000</v>
      </c>
      <c r="L251" s="250">
        <v>0</v>
      </c>
      <c r="M251" s="251" t="s">
        <v>34</v>
      </c>
      <c r="N251" s="252">
        <v>0</v>
      </c>
      <c r="O251" s="185" t="s">
        <v>51</v>
      </c>
    </row>
    <row r="252" spans="1:15" x14ac:dyDescent="0.25">
      <c r="A252" s="234" t="s">
        <v>7526</v>
      </c>
      <c r="B252" s="234" t="s">
        <v>49</v>
      </c>
      <c r="C252" s="245">
        <v>46143</v>
      </c>
      <c r="D252" s="234" t="s">
        <v>546</v>
      </c>
      <c r="E252" s="246">
        <v>10000</v>
      </c>
      <c r="F252" s="247" t="s">
        <v>7527</v>
      </c>
      <c r="G252" s="34" t="s">
        <v>83</v>
      </c>
      <c r="H252" s="234" t="s">
        <v>7528</v>
      </c>
      <c r="I252" s="248" t="s">
        <v>7</v>
      </c>
      <c r="J252" s="249" t="s">
        <v>492</v>
      </c>
      <c r="K252" s="250">
        <v>0</v>
      </c>
      <c r="L252" s="250">
        <v>0</v>
      </c>
      <c r="M252" s="251" t="s">
        <v>49</v>
      </c>
      <c r="N252" s="252">
        <v>0</v>
      </c>
      <c r="O252" s="185" t="s">
        <v>74</v>
      </c>
    </row>
    <row r="253" spans="1:15" x14ac:dyDescent="0.25">
      <c r="A253" s="234" t="s">
        <v>7526</v>
      </c>
      <c r="B253" s="234" t="s">
        <v>49</v>
      </c>
      <c r="C253" s="245">
        <v>46143</v>
      </c>
      <c r="D253" s="234" t="s">
        <v>546</v>
      </c>
      <c r="E253" s="246">
        <v>10000</v>
      </c>
      <c r="F253" s="247" t="s">
        <v>7529</v>
      </c>
      <c r="G253" s="34" t="s">
        <v>83</v>
      </c>
      <c r="H253" s="234" t="s">
        <v>7528</v>
      </c>
      <c r="I253" s="248" t="s">
        <v>7</v>
      </c>
      <c r="J253" s="249" t="s">
        <v>492</v>
      </c>
      <c r="K253" s="250">
        <v>0</v>
      </c>
      <c r="L253" s="250">
        <v>0</v>
      </c>
      <c r="M253" s="251" t="s">
        <v>49</v>
      </c>
      <c r="N253" s="252">
        <v>0</v>
      </c>
      <c r="O253" s="185" t="s">
        <v>74</v>
      </c>
    </row>
    <row r="254" spans="1:15" x14ac:dyDescent="0.25">
      <c r="A254" s="234" t="s">
        <v>3537</v>
      </c>
      <c r="B254" s="234" t="s">
        <v>49</v>
      </c>
      <c r="C254" s="245">
        <v>46143</v>
      </c>
      <c r="D254" s="234" t="s">
        <v>546</v>
      </c>
      <c r="E254" s="246">
        <v>25000</v>
      </c>
      <c r="F254" s="247" t="s">
        <v>3536</v>
      </c>
      <c r="G254" s="34" t="s">
        <v>83</v>
      </c>
      <c r="H254" s="234" t="s">
        <v>3538</v>
      </c>
      <c r="I254" s="248" t="s">
        <v>7</v>
      </c>
      <c r="J254" s="249" t="s">
        <v>554</v>
      </c>
      <c r="K254" s="250">
        <v>25000</v>
      </c>
      <c r="L254" s="250">
        <v>0</v>
      </c>
      <c r="M254" s="251" t="s">
        <v>49</v>
      </c>
      <c r="N254" s="252">
        <v>0</v>
      </c>
      <c r="O254" s="185" t="s">
        <v>51</v>
      </c>
    </row>
    <row r="255" spans="1:15" x14ac:dyDescent="0.25">
      <c r="A255" s="234" t="s">
        <v>3546</v>
      </c>
      <c r="B255" s="234" t="s">
        <v>49</v>
      </c>
      <c r="C255" s="245">
        <v>46143</v>
      </c>
      <c r="D255" s="234" t="s">
        <v>546</v>
      </c>
      <c r="E255" s="246">
        <v>3000</v>
      </c>
      <c r="F255" s="247" t="s">
        <v>7530</v>
      </c>
      <c r="G255" s="34" t="s">
        <v>83</v>
      </c>
      <c r="H255" s="234" t="s">
        <v>3547</v>
      </c>
      <c r="I255" s="248" t="s">
        <v>7</v>
      </c>
      <c r="J255" s="249" t="s">
        <v>492</v>
      </c>
      <c r="K255" s="250">
        <v>0</v>
      </c>
      <c r="L255" s="250">
        <v>0</v>
      </c>
      <c r="M255" s="251" t="s">
        <v>49</v>
      </c>
      <c r="N255" s="252">
        <v>0</v>
      </c>
      <c r="O255" s="185" t="s">
        <v>51</v>
      </c>
    </row>
    <row r="256" spans="1:15" x14ac:dyDescent="0.25">
      <c r="A256" s="234" t="s">
        <v>3281</v>
      </c>
      <c r="B256" s="234" t="s">
        <v>49</v>
      </c>
      <c r="C256" s="245">
        <v>46143</v>
      </c>
      <c r="D256" s="234" t="s">
        <v>546</v>
      </c>
      <c r="E256" s="246">
        <v>20100</v>
      </c>
      <c r="F256" s="247" t="s">
        <v>7531</v>
      </c>
      <c r="G256" s="34" t="s">
        <v>83</v>
      </c>
      <c r="H256" s="234" t="s">
        <v>3282</v>
      </c>
      <c r="I256" s="248" t="s">
        <v>7</v>
      </c>
      <c r="J256" s="249" t="s">
        <v>492</v>
      </c>
      <c r="K256" s="250">
        <v>0</v>
      </c>
      <c r="L256" s="250">
        <v>0</v>
      </c>
      <c r="M256" s="251" t="s">
        <v>49</v>
      </c>
      <c r="N256" s="252">
        <v>0</v>
      </c>
      <c r="O256" s="185" t="s">
        <v>51</v>
      </c>
    </row>
    <row r="257" spans="1:15" x14ac:dyDescent="0.25">
      <c r="A257" s="234" t="s">
        <v>5733</v>
      </c>
      <c r="B257" s="234" t="s">
        <v>49</v>
      </c>
      <c r="C257" s="245">
        <v>46143</v>
      </c>
      <c r="D257" s="234" t="s">
        <v>546</v>
      </c>
      <c r="E257" s="246">
        <v>562219</v>
      </c>
      <c r="F257" s="247" t="s">
        <v>5732</v>
      </c>
      <c r="G257" s="34" t="s">
        <v>83</v>
      </c>
      <c r="H257" s="234" t="s">
        <v>5734</v>
      </c>
      <c r="I257" s="248" t="s">
        <v>7</v>
      </c>
      <c r="J257" s="249" t="s">
        <v>554</v>
      </c>
      <c r="K257" s="250">
        <v>562219</v>
      </c>
      <c r="L257" s="250">
        <v>0</v>
      </c>
      <c r="M257" s="251" t="s">
        <v>49</v>
      </c>
      <c r="N257" s="252">
        <v>0</v>
      </c>
      <c r="O257" s="185" t="s">
        <v>51</v>
      </c>
    </row>
    <row r="258" spans="1:15" x14ac:dyDescent="0.25">
      <c r="A258" s="234" t="s">
        <v>5661</v>
      </c>
      <c r="B258" s="234" t="s">
        <v>49</v>
      </c>
      <c r="C258" s="245">
        <v>46143</v>
      </c>
      <c r="D258" s="234" t="s">
        <v>546</v>
      </c>
      <c r="E258" s="246">
        <v>3700</v>
      </c>
      <c r="F258" s="247" t="s">
        <v>7532</v>
      </c>
      <c r="G258" s="34" t="s">
        <v>83</v>
      </c>
      <c r="H258" s="234" t="s">
        <v>5663</v>
      </c>
      <c r="I258" s="248" t="s">
        <v>7</v>
      </c>
      <c r="J258" s="249" t="s">
        <v>492</v>
      </c>
      <c r="K258" s="250">
        <v>0</v>
      </c>
      <c r="L258" s="250">
        <v>0</v>
      </c>
      <c r="M258" s="251" t="s">
        <v>49</v>
      </c>
      <c r="N258" s="252">
        <v>0</v>
      </c>
      <c r="O258" s="185" t="s">
        <v>51</v>
      </c>
    </row>
    <row r="259" spans="1:15" x14ac:dyDescent="0.25">
      <c r="A259" s="234" t="s">
        <v>2379</v>
      </c>
      <c r="B259" s="234" t="s">
        <v>49</v>
      </c>
      <c r="C259" s="245">
        <v>46143</v>
      </c>
      <c r="D259" s="234" t="s">
        <v>546</v>
      </c>
      <c r="E259" s="246">
        <v>400000</v>
      </c>
      <c r="F259" s="247" t="s">
        <v>2381</v>
      </c>
      <c r="G259" s="34" t="s">
        <v>83</v>
      </c>
      <c r="H259" s="234" t="s">
        <v>2380</v>
      </c>
      <c r="I259" s="248" t="s">
        <v>7</v>
      </c>
      <c r="J259" s="249" t="s">
        <v>554</v>
      </c>
      <c r="K259" s="250">
        <v>400000</v>
      </c>
      <c r="L259" s="250">
        <v>0</v>
      </c>
      <c r="M259" s="251" t="s">
        <v>49</v>
      </c>
      <c r="N259" s="252">
        <v>0</v>
      </c>
      <c r="O259" s="185" t="s">
        <v>51</v>
      </c>
    </row>
    <row r="260" spans="1:15" x14ac:dyDescent="0.25">
      <c r="A260" s="234" t="s">
        <v>2379</v>
      </c>
      <c r="B260" s="234" t="s">
        <v>49</v>
      </c>
      <c r="C260" s="245">
        <v>46143</v>
      </c>
      <c r="D260" s="234" t="s">
        <v>546</v>
      </c>
      <c r="E260" s="246">
        <v>396935</v>
      </c>
      <c r="F260" s="247" t="s">
        <v>2378</v>
      </c>
      <c r="G260" s="34" t="s">
        <v>83</v>
      </c>
      <c r="H260" s="234" t="s">
        <v>2380</v>
      </c>
      <c r="I260" s="248" t="s">
        <v>7</v>
      </c>
      <c r="J260" s="249" t="s">
        <v>554</v>
      </c>
      <c r="K260" s="250">
        <v>396935</v>
      </c>
      <c r="L260" s="250">
        <v>0</v>
      </c>
      <c r="M260" s="251" t="s">
        <v>49</v>
      </c>
      <c r="N260" s="252">
        <v>0</v>
      </c>
      <c r="O260" s="185" t="s">
        <v>51</v>
      </c>
    </row>
    <row r="261" spans="1:15" x14ac:dyDescent="0.25">
      <c r="A261" s="234" t="s">
        <v>5476</v>
      </c>
      <c r="B261" s="234" t="s">
        <v>45</v>
      </c>
      <c r="C261" s="245">
        <v>46143</v>
      </c>
      <c r="D261" s="234">
        <v>0</v>
      </c>
      <c r="E261" s="246">
        <v>436382</v>
      </c>
      <c r="F261" s="247" t="s">
        <v>5475</v>
      </c>
      <c r="G261" s="34" t="s">
        <v>83</v>
      </c>
      <c r="H261" s="234" t="s">
        <v>5477</v>
      </c>
      <c r="I261" s="248" t="s">
        <v>7</v>
      </c>
      <c r="J261" s="249" t="s">
        <v>554</v>
      </c>
      <c r="K261" s="250">
        <v>436382</v>
      </c>
      <c r="L261" s="250">
        <v>0</v>
      </c>
      <c r="M261" s="251" t="s">
        <v>45</v>
      </c>
      <c r="N261" s="252">
        <v>0</v>
      </c>
      <c r="O261" s="185" t="s">
        <v>51</v>
      </c>
    </row>
    <row r="262" spans="1:15" x14ac:dyDescent="0.25">
      <c r="A262" s="234" t="s">
        <v>3889</v>
      </c>
      <c r="B262" s="234" t="s">
        <v>45</v>
      </c>
      <c r="C262" s="245">
        <v>46143</v>
      </c>
      <c r="D262" s="234">
        <v>0</v>
      </c>
      <c r="E262" s="246">
        <v>151232</v>
      </c>
      <c r="F262" s="247" t="s">
        <v>3888</v>
      </c>
      <c r="G262" s="34" t="s">
        <v>83</v>
      </c>
      <c r="H262" s="234" t="s">
        <v>3890</v>
      </c>
      <c r="I262" s="248" t="s">
        <v>7</v>
      </c>
      <c r="J262" s="249" t="s">
        <v>554</v>
      </c>
      <c r="K262" s="250">
        <v>151232</v>
      </c>
      <c r="L262" s="250">
        <v>0</v>
      </c>
      <c r="M262" s="251" t="s">
        <v>45</v>
      </c>
      <c r="N262" s="252">
        <v>0</v>
      </c>
      <c r="O262" s="185" t="s">
        <v>74</v>
      </c>
    </row>
    <row r="263" spans="1:15" x14ac:dyDescent="0.25">
      <c r="A263" s="234" t="s">
        <v>4090</v>
      </c>
      <c r="B263" s="234" t="s">
        <v>45</v>
      </c>
      <c r="C263" s="245">
        <v>46143</v>
      </c>
      <c r="D263" s="234">
        <v>0</v>
      </c>
      <c r="E263" s="246">
        <v>198000</v>
      </c>
      <c r="F263" s="247" t="s">
        <v>4093</v>
      </c>
      <c r="G263" s="34" t="s">
        <v>83</v>
      </c>
      <c r="H263" s="234" t="s">
        <v>4092</v>
      </c>
      <c r="I263" s="248" t="s">
        <v>7</v>
      </c>
      <c r="J263" s="249" t="s">
        <v>61</v>
      </c>
      <c r="K263" s="250">
        <v>198000</v>
      </c>
      <c r="L263" s="250">
        <v>0</v>
      </c>
      <c r="M263" s="251" t="s">
        <v>45</v>
      </c>
      <c r="N263" s="252">
        <v>0</v>
      </c>
      <c r="O263" s="185" t="s">
        <v>51</v>
      </c>
    </row>
    <row r="264" spans="1:15" x14ac:dyDescent="0.25">
      <c r="A264" s="234" t="s">
        <v>3392</v>
      </c>
      <c r="B264" s="234" t="s">
        <v>45</v>
      </c>
      <c r="C264" s="245">
        <v>46143</v>
      </c>
      <c r="D264" s="234">
        <v>0</v>
      </c>
      <c r="E264" s="246">
        <v>163758</v>
      </c>
      <c r="F264" s="247" t="s">
        <v>3391</v>
      </c>
      <c r="G264" s="34" t="s">
        <v>83</v>
      </c>
      <c r="H264" s="234" t="s">
        <v>3393</v>
      </c>
      <c r="I264" s="248" t="s">
        <v>7</v>
      </c>
      <c r="J264" s="249" t="s">
        <v>61</v>
      </c>
      <c r="K264" s="250">
        <v>163758</v>
      </c>
      <c r="L264" s="250">
        <v>0</v>
      </c>
      <c r="M264" s="251" t="s">
        <v>45</v>
      </c>
      <c r="N264" s="252">
        <v>0</v>
      </c>
      <c r="O264" s="185" t="s">
        <v>74</v>
      </c>
    </row>
    <row r="265" spans="1:15" x14ac:dyDescent="0.25">
      <c r="A265" s="234" t="s">
        <v>3389</v>
      </c>
      <c r="B265" s="234" t="s">
        <v>45</v>
      </c>
      <c r="C265" s="245">
        <v>46143</v>
      </c>
      <c r="D265" s="234">
        <v>0</v>
      </c>
      <c r="E265" s="246">
        <v>163758</v>
      </c>
      <c r="F265" s="247" t="s">
        <v>3388</v>
      </c>
      <c r="G265" s="34" t="s">
        <v>83</v>
      </c>
      <c r="H265" s="234" t="s">
        <v>3390</v>
      </c>
      <c r="I265" s="248" t="s">
        <v>7</v>
      </c>
      <c r="J265" s="249" t="s">
        <v>554</v>
      </c>
      <c r="K265" s="250">
        <v>163758</v>
      </c>
      <c r="L265" s="250">
        <v>0</v>
      </c>
      <c r="M265" s="251" t="s">
        <v>45</v>
      </c>
      <c r="N265" s="252">
        <v>0</v>
      </c>
      <c r="O265" s="185" t="s">
        <v>74</v>
      </c>
    </row>
    <row r="266" spans="1:15" x14ac:dyDescent="0.25">
      <c r="A266" s="234" t="s">
        <v>2882</v>
      </c>
      <c r="B266" s="234" t="s">
        <v>29</v>
      </c>
      <c r="C266" s="245">
        <v>46143</v>
      </c>
      <c r="D266" s="234">
        <v>0</v>
      </c>
      <c r="E266" s="246">
        <v>118000</v>
      </c>
      <c r="F266" s="247">
        <v>0</v>
      </c>
      <c r="G266" s="34" t="s">
        <v>7</v>
      </c>
      <c r="H266" s="234" t="s">
        <v>2883</v>
      </c>
      <c r="I266" s="248" t="s">
        <v>7</v>
      </c>
      <c r="J266" s="249" t="s">
        <v>492</v>
      </c>
      <c r="K266" s="250">
        <v>0</v>
      </c>
      <c r="L266" s="250">
        <v>0</v>
      </c>
      <c r="M266" s="251" t="s">
        <v>29</v>
      </c>
      <c r="N266" s="252">
        <v>0</v>
      </c>
      <c r="O266" s="185" t="s">
        <v>51</v>
      </c>
    </row>
    <row r="267" spans="1:15" x14ac:dyDescent="0.25">
      <c r="A267" s="234" t="s">
        <v>2885</v>
      </c>
      <c r="B267" s="234" t="s">
        <v>29</v>
      </c>
      <c r="C267" s="245">
        <v>46143</v>
      </c>
      <c r="D267" s="234">
        <v>0</v>
      </c>
      <c r="E267" s="246">
        <v>117000</v>
      </c>
      <c r="F267" s="247">
        <v>0</v>
      </c>
      <c r="G267" s="34" t="s">
        <v>7</v>
      </c>
      <c r="H267" s="234" t="s">
        <v>2886</v>
      </c>
      <c r="I267" s="248" t="s">
        <v>7</v>
      </c>
      <c r="J267" s="249" t="s">
        <v>492</v>
      </c>
      <c r="K267" s="250">
        <v>0</v>
      </c>
      <c r="L267" s="250">
        <v>0</v>
      </c>
      <c r="M267" s="251" t="s">
        <v>29</v>
      </c>
      <c r="N267" s="252">
        <v>0</v>
      </c>
      <c r="O267" s="185" t="s">
        <v>51</v>
      </c>
    </row>
    <row r="268" spans="1:15" x14ac:dyDescent="0.25">
      <c r="A268" s="234" t="s">
        <v>7533</v>
      </c>
      <c r="B268" s="234" t="s">
        <v>29</v>
      </c>
      <c r="C268" s="245">
        <v>46143</v>
      </c>
      <c r="D268" s="234">
        <v>0</v>
      </c>
      <c r="E268" s="246">
        <v>565886</v>
      </c>
      <c r="F268" s="247">
        <v>0</v>
      </c>
      <c r="G268" s="34" t="s">
        <v>7</v>
      </c>
      <c r="H268" s="234" t="s">
        <v>7534</v>
      </c>
      <c r="I268" s="248" t="s">
        <v>7</v>
      </c>
      <c r="J268" s="249" t="s">
        <v>492</v>
      </c>
      <c r="K268" s="250">
        <v>0</v>
      </c>
      <c r="L268" s="250">
        <v>0</v>
      </c>
      <c r="M268" s="251" t="s">
        <v>29</v>
      </c>
      <c r="N268" s="252">
        <v>0</v>
      </c>
      <c r="O268" s="185" t="s">
        <v>51</v>
      </c>
    </row>
    <row r="269" spans="1:15" x14ac:dyDescent="0.25">
      <c r="A269" s="234" t="s">
        <v>7535</v>
      </c>
      <c r="B269" s="234" t="s">
        <v>29</v>
      </c>
      <c r="C269" s="245">
        <v>46143</v>
      </c>
      <c r="D269" s="234">
        <v>0</v>
      </c>
      <c r="E269" s="246">
        <v>783773.96</v>
      </c>
      <c r="F269" s="247">
        <v>0</v>
      </c>
      <c r="G269" s="34" t="s">
        <v>7</v>
      </c>
      <c r="H269" s="234" t="s">
        <v>7536</v>
      </c>
      <c r="I269" s="248" t="s">
        <v>7</v>
      </c>
      <c r="J269" s="249" t="s">
        <v>492</v>
      </c>
      <c r="K269" s="250">
        <v>0</v>
      </c>
      <c r="L269" s="250">
        <v>0</v>
      </c>
      <c r="M269" s="251" t="s">
        <v>29</v>
      </c>
      <c r="N269" s="252">
        <v>0</v>
      </c>
      <c r="O269" s="185" t="s">
        <v>51</v>
      </c>
    </row>
    <row r="270" spans="1:15" x14ac:dyDescent="0.25">
      <c r="A270" s="234" t="s">
        <v>3676</v>
      </c>
      <c r="B270" s="234" t="s">
        <v>32</v>
      </c>
      <c r="C270" s="245">
        <v>46143</v>
      </c>
      <c r="D270" s="234" t="s">
        <v>546</v>
      </c>
      <c r="E270" s="246">
        <v>50000</v>
      </c>
      <c r="F270" s="247" t="s">
        <v>3679</v>
      </c>
      <c r="G270" s="34" t="s">
        <v>7</v>
      </c>
      <c r="H270" s="234" t="s">
        <v>3677</v>
      </c>
      <c r="I270" s="248" t="s">
        <v>7</v>
      </c>
      <c r="J270" s="249" t="s">
        <v>554</v>
      </c>
      <c r="K270" s="250">
        <v>50000</v>
      </c>
      <c r="L270" s="250">
        <v>0</v>
      </c>
      <c r="M270" s="251" t="s">
        <v>32</v>
      </c>
      <c r="N270" s="252">
        <v>0</v>
      </c>
      <c r="O270" s="185" t="s">
        <v>51</v>
      </c>
    </row>
    <row r="271" spans="1:15" x14ac:dyDescent="0.25">
      <c r="A271" s="234" t="s">
        <v>3676</v>
      </c>
      <c r="B271" s="234" t="s">
        <v>32</v>
      </c>
      <c r="C271" s="245">
        <v>46143</v>
      </c>
      <c r="D271" s="234" t="s">
        <v>546</v>
      </c>
      <c r="E271" s="246">
        <v>65000</v>
      </c>
      <c r="F271" s="247" t="s">
        <v>3678</v>
      </c>
      <c r="G271" s="34" t="s">
        <v>7</v>
      </c>
      <c r="H271" s="234" t="s">
        <v>3677</v>
      </c>
      <c r="I271" s="248" t="s">
        <v>7</v>
      </c>
      <c r="J271" s="249" t="s">
        <v>554</v>
      </c>
      <c r="K271" s="250">
        <v>65000</v>
      </c>
      <c r="L271" s="250">
        <v>0</v>
      </c>
      <c r="M271" s="251" t="s">
        <v>32</v>
      </c>
      <c r="N271" s="252">
        <v>0</v>
      </c>
      <c r="O271" s="185" t="s">
        <v>51</v>
      </c>
    </row>
    <row r="272" spans="1:15" x14ac:dyDescent="0.25">
      <c r="A272" s="234" t="s">
        <v>3676</v>
      </c>
      <c r="B272" s="234" t="s">
        <v>32</v>
      </c>
      <c r="C272" s="245">
        <v>46143</v>
      </c>
      <c r="D272" s="234" t="s">
        <v>546</v>
      </c>
      <c r="E272" s="246">
        <v>16499</v>
      </c>
      <c r="F272" s="247" t="s">
        <v>3675</v>
      </c>
      <c r="G272" s="34" t="s">
        <v>7</v>
      </c>
      <c r="H272" s="234" t="s">
        <v>3677</v>
      </c>
      <c r="I272" s="248" t="s">
        <v>7</v>
      </c>
      <c r="J272" s="249" t="s">
        <v>554</v>
      </c>
      <c r="K272" s="250">
        <v>16499</v>
      </c>
      <c r="L272" s="250">
        <v>0</v>
      </c>
      <c r="M272" s="251" t="s">
        <v>32</v>
      </c>
      <c r="N272" s="252">
        <v>0</v>
      </c>
      <c r="O272" s="185" t="s">
        <v>51</v>
      </c>
    </row>
    <row r="273" spans="1:15" x14ac:dyDescent="0.25">
      <c r="A273" s="234" t="s">
        <v>1996</v>
      </c>
      <c r="B273" s="234" t="s">
        <v>32</v>
      </c>
      <c r="C273" s="245">
        <v>46143</v>
      </c>
      <c r="D273" s="234" t="s">
        <v>7289</v>
      </c>
      <c r="E273" s="246">
        <v>662420.64</v>
      </c>
      <c r="F273" s="247">
        <v>0</v>
      </c>
      <c r="G273" s="34" t="s">
        <v>7</v>
      </c>
      <c r="H273" s="234" t="s">
        <v>1997</v>
      </c>
      <c r="I273" s="248" t="s">
        <v>7</v>
      </c>
      <c r="J273" s="249" t="s">
        <v>492</v>
      </c>
      <c r="K273" s="250">
        <v>0</v>
      </c>
      <c r="L273" s="250">
        <v>0</v>
      </c>
      <c r="M273" s="251" t="s">
        <v>32</v>
      </c>
      <c r="N273" s="252">
        <v>0</v>
      </c>
      <c r="O273" s="185" t="s">
        <v>51</v>
      </c>
    </row>
    <row r="274" spans="1:15" x14ac:dyDescent="0.25">
      <c r="A274" s="234" t="s">
        <v>5312</v>
      </c>
      <c r="B274" s="234" t="s">
        <v>32</v>
      </c>
      <c r="C274" s="245">
        <v>46143</v>
      </c>
      <c r="D274" s="234" t="s">
        <v>7287</v>
      </c>
      <c r="E274" s="246">
        <v>50000</v>
      </c>
      <c r="F274" s="247" t="s">
        <v>5311</v>
      </c>
      <c r="G274" s="34" t="s">
        <v>7</v>
      </c>
      <c r="H274" s="234" t="s">
        <v>5313</v>
      </c>
      <c r="I274" s="248" t="s">
        <v>7</v>
      </c>
      <c r="J274" s="249" t="s">
        <v>554</v>
      </c>
      <c r="K274" s="250">
        <v>50000</v>
      </c>
      <c r="L274" s="250">
        <v>0</v>
      </c>
      <c r="M274" s="251" t="s">
        <v>32</v>
      </c>
      <c r="N274" s="252">
        <v>0</v>
      </c>
      <c r="O274" s="185" t="s">
        <v>51</v>
      </c>
    </row>
    <row r="275" spans="1:15" x14ac:dyDescent="0.25">
      <c r="A275" s="234" t="s">
        <v>3669</v>
      </c>
      <c r="B275" s="234" t="s">
        <v>32</v>
      </c>
      <c r="C275" s="245">
        <v>46143</v>
      </c>
      <c r="D275" s="234" t="s">
        <v>7287</v>
      </c>
      <c r="E275" s="246">
        <v>24045</v>
      </c>
      <c r="F275" s="247" t="s">
        <v>3668</v>
      </c>
      <c r="G275" s="34" t="s">
        <v>7</v>
      </c>
      <c r="H275" s="234" t="s">
        <v>3671</v>
      </c>
      <c r="I275" s="248" t="s">
        <v>7</v>
      </c>
      <c r="J275" s="249" t="s">
        <v>554</v>
      </c>
      <c r="K275" s="250">
        <v>24045</v>
      </c>
      <c r="L275" s="250">
        <v>0</v>
      </c>
      <c r="M275" s="251" t="s">
        <v>32</v>
      </c>
      <c r="N275" s="252">
        <v>0</v>
      </c>
      <c r="O275" s="185" t="s">
        <v>51</v>
      </c>
    </row>
    <row r="276" spans="1:15" x14ac:dyDescent="0.25">
      <c r="A276" s="234" t="s">
        <v>5752</v>
      </c>
      <c r="B276" s="234" t="s">
        <v>30</v>
      </c>
      <c r="C276" s="245">
        <v>46143</v>
      </c>
      <c r="D276" s="234">
        <v>0</v>
      </c>
      <c r="E276" s="246">
        <v>36000</v>
      </c>
      <c r="F276" s="247">
        <v>0</v>
      </c>
      <c r="G276" s="34" t="s">
        <v>7</v>
      </c>
      <c r="H276" s="234" t="s">
        <v>5753</v>
      </c>
      <c r="I276" s="248" t="s">
        <v>7</v>
      </c>
      <c r="J276" s="249" t="s">
        <v>492</v>
      </c>
      <c r="K276" s="250">
        <v>0</v>
      </c>
      <c r="L276" s="250">
        <v>0</v>
      </c>
      <c r="M276" s="251" t="s">
        <v>30</v>
      </c>
      <c r="N276" s="252">
        <v>0</v>
      </c>
      <c r="O276" s="185" t="s">
        <v>51</v>
      </c>
    </row>
    <row r="277" spans="1:15" x14ac:dyDescent="0.25">
      <c r="A277" s="234" t="s">
        <v>5741</v>
      </c>
      <c r="B277" s="234" t="s">
        <v>30</v>
      </c>
      <c r="C277" s="245">
        <v>46143</v>
      </c>
      <c r="D277" s="234">
        <v>0</v>
      </c>
      <c r="E277" s="246">
        <v>35000</v>
      </c>
      <c r="F277" s="247">
        <v>0</v>
      </c>
      <c r="G277" s="34" t="s">
        <v>7</v>
      </c>
      <c r="H277" s="234" t="s">
        <v>5742</v>
      </c>
      <c r="I277" s="248" t="s">
        <v>7</v>
      </c>
      <c r="J277" s="249" t="s">
        <v>492</v>
      </c>
      <c r="K277" s="250">
        <v>0</v>
      </c>
      <c r="L277" s="250">
        <v>0</v>
      </c>
      <c r="M277" s="251" t="s">
        <v>30</v>
      </c>
      <c r="N277" s="252">
        <v>0</v>
      </c>
      <c r="O277" s="185" t="s">
        <v>51</v>
      </c>
    </row>
    <row r="278" spans="1:15" x14ac:dyDescent="0.25">
      <c r="A278" s="234" t="s">
        <v>5755</v>
      </c>
      <c r="B278" s="234" t="s">
        <v>30</v>
      </c>
      <c r="C278" s="245">
        <v>46143</v>
      </c>
      <c r="D278" s="234">
        <v>0</v>
      </c>
      <c r="E278" s="246">
        <v>335698</v>
      </c>
      <c r="F278" s="247">
        <v>0</v>
      </c>
      <c r="G278" s="34" t="s">
        <v>7</v>
      </c>
      <c r="H278" s="234" t="s">
        <v>5757</v>
      </c>
      <c r="I278" s="248" t="s">
        <v>7</v>
      </c>
      <c r="J278" s="249" t="s">
        <v>492</v>
      </c>
      <c r="K278" s="250">
        <v>0</v>
      </c>
      <c r="L278" s="250">
        <v>0</v>
      </c>
      <c r="M278" s="251" t="s">
        <v>30</v>
      </c>
      <c r="N278" s="252">
        <v>0</v>
      </c>
      <c r="O278" s="185" t="s">
        <v>51</v>
      </c>
    </row>
    <row r="279" spans="1:15" x14ac:dyDescent="0.25">
      <c r="A279" s="234" t="s">
        <v>2592</v>
      </c>
      <c r="B279" s="234" t="s">
        <v>30</v>
      </c>
      <c r="C279" s="245">
        <v>46143</v>
      </c>
      <c r="D279" s="234">
        <v>0</v>
      </c>
      <c r="E279" s="246">
        <v>100143</v>
      </c>
      <c r="F279" s="247">
        <v>0</v>
      </c>
      <c r="G279" s="34" t="s">
        <v>7</v>
      </c>
      <c r="H279" s="234" t="s">
        <v>2593</v>
      </c>
      <c r="I279" s="248" t="s">
        <v>7</v>
      </c>
      <c r="J279" s="249" t="s">
        <v>492</v>
      </c>
      <c r="K279" s="250">
        <v>0</v>
      </c>
      <c r="L279" s="250">
        <v>0</v>
      </c>
      <c r="M279" s="251" t="s">
        <v>30</v>
      </c>
      <c r="N279" s="252">
        <v>0</v>
      </c>
      <c r="O279" s="185" t="s">
        <v>51</v>
      </c>
    </row>
    <row r="280" spans="1:15" x14ac:dyDescent="0.25">
      <c r="A280" s="234" t="s">
        <v>7537</v>
      </c>
      <c r="B280" s="234" t="s">
        <v>47</v>
      </c>
      <c r="C280" s="245">
        <v>46143</v>
      </c>
      <c r="D280" s="234">
        <v>0</v>
      </c>
      <c r="E280" s="246">
        <v>177667</v>
      </c>
      <c r="F280" s="247">
        <v>0</v>
      </c>
      <c r="G280" s="34" t="s">
        <v>83</v>
      </c>
      <c r="H280" s="234" t="s">
        <v>7538</v>
      </c>
      <c r="I280" s="248" t="s">
        <v>7</v>
      </c>
      <c r="J280" s="249" t="s">
        <v>492</v>
      </c>
      <c r="K280" s="250">
        <v>0</v>
      </c>
      <c r="L280" s="250">
        <v>0</v>
      </c>
      <c r="M280" s="251" t="s">
        <v>47</v>
      </c>
      <c r="N280" s="252">
        <v>0</v>
      </c>
      <c r="O280" s="185" t="s">
        <v>51</v>
      </c>
    </row>
    <row r="281" spans="1:15" x14ac:dyDescent="0.25">
      <c r="A281" s="234" t="s">
        <v>2856</v>
      </c>
      <c r="B281" s="234" t="s">
        <v>47</v>
      </c>
      <c r="C281" s="245">
        <v>46143</v>
      </c>
      <c r="D281" s="234">
        <v>0</v>
      </c>
      <c r="E281" s="246">
        <v>40000</v>
      </c>
      <c r="F281" s="247">
        <v>0</v>
      </c>
      <c r="G281" s="34" t="s">
        <v>83</v>
      </c>
      <c r="H281" s="234" t="s">
        <v>2857</v>
      </c>
      <c r="I281" s="248" t="s">
        <v>7</v>
      </c>
      <c r="J281" s="249" t="s">
        <v>492</v>
      </c>
      <c r="K281" s="250">
        <v>0</v>
      </c>
      <c r="L281" s="250">
        <v>0</v>
      </c>
      <c r="M281" s="251" t="s">
        <v>47</v>
      </c>
      <c r="N281" s="252">
        <v>0</v>
      </c>
      <c r="O281" s="185" t="s">
        <v>51</v>
      </c>
    </row>
    <row r="282" spans="1:15" x14ac:dyDescent="0.25">
      <c r="A282" s="234" t="s">
        <v>2856</v>
      </c>
      <c r="B282" s="234" t="s">
        <v>47</v>
      </c>
      <c r="C282" s="245">
        <v>46143</v>
      </c>
      <c r="D282" s="234">
        <v>0</v>
      </c>
      <c r="E282" s="246">
        <v>50000</v>
      </c>
      <c r="F282" s="247">
        <v>0</v>
      </c>
      <c r="G282" s="34" t="s">
        <v>83</v>
      </c>
      <c r="H282" s="234" t="s">
        <v>2857</v>
      </c>
      <c r="I282" s="248" t="s">
        <v>7</v>
      </c>
      <c r="J282" s="249" t="s">
        <v>492</v>
      </c>
      <c r="K282" s="250">
        <v>0</v>
      </c>
      <c r="L282" s="250">
        <v>0</v>
      </c>
      <c r="M282" s="251" t="s">
        <v>47</v>
      </c>
      <c r="N282" s="252">
        <v>0</v>
      </c>
      <c r="O282" s="185" t="s">
        <v>51</v>
      </c>
    </row>
    <row r="283" spans="1:15" x14ac:dyDescent="0.25">
      <c r="A283" s="234" t="s">
        <v>2856</v>
      </c>
      <c r="B283" s="234" t="s">
        <v>47</v>
      </c>
      <c r="C283" s="245">
        <v>46143</v>
      </c>
      <c r="D283" s="234">
        <v>0</v>
      </c>
      <c r="E283" s="246">
        <v>20632</v>
      </c>
      <c r="F283" s="247">
        <v>0</v>
      </c>
      <c r="G283" s="34" t="s">
        <v>83</v>
      </c>
      <c r="H283" s="234" t="s">
        <v>2857</v>
      </c>
      <c r="I283" s="248" t="s">
        <v>7</v>
      </c>
      <c r="J283" s="249" t="s">
        <v>492</v>
      </c>
      <c r="K283" s="250">
        <v>0</v>
      </c>
      <c r="L283" s="250">
        <v>0</v>
      </c>
      <c r="M283" s="251" t="s">
        <v>47</v>
      </c>
      <c r="N283" s="252">
        <v>0</v>
      </c>
      <c r="O283" s="185" t="s">
        <v>51</v>
      </c>
    </row>
    <row r="284" spans="1:15" x14ac:dyDescent="0.25">
      <c r="A284" s="234" t="s">
        <v>2856</v>
      </c>
      <c r="B284" s="234" t="s">
        <v>47</v>
      </c>
      <c r="C284" s="245">
        <v>46143</v>
      </c>
      <c r="D284" s="234">
        <v>0</v>
      </c>
      <c r="E284" s="246">
        <v>19500</v>
      </c>
      <c r="F284" s="247">
        <v>0</v>
      </c>
      <c r="G284" s="34" t="s">
        <v>83</v>
      </c>
      <c r="H284" s="234" t="s">
        <v>2857</v>
      </c>
      <c r="I284" s="248" t="s">
        <v>7</v>
      </c>
      <c r="J284" s="249" t="s">
        <v>492</v>
      </c>
      <c r="K284" s="250">
        <v>0</v>
      </c>
      <c r="L284" s="250">
        <v>0</v>
      </c>
      <c r="M284" s="251" t="s">
        <v>47</v>
      </c>
      <c r="N284" s="252">
        <v>0</v>
      </c>
      <c r="O284" s="185" t="s">
        <v>51</v>
      </c>
    </row>
    <row r="285" spans="1:15" x14ac:dyDescent="0.25">
      <c r="A285" s="234" t="s">
        <v>2856</v>
      </c>
      <c r="B285" s="234" t="s">
        <v>47</v>
      </c>
      <c r="C285" s="245">
        <v>46143</v>
      </c>
      <c r="D285" s="234">
        <v>0</v>
      </c>
      <c r="E285" s="246">
        <v>50000</v>
      </c>
      <c r="F285" s="247">
        <v>0</v>
      </c>
      <c r="G285" s="34" t="s">
        <v>83</v>
      </c>
      <c r="H285" s="234" t="s">
        <v>2857</v>
      </c>
      <c r="I285" s="248" t="s">
        <v>7</v>
      </c>
      <c r="J285" s="249" t="s">
        <v>492</v>
      </c>
      <c r="K285" s="250">
        <v>0</v>
      </c>
      <c r="L285" s="250">
        <v>0</v>
      </c>
      <c r="M285" s="251" t="s">
        <v>47</v>
      </c>
      <c r="N285" s="252">
        <v>0</v>
      </c>
      <c r="O285" s="185" t="s">
        <v>51</v>
      </c>
    </row>
    <row r="286" spans="1:15" x14ac:dyDescent="0.25">
      <c r="A286" s="234" t="s">
        <v>2856</v>
      </c>
      <c r="B286" s="234" t="s">
        <v>47</v>
      </c>
      <c r="C286" s="245">
        <v>46143</v>
      </c>
      <c r="D286" s="234">
        <v>0</v>
      </c>
      <c r="E286" s="246">
        <v>20000</v>
      </c>
      <c r="F286" s="247">
        <v>0</v>
      </c>
      <c r="G286" s="34" t="s">
        <v>83</v>
      </c>
      <c r="H286" s="234" t="s">
        <v>2857</v>
      </c>
      <c r="I286" s="248" t="s">
        <v>7</v>
      </c>
      <c r="J286" s="249" t="s">
        <v>492</v>
      </c>
      <c r="K286" s="250">
        <v>0</v>
      </c>
      <c r="L286" s="250">
        <v>0</v>
      </c>
      <c r="M286" s="251" t="s">
        <v>47</v>
      </c>
      <c r="N286" s="252">
        <v>0</v>
      </c>
      <c r="O286" s="185" t="s">
        <v>51</v>
      </c>
    </row>
    <row r="287" spans="1:15" x14ac:dyDescent="0.25">
      <c r="A287" s="234" t="s">
        <v>7539</v>
      </c>
      <c r="B287" s="234" t="s">
        <v>47</v>
      </c>
      <c r="C287" s="245">
        <v>46143</v>
      </c>
      <c r="D287" s="234">
        <v>0</v>
      </c>
      <c r="E287" s="246">
        <v>101247</v>
      </c>
      <c r="F287" s="247">
        <v>0</v>
      </c>
      <c r="G287" s="34" t="s">
        <v>83</v>
      </c>
      <c r="H287" s="234" t="s">
        <v>7540</v>
      </c>
      <c r="I287" s="248" t="s">
        <v>7</v>
      </c>
      <c r="J287" s="249" t="s">
        <v>492</v>
      </c>
      <c r="K287" s="250">
        <v>0</v>
      </c>
      <c r="L287" s="250">
        <v>0</v>
      </c>
      <c r="M287" s="251" t="s">
        <v>47</v>
      </c>
      <c r="N287" s="252">
        <v>0</v>
      </c>
      <c r="O287" s="185" t="s">
        <v>51</v>
      </c>
    </row>
    <row r="288" spans="1:15" x14ac:dyDescent="0.25">
      <c r="A288" s="234" t="s">
        <v>1760</v>
      </c>
      <c r="B288" s="234" t="s">
        <v>47</v>
      </c>
      <c r="C288" s="245">
        <v>46143</v>
      </c>
      <c r="D288" s="234">
        <v>0</v>
      </c>
      <c r="E288" s="246">
        <v>40000</v>
      </c>
      <c r="F288" s="247">
        <v>0</v>
      </c>
      <c r="G288" s="34" t="s">
        <v>83</v>
      </c>
      <c r="H288" s="234" t="s">
        <v>1761</v>
      </c>
      <c r="I288" s="248" t="s">
        <v>7</v>
      </c>
      <c r="J288" s="249" t="s">
        <v>492</v>
      </c>
      <c r="K288" s="250">
        <v>0</v>
      </c>
      <c r="L288" s="250">
        <v>0</v>
      </c>
      <c r="M288" s="251" t="s">
        <v>47</v>
      </c>
      <c r="N288" s="252">
        <v>0</v>
      </c>
      <c r="O288" s="185" t="s">
        <v>51</v>
      </c>
    </row>
    <row r="289" spans="1:15" x14ac:dyDescent="0.25">
      <c r="A289" s="234" t="s">
        <v>2036</v>
      </c>
      <c r="B289" s="234" t="s">
        <v>28</v>
      </c>
      <c r="C289" s="245">
        <v>46143</v>
      </c>
      <c r="D289" s="234" t="s">
        <v>7275</v>
      </c>
      <c r="E289" s="246">
        <v>209315</v>
      </c>
      <c r="F289" s="247" t="s">
        <v>2040</v>
      </c>
      <c r="G289" s="34" t="s">
        <v>7</v>
      </c>
      <c r="H289" s="234" t="s">
        <v>2037</v>
      </c>
      <c r="I289" s="248" t="s">
        <v>7</v>
      </c>
      <c r="J289" s="249" t="s">
        <v>554</v>
      </c>
      <c r="K289" s="250">
        <v>209315</v>
      </c>
      <c r="L289" s="250">
        <v>0</v>
      </c>
      <c r="M289" s="251" t="s">
        <v>28</v>
      </c>
      <c r="N289" s="252">
        <v>0</v>
      </c>
      <c r="O289" s="185" t="s">
        <v>51</v>
      </c>
    </row>
    <row r="290" spans="1:15" x14ac:dyDescent="0.25">
      <c r="A290" s="234" t="s">
        <v>4396</v>
      </c>
      <c r="B290" s="234" t="s">
        <v>28</v>
      </c>
      <c r="C290" s="245">
        <v>46143</v>
      </c>
      <c r="D290" s="234" t="s">
        <v>7275</v>
      </c>
      <c r="E290" s="246">
        <v>110213.08</v>
      </c>
      <c r="F290" s="247" t="s">
        <v>4399</v>
      </c>
      <c r="G290" s="34" t="s">
        <v>7</v>
      </c>
      <c r="H290" s="234" t="s">
        <v>4397</v>
      </c>
      <c r="I290" s="248" t="s">
        <v>7</v>
      </c>
      <c r="J290" s="249" t="s">
        <v>554</v>
      </c>
      <c r="K290" s="250">
        <v>110213.08</v>
      </c>
      <c r="L290" s="250">
        <v>0</v>
      </c>
      <c r="M290" s="251" t="s">
        <v>28</v>
      </c>
      <c r="N290" s="252">
        <v>0</v>
      </c>
      <c r="O290" s="185" t="s">
        <v>51</v>
      </c>
    </row>
    <row r="291" spans="1:15" x14ac:dyDescent="0.25">
      <c r="A291" s="234" t="s">
        <v>2015</v>
      </c>
      <c r="B291" s="234" t="s">
        <v>28</v>
      </c>
      <c r="C291" s="245">
        <v>46143</v>
      </c>
      <c r="D291" s="234" t="s">
        <v>7275</v>
      </c>
      <c r="E291" s="246">
        <v>10000</v>
      </c>
      <c r="F291" s="247" t="s">
        <v>2018</v>
      </c>
      <c r="G291" s="34" t="s">
        <v>7</v>
      </c>
      <c r="H291" s="234" t="s">
        <v>2016</v>
      </c>
      <c r="I291" s="248" t="s">
        <v>7</v>
      </c>
      <c r="J291" s="249" t="s">
        <v>554</v>
      </c>
      <c r="K291" s="250">
        <v>10000</v>
      </c>
      <c r="L291" s="250">
        <v>0</v>
      </c>
      <c r="M291" s="251" t="s">
        <v>28</v>
      </c>
      <c r="N291" s="252">
        <v>0</v>
      </c>
      <c r="O291" s="185" t="s">
        <v>51</v>
      </c>
    </row>
    <row r="292" spans="1:15" x14ac:dyDescent="0.25">
      <c r="A292" s="234"/>
      <c r="B292" s="234" t="s">
        <v>492</v>
      </c>
      <c r="C292" s="245">
        <v>46143</v>
      </c>
      <c r="D292" s="234" t="s">
        <v>492</v>
      </c>
      <c r="E292" s="246">
        <v>1000000</v>
      </c>
      <c r="F292" s="247"/>
      <c r="G292" s="34"/>
      <c r="H292" s="234"/>
      <c r="I292" s="253" t="s">
        <v>7541</v>
      </c>
      <c r="J292" s="253"/>
      <c r="K292" s="253"/>
      <c r="L292" s="253"/>
      <c r="M292" s="234"/>
      <c r="O292" t="s">
        <v>51</v>
      </c>
    </row>
    <row r="293" spans="1:15" x14ac:dyDescent="0.25">
      <c r="A293" s="234"/>
      <c r="B293" s="234" t="s">
        <v>492</v>
      </c>
      <c r="C293" s="245">
        <v>46143</v>
      </c>
      <c r="D293" s="234" t="s">
        <v>492</v>
      </c>
      <c r="E293" s="246">
        <v>0</v>
      </c>
      <c r="F293" s="247"/>
      <c r="G293" s="34"/>
      <c r="H293" s="234"/>
      <c r="I293" s="253" t="s">
        <v>7541</v>
      </c>
      <c r="J293" s="253"/>
      <c r="K293" s="253"/>
      <c r="L293" s="253"/>
      <c r="M293" s="234"/>
      <c r="O293" t="s">
        <v>74</v>
      </c>
    </row>
    <row r="294" spans="1:15" x14ac:dyDescent="0.25">
      <c r="A294" s="234"/>
      <c r="B294" s="234" t="s">
        <v>492</v>
      </c>
      <c r="C294" s="245">
        <v>46143</v>
      </c>
      <c r="D294" s="234" t="s">
        <v>492</v>
      </c>
      <c r="E294" s="246">
        <v>41223.790000000037</v>
      </c>
      <c r="F294" s="247"/>
      <c r="G294" s="34"/>
      <c r="H294" s="234"/>
      <c r="I294" s="253" t="s">
        <v>7541</v>
      </c>
      <c r="J294" s="253"/>
      <c r="K294" s="253"/>
      <c r="L294" s="253"/>
      <c r="M294" s="234"/>
      <c r="O294" t="s">
        <v>77</v>
      </c>
    </row>
    <row r="295" spans="1:15" x14ac:dyDescent="0.25">
      <c r="A295" s="234"/>
      <c r="B295" s="234" t="s">
        <v>492</v>
      </c>
      <c r="C295" s="245">
        <v>46143</v>
      </c>
      <c r="D295" s="234" t="s">
        <v>492</v>
      </c>
      <c r="E295" s="246">
        <v>86712.5</v>
      </c>
      <c r="F295" s="247"/>
      <c r="G295" s="34"/>
      <c r="H295" s="234"/>
      <c r="I295" s="253" t="s">
        <v>7541</v>
      </c>
      <c r="J295" s="253"/>
      <c r="K295" s="253"/>
      <c r="L295" s="253"/>
      <c r="M295" s="234"/>
      <c r="O295" t="s">
        <v>78</v>
      </c>
    </row>
    <row r="296" spans="1:15" x14ac:dyDescent="0.25">
      <c r="A296" s="234" t="s">
        <v>5467</v>
      </c>
      <c r="B296" s="234" t="s">
        <v>39</v>
      </c>
      <c r="C296" s="245">
        <v>46146</v>
      </c>
      <c r="D296" s="234" t="s">
        <v>7542</v>
      </c>
      <c r="E296" s="246">
        <v>530000</v>
      </c>
      <c r="F296" s="247" t="s">
        <v>5466</v>
      </c>
      <c r="G296" s="34" t="s">
        <v>83</v>
      </c>
      <c r="H296" s="234" t="s">
        <v>5468</v>
      </c>
      <c r="I296" s="248" t="s">
        <v>7</v>
      </c>
      <c r="J296" s="249" t="s">
        <v>554</v>
      </c>
      <c r="K296" s="250">
        <v>530000</v>
      </c>
      <c r="L296" s="250">
        <v>0</v>
      </c>
      <c r="M296" s="251" t="s">
        <v>39</v>
      </c>
      <c r="N296" s="252">
        <v>0</v>
      </c>
      <c r="O296" s="185" t="s">
        <v>51</v>
      </c>
    </row>
    <row r="297" spans="1:15" x14ac:dyDescent="0.25">
      <c r="A297" s="234" t="s">
        <v>1839</v>
      </c>
      <c r="B297" s="234" t="s">
        <v>39</v>
      </c>
      <c r="C297" s="245">
        <v>46146</v>
      </c>
      <c r="D297" s="234" t="s">
        <v>7264</v>
      </c>
      <c r="E297" s="246">
        <v>102620</v>
      </c>
      <c r="F297" s="247" t="s">
        <v>1838</v>
      </c>
      <c r="G297" s="34" t="s">
        <v>83</v>
      </c>
      <c r="H297" s="234" t="s">
        <v>1840</v>
      </c>
      <c r="I297" s="248" t="s">
        <v>7</v>
      </c>
      <c r="J297" s="249" t="s">
        <v>554</v>
      </c>
      <c r="K297" s="250">
        <v>102620</v>
      </c>
      <c r="L297" s="250">
        <v>0</v>
      </c>
      <c r="M297" s="251" t="s">
        <v>39</v>
      </c>
      <c r="N297" s="252">
        <v>0</v>
      </c>
      <c r="O297" s="185" t="s">
        <v>51</v>
      </c>
    </row>
    <row r="298" spans="1:15" x14ac:dyDescent="0.25">
      <c r="A298" s="234" t="s">
        <v>631</v>
      </c>
      <c r="B298" s="234" t="s">
        <v>39</v>
      </c>
      <c r="C298" s="245">
        <v>46146</v>
      </c>
      <c r="D298" s="234" t="s">
        <v>7264</v>
      </c>
      <c r="E298" s="246">
        <v>450050</v>
      </c>
      <c r="F298" s="247" t="s">
        <v>630</v>
      </c>
      <c r="G298" s="34" t="s">
        <v>83</v>
      </c>
      <c r="H298" s="234" t="s">
        <v>632</v>
      </c>
      <c r="I298" s="248" t="s">
        <v>7</v>
      </c>
      <c r="J298" s="249" t="s">
        <v>554</v>
      </c>
      <c r="K298" s="250">
        <v>450000</v>
      </c>
      <c r="L298" s="250">
        <v>0</v>
      </c>
      <c r="M298" s="251" t="s">
        <v>39</v>
      </c>
      <c r="N298" s="252">
        <v>0</v>
      </c>
      <c r="O298" s="185" t="s">
        <v>51</v>
      </c>
    </row>
    <row r="299" spans="1:15" x14ac:dyDescent="0.25">
      <c r="A299" s="234" t="s">
        <v>631</v>
      </c>
      <c r="B299" s="234" t="s">
        <v>39</v>
      </c>
      <c r="C299" s="245">
        <v>46146</v>
      </c>
      <c r="D299" s="234" t="s">
        <v>7264</v>
      </c>
      <c r="E299" s="246">
        <v>450050</v>
      </c>
      <c r="F299" s="247" t="s">
        <v>633</v>
      </c>
      <c r="G299" s="34" t="s">
        <v>83</v>
      </c>
      <c r="H299" s="234" t="s">
        <v>632</v>
      </c>
      <c r="I299" s="248" t="s">
        <v>7</v>
      </c>
      <c r="J299" s="249" t="s">
        <v>554</v>
      </c>
      <c r="K299" s="250">
        <v>450000</v>
      </c>
      <c r="L299" s="250">
        <v>0</v>
      </c>
      <c r="M299" s="251" t="s">
        <v>39</v>
      </c>
      <c r="N299" s="252">
        <v>0</v>
      </c>
      <c r="O299" s="185" t="s">
        <v>51</v>
      </c>
    </row>
    <row r="300" spans="1:15" x14ac:dyDescent="0.25">
      <c r="A300" s="234" t="s">
        <v>631</v>
      </c>
      <c r="B300" s="234" t="s">
        <v>39</v>
      </c>
      <c r="C300" s="245">
        <v>46146</v>
      </c>
      <c r="D300" s="234" t="s">
        <v>7264</v>
      </c>
      <c r="E300" s="246">
        <v>525000</v>
      </c>
      <c r="F300" s="247">
        <v>0</v>
      </c>
      <c r="G300" s="34" t="s">
        <v>83</v>
      </c>
      <c r="H300" s="234" t="s">
        <v>632</v>
      </c>
      <c r="I300" s="248" t="s">
        <v>7</v>
      </c>
      <c r="J300" s="249" t="s">
        <v>492</v>
      </c>
      <c r="K300" s="250">
        <v>0</v>
      </c>
      <c r="L300" s="250">
        <v>0</v>
      </c>
      <c r="M300" s="251" t="s">
        <v>39</v>
      </c>
      <c r="N300" s="252">
        <v>0</v>
      </c>
      <c r="O300" s="185" t="s">
        <v>51</v>
      </c>
    </row>
    <row r="301" spans="1:15" x14ac:dyDescent="0.25">
      <c r="A301" s="234" t="s">
        <v>2651</v>
      </c>
      <c r="B301" s="234" t="s">
        <v>39</v>
      </c>
      <c r="C301" s="245">
        <v>46146</v>
      </c>
      <c r="D301" s="234" t="s">
        <v>546</v>
      </c>
      <c r="E301" s="246">
        <v>50000</v>
      </c>
      <c r="F301" s="247" t="s">
        <v>2657</v>
      </c>
      <c r="G301" s="34" t="s">
        <v>83</v>
      </c>
      <c r="H301" s="234" t="s">
        <v>2652</v>
      </c>
      <c r="I301" s="248" t="s">
        <v>7</v>
      </c>
      <c r="J301" s="249" t="s">
        <v>554</v>
      </c>
      <c r="K301" s="250">
        <v>50000</v>
      </c>
      <c r="L301" s="250">
        <v>0</v>
      </c>
      <c r="M301" s="251" t="s">
        <v>39</v>
      </c>
      <c r="N301" s="252">
        <v>0</v>
      </c>
      <c r="O301" s="185" t="s">
        <v>51</v>
      </c>
    </row>
    <row r="302" spans="1:15" x14ac:dyDescent="0.25">
      <c r="A302" s="234" t="s">
        <v>2651</v>
      </c>
      <c r="B302" s="234" t="s">
        <v>39</v>
      </c>
      <c r="C302" s="245">
        <v>46146</v>
      </c>
      <c r="D302" s="234" t="s">
        <v>546</v>
      </c>
      <c r="E302" s="246">
        <v>150000</v>
      </c>
      <c r="F302" s="247" t="s">
        <v>2655</v>
      </c>
      <c r="G302" s="34" t="s">
        <v>83</v>
      </c>
      <c r="H302" s="234" t="s">
        <v>2652</v>
      </c>
      <c r="I302" s="248" t="s">
        <v>7</v>
      </c>
      <c r="J302" s="249" t="s">
        <v>554</v>
      </c>
      <c r="K302" s="250">
        <v>150000</v>
      </c>
      <c r="L302" s="250">
        <v>0</v>
      </c>
      <c r="M302" s="251" t="s">
        <v>39</v>
      </c>
      <c r="N302" s="252">
        <v>0</v>
      </c>
      <c r="O302" s="185" t="s">
        <v>51</v>
      </c>
    </row>
    <row r="303" spans="1:15" x14ac:dyDescent="0.25">
      <c r="A303" s="234" t="s">
        <v>2651</v>
      </c>
      <c r="B303" s="234" t="s">
        <v>39</v>
      </c>
      <c r="C303" s="245">
        <v>46146</v>
      </c>
      <c r="D303" s="234" t="s">
        <v>546</v>
      </c>
      <c r="E303" s="246">
        <v>200000</v>
      </c>
      <c r="F303" s="247" t="s">
        <v>2658</v>
      </c>
      <c r="G303" s="34" t="s">
        <v>83</v>
      </c>
      <c r="H303" s="234" t="s">
        <v>2652</v>
      </c>
      <c r="I303" s="248" t="s">
        <v>7</v>
      </c>
      <c r="J303" s="249" t="s">
        <v>554</v>
      </c>
      <c r="K303" s="250">
        <v>200000</v>
      </c>
      <c r="L303" s="250">
        <v>0</v>
      </c>
      <c r="M303" s="251" t="s">
        <v>39</v>
      </c>
      <c r="N303" s="252">
        <v>0</v>
      </c>
      <c r="O303" s="185" t="s">
        <v>51</v>
      </c>
    </row>
    <row r="304" spans="1:15" x14ac:dyDescent="0.25">
      <c r="A304" s="234" t="s">
        <v>1661</v>
      </c>
      <c r="B304" s="234" t="s">
        <v>40</v>
      </c>
      <c r="C304" s="245">
        <v>46146</v>
      </c>
      <c r="D304" s="234">
        <v>0</v>
      </c>
      <c r="E304" s="246">
        <v>200000</v>
      </c>
      <c r="F304" s="247" t="s">
        <v>1663</v>
      </c>
      <c r="G304" s="34" t="s">
        <v>83</v>
      </c>
      <c r="H304" s="234" t="s">
        <v>1662</v>
      </c>
      <c r="I304" s="248" t="s">
        <v>7</v>
      </c>
      <c r="J304" s="249" t="s">
        <v>554</v>
      </c>
      <c r="K304" s="250">
        <v>200000</v>
      </c>
      <c r="L304" s="250">
        <v>0</v>
      </c>
      <c r="M304" s="251" t="s">
        <v>40</v>
      </c>
      <c r="N304" s="252">
        <v>0</v>
      </c>
      <c r="O304" s="185" t="s">
        <v>51</v>
      </c>
    </row>
    <row r="305" spans="1:15" x14ac:dyDescent="0.25">
      <c r="A305" s="234" t="s">
        <v>1674</v>
      </c>
      <c r="B305" s="234" t="s">
        <v>40</v>
      </c>
      <c r="C305" s="245">
        <v>46146</v>
      </c>
      <c r="D305" s="234">
        <v>0</v>
      </c>
      <c r="E305" s="246">
        <v>236346</v>
      </c>
      <c r="F305" s="247" t="s">
        <v>1673</v>
      </c>
      <c r="G305" s="34" t="s">
        <v>83</v>
      </c>
      <c r="H305" s="234" t="s">
        <v>1675</v>
      </c>
      <c r="I305" s="248" t="s">
        <v>7</v>
      </c>
      <c r="J305" s="249" t="s">
        <v>554</v>
      </c>
      <c r="K305" s="250">
        <v>236346</v>
      </c>
      <c r="L305" s="250">
        <v>0</v>
      </c>
      <c r="M305" s="251" t="s">
        <v>40</v>
      </c>
      <c r="N305" s="252">
        <v>0</v>
      </c>
      <c r="O305" s="185" t="s">
        <v>51</v>
      </c>
    </row>
    <row r="306" spans="1:15" x14ac:dyDescent="0.25">
      <c r="A306" s="234" t="s">
        <v>2698</v>
      </c>
      <c r="B306" s="234" t="s">
        <v>40</v>
      </c>
      <c r="C306" s="245">
        <v>46146</v>
      </c>
      <c r="D306" s="234">
        <v>0</v>
      </c>
      <c r="E306" s="246">
        <v>223349</v>
      </c>
      <c r="F306" s="247" t="s">
        <v>2697</v>
      </c>
      <c r="G306" s="34" t="s">
        <v>83</v>
      </c>
      <c r="H306" s="234" t="s">
        <v>2700</v>
      </c>
      <c r="I306" s="248" t="s">
        <v>7</v>
      </c>
      <c r="J306" s="249" t="s">
        <v>554</v>
      </c>
      <c r="K306" s="250">
        <v>223348.86</v>
      </c>
      <c r="L306" s="250">
        <v>0</v>
      </c>
      <c r="M306" s="251" t="s">
        <v>40</v>
      </c>
      <c r="N306" s="252">
        <v>0</v>
      </c>
      <c r="O306" s="185" t="s">
        <v>51</v>
      </c>
    </row>
    <row r="307" spans="1:15" x14ac:dyDescent="0.25">
      <c r="A307" s="234" t="s">
        <v>2969</v>
      </c>
      <c r="B307" s="234" t="s">
        <v>40</v>
      </c>
      <c r="C307" s="245">
        <v>46146</v>
      </c>
      <c r="D307" s="234">
        <v>0</v>
      </c>
      <c r="E307" s="246">
        <v>340337</v>
      </c>
      <c r="F307" s="247" t="s">
        <v>7275</v>
      </c>
      <c r="G307" s="34" t="s">
        <v>83</v>
      </c>
      <c r="H307" s="234" t="s">
        <v>2970</v>
      </c>
      <c r="I307" s="248" t="s">
        <v>7</v>
      </c>
      <c r="J307" s="249" t="s">
        <v>492</v>
      </c>
      <c r="K307" s="250">
        <v>0</v>
      </c>
      <c r="L307" s="250">
        <v>0</v>
      </c>
      <c r="M307" s="251" t="s">
        <v>40</v>
      </c>
      <c r="N307" s="252">
        <v>0</v>
      </c>
      <c r="O307" s="185" t="s">
        <v>51</v>
      </c>
    </row>
    <row r="308" spans="1:15" x14ac:dyDescent="0.25">
      <c r="A308" s="234" t="s">
        <v>2272</v>
      </c>
      <c r="B308" s="234" t="s">
        <v>38</v>
      </c>
      <c r="C308" s="245">
        <v>46146</v>
      </c>
      <c r="D308" s="234" t="s">
        <v>7270</v>
      </c>
      <c r="E308" s="246">
        <v>500000</v>
      </c>
      <c r="F308" s="247" t="s">
        <v>2274</v>
      </c>
      <c r="G308" s="34" t="s">
        <v>83</v>
      </c>
      <c r="H308" s="234" t="s">
        <v>2273</v>
      </c>
      <c r="I308" s="248" t="s">
        <v>7</v>
      </c>
      <c r="J308" s="249" t="s">
        <v>554</v>
      </c>
      <c r="K308" s="250">
        <v>500000</v>
      </c>
      <c r="L308" s="250">
        <v>0</v>
      </c>
      <c r="M308" s="251" t="s">
        <v>38</v>
      </c>
      <c r="N308" s="252">
        <v>0</v>
      </c>
      <c r="O308" s="185" t="s">
        <v>51</v>
      </c>
    </row>
    <row r="309" spans="1:15" x14ac:dyDescent="0.25">
      <c r="A309" s="234" t="s">
        <v>2272</v>
      </c>
      <c r="B309" s="234" t="s">
        <v>38</v>
      </c>
      <c r="C309" s="245">
        <v>46146</v>
      </c>
      <c r="D309" s="234" t="s">
        <v>7270</v>
      </c>
      <c r="E309" s="246">
        <v>500000</v>
      </c>
      <c r="F309" s="247" t="s">
        <v>2271</v>
      </c>
      <c r="G309" s="34" t="s">
        <v>83</v>
      </c>
      <c r="H309" s="234" t="s">
        <v>2273</v>
      </c>
      <c r="I309" s="248" t="s">
        <v>7</v>
      </c>
      <c r="J309" s="249" t="s">
        <v>554</v>
      </c>
      <c r="K309" s="250">
        <v>500000</v>
      </c>
      <c r="L309" s="250">
        <v>0</v>
      </c>
      <c r="M309" s="251" t="s">
        <v>38</v>
      </c>
      <c r="N309" s="252">
        <v>0</v>
      </c>
      <c r="O309" s="185" t="s">
        <v>51</v>
      </c>
    </row>
    <row r="310" spans="1:15" x14ac:dyDescent="0.25">
      <c r="A310" s="234" t="s">
        <v>1593</v>
      </c>
      <c r="B310" s="234" t="s">
        <v>48</v>
      </c>
      <c r="C310" s="245">
        <v>46146</v>
      </c>
      <c r="D310" s="234">
        <v>0</v>
      </c>
      <c r="E310" s="246">
        <v>600000</v>
      </c>
      <c r="F310" s="247" t="s">
        <v>1592</v>
      </c>
      <c r="G310" s="34" t="s">
        <v>83</v>
      </c>
      <c r="H310" s="234" t="s">
        <v>1594</v>
      </c>
      <c r="I310" s="248" t="s">
        <v>7</v>
      </c>
      <c r="J310" s="249" t="s">
        <v>554</v>
      </c>
      <c r="K310" s="250">
        <v>1652249</v>
      </c>
      <c r="L310" s="250">
        <v>0</v>
      </c>
      <c r="M310" s="251" t="s">
        <v>48</v>
      </c>
      <c r="N310" s="252">
        <v>0</v>
      </c>
      <c r="O310" s="185" t="s">
        <v>51</v>
      </c>
    </row>
    <row r="311" spans="1:15" x14ac:dyDescent="0.25">
      <c r="A311" s="234" t="s">
        <v>1969</v>
      </c>
      <c r="B311" s="234" t="s">
        <v>48</v>
      </c>
      <c r="C311" s="245">
        <v>46146</v>
      </c>
      <c r="D311" s="234">
        <v>0</v>
      </c>
      <c r="E311" s="246">
        <v>1141604</v>
      </c>
      <c r="F311" s="247" t="s">
        <v>1968</v>
      </c>
      <c r="G311" s="34" t="s">
        <v>83</v>
      </c>
      <c r="H311" s="234" t="s">
        <v>1970</v>
      </c>
      <c r="I311" s="248" t="s">
        <v>7</v>
      </c>
      <c r="J311" s="249" t="s">
        <v>554</v>
      </c>
      <c r="K311" s="250">
        <v>1141604</v>
      </c>
      <c r="L311" s="250">
        <v>0</v>
      </c>
      <c r="M311" s="251" t="s">
        <v>48</v>
      </c>
      <c r="N311" s="252">
        <v>0</v>
      </c>
      <c r="O311" s="185" t="s">
        <v>51</v>
      </c>
    </row>
    <row r="312" spans="1:15" x14ac:dyDescent="0.25">
      <c r="A312" s="234" t="s">
        <v>4713</v>
      </c>
      <c r="B312" s="234" t="s">
        <v>48</v>
      </c>
      <c r="C312" s="245">
        <v>46146</v>
      </c>
      <c r="D312" s="234">
        <v>0</v>
      </c>
      <c r="E312" s="246">
        <v>195000</v>
      </c>
      <c r="F312" s="247" t="s">
        <v>4712</v>
      </c>
      <c r="G312" s="34" t="s">
        <v>83</v>
      </c>
      <c r="H312" s="234" t="s">
        <v>4714</v>
      </c>
      <c r="I312" s="248" t="s">
        <v>7</v>
      </c>
      <c r="J312" s="249" t="s">
        <v>554</v>
      </c>
      <c r="K312" s="250">
        <v>195000</v>
      </c>
      <c r="L312" s="250">
        <v>0</v>
      </c>
      <c r="M312" s="251" t="s">
        <v>48</v>
      </c>
      <c r="N312" s="252">
        <v>0</v>
      </c>
      <c r="O312" s="185" t="s">
        <v>51</v>
      </c>
    </row>
    <row r="313" spans="1:15" x14ac:dyDescent="0.25">
      <c r="A313" s="234" t="s">
        <v>675</v>
      </c>
      <c r="B313" s="234" t="s">
        <v>48</v>
      </c>
      <c r="C313" s="245">
        <v>46146</v>
      </c>
      <c r="D313" s="234">
        <v>0</v>
      </c>
      <c r="E313" s="246">
        <v>201063</v>
      </c>
      <c r="F313" s="247" t="s">
        <v>674</v>
      </c>
      <c r="G313" s="34" t="s">
        <v>83</v>
      </c>
      <c r="H313" s="234" t="s">
        <v>676</v>
      </c>
      <c r="I313" s="248" t="s">
        <v>7</v>
      </c>
      <c r="J313" s="249" t="s">
        <v>554</v>
      </c>
      <c r="K313" s="250">
        <v>201063</v>
      </c>
      <c r="L313" s="250">
        <v>0</v>
      </c>
      <c r="M313" s="251" t="s">
        <v>48</v>
      </c>
      <c r="N313" s="252">
        <v>0</v>
      </c>
      <c r="O313" s="185" t="s">
        <v>51</v>
      </c>
    </row>
    <row r="314" spans="1:15" x14ac:dyDescent="0.25">
      <c r="A314" s="234" t="s">
        <v>672</v>
      </c>
      <c r="B314" s="234" t="s">
        <v>48</v>
      </c>
      <c r="C314" s="245">
        <v>46146</v>
      </c>
      <c r="D314" s="234">
        <v>0</v>
      </c>
      <c r="E314" s="246">
        <v>110000</v>
      </c>
      <c r="F314" s="247" t="s">
        <v>671</v>
      </c>
      <c r="G314" s="34" t="s">
        <v>83</v>
      </c>
      <c r="H314" s="234" t="s">
        <v>673</v>
      </c>
      <c r="I314" s="248" t="s">
        <v>7</v>
      </c>
      <c r="J314" s="249" t="s">
        <v>554</v>
      </c>
      <c r="K314" s="250">
        <v>110000</v>
      </c>
      <c r="L314" s="250">
        <v>0</v>
      </c>
      <c r="M314" s="251" t="s">
        <v>48</v>
      </c>
      <c r="N314" s="252">
        <v>0</v>
      </c>
      <c r="O314" s="185" t="s">
        <v>51</v>
      </c>
    </row>
    <row r="315" spans="1:15" x14ac:dyDescent="0.25">
      <c r="A315" s="234" t="s">
        <v>1960</v>
      </c>
      <c r="B315" s="234" t="s">
        <v>48</v>
      </c>
      <c r="C315" s="245">
        <v>46146</v>
      </c>
      <c r="D315" s="234">
        <v>0</v>
      </c>
      <c r="E315" s="246">
        <v>200000</v>
      </c>
      <c r="F315" s="247" t="s">
        <v>1963</v>
      </c>
      <c r="G315" s="34" t="s">
        <v>83</v>
      </c>
      <c r="H315" s="234" t="s">
        <v>1961</v>
      </c>
      <c r="I315" s="248" t="s">
        <v>7</v>
      </c>
      <c r="J315" s="249" t="s">
        <v>554</v>
      </c>
      <c r="K315" s="250">
        <v>200000</v>
      </c>
      <c r="L315" s="250">
        <v>0</v>
      </c>
      <c r="M315" s="251" t="s">
        <v>48</v>
      </c>
      <c r="N315" s="252">
        <v>0</v>
      </c>
      <c r="O315" s="185" t="s">
        <v>51</v>
      </c>
    </row>
    <row r="316" spans="1:15" x14ac:dyDescent="0.25">
      <c r="A316" s="234" t="s">
        <v>1960</v>
      </c>
      <c r="B316" s="234" t="s">
        <v>48</v>
      </c>
      <c r="C316" s="245">
        <v>46146</v>
      </c>
      <c r="D316" s="234">
        <v>0</v>
      </c>
      <c r="E316" s="246">
        <v>100000</v>
      </c>
      <c r="F316" s="247" t="s">
        <v>1962</v>
      </c>
      <c r="G316" s="34" t="s">
        <v>83</v>
      </c>
      <c r="H316" s="234" t="s">
        <v>1961</v>
      </c>
      <c r="I316" s="248" t="s">
        <v>7</v>
      </c>
      <c r="J316" s="249" t="s">
        <v>554</v>
      </c>
      <c r="K316" s="250">
        <v>200000</v>
      </c>
      <c r="L316" s="250">
        <v>0</v>
      </c>
      <c r="M316" s="251" t="s">
        <v>48</v>
      </c>
      <c r="N316" s="252">
        <v>0</v>
      </c>
      <c r="O316" s="185" t="s">
        <v>51</v>
      </c>
    </row>
    <row r="317" spans="1:15" x14ac:dyDescent="0.25">
      <c r="A317" s="234" t="s">
        <v>5819</v>
      </c>
      <c r="B317" s="234" t="s">
        <v>42</v>
      </c>
      <c r="C317" s="245">
        <v>46146</v>
      </c>
      <c r="D317" s="234">
        <v>0</v>
      </c>
      <c r="E317" s="246">
        <v>95000</v>
      </c>
      <c r="F317" s="247" t="s">
        <v>7543</v>
      </c>
      <c r="G317" s="34" t="s">
        <v>83</v>
      </c>
      <c r="H317" s="234" t="s">
        <v>5821</v>
      </c>
      <c r="I317" s="248" t="s">
        <v>7</v>
      </c>
      <c r="J317" s="249" t="s">
        <v>492</v>
      </c>
      <c r="K317" s="250">
        <v>0</v>
      </c>
      <c r="L317" s="250">
        <v>0</v>
      </c>
      <c r="M317" s="251" t="s">
        <v>42</v>
      </c>
      <c r="N317" s="252">
        <v>0</v>
      </c>
      <c r="O317" s="185" t="s">
        <v>78</v>
      </c>
    </row>
    <row r="318" spans="1:15" x14ac:dyDescent="0.25">
      <c r="A318" s="234" t="s">
        <v>4170</v>
      </c>
      <c r="B318" s="234" t="s">
        <v>42</v>
      </c>
      <c r="C318" s="245">
        <v>46146</v>
      </c>
      <c r="D318" s="234">
        <v>0</v>
      </c>
      <c r="E318" s="246">
        <v>108568</v>
      </c>
      <c r="F318" s="247" t="s">
        <v>4169</v>
      </c>
      <c r="G318" s="34" t="s">
        <v>83</v>
      </c>
      <c r="H318" s="234" t="s">
        <v>4171</v>
      </c>
      <c r="I318" s="248" t="s">
        <v>7</v>
      </c>
      <c r="J318" s="249" t="s">
        <v>554</v>
      </c>
      <c r="K318" s="250">
        <v>108568</v>
      </c>
      <c r="L318" s="250">
        <v>0</v>
      </c>
      <c r="M318" s="251" t="s">
        <v>42</v>
      </c>
      <c r="N318" s="252">
        <v>0</v>
      </c>
      <c r="O318" s="185" t="s">
        <v>51</v>
      </c>
    </row>
    <row r="319" spans="1:15" x14ac:dyDescent="0.25">
      <c r="A319" s="234" t="s">
        <v>4154</v>
      </c>
      <c r="B319" s="234" t="s">
        <v>42</v>
      </c>
      <c r="C319" s="245">
        <v>46146</v>
      </c>
      <c r="D319" s="234">
        <v>0</v>
      </c>
      <c r="E319" s="246">
        <v>80000</v>
      </c>
      <c r="F319" s="247" t="s">
        <v>4153</v>
      </c>
      <c r="G319" s="34" t="s">
        <v>83</v>
      </c>
      <c r="H319" s="234" t="s">
        <v>4155</v>
      </c>
      <c r="I319" s="248" t="s">
        <v>7</v>
      </c>
      <c r="J319" s="249" t="s">
        <v>554</v>
      </c>
      <c r="K319" s="250">
        <v>80000</v>
      </c>
      <c r="L319" s="250">
        <v>0</v>
      </c>
      <c r="M319" s="251" t="s">
        <v>42</v>
      </c>
      <c r="N319" s="252">
        <v>0</v>
      </c>
      <c r="O319" s="185" t="s">
        <v>51</v>
      </c>
    </row>
    <row r="320" spans="1:15" x14ac:dyDescent="0.25">
      <c r="A320" s="234" t="s">
        <v>5823</v>
      </c>
      <c r="B320" s="234" t="s">
        <v>42</v>
      </c>
      <c r="C320" s="245">
        <v>46146</v>
      </c>
      <c r="D320" s="234">
        <v>0</v>
      </c>
      <c r="E320" s="246">
        <v>35000</v>
      </c>
      <c r="F320" s="247" t="s">
        <v>5822</v>
      </c>
      <c r="G320" s="34" t="s">
        <v>83</v>
      </c>
      <c r="H320" s="234" t="s">
        <v>5825</v>
      </c>
      <c r="I320" s="248" t="s">
        <v>7</v>
      </c>
      <c r="J320" s="249" t="s">
        <v>554</v>
      </c>
      <c r="K320" s="250">
        <v>281413</v>
      </c>
      <c r="L320" s="250">
        <v>0</v>
      </c>
      <c r="M320" s="251" t="s">
        <v>42</v>
      </c>
      <c r="N320" s="252">
        <v>0</v>
      </c>
      <c r="O320" s="185" t="s">
        <v>78</v>
      </c>
    </row>
    <row r="321" spans="1:15" x14ac:dyDescent="0.25">
      <c r="A321" s="234" t="s">
        <v>4167</v>
      </c>
      <c r="B321" s="234" t="s">
        <v>42</v>
      </c>
      <c r="C321" s="245">
        <v>46146</v>
      </c>
      <c r="D321" s="234">
        <v>0</v>
      </c>
      <c r="E321" s="246">
        <v>8459</v>
      </c>
      <c r="F321" s="247" t="s">
        <v>4166</v>
      </c>
      <c r="G321" s="34" t="s">
        <v>83</v>
      </c>
      <c r="H321" s="234" t="s">
        <v>4168</v>
      </c>
      <c r="I321" s="248" t="s">
        <v>7</v>
      </c>
      <c r="J321" s="249" t="s">
        <v>554</v>
      </c>
      <c r="K321" s="250">
        <v>107906</v>
      </c>
      <c r="L321" s="250">
        <v>0</v>
      </c>
      <c r="M321" s="251" t="s">
        <v>42</v>
      </c>
      <c r="N321" s="252">
        <v>0</v>
      </c>
      <c r="O321" s="185" t="s">
        <v>51</v>
      </c>
    </row>
    <row r="322" spans="1:15" x14ac:dyDescent="0.25">
      <c r="A322" s="234" t="s">
        <v>4837</v>
      </c>
      <c r="B322" s="234" t="s">
        <v>42</v>
      </c>
      <c r="C322" s="245">
        <v>46146</v>
      </c>
      <c r="D322" s="234">
        <v>0</v>
      </c>
      <c r="E322" s="246">
        <v>122807</v>
      </c>
      <c r="F322" s="247" t="s">
        <v>4836</v>
      </c>
      <c r="G322" s="34" t="s">
        <v>83</v>
      </c>
      <c r="H322" s="234" t="s">
        <v>4838</v>
      </c>
      <c r="I322" s="248" t="s">
        <v>7</v>
      </c>
      <c r="J322" s="249" t="s">
        <v>554</v>
      </c>
      <c r="K322" s="250">
        <v>122807</v>
      </c>
      <c r="L322" s="250">
        <v>0</v>
      </c>
      <c r="M322" s="251" t="s">
        <v>42</v>
      </c>
      <c r="N322" s="252">
        <v>0</v>
      </c>
      <c r="O322" s="185" t="s">
        <v>77</v>
      </c>
    </row>
    <row r="323" spans="1:15" x14ac:dyDescent="0.25">
      <c r="A323" s="234" t="s">
        <v>4146</v>
      </c>
      <c r="B323" s="234" t="s">
        <v>42</v>
      </c>
      <c r="C323" s="245">
        <v>46146</v>
      </c>
      <c r="D323" s="234">
        <v>0</v>
      </c>
      <c r="E323" s="246">
        <v>800</v>
      </c>
      <c r="F323" s="247" t="s">
        <v>4145</v>
      </c>
      <c r="G323" s="34" t="s">
        <v>83</v>
      </c>
      <c r="H323" s="234" t="s">
        <v>4147</v>
      </c>
      <c r="I323" s="248" t="s">
        <v>7</v>
      </c>
      <c r="J323" s="249" t="s">
        <v>554</v>
      </c>
      <c r="K323" s="250">
        <v>800</v>
      </c>
      <c r="L323" s="250">
        <v>0</v>
      </c>
      <c r="M323" s="251" t="s">
        <v>42</v>
      </c>
      <c r="N323" s="252">
        <v>0</v>
      </c>
      <c r="O323" s="185" t="s">
        <v>51</v>
      </c>
    </row>
    <row r="324" spans="1:15" x14ac:dyDescent="0.25">
      <c r="A324" s="234" t="s">
        <v>4771</v>
      </c>
      <c r="B324" s="234" t="s">
        <v>42</v>
      </c>
      <c r="C324" s="245">
        <v>46146</v>
      </c>
      <c r="D324" s="234">
        <v>0</v>
      </c>
      <c r="E324" s="246">
        <v>35000</v>
      </c>
      <c r="F324" s="247" t="s">
        <v>4770</v>
      </c>
      <c r="G324" s="34" t="s">
        <v>83</v>
      </c>
      <c r="H324" s="234" t="s">
        <v>4772</v>
      </c>
      <c r="I324" s="248" t="s">
        <v>7</v>
      </c>
      <c r="J324" s="249" t="s">
        <v>554</v>
      </c>
      <c r="K324" s="250">
        <v>35000</v>
      </c>
      <c r="L324" s="250">
        <v>0</v>
      </c>
      <c r="M324" s="251" t="s">
        <v>42</v>
      </c>
      <c r="N324" s="252">
        <v>0</v>
      </c>
      <c r="O324" s="185" t="s">
        <v>77</v>
      </c>
    </row>
    <row r="325" spans="1:15" x14ac:dyDescent="0.25">
      <c r="A325" s="234" t="s">
        <v>7544</v>
      </c>
      <c r="B325" s="234" t="s">
        <v>42</v>
      </c>
      <c r="C325" s="245">
        <v>46146</v>
      </c>
      <c r="D325" s="234">
        <v>0</v>
      </c>
      <c r="E325" s="246">
        <v>292420</v>
      </c>
      <c r="F325" s="247" t="s">
        <v>7275</v>
      </c>
      <c r="G325" s="34" t="s">
        <v>83</v>
      </c>
      <c r="H325" s="234" t="s">
        <v>7545</v>
      </c>
      <c r="I325" s="248" t="s">
        <v>7</v>
      </c>
      <c r="J325" s="249" t="s">
        <v>492</v>
      </c>
      <c r="K325" s="250">
        <v>0</v>
      </c>
      <c r="L325" s="250">
        <v>0</v>
      </c>
      <c r="M325" s="251" t="s">
        <v>42</v>
      </c>
      <c r="N325" s="252">
        <v>0</v>
      </c>
      <c r="O325" s="185" t="s">
        <v>77</v>
      </c>
    </row>
    <row r="326" spans="1:15" x14ac:dyDescent="0.25">
      <c r="A326" s="234" t="s">
        <v>4087</v>
      </c>
      <c r="B326" s="234" t="s">
        <v>44</v>
      </c>
      <c r="C326" s="245">
        <v>46146</v>
      </c>
      <c r="D326" s="234" t="s">
        <v>7546</v>
      </c>
      <c r="E326" s="246">
        <v>40000</v>
      </c>
      <c r="F326" s="247" t="s">
        <v>4086</v>
      </c>
      <c r="G326" s="34" t="s">
        <v>83</v>
      </c>
      <c r="H326" s="234" t="s">
        <v>4088</v>
      </c>
      <c r="I326" s="248" t="s">
        <v>7</v>
      </c>
      <c r="J326" s="249" t="s">
        <v>554</v>
      </c>
      <c r="K326" s="250">
        <v>40000</v>
      </c>
      <c r="L326" s="250">
        <v>0</v>
      </c>
      <c r="M326" s="251" t="s">
        <v>44</v>
      </c>
      <c r="N326" s="252">
        <v>0</v>
      </c>
      <c r="O326" s="185" t="s">
        <v>74</v>
      </c>
    </row>
    <row r="327" spans="1:15" x14ac:dyDescent="0.25">
      <c r="A327" s="234" t="s">
        <v>4066</v>
      </c>
      <c r="B327" s="234" t="s">
        <v>44</v>
      </c>
      <c r="C327" s="245">
        <v>46146</v>
      </c>
      <c r="D327" s="234" t="s">
        <v>7289</v>
      </c>
      <c r="E327" s="246">
        <v>7316</v>
      </c>
      <c r="F327" s="247" t="s">
        <v>4065</v>
      </c>
      <c r="G327" s="34" t="s">
        <v>83</v>
      </c>
      <c r="H327" s="234" t="s">
        <v>4067</v>
      </c>
      <c r="I327" s="248" t="s">
        <v>7</v>
      </c>
      <c r="J327" s="249" t="s">
        <v>582</v>
      </c>
      <c r="K327" s="250">
        <v>9272</v>
      </c>
      <c r="L327" s="250">
        <v>0</v>
      </c>
      <c r="M327" s="251" t="s">
        <v>44</v>
      </c>
      <c r="N327" s="252">
        <v>0</v>
      </c>
      <c r="O327" s="185" t="s">
        <v>74</v>
      </c>
    </row>
    <row r="328" spans="1:15" x14ac:dyDescent="0.25">
      <c r="A328" s="234" t="s">
        <v>4137</v>
      </c>
      <c r="B328" s="234" t="s">
        <v>44</v>
      </c>
      <c r="C328" s="245">
        <v>46146</v>
      </c>
      <c r="D328" s="234" t="s">
        <v>7546</v>
      </c>
      <c r="E328" s="246">
        <v>25000</v>
      </c>
      <c r="F328" s="247" t="s">
        <v>4136</v>
      </c>
      <c r="G328" s="34" t="s">
        <v>83</v>
      </c>
      <c r="H328" s="234" t="s">
        <v>4138</v>
      </c>
      <c r="I328" s="248" t="s">
        <v>7</v>
      </c>
      <c r="J328" s="249" t="s">
        <v>554</v>
      </c>
      <c r="K328" s="250">
        <v>25000</v>
      </c>
      <c r="L328" s="250">
        <v>0</v>
      </c>
      <c r="M328" s="251" t="s">
        <v>44</v>
      </c>
      <c r="N328" s="252">
        <v>0</v>
      </c>
      <c r="O328" s="185" t="s">
        <v>51</v>
      </c>
    </row>
    <row r="329" spans="1:15" x14ac:dyDescent="0.25">
      <c r="A329" s="234" t="s">
        <v>7547</v>
      </c>
      <c r="B329" s="234" t="s">
        <v>44</v>
      </c>
      <c r="C329" s="245">
        <v>46146</v>
      </c>
      <c r="D329" s="234" t="s">
        <v>7287</v>
      </c>
      <c r="E329" s="246">
        <v>602804</v>
      </c>
      <c r="F329" s="247">
        <v>0</v>
      </c>
      <c r="G329" s="34" t="s">
        <v>83</v>
      </c>
      <c r="H329" s="234" t="s">
        <v>7548</v>
      </c>
      <c r="I329" s="248" t="s">
        <v>7</v>
      </c>
      <c r="J329" s="249" t="s">
        <v>492</v>
      </c>
      <c r="K329" s="250">
        <v>0</v>
      </c>
      <c r="L329" s="250">
        <v>0</v>
      </c>
      <c r="M329" s="251" t="s">
        <v>44</v>
      </c>
      <c r="N329" s="252">
        <v>0</v>
      </c>
      <c r="O329" s="185" t="s">
        <v>74</v>
      </c>
    </row>
    <row r="330" spans="1:15" x14ac:dyDescent="0.25">
      <c r="A330" s="234" t="s">
        <v>4472</v>
      </c>
      <c r="B330" s="234" t="s">
        <v>44</v>
      </c>
      <c r="C330" s="245">
        <v>46146</v>
      </c>
      <c r="D330" s="234" t="s">
        <v>7287</v>
      </c>
      <c r="E330" s="246">
        <v>125000</v>
      </c>
      <c r="F330" s="247">
        <v>0</v>
      </c>
      <c r="G330" s="34" t="s">
        <v>83</v>
      </c>
      <c r="H330" s="234" t="s">
        <v>4473</v>
      </c>
      <c r="I330" s="248" t="s">
        <v>7</v>
      </c>
      <c r="J330" s="249" t="s">
        <v>492</v>
      </c>
      <c r="K330" s="250">
        <v>0</v>
      </c>
      <c r="L330" s="250">
        <v>0</v>
      </c>
      <c r="M330" s="251" t="s">
        <v>44</v>
      </c>
      <c r="N330" s="252">
        <v>0</v>
      </c>
      <c r="O330" s="185" t="s">
        <v>74</v>
      </c>
    </row>
    <row r="331" spans="1:15" x14ac:dyDescent="0.25">
      <c r="A331" s="234" t="s">
        <v>2536</v>
      </c>
      <c r="B331" s="234" t="s">
        <v>43</v>
      </c>
      <c r="C331" s="245">
        <v>46146</v>
      </c>
      <c r="D331" s="234" t="s">
        <v>7292</v>
      </c>
      <c r="E331" s="246">
        <v>50000</v>
      </c>
      <c r="F331" s="247" t="s">
        <v>2538</v>
      </c>
      <c r="G331" s="34" t="s">
        <v>83</v>
      </c>
      <c r="H331" s="234" t="s">
        <v>2537</v>
      </c>
      <c r="I331" s="248" t="s">
        <v>7</v>
      </c>
      <c r="J331" s="249" t="s">
        <v>61</v>
      </c>
      <c r="K331" s="250">
        <v>50000</v>
      </c>
      <c r="L331" s="250">
        <v>0</v>
      </c>
      <c r="M331" s="251" t="s">
        <v>43</v>
      </c>
      <c r="N331" s="252">
        <v>0</v>
      </c>
      <c r="O331" s="185" t="s">
        <v>51</v>
      </c>
    </row>
    <row r="332" spans="1:15" x14ac:dyDescent="0.25">
      <c r="A332" s="234" t="s">
        <v>5762</v>
      </c>
      <c r="B332" s="234" t="s">
        <v>43</v>
      </c>
      <c r="C332" s="245">
        <v>46146</v>
      </c>
      <c r="D332" s="234" t="s">
        <v>43</v>
      </c>
      <c r="E332" s="246">
        <v>165948</v>
      </c>
      <c r="F332" s="247" t="s">
        <v>5764</v>
      </c>
      <c r="G332" s="34" t="s">
        <v>83</v>
      </c>
      <c r="H332" s="234" t="s">
        <v>5763</v>
      </c>
      <c r="I332" s="248" t="s">
        <v>7</v>
      </c>
      <c r="J332" s="249" t="s">
        <v>554</v>
      </c>
      <c r="K332" s="250">
        <v>165948</v>
      </c>
      <c r="L332" s="250">
        <v>0</v>
      </c>
      <c r="M332" s="251" t="s">
        <v>43</v>
      </c>
      <c r="N332" s="252">
        <v>0</v>
      </c>
      <c r="O332" s="185" t="s">
        <v>51</v>
      </c>
    </row>
    <row r="333" spans="1:15" x14ac:dyDescent="0.25">
      <c r="A333" s="234" t="s">
        <v>5762</v>
      </c>
      <c r="B333" s="234" t="s">
        <v>43</v>
      </c>
      <c r="C333" s="245">
        <v>46146</v>
      </c>
      <c r="D333" s="234" t="s">
        <v>43</v>
      </c>
      <c r="E333" s="246">
        <v>250000</v>
      </c>
      <c r="F333" s="247" t="s">
        <v>5761</v>
      </c>
      <c r="G333" s="34" t="s">
        <v>83</v>
      </c>
      <c r="H333" s="234" t="s">
        <v>5763</v>
      </c>
      <c r="I333" s="248" t="s">
        <v>7</v>
      </c>
      <c r="J333" s="249" t="s">
        <v>554</v>
      </c>
      <c r="K333" s="250">
        <v>250000</v>
      </c>
      <c r="L333" s="250">
        <v>0</v>
      </c>
      <c r="M333" s="251" t="s">
        <v>43</v>
      </c>
      <c r="N333" s="252">
        <v>0</v>
      </c>
      <c r="O333" s="185" t="s">
        <v>51</v>
      </c>
    </row>
    <row r="334" spans="1:15" x14ac:dyDescent="0.25">
      <c r="A334" s="234" t="s">
        <v>2515</v>
      </c>
      <c r="B334" s="234" t="s">
        <v>43</v>
      </c>
      <c r="C334" s="245">
        <v>46146</v>
      </c>
      <c r="D334" s="234" t="s">
        <v>43</v>
      </c>
      <c r="E334" s="246">
        <v>73000</v>
      </c>
      <c r="F334" s="247" t="s">
        <v>2514</v>
      </c>
      <c r="G334" s="34" t="s">
        <v>83</v>
      </c>
      <c r="H334" s="234" t="s">
        <v>2516</v>
      </c>
      <c r="I334" s="248" t="s">
        <v>7</v>
      </c>
      <c r="J334" s="249" t="s">
        <v>554</v>
      </c>
      <c r="K334" s="250">
        <v>73000</v>
      </c>
      <c r="L334" s="250">
        <v>0</v>
      </c>
      <c r="M334" s="251" t="s">
        <v>43</v>
      </c>
      <c r="N334" s="252">
        <v>0</v>
      </c>
      <c r="O334" s="185" t="s">
        <v>51</v>
      </c>
    </row>
    <row r="335" spans="1:15" x14ac:dyDescent="0.25">
      <c r="A335" s="234" t="s">
        <v>2281</v>
      </c>
      <c r="B335" s="234" t="s">
        <v>43</v>
      </c>
      <c r="C335" s="245">
        <v>46146</v>
      </c>
      <c r="D335" s="234" t="s">
        <v>43</v>
      </c>
      <c r="E335" s="246">
        <v>187659</v>
      </c>
      <c r="F335" s="247" t="s">
        <v>2280</v>
      </c>
      <c r="G335" s="34" t="s">
        <v>83</v>
      </c>
      <c r="H335" s="234" t="s">
        <v>2282</v>
      </c>
      <c r="I335" s="248" t="s">
        <v>7</v>
      </c>
      <c r="J335" s="249" t="s">
        <v>554</v>
      </c>
      <c r="K335" s="250">
        <v>187659</v>
      </c>
      <c r="L335" s="250">
        <v>0</v>
      </c>
      <c r="M335" s="251" t="s">
        <v>43</v>
      </c>
      <c r="N335" s="252">
        <v>0</v>
      </c>
      <c r="O335" s="185" t="s">
        <v>51</v>
      </c>
    </row>
    <row r="336" spans="1:15" x14ac:dyDescent="0.25">
      <c r="A336" s="234" t="s">
        <v>2392</v>
      </c>
      <c r="B336" s="234" t="s">
        <v>43</v>
      </c>
      <c r="C336" s="245">
        <v>46146</v>
      </c>
      <c r="D336" s="234" t="s">
        <v>43</v>
      </c>
      <c r="E336" s="246">
        <v>242000</v>
      </c>
      <c r="F336" s="247" t="s">
        <v>2391</v>
      </c>
      <c r="G336" s="34" t="s">
        <v>83</v>
      </c>
      <c r="H336" s="234" t="s">
        <v>2393</v>
      </c>
      <c r="I336" s="248" t="s">
        <v>7</v>
      </c>
      <c r="J336" s="249" t="s">
        <v>554</v>
      </c>
      <c r="K336" s="250">
        <v>242000</v>
      </c>
      <c r="L336" s="250">
        <v>0</v>
      </c>
      <c r="M336" s="251" t="s">
        <v>43</v>
      </c>
      <c r="N336" s="252">
        <v>0</v>
      </c>
      <c r="O336" s="185" t="s">
        <v>51</v>
      </c>
    </row>
    <row r="337" spans="1:15" x14ac:dyDescent="0.25">
      <c r="A337" s="234" t="s">
        <v>2397</v>
      </c>
      <c r="B337" s="234" t="s">
        <v>43</v>
      </c>
      <c r="C337" s="245">
        <v>46146</v>
      </c>
      <c r="D337" s="234" t="s">
        <v>43</v>
      </c>
      <c r="E337" s="246">
        <v>241582</v>
      </c>
      <c r="F337" s="247" t="s">
        <v>2396</v>
      </c>
      <c r="G337" s="34" t="s">
        <v>83</v>
      </c>
      <c r="H337" s="234" t="s">
        <v>2398</v>
      </c>
      <c r="I337" s="248" t="s">
        <v>7</v>
      </c>
      <c r="J337" s="249" t="s">
        <v>554</v>
      </c>
      <c r="K337" s="250">
        <v>241582</v>
      </c>
      <c r="L337" s="250">
        <v>0</v>
      </c>
      <c r="M337" s="251" t="s">
        <v>43</v>
      </c>
      <c r="N337" s="252">
        <v>0</v>
      </c>
      <c r="O337" s="185" t="s">
        <v>51</v>
      </c>
    </row>
    <row r="338" spans="1:15" x14ac:dyDescent="0.25">
      <c r="A338" s="234" t="s">
        <v>2729</v>
      </c>
      <c r="B338" s="234" t="s">
        <v>14</v>
      </c>
      <c r="C338" s="245">
        <v>46146</v>
      </c>
      <c r="D338" s="234">
        <v>0</v>
      </c>
      <c r="E338" s="246">
        <v>264625</v>
      </c>
      <c r="F338" s="247" t="s">
        <v>2728</v>
      </c>
      <c r="G338" s="34" t="s">
        <v>7</v>
      </c>
      <c r="H338" s="234" t="s">
        <v>2730</v>
      </c>
      <c r="I338" s="248" t="s">
        <v>7</v>
      </c>
      <c r="J338" s="249" t="s">
        <v>61</v>
      </c>
      <c r="K338" s="250">
        <v>264625</v>
      </c>
      <c r="L338" s="250">
        <v>0</v>
      </c>
      <c r="M338" s="251" t="s">
        <v>14</v>
      </c>
      <c r="N338" s="252">
        <v>0</v>
      </c>
      <c r="O338" s="185" t="s">
        <v>51</v>
      </c>
    </row>
    <row r="339" spans="1:15" x14ac:dyDescent="0.25">
      <c r="A339" s="234" t="s">
        <v>4734</v>
      </c>
      <c r="B339" s="234" t="s">
        <v>14</v>
      </c>
      <c r="C339" s="245">
        <v>46146</v>
      </c>
      <c r="D339" s="234">
        <v>0</v>
      </c>
      <c r="E339" s="246">
        <v>331310</v>
      </c>
      <c r="F339" s="247" t="s">
        <v>4733</v>
      </c>
      <c r="G339" s="34" t="s">
        <v>7</v>
      </c>
      <c r="H339" s="234" t="s">
        <v>4735</v>
      </c>
      <c r="I339" s="248" t="s">
        <v>7</v>
      </c>
      <c r="J339" s="249" t="s">
        <v>554</v>
      </c>
      <c r="K339" s="250">
        <v>331310</v>
      </c>
      <c r="L339" s="250">
        <v>0</v>
      </c>
      <c r="M339" s="251" t="s">
        <v>14</v>
      </c>
      <c r="N339" s="252">
        <v>0</v>
      </c>
      <c r="O339" s="185" t="s">
        <v>51</v>
      </c>
    </row>
    <row r="340" spans="1:15" x14ac:dyDescent="0.25">
      <c r="A340" s="234" t="s">
        <v>4643</v>
      </c>
      <c r="B340" s="234" t="s">
        <v>14</v>
      </c>
      <c r="C340" s="245">
        <v>46146</v>
      </c>
      <c r="D340" s="234">
        <v>0</v>
      </c>
      <c r="E340" s="246">
        <v>32110</v>
      </c>
      <c r="F340" s="247" t="s">
        <v>4647</v>
      </c>
      <c r="G340" s="34" t="s">
        <v>7</v>
      </c>
      <c r="H340" s="234" t="s">
        <v>4644</v>
      </c>
      <c r="I340" s="248" t="s">
        <v>7</v>
      </c>
      <c r="J340" s="249" t="s">
        <v>554</v>
      </c>
      <c r="K340" s="250">
        <v>7662</v>
      </c>
      <c r="L340" s="250">
        <v>0</v>
      </c>
      <c r="M340" s="251" t="s">
        <v>14</v>
      </c>
      <c r="N340" s="252">
        <v>0</v>
      </c>
      <c r="O340" s="185" t="s">
        <v>51</v>
      </c>
    </row>
    <row r="341" spans="1:15" x14ac:dyDescent="0.25">
      <c r="A341" s="234" t="s">
        <v>2708</v>
      </c>
      <c r="B341" s="234" t="s">
        <v>14</v>
      </c>
      <c r="C341" s="245">
        <v>46146</v>
      </c>
      <c r="D341" s="234">
        <v>0</v>
      </c>
      <c r="E341" s="246">
        <v>10000</v>
      </c>
      <c r="F341" s="247" t="s">
        <v>2707</v>
      </c>
      <c r="G341" s="34" t="s">
        <v>7</v>
      </c>
      <c r="H341" s="234" t="s">
        <v>2709</v>
      </c>
      <c r="I341" s="248" t="s">
        <v>7</v>
      </c>
      <c r="J341" s="249" t="s">
        <v>554</v>
      </c>
      <c r="K341" s="250">
        <v>10000</v>
      </c>
      <c r="L341" s="250">
        <v>0</v>
      </c>
      <c r="M341" s="251" t="s">
        <v>14</v>
      </c>
      <c r="N341" s="252">
        <v>0</v>
      </c>
      <c r="O341" s="185" t="s">
        <v>51</v>
      </c>
    </row>
    <row r="342" spans="1:15" x14ac:dyDescent="0.25">
      <c r="A342" s="234" t="s">
        <v>1679</v>
      </c>
      <c r="B342" s="234" t="s">
        <v>14</v>
      </c>
      <c r="C342" s="245">
        <v>46146</v>
      </c>
      <c r="D342" s="234">
        <v>0</v>
      </c>
      <c r="E342" s="246">
        <v>83000</v>
      </c>
      <c r="F342" s="247" t="s">
        <v>1678</v>
      </c>
      <c r="G342" s="34" t="s">
        <v>7</v>
      </c>
      <c r="H342" s="234" t="s">
        <v>1680</v>
      </c>
      <c r="I342" s="248" t="s">
        <v>7</v>
      </c>
      <c r="J342" s="249" t="s">
        <v>554</v>
      </c>
      <c r="K342" s="250">
        <v>83000</v>
      </c>
      <c r="L342" s="250">
        <v>0</v>
      </c>
      <c r="M342" s="251" t="s">
        <v>14</v>
      </c>
      <c r="N342" s="252">
        <v>0</v>
      </c>
      <c r="O342" s="185" t="s">
        <v>51</v>
      </c>
    </row>
    <row r="343" spans="1:15" x14ac:dyDescent="0.25">
      <c r="A343" s="234" t="s">
        <v>2723</v>
      </c>
      <c r="B343" s="234" t="s">
        <v>14</v>
      </c>
      <c r="C343" s="245">
        <v>46146</v>
      </c>
      <c r="D343" s="234">
        <v>0</v>
      </c>
      <c r="E343" s="246">
        <v>68000</v>
      </c>
      <c r="F343" s="247" t="s">
        <v>2722</v>
      </c>
      <c r="G343" s="34" t="s">
        <v>7</v>
      </c>
      <c r="H343" s="234" t="s">
        <v>2724</v>
      </c>
      <c r="I343" s="248" t="s">
        <v>7</v>
      </c>
      <c r="J343" s="249" t="s">
        <v>62</v>
      </c>
      <c r="K343" s="250">
        <v>68000</v>
      </c>
      <c r="L343" s="250">
        <v>0</v>
      </c>
      <c r="M343" s="251" t="s">
        <v>14</v>
      </c>
      <c r="N343" s="252">
        <v>0</v>
      </c>
      <c r="O343" s="185" t="s">
        <v>51</v>
      </c>
    </row>
    <row r="344" spans="1:15" x14ac:dyDescent="0.25">
      <c r="A344" s="234" t="s">
        <v>4740</v>
      </c>
      <c r="B344" s="234" t="s">
        <v>14</v>
      </c>
      <c r="C344" s="245">
        <v>46146</v>
      </c>
      <c r="D344" s="234">
        <v>0</v>
      </c>
      <c r="E344" s="246">
        <v>231980</v>
      </c>
      <c r="F344" s="247" t="s">
        <v>4739</v>
      </c>
      <c r="G344" s="34" t="s">
        <v>7</v>
      </c>
      <c r="H344" s="234" t="s">
        <v>4741</v>
      </c>
      <c r="I344" s="248" t="s">
        <v>7</v>
      </c>
      <c r="J344" s="249" t="s">
        <v>554</v>
      </c>
      <c r="K344" s="250">
        <v>231980</v>
      </c>
      <c r="L344" s="250">
        <v>0</v>
      </c>
      <c r="M344" s="251" t="s">
        <v>14</v>
      </c>
      <c r="N344" s="252">
        <v>0</v>
      </c>
      <c r="O344" s="185" t="s">
        <v>51</v>
      </c>
    </row>
    <row r="345" spans="1:15" x14ac:dyDescent="0.25">
      <c r="A345" s="234" t="s">
        <v>2759</v>
      </c>
      <c r="B345" s="234" t="s">
        <v>14</v>
      </c>
      <c r="C345" s="245">
        <v>46146</v>
      </c>
      <c r="D345" s="234">
        <v>0</v>
      </c>
      <c r="E345" s="246">
        <v>175653</v>
      </c>
      <c r="F345" s="247" t="s">
        <v>2758</v>
      </c>
      <c r="G345" s="34" t="s">
        <v>7</v>
      </c>
      <c r="H345" s="234" t="s">
        <v>2761</v>
      </c>
      <c r="I345" s="248" t="s">
        <v>7</v>
      </c>
      <c r="J345" s="249" t="s">
        <v>554</v>
      </c>
      <c r="K345" s="250">
        <v>175653</v>
      </c>
      <c r="L345" s="250">
        <v>0</v>
      </c>
      <c r="M345" s="251" t="s">
        <v>14</v>
      </c>
      <c r="N345" s="252">
        <v>0</v>
      </c>
      <c r="O345" s="185" t="s">
        <v>51</v>
      </c>
    </row>
    <row r="346" spans="1:15" x14ac:dyDescent="0.25">
      <c r="A346" s="234" t="s">
        <v>4699</v>
      </c>
      <c r="B346" s="234" t="s">
        <v>14</v>
      </c>
      <c r="C346" s="245">
        <v>46146</v>
      </c>
      <c r="D346" s="234">
        <v>0</v>
      </c>
      <c r="E346" s="246">
        <v>336633</v>
      </c>
      <c r="F346" s="247" t="s">
        <v>4698</v>
      </c>
      <c r="G346" s="34" t="s">
        <v>7</v>
      </c>
      <c r="H346" s="234" t="s">
        <v>4700</v>
      </c>
      <c r="I346" s="248" t="s">
        <v>7</v>
      </c>
      <c r="J346" s="249" t="s">
        <v>554</v>
      </c>
      <c r="K346" s="250">
        <v>336633.11</v>
      </c>
      <c r="L346" s="250">
        <v>0</v>
      </c>
      <c r="M346" s="251" t="s">
        <v>14</v>
      </c>
      <c r="N346" s="252">
        <v>0</v>
      </c>
      <c r="O346" s="185" t="s">
        <v>51</v>
      </c>
    </row>
    <row r="347" spans="1:15" x14ac:dyDescent="0.25">
      <c r="A347" s="234" t="s">
        <v>7549</v>
      </c>
      <c r="B347" s="234" t="s">
        <v>25</v>
      </c>
      <c r="C347" s="245">
        <v>46146</v>
      </c>
      <c r="D347" s="234">
        <v>0</v>
      </c>
      <c r="E347" s="246">
        <v>348098</v>
      </c>
      <c r="F347" s="247" t="s">
        <v>7550</v>
      </c>
      <c r="G347" s="34" t="s">
        <v>7</v>
      </c>
      <c r="H347" s="234" t="s">
        <v>7551</v>
      </c>
      <c r="I347" s="248" t="s">
        <v>7</v>
      </c>
      <c r="J347" s="249" t="s">
        <v>492</v>
      </c>
      <c r="K347" s="250">
        <v>0</v>
      </c>
      <c r="L347" s="250">
        <v>0</v>
      </c>
      <c r="M347" s="251" t="s">
        <v>25</v>
      </c>
      <c r="N347" s="252">
        <v>0</v>
      </c>
      <c r="O347" s="185" t="s">
        <v>51</v>
      </c>
    </row>
    <row r="348" spans="1:15" x14ac:dyDescent="0.25">
      <c r="A348" s="234" t="s">
        <v>3205</v>
      </c>
      <c r="B348" s="234" t="s">
        <v>25</v>
      </c>
      <c r="C348" s="245">
        <v>46146</v>
      </c>
      <c r="D348" s="234">
        <v>0</v>
      </c>
      <c r="E348" s="246">
        <v>183534</v>
      </c>
      <c r="F348" s="247">
        <v>0</v>
      </c>
      <c r="G348" s="34" t="s">
        <v>7</v>
      </c>
      <c r="H348" s="234" t="s">
        <v>3206</v>
      </c>
      <c r="I348" s="248" t="s">
        <v>7</v>
      </c>
      <c r="J348" s="249" t="s">
        <v>492</v>
      </c>
      <c r="K348" s="250">
        <v>0</v>
      </c>
      <c r="L348" s="250">
        <v>0</v>
      </c>
      <c r="M348" s="251" t="s">
        <v>25</v>
      </c>
      <c r="N348" s="252">
        <v>0</v>
      </c>
      <c r="O348" s="185" t="s">
        <v>51</v>
      </c>
    </row>
    <row r="349" spans="1:15" x14ac:dyDescent="0.25">
      <c r="A349" s="234" t="s">
        <v>3191</v>
      </c>
      <c r="B349" s="234" t="s">
        <v>25</v>
      </c>
      <c r="C349" s="245">
        <v>46146</v>
      </c>
      <c r="D349" s="234">
        <v>0</v>
      </c>
      <c r="E349" s="246">
        <v>186934</v>
      </c>
      <c r="F349" s="247" t="s">
        <v>3190</v>
      </c>
      <c r="G349" s="34" t="s">
        <v>7</v>
      </c>
      <c r="H349" s="234" t="s">
        <v>3192</v>
      </c>
      <c r="I349" s="248" t="s">
        <v>7</v>
      </c>
      <c r="J349" s="249" t="s">
        <v>554</v>
      </c>
      <c r="K349" s="250">
        <v>186934</v>
      </c>
      <c r="L349" s="250">
        <v>0</v>
      </c>
      <c r="M349" s="251" t="s">
        <v>25</v>
      </c>
      <c r="N349" s="252">
        <v>0</v>
      </c>
      <c r="O349" s="185" t="s">
        <v>51</v>
      </c>
    </row>
    <row r="350" spans="1:15" x14ac:dyDescent="0.25">
      <c r="A350" s="234" t="s">
        <v>3484</v>
      </c>
      <c r="B350" s="234" t="s">
        <v>25</v>
      </c>
      <c r="C350" s="245">
        <v>46146</v>
      </c>
      <c r="D350" s="234">
        <v>0</v>
      </c>
      <c r="E350" s="246">
        <v>97861</v>
      </c>
      <c r="F350" s="247" t="s">
        <v>3492</v>
      </c>
      <c r="G350" s="34" t="s">
        <v>7</v>
      </c>
      <c r="H350" s="234" t="s">
        <v>3485</v>
      </c>
      <c r="I350" s="248" t="s">
        <v>7</v>
      </c>
      <c r="J350" s="249" t="s">
        <v>554</v>
      </c>
      <c r="K350" s="250">
        <v>97860.54</v>
      </c>
      <c r="L350" s="250">
        <v>0</v>
      </c>
      <c r="M350" s="251" t="s">
        <v>25</v>
      </c>
      <c r="N350" s="252">
        <v>0</v>
      </c>
      <c r="O350" s="185" t="s">
        <v>51</v>
      </c>
    </row>
    <row r="351" spans="1:15" x14ac:dyDescent="0.25">
      <c r="A351" s="234" t="s">
        <v>3484</v>
      </c>
      <c r="B351" s="234" t="s">
        <v>25</v>
      </c>
      <c r="C351" s="245">
        <v>46146</v>
      </c>
      <c r="D351" s="234">
        <v>0</v>
      </c>
      <c r="E351" s="246">
        <v>50000</v>
      </c>
      <c r="F351" s="247" t="s">
        <v>3489</v>
      </c>
      <c r="G351" s="34" t="s">
        <v>7</v>
      </c>
      <c r="H351" s="234" t="s">
        <v>3485</v>
      </c>
      <c r="I351" s="248" t="s">
        <v>7</v>
      </c>
      <c r="J351" s="249" t="s">
        <v>554</v>
      </c>
      <c r="K351" s="250">
        <v>50000</v>
      </c>
      <c r="L351" s="250">
        <v>0</v>
      </c>
      <c r="M351" s="251" t="s">
        <v>25</v>
      </c>
      <c r="N351" s="252">
        <v>0</v>
      </c>
      <c r="O351" s="185" t="s">
        <v>51</v>
      </c>
    </row>
    <row r="352" spans="1:15" x14ac:dyDescent="0.25">
      <c r="A352" s="234" t="s">
        <v>2663</v>
      </c>
      <c r="B352" s="234" t="s">
        <v>25</v>
      </c>
      <c r="C352" s="245">
        <v>46146</v>
      </c>
      <c r="D352" s="234">
        <v>0</v>
      </c>
      <c r="E352" s="246">
        <v>20000</v>
      </c>
      <c r="F352" s="247" t="s">
        <v>2662</v>
      </c>
      <c r="G352" s="34" t="s">
        <v>7</v>
      </c>
      <c r="H352" s="234" t="s">
        <v>2664</v>
      </c>
      <c r="I352" s="248" t="s">
        <v>7</v>
      </c>
      <c r="J352" s="249" t="s">
        <v>554</v>
      </c>
      <c r="K352" s="250">
        <v>20000</v>
      </c>
      <c r="L352" s="250">
        <v>0</v>
      </c>
      <c r="M352" s="251" t="s">
        <v>25</v>
      </c>
      <c r="N352" s="252">
        <v>0</v>
      </c>
      <c r="O352" s="185" t="s">
        <v>51</v>
      </c>
    </row>
    <row r="353" spans="1:15" x14ac:dyDescent="0.25">
      <c r="A353" s="234" t="s">
        <v>2237</v>
      </c>
      <c r="B353" s="234" t="s">
        <v>25</v>
      </c>
      <c r="C353" s="245">
        <v>46146</v>
      </c>
      <c r="D353" s="234">
        <v>0</v>
      </c>
      <c r="E353" s="246">
        <v>20000</v>
      </c>
      <c r="F353" s="247" t="s">
        <v>2236</v>
      </c>
      <c r="G353" s="34" t="s">
        <v>7</v>
      </c>
      <c r="H353" s="234" t="s">
        <v>2238</v>
      </c>
      <c r="I353" s="248" t="s">
        <v>7</v>
      </c>
      <c r="J353" s="249" t="s">
        <v>554</v>
      </c>
      <c r="K353" s="250">
        <v>20000</v>
      </c>
      <c r="L353" s="250">
        <v>0</v>
      </c>
      <c r="M353" s="251" t="s">
        <v>25</v>
      </c>
      <c r="N353" s="252">
        <v>0</v>
      </c>
      <c r="O353" s="185" t="s">
        <v>51</v>
      </c>
    </row>
    <row r="354" spans="1:15" x14ac:dyDescent="0.25">
      <c r="A354" s="234" t="s">
        <v>2240</v>
      </c>
      <c r="B354" s="234" t="s">
        <v>25</v>
      </c>
      <c r="C354" s="245">
        <v>46146</v>
      </c>
      <c r="D354" s="234">
        <v>0</v>
      </c>
      <c r="E354" s="246">
        <v>11800</v>
      </c>
      <c r="F354" s="247" t="s">
        <v>2239</v>
      </c>
      <c r="G354" s="34" t="s">
        <v>7</v>
      </c>
      <c r="H354" s="234" t="s">
        <v>2241</v>
      </c>
      <c r="I354" s="248" t="s">
        <v>7</v>
      </c>
      <c r="J354" s="249" t="s">
        <v>554</v>
      </c>
      <c r="K354" s="250">
        <v>11800.15</v>
      </c>
      <c r="L354" s="250">
        <v>0</v>
      </c>
      <c r="M354" s="251" t="s">
        <v>25</v>
      </c>
      <c r="N354" s="252">
        <v>0</v>
      </c>
      <c r="O354" s="185" t="s">
        <v>51</v>
      </c>
    </row>
    <row r="355" spans="1:15" x14ac:dyDescent="0.25">
      <c r="A355" s="234" t="s">
        <v>3230</v>
      </c>
      <c r="B355" s="234" t="s">
        <v>25</v>
      </c>
      <c r="C355" s="245">
        <v>46146</v>
      </c>
      <c r="D355" s="234">
        <v>0</v>
      </c>
      <c r="E355" s="246">
        <v>194769</v>
      </c>
      <c r="F355" s="247" t="s">
        <v>3229</v>
      </c>
      <c r="G355" s="34" t="s">
        <v>7</v>
      </c>
      <c r="H355" s="234" t="s">
        <v>3231</v>
      </c>
      <c r="I355" s="248" t="s">
        <v>7</v>
      </c>
      <c r="J355" s="249" t="s">
        <v>554</v>
      </c>
      <c r="K355" s="250">
        <v>198315</v>
      </c>
      <c r="L355" s="250">
        <v>0</v>
      </c>
      <c r="M355" s="251" t="s">
        <v>25</v>
      </c>
      <c r="N355" s="252">
        <v>0</v>
      </c>
      <c r="O355" s="185" t="s">
        <v>51</v>
      </c>
    </row>
    <row r="356" spans="1:15" x14ac:dyDescent="0.25">
      <c r="A356" s="234" t="s">
        <v>3510</v>
      </c>
      <c r="B356" s="234" t="s">
        <v>25</v>
      </c>
      <c r="C356" s="245">
        <v>46146</v>
      </c>
      <c r="D356" s="234">
        <v>0</v>
      </c>
      <c r="E356" s="246">
        <v>50000</v>
      </c>
      <c r="F356" s="247" t="s">
        <v>3509</v>
      </c>
      <c r="G356" s="34" t="s">
        <v>7</v>
      </c>
      <c r="H356" s="234" t="s">
        <v>3511</v>
      </c>
      <c r="I356" s="248" t="s">
        <v>7</v>
      </c>
      <c r="J356" s="249" t="s">
        <v>554</v>
      </c>
      <c r="K356" s="250">
        <v>50000</v>
      </c>
      <c r="L356" s="250">
        <v>0</v>
      </c>
      <c r="M356" s="251" t="s">
        <v>25</v>
      </c>
      <c r="N356" s="252">
        <v>0</v>
      </c>
      <c r="O356" s="185" t="s">
        <v>51</v>
      </c>
    </row>
    <row r="357" spans="1:15" x14ac:dyDescent="0.25">
      <c r="A357" s="234" t="s">
        <v>3510</v>
      </c>
      <c r="B357" s="234" t="s">
        <v>25</v>
      </c>
      <c r="C357" s="245">
        <v>46146</v>
      </c>
      <c r="D357" s="234">
        <v>0</v>
      </c>
      <c r="E357" s="246">
        <v>20077</v>
      </c>
      <c r="F357" s="247" t="s">
        <v>3514</v>
      </c>
      <c r="G357" s="34" t="s">
        <v>7</v>
      </c>
      <c r="H357" s="234" t="s">
        <v>3511</v>
      </c>
      <c r="I357" s="248" t="s">
        <v>7</v>
      </c>
      <c r="J357" s="249" t="s">
        <v>554</v>
      </c>
      <c r="K357" s="250">
        <v>20077</v>
      </c>
      <c r="L357" s="250">
        <v>0</v>
      </c>
      <c r="M357" s="251" t="s">
        <v>25</v>
      </c>
      <c r="N357" s="252">
        <v>0</v>
      </c>
      <c r="O357" s="185" t="s">
        <v>51</v>
      </c>
    </row>
    <row r="358" spans="1:15" x14ac:dyDescent="0.25">
      <c r="A358" s="234" t="s">
        <v>3510</v>
      </c>
      <c r="B358" s="234" t="s">
        <v>25</v>
      </c>
      <c r="C358" s="245">
        <v>46146</v>
      </c>
      <c r="D358" s="234">
        <v>0</v>
      </c>
      <c r="E358" s="246">
        <v>30000</v>
      </c>
      <c r="F358" s="247" t="s">
        <v>3513</v>
      </c>
      <c r="G358" s="34" t="s">
        <v>7</v>
      </c>
      <c r="H358" s="234" t="s">
        <v>3511</v>
      </c>
      <c r="I358" s="248" t="s">
        <v>7</v>
      </c>
      <c r="J358" s="249" t="s">
        <v>554</v>
      </c>
      <c r="K358" s="250">
        <v>30000</v>
      </c>
      <c r="L358" s="250">
        <v>0</v>
      </c>
      <c r="M358" s="251" t="s">
        <v>25</v>
      </c>
      <c r="N358" s="252">
        <v>0</v>
      </c>
      <c r="O358" s="185" t="s">
        <v>51</v>
      </c>
    </row>
    <row r="359" spans="1:15" x14ac:dyDescent="0.25">
      <c r="A359" s="234" t="s">
        <v>3236</v>
      </c>
      <c r="B359" s="234" t="s">
        <v>25</v>
      </c>
      <c r="C359" s="245">
        <v>46146</v>
      </c>
      <c r="D359" s="234">
        <v>0</v>
      </c>
      <c r="E359" s="246">
        <v>247443</v>
      </c>
      <c r="F359" s="247" t="s">
        <v>3235</v>
      </c>
      <c r="G359" s="34" t="s">
        <v>7</v>
      </c>
      <c r="H359" s="234" t="s">
        <v>3237</v>
      </c>
      <c r="I359" s="248" t="s">
        <v>7</v>
      </c>
      <c r="J359" s="249" t="s">
        <v>554</v>
      </c>
      <c r="K359" s="250">
        <v>247443</v>
      </c>
      <c r="L359" s="250">
        <v>0</v>
      </c>
      <c r="M359" s="251" t="s">
        <v>25</v>
      </c>
      <c r="N359" s="252">
        <v>0</v>
      </c>
      <c r="O359" s="185" t="s">
        <v>51</v>
      </c>
    </row>
    <row r="360" spans="1:15" x14ac:dyDescent="0.25">
      <c r="A360" s="234" t="s">
        <v>3307</v>
      </c>
      <c r="B360" s="234" t="s">
        <v>25</v>
      </c>
      <c r="C360" s="245">
        <v>46146</v>
      </c>
      <c r="D360" s="234">
        <v>0</v>
      </c>
      <c r="E360" s="246">
        <v>260753</v>
      </c>
      <c r="F360" s="247" t="s">
        <v>3306</v>
      </c>
      <c r="G360" s="34" t="s">
        <v>7</v>
      </c>
      <c r="H360" s="234" t="s">
        <v>3308</v>
      </c>
      <c r="I360" s="248" t="s">
        <v>7</v>
      </c>
      <c r="J360" s="249" t="s">
        <v>554</v>
      </c>
      <c r="K360" s="250">
        <v>260753</v>
      </c>
      <c r="L360" s="250">
        <v>0</v>
      </c>
      <c r="M360" s="251" t="s">
        <v>25</v>
      </c>
      <c r="N360" s="252">
        <v>0</v>
      </c>
      <c r="O360" s="185" t="s">
        <v>51</v>
      </c>
    </row>
    <row r="361" spans="1:15" x14ac:dyDescent="0.25">
      <c r="A361" s="234" t="s">
        <v>3510</v>
      </c>
      <c r="B361" s="234" t="s">
        <v>25</v>
      </c>
      <c r="C361" s="245">
        <v>46146</v>
      </c>
      <c r="D361" s="234">
        <v>0</v>
      </c>
      <c r="E361" s="246">
        <v>30000</v>
      </c>
      <c r="F361" s="247" t="s">
        <v>3512</v>
      </c>
      <c r="G361" s="34" t="s">
        <v>7</v>
      </c>
      <c r="H361" s="234" t="s">
        <v>3511</v>
      </c>
      <c r="I361" s="248" t="s">
        <v>7</v>
      </c>
      <c r="J361" s="249" t="s">
        <v>554</v>
      </c>
      <c r="K361" s="250">
        <v>30000</v>
      </c>
      <c r="L361" s="250">
        <v>0</v>
      </c>
      <c r="M361" s="251" t="s">
        <v>25</v>
      </c>
      <c r="N361" s="252">
        <v>0</v>
      </c>
      <c r="O361" s="185" t="s">
        <v>51</v>
      </c>
    </row>
    <row r="362" spans="1:15" x14ac:dyDescent="0.25">
      <c r="A362" s="234" t="s">
        <v>3319</v>
      </c>
      <c r="B362" s="234" t="s">
        <v>25</v>
      </c>
      <c r="C362" s="245">
        <v>46146</v>
      </c>
      <c r="D362" s="234">
        <v>0</v>
      </c>
      <c r="E362" s="246">
        <v>198219</v>
      </c>
      <c r="F362" s="247">
        <v>0</v>
      </c>
      <c r="G362" s="34" t="s">
        <v>7</v>
      </c>
      <c r="H362" s="234" t="s">
        <v>3320</v>
      </c>
      <c r="I362" s="248" t="s">
        <v>7</v>
      </c>
      <c r="J362" s="249" t="s">
        <v>492</v>
      </c>
      <c r="K362" s="250">
        <v>0</v>
      </c>
      <c r="L362" s="250">
        <v>0</v>
      </c>
      <c r="M362" s="251" t="s">
        <v>25</v>
      </c>
      <c r="N362" s="252">
        <v>0</v>
      </c>
      <c r="O362" s="185" t="s">
        <v>51</v>
      </c>
    </row>
    <row r="363" spans="1:15" x14ac:dyDescent="0.25">
      <c r="A363" s="234" t="s">
        <v>7480</v>
      </c>
      <c r="B363" s="234" t="s">
        <v>11</v>
      </c>
      <c r="C363" s="245">
        <v>46146</v>
      </c>
      <c r="D363" s="234" t="s">
        <v>7287</v>
      </c>
      <c r="E363" s="246">
        <v>174553</v>
      </c>
      <c r="F363" s="247" t="s">
        <v>7481</v>
      </c>
      <c r="G363" s="34" t="s">
        <v>7</v>
      </c>
      <c r="H363" s="234" t="s">
        <v>7482</v>
      </c>
      <c r="I363" s="248" t="s">
        <v>7</v>
      </c>
      <c r="J363" s="249" t="s">
        <v>492</v>
      </c>
      <c r="K363" s="250">
        <v>0</v>
      </c>
      <c r="L363" s="250">
        <v>0</v>
      </c>
      <c r="M363" s="251" t="s">
        <v>11</v>
      </c>
      <c r="N363" s="252">
        <v>0</v>
      </c>
      <c r="O363" s="185" t="s">
        <v>74</v>
      </c>
    </row>
    <row r="364" spans="1:15" x14ac:dyDescent="0.25">
      <c r="A364" s="234" t="s">
        <v>4072</v>
      </c>
      <c r="B364" s="234" t="s">
        <v>11</v>
      </c>
      <c r="C364" s="245">
        <v>46146</v>
      </c>
      <c r="D364" s="234" t="s">
        <v>546</v>
      </c>
      <c r="E364" s="246">
        <v>128170</v>
      </c>
      <c r="F364" s="247" t="s">
        <v>4071</v>
      </c>
      <c r="G364" s="34" t="s">
        <v>7</v>
      </c>
      <c r="H364" s="234" t="s">
        <v>4073</v>
      </c>
      <c r="I364" s="248" t="s">
        <v>7</v>
      </c>
      <c r="J364" s="249" t="s">
        <v>554</v>
      </c>
      <c r="K364" s="250">
        <v>128170</v>
      </c>
      <c r="L364" s="250">
        <v>0</v>
      </c>
      <c r="M364" s="251" t="s">
        <v>11</v>
      </c>
      <c r="N364" s="252">
        <v>0</v>
      </c>
      <c r="O364" s="185" t="s">
        <v>74</v>
      </c>
    </row>
    <row r="365" spans="1:15" x14ac:dyDescent="0.25">
      <c r="A365" s="234" t="s">
        <v>5450</v>
      </c>
      <c r="B365" s="234" t="s">
        <v>11</v>
      </c>
      <c r="C365" s="245">
        <v>46146</v>
      </c>
      <c r="D365" s="234" t="s">
        <v>7420</v>
      </c>
      <c r="E365" s="246">
        <v>128000</v>
      </c>
      <c r="F365" s="247" t="s">
        <v>5452</v>
      </c>
      <c r="G365" s="34" t="s">
        <v>7</v>
      </c>
      <c r="H365" s="234" t="s">
        <v>5451</v>
      </c>
      <c r="I365" s="248" t="s">
        <v>7</v>
      </c>
      <c r="J365" s="249" t="s">
        <v>554</v>
      </c>
      <c r="K365" s="250">
        <v>128000</v>
      </c>
      <c r="L365" s="250">
        <v>0</v>
      </c>
      <c r="M365" s="251" t="s">
        <v>11</v>
      </c>
      <c r="N365" s="252">
        <v>0</v>
      </c>
      <c r="O365" s="185" t="s">
        <v>74</v>
      </c>
    </row>
    <row r="366" spans="1:15" x14ac:dyDescent="0.25">
      <c r="A366" s="234" t="s">
        <v>4550</v>
      </c>
      <c r="B366" s="234" t="s">
        <v>11</v>
      </c>
      <c r="C366" s="245">
        <v>46146</v>
      </c>
      <c r="D366" s="234" t="s">
        <v>7552</v>
      </c>
      <c r="E366" s="246">
        <v>20997.78</v>
      </c>
      <c r="F366" s="247" t="s">
        <v>4549</v>
      </c>
      <c r="G366" s="34" t="s">
        <v>7</v>
      </c>
      <c r="H366" s="234" t="s">
        <v>4551</v>
      </c>
      <c r="I366" s="248" t="s">
        <v>7</v>
      </c>
      <c r="J366" s="249" t="s">
        <v>554</v>
      </c>
      <c r="K366" s="250">
        <v>20997.78</v>
      </c>
      <c r="L366" s="250">
        <v>0</v>
      </c>
      <c r="M366" s="251" t="s">
        <v>11</v>
      </c>
      <c r="N366" s="252">
        <v>0</v>
      </c>
      <c r="O366" s="185" t="s">
        <v>74</v>
      </c>
    </row>
    <row r="367" spans="1:15" x14ac:dyDescent="0.25">
      <c r="A367" s="234" t="s">
        <v>4577</v>
      </c>
      <c r="B367" s="234" t="s">
        <v>11</v>
      </c>
      <c r="C367" s="245">
        <v>46146</v>
      </c>
      <c r="D367" s="234" t="s">
        <v>7552</v>
      </c>
      <c r="E367" s="246">
        <v>25000</v>
      </c>
      <c r="F367" s="247" t="s">
        <v>4576</v>
      </c>
      <c r="G367" s="34" t="s">
        <v>7</v>
      </c>
      <c r="H367" s="234" t="s">
        <v>4578</v>
      </c>
      <c r="I367" s="248" t="s">
        <v>7</v>
      </c>
      <c r="J367" s="249" t="s">
        <v>554</v>
      </c>
      <c r="K367" s="250">
        <v>25000</v>
      </c>
      <c r="L367" s="250">
        <v>0</v>
      </c>
      <c r="M367" s="251" t="s">
        <v>11</v>
      </c>
      <c r="N367" s="252">
        <v>0</v>
      </c>
      <c r="O367" s="185" t="s">
        <v>74</v>
      </c>
    </row>
    <row r="368" spans="1:15" x14ac:dyDescent="0.25">
      <c r="A368" s="234" t="s">
        <v>7553</v>
      </c>
      <c r="B368" s="234" t="s">
        <v>11</v>
      </c>
      <c r="C368" s="245">
        <v>46146</v>
      </c>
      <c r="D368" s="234" t="s">
        <v>7287</v>
      </c>
      <c r="E368" s="246">
        <v>138634.1</v>
      </c>
      <c r="F368" s="247" t="s">
        <v>7554</v>
      </c>
      <c r="G368" s="34" t="s">
        <v>7</v>
      </c>
      <c r="H368" s="234" t="s">
        <v>7555</v>
      </c>
      <c r="I368" s="248" t="s">
        <v>7</v>
      </c>
      <c r="J368" s="249" t="s">
        <v>492</v>
      </c>
      <c r="K368" s="250">
        <v>0</v>
      </c>
      <c r="L368" s="250">
        <v>0</v>
      </c>
      <c r="M368" s="251" t="s">
        <v>11</v>
      </c>
      <c r="N368" s="252">
        <v>0</v>
      </c>
      <c r="O368" s="185" t="s">
        <v>74</v>
      </c>
    </row>
    <row r="369" spans="1:15" x14ac:dyDescent="0.25">
      <c r="A369" s="234" t="s">
        <v>4084</v>
      </c>
      <c r="B369" s="234" t="s">
        <v>11</v>
      </c>
      <c r="C369" s="245">
        <v>46146</v>
      </c>
      <c r="D369" s="234" t="s">
        <v>7289</v>
      </c>
      <c r="E369" s="246">
        <v>192480</v>
      </c>
      <c r="F369" s="247" t="s">
        <v>4083</v>
      </c>
      <c r="G369" s="34" t="s">
        <v>7</v>
      </c>
      <c r="H369" s="234" t="s">
        <v>4085</v>
      </c>
      <c r="I369" s="248" t="s">
        <v>7</v>
      </c>
      <c r="J369" s="249" t="s">
        <v>554</v>
      </c>
      <c r="K369" s="250">
        <v>192480</v>
      </c>
      <c r="L369" s="250">
        <v>0</v>
      </c>
      <c r="M369" s="251" t="s">
        <v>11</v>
      </c>
      <c r="N369" s="252">
        <v>0</v>
      </c>
      <c r="O369" s="185" t="s">
        <v>74</v>
      </c>
    </row>
    <row r="370" spans="1:15" x14ac:dyDescent="0.25">
      <c r="A370" s="234" t="s">
        <v>4574</v>
      </c>
      <c r="B370" s="234" t="s">
        <v>11</v>
      </c>
      <c r="C370" s="245">
        <v>46146</v>
      </c>
      <c r="D370" s="234" t="s">
        <v>7287</v>
      </c>
      <c r="E370" s="246">
        <v>19426</v>
      </c>
      <c r="F370" s="247" t="s">
        <v>4573</v>
      </c>
      <c r="G370" s="34" t="s">
        <v>7</v>
      </c>
      <c r="H370" s="234" t="s">
        <v>4575</v>
      </c>
      <c r="I370" s="248" t="s">
        <v>7</v>
      </c>
      <c r="J370" s="249" t="s">
        <v>554</v>
      </c>
      <c r="K370" s="250">
        <v>19426</v>
      </c>
      <c r="L370" s="250">
        <v>0</v>
      </c>
      <c r="M370" s="251" t="s">
        <v>11</v>
      </c>
      <c r="N370" s="252">
        <v>0</v>
      </c>
      <c r="O370" s="185" t="s">
        <v>74</v>
      </c>
    </row>
    <row r="371" spans="1:15" x14ac:dyDescent="0.25">
      <c r="A371" s="234" t="s">
        <v>4568</v>
      </c>
      <c r="B371" s="234" t="s">
        <v>11</v>
      </c>
      <c r="C371" s="245">
        <v>46146</v>
      </c>
      <c r="D371" s="234" t="s">
        <v>7287</v>
      </c>
      <c r="E371" s="246">
        <v>498131</v>
      </c>
      <c r="F371" s="247">
        <v>0</v>
      </c>
      <c r="G371" s="34" t="s">
        <v>7</v>
      </c>
      <c r="H371" s="234" t="s">
        <v>4569</v>
      </c>
      <c r="I371" s="248" t="s">
        <v>7</v>
      </c>
      <c r="J371" s="249" t="s">
        <v>492</v>
      </c>
      <c r="K371" s="250">
        <v>0</v>
      </c>
      <c r="L371" s="250">
        <v>0</v>
      </c>
      <c r="M371" s="251" t="s">
        <v>11</v>
      </c>
      <c r="N371" s="252">
        <v>0</v>
      </c>
      <c r="O371" s="185" t="s">
        <v>74</v>
      </c>
    </row>
    <row r="372" spans="1:15" x14ac:dyDescent="0.25">
      <c r="A372" s="234" t="s">
        <v>7556</v>
      </c>
      <c r="B372" s="234" t="s">
        <v>15</v>
      </c>
      <c r="C372" s="245">
        <v>46146</v>
      </c>
      <c r="D372" s="234">
        <v>0</v>
      </c>
      <c r="E372" s="246">
        <v>197546</v>
      </c>
      <c r="F372" s="247" t="s">
        <v>7557</v>
      </c>
      <c r="G372" s="34" t="s">
        <v>7</v>
      </c>
      <c r="H372" s="234" t="s">
        <v>7558</v>
      </c>
      <c r="I372" s="248" t="s">
        <v>7</v>
      </c>
      <c r="J372" s="249" t="s">
        <v>492</v>
      </c>
      <c r="K372" s="250">
        <v>0</v>
      </c>
      <c r="L372" s="250">
        <v>0</v>
      </c>
      <c r="M372" s="251" t="s">
        <v>15</v>
      </c>
      <c r="N372" s="252">
        <v>0</v>
      </c>
      <c r="O372" s="185" t="s">
        <v>51</v>
      </c>
    </row>
    <row r="373" spans="1:15" x14ac:dyDescent="0.25">
      <c r="A373" s="234" t="s">
        <v>1041</v>
      </c>
      <c r="B373" s="234" t="s">
        <v>15</v>
      </c>
      <c r="C373" s="245">
        <v>46146</v>
      </c>
      <c r="D373" s="234">
        <v>0</v>
      </c>
      <c r="E373" s="246">
        <v>166000</v>
      </c>
      <c r="F373" s="247" t="s">
        <v>7559</v>
      </c>
      <c r="G373" s="34" t="s">
        <v>7</v>
      </c>
      <c r="H373" s="234" t="s">
        <v>1042</v>
      </c>
      <c r="I373" s="248" t="s">
        <v>7</v>
      </c>
      <c r="J373" s="249" t="s">
        <v>492</v>
      </c>
      <c r="K373" s="250">
        <v>0</v>
      </c>
      <c r="L373" s="250">
        <v>0</v>
      </c>
      <c r="M373" s="251" t="s">
        <v>15</v>
      </c>
      <c r="N373" s="252">
        <v>0</v>
      </c>
      <c r="O373" s="185" t="s">
        <v>51</v>
      </c>
    </row>
    <row r="374" spans="1:15" x14ac:dyDescent="0.25">
      <c r="A374" s="234" t="s">
        <v>7560</v>
      </c>
      <c r="B374" s="234" t="s">
        <v>15</v>
      </c>
      <c r="C374" s="245">
        <v>46146</v>
      </c>
      <c r="D374" s="234">
        <v>0</v>
      </c>
      <c r="E374" s="246">
        <v>124997</v>
      </c>
      <c r="F374" s="247" t="s">
        <v>7561</v>
      </c>
      <c r="G374" s="34" t="s">
        <v>7</v>
      </c>
      <c r="H374" s="234" t="s">
        <v>1171</v>
      </c>
      <c r="I374" s="248" t="s">
        <v>7</v>
      </c>
      <c r="J374" s="249" t="s">
        <v>492</v>
      </c>
      <c r="K374" s="250">
        <v>0</v>
      </c>
      <c r="L374" s="250">
        <v>0</v>
      </c>
      <c r="M374" s="251" t="s">
        <v>15</v>
      </c>
      <c r="N374" s="252">
        <v>0</v>
      </c>
      <c r="O374" s="185" t="s">
        <v>51</v>
      </c>
    </row>
    <row r="375" spans="1:15" x14ac:dyDescent="0.25">
      <c r="A375" s="234" t="s">
        <v>7562</v>
      </c>
      <c r="B375" s="234" t="s">
        <v>15</v>
      </c>
      <c r="C375" s="245">
        <v>46146</v>
      </c>
      <c r="D375" s="234">
        <v>0</v>
      </c>
      <c r="E375" s="246">
        <v>123599</v>
      </c>
      <c r="F375" s="247" t="s">
        <v>7563</v>
      </c>
      <c r="G375" s="34" t="s">
        <v>7</v>
      </c>
      <c r="H375" s="234" t="s">
        <v>7564</v>
      </c>
      <c r="I375" s="248" t="s">
        <v>7</v>
      </c>
      <c r="J375" s="249" t="s">
        <v>492</v>
      </c>
      <c r="K375" s="250">
        <v>0</v>
      </c>
      <c r="L375" s="250">
        <v>0</v>
      </c>
      <c r="M375" s="251" t="s">
        <v>15</v>
      </c>
      <c r="N375" s="252">
        <v>0</v>
      </c>
      <c r="O375" s="185" t="s">
        <v>51</v>
      </c>
    </row>
    <row r="376" spans="1:15" x14ac:dyDescent="0.25">
      <c r="A376" s="234" t="s">
        <v>1083</v>
      </c>
      <c r="B376" s="234" t="s">
        <v>15</v>
      </c>
      <c r="C376" s="245">
        <v>46146</v>
      </c>
      <c r="D376" s="234">
        <v>0</v>
      </c>
      <c r="E376" s="246">
        <v>147859</v>
      </c>
      <c r="F376" s="247" t="s">
        <v>7565</v>
      </c>
      <c r="G376" s="34" t="s">
        <v>7</v>
      </c>
      <c r="H376" s="234" t="s">
        <v>1084</v>
      </c>
      <c r="I376" s="248" t="s">
        <v>7</v>
      </c>
      <c r="J376" s="249" t="s">
        <v>492</v>
      </c>
      <c r="K376" s="250">
        <v>0</v>
      </c>
      <c r="L376" s="250">
        <v>0</v>
      </c>
      <c r="M376" s="251" t="s">
        <v>15</v>
      </c>
      <c r="N376" s="252">
        <v>0</v>
      </c>
      <c r="O376" s="185" t="s">
        <v>51</v>
      </c>
    </row>
    <row r="377" spans="1:15" x14ac:dyDescent="0.25">
      <c r="A377" s="234" t="s">
        <v>1191</v>
      </c>
      <c r="B377" s="234" t="s">
        <v>15</v>
      </c>
      <c r="C377" s="245">
        <v>46146</v>
      </c>
      <c r="D377" s="234">
        <v>0</v>
      </c>
      <c r="E377" s="246">
        <v>124377</v>
      </c>
      <c r="F377" s="247" t="s">
        <v>7566</v>
      </c>
      <c r="G377" s="34" t="s">
        <v>7</v>
      </c>
      <c r="H377" s="234" t="s">
        <v>1192</v>
      </c>
      <c r="I377" s="248" t="s">
        <v>7</v>
      </c>
      <c r="J377" s="249" t="s">
        <v>492</v>
      </c>
      <c r="K377" s="250">
        <v>0</v>
      </c>
      <c r="L377" s="250">
        <v>0</v>
      </c>
      <c r="M377" s="251" t="s">
        <v>15</v>
      </c>
      <c r="N377" s="252">
        <v>0</v>
      </c>
      <c r="O377" s="185" t="s">
        <v>51</v>
      </c>
    </row>
    <row r="378" spans="1:15" x14ac:dyDescent="0.25">
      <c r="A378" s="234" t="s">
        <v>7567</v>
      </c>
      <c r="B378" s="234" t="s">
        <v>15</v>
      </c>
      <c r="C378" s="245">
        <v>46146</v>
      </c>
      <c r="D378" s="234">
        <v>0</v>
      </c>
      <c r="E378" s="246">
        <v>162735</v>
      </c>
      <c r="F378" s="247" t="s">
        <v>7568</v>
      </c>
      <c r="G378" s="34" t="s">
        <v>7</v>
      </c>
      <c r="H378" s="234" t="s">
        <v>1252</v>
      </c>
      <c r="I378" s="248" t="s">
        <v>7</v>
      </c>
      <c r="J378" s="249" t="s">
        <v>492</v>
      </c>
      <c r="K378" s="250">
        <v>0</v>
      </c>
      <c r="L378" s="250">
        <v>0</v>
      </c>
      <c r="M378" s="251" t="s">
        <v>15</v>
      </c>
      <c r="N378" s="252">
        <v>0</v>
      </c>
      <c r="O378" s="185" t="s">
        <v>51</v>
      </c>
    </row>
    <row r="379" spans="1:15" x14ac:dyDescent="0.25">
      <c r="A379" s="234" t="s">
        <v>7569</v>
      </c>
      <c r="B379" s="234" t="s">
        <v>15</v>
      </c>
      <c r="C379" s="245">
        <v>46146</v>
      </c>
      <c r="D379" s="234">
        <v>0</v>
      </c>
      <c r="E379" s="246">
        <v>194490</v>
      </c>
      <c r="F379" s="247" t="s">
        <v>7570</v>
      </c>
      <c r="G379" s="34" t="s">
        <v>7</v>
      </c>
      <c r="H379" s="234" t="s">
        <v>1075</v>
      </c>
      <c r="I379" s="248" t="s">
        <v>7</v>
      </c>
      <c r="J379" s="249" t="s">
        <v>492</v>
      </c>
      <c r="K379" s="250">
        <v>0</v>
      </c>
      <c r="L379" s="250">
        <v>0</v>
      </c>
      <c r="M379" s="251" t="s">
        <v>15</v>
      </c>
      <c r="N379" s="252">
        <v>0</v>
      </c>
      <c r="O379" s="185" t="s">
        <v>51</v>
      </c>
    </row>
    <row r="380" spans="1:15" x14ac:dyDescent="0.25">
      <c r="A380" s="234" t="s">
        <v>1197</v>
      </c>
      <c r="B380" s="234" t="s">
        <v>15</v>
      </c>
      <c r="C380" s="245">
        <v>46146</v>
      </c>
      <c r="D380" s="234">
        <v>0</v>
      </c>
      <c r="E380" s="246">
        <v>164549</v>
      </c>
      <c r="F380" s="247" t="s">
        <v>7571</v>
      </c>
      <c r="G380" s="34" t="s">
        <v>7</v>
      </c>
      <c r="H380" s="234" t="s">
        <v>1198</v>
      </c>
      <c r="I380" s="248" t="s">
        <v>7</v>
      </c>
      <c r="J380" s="249" t="s">
        <v>492</v>
      </c>
      <c r="K380" s="250">
        <v>0</v>
      </c>
      <c r="L380" s="250">
        <v>0</v>
      </c>
      <c r="M380" s="251" t="s">
        <v>15</v>
      </c>
      <c r="N380" s="252">
        <v>0</v>
      </c>
      <c r="O380" s="185" t="s">
        <v>51</v>
      </c>
    </row>
    <row r="381" spans="1:15" x14ac:dyDescent="0.25">
      <c r="A381" s="234" t="s">
        <v>7572</v>
      </c>
      <c r="B381" s="234" t="s">
        <v>15</v>
      </c>
      <c r="C381" s="245">
        <v>46146</v>
      </c>
      <c r="D381" s="234">
        <v>0</v>
      </c>
      <c r="E381" s="246">
        <v>194460</v>
      </c>
      <c r="F381" s="247">
        <v>0</v>
      </c>
      <c r="G381" s="34" t="s">
        <v>7</v>
      </c>
      <c r="H381" s="234" t="s">
        <v>7573</v>
      </c>
      <c r="I381" s="248" t="s">
        <v>7</v>
      </c>
      <c r="J381" s="249" t="s">
        <v>492</v>
      </c>
      <c r="K381" s="250">
        <v>0</v>
      </c>
      <c r="L381" s="250">
        <v>0</v>
      </c>
      <c r="M381" s="251" t="s">
        <v>15</v>
      </c>
      <c r="N381" s="252">
        <v>0</v>
      </c>
      <c r="O381" s="185" t="s">
        <v>51</v>
      </c>
    </row>
    <row r="382" spans="1:15" x14ac:dyDescent="0.25">
      <c r="A382" s="234" t="s">
        <v>1109</v>
      </c>
      <c r="B382" s="234" t="s">
        <v>15</v>
      </c>
      <c r="C382" s="245">
        <v>46146</v>
      </c>
      <c r="D382" s="234">
        <v>0</v>
      </c>
      <c r="E382" s="246">
        <v>253568.22</v>
      </c>
      <c r="F382" s="247" t="s">
        <v>7574</v>
      </c>
      <c r="G382" s="34" t="s">
        <v>7</v>
      </c>
      <c r="H382" s="234" t="s">
        <v>1110</v>
      </c>
      <c r="I382" s="248" t="s">
        <v>7</v>
      </c>
      <c r="J382" s="249" t="s">
        <v>492</v>
      </c>
      <c r="K382" s="250">
        <v>0</v>
      </c>
      <c r="L382" s="250">
        <v>0</v>
      </c>
      <c r="M382" s="251" t="s">
        <v>15</v>
      </c>
      <c r="N382" s="252">
        <v>0</v>
      </c>
      <c r="O382" s="185" t="s">
        <v>51</v>
      </c>
    </row>
    <row r="383" spans="1:15" x14ac:dyDescent="0.25">
      <c r="A383" s="234" t="s">
        <v>988</v>
      </c>
      <c r="B383" s="234" t="s">
        <v>15</v>
      </c>
      <c r="C383" s="245">
        <v>46146</v>
      </c>
      <c r="D383" s="234">
        <v>0</v>
      </c>
      <c r="E383" s="246">
        <v>141781</v>
      </c>
      <c r="F383" s="247" t="s">
        <v>7575</v>
      </c>
      <c r="G383" s="34" t="s">
        <v>7</v>
      </c>
      <c r="H383" s="234" t="s">
        <v>989</v>
      </c>
      <c r="I383" s="248" t="s">
        <v>7</v>
      </c>
      <c r="J383" s="249" t="s">
        <v>492</v>
      </c>
      <c r="K383" s="250">
        <v>0</v>
      </c>
      <c r="L383" s="250">
        <v>0</v>
      </c>
      <c r="M383" s="251" t="s">
        <v>15</v>
      </c>
      <c r="N383" s="252">
        <v>0</v>
      </c>
      <c r="O383" s="185" t="s">
        <v>51</v>
      </c>
    </row>
    <row r="384" spans="1:15" x14ac:dyDescent="0.25">
      <c r="A384" s="234" t="s">
        <v>1541</v>
      </c>
      <c r="B384" s="234" t="s">
        <v>15</v>
      </c>
      <c r="C384" s="245">
        <v>46146</v>
      </c>
      <c r="D384" s="234">
        <v>0</v>
      </c>
      <c r="E384" s="246">
        <v>8850</v>
      </c>
      <c r="F384" s="247" t="s">
        <v>7576</v>
      </c>
      <c r="G384" s="34" t="s">
        <v>7</v>
      </c>
      <c r="H384" s="234" t="s">
        <v>1542</v>
      </c>
      <c r="I384" s="248" t="s">
        <v>7</v>
      </c>
      <c r="J384" s="249" t="s">
        <v>492</v>
      </c>
      <c r="K384" s="250">
        <v>0</v>
      </c>
      <c r="L384" s="250">
        <v>0</v>
      </c>
      <c r="M384" s="251" t="s">
        <v>15</v>
      </c>
      <c r="N384" s="252">
        <v>0</v>
      </c>
      <c r="O384" s="185" t="s">
        <v>51</v>
      </c>
    </row>
    <row r="385" spans="1:15" x14ac:dyDescent="0.25">
      <c r="A385" s="234" t="s">
        <v>5159</v>
      </c>
      <c r="B385" s="234" t="s">
        <v>16</v>
      </c>
      <c r="C385" s="245">
        <v>46146</v>
      </c>
      <c r="D385" s="234" t="s">
        <v>7577</v>
      </c>
      <c r="E385" s="246">
        <v>163767</v>
      </c>
      <c r="F385" s="247" t="s">
        <v>5158</v>
      </c>
      <c r="G385" s="34" t="s">
        <v>7</v>
      </c>
      <c r="H385" s="234" t="s">
        <v>5160</v>
      </c>
      <c r="I385" s="248" t="s">
        <v>7</v>
      </c>
      <c r="J385" s="249" t="s">
        <v>554</v>
      </c>
      <c r="K385" s="250">
        <v>163767</v>
      </c>
      <c r="L385" s="250">
        <v>0</v>
      </c>
      <c r="M385" s="251" t="s">
        <v>16</v>
      </c>
      <c r="N385" s="252">
        <v>0</v>
      </c>
      <c r="O385" s="185" t="s">
        <v>51</v>
      </c>
    </row>
    <row r="386" spans="1:15" x14ac:dyDescent="0.25">
      <c r="A386" s="234" t="s">
        <v>7578</v>
      </c>
      <c r="B386" s="234" t="s">
        <v>16</v>
      </c>
      <c r="C386" s="245">
        <v>46146</v>
      </c>
      <c r="D386" s="234" t="s">
        <v>7577</v>
      </c>
      <c r="E386" s="246">
        <v>203823</v>
      </c>
      <c r="F386" s="247" t="s">
        <v>7579</v>
      </c>
      <c r="G386" s="34" t="s">
        <v>7</v>
      </c>
      <c r="H386" s="234" t="s">
        <v>7580</v>
      </c>
      <c r="I386" s="248" t="s">
        <v>7</v>
      </c>
      <c r="J386" s="249" t="s">
        <v>492</v>
      </c>
      <c r="K386" s="250">
        <v>0</v>
      </c>
      <c r="L386" s="250">
        <v>0</v>
      </c>
      <c r="M386" s="251" t="s">
        <v>16</v>
      </c>
      <c r="N386" s="252">
        <v>0</v>
      </c>
      <c r="O386" s="185" t="s">
        <v>51</v>
      </c>
    </row>
    <row r="387" spans="1:15" x14ac:dyDescent="0.25">
      <c r="A387" s="234" t="s">
        <v>5041</v>
      </c>
      <c r="B387" s="234" t="s">
        <v>16</v>
      </c>
      <c r="C387" s="245">
        <v>46146</v>
      </c>
      <c r="D387" s="234" t="s">
        <v>7577</v>
      </c>
      <c r="E387" s="246">
        <v>161725</v>
      </c>
      <c r="F387" s="247" t="s">
        <v>5043</v>
      </c>
      <c r="G387" s="34" t="s">
        <v>7</v>
      </c>
      <c r="H387" s="234" t="s">
        <v>5042</v>
      </c>
      <c r="I387" s="248" t="s">
        <v>7</v>
      </c>
      <c r="J387" s="249" t="s">
        <v>62</v>
      </c>
      <c r="K387" s="250">
        <v>161725</v>
      </c>
      <c r="L387" s="250">
        <v>0</v>
      </c>
      <c r="M387" s="251" t="s">
        <v>16</v>
      </c>
      <c r="N387" s="252">
        <v>0</v>
      </c>
      <c r="O387" s="185" t="s">
        <v>51</v>
      </c>
    </row>
    <row r="388" spans="1:15" x14ac:dyDescent="0.25">
      <c r="A388" s="234" t="s">
        <v>5098</v>
      </c>
      <c r="B388" s="234" t="s">
        <v>16</v>
      </c>
      <c r="C388" s="245">
        <v>46146</v>
      </c>
      <c r="D388" s="234" t="s">
        <v>7577</v>
      </c>
      <c r="E388" s="246">
        <v>106000</v>
      </c>
      <c r="F388" s="247" t="s">
        <v>5097</v>
      </c>
      <c r="G388" s="34" t="s">
        <v>7</v>
      </c>
      <c r="H388" s="234" t="s">
        <v>5100</v>
      </c>
      <c r="I388" s="248" t="s">
        <v>7</v>
      </c>
      <c r="J388" s="249" t="s">
        <v>554</v>
      </c>
      <c r="K388" s="250">
        <v>106000</v>
      </c>
      <c r="L388" s="250">
        <v>0</v>
      </c>
      <c r="M388" s="251" t="s">
        <v>16</v>
      </c>
      <c r="N388" s="252">
        <v>0</v>
      </c>
      <c r="O388" s="185" t="s">
        <v>51</v>
      </c>
    </row>
    <row r="389" spans="1:15" x14ac:dyDescent="0.25">
      <c r="A389" s="234" t="s">
        <v>5103</v>
      </c>
      <c r="B389" s="234" t="s">
        <v>16</v>
      </c>
      <c r="C389" s="245">
        <v>46146</v>
      </c>
      <c r="D389" s="234" t="s">
        <v>7577</v>
      </c>
      <c r="E389" s="246">
        <v>168502</v>
      </c>
      <c r="F389" s="247" t="s">
        <v>5102</v>
      </c>
      <c r="G389" s="34" t="s">
        <v>7</v>
      </c>
      <c r="H389" s="234" t="s">
        <v>5104</v>
      </c>
      <c r="I389" s="248" t="s">
        <v>7</v>
      </c>
      <c r="J389" s="249" t="s">
        <v>554</v>
      </c>
      <c r="K389" s="250">
        <v>168502</v>
      </c>
      <c r="L389" s="250">
        <v>0</v>
      </c>
      <c r="M389" s="251" t="s">
        <v>16</v>
      </c>
      <c r="N389" s="252">
        <v>0</v>
      </c>
      <c r="O389" s="185" t="s">
        <v>51</v>
      </c>
    </row>
    <row r="390" spans="1:15" x14ac:dyDescent="0.25">
      <c r="A390" s="234" t="s">
        <v>5165</v>
      </c>
      <c r="B390" s="234" t="s">
        <v>16</v>
      </c>
      <c r="C390" s="245">
        <v>46146</v>
      </c>
      <c r="D390" s="234" t="s">
        <v>7577</v>
      </c>
      <c r="E390" s="246">
        <v>172031</v>
      </c>
      <c r="F390" s="247" t="s">
        <v>5164</v>
      </c>
      <c r="G390" s="34" t="s">
        <v>7</v>
      </c>
      <c r="H390" s="234" t="s">
        <v>5166</v>
      </c>
      <c r="I390" s="248" t="s">
        <v>7</v>
      </c>
      <c r="J390" s="249" t="s">
        <v>554</v>
      </c>
      <c r="K390" s="250">
        <v>172031</v>
      </c>
      <c r="L390" s="250">
        <v>0</v>
      </c>
      <c r="M390" s="251" t="s">
        <v>16</v>
      </c>
      <c r="N390" s="252">
        <v>0</v>
      </c>
      <c r="O390" s="185" t="s">
        <v>51</v>
      </c>
    </row>
    <row r="391" spans="1:15" x14ac:dyDescent="0.25">
      <c r="A391" s="234" t="s">
        <v>5196</v>
      </c>
      <c r="B391" s="234" t="s">
        <v>16</v>
      </c>
      <c r="C391" s="245">
        <v>46146</v>
      </c>
      <c r="D391" s="234" t="s">
        <v>7287</v>
      </c>
      <c r="E391" s="246">
        <v>212318</v>
      </c>
      <c r="F391" s="247" t="s">
        <v>5195</v>
      </c>
      <c r="G391" s="34" t="s">
        <v>7</v>
      </c>
      <c r="H391" s="234" t="s">
        <v>5197</v>
      </c>
      <c r="I391" s="248" t="s">
        <v>7</v>
      </c>
      <c r="J391" s="249" t="s">
        <v>554</v>
      </c>
      <c r="K391" s="250">
        <v>212318</v>
      </c>
      <c r="L391" s="250">
        <v>0</v>
      </c>
      <c r="M391" s="251" t="s">
        <v>16</v>
      </c>
      <c r="N391" s="252">
        <v>0</v>
      </c>
      <c r="O391" s="185" t="s">
        <v>51</v>
      </c>
    </row>
    <row r="392" spans="1:15" x14ac:dyDescent="0.25">
      <c r="A392" s="234" t="s">
        <v>5129</v>
      </c>
      <c r="B392" s="234" t="s">
        <v>16</v>
      </c>
      <c r="C392" s="245">
        <v>46146</v>
      </c>
      <c r="D392" s="234" t="s">
        <v>7359</v>
      </c>
      <c r="E392" s="246">
        <v>65365</v>
      </c>
      <c r="F392" s="247" t="s">
        <v>5131</v>
      </c>
      <c r="G392" s="34" t="s">
        <v>7</v>
      </c>
      <c r="H392" s="234" t="s">
        <v>5130</v>
      </c>
      <c r="I392" s="248" t="s">
        <v>7</v>
      </c>
      <c r="J392" s="249" t="s">
        <v>554</v>
      </c>
      <c r="K392" s="250">
        <v>65365</v>
      </c>
      <c r="L392" s="250">
        <v>0</v>
      </c>
      <c r="M392" s="251" t="s">
        <v>16</v>
      </c>
      <c r="N392" s="252">
        <v>0</v>
      </c>
      <c r="O392" s="185" t="s">
        <v>51</v>
      </c>
    </row>
    <row r="393" spans="1:15" x14ac:dyDescent="0.25">
      <c r="A393" s="234" t="s">
        <v>4965</v>
      </c>
      <c r="B393" s="234" t="s">
        <v>16</v>
      </c>
      <c r="C393" s="245">
        <v>46146</v>
      </c>
      <c r="D393" s="234" t="s">
        <v>7287</v>
      </c>
      <c r="E393" s="246">
        <v>127500</v>
      </c>
      <c r="F393" s="247" t="s">
        <v>4964</v>
      </c>
      <c r="G393" s="34" t="s">
        <v>7</v>
      </c>
      <c r="H393" s="234" t="s">
        <v>4966</v>
      </c>
      <c r="I393" s="248" t="s">
        <v>7</v>
      </c>
      <c r="J393" s="249" t="s">
        <v>554</v>
      </c>
      <c r="K393" s="250">
        <v>127450</v>
      </c>
      <c r="L393" s="250">
        <v>0</v>
      </c>
      <c r="M393" s="251" t="s">
        <v>16</v>
      </c>
      <c r="N393" s="252">
        <v>0</v>
      </c>
      <c r="O393" s="185" t="s">
        <v>51</v>
      </c>
    </row>
    <row r="394" spans="1:15" x14ac:dyDescent="0.25">
      <c r="A394" s="234" t="s">
        <v>7581</v>
      </c>
      <c r="B394" s="234" t="s">
        <v>16</v>
      </c>
      <c r="C394" s="245">
        <v>46146</v>
      </c>
      <c r="D394" s="234" t="s">
        <v>7582</v>
      </c>
      <c r="E394" s="246">
        <v>2700000</v>
      </c>
      <c r="F394" s="247" t="s">
        <v>7363</v>
      </c>
      <c r="G394" s="34" t="s">
        <v>7</v>
      </c>
      <c r="H394" s="234" t="s">
        <v>7583</v>
      </c>
      <c r="I394" s="248" t="s">
        <v>7</v>
      </c>
      <c r="J394" s="249" t="s">
        <v>492</v>
      </c>
      <c r="K394" s="250">
        <v>0</v>
      </c>
      <c r="L394" s="250">
        <v>0</v>
      </c>
      <c r="M394" s="251" t="s">
        <v>16</v>
      </c>
      <c r="N394" s="252">
        <v>0</v>
      </c>
      <c r="O394" s="185" t="s">
        <v>51</v>
      </c>
    </row>
    <row r="395" spans="1:15" x14ac:dyDescent="0.25">
      <c r="A395" s="234" t="s">
        <v>5005</v>
      </c>
      <c r="B395" s="234" t="s">
        <v>16</v>
      </c>
      <c r="C395" s="245">
        <v>46146</v>
      </c>
      <c r="D395" s="234" t="s">
        <v>7359</v>
      </c>
      <c r="E395" s="246">
        <v>20000</v>
      </c>
      <c r="F395" s="247" t="s">
        <v>5008</v>
      </c>
      <c r="G395" s="34" t="s">
        <v>7</v>
      </c>
      <c r="H395" s="234" t="s">
        <v>5006</v>
      </c>
      <c r="I395" s="248" t="s">
        <v>7</v>
      </c>
      <c r="J395" s="249" t="s">
        <v>554</v>
      </c>
      <c r="K395" s="250">
        <v>10000</v>
      </c>
      <c r="L395" s="250">
        <v>0</v>
      </c>
      <c r="M395" s="251" t="s">
        <v>16</v>
      </c>
      <c r="N395" s="252">
        <v>0</v>
      </c>
      <c r="O395" s="185" t="s">
        <v>51</v>
      </c>
    </row>
    <row r="396" spans="1:15" x14ac:dyDescent="0.25">
      <c r="A396" s="234" t="s">
        <v>1362</v>
      </c>
      <c r="B396" s="234" t="s">
        <v>27</v>
      </c>
      <c r="C396" s="245">
        <v>46146</v>
      </c>
      <c r="D396" s="234">
        <v>0</v>
      </c>
      <c r="E396" s="246">
        <v>2500000</v>
      </c>
      <c r="F396" s="247" t="s">
        <v>1364</v>
      </c>
      <c r="G396" s="34" t="s">
        <v>7</v>
      </c>
      <c r="H396" s="234" t="s">
        <v>1363</v>
      </c>
      <c r="I396" s="248" t="s">
        <v>7</v>
      </c>
      <c r="J396" s="249" t="s">
        <v>554</v>
      </c>
      <c r="K396" s="250">
        <v>4000000</v>
      </c>
      <c r="L396" s="250">
        <v>0</v>
      </c>
      <c r="M396" s="251" t="s">
        <v>27</v>
      </c>
      <c r="N396" s="252">
        <v>0</v>
      </c>
      <c r="O396" s="185" t="s">
        <v>51</v>
      </c>
    </row>
    <row r="397" spans="1:15" x14ac:dyDescent="0.25">
      <c r="A397" s="234" t="s">
        <v>696</v>
      </c>
      <c r="B397" s="234" t="s">
        <v>33</v>
      </c>
      <c r="C397" s="245">
        <v>46146</v>
      </c>
      <c r="D397" s="234">
        <v>0</v>
      </c>
      <c r="E397" s="246">
        <v>194705</v>
      </c>
      <c r="F397" s="247" t="s">
        <v>695</v>
      </c>
      <c r="G397" s="34" t="s">
        <v>7</v>
      </c>
      <c r="H397" s="234" t="s">
        <v>697</v>
      </c>
      <c r="I397" s="248" t="s">
        <v>7</v>
      </c>
      <c r="J397" s="249" t="s">
        <v>582</v>
      </c>
      <c r="K397" s="250">
        <v>194705</v>
      </c>
      <c r="L397" s="250">
        <v>0</v>
      </c>
      <c r="M397" s="251" t="s">
        <v>33</v>
      </c>
      <c r="N397" s="252">
        <v>0</v>
      </c>
      <c r="O397" s="185" t="s">
        <v>51</v>
      </c>
    </row>
    <row r="398" spans="1:15" x14ac:dyDescent="0.25">
      <c r="A398" s="234" t="s">
        <v>660</v>
      </c>
      <c r="B398" s="234" t="s">
        <v>33</v>
      </c>
      <c r="C398" s="245">
        <v>46146</v>
      </c>
      <c r="D398" s="234">
        <v>0</v>
      </c>
      <c r="E398" s="246">
        <v>174212</v>
      </c>
      <c r="F398" s="247" t="s">
        <v>659</v>
      </c>
      <c r="G398" s="34" t="s">
        <v>7</v>
      </c>
      <c r="H398" s="234" t="s">
        <v>661</v>
      </c>
      <c r="I398" s="248" t="s">
        <v>7</v>
      </c>
      <c r="J398" s="249" t="s">
        <v>61</v>
      </c>
      <c r="K398" s="250">
        <v>174212</v>
      </c>
      <c r="L398" s="250">
        <v>0</v>
      </c>
      <c r="M398" s="251" t="s">
        <v>33</v>
      </c>
      <c r="N398" s="252">
        <v>0</v>
      </c>
      <c r="O398" s="185" t="s">
        <v>51</v>
      </c>
    </row>
    <row r="399" spans="1:15" x14ac:dyDescent="0.25">
      <c r="A399" s="234" t="s">
        <v>2179</v>
      </c>
      <c r="B399" s="234" t="s">
        <v>33</v>
      </c>
      <c r="C399" s="245">
        <v>46146</v>
      </c>
      <c r="D399" s="234">
        <v>0</v>
      </c>
      <c r="E399" s="246">
        <v>930746</v>
      </c>
      <c r="F399" s="247">
        <v>0</v>
      </c>
      <c r="G399" s="34" t="s">
        <v>7</v>
      </c>
      <c r="H399" s="234" t="s">
        <v>2180</v>
      </c>
      <c r="I399" s="248" t="s">
        <v>7</v>
      </c>
      <c r="J399" s="249" t="s">
        <v>492</v>
      </c>
      <c r="K399" s="250">
        <v>0</v>
      </c>
      <c r="L399" s="250">
        <v>0</v>
      </c>
      <c r="M399" s="251" t="s">
        <v>33</v>
      </c>
      <c r="N399" s="252">
        <v>0</v>
      </c>
      <c r="O399" s="185" t="s">
        <v>51</v>
      </c>
    </row>
    <row r="400" spans="1:15" x14ac:dyDescent="0.25">
      <c r="A400" s="234" t="s">
        <v>7584</v>
      </c>
      <c r="B400" s="234" t="s">
        <v>17</v>
      </c>
      <c r="C400" s="245">
        <v>46146</v>
      </c>
      <c r="D400" s="234">
        <v>0</v>
      </c>
      <c r="E400" s="246">
        <v>97850</v>
      </c>
      <c r="F400" s="247">
        <v>0</v>
      </c>
      <c r="G400" s="34" t="s">
        <v>7</v>
      </c>
      <c r="H400" s="234" t="s">
        <v>7585</v>
      </c>
      <c r="I400" s="248" t="s">
        <v>7</v>
      </c>
      <c r="J400" s="249" t="s">
        <v>492</v>
      </c>
      <c r="K400" s="250">
        <v>0</v>
      </c>
      <c r="L400" s="250">
        <v>0</v>
      </c>
      <c r="M400" s="251" t="s">
        <v>17</v>
      </c>
      <c r="N400" s="252">
        <v>0</v>
      </c>
      <c r="O400" s="185" t="s">
        <v>51</v>
      </c>
    </row>
    <row r="401" spans="1:15" x14ac:dyDescent="0.25">
      <c r="A401" s="234" t="s">
        <v>7586</v>
      </c>
      <c r="B401" s="234" t="s">
        <v>17</v>
      </c>
      <c r="C401" s="245">
        <v>46146</v>
      </c>
      <c r="D401" s="234">
        <v>0</v>
      </c>
      <c r="E401" s="246">
        <v>103002</v>
      </c>
      <c r="F401" s="247">
        <v>0</v>
      </c>
      <c r="G401" s="34" t="s">
        <v>7</v>
      </c>
      <c r="H401" s="234" t="s">
        <v>7587</v>
      </c>
      <c r="I401" s="248" t="s">
        <v>7</v>
      </c>
      <c r="J401" s="249" t="s">
        <v>492</v>
      </c>
      <c r="K401" s="250">
        <v>0</v>
      </c>
      <c r="L401" s="250">
        <v>0</v>
      </c>
      <c r="M401" s="251" t="s">
        <v>17</v>
      </c>
      <c r="N401" s="252">
        <v>0</v>
      </c>
      <c r="O401" s="185" t="s">
        <v>51</v>
      </c>
    </row>
    <row r="402" spans="1:15" x14ac:dyDescent="0.25">
      <c r="A402" s="234" t="s">
        <v>4298</v>
      </c>
      <c r="B402" s="234" t="s">
        <v>17</v>
      </c>
      <c r="C402" s="245">
        <v>46146</v>
      </c>
      <c r="D402" s="234">
        <v>0</v>
      </c>
      <c r="E402" s="246">
        <v>39800</v>
      </c>
      <c r="F402" s="247">
        <v>0</v>
      </c>
      <c r="G402" s="34" t="s">
        <v>7</v>
      </c>
      <c r="H402" s="234" t="s">
        <v>4299</v>
      </c>
      <c r="I402" s="248" t="s">
        <v>7</v>
      </c>
      <c r="J402" s="249" t="s">
        <v>492</v>
      </c>
      <c r="K402" s="250">
        <v>0</v>
      </c>
      <c r="L402" s="250">
        <v>0</v>
      </c>
      <c r="M402" s="251" t="s">
        <v>17</v>
      </c>
      <c r="N402" s="252">
        <v>0</v>
      </c>
      <c r="O402" s="185" t="s">
        <v>51</v>
      </c>
    </row>
    <row r="403" spans="1:15" x14ac:dyDescent="0.25">
      <c r="A403" s="234" t="s">
        <v>2839</v>
      </c>
      <c r="B403" s="234" t="s">
        <v>17</v>
      </c>
      <c r="C403" s="245">
        <v>46146</v>
      </c>
      <c r="D403" s="234">
        <v>0</v>
      </c>
      <c r="E403" s="246">
        <v>91433</v>
      </c>
      <c r="F403" s="247">
        <v>0</v>
      </c>
      <c r="G403" s="34" t="s">
        <v>7</v>
      </c>
      <c r="H403" s="234" t="s">
        <v>2840</v>
      </c>
      <c r="I403" s="248" t="s">
        <v>7</v>
      </c>
      <c r="J403" s="249" t="s">
        <v>492</v>
      </c>
      <c r="K403" s="250">
        <v>0</v>
      </c>
      <c r="L403" s="250">
        <v>0</v>
      </c>
      <c r="M403" s="251" t="s">
        <v>17</v>
      </c>
      <c r="N403" s="252">
        <v>0</v>
      </c>
      <c r="O403" s="185" t="s">
        <v>51</v>
      </c>
    </row>
    <row r="404" spans="1:15" x14ac:dyDescent="0.25">
      <c r="A404" s="234" t="s">
        <v>4246</v>
      </c>
      <c r="B404" s="234" t="s">
        <v>17</v>
      </c>
      <c r="C404" s="245">
        <v>46146</v>
      </c>
      <c r="D404" s="234">
        <v>0</v>
      </c>
      <c r="E404" s="246">
        <v>140383</v>
      </c>
      <c r="F404" s="247">
        <v>0</v>
      </c>
      <c r="G404" s="34" t="s">
        <v>7</v>
      </c>
      <c r="H404" s="234" t="s">
        <v>4248</v>
      </c>
      <c r="I404" s="248" t="s">
        <v>7</v>
      </c>
      <c r="J404" s="249" t="s">
        <v>492</v>
      </c>
      <c r="K404" s="250">
        <v>0</v>
      </c>
      <c r="L404" s="250">
        <v>0</v>
      </c>
      <c r="M404" s="251" t="s">
        <v>17</v>
      </c>
      <c r="N404" s="252">
        <v>0</v>
      </c>
      <c r="O404" s="185" t="s">
        <v>51</v>
      </c>
    </row>
    <row r="405" spans="1:15" x14ac:dyDescent="0.25">
      <c r="A405" s="234" t="s">
        <v>4294</v>
      </c>
      <c r="B405" s="234" t="s">
        <v>17</v>
      </c>
      <c r="C405" s="245">
        <v>46146</v>
      </c>
      <c r="D405" s="234">
        <v>0</v>
      </c>
      <c r="E405" s="246">
        <v>111073</v>
      </c>
      <c r="F405" s="247">
        <v>0</v>
      </c>
      <c r="G405" s="34" t="s">
        <v>7</v>
      </c>
      <c r="H405" s="234" t="s">
        <v>4296</v>
      </c>
      <c r="I405" s="248" t="s">
        <v>7</v>
      </c>
      <c r="J405" s="249" t="s">
        <v>492</v>
      </c>
      <c r="K405" s="250">
        <v>0</v>
      </c>
      <c r="L405" s="250">
        <v>0</v>
      </c>
      <c r="M405" s="251" t="s">
        <v>17</v>
      </c>
      <c r="N405" s="252">
        <v>0</v>
      </c>
      <c r="O405" s="185" t="s">
        <v>51</v>
      </c>
    </row>
    <row r="406" spans="1:15" x14ac:dyDescent="0.25">
      <c r="A406" s="234" t="s">
        <v>2842</v>
      </c>
      <c r="B406" s="234" t="s">
        <v>17</v>
      </c>
      <c r="C406" s="245">
        <v>46146</v>
      </c>
      <c r="D406" s="234">
        <v>0</v>
      </c>
      <c r="E406" s="246">
        <v>194504</v>
      </c>
      <c r="F406" s="247">
        <v>0</v>
      </c>
      <c r="G406" s="34" t="s">
        <v>7</v>
      </c>
      <c r="H406" s="234" t="s">
        <v>2843</v>
      </c>
      <c r="I406" s="248" t="s">
        <v>7</v>
      </c>
      <c r="J406" s="249" t="s">
        <v>492</v>
      </c>
      <c r="K406" s="250">
        <v>0</v>
      </c>
      <c r="L406" s="250">
        <v>0</v>
      </c>
      <c r="M406" s="251" t="s">
        <v>17</v>
      </c>
      <c r="N406" s="252">
        <v>0</v>
      </c>
      <c r="O406" s="185" t="s">
        <v>51</v>
      </c>
    </row>
    <row r="407" spans="1:15" x14ac:dyDescent="0.25">
      <c r="A407" s="234" t="s">
        <v>4242</v>
      </c>
      <c r="B407" s="234" t="s">
        <v>17</v>
      </c>
      <c r="C407" s="245">
        <v>46146</v>
      </c>
      <c r="D407" s="234">
        <v>0</v>
      </c>
      <c r="E407" s="246">
        <v>134949</v>
      </c>
      <c r="F407" s="247">
        <v>0</v>
      </c>
      <c r="G407" s="34" t="s">
        <v>7</v>
      </c>
      <c r="H407" s="234" t="s">
        <v>4243</v>
      </c>
      <c r="I407" s="248" t="s">
        <v>7</v>
      </c>
      <c r="J407" s="249" t="s">
        <v>492</v>
      </c>
      <c r="K407" s="250">
        <v>0</v>
      </c>
      <c r="L407" s="250">
        <v>0</v>
      </c>
      <c r="M407" s="251" t="s">
        <v>17</v>
      </c>
      <c r="N407" s="252">
        <v>0</v>
      </c>
      <c r="O407" s="185" t="s">
        <v>51</v>
      </c>
    </row>
    <row r="408" spans="1:15" x14ac:dyDescent="0.25">
      <c r="A408" s="234" t="s">
        <v>7588</v>
      </c>
      <c r="B408" s="234" t="s">
        <v>17</v>
      </c>
      <c r="C408" s="245">
        <v>46146</v>
      </c>
      <c r="D408" s="234">
        <v>0</v>
      </c>
      <c r="E408" s="246">
        <v>43980</v>
      </c>
      <c r="F408" s="247">
        <v>0</v>
      </c>
      <c r="G408" s="34" t="s">
        <v>7</v>
      </c>
      <c r="H408" s="234" t="s">
        <v>7589</v>
      </c>
      <c r="I408" s="248" t="s">
        <v>7</v>
      </c>
      <c r="J408" s="249" t="s">
        <v>492</v>
      </c>
      <c r="K408" s="250">
        <v>0</v>
      </c>
      <c r="L408" s="250">
        <v>0</v>
      </c>
      <c r="M408" s="251" t="s">
        <v>17</v>
      </c>
      <c r="N408" s="252">
        <v>0</v>
      </c>
      <c r="O408" s="185" t="s">
        <v>51</v>
      </c>
    </row>
    <row r="409" spans="1:15" x14ac:dyDescent="0.25">
      <c r="A409" s="234" t="s">
        <v>2827</v>
      </c>
      <c r="B409" s="234" t="s">
        <v>17</v>
      </c>
      <c r="C409" s="245">
        <v>46146</v>
      </c>
      <c r="D409" s="234">
        <v>0</v>
      </c>
      <c r="E409" s="246">
        <v>99287</v>
      </c>
      <c r="F409" s="247">
        <v>0</v>
      </c>
      <c r="G409" s="34" t="s">
        <v>7</v>
      </c>
      <c r="H409" s="234" t="s">
        <v>2828</v>
      </c>
      <c r="I409" s="248" t="s">
        <v>7</v>
      </c>
      <c r="J409" s="249" t="s">
        <v>492</v>
      </c>
      <c r="K409" s="250">
        <v>0</v>
      </c>
      <c r="L409" s="250">
        <v>0</v>
      </c>
      <c r="M409" s="251" t="s">
        <v>17</v>
      </c>
      <c r="N409" s="252">
        <v>0</v>
      </c>
      <c r="O409" s="185" t="s">
        <v>51</v>
      </c>
    </row>
    <row r="410" spans="1:15" x14ac:dyDescent="0.25">
      <c r="A410" s="234" t="s">
        <v>7590</v>
      </c>
      <c r="B410" s="234" t="s">
        <v>17</v>
      </c>
      <c r="C410" s="245">
        <v>46146</v>
      </c>
      <c r="D410" s="234">
        <v>0</v>
      </c>
      <c r="E410" s="246">
        <v>164813</v>
      </c>
      <c r="F410" s="247">
        <v>0</v>
      </c>
      <c r="G410" s="34" t="s">
        <v>7</v>
      </c>
      <c r="H410" s="234" t="s">
        <v>7591</v>
      </c>
      <c r="I410" s="248" t="s">
        <v>7</v>
      </c>
      <c r="J410" s="249" t="s">
        <v>492</v>
      </c>
      <c r="K410" s="250">
        <v>0</v>
      </c>
      <c r="L410" s="250">
        <v>0</v>
      </c>
      <c r="M410" s="251" t="s">
        <v>17</v>
      </c>
      <c r="N410" s="252">
        <v>0</v>
      </c>
      <c r="O410" s="185" t="s">
        <v>51</v>
      </c>
    </row>
    <row r="411" spans="1:15" x14ac:dyDescent="0.25">
      <c r="A411" s="234" t="s">
        <v>3002</v>
      </c>
      <c r="B411" s="234" t="s">
        <v>26</v>
      </c>
      <c r="C411" s="245">
        <v>46146</v>
      </c>
      <c r="D411" s="234">
        <v>0</v>
      </c>
      <c r="E411" s="246">
        <v>124457</v>
      </c>
      <c r="F411" s="247" t="s">
        <v>3001</v>
      </c>
      <c r="G411" s="34" t="s">
        <v>7</v>
      </c>
      <c r="H411" s="234" t="s">
        <v>3003</v>
      </c>
      <c r="I411" s="248" t="s">
        <v>7</v>
      </c>
      <c r="J411" s="249" t="s">
        <v>554</v>
      </c>
      <c r="K411" s="250">
        <v>124457</v>
      </c>
      <c r="L411" s="250">
        <v>0</v>
      </c>
      <c r="M411" s="251" t="s">
        <v>26</v>
      </c>
      <c r="N411" s="252">
        <v>0</v>
      </c>
      <c r="O411" s="185" t="s">
        <v>51</v>
      </c>
    </row>
    <row r="412" spans="1:15" x14ac:dyDescent="0.25">
      <c r="A412" s="234" t="s">
        <v>5213</v>
      </c>
      <c r="B412" s="234" t="s">
        <v>9</v>
      </c>
      <c r="C412" s="245">
        <v>46146</v>
      </c>
      <c r="D412" s="234" t="s">
        <v>7385</v>
      </c>
      <c r="E412" s="246">
        <v>32000</v>
      </c>
      <c r="F412" s="247" t="s">
        <v>5212</v>
      </c>
      <c r="G412" s="34" t="s">
        <v>7</v>
      </c>
      <c r="H412" s="234" t="s">
        <v>5214</v>
      </c>
      <c r="I412" s="248" t="s">
        <v>7</v>
      </c>
      <c r="J412" s="249" t="s">
        <v>554</v>
      </c>
      <c r="K412" s="250">
        <v>32000</v>
      </c>
      <c r="L412" s="250">
        <v>0</v>
      </c>
      <c r="M412" s="251" t="s">
        <v>9</v>
      </c>
      <c r="N412" s="252">
        <v>0</v>
      </c>
      <c r="O412" s="185" t="s">
        <v>74</v>
      </c>
    </row>
    <row r="413" spans="1:15" x14ac:dyDescent="0.25">
      <c r="A413" s="234" t="s">
        <v>3958</v>
      </c>
      <c r="B413" s="234" t="s">
        <v>9</v>
      </c>
      <c r="C413" s="245">
        <v>46146</v>
      </c>
      <c r="D413" s="234" t="s">
        <v>7287</v>
      </c>
      <c r="E413" s="246">
        <v>168784.6</v>
      </c>
      <c r="F413" s="247" t="s">
        <v>3957</v>
      </c>
      <c r="G413" s="34" t="s">
        <v>7</v>
      </c>
      <c r="H413" s="234" t="s">
        <v>3959</v>
      </c>
      <c r="I413" s="248" t="s">
        <v>7</v>
      </c>
      <c r="J413" s="249" t="s">
        <v>554</v>
      </c>
      <c r="K413" s="250">
        <v>168785</v>
      </c>
      <c r="L413" s="250">
        <v>0</v>
      </c>
      <c r="M413" s="251" t="s">
        <v>9</v>
      </c>
      <c r="N413" s="252">
        <v>0</v>
      </c>
      <c r="O413" s="185" t="s">
        <v>74</v>
      </c>
    </row>
    <row r="414" spans="1:15" x14ac:dyDescent="0.25">
      <c r="A414" s="234" t="s">
        <v>7592</v>
      </c>
      <c r="B414" s="234" t="s">
        <v>9</v>
      </c>
      <c r="C414" s="245">
        <v>46146</v>
      </c>
      <c r="D414" s="234" t="s">
        <v>7287</v>
      </c>
      <c r="E414" s="246">
        <v>96000</v>
      </c>
      <c r="F414" s="247">
        <v>0</v>
      </c>
      <c r="G414" s="34" t="s">
        <v>7</v>
      </c>
      <c r="H414" s="234" t="s">
        <v>7593</v>
      </c>
      <c r="I414" s="248" t="s">
        <v>7</v>
      </c>
      <c r="J414" s="249" t="s">
        <v>492</v>
      </c>
      <c r="K414" s="250">
        <v>0</v>
      </c>
      <c r="L414" s="250">
        <v>0</v>
      </c>
      <c r="M414" s="251" t="s">
        <v>9</v>
      </c>
      <c r="N414" s="252">
        <v>0</v>
      </c>
      <c r="O414" s="185" t="s">
        <v>74</v>
      </c>
    </row>
    <row r="415" spans="1:15" x14ac:dyDescent="0.25">
      <c r="A415" s="234" t="s">
        <v>7592</v>
      </c>
      <c r="B415" s="234" t="s">
        <v>9</v>
      </c>
      <c r="C415" s="245">
        <v>46146</v>
      </c>
      <c r="D415" s="234" t="s">
        <v>7287</v>
      </c>
      <c r="E415" s="246">
        <v>20000</v>
      </c>
      <c r="F415" s="247">
        <v>0</v>
      </c>
      <c r="G415" s="34" t="s">
        <v>7</v>
      </c>
      <c r="H415" s="234" t="s">
        <v>7593</v>
      </c>
      <c r="I415" s="248" t="s">
        <v>7</v>
      </c>
      <c r="J415" s="249" t="s">
        <v>492</v>
      </c>
      <c r="K415" s="250">
        <v>0</v>
      </c>
      <c r="L415" s="250">
        <v>0</v>
      </c>
      <c r="M415" s="251" t="s">
        <v>9</v>
      </c>
      <c r="N415" s="252">
        <v>0</v>
      </c>
      <c r="O415" s="185" t="s">
        <v>74</v>
      </c>
    </row>
    <row r="416" spans="1:15" x14ac:dyDescent="0.25">
      <c r="A416" s="234" t="s">
        <v>3973</v>
      </c>
      <c r="B416" s="234" t="s">
        <v>9</v>
      </c>
      <c r="C416" s="245">
        <v>46146</v>
      </c>
      <c r="D416" s="234" t="s">
        <v>7385</v>
      </c>
      <c r="E416" s="246">
        <v>200000</v>
      </c>
      <c r="F416" s="247" t="s">
        <v>3972</v>
      </c>
      <c r="G416" s="34" t="s">
        <v>7</v>
      </c>
      <c r="H416" s="234" t="s">
        <v>3974</v>
      </c>
      <c r="I416" s="248" t="s">
        <v>7</v>
      </c>
      <c r="J416" s="249" t="s">
        <v>554</v>
      </c>
      <c r="K416" s="250">
        <v>217829.5</v>
      </c>
      <c r="L416" s="250">
        <v>0</v>
      </c>
      <c r="M416" s="251" t="s">
        <v>9</v>
      </c>
      <c r="N416" s="252">
        <v>0</v>
      </c>
      <c r="O416" s="185" t="s">
        <v>74</v>
      </c>
    </row>
    <row r="417" spans="1:15" x14ac:dyDescent="0.25">
      <c r="A417" s="234" t="s">
        <v>3955</v>
      </c>
      <c r="B417" s="234" t="s">
        <v>9</v>
      </c>
      <c r="C417" s="245">
        <v>46146</v>
      </c>
      <c r="D417" s="234" t="s">
        <v>7385</v>
      </c>
      <c r="E417" s="246">
        <v>38000</v>
      </c>
      <c r="F417" s="247" t="s">
        <v>3954</v>
      </c>
      <c r="G417" s="34" t="s">
        <v>7</v>
      </c>
      <c r="H417" s="234" t="s">
        <v>3956</v>
      </c>
      <c r="I417" s="248" t="s">
        <v>7</v>
      </c>
      <c r="J417" s="249" t="s">
        <v>554</v>
      </c>
      <c r="K417" s="250">
        <v>38000</v>
      </c>
      <c r="L417" s="250">
        <v>0</v>
      </c>
      <c r="M417" s="251" t="s">
        <v>9</v>
      </c>
      <c r="N417" s="252">
        <v>0</v>
      </c>
      <c r="O417" s="185" t="s">
        <v>74</v>
      </c>
    </row>
    <row r="418" spans="1:15" x14ac:dyDescent="0.25">
      <c r="A418" s="234" t="s">
        <v>3898</v>
      </c>
      <c r="B418" s="234" t="s">
        <v>9</v>
      </c>
      <c r="C418" s="245">
        <v>46146</v>
      </c>
      <c r="D418" s="234" t="s">
        <v>7289</v>
      </c>
      <c r="E418" s="246">
        <v>154100</v>
      </c>
      <c r="F418" s="247" t="s">
        <v>3897</v>
      </c>
      <c r="G418" s="34" t="s">
        <v>7</v>
      </c>
      <c r="H418" s="234" t="s">
        <v>3899</v>
      </c>
      <c r="I418" s="248" t="s">
        <v>7</v>
      </c>
      <c r="J418" s="249" t="s">
        <v>554</v>
      </c>
      <c r="K418" s="250">
        <v>154100</v>
      </c>
      <c r="L418" s="250">
        <v>0</v>
      </c>
      <c r="M418" s="251" t="s">
        <v>9</v>
      </c>
      <c r="N418" s="252">
        <v>0</v>
      </c>
      <c r="O418" s="185" t="s">
        <v>74</v>
      </c>
    </row>
    <row r="419" spans="1:15" x14ac:dyDescent="0.25">
      <c r="A419" s="234" t="s">
        <v>5227</v>
      </c>
      <c r="B419" s="234" t="s">
        <v>9</v>
      </c>
      <c r="C419" s="245">
        <v>46146</v>
      </c>
      <c r="D419" s="234" t="s">
        <v>7287</v>
      </c>
      <c r="E419" s="246">
        <v>183561.05</v>
      </c>
      <c r="F419" s="247" t="s">
        <v>5226</v>
      </c>
      <c r="G419" s="34" t="s">
        <v>7</v>
      </c>
      <c r="H419" s="234" t="s">
        <v>5228</v>
      </c>
      <c r="I419" s="248" t="s">
        <v>7</v>
      </c>
      <c r="J419" s="249" t="s">
        <v>582</v>
      </c>
      <c r="K419" s="250">
        <v>185000</v>
      </c>
      <c r="L419" s="250">
        <v>0</v>
      </c>
      <c r="M419" s="251" t="s">
        <v>9</v>
      </c>
      <c r="N419" s="252">
        <v>0</v>
      </c>
      <c r="O419" s="185" t="s">
        <v>74</v>
      </c>
    </row>
    <row r="420" spans="1:15" x14ac:dyDescent="0.25">
      <c r="A420" s="234" t="s">
        <v>3996</v>
      </c>
      <c r="B420" s="234" t="s">
        <v>9</v>
      </c>
      <c r="C420" s="245">
        <v>46146</v>
      </c>
      <c r="D420" s="234" t="s">
        <v>7289</v>
      </c>
      <c r="E420" s="246">
        <v>121357.25</v>
      </c>
      <c r="F420" s="247" t="s">
        <v>3999</v>
      </c>
      <c r="G420" s="34" t="s">
        <v>7</v>
      </c>
      <c r="H420" s="234" t="s">
        <v>3997</v>
      </c>
      <c r="I420" s="248" t="s">
        <v>7</v>
      </c>
      <c r="J420" s="249" t="s">
        <v>62</v>
      </c>
      <c r="K420" s="250">
        <v>121393</v>
      </c>
      <c r="L420" s="250">
        <v>0</v>
      </c>
      <c r="M420" s="251" t="s">
        <v>9</v>
      </c>
      <c r="N420" s="252">
        <v>0</v>
      </c>
      <c r="O420" s="185" t="s">
        <v>74</v>
      </c>
    </row>
    <row r="421" spans="1:15" x14ac:dyDescent="0.25">
      <c r="A421" s="234" t="s">
        <v>5217</v>
      </c>
      <c r="B421" s="234" t="s">
        <v>9</v>
      </c>
      <c r="C421" s="245">
        <v>46146</v>
      </c>
      <c r="D421" s="234" t="s">
        <v>7289</v>
      </c>
      <c r="E421" s="246">
        <v>183982</v>
      </c>
      <c r="F421" s="247" t="s">
        <v>5216</v>
      </c>
      <c r="G421" s="34" t="s">
        <v>7</v>
      </c>
      <c r="H421" s="234" t="s">
        <v>5218</v>
      </c>
      <c r="I421" s="248" t="s">
        <v>7</v>
      </c>
      <c r="J421" s="249" t="s">
        <v>554</v>
      </c>
      <c r="K421" s="250">
        <v>183982</v>
      </c>
      <c r="L421" s="250">
        <v>0</v>
      </c>
      <c r="M421" s="251" t="s">
        <v>9</v>
      </c>
      <c r="N421" s="252">
        <v>0</v>
      </c>
      <c r="O421" s="185" t="s">
        <v>74</v>
      </c>
    </row>
    <row r="422" spans="1:15" x14ac:dyDescent="0.25">
      <c r="A422" s="234" t="s">
        <v>3970</v>
      </c>
      <c r="B422" s="234" t="s">
        <v>9</v>
      </c>
      <c r="C422" s="245">
        <v>46146</v>
      </c>
      <c r="D422" s="234" t="s">
        <v>7289</v>
      </c>
      <c r="E422" s="246">
        <v>121271.15</v>
      </c>
      <c r="F422" s="247" t="s">
        <v>3969</v>
      </c>
      <c r="G422" s="34" t="s">
        <v>7</v>
      </c>
      <c r="H422" s="234" t="s">
        <v>3971</v>
      </c>
      <c r="I422" s="248" t="s">
        <v>7</v>
      </c>
      <c r="J422" s="249" t="s">
        <v>554</v>
      </c>
      <c r="K422" s="250">
        <v>121292</v>
      </c>
      <c r="L422" s="250">
        <v>0</v>
      </c>
      <c r="M422" s="251" t="s">
        <v>9</v>
      </c>
      <c r="N422" s="252">
        <v>0</v>
      </c>
      <c r="O422" s="185" t="s">
        <v>74</v>
      </c>
    </row>
    <row r="423" spans="1:15" x14ac:dyDescent="0.25">
      <c r="A423" s="234" t="s">
        <v>4001</v>
      </c>
      <c r="B423" s="234" t="s">
        <v>9</v>
      </c>
      <c r="C423" s="245">
        <v>46146</v>
      </c>
      <c r="D423" s="234" t="s">
        <v>7385</v>
      </c>
      <c r="E423" s="246">
        <v>57000</v>
      </c>
      <c r="F423" s="247" t="s">
        <v>4000</v>
      </c>
      <c r="G423" s="34" t="s">
        <v>7</v>
      </c>
      <c r="H423" s="234" t="s">
        <v>4002</v>
      </c>
      <c r="I423" s="248" t="s">
        <v>7</v>
      </c>
      <c r="J423" s="249" t="s">
        <v>554</v>
      </c>
      <c r="K423" s="250">
        <v>57000</v>
      </c>
      <c r="L423" s="250">
        <v>0</v>
      </c>
      <c r="M423" s="251" t="s">
        <v>9</v>
      </c>
      <c r="N423" s="252">
        <v>0</v>
      </c>
      <c r="O423" s="185" t="s">
        <v>74</v>
      </c>
    </row>
    <row r="424" spans="1:15" x14ac:dyDescent="0.25">
      <c r="A424" s="234" t="s">
        <v>5230</v>
      </c>
      <c r="B424" s="234" t="s">
        <v>9</v>
      </c>
      <c r="C424" s="245">
        <v>46146</v>
      </c>
      <c r="D424" s="234" t="s">
        <v>7287</v>
      </c>
      <c r="E424" s="246">
        <v>144989.32999999999</v>
      </c>
      <c r="F424" s="247" t="s">
        <v>5229</v>
      </c>
      <c r="G424" s="34" t="s">
        <v>7</v>
      </c>
      <c r="H424" s="234" t="s">
        <v>5231</v>
      </c>
      <c r="I424" s="248" t="s">
        <v>7</v>
      </c>
      <c r="J424" s="249" t="s">
        <v>554</v>
      </c>
      <c r="K424" s="250">
        <v>144989.32999999999</v>
      </c>
      <c r="L424" s="250">
        <v>0</v>
      </c>
      <c r="M424" s="251" t="s">
        <v>9</v>
      </c>
      <c r="N424" s="252">
        <v>0</v>
      </c>
      <c r="O424" s="185" t="s">
        <v>74</v>
      </c>
    </row>
    <row r="425" spans="1:15" x14ac:dyDescent="0.25">
      <c r="A425" s="234" t="s">
        <v>3986</v>
      </c>
      <c r="B425" s="234" t="s">
        <v>9</v>
      </c>
      <c r="C425" s="245">
        <v>46146</v>
      </c>
      <c r="D425" s="234" t="s">
        <v>7287</v>
      </c>
      <c r="E425" s="246">
        <v>122192.36</v>
      </c>
      <c r="F425" s="247">
        <v>0</v>
      </c>
      <c r="G425" s="34" t="s">
        <v>7</v>
      </c>
      <c r="H425" s="234" t="s">
        <v>3987</v>
      </c>
      <c r="I425" s="248" t="s">
        <v>7</v>
      </c>
      <c r="J425" s="249" t="s">
        <v>492</v>
      </c>
      <c r="K425" s="250">
        <v>0</v>
      </c>
      <c r="L425" s="250">
        <v>0</v>
      </c>
      <c r="M425" s="251" t="s">
        <v>9</v>
      </c>
      <c r="N425" s="252">
        <v>0</v>
      </c>
      <c r="O425" s="185" t="s">
        <v>74</v>
      </c>
    </row>
    <row r="426" spans="1:15" x14ac:dyDescent="0.25">
      <c r="A426" s="234" t="s">
        <v>3989</v>
      </c>
      <c r="B426" s="234" t="s">
        <v>9</v>
      </c>
      <c r="C426" s="245">
        <v>46146</v>
      </c>
      <c r="D426" s="234" t="s">
        <v>7287</v>
      </c>
      <c r="E426" s="246">
        <v>100000</v>
      </c>
      <c r="F426" s="247" t="s">
        <v>3988</v>
      </c>
      <c r="G426" s="34" t="s">
        <v>7</v>
      </c>
      <c r="H426" s="234" t="s">
        <v>3990</v>
      </c>
      <c r="I426" s="248" t="s">
        <v>7</v>
      </c>
      <c r="J426" s="249" t="s">
        <v>554</v>
      </c>
      <c r="K426" s="250">
        <v>100000</v>
      </c>
      <c r="L426" s="250">
        <v>0</v>
      </c>
      <c r="M426" s="251" t="s">
        <v>9</v>
      </c>
      <c r="N426" s="252">
        <v>0</v>
      </c>
      <c r="O426" s="185" t="s">
        <v>74</v>
      </c>
    </row>
    <row r="427" spans="1:15" x14ac:dyDescent="0.25">
      <c r="A427" s="234" t="s">
        <v>7594</v>
      </c>
      <c r="B427" s="234" t="s">
        <v>9</v>
      </c>
      <c r="C427" s="245">
        <v>46146</v>
      </c>
      <c r="D427" s="234" t="s">
        <v>7287</v>
      </c>
      <c r="E427" s="246">
        <v>99900</v>
      </c>
      <c r="F427" s="247">
        <v>0</v>
      </c>
      <c r="G427" s="34" t="s">
        <v>7</v>
      </c>
      <c r="H427" s="234" t="s">
        <v>7595</v>
      </c>
      <c r="I427" s="248" t="s">
        <v>7</v>
      </c>
      <c r="J427" s="249" t="s">
        <v>492</v>
      </c>
      <c r="K427" s="250">
        <v>0</v>
      </c>
      <c r="L427" s="250">
        <v>0</v>
      </c>
      <c r="M427" s="251" t="s">
        <v>9</v>
      </c>
      <c r="N427" s="252">
        <v>0</v>
      </c>
      <c r="O427" s="185" t="s">
        <v>74</v>
      </c>
    </row>
    <row r="428" spans="1:15" x14ac:dyDescent="0.25">
      <c r="A428" s="234" t="s">
        <v>7596</v>
      </c>
      <c r="B428" s="234" t="s">
        <v>9</v>
      </c>
      <c r="C428" s="245">
        <v>46146</v>
      </c>
      <c r="D428" s="234" t="s">
        <v>7287</v>
      </c>
      <c r="E428" s="246">
        <v>99900</v>
      </c>
      <c r="F428" s="247">
        <v>0</v>
      </c>
      <c r="G428" s="34" t="s">
        <v>7</v>
      </c>
      <c r="H428" s="234" t="s">
        <v>7597</v>
      </c>
      <c r="I428" s="248" t="s">
        <v>7</v>
      </c>
      <c r="J428" s="249" t="s">
        <v>492</v>
      </c>
      <c r="K428" s="250">
        <v>0</v>
      </c>
      <c r="L428" s="250">
        <v>0</v>
      </c>
      <c r="M428" s="251" t="s">
        <v>9</v>
      </c>
      <c r="N428" s="252">
        <v>0</v>
      </c>
      <c r="O428" s="185" t="s">
        <v>74</v>
      </c>
    </row>
    <row r="429" spans="1:15" x14ac:dyDescent="0.25">
      <c r="A429" s="234" t="s">
        <v>3870</v>
      </c>
      <c r="B429" s="234" t="s">
        <v>9</v>
      </c>
      <c r="C429" s="245">
        <v>46146</v>
      </c>
      <c r="D429" s="234" t="s">
        <v>7385</v>
      </c>
      <c r="E429" s="246">
        <v>97581.86</v>
      </c>
      <c r="F429" s="247" t="s">
        <v>3874</v>
      </c>
      <c r="G429" s="34" t="s">
        <v>7</v>
      </c>
      <c r="H429" s="234" t="s">
        <v>3871</v>
      </c>
      <c r="I429" s="248" t="s">
        <v>7</v>
      </c>
      <c r="J429" s="249" t="s">
        <v>554</v>
      </c>
      <c r="K429" s="250">
        <v>97583</v>
      </c>
      <c r="L429" s="250">
        <v>0</v>
      </c>
      <c r="M429" s="251" t="s">
        <v>9</v>
      </c>
      <c r="N429" s="252">
        <v>0</v>
      </c>
      <c r="O429" s="185" t="s">
        <v>74</v>
      </c>
    </row>
    <row r="430" spans="1:15" x14ac:dyDescent="0.25">
      <c r="A430" s="234" t="s">
        <v>5257</v>
      </c>
      <c r="B430" s="234" t="s">
        <v>9</v>
      </c>
      <c r="C430" s="245">
        <v>46146</v>
      </c>
      <c r="D430" s="234" t="s">
        <v>7385</v>
      </c>
      <c r="E430" s="246">
        <v>143535.96</v>
      </c>
      <c r="F430" s="247" t="s">
        <v>5256</v>
      </c>
      <c r="G430" s="34" t="s">
        <v>7</v>
      </c>
      <c r="H430" s="234" t="s">
        <v>5258</v>
      </c>
      <c r="I430" s="248" t="s">
        <v>7</v>
      </c>
      <c r="J430" s="249" t="s">
        <v>554</v>
      </c>
      <c r="K430" s="250">
        <v>143537</v>
      </c>
      <c r="L430" s="250">
        <v>0</v>
      </c>
      <c r="M430" s="251" t="s">
        <v>9</v>
      </c>
      <c r="N430" s="252">
        <v>0</v>
      </c>
      <c r="O430" s="185" t="s">
        <v>74</v>
      </c>
    </row>
    <row r="431" spans="1:15" x14ac:dyDescent="0.25">
      <c r="A431" s="234" t="s">
        <v>3904</v>
      </c>
      <c r="B431" s="234" t="s">
        <v>9</v>
      </c>
      <c r="C431" s="245">
        <v>46146</v>
      </c>
      <c r="D431" s="234" t="s">
        <v>7289</v>
      </c>
      <c r="E431" s="246">
        <v>129901.73</v>
      </c>
      <c r="F431" s="247" t="s">
        <v>3903</v>
      </c>
      <c r="G431" s="34" t="s">
        <v>7</v>
      </c>
      <c r="H431" s="234" t="s">
        <v>3905</v>
      </c>
      <c r="I431" s="248" t="s">
        <v>7</v>
      </c>
      <c r="J431" s="249" t="s">
        <v>61</v>
      </c>
      <c r="K431" s="250">
        <v>132568</v>
      </c>
      <c r="L431" s="250">
        <v>0</v>
      </c>
      <c r="M431" s="251" t="s">
        <v>9</v>
      </c>
      <c r="N431" s="252">
        <v>0</v>
      </c>
      <c r="O431" s="185" t="s">
        <v>74</v>
      </c>
    </row>
    <row r="432" spans="1:15" x14ac:dyDescent="0.25">
      <c r="A432" s="234" t="s">
        <v>3407</v>
      </c>
      <c r="B432" s="234" t="s">
        <v>8</v>
      </c>
      <c r="C432" s="245">
        <v>46146</v>
      </c>
      <c r="D432" s="234" t="s">
        <v>7289</v>
      </c>
      <c r="E432" s="246">
        <v>40000</v>
      </c>
      <c r="F432" s="247" t="s">
        <v>3406</v>
      </c>
      <c r="G432" s="34" t="s">
        <v>7</v>
      </c>
      <c r="H432" s="234" t="s">
        <v>3408</v>
      </c>
      <c r="I432" s="248" t="s">
        <v>7</v>
      </c>
      <c r="J432" s="249" t="s">
        <v>554</v>
      </c>
      <c r="K432" s="250">
        <v>40000</v>
      </c>
      <c r="L432" s="250">
        <v>0</v>
      </c>
      <c r="M432" s="251" t="s">
        <v>8</v>
      </c>
      <c r="N432" s="252">
        <v>0</v>
      </c>
      <c r="O432" s="185" t="s">
        <v>74</v>
      </c>
    </row>
    <row r="433" spans="1:15" x14ac:dyDescent="0.25">
      <c r="A433" s="234" t="s">
        <v>4589</v>
      </c>
      <c r="B433" s="234" t="s">
        <v>8</v>
      </c>
      <c r="C433" s="245">
        <v>46146</v>
      </c>
      <c r="D433" s="234" t="s">
        <v>7289</v>
      </c>
      <c r="E433" s="246">
        <v>55000</v>
      </c>
      <c r="F433" s="247" t="s">
        <v>4588</v>
      </c>
      <c r="G433" s="34" t="s">
        <v>7</v>
      </c>
      <c r="H433" s="234" t="s">
        <v>4590</v>
      </c>
      <c r="I433" s="248" t="s">
        <v>7</v>
      </c>
      <c r="J433" s="249" t="s">
        <v>554</v>
      </c>
      <c r="K433" s="250">
        <v>55000</v>
      </c>
      <c r="L433" s="250">
        <v>0</v>
      </c>
      <c r="M433" s="251" t="s">
        <v>8</v>
      </c>
      <c r="N433" s="252">
        <v>0</v>
      </c>
      <c r="O433" s="185" t="s">
        <v>74</v>
      </c>
    </row>
    <row r="434" spans="1:15" x14ac:dyDescent="0.25">
      <c r="A434" s="234" t="s">
        <v>4326</v>
      </c>
      <c r="B434" s="234" t="s">
        <v>8</v>
      </c>
      <c r="C434" s="245">
        <v>46146</v>
      </c>
      <c r="D434" s="234" t="s">
        <v>7289</v>
      </c>
      <c r="E434" s="246">
        <v>5867</v>
      </c>
      <c r="F434" s="247" t="s">
        <v>4325</v>
      </c>
      <c r="G434" s="34" t="s">
        <v>7</v>
      </c>
      <c r="H434" s="234" t="s">
        <v>4327</v>
      </c>
      <c r="I434" s="248" t="s">
        <v>7</v>
      </c>
      <c r="J434" s="249" t="s">
        <v>61</v>
      </c>
      <c r="K434" s="250">
        <v>5867</v>
      </c>
      <c r="L434" s="250">
        <v>0</v>
      </c>
      <c r="M434" s="251" t="s">
        <v>8</v>
      </c>
      <c r="N434" s="252">
        <v>0</v>
      </c>
      <c r="O434" s="185" t="s">
        <v>74</v>
      </c>
    </row>
    <row r="435" spans="1:15" x14ac:dyDescent="0.25">
      <c r="A435" s="234" t="s">
        <v>5325</v>
      </c>
      <c r="B435" s="234" t="s">
        <v>8</v>
      </c>
      <c r="C435" s="245">
        <v>46146</v>
      </c>
      <c r="D435" s="234" t="s">
        <v>7287</v>
      </c>
      <c r="E435" s="246">
        <v>50000</v>
      </c>
      <c r="F435" s="247" t="s">
        <v>5324</v>
      </c>
      <c r="G435" s="34" t="s">
        <v>7</v>
      </c>
      <c r="H435" s="234" t="s">
        <v>5326</v>
      </c>
      <c r="I435" s="248" t="s">
        <v>7</v>
      </c>
      <c r="J435" s="249" t="s">
        <v>554</v>
      </c>
      <c r="K435" s="250">
        <v>50000</v>
      </c>
      <c r="L435" s="250">
        <v>0</v>
      </c>
      <c r="M435" s="251" t="s">
        <v>8</v>
      </c>
      <c r="N435" s="252">
        <v>0</v>
      </c>
      <c r="O435" s="185" t="s">
        <v>74</v>
      </c>
    </row>
    <row r="436" spans="1:15" x14ac:dyDescent="0.25">
      <c r="A436" s="234" t="s">
        <v>4412</v>
      </c>
      <c r="B436" s="234" t="s">
        <v>8</v>
      </c>
      <c r="C436" s="245">
        <v>46146</v>
      </c>
      <c r="D436" s="234" t="s">
        <v>7287</v>
      </c>
      <c r="E436" s="246">
        <v>50000</v>
      </c>
      <c r="F436" s="247" t="s">
        <v>4411</v>
      </c>
      <c r="G436" s="34" t="s">
        <v>7</v>
      </c>
      <c r="H436" s="234" t="s">
        <v>4413</v>
      </c>
      <c r="I436" s="248" t="s">
        <v>7</v>
      </c>
      <c r="J436" s="249" t="s">
        <v>554</v>
      </c>
      <c r="K436" s="250">
        <v>50000</v>
      </c>
      <c r="L436" s="250">
        <v>0</v>
      </c>
      <c r="M436" s="251" t="s">
        <v>8</v>
      </c>
      <c r="N436" s="252">
        <v>0</v>
      </c>
      <c r="O436" s="185" t="s">
        <v>74</v>
      </c>
    </row>
    <row r="437" spans="1:15" x14ac:dyDescent="0.25">
      <c r="A437" s="234" t="s">
        <v>5411</v>
      </c>
      <c r="B437" s="234" t="s">
        <v>8</v>
      </c>
      <c r="C437" s="245">
        <v>46146</v>
      </c>
      <c r="D437" s="234" t="s">
        <v>7287</v>
      </c>
      <c r="E437" s="246">
        <v>138337</v>
      </c>
      <c r="F437" s="247" t="s">
        <v>5410</v>
      </c>
      <c r="G437" s="34" t="s">
        <v>7</v>
      </c>
      <c r="H437" s="234" t="s">
        <v>5412</v>
      </c>
      <c r="I437" s="248" t="s">
        <v>7</v>
      </c>
      <c r="J437" s="249" t="s">
        <v>554</v>
      </c>
      <c r="K437" s="250">
        <v>138338</v>
      </c>
      <c r="L437" s="250">
        <v>0</v>
      </c>
      <c r="M437" s="251" t="s">
        <v>8</v>
      </c>
      <c r="N437" s="252">
        <v>0</v>
      </c>
      <c r="O437" s="185" t="s">
        <v>74</v>
      </c>
    </row>
    <row r="438" spans="1:15" x14ac:dyDescent="0.25">
      <c r="A438" s="234" t="s">
        <v>7598</v>
      </c>
      <c r="B438" s="234" t="s">
        <v>8</v>
      </c>
      <c r="C438" s="245">
        <v>46146</v>
      </c>
      <c r="D438" s="234" t="s">
        <v>7287</v>
      </c>
      <c r="E438" s="246">
        <v>127931</v>
      </c>
      <c r="F438" s="247">
        <v>0</v>
      </c>
      <c r="G438" s="34" t="s">
        <v>7</v>
      </c>
      <c r="H438" s="234" t="s">
        <v>7599</v>
      </c>
      <c r="I438" s="248" t="s">
        <v>7</v>
      </c>
      <c r="J438" s="249" t="s">
        <v>492</v>
      </c>
      <c r="K438" s="250">
        <v>0</v>
      </c>
      <c r="L438" s="250">
        <v>0</v>
      </c>
      <c r="M438" s="251" t="s">
        <v>8</v>
      </c>
      <c r="N438" s="252">
        <v>0</v>
      </c>
      <c r="O438" s="185" t="s">
        <v>74</v>
      </c>
    </row>
    <row r="439" spans="1:15" x14ac:dyDescent="0.25">
      <c r="A439" s="234" t="s">
        <v>7600</v>
      </c>
      <c r="B439" s="234" t="s">
        <v>8</v>
      </c>
      <c r="C439" s="245">
        <v>46146</v>
      </c>
      <c r="D439" s="234" t="s">
        <v>7289</v>
      </c>
      <c r="E439" s="246">
        <v>142579</v>
      </c>
      <c r="F439" s="247">
        <v>0</v>
      </c>
      <c r="G439" s="34" t="s">
        <v>7</v>
      </c>
      <c r="H439" s="234" t="s">
        <v>7601</v>
      </c>
      <c r="I439" s="248" t="s">
        <v>7</v>
      </c>
      <c r="J439" s="249" t="s">
        <v>492</v>
      </c>
      <c r="K439" s="250">
        <v>0</v>
      </c>
      <c r="L439" s="250">
        <v>0</v>
      </c>
      <c r="M439" s="251" t="s">
        <v>8</v>
      </c>
      <c r="N439" s="252">
        <v>0</v>
      </c>
      <c r="O439" s="185" t="s">
        <v>74</v>
      </c>
    </row>
    <row r="440" spans="1:15" x14ac:dyDescent="0.25">
      <c r="A440" s="234" t="s">
        <v>7602</v>
      </c>
      <c r="B440" s="234" t="s">
        <v>8</v>
      </c>
      <c r="C440" s="245">
        <v>46146</v>
      </c>
      <c r="D440" s="234" t="s">
        <v>7289</v>
      </c>
      <c r="E440" s="246">
        <v>132814</v>
      </c>
      <c r="F440" s="247">
        <v>0</v>
      </c>
      <c r="G440" s="34" t="s">
        <v>7</v>
      </c>
      <c r="H440" s="234" t="s">
        <v>7603</v>
      </c>
      <c r="I440" s="248" t="s">
        <v>7</v>
      </c>
      <c r="J440" s="249" t="s">
        <v>492</v>
      </c>
      <c r="K440" s="250">
        <v>0</v>
      </c>
      <c r="L440" s="250">
        <v>0</v>
      </c>
      <c r="M440" s="251" t="s">
        <v>8</v>
      </c>
      <c r="N440" s="252">
        <v>0</v>
      </c>
      <c r="O440" s="185" t="s">
        <v>74</v>
      </c>
    </row>
    <row r="441" spans="1:15" x14ac:dyDescent="0.25">
      <c r="A441" s="234" t="s">
        <v>3413</v>
      </c>
      <c r="B441" s="234" t="s">
        <v>8</v>
      </c>
      <c r="C441" s="245">
        <v>46146</v>
      </c>
      <c r="D441" s="234" t="s">
        <v>7289</v>
      </c>
      <c r="E441" s="246">
        <v>117773</v>
      </c>
      <c r="F441" s="247" t="s">
        <v>3412</v>
      </c>
      <c r="G441" s="34" t="s">
        <v>7</v>
      </c>
      <c r="H441" s="234" t="s">
        <v>3414</v>
      </c>
      <c r="I441" s="248" t="s">
        <v>7</v>
      </c>
      <c r="J441" s="249" t="s">
        <v>554</v>
      </c>
      <c r="K441" s="250">
        <v>117773</v>
      </c>
      <c r="L441" s="250">
        <v>0</v>
      </c>
      <c r="M441" s="251" t="s">
        <v>8</v>
      </c>
      <c r="N441" s="252">
        <v>0</v>
      </c>
      <c r="O441" s="185" t="s">
        <v>74</v>
      </c>
    </row>
    <row r="442" spans="1:15" x14ac:dyDescent="0.25">
      <c r="A442" s="234" t="s">
        <v>3398</v>
      </c>
      <c r="B442" s="234" t="s">
        <v>8</v>
      </c>
      <c r="C442" s="245">
        <v>46146</v>
      </c>
      <c r="D442" s="234" t="s">
        <v>7289</v>
      </c>
      <c r="E442" s="246">
        <v>109128</v>
      </c>
      <c r="F442" s="247" t="s">
        <v>3397</v>
      </c>
      <c r="G442" s="34" t="s">
        <v>7</v>
      </c>
      <c r="H442" s="234" t="s">
        <v>3399</v>
      </c>
      <c r="I442" s="248" t="s">
        <v>7</v>
      </c>
      <c r="J442" s="249" t="s">
        <v>61</v>
      </c>
      <c r="K442" s="250">
        <v>110128</v>
      </c>
      <c r="L442" s="250">
        <v>0</v>
      </c>
      <c r="M442" s="251" t="s">
        <v>8</v>
      </c>
      <c r="N442" s="252">
        <v>0</v>
      </c>
      <c r="O442" s="185" t="s">
        <v>74</v>
      </c>
    </row>
    <row r="443" spans="1:15" x14ac:dyDescent="0.25">
      <c r="A443" s="234" t="s">
        <v>4454</v>
      </c>
      <c r="B443" s="234" t="s">
        <v>8</v>
      </c>
      <c r="C443" s="245">
        <v>46146</v>
      </c>
      <c r="D443" s="234" t="s">
        <v>7287</v>
      </c>
      <c r="E443" s="246">
        <v>36037</v>
      </c>
      <c r="F443" s="247" t="s">
        <v>4453</v>
      </c>
      <c r="G443" s="34" t="s">
        <v>7</v>
      </c>
      <c r="H443" s="234" t="s">
        <v>4455</v>
      </c>
      <c r="I443" s="248" t="s">
        <v>7</v>
      </c>
      <c r="J443" s="249" t="s">
        <v>554</v>
      </c>
      <c r="K443" s="250">
        <v>36037</v>
      </c>
      <c r="L443" s="250">
        <v>0</v>
      </c>
      <c r="M443" s="251" t="s">
        <v>8</v>
      </c>
      <c r="N443" s="252">
        <v>0</v>
      </c>
      <c r="O443" s="185" t="s">
        <v>74</v>
      </c>
    </row>
    <row r="444" spans="1:15" x14ac:dyDescent="0.25">
      <c r="A444" s="234" t="s">
        <v>3420</v>
      </c>
      <c r="B444" s="234" t="s">
        <v>8</v>
      </c>
      <c r="C444" s="245">
        <v>46146</v>
      </c>
      <c r="D444" s="234" t="s">
        <v>7289</v>
      </c>
      <c r="E444" s="246">
        <v>1000</v>
      </c>
      <c r="F444" s="247" t="s">
        <v>3419</v>
      </c>
      <c r="G444" s="34" t="s">
        <v>7</v>
      </c>
      <c r="H444" s="234" t="s">
        <v>3421</v>
      </c>
      <c r="I444" s="248" t="s">
        <v>7</v>
      </c>
      <c r="J444" s="249" t="s">
        <v>582</v>
      </c>
      <c r="K444" s="250">
        <v>1000</v>
      </c>
      <c r="L444" s="250">
        <v>0</v>
      </c>
      <c r="M444" s="251" t="s">
        <v>8</v>
      </c>
      <c r="N444" s="252">
        <v>0</v>
      </c>
      <c r="O444" s="185" t="s">
        <v>74</v>
      </c>
    </row>
    <row r="445" spans="1:15" x14ac:dyDescent="0.25">
      <c r="A445" s="234" t="s">
        <v>5414</v>
      </c>
      <c r="B445" s="234" t="s">
        <v>8</v>
      </c>
      <c r="C445" s="245">
        <v>46146</v>
      </c>
      <c r="D445" s="234" t="s">
        <v>7399</v>
      </c>
      <c r="E445" s="246">
        <v>110000</v>
      </c>
      <c r="F445" s="247" t="s">
        <v>5417</v>
      </c>
      <c r="G445" s="34" t="s">
        <v>7</v>
      </c>
      <c r="H445" s="234" t="s">
        <v>5415</v>
      </c>
      <c r="I445" s="248" t="s">
        <v>7</v>
      </c>
      <c r="J445" s="249" t="s">
        <v>554</v>
      </c>
      <c r="K445" s="250">
        <v>110000</v>
      </c>
      <c r="L445" s="250">
        <v>0</v>
      </c>
      <c r="M445" s="251" t="s">
        <v>8</v>
      </c>
      <c r="N445" s="252">
        <v>0</v>
      </c>
      <c r="O445" s="185" t="s">
        <v>74</v>
      </c>
    </row>
    <row r="446" spans="1:15" x14ac:dyDescent="0.25">
      <c r="A446" s="234" t="s">
        <v>5414</v>
      </c>
      <c r="B446" s="234" t="s">
        <v>8</v>
      </c>
      <c r="C446" s="245">
        <v>46146</v>
      </c>
      <c r="D446" s="234" t="s">
        <v>7399</v>
      </c>
      <c r="E446" s="246">
        <v>77457</v>
      </c>
      <c r="F446" s="247" t="s">
        <v>5413</v>
      </c>
      <c r="G446" s="34" t="s">
        <v>7</v>
      </c>
      <c r="H446" s="234" t="s">
        <v>5415</v>
      </c>
      <c r="I446" s="248" t="s">
        <v>7</v>
      </c>
      <c r="J446" s="249" t="s">
        <v>554</v>
      </c>
      <c r="K446" s="250">
        <v>77458</v>
      </c>
      <c r="L446" s="250">
        <v>0</v>
      </c>
      <c r="M446" s="251" t="s">
        <v>8</v>
      </c>
      <c r="N446" s="252">
        <v>0</v>
      </c>
      <c r="O446" s="185" t="s">
        <v>74</v>
      </c>
    </row>
    <row r="447" spans="1:15" x14ac:dyDescent="0.25">
      <c r="A447" s="234" t="s">
        <v>4589</v>
      </c>
      <c r="B447" s="234" t="s">
        <v>8</v>
      </c>
      <c r="C447" s="245">
        <v>46146</v>
      </c>
      <c r="D447" s="234" t="s">
        <v>7399</v>
      </c>
      <c r="E447" s="246">
        <v>55000</v>
      </c>
      <c r="F447" s="247" t="s">
        <v>4588</v>
      </c>
      <c r="G447" s="34" t="s">
        <v>7</v>
      </c>
      <c r="H447" s="234" t="s">
        <v>4590</v>
      </c>
      <c r="I447" s="248" t="s">
        <v>7</v>
      </c>
      <c r="J447" s="249" t="s">
        <v>554</v>
      </c>
      <c r="K447" s="250">
        <v>55000</v>
      </c>
      <c r="L447" s="250">
        <v>0</v>
      </c>
      <c r="M447" s="251" t="s">
        <v>8</v>
      </c>
      <c r="N447" s="252">
        <v>0</v>
      </c>
      <c r="O447" s="185" t="s">
        <v>74</v>
      </c>
    </row>
    <row r="448" spans="1:15" x14ac:dyDescent="0.25">
      <c r="A448" s="234" t="s">
        <v>3831</v>
      </c>
      <c r="B448" s="234" t="s">
        <v>8</v>
      </c>
      <c r="C448" s="245">
        <v>46146</v>
      </c>
      <c r="D448" s="234" t="s">
        <v>7399</v>
      </c>
      <c r="E448" s="246">
        <v>30000</v>
      </c>
      <c r="F448" s="247" t="s">
        <v>3834</v>
      </c>
      <c r="G448" s="34" t="s">
        <v>7</v>
      </c>
      <c r="H448" s="234" t="s">
        <v>3832</v>
      </c>
      <c r="I448" s="248" t="s">
        <v>7</v>
      </c>
      <c r="J448" s="249" t="s">
        <v>554</v>
      </c>
      <c r="K448" s="250">
        <v>30000</v>
      </c>
      <c r="L448" s="250">
        <v>0</v>
      </c>
      <c r="M448" s="251" t="s">
        <v>8</v>
      </c>
      <c r="N448" s="252">
        <v>0</v>
      </c>
      <c r="O448" s="185" t="s">
        <v>74</v>
      </c>
    </row>
    <row r="449" spans="1:15" x14ac:dyDescent="0.25">
      <c r="A449" s="234" t="s">
        <v>3831</v>
      </c>
      <c r="B449" s="234" t="s">
        <v>8</v>
      </c>
      <c r="C449" s="245">
        <v>46146</v>
      </c>
      <c r="D449" s="234" t="s">
        <v>7399</v>
      </c>
      <c r="E449" s="246">
        <v>27348</v>
      </c>
      <c r="F449" s="247" t="s">
        <v>3833</v>
      </c>
      <c r="G449" s="34" t="s">
        <v>7</v>
      </c>
      <c r="H449" s="234" t="s">
        <v>3832</v>
      </c>
      <c r="I449" s="248" t="s">
        <v>7</v>
      </c>
      <c r="J449" s="249" t="s">
        <v>554</v>
      </c>
      <c r="K449" s="250">
        <v>29000</v>
      </c>
      <c r="L449" s="250">
        <v>0</v>
      </c>
      <c r="M449" s="251" t="s">
        <v>8</v>
      </c>
      <c r="N449" s="252">
        <v>0</v>
      </c>
      <c r="O449" s="185" t="s">
        <v>74</v>
      </c>
    </row>
    <row r="450" spans="1:15" x14ac:dyDescent="0.25">
      <c r="A450" s="234" t="s">
        <v>4013</v>
      </c>
      <c r="B450" s="234" t="s">
        <v>8</v>
      </c>
      <c r="C450" s="245">
        <v>46146</v>
      </c>
      <c r="D450" s="234" t="s">
        <v>7289</v>
      </c>
      <c r="E450" s="246">
        <v>807279</v>
      </c>
      <c r="F450" s="247">
        <v>0</v>
      </c>
      <c r="G450" s="34" t="s">
        <v>7</v>
      </c>
      <c r="H450" s="234" t="s">
        <v>4014</v>
      </c>
      <c r="I450" s="248" t="s">
        <v>7</v>
      </c>
      <c r="J450" s="249" t="s">
        <v>492</v>
      </c>
      <c r="K450" s="250">
        <v>0</v>
      </c>
      <c r="L450" s="250">
        <v>0</v>
      </c>
      <c r="M450" s="251" t="s">
        <v>8</v>
      </c>
      <c r="N450" s="252">
        <v>0</v>
      </c>
      <c r="O450" s="185" t="s">
        <v>74</v>
      </c>
    </row>
    <row r="451" spans="1:15" x14ac:dyDescent="0.25">
      <c r="A451" s="234" t="s">
        <v>4469</v>
      </c>
      <c r="B451" s="234" t="s">
        <v>8</v>
      </c>
      <c r="C451" s="245">
        <v>46146</v>
      </c>
      <c r="D451" s="234" t="s">
        <v>7289</v>
      </c>
      <c r="E451" s="246">
        <v>173248</v>
      </c>
      <c r="F451" s="247">
        <v>0</v>
      </c>
      <c r="G451" s="34" t="s">
        <v>7</v>
      </c>
      <c r="H451" s="234" t="s">
        <v>4470</v>
      </c>
      <c r="I451" s="248" t="s">
        <v>7</v>
      </c>
      <c r="J451" s="249" t="s">
        <v>492</v>
      </c>
      <c r="K451" s="250">
        <v>0</v>
      </c>
      <c r="L451" s="250">
        <v>0</v>
      </c>
      <c r="M451" s="251" t="s">
        <v>8</v>
      </c>
      <c r="N451" s="252">
        <v>0</v>
      </c>
      <c r="O451" s="185" t="s">
        <v>74</v>
      </c>
    </row>
    <row r="452" spans="1:15" x14ac:dyDescent="0.25">
      <c r="A452" s="234" t="s">
        <v>4589</v>
      </c>
      <c r="B452" s="234" t="s">
        <v>8</v>
      </c>
      <c r="C452" s="245">
        <v>46146</v>
      </c>
      <c r="D452" s="234" t="s">
        <v>7289</v>
      </c>
      <c r="E452" s="246">
        <v>40000</v>
      </c>
      <c r="F452" s="247" t="s">
        <v>4591</v>
      </c>
      <c r="G452" s="34" t="s">
        <v>7</v>
      </c>
      <c r="H452" s="234" t="s">
        <v>4590</v>
      </c>
      <c r="I452" s="248" t="s">
        <v>7</v>
      </c>
      <c r="J452" s="249" t="s">
        <v>554</v>
      </c>
      <c r="K452" s="250">
        <v>40000</v>
      </c>
      <c r="L452" s="250">
        <v>0</v>
      </c>
      <c r="M452" s="251" t="s">
        <v>8</v>
      </c>
      <c r="N452" s="252">
        <v>0</v>
      </c>
      <c r="O452" s="185" t="s">
        <v>74</v>
      </c>
    </row>
    <row r="453" spans="1:15" x14ac:dyDescent="0.25">
      <c r="A453" s="234" t="s">
        <v>3572</v>
      </c>
      <c r="B453" s="234" t="s">
        <v>8</v>
      </c>
      <c r="C453" s="245">
        <v>46146</v>
      </c>
      <c r="D453" s="234" t="s">
        <v>7287</v>
      </c>
      <c r="E453" s="246">
        <v>45000</v>
      </c>
      <c r="F453" s="247">
        <v>0</v>
      </c>
      <c r="G453" s="34" t="s">
        <v>7</v>
      </c>
      <c r="H453" s="234" t="s">
        <v>3573</v>
      </c>
      <c r="I453" s="248" t="s">
        <v>7</v>
      </c>
      <c r="J453" s="249" t="s">
        <v>492</v>
      </c>
      <c r="K453" s="250">
        <v>0</v>
      </c>
      <c r="L453" s="250">
        <v>0</v>
      </c>
      <c r="M453" s="251" t="s">
        <v>8</v>
      </c>
      <c r="N453" s="252">
        <v>0</v>
      </c>
      <c r="O453" s="185" t="s">
        <v>74</v>
      </c>
    </row>
    <row r="454" spans="1:15" x14ac:dyDescent="0.25">
      <c r="A454" s="234" t="s">
        <v>5337</v>
      </c>
      <c r="B454" s="234" t="s">
        <v>8</v>
      </c>
      <c r="C454" s="245">
        <v>46146</v>
      </c>
      <c r="D454" s="234" t="s">
        <v>7287</v>
      </c>
      <c r="E454" s="246">
        <v>137401</v>
      </c>
      <c r="F454" s="247">
        <v>0</v>
      </c>
      <c r="G454" s="34" t="s">
        <v>7</v>
      </c>
      <c r="H454" s="234" t="s">
        <v>5338</v>
      </c>
      <c r="I454" s="248" t="s">
        <v>7</v>
      </c>
      <c r="J454" s="249" t="s">
        <v>492</v>
      </c>
      <c r="K454" s="250">
        <v>0</v>
      </c>
      <c r="L454" s="250">
        <v>0</v>
      </c>
      <c r="M454" s="251" t="s">
        <v>8</v>
      </c>
      <c r="N454" s="252">
        <v>0</v>
      </c>
      <c r="O454" s="185" t="s">
        <v>74</v>
      </c>
    </row>
    <row r="455" spans="1:15" x14ac:dyDescent="0.25">
      <c r="A455" s="234" t="s">
        <v>4349</v>
      </c>
      <c r="B455" s="234" t="s">
        <v>8</v>
      </c>
      <c r="C455" s="245">
        <v>46146</v>
      </c>
      <c r="D455" s="234" t="s">
        <v>7287</v>
      </c>
      <c r="E455" s="246">
        <v>16279.96</v>
      </c>
      <c r="F455" s="247">
        <v>0</v>
      </c>
      <c r="G455" s="34" t="s">
        <v>7</v>
      </c>
      <c r="H455" s="234" t="s">
        <v>4350</v>
      </c>
      <c r="I455" s="248" t="s">
        <v>7</v>
      </c>
      <c r="J455" s="249" t="s">
        <v>492</v>
      </c>
      <c r="K455" s="250">
        <v>0</v>
      </c>
      <c r="L455" s="250">
        <v>0</v>
      </c>
      <c r="M455" s="251" t="s">
        <v>8</v>
      </c>
      <c r="N455" s="252">
        <v>0</v>
      </c>
      <c r="O455" s="185" t="s">
        <v>74</v>
      </c>
    </row>
    <row r="456" spans="1:15" x14ac:dyDescent="0.25">
      <c r="A456" s="234" t="s">
        <v>7604</v>
      </c>
      <c r="B456" s="234" t="s">
        <v>8</v>
      </c>
      <c r="C456" s="245">
        <v>46146</v>
      </c>
      <c r="D456" s="234" t="s">
        <v>7287</v>
      </c>
      <c r="E456" s="246">
        <v>137800</v>
      </c>
      <c r="F456" s="247">
        <v>0</v>
      </c>
      <c r="G456" s="34" t="s">
        <v>7</v>
      </c>
      <c r="H456" s="234" t="s">
        <v>7605</v>
      </c>
      <c r="I456" s="248" t="s">
        <v>7</v>
      </c>
      <c r="J456" s="249" t="s">
        <v>492</v>
      </c>
      <c r="K456" s="250">
        <v>0</v>
      </c>
      <c r="L456" s="250">
        <v>0</v>
      </c>
      <c r="M456" s="251" t="s">
        <v>8</v>
      </c>
      <c r="N456" s="252">
        <v>0</v>
      </c>
      <c r="O456" s="185" t="s">
        <v>74</v>
      </c>
    </row>
    <row r="457" spans="1:15" x14ac:dyDescent="0.25">
      <c r="A457" s="234" t="s">
        <v>3351</v>
      </c>
      <c r="B457" s="234" t="s">
        <v>8</v>
      </c>
      <c r="C457" s="245">
        <v>46146</v>
      </c>
      <c r="D457" s="234" t="s">
        <v>7287</v>
      </c>
      <c r="E457" s="246">
        <v>49000</v>
      </c>
      <c r="F457" s="247">
        <v>0</v>
      </c>
      <c r="G457" s="34" t="s">
        <v>7</v>
      </c>
      <c r="H457" s="234" t="s">
        <v>3352</v>
      </c>
      <c r="I457" s="248" t="s">
        <v>7</v>
      </c>
      <c r="J457" s="249" t="s">
        <v>492</v>
      </c>
      <c r="K457" s="250">
        <v>0</v>
      </c>
      <c r="L457" s="250">
        <v>0</v>
      </c>
      <c r="M457" s="251" t="s">
        <v>8</v>
      </c>
      <c r="N457" s="252">
        <v>0</v>
      </c>
      <c r="O457" s="185" t="s">
        <v>74</v>
      </c>
    </row>
    <row r="458" spans="1:15" x14ac:dyDescent="0.25">
      <c r="A458" s="234" t="s">
        <v>4050</v>
      </c>
      <c r="B458" s="234" t="s">
        <v>8</v>
      </c>
      <c r="C458" s="245">
        <v>46146</v>
      </c>
      <c r="D458" s="234" t="s">
        <v>7289</v>
      </c>
      <c r="E458" s="246">
        <v>63000</v>
      </c>
      <c r="F458" s="247" t="s">
        <v>4052</v>
      </c>
      <c r="G458" s="34" t="s">
        <v>7</v>
      </c>
      <c r="H458" s="234" t="s">
        <v>4051</v>
      </c>
      <c r="I458" s="248" t="s">
        <v>7</v>
      </c>
      <c r="J458" s="249" t="s">
        <v>554</v>
      </c>
      <c r="K458" s="250">
        <v>63000</v>
      </c>
      <c r="L458" s="250">
        <v>0</v>
      </c>
      <c r="M458" s="251" t="s">
        <v>8</v>
      </c>
      <c r="N458" s="252">
        <v>0</v>
      </c>
      <c r="O458" s="185" t="s">
        <v>74</v>
      </c>
    </row>
    <row r="459" spans="1:15" x14ac:dyDescent="0.25">
      <c r="A459" s="234" t="s">
        <v>4345</v>
      </c>
      <c r="B459" s="234" t="s">
        <v>8</v>
      </c>
      <c r="C459" s="245">
        <v>46146</v>
      </c>
      <c r="D459" s="234" t="s">
        <v>7287</v>
      </c>
      <c r="E459" s="246">
        <v>49500</v>
      </c>
      <c r="F459" s="247" t="s">
        <v>4344</v>
      </c>
      <c r="G459" s="34" t="s">
        <v>7</v>
      </c>
      <c r="H459" s="234" t="s">
        <v>4346</v>
      </c>
      <c r="I459" s="248" t="s">
        <v>7</v>
      </c>
      <c r="J459" s="249" t="s">
        <v>554</v>
      </c>
      <c r="K459" s="250">
        <v>49470</v>
      </c>
      <c r="L459" s="250">
        <v>0</v>
      </c>
      <c r="M459" s="251" t="s">
        <v>8</v>
      </c>
      <c r="N459" s="252">
        <v>0</v>
      </c>
      <c r="O459" s="185" t="s">
        <v>74</v>
      </c>
    </row>
    <row r="460" spans="1:15" x14ac:dyDescent="0.25">
      <c r="A460" s="234" t="s">
        <v>3370</v>
      </c>
      <c r="B460" s="234" t="s">
        <v>8</v>
      </c>
      <c r="C460" s="245">
        <v>46146</v>
      </c>
      <c r="D460" s="234" t="s">
        <v>7289</v>
      </c>
      <c r="E460" s="246">
        <v>110851</v>
      </c>
      <c r="F460" s="247" t="s">
        <v>3369</v>
      </c>
      <c r="G460" s="34" t="s">
        <v>7</v>
      </c>
      <c r="H460" s="234" t="s">
        <v>3371</v>
      </c>
      <c r="I460" s="248" t="s">
        <v>7</v>
      </c>
      <c r="J460" s="249" t="s">
        <v>554</v>
      </c>
      <c r="K460" s="250">
        <v>110850.87</v>
      </c>
      <c r="L460" s="250">
        <v>0</v>
      </c>
      <c r="M460" s="251" t="s">
        <v>8</v>
      </c>
      <c r="N460" s="252">
        <v>0</v>
      </c>
      <c r="O460" s="185" t="s">
        <v>74</v>
      </c>
    </row>
    <row r="461" spans="1:15" x14ac:dyDescent="0.25">
      <c r="A461" s="234" t="s">
        <v>5391</v>
      </c>
      <c r="B461" s="234" t="s">
        <v>8</v>
      </c>
      <c r="C461" s="245">
        <v>46146</v>
      </c>
      <c r="D461" s="234" t="s">
        <v>7399</v>
      </c>
      <c r="E461" s="246">
        <v>20000</v>
      </c>
      <c r="F461" s="247" t="s">
        <v>5390</v>
      </c>
      <c r="G461" s="34" t="s">
        <v>7</v>
      </c>
      <c r="H461" s="234" t="s">
        <v>5392</v>
      </c>
      <c r="I461" s="248" t="s">
        <v>7</v>
      </c>
      <c r="J461" s="249" t="s">
        <v>554</v>
      </c>
      <c r="K461" s="250">
        <v>20000</v>
      </c>
      <c r="L461" s="250">
        <v>0</v>
      </c>
      <c r="M461" s="251" t="s">
        <v>8</v>
      </c>
      <c r="N461" s="252">
        <v>0</v>
      </c>
      <c r="O461" s="185" t="s">
        <v>74</v>
      </c>
    </row>
    <row r="462" spans="1:15" x14ac:dyDescent="0.25">
      <c r="A462" s="234" t="s">
        <v>4594</v>
      </c>
      <c r="B462" s="234" t="s">
        <v>8</v>
      </c>
      <c r="C462" s="245">
        <v>46146</v>
      </c>
      <c r="D462" s="234" t="s">
        <v>7399</v>
      </c>
      <c r="E462" s="246">
        <v>33681</v>
      </c>
      <c r="F462" s="247" t="s">
        <v>4593</v>
      </c>
      <c r="G462" s="34" t="s">
        <v>7</v>
      </c>
      <c r="H462" s="234" t="s">
        <v>4595</v>
      </c>
      <c r="I462" s="248" t="s">
        <v>7</v>
      </c>
      <c r="J462" s="249" t="s">
        <v>554</v>
      </c>
      <c r="K462" s="250">
        <v>33681</v>
      </c>
      <c r="L462" s="250">
        <v>0</v>
      </c>
      <c r="M462" s="251" t="s">
        <v>8</v>
      </c>
      <c r="N462" s="252">
        <v>0</v>
      </c>
      <c r="O462" s="185" t="s">
        <v>74</v>
      </c>
    </row>
    <row r="463" spans="1:15" x14ac:dyDescent="0.25">
      <c r="A463" s="234" t="s">
        <v>4594</v>
      </c>
      <c r="B463" s="234" t="s">
        <v>8</v>
      </c>
      <c r="C463" s="245">
        <v>46146</v>
      </c>
      <c r="D463" s="234" t="s">
        <v>7399</v>
      </c>
      <c r="E463" s="246">
        <v>8000</v>
      </c>
      <c r="F463" s="247" t="s">
        <v>4598</v>
      </c>
      <c r="G463" s="34" t="s">
        <v>7</v>
      </c>
      <c r="H463" s="234" t="s">
        <v>4595</v>
      </c>
      <c r="I463" s="248" t="s">
        <v>7</v>
      </c>
      <c r="J463" s="249" t="s">
        <v>554</v>
      </c>
      <c r="K463" s="250">
        <v>8000</v>
      </c>
      <c r="L463" s="250">
        <v>0</v>
      </c>
      <c r="M463" s="251" t="s">
        <v>8</v>
      </c>
      <c r="N463" s="252">
        <v>0</v>
      </c>
      <c r="O463" s="185" t="s">
        <v>74</v>
      </c>
    </row>
    <row r="464" spans="1:15" x14ac:dyDescent="0.25">
      <c r="A464" s="234" t="s">
        <v>4447</v>
      </c>
      <c r="B464" s="234" t="s">
        <v>8</v>
      </c>
      <c r="C464" s="245">
        <v>46146</v>
      </c>
      <c r="D464" s="234" t="s">
        <v>7289</v>
      </c>
      <c r="E464" s="246">
        <v>60000</v>
      </c>
      <c r="F464" s="247" t="s">
        <v>4446</v>
      </c>
      <c r="G464" s="34" t="s">
        <v>7</v>
      </c>
      <c r="H464" s="234" t="s">
        <v>4449</v>
      </c>
      <c r="I464" s="248" t="s">
        <v>7</v>
      </c>
      <c r="J464" s="249" t="s">
        <v>554</v>
      </c>
      <c r="K464" s="250">
        <v>60000</v>
      </c>
      <c r="L464" s="250">
        <v>0</v>
      </c>
      <c r="M464" s="251" t="s">
        <v>8</v>
      </c>
      <c r="N464" s="252">
        <v>0</v>
      </c>
      <c r="O464" s="185" t="s">
        <v>74</v>
      </c>
    </row>
    <row r="465" spans="1:15" x14ac:dyDescent="0.25">
      <c r="A465" s="234" t="s">
        <v>7449</v>
      </c>
      <c r="B465" s="234" t="s">
        <v>22</v>
      </c>
      <c r="C465" s="245">
        <v>46146</v>
      </c>
      <c r="D465" s="234" t="s">
        <v>595</v>
      </c>
      <c r="E465" s="246">
        <v>343453</v>
      </c>
      <c r="F465" s="247" t="s">
        <v>7450</v>
      </c>
      <c r="G465" s="34" t="s">
        <v>7</v>
      </c>
      <c r="H465" s="234" t="s">
        <v>7451</v>
      </c>
      <c r="I465" s="248" t="s">
        <v>7</v>
      </c>
      <c r="J465" s="249" t="s">
        <v>492</v>
      </c>
      <c r="K465" s="250">
        <v>0</v>
      </c>
      <c r="L465" s="250">
        <v>0</v>
      </c>
      <c r="M465" s="251" t="s">
        <v>22</v>
      </c>
      <c r="N465" s="252">
        <v>0</v>
      </c>
      <c r="O465" s="185" t="s">
        <v>51</v>
      </c>
    </row>
    <row r="466" spans="1:15" x14ac:dyDescent="0.25">
      <c r="A466" s="234" t="s">
        <v>2226</v>
      </c>
      <c r="B466" s="234" t="s">
        <v>22</v>
      </c>
      <c r="C466" s="245">
        <v>46146</v>
      </c>
      <c r="D466" s="234">
        <v>0</v>
      </c>
      <c r="E466" s="246">
        <v>282769</v>
      </c>
      <c r="F466" s="247">
        <v>0</v>
      </c>
      <c r="G466" s="34" t="s">
        <v>7</v>
      </c>
      <c r="H466" s="234" t="s">
        <v>2227</v>
      </c>
      <c r="I466" s="248" t="s">
        <v>7</v>
      </c>
      <c r="J466" s="249" t="s">
        <v>492</v>
      </c>
      <c r="K466" s="250">
        <v>0</v>
      </c>
      <c r="L466" s="250">
        <v>0</v>
      </c>
      <c r="M466" s="251" t="s">
        <v>22</v>
      </c>
      <c r="N466" s="252">
        <v>0</v>
      </c>
      <c r="O466" s="185" t="s">
        <v>51</v>
      </c>
    </row>
    <row r="467" spans="1:15" x14ac:dyDescent="0.25">
      <c r="A467" s="234" t="s">
        <v>7606</v>
      </c>
      <c r="B467" s="234" t="s">
        <v>22</v>
      </c>
      <c r="C467" s="245">
        <v>46146</v>
      </c>
      <c r="D467" s="234" t="s">
        <v>546</v>
      </c>
      <c r="E467" s="246">
        <v>57519</v>
      </c>
      <c r="F467" s="247" t="s">
        <v>7607</v>
      </c>
      <c r="G467" s="34" t="s">
        <v>7</v>
      </c>
      <c r="H467" s="234" t="s">
        <v>7608</v>
      </c>
      <c r="I467" s="248" t="s">
        <v>7</v>
      </c>
      <c r="J467" s="249" t="s">
        <v>492</v>
      </c>
      <c r="K467" s="250">
        <v>0</v>
      </c>
      <c r="L467" s="250">
        <v>0</v>
      </c>
      <c r="M467" s="251" t="s">
        <v>22</v>
      </c>
      <c r="N467" s="252">
        <v>0</v>
      </c>
      <c r="O467" s="185" t="s">
        <v>51</v>
      </c>
    </row>
    <row r="468" spans="1:15" x14ac:dyDescent="0.25">
      <c r="A468" s="234" t="s">
        <v>591</v>
      </c>
      <c r="B468" s="234" t="s">
        <v>22</v>
      </c>
      <c r="C468" s="245">
        <v>46146</v>
      </c>
      <c r="D468" s="234" t="s">
        <v>575</v>
      </c>
      <c r="E468" s="246">
        <v>175702</v>
      </c>
      <c r="F468" s="247" t="s">
        <v>590</v>
      </c>
      <c r="G468" s="34" t="s">
        <v>7</v>
      </c>
      <c r="H468" s="234" t="s">
        <v>592</v>
      </c>
      <c r="I468" s="248" t="s">
        <v>7</v>
      </c>
      <c r="J468" s="249" t="s">
        <v>61</v>
      </c>
      <c r="K468" s="250">
        <v>175702</v>
      </c>
      <c r="L468" s="250">
        <v>0</v>
      </c>
      <c r="M468" s="251" t="s">
        <v>22</v>
      </c>
      <c r="N468" s="252">
        <v>0</v>
      </c>
      <c r="O468" s="185" t="s">
        <v>51</v>
      </c>
    </row>
    <row r="469" spans="1:15" x14ac:dyDescent="0.25">
      <c r="A469" s="234" t="s">
        <v>2908</v>
      </c>
      <c r="B469" s="234" t="s">
        <v>22</v>
      </c>
      <c r="C469" s="245">
        <v>46146</v>
      </c>
      <c r="D469" s="234" t="s">
        <v>575</v>
      </c>
      <c r="E469" s="246">
        <v>101505</v>
      </c>
      <c r="F469" s="247" t="s">
        <v>2907</v>
      </c>
      <c r="G469" s="34" t="s">
        <v>7</v>
      </c>
      <c r="H469" s="234" t="s">
        <v>2910</v>
      </c>
      <c r="I469" s="248" t="s">
        <v>7</v>
      </c>
      <c r="J469" s="249" t="s">
        <v>554</v>
      </c>
      <c r="K469" s="250">
        <v>101505.78</v>
      </c>
      <c r="L469" s="250">
        <v>0</v>
      </c>
      <c r="M469" s="251" t="s">
        <v>22</v>
      </c>
      <c r="N469" s="252">
        <v>0</v>
      </c>
      <c r="O469" s="185" t="s">
        <v>51</v>
      </c>
    </row>
    <row r="470" spans="1:15" x14ac:dyDescent="0.25">
      <c r="A470" s="234" t="s">
        <v>588</v>
      </c>
      <c r="B470" s="234" t="s">
        <v>22</v>
      </c>
      <c r="C470" s="245">
        <v>46146</v>
      </c>
      <c r="D470" s="234" t="s">
        <v>575</v>
      </c>
      <c r="E470" s="246">
        <v>174062</v>
      </c>
      <c r="F470" s="247" t="s">
        <v>587</v>
      </c>
      <c r="G470" s="34" t="s">
        <v>7</v>
      </c>
      <c r="H470" s="234" t="s">
        <v>589</v>
      </c>
      <c r="I470" s="248" t="s">
        <v>7</v>
      </c>
      <c r="J470" s="249" t="s">
        <v>554</v>
      </c>
      <c r="K470" s="250">
        <v>174062.07</v>
      </c>
      <c r="L470" s="250">
        <v>0</v>
      </c>
      <c r="M470" s="251" t="s">
        <v>22</v>
      </c>
      <c r="N470" s="252">
        <v>0</v>
      </c>
      <c r="O470" s="185" t="s">
        <v>51</v>
      </c>
    </row>
    <row r="471" spans="1:15" x14ac:dyDescent="0.25">
      <c r="A471" s="234" t="s">
        <v>2958</v>
      </c>
      <c r="B471" s="234" t="s">
        <v>22</v>
      </c>
      <c r="C471" s="245">
        <v>46146</v>
      </c>
      <c r="D471" s="234" t="s">
        <v>575</v>
      </c>
      <c r="E471" s="246">
        <v>122996</v>
      </c>
      <c r="F471" s="247" t="s">
        <v>2957</v>
      </c>
      <c r="G471" s="34" t="s">
        <v>7</v>
      </c>
      <c r="H471" s="234" t="s">
        <v>2959</v>
      </c>
      <c r="I471" s="248" t="s">
        <v>7</v>
      </c>
      <c r="J471" s="249" t="s">
        <v>554</v>
      </c>
      <c r="K471" s="250">
        <v>122996</v>
      </c>
      <c r="L471" s="250">
        <v>0</v>
      </c>
      <c r="M471" s="251" t="s">
        <v>22</v>
      </c>
      <c r="N471" s="252">
        <v>0</v>
      </c>
      <c r="O471" s="185" t="s">
        <v>51</v>
      </c>
    </row>
    <row r="472" spans="1:15" x14ac:dyDescent="0.25">
      <c r="A472" s="234" t="s">
        <v>584</v>
      </c>
      <c r="B472" s="234" t="s">
        <v>22</v>
      </c>
      <c r="C472" s="245">
        <v>46146</v>
      </c>
      <c r="D472" s="234">
        <v>0</v>
      </c>
      <c r="E472" s="246">
        <v>172969</v>
      </c>
      <c r="F472" s="247">
        <v>0</v>
      </c>
      <c r="G472" s="34" t="s">
        <v>7</v>
      </c>
      <c r="H472" s="234" t="s">
        <v>586</v>
      </c>
      <c r="I472" s="248" t="s">
        <v>7</v>
      </c>
      <c r="J472" s="249" t="s">
        <v>492</v>
      </c>
      <c r="K472" s="250">
        <v>0</v>
      </c>
      <c r="L472" s="250">
        <v>0</v>
      </c>
      <c r="M472" s="251" t="s">
        <v>22</v>
      </c>
      <c r="N472" s="252">
        <v>0</v>
      </c>
      <c r="O472" s="185" t="s">
        <v>51</v>
      </c>
    </row>
    <row r="473" spans="1:15" x14ac:dyDescent="0.25">
      <c r="A473" s="234" t="s">
        <v>3543</v>
      </c>
      <c r="B473" s="234" t="s">
        <v>22</v>
      </c>
      <c r="C473" s="245">
        <v>46146</v>
      </c>
      <c r="D473" s="234" t="s">
        <v>546</v>
      </c>
      <c r="E473" s="246">
        <v>26405</v>
      </c>
      <c r="F473" s="247" t="s">
        <v>3542</v>
      </c>
      <c r="G473" s="34" t="s">
        <v>7</v>
      </c>
      <c r="H473" s="234" t="s">
        <v>3544</v>
      </c>
      <c r="I473" s="248" t="s">
        <v>7</v>
      </c>
      <c r="J473" s="249" t="s">
        <v>554</v>
      </c>
      <c r="K473" s="250">
        <v>26405</v>
      </c>
      <c r="L473" s="250">
        <v>0</v>
      </c>
      <c r="M473" s="251" t="s">
        <v>22</v>
      </c>
      <c r="N473" s="252">
        <v>0</v>
      </c>
      <c r="O473" s="185" t="s">
        <v>51</v>
      </c>
    </row>
    <row r="474" spans="1:15" x14ac:dyDescent="0.25">
      <c r="A474" s="234" t="s">
        <v>7446</v>
      </c>
      <c r="B474" s="234" t="s">
        <v>22</v>
      </c>
      <c r="C474" s="245">
        <v>46146</v>
      </c>
      <c r="D474" s="234" t="s">
        <v>64</v>
      </c>
      <c r="E474" s="246">
        <v>264966</v>
      </c>
      <c r="F474" s="247" t="s">
        <v>7447</v>
      </c>
      <c r="G474" s="34" t="s">
        <v>7</v>
      </c>
      <c r="H474" s="234" t="s">
        <v>7448</v>
      </c>
      <c r="I474" s="248" t="s">
        <v>7</v>
      </c>
      <c r="J474" s="249" t="s">
        <v>492</v>
      </c>
      <c r="K474" s="250">
        <v>0</v>
      </c>
      <c r="L474" s="250">
        <v>0</v>
      </c>
      <c r="M474" s="251" t="s">
        <v>22</v>
      </c>
      <c r="N474" s="252">
        <v>0</v>
      </c>
      <c r="O474" s="185" t="s">
        <v>51</v>
      </c>
    </row>
    <row r="475" spans="1:15" x14ac:dyDescent="0.25">
      <c r="A475" s="234" t="s">
        <v>2230</v>
      </c>
      <c r="B475" s="234" t="s">
        <v>22</v>
      </c>
      <c r="C475" s="245">
        <v>46146</v>
      </c>
      <c r="D475" s="234" t="s">
        <v>64</v>
      </c>
      <c r="E475" s="246">
        <v>180407</v>
      </c>
      <c r="F475" s="247" t="s">
        <v>2229</v>
      </c>
      <c r="G475" s="34" t="s">
        <v>7</v>
      </c>
      <c r="H475" s="234" t="s">
        <v>2231</v>
      </c>
      <c r="I475" s="248" t="s">
        <v>7</v>
      </c>
      <c r="J475" s="249" t="s">
        <v>554</v>
      </c>
      <c r="K475" s="250">
        <v>180407</v>
      </c>
      <c r="L475" s="250">
        <v>0</v>
      </c>
      <c r="M475" s="251" t="s">
        <v>22</v>
      </c>
      <c r="N475" s="252">
        <v>0</v>
      </c>
      <c r="O475" s="185" t="s">
        <v>51</v>
      </c>
    </row>
    <row r="476" spans="1:15" x14ac:dyDescent="0.25">
      <c r="A476" s="234" t="s">
        <v>7609</v>
      </c>
      <c r="B476" s="234" t="s">
        <v>22</v>
      </c>
      <c r="C476" s="245">
        <v>46146</v>
      </c>
      <c r="D476" s="234">
        <v>0</v>
      </c>
      <c r="E476" s="246">
        <v>227722</v>
      </c>
      <c r="F476" s="247">
        <v>0</v>
      </c>
      <c r="G476" s="34" t="s">
        <v>7</v>
      </c>
      <c r="H476" s="234" t="s">
        <v>7610</v>
      </c>
      <c r="I476" s="248" t="s">
        <v>7</v>
      </c>
      <c r="J476" s="249" t="s">
        <v>492</v>
      </c>
      <c r="K476" s="250">
        <v>0</v>
      </c>
      <c r="L476" s="250">
        <v>0</v>
      </c>
      <c r="M476" s="251" t="s">
        <v>22</v>
      </c>
      <c r="N476" s="252">
        <v>0</v>
      </c>
      <c r="O476" s="185" t="s">
        <v>51</v>
      </c>
    </row>
    <row r="477" spans="1:15" x14ac:dyDescent="0.25">
      <c r="A477" s="234" t="s">
        <v>367</v>
      </c>
      <c r="B477" s="234" t="s">
        <v>23</v>
      </c>
      <c r="C477" s="245">
        <v>46146</v>
      </c>
      <c r="D477" s="234" t="s">
        <v>546</v>
      </c>
      <c r="E477" s="246">
        <v>15000</v>
      </c>
      <c r="F477" s="247">
        <v>0</v>
      </c>
      <c r="G477" s="34" t="s">
        <v>7</v>
      </c>
      <c r="H477" s="234" t="s">
        <v>366</v>
      </c>
      <c r="I477" s="248" t="s">
        <v>7</v>
      </c>
      <c r="J477" s="249" t="s">
        <v>492</v>
      </c>
      <c r="K477" s="250">
        <v>0</v>
      </c>
      <c r="L477" s="250">
        <v>0</v>
      </c>
      <c r="M477" s="251" t="s">
        <v>23</v>
      </c>
      <c r="N477" s="252">
        <v>0</v>
      </c>
      <c r="O477" s="185" t="s">
        <v>51</v>
      </c>
    </row>
    <row r="478" spans="1:15" x14ac:dyDescent="0.25">
      <c r="A478" s="234" t="s">
        <v>367</v>
      </c>
      <c r="B478" s="234" t="s">
        <v>23</v>
      </c>
      <c r="C478" s="245">
        <v>46146</v>
      </c>
      <c r="D478" s="234" t="s">
        <v>546</v>
      </c>
      <c r="E478" s="246">
        <v>20000</v>
      </c>
      <c r="F478" s="247">
        <v>0</v>
      </c>
      <c r="G478" s="34" t="s">
        <v>7</v>
      </c>
      <c r="H478" s="234" t="s">
        <v>366</v>
      </c>
      <c r="I478" s="248" t="s">
        <v>7</v>
      </c>
      <c r="J478" s="249" t="s">
        <v>492</v>
      </c>
      <c r="K478" s="250">
        <v>0</v>
      </c>
      <c r="L478" s="250">
        <v>0</v>
      </c>
      <c r="M478" s="251" t="s">
        <v>23</v>
      </c>
      <c r="N478" s="252">
        <v>0</v>
      </c>
      <c r="O478" s="185" t="s">
        <v>51</v>
      </c>
    </row>
    <row r="479" spans="1:15" x14ac:dyDescent="0.25">
      <c r="A479" s="234" t="s">
        <v>367</v>
      </c>
      <c r="B479" s="234" t="s">
        <v>23</v>
      </c>
      <c r="C479" s="245">
        <v>46146</v>
      </c>
      <c r="D479" s="234" t="s">
        <v>546</v>
      </c>
      <c r="E479" s="246">
        <v>33290</v>
      </c>
      <c r="F479" s="247">
        <v>0</v>
      </c>
      <c r="G479" s="34" t="s">
        <v>7</v>
      </c>
      <c r="H479" s="234" t="s">
        <v>366</v>
      </c>
      <c r="I479" s="248" t="s">
        <v>7</v>
      </c>
      <c r="J479" s="249" t="s">
        <v>492</v>
      </c>
      <c r="K479" s="250">
        <v>0</v>
      </c>
      <c r="L479" s="250">
        <v>0</v>
      </c>
      <c r="M479" s="251" t="s">
        <v>23</v>
      </c>
      <c r="N479" s="252">
        <v>0</v>
      </c>
      <c r="O479" s="185" t="s">
        <v>51</v>
      </c>
    </row>
    <row r="480" spans="1:15" x14ac:dyDescent="0.25">
      <c r="A480" s="234" t="s">
        <v>367</v>
      </c>
      <c r="B480" s="234" t="s">
        <v>23</v>
      </c>
      <c r="C480" s="245">
        <v>46146</v>
      </c>
      <c r="D480" s="234" t="s">
        <v>546</v>
      </c>
      <c r="E480" s="246">
        <v>10000</v>
      </c>
      <c r="F480" s="247">
        <v>0</v>
      </c>
      <c r="G480" s="34" t="s">
        <v>7</v>
      </c>
      <c r="H480" s="234" t="s">
        <v>366</v>
      </c>
      <c r="I480" s="248" t="s">
        <v>7</v>
      </c>
      <c r="J480" s="249" t="s">
        <v>492</v>
      </c>
      <c r="K480" s="250">
        <v>0</v>
      </c>
      <c r="L480" s="250">
        <v>0</v>
      </c>
      <c r="M480" s="251" t="s">
        <v>23</v>
      </c>
      <c r="N480" s="252">
        <v>0</v>
      </c>
      <c r="O480" s="185" t="s">
        <v>51</v>
      </c>
    </row>
    <row r="481" spans="1:15" x14ac:dyDescent="0.25">
      <c r="A481" s="234" t="s">
        <v>367</v>
      </c>
      <c r="B481" s="234" t="s">
        <v>23</v>
      </c>
      <c r="C481" s="245">
        <v>46146</v>
      </c>
      <c r="D481" s="234" t="s">
        <v>546</v>
      </c>
      <c r="E481" s="246">
        <v>15000</v>
      </c>
      <c r="F481" s="247">
        <v>0</v>
      </c>
      <c r="G481" s="34" t="s">
        <v>7</v>
      </c>
      <c r="H481" s="234" t="s">
        <v>366</v>
      </c>
      <c r="I481" s="248" t="s">
        <v>7</v>
      </c>
      <c r="J481" s="249" t="s">
        <v>492</v>
      </c>
      <c r="K481" s="250">
        <v>0</v>
      </c>
      <c r="L481" s="250">
        <v>0</v>
      </c>
      <c r="M481" s="251" t="s">
        <v>23</v>
      </c>
      <c r="N481" s="252">
        <v>0</v>
      </c>
      <c r="O481" s="185" t="s">
        <v>51</v>
      </c>
    </row>
    <row r="482" spans="1:15" x14ac:dyDescent="0.25">
      <c r="A482" s="234" t="s">
        <v>367</v>
      </c>
      <c r="B482" s="234" t="s">
        <v>23</v>
      </c>
      <c r="C482" s="245">
        <v>46146</v>
      </c>
      <c r="D482" s="234" t="s">
        <v>546</v>
      </c>
      <c r="E482" s="246">
        <v>12000</v>
      </c>
      <c r="F482" s="247">
        <v>0</v>
      </c>
      <c r="G482" s="34" t="s">
        <v>7</v>
      </c>
      <c r="H482" s="234" t="s">
        <v>366</v>
      </c>
      <c r="I482" s="248" t="s">
        <v>7</v>
      </c>
      <c r="J482" s="249" t="s">
        <v>492</v>
      </c>
      <c r="K482" s="250">
        <v>0</v>
      </c>
      <c r="L482" s="250">
        <v>0</v>
      </c>
      <c r="M482" s="251" t="s">
        <v>23</v>
      </c>
      <c r="N482" s="252">
        <v>0</v>
      </c>
      <c r="O482" s="185" t="s">
        <v>51</v>
      </c>
    </row>
    <row r="483" spans="1:15" x14ac:dyDescent="0.25">
      <c r="A483" s="234" t="s">
        <v>1495</v>
      </c>
      <c r="B483" s="234" t="s">
        <v>23</v>
      </c>
      <c r="C483" s="245">
        <v>46146</v>
      </c>
      <c r="D483" s="234" t="s">
        <v>7287</v>
      </c>
      <c r="E483" s="246">
        <v>214300</v>
      </c>
      <c r="F483" s="247" t="s">
        <v>1494</v>
      </c>
      <c r="G483" s="34" t="s">
        <v>7</v>
      </c>
      <c r="H483" s="234" t="s">
        <v>1496</v>
      </c>
      <c r="I483" s="248" t="s">
        <v>7</v>
      </c>
      <c r="J483" s="249" t="s">
        <v>554</v>
      </c>
      <c r="K483" s="250">
        <v>214250</v>
      </c>
      <c r="L483" s="250">
        <v>0</v>
      </c>
      <c r="M483" s="251" t="s">
        <v>23</v>
      </c>
      <c r="N483" s="252">
        <v>0</v>
      </c>
      <c r="O483" s="185" t="s">
        <v>51</v>
      </c>
    </row>
    <row r="484" spans="1:15" x14ac:dyDescent="0.25">
      <c r="A484" s="234" t="s">
        <v>1492</v>
      </c>
      <c r="B484" s="234" t="s">
        <v>23</v>
      </c>
      <c r="C484" s="245">
        <v>46146</v>
      </c>
      <c r="D484" s="234" t="s">
        <v>7287</v>
      </c>
      <c r="E484" s="246">
        <v>280000</v>
      </c>
      <c r="F484" s="247" t="s">
        <v>1491</v>
      </c>
      <c r="G484" s="34" t="s">
        <v>7</v>
      </c>
      <c r="H484" s="234" t="s">
        <v>1493</v>
      </c>
      <c r="I484" s="248" t="s">
        <v>7</v>
      </c>
      <c r="J484" s="249" t="s">
        <v>554</v>
      </c>
      <c r="K484" s="250">
        <v>280000</v>
      </c>
      <c r="L484" s="250">
        <v>0</v>
      </c>
      <c r="M484" s="251" t="s">
        <v>23</v>
      </c>
      <c r="N484" s="252">
        <v>0</v>
      </c>
      <c r="O484" s="185" t="s">
        <v>51</v>
      </c>
    </row>
    <row r="485" spans="1:15" x14ac:dyDescent="0.25">
      <c r="A485" s="234" t="s">
        <v>251</v>
      </c>
      <c r="B485" s="234" t="s">
        <v>23</v>
      </c>
      <c r="C485" s="245">
        <v>46146</v>
      </c>
      <c r="D485" s="234" t="s">
        <v>64</v>
      </c>
      <c r="E485" s="246">
        <v>300000</v>
      </c>
      <c r="F485" s="247" t="s">
        <v>1459</v>
      </c>
      <c r="G485" s="34" t="s">
        <v>7</v>
      </c>
      <c r="H485" s="234" t="s">
        <v>250</v>
      </c>
      <c r="I485" s="248" t="s">
        <v>7</v>
      </c>
      <c r="J485" s="249" t="s">
        <v>554</v>
      </c>
      <c r="K485" s="250">
        <v>300000</v>
      </c>
      <c r="L485" s="250">
        <v>0</v>
      </c>
      <c r="M485" s="251" t="s">
        <v>23</v>
      </c>
      <c r="N485" s="252">
        <v>0</v>
      </c>
      <c r="O485" s="185" t="s">
        <v>51</v>
      </c>
    </row>
    <row r="486" spans="1:15" x14ac:dyDescent="0.25">
      <c r="A486" s="234" t="s">
        <v>291</v>
      </c>
      <c r="B486" s="234" t="s">
        <v>23</v>
      </c>
      <c r="C486" s="245">
        <v>46146</v>
      </c>
      <c r="D486" s="234" t="s">
        <v>7289</v>
      </c>
      <c r="E486" s="246">
        <v>206557</v>
      </c>
      <c r="F486" s="247" t="s">
        <v>1372</v>
      </c>
      <c r="G486" s="34" t="s">
        <v>7</v>
      </c>
      <c r="H486" s="234" t="s">
        <v>290</v>
      </c>
      <c r="I486" s="248" t="s">
        <v>7</v>
      </c>
      <c r="J486" s="249" t="s">
        <v>554</v>
      </c>
      <c r="K486" s="250">
        <v>206557</v>
      </c>
      <c r="L486" s="250">
        <v>0</v>
      </c>
      <c r="M486" s="251" t="s">
        <v>23</v>
      </c>
      <c r="N486" s="252">
        <v>0</v>
      </c>
      <c r="O486" s="185" t="s">
        <v>51</v>
      </c>
    </row>
    <row r="487" spans="1:15" x14ac:dyDescent="0.25">
      <c r="A487" s="234" t="s">
        <v>305</v>
      </c>
      <c r="B487" s="234" t="s">
        <v>23</v>
      </c>
      <c r="C487" s="245">
        <v>46146</v>
      </c>
      <c r="D487" s="234" t="s">
        <v>546</v>
      </c>
      <c r="E487" s="246">
        <v>150062</v>
      </c>
      <c r="F487" s="247" t="s">
        <v>1468</v>
      </c>
      <c r="G487" s="34" t="s">
        <v>7</v>
      </c>
      <c r="H487" s="234" t="s">
        <v>304</v>
      </c>
      <c r="I487" s="248" t="s">
        <v>7</v>
      </c>
      <c r="J487" s="249" t="s">
        <v>554</v>
      </c>
      <c r="K487" s="250">
        <v>150062</v>
      </c>
      <c r="L487" s="250">
        <v>0</v>
      </c>
      <c r="M487" s="251" t="s">
        <v>23</v>
      </c>
      <c r="N487" s="252">
        <v>0</v>
      </c>
      <c r="O487" s="185" t="s">
        <v>51</v>
      </c>
    </row>
    <row r="488" spans="1:15" x14ac:dyDescent="0.25">
      <c r="A488" s="234" t="s">
        <v>459</v>
      </c>
      <c r="B488" s="234" t="s">
        <v>23</v>
      </c>
      <c r="C488" s="245">
        <v>46146</v>
      </c>
      <c r="D488" s="234" t="s">
        <v>7287</v>
      </c>
      <c r="E488" s="246">
        <v>217000</v>
      </c>
      <c r="F488" s="247" t="s">
        <v>1399</v>
      </c>
      <c r="G488" s="34" t="s">
        <v>7</v>
      </c>
      <c r="H488" s="234" t="s">
        <v>458</v>
      </c>
      <c r="I488" s="248" t="s">
        <v>7</v>
      </c>
      <c r="J488" s="249" t="s">
        <v>61</v>
      </c>
      <c r="K488" s="250">
        <v>217000</v>
      </c>
      <c r="L488" s="250">
        <v>0</v>
      </c>
      <c r="M488" s="251" t="s">
        <v>23</v>
      </c>
      <c r="N488" s="252">
        <v>0</v>
      </c>
      <c r="O488" s="185" t="s">
        <v>51</v>
      </c>
    </row>
    <row r="489" spans="1:15" x14ac:dyDescent="0.25">
      <c r="A489" s="234" t="s">
        <v>281</v>
      </c>
      <c r="B489" s="234" t="s">
        <v>23</v>
      </c>
      <c r="C489" s="245">
        <v>46146</v>
      </c>
      <c r="D489" s="234" t="s">
        <v>546</v>
      </c>
      <c r="E489" s="246">
        <v>100000</v>
      </c>
      <c r="F489" s="247" t="s">
        <v>1509</v>
      </c>
      <c r="G489" s="34" t="s">
        <v>7</v>
      </c>
      <c r="H489" s="234" t="s">
        <v>280</v>
      </c>
      <c r="I489" s="248" t="s">
        <v>7</v>
      </c>
      <c r="J489" s="249" t="s">
        <v>554</v>
      </c>
      <c r="K489" s="250">
        <v>100000</v>
      </c>
      <c r="L489" s="250">
        <v>0</v>
      </c>
      <c r="M489" s="251" t="s">
        <v>23</v>
      </c>
      <c r="N489" s="252">
        <v>0</v>
      </c>
      <c r="O489" s="185" t="s">
        <v>51</v>
      </c>
    </row>
    <row r="490" spans="1:15" x14ac:dyDescent="0.25">
      <c r="A490" s="234" t="s">
        <v>281</v>
      </c>
      <c r="B490" s="234" t="s">
        <v>23</v>
      </c>
      <c r="C490" s="245">
        <v>46146</v>
      </c>
      <c r="D490" s="234" t="s">
        <v>546</v>
      </c>
      <c r="E490" s="246">
        <v>44191</v>
      </c>
      <c r="F490" s="247" t="s">
        <v>1508</v>
      </c>
      <c r="G490" s="34" t="s">
        <v>7</v>
      </c>
      <c r="H490" s="234" t="s">
        <v>280</v>
      </c>
      <c r="I490" s="248" t="s">
        <v>7</v>
      </c>
      <c r="J490" s="249" t="s">
        <v>554</v>
      </c>
      <c r="K490" s="250">
        <v>44191</v>
      </c>
      <c r="L490" s="250">
        <v>0</v>
      </c>
      <c r="M490" s="251" t="s">
        <v>23</v>
      </c>
      <c r="N490" s="252">
        <v>0</v>
      </c>
      <c r="O490" s="185" t="s">
        <v>51</v>
      </c>
    </row>
    <row r="491" spans="1:15" x14ac:dyDescent="0.25">
      <c r="A491" s="234" t="s">
        <v>1498</v>
      </c>
      <c r="B491" s="234" t="s">
        <v>23</v>
      </c>
      <c r="C491" s="245">
        <v>46146</v>
      </c>
      <c r="D491" s="234" t="s">
        <v>546</v>
      </c>
      <c r="E491" s="246">
        <v>40000</v>
      </c>
      <c r="F491" s="247" t="s">
        <v>1497</v>
      </c>
      <c r="G491" s="34" t="s">
        <v>7</v>
      </c>
      <c r="H491" s="234" t="s">
        <v>1499</v>
      </c>
      <c r="I491" s="248" t="s">
        <v>7</v>
      </c>
      <c r="J491" s="249" t="s">
        <v>554</v>
      </c>
      <c r="K491" s="250">
        <v>40000</v>
      </c>
      <c r="L491" s="250">
        <v>0</v>
      </c>
      <c r="M491" s="251" t="s">
        <v>23</v>
      </c>
      <c r="N491" s="252">
        <v>0</v>
      </c>
      <c r="O491" s="185" t="s">
        <v>51</v>
      </c>
    </row>
    <row r="492" spans="1:15" x14ac:dyDescent="0.25">
      <c r="A492" s="234" t="s">
        <v>310</v>
      </c>
      <c r="B492" s="234" t="s">
        <v>23</v>
      </c>
      <c r="C492" s="245">
        <v>46146</v>
      </c>
      <c r="D492" s="234" t="s">
        <v>546</v>
      </c>
      <c r="E492" s="246">
        <v>52242</v>
      </c>
      <c r="F492" s="247" t="s">
        <v>1457</v>
      </c>
      <c r="G492" s="34" t="s">
        <v>7</v>
      </c>
      <c r="H492" s="234" t="s">
        <v>309</v>
      </c>
      <c r="I492" s="248" t="s">
        <v>7</v>
      </c>
      <c r="J492" s="249" t="s">
        <v>554</v>
      </c>
      <c r="K492" s="250">
        <v>52242</v>
      </c>
      <c r="L492" s="250">
        <v>0</v>
      </c>
      <c r="M492" s="251" t="s">
        <v>23</v>
      </c>
      <c r="N492" s="252">
        <v>0</v>
      </c>
      <c r="O492" s="185" t="s">
        <v>51</v>
      </c>
    </row>
    <row r="493" spans="1:15" x14ac:dyDescent="0.25">
      <c r="A493" s="234" t="s">
        <v>310</v>
      </c>
      <c r="B493" s="234" t="s">
        <v>23</v>
      </c>
      <c r="C493" s="245">
        <v>46146</v>
      </c>
      <c r="D493" s="234" t="s">
        <v>546</v>
      </c>
      <c r="E493" s="246">
        <v>90000</v>
      </c>
      <c r="F493" s="247" t="s">
        <v>1458</v>
      </c>
      <c r="G493" s="34" t="s">
        <v>7</v>
      </c>
      <c r="H493" s="234" t="s">
        <v>309</v>
      </c>
      <c r="I493" s="248" t="s">
        <v>7</v>
      </c>
      <c r="J493" s="249" t="s">
        <v>554</v>
      </c>
      <c r="K493" s="250">
        <v>90000</v>
      </c>
      <c r="L493" s="250">
        <v>0</v>
      </c>
      <c r="M493" s="251" t="s">
        <v>23</v>
      </c>
      <c r="N493" s="252">
        <v>0</v>
      </c>
      <c r="O493" s="185" t="s">
        <v>51</v>
      </c>
    </row>
    <row r="494" spans="1:15" x14ac:dyDescent="0.25">
      <c r="A494" s="234" t="s">
        <v>1384</v>
      </c>
      <c r="B494" s="234" t="s">
        <v>23</v>
      </c>
      <c r="C494" s="245">
        <v>46146</v>
      </c>
      <c r="D494" s="234" t="s">
        <v>546</v>
      </c>
      <c r="E494" s="246">
        <v>30000</v>
      </c>
      <c r="F494" s="247">
        <v>0</v>
      </c>
      <c r="G494" s="34" t="s">
        <v>7</v>
      </c>
      <c r="H494" s="234" t="s">
        <v>1385</v>
      </c>
      <c r="I494" s="248" t="s">
        <v>7</v>
      </c>
      <c r="J494" s="249" t="s">
        <v>492</v>
      </c>
      <c r="K494" s="250">
        <v>0</v>
      </c>
      <c r="L494" s="250">
        <v>0</v>
      </c>
      <c r="M494" s="251" t="s">
        <v>23</v>
      </c>
      <c r="N494" s="252">
        <v>0</v>
      </c>
      <c r="O494" s="185" t="s">
        <v>51</v>
      </c>
    </row>
    <row r="495" spans="1:15" x14ac:dyDescent="0.25">
      <c r="A495" s="234" t="s">
        <v>1384</v>
      </c>
      <c r="B495" s="234" t="s">
        <v>23</v>
      </c>
      <c r="C495" s="245">
        <v>46146</v>
      </c>
      <c r="D495" s="234" t="s">
        <v>546</v>
      </c>
      <c r="E495" s="246">
        <v>31000</v>
      </c>
      <c r="F495" s="247">
        <v>0</v>
      </c>
      <c r="G495" s="34" t="s">
        <v>7</v>
      </c>
      <c r="H495" s="234" t="s">
        <v>1385</v>
      </c>
      <c r="I495" s="248" t="s">
        <v>7</v>
      </c>
      <c r="J495" s="249" t="s">
        <v>492</v>
      </c>
      <c r="K495" s="250">
        <v>0</v>
      </c>
      <c r="L495" s="250">
        <v>0</v>
      </c>
      <c r="M495" s="251" t="s">
        <v>23</v>
      </c>
      <c r="N495" s="252">
        <v>0</v>
      </c>
      <c r="O495" s="185" t="s">
        <v>51</v>
      </c>
    </row>
    <row r="496" spans="1:15" x14ac:dyDescent="0.25">
      <c r="A496" s="234" t="s">
        <v>1384</v>
      </c>
      <c r="B496" s="234" t="s">
        <v>23</v>
      </c>
      <c r="C496" s="245">
        <v>46146</v>
      </c>
      <c r="D496" s="234" t="s">
        <v>546</v>
      </c>
      <c r="E496" s="246">
        <v>34000</v>
      </c>
      <c r="F496" s="247">
        <v>0</v>
      </c>
      <c r="G496" s="34" t="s">
        <v>7</v>
      </c>
      <c r="H496" s="234" t="s">
        <v>1385</v>
      </c>
      <c r="I496" s="248" t="s">
        <v>7</v>
      </c>
      <c r="J496" s="249" t="s">
        <v>492</v>
      </c>
      <c r="K496" s="250">
        <v>0</v>
      </c>
      <c r="L496" s="250">
        <v>0</v>
      </c>
      <c r="M496" s="251" t="s">
        <v>23</v>
      </c>
      <c r="N496" s="252">
        <v>0</v>
      </c>
      <c r="O496" s="185" t="s">
        <v>51</v>
      </c>
    </row>
    <row r="497" spans="1:15" x14ac:dyDescent="0.25">
      <c r="A497" s="234" t="s">
        <v>571</v>
      </c>
      <c r="B497" s="234" t="s">
        <v>23</v>
      </c>
      <c r="C497" s="245">
        <v>46146</v>
      </c>
      <c r="D497" s="234" t="s">
        <v>546</v>
      </c>
      <c r="E497" s="246">
        <v>79750</v>
      </c>
      <c r="F497" s="247" t="s">
        <v>570</v>
      </c>
      <c r="G497" s="34" t="s">
        <v>7</v>
      </c>
      <c r="H497" s="234" t="s">
        <v>572</v>
      </c>
      <c r="I497" s="248" t="s">
        <v>7</v>
      </c>
      <c r="J497" s="249" t="s">
        <v>554</v>
      </c>
      <c r="K497" s="250">
        <v>79750</v>
      </c>
      <c r="L497" s="250">
        <v>0</v>
      </c>
      <c r="M497" s="251" t="s">
        <v>23</v>
      </c>
      <c r="N497" s="252">
        <v>0</v>
      </c>
      <c r="O497" s="185" t="s">
        <v>51</v>
      </c>
    </row>
    <row r="498" spans="1:15" x14ac:dyDescent="0.25">
      <c r="A498" s="234" t="s">
        <v>1464</v>
      </c>
      <c r="B498" s="234" t="s">
        <v>23</v>
      </c>
      <c r="C498" s="245">
        <v>46146</v>
      </c>
      <c r="D498" s="234" t="s">
        <v>546</v>
      </c>
      <c r="E498" s="246">
        <v>95002.36</v>
      </c>
      <c r="F498" s="247" t="s">
        <v>1467</v>
      </c>
      <c r="G498" s="34" t="s">
        <v>7</v>
      </c>
      <c r="H498" s="234" t="s">
        <v>1465</v>
      </c>
      <c r="I498" s="248" t="s">
        <v>7</v>
      </c>
      <c r="J498" s="249" t="s">
        <v>554</v>
      </c>
      <c r="K498" s="250">
        <v>95002.36</v>
      </c>
      <c r="L498" s="250">
        <v>0</v>
      </c>
      <c r="M498" s="251" t="s">
        <v>23</v>
      </c>
      <c r="N498" s="252">
        <v>0</v>
      </c>
      <c r="O498" s="185" t="s">
        <v>51</v>
      </c>
    </row>
    <row r="499" spans="1:15" x14ac:dyDescent="0.25">
      <c r="A499" s="234" t="s">
        <v>2421</v>
      </c>
      <c r="B499" s="234" t="s">
        <v>13</v>
      </c>
      <c r="C499" s="245">
        <v>46146</v>
      </c>
      <c r="D499" s="234">
        <v>0</v>
      </c>
      <c r="E499" s="246">
        <v>200000</v>
      </c>
      <c r="F499" s="247" t="s">
        <v>2420</v>
      </c>
      <c r="G499" s="34" t="s">
        <v>7</v>
      </c>
      <c r="H499" s="234" t="s">
        <v>2422</v>
      </c>
      <c r="I499" s="248" t="s">
        <v>7</v>
      </c>
      <c r="J499" s="249" t="s">
        <v>61</v>
      </c>
      <c r="K499" s="250">
        <v>200000</v>
      </c>
      <c r="L499" s="250">
        <v>0</v>
      </c>
      <c r="M499" s="251" t="s">
        <v>13</v>
      </c>
      <c r="N499" s="252">
        <v>0</v>
      </c>
      <c r="O499" s="185" t="s">
        <v>51</v>
      </c>
    </row>
    <row r="500" spans="1:15" x14ac:dyDescent="0.25">
      <c r="A500" s="234" t="s">
        <v>2630</v>
      </c>
      <c r="B500" s="234" t="s">
        <v>13</v>
      </c>
      <c r="C500" s="245">
        <v>46146</v>
      </c>
      <c r="D500" s="234">
        <v>0</v>
      </c>
      <c r="E500" s="246">
        <v>98000</v>
      </c>
      <c r="F500" s="247" t="s">
        <v>7611</v>
      </c>
      <c r="G500" s="34" t="s">
        <v>7</v>
      </c>
      <c r="H500" s="234" t="s">
        <v>2631</v>
      </c>
      <c r="I500" s="248" t="s">
        <v>7</v>
      </c>
      <c r="J500" s="249" t="s">
        <v>492</v>
      </c>
      <c r="K500" s="250">
        <v>0</v>
      </c>
      <c r="L500" s="250">
        <v>0</v>
      </c>
      <c r="M500" s="251" t="s">
        <v>13</v>
      </c>
      <c r="N500" s="252">
        <v>0</v>
      </c>
      <c r="O500" s="185" t="s">
        <v>51</v>
      </c>
    </row>
    <row r="501" spans="1:15" x14ac:dyDescent="0.25">
      <c r="A501" s="234" t="s">
        <v>5068</v>
      </c>
      <c r="B501" s="234" t="s">
        <v>31</v>
      </c>
      <c r="C501" s="245">
        <v>46146</v>
      </c>
      <c r="D501" s="234" t="s">
        <v>595</v>
      </c>
      <c r="E501" s="246">
        <v>340770</v>
      </c>
      <c r="F501" s="247">
        <v>0</v>
      </c>
      <c r="G501" s="34" t="s">
        <v>7</v>
      </c>
      <c r="H501" s="234" t="s">
        <v>5069</v>
      </c>
      <c r="I501" s="248" t="s">
        <v>7</v>
      </c>
      <c r="J501" s="249" t="s">
        <v>492</v>
      </c>
      <c r="K501" s="250">
        <v>0</v>
      </c>
      <c r="L501" s="250">
        <v>0</v>
      </c>
      <c r="M501" s="251" t="s">
        <v>31</v>
      </c>
      <c r="N501" s="252">
        <v>0</v>
      </c>
      <c r="O501" s="185" t="s">
        <v>51</v>
      </c>
    </row>
    <row r="502" spans="1:15" x14ac:dyDescent="0.25">
      <c r="A502" s="234" t="s">
        <v>2605</v>
      </c>
      <c r="B502" s="234" t="s">
        <v>31</v>
      </c>
      <c r="C502" s="245">
        <v>46146</v>
      </c>
      <c r="D502" s="234" t="s">
        <v>546</v>
      </c>
      <c r="E502" s="246">
        <v>29000</v>
      </c>
      <c r="F502" s="247" t="s">
        <v>2604</v>
      </c>
      <c r="G502" s="34" t="s">
        <v>7</v>
      </c>
      <c r="H502" s="234" t="s">
        <v>2606</v>
      </c>
      <c r="I502" s="248" t="s">
        <v>7</v>
      </c>
      <c r="J502" s="249" t="s">
        <v>554</v>
      </c>
      <c r="K502" s="250">
        <v>29000</v>
      </c>
      <c r="L502" s="250">
        <v>0</v>
      </c>
      <c r="M502" s="251" t="s">
        <v>31</v>
      </c>
      <c r="N502" s="252">
        <v>0</v>
      </c>
      <c r="O502" s="185" t="s">
        <v>51</v>
      </c>
    </row>
    <row r="503" spans="1:15" x14ac:dyDescent="0.25">
      <c r="A503" s="234" t="s">
        <v>5495</v>
      </c>
      <c r="B503" s="234" t="s">
        <v>31</v>
      </c>
      <c r="C503" s="245">
        <v>46146</v>
      </c>
      <c r="D503" s="234" t="s">
        <v>575</v>
      </c>
      <c r="E503" s="246">
        <v>883000</v>
      </c>
      <c r="F503" s="247" t="s">
        <v>5494</v>
      </c>
      <c r="G503" s="34" t="s">
        <v>7</v>
      </c>
      <c r="H503" s="234" t="s">
        <v>5496</v>
      </c>
      <c r="I503" s="248" t="s">
        <v>7</v>
      </c>
      <c r="J503" s="249" t="s">
        <v>554</v>
      </c>
      <c r="K503" s="250">
        <v>883000</v>
      </c>
      <c r="L503" s="250">
        <v>0</v>
      </c>
      <c r="M503" s="251" t="s">
        <v>31</v>
      </c>
      <c r="N503" s="252">
        <v>0</v>
      </c>
      <c r="O503" s="185" t="s">
        <v>51</v>
      </c>
    </row>
    <row r="504" spans="1:15" x14ac:dyDescent="0.25">
      <c r="A504" s="234" t="s">
        <v>5136</v>
      </c>
      <c r="B504" s="234" t="s">
        <v>31</v>
      </c>
      <c r="C504" s="245">
        <v>46146</v>
      </c>
      <c r="D504" s="234" t="s">
        <v>575</v>
      </c>
      <c r="E504" s="246">
        <v>200000</v>
      </c>
      <c r="F504" s="247" t="s">
        <v>5135</v>
      </c>
      <c r="G504" s="34" t="s">
        <v>7</v>
      </c>
      <c r="H504" s="234" t="s">
        <v>5137</v>
      </c>
      <c r="I504" s="248" t="s">
        <v>7</v>
      </c>
      <c r="J504" s="249" t="s">
        <v>554</v>
      </c>
      <c r="K504" s="250">
        <v>200000</v>
      </c>
      <c r="L504" s="250">
        <v>0</v>
      </c>
      <c r="M504" s="251" t="s">
        <v>31</v>
      </c>
      <c r="N504" s="252">
        <v>0</v>
      </c>
      <c r="O504" s="185" t="s">
        <v>51</v>
      </c>
    </row>
    <row r="505" spans="1:15" x14ac:dyDescent="0.25">
      <c r="A505" s="234" t="s">
        <v>2605</v>
      </c>
      <c r="B505" s="234" t="s">
        <v>31</v>
      </c>
      <c r="C505" s="245">
        <v>46146</v>
      </c>
      <c r="D505" s="234" t="s">
        <v>546</v>
      </c>
      <c r="E505" s="246">
        <v>58300</v>
      </c>
      <c r="F505" s="247" t="s">
        <v>2607</v>
      </c>
      <c r="G505" s="34" t="s">
        <v>7</v>
      </c>
      <c r="H505" s="234" t="s">
        <v>2606</v>
      </c>
      <c r="I505" s="248" t="s">
        <v>7</v>
      </c>
      <c r="J505" s="249" t="s">
        <v>554</v>
      </c>
      <c r="K505" s="250">
        <v>58300</v>
      </c>
      <c r="L505" s="250">
        <v>0</v>
      </c>
      <c r="M505" s="251" t="s">
        <v>31</v>
      </c>
      <c r="N505" s="252">
        <v>0</v>
      </c>
      <c r="O505" s="185" t="s">
        <v>51</v>
      </c>
    </row>
    <row r="506" spans="1:15" x14ac:dyDescent="0.25">
      <c r="A506" s="234" t="s">
        <v>815</v>
      </c>
      <c r="B506" s="234" t="s">
        <v>20</v>
      </c>
      <c r="C506" s="245">
        <v>46146</v>
      </c>
      <c r="D506" s="234">
        <v>0</v>
      </c>
      <c r="E506" s="246">
        <v>123106</v>
      </c>
      <c r="F506" s="247" t="s">
        <v>814</v>
      </c>
      <c r="G506" s="34" t="s">
        <v>7</v>
      </c>
      <c r="H506" s="234" t="s">
        <v>816</v>
      </c>
      <c r="I506" s="248" t="s">
        <v>7</v>
      </c>
      <c r="J506" s="249" t="s">
        <v>554</v>
      </c>
      <c r="K506" s="250">
        <v>123106</v>
      </c>
      <c r="L506" s="250">
        <v>0</v>
      </c>
      <c r="M506" s="251" t="s">
        <v>20</v>
      </c>
      <c r="N506" s="252">
        <v>0</v>
      </c>
      <c r="O506" s="185" t="s">
        <v>51</v>
      </c>
    </row>
    <row r="507" spans="1:15" x14ac:dyDescent="0.25">
      <c r="A507" s="234" t="s">
        <v>831</v>
      </c>
      <c r="B507" s="234" t="s">
        <v>20</v>
      </c>
      <c r="C507" s="245">
        <v>46146</v>
      </c>
      <c r="D507" s="234">
        <v>0</v>
      </c>
      <c r="E507" s="246">
        <v>107631</v>
      </c>
      <c r="F507" s="247" t="s">
        <v>830</v>
      </c>
      <c r="G507" s="34" t="s">
        <v>7</v>
      </c>
      <c r="H507" s="234" t="s">
        <v>832</v>
      </c>
      <c r="I507" s="248" t="s">
        <v>7</v>
      </c>
      <c r="J507" s="249" t="s">
        <v>554</v>
      </c>
      <c r="K507" s="250">
        <v>107631</v>
      </c>
      <c r="L507" s="250">
        <v>0</v>
      </c>
      <c r="M507" s="251" t="s">
        <v>20</v>
      </c>
      <c r="N507" s="252">
        <v>0</v>
      </c>
      <c r="O507" s="185" t="s">
        <v>51</v>
      </c>
    </row>
    <row r="508" spans="1:15" x14ac:dyDescent="0.25">
      <c r="A508" s="234" t="s">
        <v>1288</v>
      </c>
      <c r="B508" s="234" t="s">
        <v>20</v>
      </c>
      <c r="C508" s="245">
        <v>46146</v>
      </c>
      <c r="D508" s="234">
        <v>0</v>
      </c>
      <c r="E508" s="246">
        <v>36500</v>
      </c>
      <c r="F508" s="247" t="s">
        <v>1290</v>
      </c>
      <c r="G508" s="34" t="s">
        <v>7</v>
      </c>
      <c r="H508" s="234" t="s">
        <v>1289</v>
      </c>
      <c r="I508" s="248" t="s">
        <v>7</v>
      </c>
      <c r="J508" s="249" t="s">
        <v>554</v>
      </c>
      <c r="K508" s="250">
        <v>36500</v>
      </c>
      <c r="L508" s="250">
        <v>0</v>
      </c>
      <c r="M508" s="251" t="s">
        <v>20</v>
      </c>
      <c r="N508" s="252">
        <v>0</v>
      </c>
      <c r="O508" s="185" t="s">
        <v>51</v>
      </c>
    </row>
    <row r="509" spans="1:15" x14ac:dyDescent="0.25">
      <c r="A509" s="234" t="s">
        <v>1288</v>
      </c>
      <c r="B509" s="234" t="s">
        <v>20</v>
      </c>
      <c r="C509" s="245">
        <v>46146</v>
      </c>
      <c r="D509" s="234">
        <v>0</v>
      </c>
      <c r="E509" s="246">
        <v>13500</v>
      </c>
      <c r="F509" s="247" t="s">
        <v>1287</v>
      </c>
      <c r="G509" s="34" t="s">
        <v>7</v>
      </c>
      <c r="H509" s="234" t="s">
        <v>1289</v>
      </c>
      <c r="I509" s="248" t="s">
        <v>7</v>
      </c>
      <c r="J509" s="249" t="s">
        <v>554</v>
      </c>
      <c r="K509" s="250">
        <v>13500</v>
      </c>
      <c r="L509" s="250">
        <v>0</v>
      </c>
      <c r="M509" s="251" t="s">
        <v>20</v>
      </c>
      <c r="N509" s="252">
        <v>0</v>
      </c>
      <c r="O509" s="185" t="s">
        <v>51</v>
      </c>
    </row>
    <row r="510" spans="1:15" x14ac:dyDescent="0.25">
      <c r="A510" s="234" t="s">
        <v>943</v>
      </c>
      <c r="B510" s="234" t="s">
        <v>20</v>
      </c>
      <c r="C510" s="245">
        <v>46146</v>
      </c>
      <c r="D510" s="234">
        <v>0</v>
      </c>
      <c r="E510" s="246">
        <v>255000</v>
      </c>
      <c r="F510" s="247" t="s">
        <v>942</v>
      </c>
      <c r="G510" s="34" t="s">
        <v>7</v>
      </c>
      <c r="H510" s="234" t="s">
        <v>944</v>
      </c>
      <c r="I510" s="248" t="s">
        <v>7</v>
      </c>
      <c r="J510" s="249" t="s">
        <v>554</v>
      </c>
      <c r="K510" s="250">
        <v>255000</v>
      </c>
      <c r="L510" s="250">
        <v>0</v>
      </c>
      <c r="M510" s="251" t="s">
        <v>20</v>
      </c>
      <c r="N510" s="252">
        <v>0</v>
      </c>
      <c r="O510" s="185" t="s">
        <v>51</v>
      </c>
    </row>
    <row r="511" spans="1:15" x14ac:dyDescent="0.25">
      <c r="A511" s="234" t="s">
        <v>876</v>
      </c>
      <c r="B511" s="234" t="s">
        <v>20</v>
      </c>
      <c r="C511" s="245">
        <v>46146</v>
      </c>
      <c r="D511" s="234">
        <v>0</v>
      </c>
      <c r="E511" s="246">
        <v>79844</v>
      </c>
      <c r="F511" s="247" t="s">
        <v>875</v>
      </c>
      <c r="G511" s="34" t="s">
        <v>7</v>
      </c>
      <c r="H511" s="234" t="s">
        <v>877</v>
      </c>
      <c r="I511" s="248" t="s">
        <v>7</v>
      </c>
      <c r="J511" s="249" t="s">
        <v>554</v>
      </c>
      <c r="K511" s="250">
        <v>79844</v>
      </c>
      <c r="L511" s="250">
        <v>0</v>
      </c>
      <c r="M511" s="251" t="s">
        <v>20</v>
      </c>
      <c r="N511" s="252">
        <v>0</v>
      </c>
      <c r="O511" s="185" t="s">
        <v>51</v>
      </c>
    </row>
    <row r="512" spans="1:15" x14ac:dyDescent="0.25">
      <c r="A512" s="234" t="s">
        <v>7612</v>
      </c>
      <c r="B512" s="234" t="s">
        <v>20</v>
      </c>
      <c r="C512" s="245">
        <v>46146</v>
      </c>
      <c r="D512" s="234">
        <v>0</v>
      </c>
      <c r="E512" s="246">
        <v>201944</v>
      </c>
      <c r="F512" s="247" t="s">
        <v>7613</v>
      </c>
      <c r="G512" s="34" t="s">
        <v>7</v>
      </c>
      <c r="H512" s="234" t="s">
        <v>7614</v>
      </c>
      <c r="I512" s="248" t="s">
        <v>7</v>
      </c>
      <c r="J512" s="249" t="s">
        <v>492</v>
      </c>
      <c r="K512" s="250">
        <v>0</v>
      </c>
      <c r="L512" s="250">
        <v>0</v>
      </c>
      <c r="M512" s="251" t="s">
        <v>20</v>
      </c>
      <c r="N512" s="252">
        <v>0</v>
      </c>
      <c r="O512" s="185" t="s">
        <v>51</v>
      </c>
    </row>
    <row r="513" spans="1:15" x14ac:dyDescent="0.25">
      <c r="A513" s="234" t="s">
        <v>950</v>
      </c>
      <c r="B513" s="234" t="s">
        <v>20</v>
      </c>
      <c r="C513" s="245">
        <v>46146</v>
      </c>
      <c r="D513" s="234">
        <v>0</v>
      </c>
      <c r="E513" s="246">
        <v>252401</v>
      </c>
      <c r="F513" s="247" t="s">
        <v>949</v>
      </c>
      <c r="G513" s="34" t="s">
        <v>7</v>
      </c>
      <c r="H513" s="234" t="s">
        <v>951</v>
      </c>
      <c r="I513" s="248" t="s">
        <v>7</v>
      </c>
      <c r="J513" s="249" t="s">
        <v>554</v>
      </c>
      <c r="K513" s="250">
        <v>252381</v>
      </c>
      <c r="L513" s="250">
        <v>0</v>
      </c>
      <c r="M513" s="251" t="s">
        <v>20</v>
      </c>
      <c r="N513" s="252">
        <v>0</v>
      </c>
      <c r="O513" s="185" t="s">
        <v>51</v>
      </c>
    </row>
    <row r="514" spans="1:15" x14ac:dyDescent="0.25">
      <c r="A514" s="234" t="s">
        <v>7615</v>
      </c>
      <c r="B514" s="234" t="s">
        <v>20</v>
      </c>
      <c r="C514" s="245">
        <v>46146</v>
      </c>
      <c r="D514" s="234">
        <v>0</v>
      </c>
      <c r="E514" s="246">
        <v>122975.92</v>
      </c>
      <c r="F514" s="247" t="s">
        <v>7616</v>
      </c>
      <c r="G514" s="34" t="s">
        <v>7</v>
      </c>
      <c r="H514" s="234" t="s">
        <v>7617</v>
      </c>
      <c r="I514" s="248" t="s">
        <v>7</v>
      </c>
      <c r="J514" s="249" t="s">
        <v>492</v>
      </c>
      <c r="K514" s="250">
        <v>0</v>
      </c>
      <c r="L514" s="250">
        <v>0</v>
      </c>
      <c r="M514" s="251" t="s">
        <v>20</v>
      </c>
      <c r="N514" s="252">
        <v>0</v>
      </c>
      <c r="O514" s="185" t="s">
        <v>51</v>
      </c>
    </row>
    <row r="515" spans="1:15" x14ac:dyDescent="0.25">
      <c r="A515" s="234" t="s">
        <v>965</v>
      </c>
      <c r="B515" s="234" t="s">
        <v>20</v>
      </c>
      <c r="C515" s="245">
        <v>46146</v>
      </c>
      <c r="D515" s="234">
        <v>0</v>
      </c>
      <c r="E515" s="246">
        <v>145500</v>
      </c>
      <c r="F515" s="247" t="s">
        <v>964</v>
      </c>
      <c r="G515" s="34" t="s">
        <v>7</v>
      </c>
      <c r="H515" s="234" t="s">
        <v>966</v>
      </c>
      <c r="I515" s="248" t="s">
        <v>7</v>
      </c>
      <c r="J515" s="249" t="s">
        <v>554</v>
      </c>
      <c r="K515" s="250">
        <v>145500</v>
      </c>
      <c r="L515" s="250">
        <v>0</v>
      </c>
      <c r="M515" s="251" t="s">
        <v>20</v>
      </c>
      <c r="N515" s="252">
        <v>0</v>
      </c>
      <c r="O515" s="185" t="s">
        <v>51</v>
      </c>
    </row>
    <row r="516" spans="1:15" x14ac:dyDescent="0.25">
      <c r="A516" s="234" t="s">
        <v>7618</v>
      </c>
      <c r="B516" s="234" t="s">
        <v>20</v>
      </c>
      <c r="C516" s="245">
        <v>46146</v>
      </c>
      <c r="D516" s="234">
        <v>0</v>
      </c>
      <c r="E516" s="246">
        <v>50000</v>
      </c>
      <c r="F516" s="247" t="s">
        <v>7619</v>
      </c>
      <c r="G516" s="34" t="s">
        <v>7</v>
      </c>
      <c r="H516" s="234" t="s">
        <v>7620</v>
      </c>
      <c r="I516" s="248" t="s">
        <v>7</v>
      </c>
      <c r="J516" s="249" t="s">
        <v>492</v>
      </c>
      <c r="K516" s="250">
        <v>0</v>
      </c>
      <c r="L516" s="250">
        <v>0</v>
      </c>
      <c r="M516" s="251" t="s">
        <v>20</v>
      </c>
      <c r="N516" s="252">
        <v>0</v>
      </c>
      <c r="O516" s="185" t="s">
        <v>51</v>
      </c>
    </row>
    <row r="517" spans="1:15" x14ac:dyDescent="0.25">
      <c r="A517" s="234" t="s">
        <v>7621</v>
      </c>
      <c r="B517" s="234" t="s">
        <v>20</v>
      </c>
      <c r="C517" s="245">
        <v>46146</v>
      </c>
      <c r="D517" s="234">
        <v>0</v>
      </c>
      <c r="E517" s="246">
        <v>123624</v>
      </c>
      <c r="F517" s="247" t="s">
        <v>7622</v>
      </c>
      <c r="G517" s="34" t="s">
        <v>7</v>
      </c>
      <c r="H517" s="234" t="s">
        <v>7623</v>
      </c>
      <c r="I517" s="248" t="s">
        <v>7</v>
      </c>
      <c r="J517" s="249" t="s">
        <v>492</v>
      </c>
      <c r="K517" s="250">
        <v>0</v>
      </c>
      <c r="L517" s="250">
        <v>0</v>
      </c>
      <c r="M517" s="251" t="s">
        <v>20</v>
      </c>
      <c r="N517" s="252">
        <v>0</v>
      </c>
      <c r="O517" s="185" t="s">
        <v>51</v>
      </c>
    </row>
    <row r="518" spans="1:15" x14ac:dyDescent="0.25">
      <c r="A518" s="234" t="s">
        <v>930</v>
      </c>
      <c r="B518" s="234" t="s">
        <v>20</v>
      </c>
      <c r="C518" s="245">
        <v>46146</v>
      </c>
      <c r="D518" s="234">
        <v>0</v>
      </c>
      <c r="E518" s="246">
        <v>203663</v>
      </c>
      <c r="F518" s="247" t="s">
        <v>929</v>
      </c>
      <c r="G518" s="34" t="s">
        <v>7</v>
      </c>
      <c r="H518" s="234" t="s">
        <v>931</v>
      </c>
      <c r="I518" s="248" t="s">
        <v>7</v>
      </c>
      <c r="J518" s="249" t="s">
        <v>554</v>
      </c>
      <c r="K518" s="250">
        <v>203663</v>
      </c>
      <c r="L518" s="250">
        <v>0</v>
      </c>
      <c r="M518" s="251" t="s">
        <v>20</v>
      </c>
      <c r="N518" s="252">
        <v>0</v>
      </c>
      <c r="O518" s="185" t="s">
        <v>51</v>
      </c>
    </row>
    <row r="519" spans="1:15" x14ac:dyDescent="0.25">
      <c r="A519" s="234" t="s">
        <v>5736</v>
      </c>
      <c r="B519" s="234" t="s">
        <v>20</v>
      </c>
      <c r="C519" s="245">
        <v>46146</v>
      </c>
      <c r="D519" s="234">
        <v>0</v>
      </c>
      <c r="E519" s="246">
        <v>15459</v>
      </c>
      <c r="F519" s="247" t="s">
        <v>5738</v>
      </c>
      <c r="G519" s="34" t="s">
        <v>7</v>
      </c>
      <c r="H519" s="234" t="s">
        <v>5737</v>
      </c>
      <c r="I519" s="248" t="s">
        <v>7</v>
      </c>
      <c r="J519" s="249" t="s">
        <v>554</v>
      </c>
      <c r="K519" s="250">
        <v>15459</v>
      </c>
      <c r="L519" s="250">
        <v>0</v>
      </c>
      <c r="M519" s="251" t="s">
        <v>20</v>
      </c>
      <c r="N519" s="252">
        <v>0</v>
      </c>
      <c r="O519" s="185" t="s">
        <v>51</v>
      </c>
    </row>
    <row r="520" spans="1:15" x14ac:dyDescent="0.25">
      <c r="A520" s="234" t="s">
        <v>5736</v>
      </c>
      <c r="B520" s="234" t="s">
        <v>20</v>
      </c>
      <c r="C520" s="245">
        <v>46146</v>
      </c>
      <c r="D520" s="234">
        <v>0</v>
      </c>
      <c r="E520" s="246">
        <v>400000</v>
      </c>
      <c r="F520" s="247" t="s">
        <v>5735</v>
      </c>
      <c r="G520" s="34" t="s">
        <v>7</v>
      </c>
      <c r="H520" s="234" t="s">
        <v>5737</v>
      </c>
      <c r="I520" s="248" t="s">
        <v>7</v>
      </c>
      <c r="J520" s="249" t="s">
        <v>554</v>
      </c>
      <c r="K520" s="250">
        <v>400000</v>
      </c>
      <c r="L520" s="250">
        <v>0</v>
      </c>
      <c r="M520" s="251" t="s">
        <v>20</v>
      </c>
      <c r="N520" s="252">
        <v>0</v>
      </c>
      <c r="O520" s="185" t="s">
        <v>51</v>
      </c>
    </row>
    <row r="521" spans="1:15" x14ac:dyDescent="0.25">
      <c r="A521" s="234" t="s">
        <v>834</v>
      </c>
      <c r="B521" s="234" t="s">
        <v>20</v>
      </c>
      <c r="C521" s="245">
        <v>46146</v>
      </c>
      <c r="D521" s="234">
        <v>0</v>
      </c>
      <c r="E521" s="246">
        <v>40980</v>
      </c>
      <c r="F521" s="247" t="s">
        <v>833</v>
      </c>
      <c r="G521" s="34" t="s">
        <v>7</v>
      </c>
      <c r="H521" s="234" t="s">
        <v>835</v>
      </c>
      <c r="I521" s="248" t="s">
        <v>7</v>
      </c>
      <c r="J521" s="249" t="s">
        <v>554</v>
      </c>
      <c r="K521" s="250">
        <v>40980</v>
      </c>
      <c r="L521" s="250">
        <v>0</v>
      </c>
      <c r="M521" s="251" t="s">
        <v>20</v>
      </c>
      <c r="N521" s="252">
        <v>0</v>
      </c>
      <c r="O521" s="185" t="s">
        <v>51</v>
      </c>
    </row>
    <row r="522" spans="1:15" x14ac:dyDescent="0.25">
      <c r="A522" s="234" t="s">
        <v>897</v>
      </c>
      <c r="B522" s="234" t="s">
        <v>20</v>
      </c>
      <c r="C522" s="245">
        <v>46146</v>
      </c>
      <c r="D522" s="234">
        <v>0</v>
      </c>
      <c r="E522" s="246">
        <v>100000</v>
      </c>
      <c r="F522" s="247" t="s">
        <v>899</v>
      </c>
      <c r="G522" s="34" t="s">
        <v>7</v>
      </c>
      <c r="H522" s="234" t="s">
        <v>898</v>
      </c>
      <c r="I522" s="248" t="s">
        <v>7</v>
      </c>
      <c r="J522" s="249" t="s">
        <v>61</v>
      </c>
      <c r="K522" s="250">
        <v>100000</v>
      </c>
      <c r="L522" s="250">
        <v>0</v>
      </c>
      <c r="M522" s="251" t="s">
        <v>20</v>
      </c>
      <c r="N522" s="252">
        <v>0</v>
      </c>
      <c r="O522" s="185" t="s">
        <v>51</v>
      </c>
    </row>
    <row r="523" spans="1:15" x14ac:dyDescent="0.25">
      <c r="A523" s="234" t="s">
        <v>897</v>
      </c>
      <c r="B523" s="234" t="s">
        <v>20</v>
      </c>
      <c r="C523" s="245">
        <v>46146</v>
      </c>
      <c r="D523" s="234">
        <v>0</v>
      </c>
      <c r="E523" s="246">
        <v>23329</v>
      </c>
      <c r="F523" s="247" t="s">
        <v>896</v>
      </c>
      <c r="G523" s="34" t="s">
        <v>7</v>
      </c>
      <c r="H523" s="234" t="s">
        <v>898</v>
      </c>
      <c r="I523" s="248" t="s">
        <v>7</v>
      </c>
      <c r="J523" s="249" t="s">
        <v>61</v>
      </c>
      <c r="K523" s="250">
        <v>23329</v>
      </c>
      <c r="L523" s="250">
        <v>0</v>
      </c>
      <c r="M523" s="251" t="s">
        <v>20</v>
      </c>
      <c r="N523" s="252">
        <v>0</v>
      </c>
      <c r="O523" s="185" t="s">
        <v>51</v>
      </c>
    </row>
    <row r="524" spans="1:15" x14ac:dyDescent="0.25">
      <c r="A524" s="234" t="s">
        <v>880</v>
      </c>
      <c r="B524" s="234" t="s">
        <v>20</v>
      </c>
      <c r="C524" s="245">
        <v>46146</v>
      </c>
      <c r="D524" s="234">
        <v>0</v>
      </c>
      <c r="E524" s="246">
        <v>166284</v>
      </c>
      <c r="F524" s="247" t="s">
        <v>879</v>
      </c>
      <c r="G524" s="34" t="s">
        <v>7</v>
      </c>
      <c r="H524" s="234" t="s">
        <v>881</v>
      </c>
      <c r="I524" s="248" t="s">
        <v>7</v>
      </c>
      <c r="J524" s="249" t="s">
        <v>554</v>
      </c>
      <c r="K524" s="250">
        <v>166254</v>
      </c>
      <c r="L524" s="250">
        <v>0</v>
      </c>
      <c r="M524" s="251" t="s">
        <v>20</v>
      </c>
      <c r="N524" s="252">
        <v>0</v>
      </c>
      <c r="O524" s="185" t="s">
        <v>51</v>
      </c>
    </row>
    <row r="525" spans="1:15" x14ac:dyDescent="0.25">
      <c r="A525" s="234" t="s">
        <v>976</v>
      </c>
      <c r="B525" s="234" t="s">
        <v>20</v>
      </c>
      <c r="C525" s="245">
        <v>46146</v>
      </c>
      <c r="D525" s="234">
        <v>0</v>
      </c>
      <c r="E525" s="246">
        <v>124504</v>
      </c>
      <c r="F525" s="247" t="s">
        <v>975</v>
      </c>
      <c r="G525" s="34" t="s">
        <v>7</v>
      </c>
      <c r="H525" s="234" t="s">
        <v>977</v>
      </c>
      <c r="I525" s="248" t="s">
        <v>7</v>
      </c>
      <c r="J525" s="249" t="s">
        <v>61</v>
      </c>
      <c r="K525" s="250">
        <v>124504</v>
      </c>
      <c r="L525" s="250">
        <v>0</v>
      </c>
      <c r="M525" s="251" t="s">
        <v>20</v>
      </c>
      <c r="N525" s="252">
        <v>0</v>
      </c>
      <c r="O525" s="185" t="s">
        <v>51</v>
      </c>
    </row>
    <row r="526" spans="1:15" x14ac:dyDescent="0.25">
      <c r="A526" s="234" t="s">
        <v>1765</v>
      </c>
      <c r="B526" s="234" t="s">
        <v>20</v>
      </c>
      <c r="C526" s="245">
        <v>46146</v>
      </c>
      <c r="D526" s="234">
        <v>0</v>
      </c>
      <c r="E526" s="246">
        <v>435721</v>
      </c>
      <c r="F526" s="247" t="s">
        <v>1768</v>
      </c>
      <c r="G526" s="34" t="s">
        <v>7</v>
      </c>
      <c r="H526" s="234" t="s">
        <v>1766</v>
      </c>
      <c r="I526" s="248" t="s">
        <v>7</v>
      </c>
      <c r="J526" s="249" t="s">
        <v>554</v>
      </c>
      <c r="K526" s="250">
        <v>871442</v>
      </c>
      <c r="L526" s="250">
        <v>0</v>
      </c>
      <c r="M526" s="251" t="s">
        <v>20</v>
      </c>
      <c r="N526" s="252">
        <v>0</v>
      </c>
      <c r="O526" s="185" t="s">
        <v>51</v>
      </c>
    </row>
    <row r="527" spans="1:15" x14ac:dyDescent="0.25">
      <c r="A527" s="234" t="s">
        <v>901</v>
      </c>
      <c r="B527" s="234" t="s">
        <v>20</v>
      </c>
      <c r="C527" s="245">
        <v>46146</v>
      </c>
      <c r="D527" s="234">
        <v>0</v>
      </c>
      <c r="E527" s="246">
        <v>123600</v>
      </c>
      <c r="F527" s="247" t="s">
        <v>900</v>
      </c>
      <c r="G527" s="34" t="s">
        <v>7</v>
      </c>
      <c r="H527" s="234" t="s">
        <v>902</v>
      </c>
      <c r="I527" s="248" t="s">
        <v>7</v>
      </c>
      <c r="J527" s="249" t="s">
        <v>554</v>
      </c>
      <c r="K527" s="250">
        <v>123600</v>
      </c>
      <c r="L527" s="250">
        <v>0</v>
      </c>
      <c r="M527" s="251" t="s">
        <v>20</v>
      </c>
      <c r="N527" s="252">
        <v>0</v>
      </c>
      <c r="O527" s="185" t="s">
        <v>51</v>
      </c>
    </row>
    <row r="528" spans="1:15" x14ac:dyDescent="0.25">
      <c r="A528" s="234" t="s">
        <v>7624</v>
      </c>
      <c r="B528" s="234" t="s">
        <v>24</v>
      </c>
      <c r="C528" s="245">
        <v>46146</v>
      </c>
      <c r="D528" s="234">
        <v>0</v>
      </c>
      <c r="E528" s="246">
        <v>60000</v>
      </c>
      <c r="F528" s="247" t="s">
        <v>7625</v>
      </c>
      <c r="G528" s="34" t="s">
        <v>7</v>
      </c>
      <c r="H528" s="234" t="s">
        <v>7626</v>
      </c>
      <c r="I528" s="248" t="s">
        <v>7524</v>
      </c>
      <c r="J528" s="249" t="s">
        <v>7627</v>
      </c>
      <c r="K528" s="250">
        <v>60000</v>
      </c>
      <c r="L528" s="250">
        <v>60000</v>
      </c>
      <c r="M528" s="251" t="s">
        <v>24</v>
      </c>
      <c r="N528" s="252">
        <v>0</v>
      </c>
      <c r="O528" s="185" t="s">
        <v>51</v>
      </c>
    </row>
    <row r="529" spans="1:15" x14ac:dyDescent="0.25">
      <c r="A529" s="234" t="s">
        <v>2277</v>
      </c>
      <c r="B529" s="234" t="s">
        <v>24</v>
      </c>
      <c r="C529" s="245">
        <v>46146</v>
      </c>
      <c r="D529" s="234">
        <v>0</v>
      </c>
      <c r="E529" s="246">
        <v>43000</v>
      </c>
      <c r="F529" s="247" t="s">
        <v>2276</v>
      </c>
      <c r="G529" s="34" t="s">
        <v>7</v>
      </c>
      <c r="H529" s="234" t="s">
        <v>2278</v>
      </c>
      <c r="I529" s="248" t="s">
        <v>7</v>
      </c>
      <c r="J529" s="249" t="s">
        <v>554</v>
      </c>
      <c r="K529" s="250">
        <v>43000</v>
      </c>
      <c r="L529" s="250">
        <v>0</v>
      </c>
      <c r="M529" s="251" t="s">
        <v>24</v>
      </c>
      <c r="N529" s="252">
        <v>0</v>
      </c>
      <c r="O529" s="185" t="s">
        <v>51</v>
      </c>
    </row>
    <row r="530" spans="1:15" x14ac:dyDescent="0.25">
      <c r="A530" s="234" t="s">
        <v>7628</v>
      </c>
      <c r="B530" s="234" t="s">
        <v>24</v>
      </c>
      <c r="C530" s="245">
        <v>46146</v>
      </c>
      <c r="D530" s="234">
        <v>0</v>
      </c>
      <c r="E530" s="246">
        <v>1995632</v>
      </c>
      <c r="F530" s="247" t="s">
        <v>7629</v>
      </c>
      <c r="G530" s="34" t="s">
        <v>7</v>
      </c>
      <c r="H530" s="234" t="s">
        <v>7630</v>
      </c>
      <c r="I530" s="248" t="s">
        <v>7</v>
      </c>
      <c r="J530" s="249" t="s">
        <v>492</v>
      </c>
      <c r="K530" s="250">
        <v>0</v>
      </c>
      <c r="L530" s="250">
        <v>0</v>
      </c>
      <c r="M530" s="251" t="s">
        <v>24</v>
      </c>
      <c r="N530" s="252">
        <v>0</v>
      </c>
      <c r="O530" s="185" t="s">
        <v>51</v>
      </c>
    </row>
    <row r="531" spans="1:15" x14ac:dyDescent="0.25">
      <c r="A531" s="234" t="s">
        <v>2641</v>
      </c>
      <c r="B531" s="234" t="s">
        <v>46</v>
      </c>
      <c r="C531" s="245">
        <v>46146</v>
      </c>
      <c r="D531" s="234">
        <v>0</v>
      </c>
      <c r="E531" s="246">
        <v>210000</v>
      </c>
      <c r="F531" s="247">
        <v>0</v>
      </c>
      <c r="G531" s="34" t="s">
        <v>83</v>
      </c>
      <c r="H531" s="234" t="s">
        <v>2642</v>
      </c>
      <c r="I531" s="248" t="s">
        <v>7</v>
      </c>
      <c r="J531" s="249" t="s">
        <v>492</v>
      </c>
      <c r="K531" s="250">
        <v>0</v>
      </c>
      <c r="L531" s="250">
        <v>0</v>
      </c>
      <c r="M531" s="251" t="s">
        <v>46</v>
      </c>
      <c r="N531" s="252">
        <v>0</v>
      </c>
      <c r="O531" s="185" t="s">
        <v>51</v>
      </c>
    </row>
    <row r="532" spans="1:15" x14ac:dyDescent="0.25">
      <c r="A532" s="234" t="s">
        <v>7631</v>
      </c>
      <c r="B532" s="234" t="s">
        <v>46</v>
      </c>
      <c r="C532" s="245">
        <v>46146</v>
      </c>
      <c r="D532" s="234">
        <v>0</v>
      </c>
      <c r="E532" s="246">
        <v>490098</v>
      </c>
      <c r="F532" s="247">
        <v>0</v>
      </c>
      <c r="G532" s="34" t="s">
        <v>83</v>
      </c>
      <c r="H532" s="234" t="s">
        <v>7632</v>
      </c>
      <c r="I532" s="248" t="s">
        <v>7</v>
      </c>
      <c r="J532" s="249" t="s">
        <v>492</v>
      </c>
      <c r="K532" s="250">
        <v>0</v>
      </c>
      <c r="L532" s="250">
        <v>0</v>
      </c>
      <c r="M532" s="251" t="s">
        <v>46</v>
      </c>
      <c r="N532" s="252">
        <v>0</v>
      </c>
      <c r="O532" s="185" t="s">
        <v>51</v>
      </c>
    </row>
    <row r="533" spans="1:15" x14ac:dyDescent="0.25">
      <c r="A533" s="234" t="s">
        <v>2726</v>
      </c>
      <c r="B533" s="234" t="s">
        <v>19</v>
      </c>
      <c r="C533" s="245">
        <v>46146</v>
      </c>
      <c r="D533" s="234" t="s">
        <v>603</v>
      </c>
      <c r="E533" s="246">
        <v>229500</v>
      </c>
      <c r="F533" s="247" t="s">
        <v>2725</v>
      </c>
      <c r="G533" s="34" t="s">
        <v>7</v>
      </c>
      <c r="H533" s="234" t="s">
        <v>2727</v>
      </c>
      <c r="I533" s="248" t="s">
        <v>7</v>
      </c>
      <c r="J533" s="249" t="s">
        <v>554</v>
      </c>
      <c r="K533" s="250">
        <v>229500</v>
      </c>
      <c r="L533" s="250">
        <v>0</v>
      </c>
      <c r="M533" s="251" t="s">
        <v>19</v>
      </c>
      <c r="N533" s="252">
        <v>0</v>
      </c>
      <c r="O533" s="185" t="s">
        <v>51</v>
      </c>
    </row>
    <row r="534" spans="1:15" x14ac:dyDescent="0.25">
      <c r="A534" s="234" t="s">
        <v>3819</v>
      </c>
      <c r="B534" s="234" t="s">
        <v>10</v>
      </c>
      <c r="C534" s="245">
        <v>46146</v>
      </c>
      <c r="D534" s="234" t="s">
        <v>7275</v>
      </c>
      <c r="E534" s="246">
        <v>251596</v>
      </c>
      <c r="F534" s="247" t="s">
        <v>3818</v>
      </c>
      <c r="G534" s="34" t="s">
        <v>7</v>
      </c>
      <c r="H534" s="234" t="s">
        <v>3820</v>
      </c>
      <c r="I534" s="248" t="s">
        <v>7</v>
      </c>
      <c r="J534" s="249" t="s">
        <v>554</v>
      </c>
      <c r="K534" s="250">
        <v>251596.05</v>
      </c>
      <c r="L534" s="250">
        <v>0</v>
      </c>
      <c r="M534" s="251" t="s">
        <v>10</v>
      </c>
      <c r="N534" s="252">
        <v>0</v>
      </c>
      <c r="O534" s="185" t="s">
        <v>74</v>
      </c>
    </row>
    <row r="535" spans="1:15" x14ac:dyDescent="0.25">
      <c r="A535" s="234" t="s">
        <v>4910</v>
      </c>
      <c r="B535" s="234" t="s">
        <v>10</v>
      </c>
      <c r="C535" s="245">
        <v>46146</v>
      </c>
      <c r="D535" s="234" t="s">
        <v>7275</v>
      </c>
      <c r="E535" s="246">
        <v>152384</v>
      </c>
      <c r="F535" s="247" t="s">
        <v>4909</v>
      </c>
      <c r="G535" s="34" t="s">
        <v>7</v>
      </c>
      <c r="H535" s="234" t="s">
        <v>4911</v>
      </c>
      <c r="I535" s="248" t="s">
        <v>7</v>
      </c>
      <c r="J535" s="249" t="s">
        <v>554</v>
      </c>
      <c r="K535" s="250">
        <v>152384</v>
      </c>
      <c r="L535" s="250">
        <v>0</v>
      </c>
      <c r="M535" s="251" t="s">
        <v>10</v>
      </c>
      <c r="N535" s="252">
        <v>0</v>
      </c>
      <c r="O535" s="185" t="s">
        <v>77</v>
      </c>
    </row>
    <row r="536" spans="1:15" x14ac:dyDescent="0.25">
      <c r="A536" s="234" t="s">
        <v>4883</v>
      </c>
      <c r="B536" s="234" t="s">
        <v>10</v>
      </c>
      <c r="C536" s="245">
        <v>46146</v>
      </c>
      <c r="D536" s="234" t="s">
        <v>7275</v>
      </c>
      <c r="E536" s="246">
        <v>36725</v>
      </c>
      <c r="F536" s="247" t="s">
        <v>4909</v>
      </c>
      <c r="G536" s="34" t="s">
        <v>7</v>
      </c>
      <c r="H536" s="234" t="s">
        <v>4885</v>
      </c>
      <c r="I536" s="248" t="s">
        <v>7</v>
      </c>
      <c r="J536" s="249" t="s">
        <v>554</v>
      </c>
      <c r="K536" s="250">
        <v>152384</v>
      </c>
      <c r="L536" s="250">
        <v>0</v>
      </c>
      <c r="M536" s="251" t="s">
        <v>10</v>
      </c>
      <c r="N536" s="252">
        <v>0</v>
      </c>
      <c r="O536" s="185" t="s">
        <v>77</v>
      </c>
    </row>
    <row r="537" spans="1:15" x14ac:dyDescent="0.25">
      <c r="A537" s="234" t="s">
        <v>4891</v>
      </c>
      <c r="B537" s="234" t="s">
        <v>10</v>
      </c>
      <c r="C537" s="245">
        <v>46146</v>
      </c>
      <c r="D537" s="234" t="s">
        <v>7275</v>
      </c>
      <c r="E537" s="246">
        <v>120612.67</v>
      </c>
      <c r="F537" s="247" t="s">
        <v>4890</v>
      </c>
      <c r="G537" s="34" t="s">
        <v>7</v>
      </c>
      <c r="H537" s="234" t="s">
        <v>4892</v>
      </c>
      <c r="I537" s="248" t="s">
        <v>7</v>
      </c>
      <c r="J537" s="249" t="s">
        <v>61</v>
      </c>
      <c r="K537" s="250">
        <v>120612.67</v>
      </c>
      <c r="L537" s="250">
        <v>0</v>
      </c>
      <c r="M537" s="251" t="s">
        <v>10</v>
      </c>
      <c r="N537" s="252">
        <v>0</v>
      </c>
      <c r="O537" s="185" t="s">
        <v>77</v>
      </c>
    </row>
    <row r="538" spans="1:15" x14ac:dyDescent="0.25">
      <c r="A538" s="234" t="s">
        <v>4753</v>
      </c>
      <c r="B538" s="234" t="s">
        <v>10</v>
      </c>
      <c r="C538" s="245">
        <v>46146</v>
      </c>
      <c r="D538" s="234" t="s">
        <v>7275</v>
      </c>
      <c r="E538" s="246">
        <v>150006</v>
      </c>
      <c r="F538" s="247" t="s">
        <v>4752</v>
      </c>
      <c r="G538" s="34" t="s">
        <v>7</v>
      </c>
      <c r="H538" s="234" t="s">
        <v>4755</v>
      </c>
      <c r="I538" s="248" t="s">
        <v>7</v>
      </c>
      <c r="J538" s="249" t="s">
        <v>554</v>
      </c>
      <c r="K538" s="250">
        <v>150006</v>
      </c>
      <c r="L538" s="250">
        <v>0</v>
      </c>
      <c r="M538" s="251" t="s">
        <v>10</v>
      </c>
      <c r="N538" s="252">
        <v>0</v>
      </c>
      <c r="O538" s="185" t="s">
        <v>77</v>
      </c>
    </row>
    <row r="539" spans="1:15" x14ac:dyDescent="0.25">
      <c r="A539" s="234" t="s">
        <v>4854</v>
      </c>
      <c r="B539" s="234" t="s">
        <v>10</v>
      </c>
      <c r="C539" s="245">
        <v>46146</v>
      </c>
      <c r="D539" s="234" t="s">
        <v>7275</v>
      </c>
      <c r="E539" s="246">
        <v>24000</v>
      </c>
      <c r="F539" s="247" t="s">
        <v>4856</v>
      </c>
      <c r="G539" s="34" t="s">
        <v>7</v>
      </c>
      <c r="H539" s="234" t="s">
        <v>4855</v>
      </c>
      <c r="I539" s="248" t="s">
        <v>7</v>
      </c>
      <c r="J539" s="249" t="s">
        <v>554</v>
      </c>
      <c r="K539" s="250">
        <v>24000</v>
      </c>
      <c r="L539" s="250">
        <v>0</v>
      </c>
      <c r="M539" s="251" t="s">
        <v>10</v>
      </c>
      <c r="N539" s="252">
        <v>0</v>
      </c>
      <c r="O539" s="185" t="s">
        <v>77</v>
      </c>
    </row>
    <row r="540" spans="1:15" x14ac:dyDescent="0.25">
      <c r="A540" s="234" t="s">
        <v>4761</v>
      </c>
      <c r="B540" s="234" t="s">
        <v>10</v>
      </c>
      <c r="C540" s="245">
        <v>46146</v>
      </c>
      <c r="D540" s="234">
        <v>0</v>
      </c>
      <c r="E540" s="246">
        <v>40000</v>
      </c>
      <c r="F540" s="247" t="s">
        <v>4760</v>
      </c>
      <c r="G540" s="34" t="s">
        <v>7</v>
      </c>
      <c r="H540" s="234" t="s">
        <v>4762</v>
      </c>
      <c r="I540" s="248" t="s">
        <v>7</v>
      </c>
      <c r="J540" s="249" t="s">
        <v>554</v>
      </c>
      <c r="K540" s="250">
        <v>40000</v>
      </c>
      <c r="L540" s="250">
        <v>0</v>
      </c>
      <c r="M540" s="251" t="s">
        <v>10</v>
      </c>
      <c r="N540" s="252">
        <v>0</v>
      </c>
      <c r="O540" s="185" t="s">
        <v>77</v>
      </c>
    </row>
    <row r="541" spans="1:15" x14ac:dyDescent="0.25">
      <c r="A541" s="234" t="s">
        <v>4761</v>
      </c>
      <c r="B541" s="234" t="s">
        <v>10</v>
      </c>
      <c r="C541" s="245">
        <v>46146</v>
      </c>
      <c r="D541" s="234">
        <v>0</v>
      </c>
      <c r="E541" s="246">
        <v>40000</v>
      </c>
      <c r="F541" s="247" t="s">
        <v>4764</v>
      </c>
      <c r="G541" s="34" t="s">
        <v>7</v>
      </c>
      <c r="H541" s="234" t="s">
        <v>4762</v>
      </c>
      <c r="I541" s="248" t="s">
        <v>7</v>
      </c>
      <c r="J541" s="249" t="s">
        <v>554</v>
      </c>
      <c r="K541" s="250">
        <v>40000</v>
      </c>
      <c r="L541" s="250">
        <v>0</v>
      </c>
      <c r="M541" s="251" t="s">
        <v>10</v>
      </c>
      <c r="N541" s="252">
        <v>0</v>
      </c>
      <c r="O541" s="185" t="s">
        <v>77</v>
      </c>
    </row>
    <row r="542" spans="1:15" x14ac:dyDescent="0.25">
      <c r="A542" s="234" t="s">
        <v>4831</v>
      </c>
      <c r="B542" s="234" t="s">
        <v>10</v>
      </c>
      <c r="C542" s="245">
        <v>46146</v>
      </c>
      <c r="D542" s="234">
        <v>0</v>
      </c>
      <c r="E542" s="246">
        <v>115564</v>
      </c>
      <c r="F542" s="247" t="s">
        <v>4830</v>
      </c>
      <c r="G542" s="34" t="s">
        <v>7</v>
      </c>
      <c r="H542" s="234" t="s">
        <v>4832</v>
      </c>
      <c r="I542" s="248" t="s">
        <v>7</v>
      </c>
      <c r="J542" s="249" t="s">
        <v>554</v>
      </c>
      <c r="K542" s="250">
        <v>115564</v>
      </c>
      <c r="L542" s="250">
        <v>0</v>
      </c>
      <c r="M542" s="251" t="s">
        <v>10</v>
      </c>
      <c r="N542" s="252">
        <v>0</v>
      </c>
      <c r="O542" s="185" t="s">
        <v>77</v>
      </c>
    </row>
    <row r="543" spans="1:15" x14ac:dyDescent="0.25">
      <c r="A543" s="234" t="s">
        <v>4854</v>
      </c>
      <c r="B543" s="234" t="s">
        <v>10</v>
      </c>
      <c r="C543" s="245">
        <v>46146</v>
      </c>
      <c r="D543" s="234">
        <v>0</v>
      </c>
      <c r="E543" s="246">
        <v>100935.05</v>
      </c>
      <c r="F543" s="247" t="s">
        <v>4853</v>
      </c>
      <c r="G543" s="34" t="s">
        <v>7</v>
      </c>
      <c r="H543" s="234" t="s">
        <v>4855</v>
      </c>
      <c r="I543" s="248" t="s">
        <v>7</v>
      </c>
      <c r="J543" s="249" t="s">
        <v>554</v>
      </c>
      <c r="K543" s="250">
        <v>100935.05</v>
      </c>
      <c r="L543" s="250">
        <v>0</v>
      </c>
      <c r="M543" s="251" t="s">
        <v>10</v>
      </c>
      <c r="N543" s="252">
        <v>0</v>
      </c>
      <c r="O543" s="185" t="s">
        <v>77</v>
      </c>
    </row>
    <row r="544" spans="1:15" x14ac:dyDescent="0.25">
      <c r="A544" s="234" t="s">
        <v>4854</v>
      </c>
      <c r="B544" s="234" t="s">
        <v>10</v>
      </c>
      <c r="C544" s="245">
        <v>46146</v>
      </c>
      <c r="D544" s="234">
        <v>0</v>
      </c>
      <c r="E544" s="246">
        <v>24000</v>
      </c>
      <c r="F544" s="247" t="s">
        <v>4856</v>
      </c>
      <c r="G544" s="34" t="s">
        <v>7</v>
      </c>
      <c r="H544" s="234" t="s">
        <v>4855</v>
      </c>
      <c r="I544" s="248" t="s">
        <v>7</v>
      </c>
      <c r="J544" s="249" t="s">
        <v>554</v>
      </c>
      <c r="K544" s="250">
        <v>24000</v>
      </c>
      <c r="L544" s="250">
        <v>0</v>
      </c>
      <c r="M544" s="251" t="s">
        <v>10</v>
      </c>
      <c r="N544" s="252">
        <v>0</v>
      </c>
      <c r="O544" s="185" t="s">
        <v>77</v>
      </c>
    </row>
    <row r="545" spans="1:15" x14ac:dyDescent="0.25">
      <c r="A545" s="234" t="s">
        <v>3726</v>
      </c>
      <c r="B545" s="234" t="s">
        <v>10</v>
      </c>
      <c r="C545" s="245">
        <v>46146</v>
      </c>
      <c r="D545" s="234">
        <v>0</v>
      </c>
      <c r="E545" s="246">
        <v>115564</v>
      </c>
      <c r="F545" s="247" t="s">
        <v>4830</v>
      </c>
      <c r="G545" s="34" t="s">
        <v>7</v>
      </c>
      <c r="H545" s="234" t="s">
        <v>3727</v>
      </c>
      <c r="I545" s="248" t="s">
        <v>7</v>
      </c>
      <c r="J545" s="249" t="s">
        <v>554</v>
      </c>
      <c r="K545" s="250">
        <v>115564</v>
      </c>
      <c r="L545" s="250">
        <v>0</v>
      </c>
      <c r="M545" s="251" t="s">
        <v>10</v>
      </c>
      <c r="N545" s="252">
        <v>0</v>
      </c>
      <c r="O545" s="185" t="s">
        <v>74</v>
      </c>
    </row>
    <row r="546" spans="1:15" x14ac:dyDescent="0.25">
      <c r="A546" s="234" t="s">
        <v>3685</v>
      </c>
      <c r="B546" s="234" t="s">
        <v>10</v>
      </c>
      <c r="C546" s="245">
        <v>46146</v>
      </c>
      <c r="D546" s="234">
        <v>0</v>
      </c>
      <c r="E546" s="246">
        <v>46500</v>
      </c>
      <c r="F546" s="247" t="s">
        <v>3684</v>
      </c>
      <c r="G546" s="34" t="s">
        <v>7</v>
      </c>
      <c r="H546" s="234" t="s">
        <v>3687</v>
      </c>
      <c r="I546" s="248" t="s">
        <v>7</v>
      </c>
      <c r="J546" s="249" t="s">
        <v>554</v>
      </c>
      <c r="K546" s="250">
        <v>46500</v>
      </c>
      <c r="L546" s="250">
        <v>0</v>
      </c>
      <c r="M546" s="251" t="s">
        <v>10</v>
      </c>
      <c r="N546" s="252">
        <v>0</v>
      </c>
      <c r="O546" s="185" t="s">
        <v>74</v>
      </c>
    </row>
    <row r="547" spans="1:15" x14ac:dyDescent="0.25">
      <c r="A547" s="234" t="s">
        <v>3717</v>
      </c>
      <c r="B547" s="234" t="s">
        <v>10</v>
      </c>
      <c r="C547" s="245">
        <v>46146</v>
      </c>
      <c r="D547" s="234">
        <v>0</v>
      </c>
      <c r="E547" s="246">
        <v>116008</v>
      </c>
      <c r="F547" s="247" t="s">
        <v>3716</v>
      </c>
      <c r="G547" s="34" t="s">
        <v>7</v>
      </c>
      <c r="H547" s="234" t="s">
        <v>3718</v>
      </c>
      <c r="I547" s="248" t="s">
        <v>7</v>
      </c>
      <c r="J547" s="249" t="s">
        <v>61</v>
      </c>
      <c r="K547" s="250">
        <v>116008</v>
      </c>
      <c r="L547" s="250">
        <v>0</v>
      </c>
      <c r="M547" s="251" t="s">
        <v>10</v>
      </c>
      <c r="N547" s="252">
        <v>0</v>
      </c>
      <c r="O547" s="185" t="s">
        <v>74</v>
      </c>
    </row>
    <row r="548" spans="1:15" x14ac:dyDescent="0.25">
      <c r="A548" s="234" t="s">
        <v>3767</v>
      </c>
      <c r="B548" s="234" t="s">
        <v>10</v>
      </c>
      <c r="C548" s="245">
        <v>46146</v>
      </c>
      <c r="D548" s="234">
        <v>0</v>
      </c>
      <c r="E548" s="246">
        <v>151488</v>
      </c>
      <c r="F548" s="247" t="s">
        <v>3766</v>
      </c>
      <c r="G548" s="34" t="s">
        <v>7</v>
      </c>
      <c r="H548" s="234" t="s">
        <v>3768</v>
      </c>
      <c r="I548" s="248" t="s">
        <v>7</v>
      </c>
      <c r="J548" s="249" t="s">
        <v>554</v>
      </c>
      <c r="K548" s="250">
        <v>151488</v>
      </c>
      <c r="L548" s="250">
        <v>0</v>
      </c>
      <c r="M548" s="251" t="s">
        <v>10</v>
      </c>
      <c r="N548" s="252">
        <v>0</v>
      </c>
      <c r="O548" s="185" t="s">
        <v>74</v>
      </c>
    </row>
    <row r="549" spans="1:15" x14ac:dyDescent="0.25">
      <c r="A549" s="234" t="s">
        <v>3779</v>
      </c>
      <c r="B549" s="234" t="s">
        <v>10</v>
      </c>
      <c r="C549" s="245">
        <v>46146</v>
      </c>
      <c r="D549" s="234">
        <v>0</v>
      </c>
      <c r="E549" s="246">
        <v>122376.63</v>
      </c>
      <c r="F549" s="247" t="s">
        <v>3778</v>
      </c>
      <c r="G549" s="34" t="s">
        <v>7</v>
      </c>
      <c r="H549" s="234" t="s">
        <v>3780</v>
      </c>
      <c r="I549" s="248" t="s">
        <v>7</v>
      </c>
      <c r="J549" s="249" t="s">
        <v>61</v>
      </c>
      <c r="K549" s="250">
        <v>122376.63</v>
      </c>
      <c r="L549" s="250">
        <v>0</v>
      </c>
      <c r="M549" s="251" t="s">
        <v>10</v>
      </c>
      <c r="N549" s="252">
        <v>0</v>
      </c>
      <c r="O549" s="185" t="s">
        <v>74</v>
      </c>
    </row>
    <row r="550" spans="1:15" x14ac:dyDescent="0.25">
      <c r="A550" s="234" t="s">
        <v>3800</v>
      </c>
      <c r="B550" s="234" t="s">
        <v>10</v>
      </c>
      <c r="C550" s="245">
        <v>46146</v>
      </c>
      <c r="D550" s="234">
        <v>0</v>
      </c>
      <c r="E550" s="246">
        <v>120000</v>
      </c>
      <c r="F550" s="247" t="s">
        <v>3808</v>
      </c>
      <c r="G550" s="34" t="s">
        <v>7</v>
      </c>
      <c r="H550" s="234" t="s">
        <v>3801</v>
      </c>
      <c r="I550" s="248" t="s">
        <v>7</v>
      </c>
      <c r="J550" s="249" t="s">
        <v>61</v>
      </c>
      <c r="K550" s="250">
        <v>23270</v>
      </c>
      <c r="L550" s="250">
        <v>0</v>
      </c>
      <c r="M550" s="251" t="s">
        <v>10</v>
      </c>
      <c r="N550" s="252">
        <v>0</v>
      </c>
      <c r="O550" s="185" t="s">
        <v>74</v>
      </c>
    </row>
    <row r="551" spans="1:15" x14ac:dyDescent="0.25">
      <c r="A551" s="234" t="s">
        <v>3805</v>
      </c>
      <c r="B551" s="234" t="s">
        <v>10</v>
      </c>
      <c r="C551" s="245">
        <v>46146</v>
      </c>
      <c r="D551" s="234">
        <v>0</v>
      </c>
      <c r="E551" s="246">
        <v>120000</v>
      </c>
      <c r="F551" s="247" t="s">
        <v>3799</v>
      </c>
      <c r="G551" s="34" t="s">
        <v>7</v>
      </c>
      <c r="H551" s="234" t="s">
        <v>3806</v>
      </c>
      <c r="I551" s="248" t="s">
        <v>7</v>
      </c>
      <c r="J551" s="249" t="s">
        <v>61</v>
      </c>
      <c r="K551" s="250">
        <v>24550</v>
      </c>
      <c r="L551" s="250">
        <v>0</v>
      </c>
      <c r="M551" s="251" t="s">
        <v>10</v>
      </c>
      <c r="N551" s="252">
        <v>0</v>
      </c>
      <c r="O551" s="185" t="s">
        <v>74</v>
      </c>
    </row>
    <row r="552" spans="1:15" x14ac:dyDescent="0.25">
      <c r="A552" s="234" t="s">
        <v>3563</v>
      </c>
      <c r="B552" s="234" t="s">
        <v>10</v>
      </c>
      <c r="C552" s="245">
        <v>46146</v>
      </c>
      <c r="D552" s="234">
        <v>0</v>
      </c>
      <c r="E552" s="246">
        <v>224282.21</v>
      </c>
      <c r="F552" s="247" t="s">
        <v>3562</v>
      </c>
      <c r="G552" s="34" t="s">
        <v>7</v>
      </c>
      <c r="H552" s="234" t="s">
        <v>3564</v>
      </c>
      <c r="I552" s="248" t="s">
        <v>7</v>
      </c>
      <c r="J552" s="249" t="s">
        <v>554</v>
      </c>
      <c r="K552" s="250">
        <v>224252.21</v>
      </c>
      <c r="L552" s="250">
        <v>0</v>
      </c>
      <c r="M552" s="251" t="s">
        <v>10</v>
      </c>
      <c r="N552" s="252">
        <v>0</v>
      </c>
      <c r="O552" s="185" t="s">
        <v>74</v>
      </c>
    </row>
    <row r="553" spans="1:15" x14ac:dyDescent="0.25">
      <c r="A553" s="234" t="s">
        <v>3720</v>
      </c>
      <c r="B553" s="234" t="s">
        <v>10</v>
      </c>
      <c r="C553" s="245">
        <v>46146</v>
      </c>
      <c r="D553" s="234">
        <v>0</v>
      </c>
      <c r="E553" s="246">
        <v>116008</v>
      </c>
      <c r="F553" s="247" t="s">
        <v>3719</v>
      </c>
      <c r="G553" s="34" t="s">
        <v>7</v>
      </c>
      <c r="H553" s="234" t="s">
        <v>3721</v>
      </c>
      <c r="I553" s="248" t="s">
        <v>7</v>
      </c>
      <c r="J553" s="249" t="s">
        <v>554</v>
      </c>
      <c r="K553" s="250">
        <v>116008</v>
      </c>
      <c r="L553" s="250">
        <v>0</v>
      </c>
      <c r="M553" s="251" t="s">
        <v>10</v>
      </c>
      <c r="N553" s="252">
        <v>0</v>
      </c>
      <c r="O553" s="185" t="s">
        <v>74</v>
      </c>
    </row>
    <row r="554" spans="1:15" x14ac:dyDescent="0.25">
      <c r="A554" s="234" t="s">
        <v>4063</v>
      </c>
      <c r="B554" s="234" t="s">
        <v>10</v>
      </c>
      <c r="C554" s="245">
        <v>46146</v>
      </c>
      <c r="D554" s="234" t="s">
        <v>7275</v>
      </c>
      <c r="E554" s="246">
        <v>2813433</v>
      </c>
      <c r="F554" s="247" t="s">
        <v>4062</v>
      </c>
      <c r="G554" s="34" t="s">
        <v>7</v>
      </c>
      <c r="H554" s="234" t="s">
        <v>4064</v>
      </c>
      <c r="I554" s="248" t="s">
        <v>7</v>
      </c>
      <c r="J554" s="249" t="s">
        <v>554</v>
      </c>
      <c r="K554" s="250">
        <v>2813433</v>
      </c>
      <c r="L554" s="250">
        <v>0</v>
      </c>
      <c r="M554" s="251" t="s">
        <v>10</v>
      </c>
      <c r="N554" s="252">
        <v>0</v>
      </c>
      <c r="O554" s="185" t="s">
        <v>74</v>
      </c>
    </row>
    <row r="555" spans="1:15" x14ac:dyDescent="0.25">
      <c r="A555" s="234" t="s">
        <v>2816</v>
      </c>
      <c r="B555" s="234" t="s">
        <v>21</v>
      </c>
      <c r="C555" s="245">
        <v>46146</v>
      </c>
      <c r="D555" s="234" t="s">
        <v>575</v>
      </c>
      <c r="E555" s="246">
        <v>50000</v>
      </c>
      <c r="F555" s="247" t="s">
        <v>2815</v>
      </c>
      <c r="G555" s="34" t="s">
        <v>7</v>
      </c>
      <c r="H555" s="234" t="s">
        <v>2817</v>
      </c>
      <c r="I555" s="248" t="s">
        <v>7</v>
      </c>
      <c r="J555" s="249" t="s">
        <v>554</v>
      </c>
      <c r="K555" s="250">
        <v>50000</v>
      </c>
      <c r="L555" s="250">
        <v>0</v>
      </c>
      <c r="M555" s="251" t="s">
        <v>21</v>
      </c>
      <c r="N555" s="252">
        <v>0</v>
      </c>
      <c r="O555" s="185" t="s">
        <v>51</v>
      </c>
    </row>
    <row r="556" spans="1:15" x14ac:dyDescent="0.25">
      <c r="A556" s="234" t="s">
        <v>2929</v>
      </c>
      <c r="B556" s="234" t="s">
        <v>21</v>
      </c>
      <c r="C556" s="245">
        <v>46146</v>
      </c>
      <c r="D556" s="234" t="s">
        <v>575</v>
      </c>
      <c r="E556" s="246">
        <v>54883</v>
      </c>
      <c r="F556" s="247" t="s">
        <v>2928</v>
      </c>
      <c r="G556" s="34" t="s">
        <v>7</v>
      </c>
      <c r="H556" s="234" t="s">
        <v>2930</v>
      </c>
      <c r="I556" s="248" t="s">
        <v>7</v>
      </c>
      <c r="J556" s="249" t="s">
        <v>554</v>
      </c>
      <c r="K556" s="250">
        <v>54883</v>
      </c>
      <c r="L556" s="250">
        <v>0</v>
      </c>
      <c r="M556" s="251" t="s">
        <v>21</v>
      </c>
      <c r="N556" s="252">
        <v>0</v>
      </c>
      <c r="O556" s="185" t="s">
        <v>51</v>
      </c>
    </row>
    <row r="557" spans="1:15" x14ac:dyDescent="0.25">
      <c r="A557" s="234" t="s">
        <v>3119</v>
      </c>
      <c r="B557" s="234" t="s">
        <v>21</v>
      </c>
      <c r="C557" s="245">
        <v>46146</v>
      </c>
      <c r="D557" s="234" t="s">
        <v>575</v>
      </c>
      <c r="E557" s="246">
        <v>137972</v>
      </c>
      <c r="F557" s="247" t="s">
        <v>3118</v>
      </c>
      <c r="G557" s="34" t="s">
        <v>7</v>
      </c>
      <c r="H557" s="234" t="s">
        <v>3120</v>
      </c>
      <c r="I557" s="248" t="s">
        <v>7</v>
      </c>
      <c r="J557" s="249" t="s">
        <v>554</v>
      </c>
      <c r="K557" s="250">
        <v>137972</v>
      </c>
      <c r="L557" s="250">
        <v>0</v>
      </c>
      <c r="M557" s="251" t="s">
        <v>21</v>
      </c>
      <c r="N557" s="252">
        <v>0</v>
      </c>
      <c r="O557" s="185" t="s">
        <v>51</v>
      </c>
    </row>
    <row r="558" spans="1:15" x14ac:dyDescent="0.25">
      <c r="A558" s="234" t="s">
        <v>2816</v>
      </c>
      <c r="B558" s="234" t="s">
        <v>21</v>
      </c>
      <c r="C558" s="245">
        <v>46146</v>
      </c>
      <c r="D558" s="234" t="s">
        <v>575</v>
      </c>
      <c r="E558" s="246">
        <v>14000</v>
      </c>
      <c r="F558" s="247" t="s">
        <v>2818</v>
      </c>
      <c r="G558" s="34" t="s">
        <v>7</v>
      </c>
      <c r="H558" s="234" t="s">
        <v>2817</v>
      </c>
      <c r="I558" s="248" t="s">
        <v>7</v>
      </c>
      <c r="J558" s="249" t="s">
        <v>554</v>
      </c>
      <c r="K558" s="250">
        <v>14000</v>
      </c>
      <c r="L558" s="250">
        <v>0</v>
      </c>
      <c r="M558" s="251" t="s">
        <v>21</v>
      </c>
      <c r="N558" s="252">
        <v>0</v>
      </c>
      <c r="O558" s="185" t="s">
        <v>51</v>
      </c>
    </row>
    <row r="559" spans="1:15" x14ac:dyDescent="0.25">
      <c r="A559" s="234" t="s">
        <v>2849</v>
      </c>
      <c r="B559" s="234" t="s">
        <v>21</v>
      </c>
      <c r="C559" s="245">
        <v>46146</v>
      </c>
      <c r="D559" s="234" t="s">
        <v>575</v>
      </c>
      <c r="E559" s="246">
        <v>110381</v>
      </c>
      <c r="F559" s="247" t="s">
        <v>2848</v>
      </c>
      <c r="G559" s="34" t="s">
        <v>7</v>
      </c>
      <c r="H559" s="234" t="s">
        <v>2850</v>
      </c>
      <c r="I559" s="248" t="s">
        <v>7</v>
      </c>
      <c r="J559" s="249" t="s">
        <v>62</v>
      </c>
      <c r="K559" s="250">
        <v>110383</v>
      </c>
      <c r="L559" s="250">
        <v>0</v>
      </c>
      <c r="M559" s="251" t="s">
        <v>21</v>
      </c>
      <c r="N559" s="252">
        <v>0</v>
      </c>
      <c r="O559" s="185" t="s">
        <v>51</v>
      </c>
    </row>
    <row r="560" spans="1:15" x14ac:dyDescent="0.25">
      <c r="A560" s="234" t="s">
        <v>2789</v>
      </c>
      <c r="B560" s="234" t="s">
        <v>21</v>
      </c>
      <c r="C560" s="245">
        <v>46146</v>
      </c>
      <c r="D560" s="234" t="s">
        <v>575</v>
      </c>
      <c r="E560" s="246">
        <v>127086</v>
      </c>
      <c r="F560" s="247" t="s">
        <v>2788</v>
      </c>
      <c r="G560" s="34" t="s">
        <v>7</v>
      </c>
      <c r="H560" s="234" t="s">
        <v>2790</v>
      </c>
      <c r="I560" s="248" t="s">
        <v>7</v>
      </c>
      <c r="J560" s="249" t="s">
        <v>554</v>
      </c>
      <c r="K560" s="250">
        <v>127086</v>
      </c>
      <c r="L560" s="250">
        <v>0</v>
      </c>
      <c r="M560" s="251" t="s">
        <v>21</v>
      </c>
      <c r="N560" s="252">
        <v>0</v>
      </c>
      <c r="O560" s="185" t="s">
        <v>51</v>
      </c>
    </row>
    <row r="561" spans="1:15" x14ac:dyDescent="0.25">
      <c r="A561" s="234" t="s">
        <v>3450</v>
      </c>
      <c r="B561" s="234" t="s">
        <v>21</v>
      </c>
      <c r="C561" s="245">
        <v>46146</v>
      </c>
      <c r="D561" s="234" t="s">
        <v>595</v>
      </c>
      <c r="E561" s="246">
        <v>818050</v>
      </c>
      <c r="F561" s="247" t="s">
        <v>7275</v>
      </c>
      <c r="G561" s="34" t="s">
        <v>7</v>
      </c>
      <c r="H561" s="234" t="s">
        <v>3451</v>
      </c>
      <c r="I561" s="248" t="s">
        <v>7</v>
      </c>
      <c r="J561" s="249" t="s">
        <v>492</v>
      </c>
      <c r="K561" s="250">
        <v>0</v>
      </c>
      <c r="L561" s="250">
        <v>0</v>
      </c>
      <c r="M561" s="251" t="s">
        <v>21</v>
      </c>
      <c r="N561" s="252">
        <v>0</v>
      </c>
      <c r="O561" s="185" t="s">
        <v>51</v>
      </c>
    </row>
    <row r="562" spans="1:15" x14ac:dyDescent="0.25">
      <c r="A562" s="234" t="s">
        <v>3429</v>
      </c>
      <c r="B562" s="234" t="s">
        <v>21</v>
      </c>
      <c r="C562" s="245">
        <v>46146</v>
      </c>
      <c r="D562" s="234" t="s">
        <v>595</v>
      </c>
      <c r="E562" s="246">
        <v>818047</v>
      </c>
      <c r="F562" s="247" t="s">
        <v>7275</v>
      </c>
      <c r="G562" s="34" t="s">
        <v>7</v>
      </c>
      <c r="H562" s="234" t="s">
        <v>3430</v>
      </c>
      <c r="I562" s="248" t="s">
        <v>7</v>
      </c>
      <c r="J562" s="249" t="s">
        <v>492</v>
      </c>
      <c r="K562" s="250">
        <v>0</v>
      </c>
      <c r="L562" s="250">
        <v>0</v>
      </c>
      <c r="M562" s="251" t="s">
        <v>21</v>
      </c>
      <c r="N562" s="252">
        <v>0</v>
      </c>
      <c r="O562" s="185" t="s">
        <v>51</v>
      </c>
    </row>
    <row r="563" spans="1:15" x14ac:dyDescent="0.25">
      <c r="A563" s="234" t="s">
        <v>3446</v>
      </c>
      <c r="B563" s="234" t="s">
        <v>21</v>
      </c>
      <c r="C563" s="245">
        <v>46146</v>
      </c>
      <c r="D563" s="234" t="s">
        <v>595</v>
      </c>
      <c r="E563" s="246">
        <v>145169</v>
      </c>
      <c r="F563" s="247" t="s">
        <v>7275</v>
      </c>
      <c r="G563" s="34" t="s">
        <v>7</v>
      </c>
      <c r="H563" s="234" t="s">
        <v>3447</v>
      </c>
      <c r="I563" s="248" t="s">
        <v>7</v>
      </c>
      <c r="J563" s="249" t="s">
        <v>492</v>
      </c>
      <c r="K563" s="250">
        <v>0</v>
      </c>
      <c r="L563" s="250">
        <v>0</v>
      </c>
      <c r="M563" s="251" t="s">
        <v>21</v>
      </c>
      <c r="N563" s="252">
        <v>0</v>
      </c>
      <c r="O563" s="185" t="s">
        <v>51</v>
      </c>
    </row>
    <row r="564" spans="1:15" x14ac:dyDescent="0.25">
      <c r="A564" s="234" t="s">
        <v>7633</v>
      </c>
      <c r="B564" s="234" t="s">
        <v>18</v>
      </c>
      <c r="C564" s="245">
        <v>46146</v>
      </c>
      <c r="D564" s="234">
        <v>0</v>
      </c>
      <c r="E564" s="246">
        <v>376674</v>
      </c>
      <c r="F564" s="247" t="s">
        <v>7634</v>
      </c>
      <c r="G564" s="34" t="s">
        <v>7</v>
      </c>
      <c r="H564" s="234" t="s">
        <v>7635</v>
      </c>
      <c r="I564" s="248" t="s">
        <v>7</v>
      </c>
      <c r="J564" s="249" t="s">
        <v>492</v>
      </c>
      <c r="K564" s="250">
        <v>0</v>
      </c>
      <c r="L564" s="250">
        <v>0</v>
      </c>
      <c r="M564" s="251" t="s">
        <v>18</v>
      </c>
      <c r="N564" s="252">
        <v>0</v>
      </c>
      <c r="O564" s="185" t="s">
        <v>51</v>
      </c>
    </row>
    <row r="565" spans="1:15" x14ac:dyDescent="0.25">
      <c r="A565" s="234" t="s">
        <v>5595</v>
      </c>
      <c r="B565" s="234" t="s">
        <v>18</v>
      </c>
      <c r="C565" s="245">
        <v>46146</v>
      </c>
      <c r="D565" s="234">
        <v>0</v>
      </c>
      <c r="E565" s="246">
        <v>13850</v>
      </c>
      <c r="F565" s="247" t="s">
        <v>5594</v>
      </c>
      <c r="G565" s="34" t="s">
        <v>7</v>
      </c>
      <c r="H565" s="234" t="s">
        <v>5597</v>
      </c>
      <c r="I565" s="248" t="s">
        <v>7</v>
      </c>
      <c r="J565" s="249" t="s">
        <v>554</v>
      </c>
      <c r="K565" s="250">
        <v>13850</v>
      </c>
      <c r="L565" s="250">
        <v>0</v>
      </c>
      <c r="M565" s="251" t="s">
        <v>18</v>
      </c>
      <c r="N565" s="252">
        <v>0</v>
      </c>
      <c r="O565" s="185" t="s">
        <v>51</v>
      </c>
    </row>
    <row r="566" spans="1:15" x14ac:dyDescent="0.25">
      <c r="A566" s="234" t="s">
        <v>803</v>
      </c>
      <c r="B566" s="234" t="s">
        <v>18</v>
      </c>
      <c r="C566" s="245">
        <v>46146</v>
      </c>
      <c r="D566" s="234">
        <v>0</v>
      </c>
      <c r="E566" s="246">
        <v>333704</v>
      </c>
      <c r="F566" s="247" t="s">
        <v>802</v>
      </c>
      <c r="G566" s="34" t="s">
        <v>7</v>
      </c>
      <c r="H566" s="234" t="s">
        <v>804</v>
      </c>
      <c r="I566" s="248" t="s">
        <v>7</v>
      </c>
      <c r="J566" s="249" t="s">
        <v>554</v>
      </c>
      <c r="K566" s="250">
        <v>333704</v>
      </c>
      <c r="L566" s="250">
        <v>0</v>
      </c>
      <c r="M566" s="251" t="s">
        <v>18</v>
      </c>
      <c r="N566" s="252">
        <v>0</v>
      </c>
      <c r="O566" s="185" t="s">
        <v>51</v>
      </c>
    </row>
    <row r="567" spans="1:15" x14ac:dyDescent="0.25">
      <c r="A567" s="234" t="s">
        <v>7636</v>
      </c>
      <c r="B567" s="234" t="s">
        <v>18</v>
      </c>
      <c r="C567" s="245">
        <v>46146</v>
      </c>
      <c r="D567" s="234">
        <v>0</v>
      </c>
      <c r="E567" s="246">
        <v>333704</v>
      </c>
      <c r="F567" s="247" t="s">
        <v>792</v>
      </c>
      <c r="G567" s="34" t="s">
        <v>7</v>
      </c>
      <c r="H567" s="234" t="s">
        <v>7637</v>
      </c>
      <c r="I567" s="248" t="s">
        <v>7</v>
      </c>
      <c r="J567" s="249" t="s">
        <v>554</v>
      </c>
      <c r="K567" s="250">
        <v>333704</v>
      </c>
      <c r="L567" s="250">
        <v>0</v>
      </c>
      <c r="M567" s="251" t="s">
        <v>18</v>
      </c>
      <c r="N567" s="252">
        <v>0</v>
      </c>
      <c r="O567" s="185" t="s">
        <v>51</v>
      </c>
    </row>
    <row r="568" spans="1:15" x14ac:dyDescent="0.25">
      <c r="A568" s="234" t="s">
        <v>754</v>
      </c>
      <c r="B568" s="234" t="s">
        <v>18</v>
      </c>
      <c r="C568" s="245">
        <v>46146</v>
      </c>
      <c r="D568" s="234">
        <v>0</v>
      </c>
      <c r="E568" s="246">
        <v>137895</v>
      </c>
      <c r="F568" s="247" t="s">
        <v>753</v>
      </c>
      <c r="G568" s="34" t="s">
        <v>7</v>
      </c>
      <c r="H568" s="234" t="s">
        <v>755</v>
      </c>
      <c r="I568" s="248" t="s">
        <v>7</v>
      </c>
      <c r="J568" s="249" t="s">
        <v>554</v>
      </c>
      <c r="K568" s="250">
        <v>137895</v>
      </c>
      <c r="L568" s="250">
        <v>0</v>
      </c>
      <c r="M568" s="251" t="s">
        <v>18</v>
      </c>
      <c r="N568" s="252">
        <v>0</v>
      </c>
      <c r="O568" s="185" t="s">
        <v>51</v>
      </c>
    </row>
    <row r="569" spans="1:15" x14ac:dyDescent="0.25">
      <c r="A569" s="234" t="s">
        <v>809</v>
      </c>
      <c r="B569" s="234" t="s">
        <v>18</v>
      </c>
      <c r="C569" s="245">
        <v>46146</v>
      </c>
      <c r="D569" s="234">
        <v>0</v>
      </c>
      <c r="E569" s="246">
        <v>49000</v>
      </c>
      <c r="F569" s="247" t="s">
        <v>808</v>
      </c>
      <c r="G569" s="34" t="s">
        <v>7</v>
      </c>
      <c r="H569" s="234" t="s">
        <v>810</v>
      </c>
      <c r="I569" s="248" t="s">
        <v>7</v>
      </c>
      <c r="J569" s="249" t="s">
        <v>554</v>
      </c>
      <c r="K569" s="250">
        <v>49000</v>
      </c>
      <c r="L569" s="250">
        <v>0</v>
      </c>
      <c r="M569" s="251" t="s">
        <v>18</v>
      </c>
      <c r="N569" s="252">
        <v>0</v>
      </c>
      <c r="O569" s="185" t="s">
        <v>51</v>
      </c>
    </row>
    <row r="570" spans="1:15" x14ac:dyDescent="0.25">
      <c r="A570" s="234" t="s">
        <v>2153</v>
      </c>
      <c r="B570" s="234" t="s">
        <v>18</v>
      </c>
      <c r="C570" s="245">
        <v>46146</v>
      </c>
      <c r="D570" s="234">
        <v>0</v>
      </c>
      <c r="E570" s="246">
        <v>154502</v>
      </c>
      <c r="F570" s="247" t="s">
        <v>2152</v>
      </c>
      <c r="G570" s="34" t="s">
        <v>7</v>
      </c>
      <c r="H570" s="234" t="s">
        <v>2154</v>
      </c>
      <c r="I570" s="248" t="s">
        <v>7</v>
      </c>
      <c r="J570" s="249" t="s">
        <v>61</v>
      </c>
      <c r="K570" s="250">
        <v>154502</v>
      </c>
      <c r="L570" s="250">
        <v>0</v>
      </c>
      <c r="M570" s="251" t="s">
        <v>18</v>
      </c>
      <c r="N570" s="252">
        <v>0</v>
      </c>
      <c r="O570" s="185" t="s">
        <v>51</v>
      </c>
    </row>
    <row r="571" spans="1:15" x14ac:dyDescent="0.25">
      <c r="A571" s="234" t="s">
        <v>779</v>
      </c>
      <c r="B571" s="234" t="s">
        <v>18</v>
      </c>
      <c r="C571" s="245">
        <v>46146</v>
      </c>
      <c r="D571" s="234">
        <v>0</v>
      </c>
      <c r="E571" s="246">
        <v>5000</v>
      </c>
      <c r="F571" s="247" t="s">
        <v>778</v>
      </c>
      <c r="G571" s="34" t="s">
        <v>7</v>
      </c>
      <c r="H571" s="234" t="s">
        <v>780</v>
      </c>
      <c r="I571" s="248" t="s">
        <v>7</v>
      </c>
      <c r="J571" s="249" t="s">
        <v>554</v>
      </c>
      <c r="K571" s="250">
        <v>5000</v>
      </c>
      <c r="L571" s="250">
        <v>0</v>
      </c>
      <c r="M571" s="251" t="s">
        <v>18</v>
      </c>
      <c r="N571" s="252">
        <v>0</v>
      </c>
      <c r="O571" s="185" t="s">
        <v>51</v>
      </c>
    </row>
    <row r="572" spans="1:15" x14ac:dyDescent="0.25">
      <c r="A572" s="234" t="s">
        <v>5571</v>
      </c>
      <c r="B572" s="234" t="s">
        <v>18</v>
      </c>
      <c r="C572" s="245">
        <v>46146</v>
      </c>
      <c r="D572" s="234">
        <v>0</v>
      </c>
      <c r="E572" s="246">
        <v>100000</v>
      </c>
      <c r="F572" s="247" t="s">
        <v>5570</v>
      </c>
      <c r="G572" s="34" t="s">
        <v>7</v>
      </c>
      <c r="H572" s="234" t="s">
        <v>5572</v>
      </c>
      <c r="I572" s="248" t="s">
        <v>7</v>
      </c>
      <c r="J572" s="249" t="s">
        <v>554</v>
      </c>
      <c r="K572" s="250">
        <v>100000</v>
      </c>
      <c r="L572" s="250">
        <v>0</v>
      </c>
      <c r="M572" s="251" t="s">
        <v>18</v>
      </c>
      <c r="N572" s="252">
        <v>0</v>
      </c>
      <c r="O572" s="185" t="s">
        <v>51</v>
      </c>
    </row>
    <row r="573" spans="1:15" x14ac:dyDescent="0.25">
      <c r="A573" s="234" t="s">
        <v>721</v>
      </c>
      <c r="B573" s="234" t="s">
        <v>18</v>
      </c>
      <c r="C573" s="245">
        <v>46146</v>
      </c>
      <c r="D573" s="234">
        <v>0</v>
      </c>
      <c r="E573" s="246">
        <v>27000</v>
      </c>
      <c r="F573" s="247" t="s">
        <v>720</v>
      </c>
      <c r="G573" s="34" t="s">
        <v>7</v>
      </c>
      <c r="H573" s="234" t="s">
        <v>722</v>
      </c>
      <c r="I573" s="248" t="s">
        <v>7</v>
      </c>
      <c r="J573" s="249" t="s">
        <v>554</v>
      </c>
      <c r="K573" s="250">
        <v>27000</v>
      </c>
      <c r="L573" s="250">
        <v>0</v>
      </c>
      <c r="M573" s="251" t="s">
        <v>18</v>
      </c>
      <c r="N573" s="252">
        <v>0</v>
      </c>
      <c r="O573" s="185" t="s">
        <v>51</v>
      </c>
    </row>
    <row r="574" spans="1:15" x14ac:dyDescent="0.25">
      <c r="A574" s="234" t="s">
        <v>782</v>
      </c>
      <c r="B574" s="234" t="s">
        <v>18</v>
      </c>
      <c r="C574" s="245">
        <v>46146</v>
      </c>
      <c r="D574" s="234">
        <v>0</v>
      </c>
      <c r="E574" s="246">
        <v>14260</v>
      </c>
      <c r="F574" s="247" t="s">
        <v>781</v>
      </c>
      <c r="G574" s="34" t="s">
        <v>7</v>
      </c>
      <c r="H574" s="234" t="s">
        <v>783</v>
      </c>
      <c r="I574" s="248" t="s">
        <v>7</v>
      </c>
      <c r="J574" s="249" t="s">
        <v>554</v>
      </c>
      <c r="K574" s="250">
        <v>14260</v>
      </c>
      <c r="L574" s="250">
        <v>0</v>
      </c>
      <c r="M574" s="251" t="s">
        <v>18</v>
      </c>
      <c r="N574" s="252">
        <v>0</v>
      </c>
      <c r="O574" s="185" t="s">
        <v>51</v>
      </c>
    </row>
    <row r="575" spans="1:15" x14ac:dyDescent="0.25">
      <c r="A575" s="234" t="s">
        <v>7638</v>
      </c>
      <c r="B575" s="234" t="s">
        <v>18</v>
      </c>
      <c r="C575" s="245">
        <v>46146</v>
      </c>
      <c r="D575" s="234">
        <v>0</v>
      </c>
      <c r="E575" s="246">
        <v>15000</v>
      </c>
      <c r="F575" s="247" t="s">
        <v>7639</v>
      </c>
      <c r="G575" s="34" t="s">
        <v>7</v>
      </c>
      <c r="H575" s="234" t="s">
        <v>7640</v>
      </c>
      <c r="I575" s="248" t="s">
        <v>7524</v>
      </c>
      <c r="J575" s="249" t="s">
        <v>7627</v>
      </c>
      <c r="K575" s="250">
        <v>15000</v>
      </c>
      <c r="L575" s="250">
        <v>15000</v>
      </c>
      <c r="M575" s="251" t="s">
        <v>18</v>
      </c>
      <c r="N575" s="252">
        <v>0</v>
      </c>
      <c r="O575" s="185" t="s">
        <v>51</v>
      </c>
    </row>
    <row r="576" spans="1:15" x14ac:dyDescent="0.25">
      <c r="A576" s="234" t="s">
        <v>7638</v>
      </c>
      <c r="B576" s="234" t="s">
        <v>18</v>
      </c>
      <c r="C576" s="245">
        <v>46146</v>
      </c>
      <c r="D576" s="234">
        <v>0</v>
      </c>
      <c r="E576" s="246">
        <v>18000</v>
      </c>
      <c r="F576" s="247" t="s">
        <v>7641</v>
      </c>
      <c r="G576" s="34" t="s">
        <v>7</v>
      </c>
      <c r="H576" s="234" t="s">
        <v>7640</v>
      </c>
      <c r="I576" s="248" t="s">
        <v>7524</v>
      </c>
      <c r="J576" s="249" t="s">
        <v>7627</v>
      </c>
      <c r="K576" s="250">
        <v>18000</v>
      </c>
      <c r="L576" s="250">
        <v>18000</v>
      </c>
      <c r="M576" s="251" t="s">
        <v>18</v>
      </c>
      <c r="N576" s="252">
        <v>0</v>
      </c>
      <c r="O576" s="185" t="s">
        <v>51</v>
      </c>
    </row>
    <row r="577" spans="1:15" x14ac:dyDescent="0.25">
      <c r="A577" s="234" t="s">
        <v>5580</v>
      </c>
      <c r="B577" s="234" t="s">
        <v>18</v>
      </c>
      <c r="C577" s="245">
        <v>46146</v>
      </c>
      <c r="D577" s="234">
        <v>0</v>
      </c>
      <c r="E577" s="246">
        <v>26281</v>
      </c>
      <c r="F577" s="247" t="s">
        <v>5579</v>
      </c>
      <c r="G577" s="34" t="s">
        <v>7</v>
      </c>
      <c r="H577" s="234" t="s">
        <v>5582</v>
      </c>
      <c r="I577" s="248" t="s">
        <v>7524</v>
      </c>
      <c r="J577" s="249" t="s">
        <v>554</v>
      </c>
      <c r="K577" s="250">
        <v>26281.200000000001</v>
      </c>
      <c r="L577" s="250">
        <v>26281.200000000001</v>
      </c>
      <c r="M577" s="251" t="s">
        <v>18</v>
      </c>
      <c r="N577" s="252">
        <v>0</v>
      </c>
      <c r="O577" s="185" t="s">
        <v>51</v>
      </c>
    </row>
    <row r="578" spans="1:15" x14ac:dyDescent="0.25">
      <c r="A578" s="234" t="s">
        <v>7642</v>
      </c>
      <c r="B578" s="234" t="s">
        <v>18</v>
      </c>
      <c r="C578" s="245">
        <v>46146</v>
      </c>
      <c r="D578" s="234">
        <v>0</v>
      </c>
      <c r="E578" s="246">
        <v>306328</v>
      </c>
      <c r="F578" s="247" t="s">
        <v>7643</v>
      </c>
      <c r="G578" s="34" t="s">
        <v>7</v>
      </c>
      <c r="H578" s="234" t="s">
        <v>7644</v>
      </c>
      <c r="I578" s="248" t="s">
        <v>7</v>
      </c>
      <c r="J578" s="249" t="s">
        <v>492</v>
      </c>
      <c r="K578" s="250">
        <v>0</v>
      </c>
      <c r="L578" s="250">
        <v>0</v>
      </c>
      <c r="M578" s="251" t="s">
        <v>18</v>
      </c>
      <c r="N578" s="252">
        <v>0</v>
      </c>
      <c r="O578" s="185" t="s">
        <v>51</v>
      </c>
    </row>
    <row r="579" spans="1:15" x14ac:dyDescent="0.25">
      <c r="A579" s="234" t="s">
        <v>7645</v>
      </c>
      <c r="B579" s="234" t="s">
        <v>18</v>
      </c>
      <c r="C579" s="245">
        <v>46146</v>
      </c>
      <c r="D579" s="234">
        <v>0</v>
      </c>
      <c r="E579" s="246">
        <v>267130</v>
      </c>
      <c r="F579" s="247" t="s">
        <v>7646</v>
      </c>
      <c r="G579" s="34" t="s">
        <v>7</v>
      </c>
      <c r="H579" s="234" t="s">
        <v>7647</v>
      </c>
      <c r="I579" s="248" t="s">
        <v>7</v>
      </c>
      <c r="J579" s="249" t="s">
        <v>492</v>
      </c>
      <c r="K579" s="250">
        <v>0</v>
      </c>
      <c r="L579" s="250">
        <v>0</v>
      </c>
      <c r="M579" s="251" t="s">
        <v>18</v>
      </c>
      <c r="N579" s="252">
        <v>0</v>
      </c>
      <c r="O579" s="185" t="s">
        <v>51</v>
      </c>
    </row>
    <row r="580" spans="1:15" x14ac:dyDescent="0.25">
      <c r="A580" s="234" t="s">
        <v>5632</v>
      </c>
      <c r="B580" s="234" t="s">
        <v>34</v>
      </c>
      <c r="C580" s="245">
        <v>46146</v>
      </c>
      <c r="D580" s="234">
        <v>0</v>
      </c>
      <c r="E580" s="246">
        <v>208069.4</v>
      </c>
      <c r="F580" s="247" t="s">
        <v>5631</v>
      </c>
      <c r="G580" s="34" t="s">
        <v>7</v>
      </c>
      <c r="H580" s="234" t="s">
        <v>5633</v>
      </c>
      <c r="I580" s="248" t="s">
        <v>7367</v>
      </c>
      <c r="J580" s="249" t="s">
        <v>554</v>
      </c>
      <c r="K580" s="250">
        <v>208069.4</v>
      </c>
      <c r="L580" s="250">
        <v>1813</v>
      </c>
      <c r="M580" s="251" t="s">
        <v>34</v>
      </c>
      <c r="N580" s="252">
        <v>206256.4</v>
      </c>
      <c r="O580" s="185" t="s">
        <v>51</v>
      </c>
    </row>
    <row r="581" spans="1:15" x14ac:dyDescent="0.25">
      <c r="A581" s="234" t="s">
        <v>4016</v>
      </c>
      <c r="B581" s="234" t="s">
        <v>34</v>
      </c>
      <c r="C581" s="245">
        <v>46146</v>
      </c>
      <c r="D581" s="234">
        <v>0</v>
      </c>
      <c r="E581" s="246">
        <v>214899.55</v>
      </c>
      <c r="F581" s="247" t="s">
        <v>4015</v>
      </c>
      <c r="G581" s="34" t="s">
        <v>7</v>
      </c>
      <c r="H581" s="234" t="s">
        <v>4017</v>
      </c>
      <c r="I581" s="248" t="s">
        <v>7</v>
      </c>
      <c r="J581" s="249" t="s">
        <v>62</v>
      </c>
      <c r="K581" s="250">
        <v>214899.55</v>
      </c>
      <c r="L581" s="250">
        <v>0</v>
      </c>
      <c r="M581" s="251" t="s">
        <v>34</v>
      </c>
      <c r="N581" s="252">
        <v>0</v>
      </c>
      <c r="O581" s="185" t="s">
        <v>51</v>
      </c>
    </row>
    <row r="582" spans="1:15" x14ac:dyDescent="0.25">
      <c r="A582" s="234" t="s">
        <v>2297</v>
      </c>
      <c r="B582" s="234" t="s">
        <v>34</v>
      </c>
      <c r="C582" s="245">
        <v>46146</v>
      </c>
      <c r="D582" s="234">
        <v>0</v>
      </c>
      <c r="E582" s="246">
        <v>788997</v>
      </c>
      <c r="F582" s="247" t="s">
        <v>2296</v>
      </c>
      <c r="G582" s="34" t="s">
        <v>7</v>
      </c>
      <c r="H582" s="234" t="s">
        <v>2298</v>
      </c>
      <c r="I582" s="248" t="s">
        <v>7</v>
      </c>
      <c r="J582" s="249" t="s">
        <v>554</v>
      </c>
      <c r="K582" s="250">
        <v>788997</v>
      </c>
      <c r="L582" s="250">
        <v>0</v>
      </c>
      <c r="M582" s="251" t="s">
        <v>34</v>
      </c>
      <c r="N582" s="252">
        <v>0</v>
      </c>
      <c r="O582" s="185" t="s">
        <v>51</v>
      </c>
    </row>
    <row r="583" spans="1:15" x14ac:dyDescent="0.25">
      <c r="A583" s="234" t="s">
        <v>7648</v>
      </c>
      <c r="B583" s="234" t="s">
        <v>34</v>
      </c>
      <c r="C583" s="245">
        <v>46146</v>
      </c>
      <c r="D583" s="234">
        <v>0</v>
      </c>
      <c r="E583" s="246">
        <v>392138.95</v>
      </c>
      <c r="F583" s="247">
        <v>0</v>
      </c>
      <c r="G583" s="34" t="s">
        <v>7</v>
      </c>
      <c r="H583" s="234" t="s">
        <v>7649</v>
      </c>
      <c r="I583" s="248" t="s">
        <v>7</v>
      </c>
      <c r="J583" s="249" t="s">
        <v>492</v>
      </c>
      <c r="K583" s="250">
        <v>0</v>
      </c>
      <c r="L583" s="250">
        <v>0</v>
      </c>
      <c r="M583" s="251" t="s">
        <v>34</v>
      </c>
      <c r="N583" s="252">
        <v>0</v>
      </c>
      <c r="O583" s="185" t="s">
        <v>51</v>
      </c>
    </row>
    <row r="584" spans="1:15" x14ac:dyDescent="0.25">
      <c r="A584" s="234" t="s">
        <v>5654</v>
      </c>
      <c r="B584" s="234" t="s">
        <v>34</v>
      </c>
      <c r="C584" s="245">
        <v>46146</v>
      </c>
      <c r="D584" s="234">
        <v>0</v>
      </c>
      <c r="E584" s="246">
        <v>283200</v>
      </c>
      <c r="F584" s="247" t="s">
        <v>5653</v>
      </c>
      <c r="G584" s="34" t="s">
        <v>7</v>
      </c>
      <c r="H584" s="234" t="s">
        <v>5655</v>
      </c>
      <c r="I584" s="248" t="s">
        <v>7367</v>
      </c>
      <c r="J584" s="249" t="s">
        <v>554</v>
      </c>
      <c r="K584" s="250">
        <v>201460</v>
      </c>
      <c r="L584" s="250">
        <v>0</v>
      </c>
      <c r="M584" s="251" t="s">
        <v>34</v>
      </c>
      <c r="N584" s="252">
        <v>283164</v>
      </c>
      <c r="O584" s="185" t="s">
        <v>51</v>
      </c>
    </row>
    <row r="585" spans="1:15" x14ac:dyDescent="0.25">
      <c r="A585" s="234" t="s">
        <v>5632</v>
      </c>
      <c r="B585" s="234" t="s">
        <v>34</v>
      </c>
      <c r="C585" s="245">
        <v>46146</v>
      </c>
      <c r="D585" s="234">
        <v>0</v>
      </c>
      <c r="E585" s="246">
        <v>211176.82</v>
      </c>
      <c r="F585" s="247">
        <v>0</v>
      </c>
      <c r="G585" s="34" t="s">
        <v>7</v>
      </c>
      <c r="H585" s="234" t="s">
        <v>5633</v>
      </c>
      <c r="I585" s="248" t="s">
        <v>7</v>
      </c>
      <c r="J585" s="249" t="s">
        <v>492</v>
      </c>
      <c r="K585" s="250">
        <v>0</v>
      </c>
      <c r="L585" s="250">
        <v>0</v>
      </c>
      <c r="M585" s="251" t="s">
        <v>34</v>
      </c>
      <c r="N585" s="252">
        <v>0</v>
      </c>
      <c r="O585" s="185" t="s">
        <v>51</v>
      </c>
    </row>
    <row r="586" spans="1:15" x14ac:dyDescent="0.25">
      <c r="A586" s="234" t="s">
        <v>5143</v>
      </c>
      <c r="B586" s="234" t="s">
        <v>49</v>
      </c>
      <c r="C586" s="245">
        <v>46146</v>
      </c>
      <c r="D586" s="234" t="s">
        <v>7650</v>
      </c>
      <c r="E586" s="246">
        <v>1110518</v>
      </c>
      <c r="F586" s="247" t="s">
        <v>5142</v>
      </c>
      <c r="G586" s="34" t="s">
        <v>83</v>
      </c>
      <c r="H586" s="234" t="s">
        <v>5144</v>
      </c>
      <c r="I586" s="248" t="s">
        <v>7</v>
      </c>
      <c r="J586" s="249" t="s">
        <v>554</v>
      </c>
      <c r="K586" s="250">
        <v>1110518</v>
      </c>
      <c r="L586" s="250">
        <v>0</v>
      </c>
      <c r="M586" s="251" t="s">
        <v>49</v>
      </c>
      <c r="N586" s="252">
        <v>0</v>
      </c>
      <c r="O586" s="185" t="s">
        <v>51</v>
      </c>
    </row>
    <row r="587" spans="1:15" x14ac:dyDescent="0.25">
      <c r="A587" s="234" t="s">
        <v>5146</v>
      </c>
      <c r="B587" s="234" t="s">
        <v>49</v>
      </c>
      <c r="C587" s="245">
        <v>46146</v>
      </c>
      <c r="D587" s="234" t="s">
        <v>7650</v>
      </c>
      <c r="E587" s="246">
        <v>1110518</v>
      </c>
      <c r="F587" s="247" t="s">
        <v>5145</v>
      </c>
      <c r="G587" s="34" t="s">
        <v>83</v>
      </c>
      <c r="H587" s="234" t="s">
        <v>5147</v>
      </c>
      <c r="I587" s="248" t="s">
        <v>7</v>
      </c>
      <c r="J587" s="249" t="s">
        <v>554</v>
      </c>
      <c r="K587" s="250">
        <v>1110518</v>
      </c>
      <c r="L587" s="250">
        <v>0</v>
      </c>
      <c r="M587" s="251" t="s">
        <v>49</v>
      </c>
      <c r="N587" s="252">
        <v>0</v>
      </c>
      <c r="O587" s="185" t="s">
        <v>51</v>
      </c>
    </row>
    <row r="588" spans="1:15" x14ac:dyDescent="0.25">
      <c r="A588" s="234" t="s">
        <v>3929</v>
      </c>
      <c r="B588" s="234" t="s">
        <v>45</v>
      </c>
      <c r="C588" s="245">
        <v>46146</v>
      </c>
      <c r="D588" s="234">
        <v>0</v>
      </c>
      <c r="E588" s="246">
        <v>119601</v>
      </c>
      <c r="F588" s="247" t="s">
        <v>3928</v>
      </c>
      <c r="G588" s="34" t="s">
        <v>83</v>
      </c>
      <c r="H588" s="234" t="s">
        <v>3930</v>
      </c>
      <c r="I588" s="248" t="s">
        <v>7</v>
      </c>
      <c r="J588" s="249" t="s">
        <v>62</v>
      </c>
      <c r="K588" s="250">
        <v>119601</v>
      </c>
      <c r="L588" s="250">
        <v>0</v>
      </c>
      <c r="M588" s="251" t="s">
        <v>45</v>
      </c>
      <c r="N588" s="252">
        <v>0</v>
      </c>
      <c r="O588" s="185" t="s">
        <v>74</v>
      </c>
    </row>
    <row r="589" spans="1:15" x14ac:dyDescent="0.25">
      <c r="A589" s="234" t="s">
        <v>4472</v>
      </c>
      <c r="B589" s="234" t="s">
        <v>45</v>
      </c>
      <c r="C589" s="245">
        <v>46146</v>
      </c>
      <c r="D589" s="234">
        <v>0</v>
      </c>
      <c r="E589" s="246">
        <v>261744</v>
      </c>
      <c r="F589" s="247" t="s">
        <v>4471</v>
      </c>
      <c r="G589" s="34" t="s">
        <v>83</v>
      </c>
      <c r="H589" s="234" t="s">
        <v>4473</v>
      </c>
      <c r="I589" s="248" t="s">
        <v>7</v>
      </c>
      <c r="J589" s="249" t="s">
        <v>554</v>
      </c>
      <c r="K589" s="250">
        <v>130670</v>
      </c>
      <c r="L589" s="250">
        <v>0</v>
      </c>
      <c r="M589" s="251" t="s">
        <v>45</v>
      </c>
      <c r="N589" s="252">
        <v>0</v>
      </c>
      <c r="O589" s="185" t="s">
        <v>74</v>
      </c>
    </row>
    <row r="590" spans="1:15" x14ac:dyDescent="0.25">
      <c r="A590" s="234" t="s">
        <v>5322</v>
      </c>
      <c r="B590" s="234" t="s">
        <v>45</v>
      </c>
      <c r="C590" s="245">
        <v>46146</v>
      </c>
      <c r="D590" s="234">
        <v>0</v>
      </c>
      <c r="E590" s="246">
        <v>132800</v>
      </c>
      <c r="F590" s="247">
        <v>0</v>
      </c>
      <c r="G590" s="34" t="s">
        <v>83</v>
      </c>
      <c r="H590" s="234" t="s">
        <v>5323</v>
      </c>
      <c r="I590" s="248" t="s">
        <v>7</v>
      </c>
      <c r="J590" s="249" t="s">
        <v>492</v>
      </c>
      <c r="K590" s="250">
        <v>0</v>
      </c>
      <c r="L590" s="250">
        <v>0</v>
      </c>
      <c r="M590" s="251" t="s">
        <v>45</v>
      </c>
      <c r="N590" s="252">
        <v>0</v>
      </c>
      <c r="O590" s="185" t="s">
        <v>74</v>
      </c>
    </row>
    <row r="591" spans="1:15" x14ac:dyDescent="0.25">
      <c r="A591" s="234" t="s">
        <v>5319</v>
      </c>
      <c r="B591" s="234" t="s">
        <v>45</v>
      </c>
      <c r="C591" s="245">
        <v>46146</v>
      </c>
      <c r="D591" s="234">
        <v>0</v>
      </c>
      <c r="E591" s="246">
        <v>115000</v>
      </c>
      <c r="F591" s="247" t="s">
        <v>5318</v>
      </c>
      <c r="G591" s="34" t="s">
        <v>83</v>
      </c>
      <c r="H591" s="234" t="s">
        <v>5320</v>
      </c>
      <c r="I591" s="248" t="s">
        <v>7</v>
      </c>
      <c r="J591" s="249" t="s">
        <v>61</v>
      </c>
      <c r="K591" s="250">
        <v>115000</v>
      </c>
      <c r="L591" s="250">
        <v>0</v>
      </c>
      <c r="M591" s="251" t="s">
        <v>45</v>
      </c>
      <c r="N591" s="252">
        <v>0</v>
      </c>
      <c r="O591" s="185" t="s">
        <v>74</v>
      </c>
    </row>
    <row r="592" spans="1:15" x14ac:dyDescent="0.25">
      <c r="A592" s="234" t="s">
        <v>7651</v>
      </c>
      <c r="B592" s="234" t="s">
        <v>45</v>
      </c>
      <c r="C592" s="245">
        <v>46146</v>
      </c>
      <c r="D592" s="234">
        <v>0</v>
      </c>
      <c r="E592" s="246">
        <v>72000</v>
      </c>
      <c r="F592" s="247">
        <v>0</v>
      </c>
      <c r="G592" s="34" t="s">
        <v>83</v>
      </c>
      <c r="H592" s="234" t="s">
        <v>7652</v>
      </c>
      <c r="I592" s="248" t="s">
        <v>7</v>
      </c>
      <c r="J592" s="249" t="s">
        <v>492</v>
      </c>
      <c r="K592" s="250">
        <v>0</v>
      </c>
      <c r="L592" s="250">
        <v>0</v>
      </c>
      <c r="M592" s="251" t="s">
        <v>45</v>
      </c>
      <c r="N592" s="252">
        <v>0</v>
      </c>
      <c r="O592" s="185" t="s">
        <v>74</v>
      </c>
    </row>
    <row r="593" spans="1:15" x14ac:dyDescent="0.25">
      <c r="A593" s="234" t="s">
        <v>5773</v>
      </c>
      <c r="B593" s="234" t="s">
        <v>29</v>
      </c>
      <c r="C593" s="245">
        <v>46146</v>
      </c>
      <c r="D593" s="234">
        <v>0</v>
      </c>
      <c r="E593" s="246">
        <v>350000</v>
      </c>
      <c r="F593" s="247">
        <v>0</v>
      </c>
      <c r="G593" s="34" t="s">
        <v>7</v>
      </c>
      <c r="H593" s="234" t="s">
        <v>5775</v>
      </c>
      <c r="I593" s="248" t="s">
        <v>7</v>
      </c>
      <c r="J593" s="249" t="s">
        <v>492</v>
      </c>
      <c r="K593" s="250">
        <v>0</v>
      </c>
      <c r="L593" s="250">
        <v>0</v>
      </c>
      <c r="M593" s="251" t="s">
        <v>29</v>
      </c>
      <c r="N593" s="252">
        <v>0</v>
      </c>
      <c r="O593" s="185" t="s">
        <v>51</v>
      </c>
    </row>
    <row r="594" spans="1:15" x14ac:dyDescent="0.25">
      <c r="A594" s="234" t="s">
        <v>2981</v>
      </c>
      <c r="B594" s="234" t="s">
        <v>29</v>
      </c>
      <c r="C594" s="245">
        <v>46146</v>
      </c>
      <c r="D594" s="234">
        <v>0</v>
      </c>
      <c r="E594" s="246">
        <v>107000</v>
      </c>
      <c r="F594" s="247">
        <v>0</v>
      </c>
      <c r="G594" s="34" t="s">
        <v>7</v>
      </c>
      <c r="H594" s="234" t="s">
        <v>2982</v>
      </c>
      <c r="I594" s="248" t="s">
        <v>7</v>
      </c>
      <c r="J594" s="249" t="s">
        <v>492</v>
      </c>
      <c r="K594" s="250">
        <v>0</v>
      </c>
      <c r="L594" s="250">
        <v>0</v>
      </c>
      <c r="M594" s="251" t="s">
        <v>29</v>
      </c>
      <c r="N594" s="252">
        <v>0</v>
      </c>
      <c r="O594" s="185" t="s">
        <v>51</v>
      </c>
    </row>
    <row r="595" spans="1:15" x14ac:dyDescent="0.25">
      <c r="A595" s="234" t="s">
        <v>4131</v>
      </c>
      <c r="B595" s="234" t="s">
        <v>29</v>
      </c>
      <c r="C595" s="245">
        <v>46146</v>
      </c>
      <c r="D595" s="234">
        <v>0</v>
      </c>
      <c r="E595" s="246">
        <v>147000</v>
      </c>
      <c r="F595" s="247">
        <v>0</v>
      </c>
      <c r="G595" s="34" t="s">
        <v>7</v>
      </c>
      <c r="H595" s="234" t="s">
        <v>4132</v>
      </c>
      <c r="I595" s="248" t="s">
        <v>7</v>
      </c>
      <c r="J595" s="249" t="s">
        <v>492</v>
      </c>
      <c r="K595" s="250">
        <v>0</v>
      </c>
      <c r="L595" s="250">
        <v>0</v>
      </c>
      <c r="M595" s="251" t="s">
        <v>29</v>
      </c>
      <c r="N595" s="252">
        <v>0</v>
      </c>
      <c r="O595" s="185" t="s">
        <v>51</v>
      </c>
    </row>
    <row r="596" spans="1:15" x14ac:dyDescent="0.25">
      <c r="A596" s="234" t="s">
        <v>2905</v>
      </c>
      <c r="B596" s="234" t="s">
        <v>29</v>
      </c>
      <c r="C596" s="245">
        <v>46146</v>
      </c>
      <c r="D596" s="234">
        <v>0</v>
      </c>
      <c r="E596" s="246">
        <v>128000</v>
      </c>
      <c r="F596" s="247">
        <v>0</v>
      </c>
      <c r="G596" s="34" t="s">
        <v>7</v>
      </c>
      <c r="H596" s="234" t="s">
        <v>2906</v>
      </c>
      <c r="I596" s="248" t="s">
        <v>7</v>
      </c>
      <c r="J596" s="249" t="s">
        <v>492</v>
      </c>
      <c r="K596" s="250">
        <v>0</v>
      </c>
      <c r="L596" s="250">
        <v>0</v>
      </c>
      <c r="M596" s="251" t="s">
        <v>29</v>
      </c>
      <c r="N596" s="252">
        <v>0</v>
      </c>
      <c r="O596" s="185" t="s">
        <v>51</v>
      </c>
    </row>
    <row r="597" spans="1:15" x14ac:dyDescent="0.25">
      <c r="A597" s="234" t="s">
        <v>2944</v>
      </c>
      <c r="B597" s="234" t="s">
        <v>29</v>
      </c>
      <c r="C597" s="245">
        <v>46146</v>
      </c>
      <c r="D597" s="234">
        <v>0</v>
      </c>
      <c r="E597" s="246">
        <v>33000</v>
      </c>
      <c r="F597" s="247">
        <v>0</v>
      </c>
      <c r="G597" s="34" t="s">
        <v>7</v>
      </c>
      <c r="H597" s="234" t="s">
        <v>2946</v>
      </c>
      <c r="I597" s="248" t="s">
        <v>7</v>
      </c>
      <c r="J597" s="249" t="s">
        <v>492</v>
      </c>
      <c r="K597" s="250">
        <v>0</v>
      </c>
      <c r="L597" s="250">
        <v>0</v>
      </c>
      <c r="M597" s="251" t="s">
        <v>29</v>
      </c>
      <c r="N597" s="252">
        <v>0</v>
      </c>
      <c r="O597" s="185" t="s">
        <v>51</v>
      </c>
    </row>
    <row r="598" spans="1:15" x14ac:dyDescent="0.25">
      <c r="A598" s="234" t="s">
        <v>2978</v>
      </c>
      <c r="B598" s="234" t="s">
        <v>29</v>
      </c>
      <c r="C598" s="245">
        <v>46146</v>
      </c>
      <c r="D598" s="234">
        <v>0</v>
      </c>
      <c r="E598" s="246">
        <v>30000</v>
      </c>
      <c r="F598" s="247">
        <v>0</v>
      </c>
      <c r="G598" s="34" t="s">
        <v>7</v>
      </c>
      <c r="H598" s="234" t="s">
        <v>2979</v>
      </c>
      <c r="I598" s="248" t="s">
        <v>7</v>
      </c>
      <c r="J598" s="249" t="s">
        <v>492</v>
      </c>
      <c r="K598" s="250">
        <v>0</v>
      </c>
      <c r="L598" s="250">
        <v>0</v>
      </c>
      <c r="M598" s="251" t="s">
        <v>29</v>
      </c>
      <c r="N598" s="252">
        <v>0</v>
      </c>
      <c r="O598" s="185" t="s">
        <v>51</v>
      </c>
    </row>
    <row r="599" spans="1:15" x14ac:dyDescent="0.25">
      <c r="A599" s="234" t="s">
        <v>2318</v>
      </c>
      <c r="B599" s="234" t="s">
        <v>29</v>
      </c>
      <c r="C599" s="245">
        <v>46146</v>
      </c>
      <c r="D599" s="234">
        <v>0</v>
      </c>
      <c r="E599" s="246">
        <v>142000</v>
      </c>
      <c r="F599" s="247">
        <v>0</v>
      </c>
      <c r="G599" s="34" t="s">
        <v>7</v>
      </c>
      <c r="H599" s="234" t="s">
        <v>2319</v>
      </c>
      <c r="I599" s="248" t="s">
        <v>7</v>
      </c>
      <c r="J599" s="249" t="s">
        <v>492</v>
      </c>
      <c r="K599" s="250">
        <v>0</v>
      </c>
      <c r="L599" s="250">
        <v>0</v>
      </c>
      <c r="M599" s="251" t="s">
        <v>29</v>
      </c>
      <c r="N599" s="252">
        <v>0</v>
      </c>
      <c r="O599" s="185" t="s">
        <v>51</v>
      </c>
    </row>
    <row r="600" spans="1:15" x14ac:dyDescent="0.25">
      <c r="A600" s="234" t="s">
        <v>2920</v>
      </c>
      <c r="B600" s="234" t="s">
        <v>29</v>
      </c>
      <c r="C600" s="245">
        <v>46146</v>
      </c>
      <c r="D600" s="234">
        <v>0</v>
      </c>
      <c r="E600" s="246">
        <v>30000</v>
      </c>
      <c r="F600" s="247">
        <v>0</v>
      </c>
      <c r="G600" s="34" t="s">
        <v>7</v>
      </c>
      <c r="H600" s="234" t="s">
        <v>2921</v>
      </c>
      <c r="I600" s="248" t="s">
        <v>7</v>
      </c>
      <c r="J600" s="249" t="s">
        <v>492</v>
      </c>
      <c r="K600" s="250">
        <v>0</v>
      </c>
      <c r="L600" s="250">
        <v>0</v>
      </c>
      <c r="M600" s="251" t="s">
        <v>29</v>
      </c>
      <c r="N600" s="252">
        <v>0</v>
      </c>
      <c r="O600" s="185" t="s">
        <v>51</v>
      </c>
    </row>
    <row r="601" spans="1:15" x14ac:dyDescent="0.25">
      <c r="A601" s="234" t="s">
        <v>5816</v>
      </c>
      <c r="B601" s="234" t="s">
        <v>29</v>
      </c>
      <c r="C601" s="245">
        <v>46146</v>
      </c>
      <c r="D601" s="234">
        <v>0</v>
      </c>
      <c r="E601" s="246">
        <v>20000</v>
      </c>
      <c r="F601" s="247">
        <v>0</v>
      </c>
      <c r="G601" s="34" t="s">
        <v>7</v>
      </c>
      <c r="H601" s="234" t="s">
        <v>5817</v>
      </c>
      <c r="I601" s="248" t="s">
        <v>7</v>
      </c>
      <c r="J601" s="249" t="s">
        <v>492</v>
      </c>
      <c r="K601" s="250">
        <v>0</v>
      </c>
      <c r="L601" s="250">
        <v>0</v>
      </c>
      <c r="M601" s="251" t="s">
        <v>29</v>
      </c>
      <c r="N601" s="252">
        <v>0</v>
      </c>
      <c r="O601" s="185" t="s">
        <v>51</v>
      </c>
    </row>
    <row r="602" spans="1:15" x14ac:dyDescent="0.25">
      <c r="A602" s="234" t="s">
        <v>2917</v>
      </c>
      <c r="B602" s="234" t="s">
        <v>29</v>
      </c>
      <c r="C602" s="245">
        <v>46146</v>
      </c>
      <c r="D602" s="234">
        <v>0</v>
      </c>
      <c r="E602" s="246">
        <v>100000</v>
      </c>
      <c r="F602" s="247">
        <v>0</v>
      </c>
      <c r="G602" s="34" t="s">
        <v>7</v>
      </c>
      <c r="H602" s="234" t="s">
        <v>2918</v>
      </c>
      <c r="I602" s="248" t="s">
        <v>7</v>
      </c>
      <c r="J602" s="249" t="s">
        <v>492</v>
      </c>
      <c r="K602" s="250">
        <v>0</v>
      </c>
      <c r="L602" s="250">
        <v>0</v>
      </c>
      <c r="M602" s="251" t="s">
        <v>29</v>
      </c>
      <c r="N602" s="252">
        <v>0</v>
      </c>
      <c r="O602" s="185" t="s">
        <v>51</v>
      </c>
    </row>
    <row r="603" spans="1:15" x14ac:dyDescent="0.25">
      <c r="A603" s="234" t="s">
        <v>3298</v>
      </c>
      <c r="B603" s="234" t="s">
        <v>29</v>
      </c>
      <c r="C603" s="245">
        <v>46146</v>
      </c>
      <c r="D603" s="234">
        <v>0</v>
      </c>
      <c r="E603" s="246">
        <v>55000</v>
      </c>
      <c r="F603" s="247">
        <v>0</v>
      </c>
      <c r="G603" s="34" t="s">
        <v>7</v>
      </c>
      <c r="H603" s="234" t="s">
        <v>3299</v>
      </c>
      <c r="I603" s="248" t="s">
        <v>7</v>
      </c>
      <c r="J603" s="249" t="s">
        <v>492</v>
      </c>
      <c r="K603" s="250">
        <v>0</v>
      </c>
      <c r="L603" s="250">
        <v>0</v>
      </c>
      <c r="M603" s="251" t="s">
        <v>29</v>
      </c>
      <c r="N603" s="252">
        <v>0</v>
      </c>
      <c r="O603" s="185" t="s">
        <v>51</v>
      </c>
    </row>
    <row r="604" spans="1:15" x14ac:dyDescent="0.25">
      <c r="A604" s="234" t="s">
        <v>651</v>
      </c>
      <c r="B604" s="234" t="s">
        <v>32</v>
      </c>
      <c r="C604" s="245">
        <v>46146</v>
      </c>
      <c r="D604" s="234" t="s">
        <v>7653</v>
      </c>
      <c r="E604" s="246">
        <v>140000</v>
      </c>
      <c r="F604" s="247" t="s">
        <v>7654</v>
      </c>
      <c r="G604" s="34" t="s">
        <v>7</v>
      </c>
      <c r="H604" s="234" t="s">
        <v>652</v>
      </c>
      <c r="I604" s="248" t="s">
        <v>7</v>
      </c>
      <c r="J604" s="249" t="s">
        <v>492</v>
      </c>
      <c r="K604" s="250">
        <v>0</v>
      </c>
      <c r="L604" s="250">
        <v>0</v>
      </c>
      <c r="M604" s="251" t="s">
        <v>32</v>
      </c>
      <c r="N604" s="252">
        <v>0</v>
      </c>
      <c r="O604" s="185" t="s">
        <v>51</v>
      </c>
    </row>
    <row r="605" spans="1:15" x14ac:dyDescent="0.25">
      <c r="A605" s="234" t="s">
        <v>651</v>
      </c>
      <c r="B605" s="234" t="s">
        <v>32</v>
      </c>
      <c r="C605" s="245">
        <v>46146</v>
      </c>
      <c r="D605" s="234" t="s">
        <v>7653</v>
      </c>
      <c r="E605" s="246">
        <v>80000</v>
      </c>
      <c r="F605" s="247" t="s">
        <v>7654</v>
      </c>
      <c r="G605" s="34" t="s">
        <v>7</v>
      </c>
      <c r="H605" s="234" t="s">
        <v>652</v>
      </c>
      <c r="I605" s="248" t="s">
        <v>7</v>
      </c>
      <c r="J605" s="249" t="s">
        <v>492</v>
      </c>
      <c r="K605" s="250">
        <v>0</v>
      </c>
      <c r="L605" s="250">
        <v>0</v>
      </c>
      <c r="M605" s="251" t="s">
        <v>32</v>
      </c>
      <c r="N605" s="252">
        <v>0</v>
      </c>
      <c r="O605" s="185" t="s">
        <v>51</v>
      </c>
    </row>
    <row r="606" spans="1:15" x14ac:dyDescent="0.25">
      <c r="A606" s="234" t="s">
        <v>651</v>
      </c>
      <c r="B606" s="234" t="s">
        <v>32</v>
      </c>
      <c r="C606" s="245">
        <v>46146</v>
      </c>
      <c r="D606" s="234" t="s">
        <v>7653</v>
      </c>
      <c r="E606" s="246">
        <v>40871</v>
      </c>
      <c r="F606" s="247" t="s">
        <v>7654</v>
      </c>
      <c r="G606" s="34" t="s">
        <v>7</v>
      </c>
      <c r="H606" s="234" t="s">
        <v>652</v>
      </c>
      <c r="I606" s="248" t="s">
        <v>7</v>
      </c>
      <c r="J606" s="249" t="s">
        <v>492</v>
      </c>
      <c r="K606" s="250">
        <v>0</v>
      </c>
      <c r="L606" s="250">
        <v>0</v>
      </c>
      <c r="M606" s="251" t="s">
        <v>32</v>
      </c>
      <c r="N606" s="252">
        <v>0</v>
      </c>
      <c r="O606" s="185" t="s">
        <v>51</v>
      </c>
    </row>
    <row r="607" spans="1:15" x14ac:dyDescent="0.25">
      <c r="A607" s="234" t="s">
        <v>2207</v>
      </c>
      <c r="B607" s="234" t="s">
        <v>32</v>
      </c>
      <c r="C607" s="245">
        <v>46146</v>
      </c>
      <c r="D607" s="234" t="s">
        <v>7289</v>
      </c>
      <c r="E607" s="246">
        <v>200000</v>
      </c>
      <c r="F607" s="247" t="s">
        <v>2209</v>
      </c>
      <c r="G607" s="34" t="s">
        <v>7</v>
      </c>
      <c r="H607" s="234" t="s">
        <v>2208</v>
      </c>
      <c r="I607" s="248" t="s">
        <v>7</v>
      </c>
      <c r="J607" s="249" t="s">
        <v>554</v>
      </c>
      <c r="K607" s="250">
        <v>200000</v>
      </c>
      <c r="L607" s="250">
        <v>0</v>
      </c>
      <c r="M607" s="251" t="s">
        <v>32</v>
      </c>
      <c r="N607" s="252">
        <v>0</v>
      </c>
      <c r="O607" s="185" t="s">
        <v>51</v>
      </c>
    </row>
    <row r="608" spans="1:15" x14ac:dyDescent="0.25">
      <c r="A608" s="234" t="s">
        <v>5810</v>
      </c>
      <c r="B608" s="234" t="s">
        <v>32</v>
      </c>
      <c r="C608" s="245">
        <v>46146</v>
      </c>
      <c r="D608" s="234" t="s">
        <v>7439</v>
      </c>
      <c r="E608" s="246">
        <v>37000</v>
      </c>
      <c r="F608" s="247" t="s">
        <v>5809</v>
      </c>
      <c r="G608" s="34" t="s">
        <v>7</v>
      </c>
      <c r="H608" s="234" t="s">
        <v>5812</v>
      </c>
      <c r="I608" s="248" t="s">
        <v>7</v>
      </c>
      <c r="J608" s="249" t="s">
        <v>554</v>
      </c>
      <c r="K608" s="250">
        <v>37000</v>
      </c>
      <c r="L608" s="250">
        <v>0</v>
      </c>
      <c r="M608" s="251" t="s">
        <v>32</v>
      </c>
      <c r="N608" s="252">
        <v>0</v>
      </c>
      <c r="O608" s="185" t="s">
        <v>51</v>
      </c>
    </row>
    <row r="609" spans="1:15" x14ac:dyDescent="0.25">
      <c r="A609" s="234" t="s">
        <v>3614</v>
      </c>
      <c r="B609" s="234" t="s">
        <v>32</v>
      </c>
      <c r="C609" s="245">
        <v>46146</v>
      </c>
      <c r="D609" s="234" t="s">
        <v>7439</v>
      </c>
      <c r="E609" s="246">
        <v>15719</v>
      </c>
      <c r="F609" s="247" t="s">
        <v>3616</v>
      </c>
      <c r="G609" s="34" t="s">
        <v>7</v>
      </c>
      <c r="H609" s="234" t="s">
        <v>3615</v>
      </c>
      <c r="I609" s="248" t="s">
        <v>7</v>
      </c>
      <c r="J609" s="249" t="s">
        <v>554</v>
      </c>
      <c r="K609" s="250">
        <v>15719</v>
      </c>
      <c r="L609" s="250">
        <v>0</v>
      </c>
      <c r="M609" s="251" t="s">
        <v>32</v>
      </c>
      <c r="N609" s="252">
        <v>0</v>
      </c>
      <c r="O609" s="185" t="s">
        <v>51</v>
      </c>
    </row>
    <row r="610" spans="1:15" x14ac:dyDescent="0.25">
      <c r="A610" s="234" t="s">
        <v>5673</v>
      </c>
      <c r="B610" s="234" t="s">
        <v>32</v>
      </c>
      <c r="C610" s="245">
        <v>46146</v>
      </c>
      <c r="D610" s="234" t="s">
        <v>7439</v>
      </c>
      <c r="E610" s="246">
        <v>190000</v>
      </c>
      <c r="F610" s="247" t="s">
        <v>5676</v>
      </c>
      <c r="G610" s="34" t="s">
        <v>7</v>
      </c>
      <c r="H610" s="234" t="s">
        <v>5674</v>
      </c>
      <c r="I610" s="248" t="s">
        <v>7</v>
      </c>
      <c r="J610" s="249" t="s">
        <v>554</v>
      </c>
      <c r="K610" s="250">
        <v>190000</v>
      </c>
      <c r="L610" s="250">
        <v>0</v>
      </c>
      <c r="M610" s="251" t="s">
        <v>32</v>
      </c>
      <c r="N610" s="252">
        <v>0</v>
      </c>
      <c r="O610" s="185" t="s">
        <v>51</v>
      </c>
    </row>
    <row r="611" spans="1:15" x14ac:dyDescent="0.25">
      <c r="A611" s="234" t="s">
        <v>3665</v>
      </c>
      <c r="B611" s="234" t="s">
        <v>32</v>
      </c>
      <c r="C611" s="245">
        <v>46146</v>
      </c>
      <c r="D611" s="234" t="s">
        <v>7655</v>
      </c>
      <c r="E611" s="246">
        <v>108252</v>
      </c>
      <c r="F611" s="247" t="s">
        <v>3664</v>
      </c>
      <c r="G611" s="34" t="s">
        <v>7</v>
      </c>
      <c r="H611" s="234" t="s">
        <v>3666</v>
      </c>
      <c r="I611" s="248" t="s">
        <v>7</v>
      </c>
      <c r="J611" s="249" t="s">
        <v>554</v>
      </c>
      <c r="K611" s="250">
        <v>108252</v>
      </c>
      <c r="L611" s="250">
        <v>0</v>
      </c>
      <c r="M611" s="251" t="s">
        <v>32</v>
      </c>
      <c r="N611" s="252">
        <v>0</v>
      </c>
      <c r="O611" s="185" t="s">
        <v>51</v>
      </c>
    </row>
    <row r="612" spans="1:15" x14ac:dyDescent="0.25">
      <c r="A612" s="234" t="s">
        <v>2137</v>
      </c>
      <c r="B612" s="234" t="s">
        <v>32</v>
      </c>
      <c r="C612" s="245">
        <v>46146</v>
      </c>
      <c r="D612" s="234" t="s">
        <v>7439</v>
      </c>
      <c r="E612" s="246">
        <v>66459</v>
      </c>
      <c r="F612" s="247" t="s">
        <v>2136</v>
      </c>
      <c r="G612" s="34" t="s">
        <v>7</v>
      </c>
      <c r="H612" s="234" t="s">
        <v>2138</v>
      </c>
      <c r="I612" s="248" t="s">
        <v>7</v>
      </c>
      <c r="J612" s="249" t="s">
        <v>554</v>
      </c>
      <c r="K612" s="250">
        <v>66459</v>
      </c>
      <c r="L612" s="250">
        <v>0</v>
      </c>
      <c r="M612" s="251" t="s">
        <v>32</v>
      </c>
      <c r="N612" s="252">
        <v>0</v>
      </c>
      <c r="O612" s="185" t="s">
        <v>51</v>
      </c>
    </row>
    <row r="613" spans="1:15" x14ac:dyDescent="0.25">
      <c r="A613" s="234" t="s">
        <v>3632</v>
      </c>
      <c r="B613" s="234" t="s">
        <v>32</v>
      </c>
      <c r="C613" s="245">
        <v>46146</v>
      </c>
      <c r="D613" s="234" t="s">
        <v>7655</v>
      </c>
      <c r="E613" s="246">
        <v>131636</v>
      </c>
      <c r="F613" s="247" t="s">
        <v>3631</v>
      </c>
      <c r="G613" s="34" t="s">
        <v>7</v>
      </c>
      <c r="H613" s="234" t="s">
        <v>3633</v>
      </c>
      <c r="I613" s="248" t="s">
        <v>7</v>
      </c>
      <c r="J613" s="249" t="s">
        <v>61</v>
      </c>
      <c r="K613" s="250">
        <v>131636</v>
      </c>
      <c r="L613" s="250">
        <v>0</v>
      </c>
      <c r="M613" s="251" t="s">
        <v>32</v>
      </c>
      <c r="N613" s="252">
        <v>0</v>
      </c>
      <c r="O613" s="185" t="s">
        <v>51</v>
      </c>
    </row>
    <row r="614" spans="1:15" x14ac:dyDescent="0.25">
      <c r="A614" s="234" t="s">
        <v>5176</v>
      </c>
      <c r="B614" s="234" t="s">
        <v>30</v>
      </c>
      <c r="C614" s="245">
        <v>46146</v>
      </c>
      <c r="D614" s="234">
        <v>0</v>
      </c>
      <c r="E614" s="246">
        <v>10100</v>
      </c>
      <c r="F614" s="247">
        <v>0</v>
      </c>
      <c r="G614" s="34" t="s">
        <v>7</v>
      </c>
      <c r="H614" s="234" t="s">
        <v>5177</v>
      </c>
      <c r="I614" s="248" t="s">
        <v>7</v>
      </c>
      <c r="J614" s="249" t="s">
        <v>492</v>
      </c>
      <c r="K614" s="250">
        <v>0</v>
      </c>
      <c r="L614" s="250">
        <v>0</v>
      </c>
      <c r="M614" s="251" t="s">
        <v>30</v>
      </c>
      <c r="N614" s="252">
        <v>0</v>
      </c>
      <c r="O614" s="185" t="s">
        <v>51</v>
      </c>
    </row>
    <row r="615" spans="1:15" x14ac:dyDescent="0.25">
      <c r="A615" s="234" t="s">
        <v>2435</v>
      </c>
      <c r="B615" s="234" t="s">
        <v>30</v>
      </c>
      <c r="C615" s="245">
        <v>46146</v>
      </c>
      <c r="D615" s="234">
        <v>0</v>
      </c>
      <c r="E615" s="246">
        <v>100000</v>
      </c>
      <c r="F615" s="247">
        <v>0</v>
      </c>
      <c r="G615" s="34" t="s">
        <v>7</v>
      </c>
      <c r="H615" s="234" t="s">
        <v>2436</v>
      </c>
      <c r="I615" s="248" t="s">
        <v>7</v>
      </c>
      <c r="J615" s="249" t="s">
        <v>492</v>
      </c>
      <c r="K615" s="250">
        <v>0</v>
      </c>
      <c r="L615" s="250">
        <v>0</v>
      </c>
      <c r="M615" s="251" t="s">
        <v>30</v>
      </c>
      <c r="N615" s="252">
        <v>0</v>
      </c>
      <c r="O615" s="185" t="s">
        <v>51</v>
      </c>
    </row>
    <row r="616" spans="1:15" x14ac:dyDescent="0.25">
      <c r="A616" s="234" t="s">
        <v>7656</v>
      </c>
      <c r="B616" s="234" t="s">
        <v>30</v>
      </c>
      <c r="C616" s="245">
        <v>46146</v>
      </c>
      <c r="D616" s="234">
        <v>0</v>
      </c>
      <c r="E616" s="246">
        <v>179475</v>
      </c>
      <c r="F616" s="247">
        <v>0</v>
      </c>
      <c r="G616" s="34" t="s">
        <v>7</v>
      </c>
      <c r="H616" s="234" t="s">
        <v>7657</v>
      </c>
      <c r="I616" s="248" t="s">
        <v>7524</v>
      </c>
      <c r="J616" s="249" t="s">
        <v>492</v>
      </c>
      <c r="K616" s="250">
        <v>0</v>
      </c>
      <c r="L616" s="250">
        <v>0</v>
      </c>
      <c r="M616" s="251" t="s">
        <v>30</v>
      </c>
      <c r="N616" s="252">
        <v>0</v>
      </c>
      <c r="O616" s="185" t="s">
        <v>51</v>
      </c>
    </row>
    <row r="617" spans="1:15" x14ac:dyDescent="0.25">
      <c r="A617" s="234" t="s">
        <v>2589</v>
      </c>
      <c r="B617" s="234" t="s">
        <v>30</v>
      </c>
      <c r="C617" s="245">
        <v>46146</v>
      </c>
      <c r="D617" s="234">
        <v>0</v>
      </c>
      <c r="E617" s="246">
        <v>38027</v>
      </c>
      <c r="F617" s="247">
        <v>0</v>
      </c>
      <c r="G617" s="34" t="s">
        <v>7</v>
      </c>
      <c r="H617" s="234" t="s">
        <v>2590</v>
      </c>
      <c r="I617" s="248" t="s">
        <v>7</v>
      </c>
      <c r="J617" s="249" t="s">
        <v>492</v>
      </c>
      <c r="K617" s="250">
        <v>0</v>
      </c>
      <c r="L617" s="250">
        <v>0</v>
      </c>
      <c r="M617" s="251" t="s">
        <v>30</v>
      </c>
      <c r="N617" s="252">
        <v>0</v>
      </c>
      <c r="O617" s="185" t="s">
        <v>51</v>
      </c>
    </row>
    <row r="618" spans="1:15" x14ac:dyDescent="0.25">
      <c r="A618" s="234" t="s">
        <v>2403</v>
      </c>
      <c r="B618" s="234" t="s">
        <v>30</v>
      </c>
      <c r="C618" s="245">
        <v>46146</v>
      </c>
      <c r="D618" s="234">
        <v>0</v>
      </c>
      <c r="E618" s="246">
        <v>185068.16</v>
      </c>
      <c r="F618" s="247">
        <v>0</v>
      </c>
      <c r="G618" s="34" t="s">
        <v>7</v>
      </c>
      <c r="H618" s="234" t="s">
        <v>2404</v>
      </c>
      <c r="I618" s="248" t="s">
        <v>7</v>
      </c>
      <c r="J618" s="249" t="s">
        <v>492</v>
      </c>
      <c r="K618" s="250">
        <v>0</v>
      </c>
      <c r="L618" s="250">
        <v>0</v>
      </c>
      <c r="M618" s="251" t="s">
        <v>30</v>
      </c>
      <c r="N618" s="252">
        <v>0</v>
      </c>
      <c r="O618" s="185" t="s">
        <v>51</v>
      </c>
    </row>
    <row r="619" spans="1:15" x14ac:dyDescent="0.25">
      <c r="A619" s="234" t="s">
        <v>5176</v>
      </c>
      <c r="B619" s="234" t="s">
        <v>30</v>
      </c>
      <c r="C619" s="245">
        <v>46146</v>
      </c>
      <c r="D619" s="234">
        <v>0</v>
      </c>
      <c r="E619" s="246">
        <v>20000</v>
      </c>
      <c r="F619" s="247">
        <v>0</v>
      </c>
      <c r="G619" s="34" t="s">
        <v>7</v>
      </c>
      <c r="H619" s="234" t="s">
        <v>5177</v>
      </c>
      <c r="I619" s="248" t="s">
        <v>7</v>
      </c>
      <c r="J619" s="249" t="s">
        <v>492</v>
      </c>
      <c r="K619" s="250">
        <v>0</v>
      </c>
      <c r="L619" s="250">
        <v>0</v>
      </c>
      <c r="M619" s="251" t="s">
        <v>30</v>
      </c>
      <c r="N619" s="252">
        <v>0</v>
      </c>
      <c r="O619" s="185" t="s">
        <v>51</v>
      </c>
    </row>
    <row r="620" spans="1:15" x14ac:dyDescent="0.25">
      <c r="A620" s="234" t="s">
        <v>2454</v>
      </c>
      <c r="B620" s="234" t="s">
        <v>30</v>
      </c>
      <c r="C620" s="245">
        <v>46146</v>
      </c>
      <c r="D620" s="234">
        <v>0</v>
      </c>
      <c r="E620" s="246">
        <v>3500</v>
      </c>
      <c r="F620" s="247">
        <v>0</v>
      </c>
      <c r="G620" s="34" t="s">
        <v>7</v>
      </c>
      <c r="H620" s="234" t="s">
        <v>2455</v>
      </c>
      <c r="I620" s="248" t="s">
        <v>7</v>
      </c>
      <c r="J620" s="249" t="s">
        <v>492</v>
      </c>
      <c r="K620" s="250">
        <v>0</v>
      </c>
      <c r="L620" s="250">
        <v>0</v>
      </c>
      <c r="M620" s="251" t="s">
        <v>30</v>
      </c>
      <c r="N620" s="252">
        <v>0</v>
      </c>
      <c r="O620" s="185" t="s">
        <v>51</v>
      </c>
    </row>
    <row r="621" spans="1:15" x14ac:dyDescent="0.25">
      <c r="A621" s="234" t="s">
        <v>2410</v>
      </c>
      <c r="B621" s="234" t="s">
        <v>30</v>
      </c>
      <c r="C621" s="245">
        <v>46146</v>
      </c>
      <c r="D621" s="234">
        <v>0</v>
      </c>
      <c r="E621" s="246">
        <v>184834.4</v>
      </c>
      <c r="F621" s="247">
        <v>0</v>
      </c>
      <c r="G621" s="34" t="s">
        <v>7</v>
      </c>
      <c r="H621" s="234" t="s">
        <v>2412</v>
      </c>
      <c r="I621" s="248" t="s">
        <v>7</v>
      </c>
      <c r="J621" s="249" t="s">
        <v>492</v>
      </c>
      <c r="K621" s="250">
        <v>0</v>
      </c>
      <c r="L621" s="250">
        <v>0</v>
      </c>
      <c r="M621" s="251" t="s">
        <v>30</v>
      </c>
      <c r="N621" s="252">
        <v>0</v>
      </c>
      <c r="O621" s="185" t="s">
        <v>51</v>
      </c>
    </row>
    <row r="622" spans="1:15" x14ac:dyDescent="0.25">
      <c r="A622" s="234" t="s">
        <v>2540</v>
      </c>
      <c r="B622" s="234" t="s">
        <v>30</v>
      </c>
      <c r="C622" s="245">
        <v>46146</v>
      </c>
      <c r="D622" s="234">
        <v>0</v>
      </c>
      <c r="E622" s="246">
        <v>100000</v>
      </c>
      <c r="F622" s="247">
        <v>0</v>
      </c>
      <c r="G622" s="34" t="s">
        <v>7</v>
      </c>
      <c r="H622" s="234" t="s">
        <v>2541</v>
      </c>
      <c r="I622" s="248" t="s">
        <v>7</v>
      </c>
      <c r="J622" s="249" t="s">
        <v>492</v>
      </c>
      <c r="K622" s="250">
        <v>0</v>
      </c>
      <c r="L622" s="250">
        <v>0</v>
      </c>
      <c r="M622" s="251" t="s">
        <v>30</v>
      </c>
      <c r="N622" s="252">
        <v>0</v>
      </c>
      <c r="O622" s="185" t="s">
        <v>51</v>
      </c>
    </row>
    <row r="623" spans="1:15" x14ac:dyDescent="0.25">
      <c r="A623" s="234" t="s">
        <v>7658</v>
      </c>
      <c r="B623" s="234" t="s">
        <v>30</v>
      </c>
      <c r="C623" s="245">
        <v>46146</v>
      </c>
      <c r="D623" s="234">
        <v>0</v>
      </c>
      <c r="E623" s="246">
        <v>79500</v>
      </c>
      <c r="F623" s="247">
        <v>0</v>
      </c>
      <c r="G623" s="34" t="s">
        <v>7</v>
      </c>
      <c r="H623" s="234" t="s">
        <v>7659</v>
      </c>
      <c r="I623" s="248" t="s">
        <v>7</v>
      </c>
      <c r="J623" s="249" t="s">
        <v>492</v>
      </c>
      <c r="K623" s="250">
        <v>0</v>
      </c>
      <c r="L623" s="250">
        <v>0</v>
      </c>
      <c r="M623" s="251" t="s">
        <v>30</v>
      </c>
      <c r="N623" s="252">
        <v>0</v>
      </c>
      <c r="O623" s="185" t="s">
        <v>51</v>
      </c>
    </row>
    <row r="624" spans="1:15" x14ac:dyDescent="0.25">
      <c r="A624" s="234" t="s">
        <v>7660</v>
      </c>
      <c r="B624" s="234" t="s">
        <v>47</v>
      </c>
      <c r="C624" s="245">
        <v>46146</v>
      </c>
      <c r="D624" s="234">
        <v>0</v>
      </c>
      <c r="E624" s="246">
        <v>102962</v>
      </c>
      <c r="F624" s="247">
        <v>0</v>
      </c>
      <c r="G624" s="34" t="s">
        <v>83</v>
      </c>
      <c r="H624" s="234" t="s">
        <v>7661</v>
      </c>
      <c r="I624" s="248" t="s">
        <v>7</v>
      </c>
      <c r="J624" s="249" t="s">
        <v>492</v>
      </c>
      <c r="K624" s="250">
        <v>0</v>
      </c>
      <c r="L624" s="250">
        <v>0</v>
      </c>
      <c r="M624" s="251" t="s">
        <v>47</v>
      </c>
      <c r="N624" s="252">
        <v>0</v>
      </c>
      <c r="O624" s="185" t="s">
        <v>51</v>
      </c>
    </row>
    <row r="625" spans="1:15" x14ac:dyDescent="0.25">
      <c r="A625" s="234" t="s">
        <v>4506</v>
      </c>
      <c r="B625" s="234" t="s">
        <v>47</v>
      </c>
      <c r="C625" s="245">
        <v>46146</v>
      </c>
      <c r="D625" s="234">
        <v>0</v>
      </c>
      <c r="E625" s="246">
        <v>375920</v>
      </c>
      <c r="F625" s="247">
        <v>0</v>
      </c>
      <c r="G625" s="34" t="s">
        <v>83</v>
      </c>
      <c r="H625" s="234" t="s">
        <v>4507</v>
      </c>
      <c r="I625" s="248" t="s">
        <v>7</v>
      </c>
      <c r="J625" s="249" t="s">
        <v>492</v>
      </c>
      <c r="K625" s="250">
        <v>0</v>
      </c>
      <c r="L625" s="250">
        <v>0</v>
      </c>
      <c r="M625" s="251" t="s">
        <v>47</v>
      </c>
      <c r="N625" s="252">
        <v>0</v>
      </c>
      <c r="O625" s="185" t="s">
        <v>51</v>
      </c>
    </row>
    <row r="626" spans="1:15" x14ac:dyDescent="0.25">
      <c r="A626" s="234" t="s">
        <v>1699</v>
      </c>
      <c r="B626" s="234" t="s">
        <v>47</v>
      </c>
      <c r="C626" s="245">
        <v>46146</v>
      </c>
      <c r="D626" s="234">
        <v>0</v>
      </c>
      <c r="E626" s="246">
        <v>519804</v>
      </c>
      <c r="F626" s="247">
        <v>0</v>
      </c>
      <c r="G626" s="34" t="s">
        <v>83</v>
      </c>
      <c r="H626" s="234" t="s">
        <v>1701</v>
      </c>
      <c r="I626" s="248" t="s">
        <v>7</v>
      </c>
      <c r="J626" s="249" t="s">
        <v>492</v>
      </c>
      <c r="K626" s="250">
        <v>0</v>
      </c>
      <c r="L626" s="250">
        <v>0</v>
      </c>
      <c r="M626" s="251" t="s">
        <v>47</v>
      </c>
      <c r="N626" s="252">
        <v>0</v>
      </c>
      <c r="O626" s="185" t="s">
        <v>51</v>
      </c>
    </row>
    <row r="627" spans="1:15" x14ac:dyDescent="0.25">
      <c r="A627" s="234" t="s">
        <v>2786</v>
      </c>
      <c r="B627" s="234" t="s">
        <v>47</v>
      </c>
      <c r="C627" s="245">
        <v>46146</v>
      </c>
      <c r="D627" s="234">
        <v>0</v>
      </c>
      <c r="E627" s="246">
        <v>2500</v>
      </c>
      <c r="F627" s="247">
        <v>0</v>
      </c>
      <c r="G627" s="34" t="s">
        <v>83</v>
      </c>
      <c r="H627" s="234" t="s">
        <v>2787</v>
      </c>
      <c r="I627" s="248" t="s">
        <v>7</v>
      </c>
      <c r="J627" s="249" t="s">
        <v>492</v>
      </c>
      <c r="K627" s="250">
        <v>0</v>
      </c>
      <c r="L627" s="250">
        <v>0</v>
      </c>
      <c r="M627" s="251" t="s">
        <v>47</v>
      </c>
      <c r="N627" s="252">
        <v>0</v>
      </c>
      <c r="O627" s="185" t="s">
        <v>51</v>
      </c>
    </row>
    <row r="628" spans="1:15" x14ac:dyDescent="0.25">
      <c r="A628" s="234" t="s">
        <v>2015</v>
      </c>
      <c r="B628" s="234" t="s">
        <v>28</v>
      </c>
      <c r="C628" s="245">
        <v>46146</v>
      </c>
      <c r="D628" s="234" t="s">
        <v>7275</v>
      </c>
      <c r="E628" s="246">
        <v>5000</v>
      </c>
      <c r="F628" s="247" t="s">
        <v>2017</v>
      </c>
      <c r="G628" s="34" t="s">
        <v>7</v>
      </c>
      <c r="H628" s="234" t="s">
        <v>2016</v>
      </c>
      <c r="I628" s="248" t="s">
        <v>7</v>
      </c>
      <c r="J628" s="249" t="s">
        <v>554</v>
      </c>
      <c r="K628" s="250">
        <v>5000</v>
      </c>
      <c r="L628" s="250">
        <v>0</v>
      </c>
      <c r="M628" s="251" t="s">
        <v>28</v>
      </c>
      <c r="N628" s="252">
        <v>0</v>
      </c>
      <c r="O628" s="185" t="s">
        <v>51</v>
      </c>
    </row>
    <row r="629" spans="1:15" x14ac:dyDescent="0.25">
      <c r="A629" s="234" t="s">
        <v>2015</v>
      </c>
      <c r="B629" s="234" t="s">
        <v>28</v>
      </c>
      <c r="C629" s="245">
        <v>46146</v>
      </c>
      <c r="D629" s="234" t="s">
        <v>7275</v>
      </c>
      <c r="E629" s="246">
        <v>16293.95</v>
      </c>
      <c r="F629" s="247" t="s">
        <v>2014</v>
      </c>
      <c r="G629" s="34" t="s">
        <v>7</v>
      </c>
      <c r="H629" s="234" t="s">
        <v>2016</v>
      </c>
      <c r="I629" s="248" t="s">
        <v>7</v>
      </c>
      <c r="J629" s="249" t="s">
        <v>554</v>
      </c>
      <c r="K629" s="250">
        <v>16293.95</v>
      </c>
      <c r="L629" s="250">
        <v>0</v>
      </c>
      <c r="M629" s="251" t="s">
        <v>28</v>
      </c>
      <c r="N629" s="252">
        <v>0</v>
      </c>
      <c r="O629" s="185" t="s">
        <v>51</v>
      </c>
    </row>
    <row r="630" spans="1:15" x14ac:dyDescent="0.25">
      <c r="A630" s="234" t="s">
        <v>4383</v>
      </c>
      <c r="B630" s="234" t="s">
        <v>28</v>
      </c>
      <c r="C630" s="245">
        <v>46146</v>
      </c>
      <c r="D630" s="234" t="s">
        <v>7275</v>
      </c>
      <c r="E630" s="246">
        <v>40000</v>
      </c>
      <c r="F630" s="247" t="s">
        <v>4382</v>
      </c>
      <c r="G630" s="34" t="s">
        <v>7</v>
      </c>
      <c r="H630" s="234" t="s">
        <v>4384</v>
      </c>
      <c r="I630" s="248" t="s">
        <v>7</v>
      </c>
      <c r="J630" s="249" t="s">
        <v>554</v>
      </c>
      <c r="K630" s="250">
        <v>40000</v>
      </c>
      <c r="L630" s="250">
        <v>0</v>
      </c>
      <c r="M630" s="251" t="s">
        <v>28</v>
      </c>
      <c r="N630" s="252">
        <v>0</v>
      </c>
      <c r="O630" s="185" t="s">
        <v>51</v>
      </c>
    </row>
    <row r="631" spans="1:15" x14ac:dyDescent="0.25">
      <c r="A631" s="234" t="s">
        <v>4383</v>
      </c>
      <c r="B631" s="234" t="s">
        <v>28</v>
      </c>
      <c r="C631" s="245">
        <v>46146</v>
      </c>
      <c r="D631" s="234" t="s">
        <v>7275</v>
      </c>
      <c r="E631" s="246">
        <v>40000</v>
      </c>
      <c r="F631" s="247" t="s">
        <v>4385</v>
      </c>
      <c r="G631" s="34" t="s">
        <v>7</v>
      </c>
      <c r="H631" s="234" t="s">
        <v>4384</v>
      </c>
      <c r="I631" s="248" t="s">
        <v>7</v>
      </c>
      <c r="J631" s="249" t="s">
        <v>554</v>
      </c>
      <c r="K631" s="250">
        <v>40000</v>
      </c>
      <c r="L631" s="250">
        <v>0</v>
      </c>
      <c r="M631" s="251" t="s">
        <v>28</v>
      </c>
      <c r="N631" s="252">
        <v>0</v>
      </c>
      <c r="O631" s="185" t="s">
        <v>51</v>
      </c>
    </row>
    <row r="632" spans="1:15" x14ac:dyDescent="0.25">
      <c r="A632" s="234" t="s">
        <v>4383</v>
      </c>
      <c r="B632" s="234" t="s">
        <v>28</v>
      </c>
      <c r="C632" s="245">
        <v>46146</v>
      </c>
      <c r="D632" s="234" t="s">
        <v>7275</v>
      </c>
      <c r="E632" s="246">
        <v>43035</v>
      </c>
      <c r="F632" s="247" t="s">
        <v>7662</v>
      </c>
      <c r="G632" s="34" t="s">
        <v>7</v>
      </c>
      <c r="H632" s="234" t="s">
        <v>4384</v>
      </c>
      <c r="I632" s="248" t="s">
        <v>7</v>
      </c>
      <c r="J632" s="249" t="s">
        <v>492</v>
      </c>
      <c r="K632" s="250">
        <v>0</v>
      </c>
      <c r="L632" s="250">
        <v>0</v>
      </c>
      <c r="M632" s="251" t="s">
        <v>28</v>
      </c>
      <c r="N632" s="252">
        <v>0</v>
      </c>
      <c r="O632" s="185" t="s">
        <v>51</v>
      </c>
    </row>
    <row r="633" spans="1:15" x14ac:dyDescent="0.25">
      <c r="A633" s="234" t="s">
        <v>2086</v>
      </c>
      <c r="B633" s="234" t="s">
        <v>28</v>
      </c>
      <c r="C633" s="245">
        <v>46146</v>
      </c>
      <c r="D633" s="234" t="s">
        <v>7275</v>
      </c>
      <c r="E633" s="246">
        <v>209576</v>
      </c>
      <c r="F633" s="247" t="s">
        <v>2085</v>
      </c>
      <c r="G633" s="34" t="s">
        <v>7</v>
      </c>
      <c r="H633" s="234" t="s">
        <v>2087</v>
      </c>
      <c r="I633" s="248" t="s">
        <v>7</v>
      </c>
      <c r="J633" s="249" t="s">
        <v>554</v>
      </c>
      <c r="K633" s="250">
        <v>209576</v>
      </c>
      <c r="L633" s="250">
        <v>0</v>
      </c>
      <c r="M633" s="251" t="s">
        <v>28</v>
      </c>
      <c r="N633" s="252">
        <v>0</v>
      </c>
      <c r="O633" s="185" t="s">
        <v>51</v>
      </c>
    </row>
    <row r="634" spans="1:15" x14ac:dyDescent="0.25">
      <c r="A634" s="234" t="s">
        <v>2521</v>
      </c>
      <c r="B634" s="234" t="s">
        <v>28</v>
      </c>
      <c r="C634" s="245">
        <v>46146</v>
      </c>
      <c r="D634" s="234" t="s">
        <v>7275</v>
      </c>
      <c r="E634" s="246">
        <v>33004.76</v>
      </c>
      <c r="F634" s="247" t="s">
        <v>2520</v>
      </c>
      <c r="G634" s="34" t="s">
        <v>7</v>
      </c>
      <c r="H634" s="234" t="s">
        <v>2522</v>
      </c>
      <c r="I634" s="248" t="s">
        <v>7</v>
      </c>
      <c r="J634" s="249" t="s">
        <v>554</v>
      </c>
      <c r="K634" s="250">
        <v>33004.76</v>
      </c>
      <c r="L634" s="250">
        <v>0</v>
      </c>
      <c r="M634" s="251" t="s">
        <v>28</v>
      </c>
      <c r="N634" s="252">
        <v>0</v>
      </c>
      <c r="O634" s="185" t="s">
        <v>51</v>
      </c>
    </row>
    <row r="635" spans="1:15" x14ac:dyDescent="0.25">
      <c r="A635" s="234" t="s">
        <v>4396</v>
      </c>
      <c r="B635" s="234" t="s">
        <v>28</v>
      </c>
      <c r="C635" s="245">
        <v>46146</v>
      </c>
      <c r="D635" s="234" t="s">
        <v>7275</v>
      </c>
      <c r="E635" s="246">
        <v>403736.29</v>
      </c>
      <c r="F635" s="247" t="s">
        <v>4402</v>
      </c>
      <c r="G635" s="34" t="s">
        <v>7</v>
      </c>
      <c r="H635" s="234" t="s">
        <v>4397</v>
      </c>
      <c r="I635" s="248" t="s">
        <v>7</v>
      </c>
      <c r="J635" s="249" t="s">
        <v>554</v>
      </c>
      <c r="K635" s="250">
        <v>403736.29</v>
      </c>
      <c r="L635" s="250">
        <v>0</v>
      </c>
      <c r="M635" s="251" t="s">
        <v>28</v>
      </c>
      <c r="N635" s="252">
        <v>0</v>
      </c>
      <c r="O635" s="185" t="s">
        <v>51</v>
      </c>
    </row>
    <row r="636" spans="1:15" x14ac:dyDescent="0.25">
      <c r="A636" s="234" t="s">
        <v>2098</v>
      </c>
      <c r="B636" s="234" t="s">
        <v>28</v>
      </c>
      <c r="C636" s="245">
        <v>46146</v>
      </c>
      <c r="D636" s="234" t="s">
        <v>7275</v>
      </c>
      <c r="E636" s="246">
        <v>70000</v>
      </c>
      <c r="F636" s="247" t="s">
        <v>7663</v>
      </c>
      <c r="G636" s="34" t="s">
        <v>7</v>
      </c>
      <c r="H636" s="234" t="s">
        <v>2099</v>
      </c>
      <c r="I636" s="248" t="s">
        <v>7</v>
      </c>
      <c r="J636" s="249" t="s">
        <v>492</v>
      </c>
      <c r="K636" s="250">
        <v>0</v>
      </c>
      <c r="L636" s="250">
        <v>0</v>
      </c>
      <c r="M636" s="251" t="s">
        <v>28</v>
      </c>
      <c r="N636" s="252">
        <v>0</v>
      </c>
      <c r="O636" s="185" t="s">
        <v>51</v>
      </c>
    </row>
    <row r="637" spans="1:15" x14ac:dyDescent="0.25">
      <c r="A637" s="234" t="s">
        <v>2098</v>
      </c>
      <c r="B637" s="234" t="s">
        <v>28</v>
      </c>
      <c r="C637" s="245">
        <v>46146</v>
      </c>
      <c r="D637" s="234" t="s">
        <v>7275</v>
      </c>
      <c r="E637" s="246">
        <v>81295</v>
      </c>
      <c r="F637" s="247" t="s">
        <v>7664</v>
      </c>
      <c r="G637" s="34" t="s">
        <v>7</v>
      </c>
      <c r="H637" s="234" t="s">
        <v>2099</v>
      </c>
      <c r="I637" s="248" t="s">
        <v>7</v>
      </c>
      <c r="J637" s="249" t="s">
        <v>492</v>
      </c>
      <c r="K637" s="250">
        <v>0</v>
      </c>
      <c r="L637" s="250">
        <v>0</v>
      </c>
      <c r="M637" s="251" t="s">
        <v>28</v>
      </c>
      <c r="N637" s="252">
        <v>0</v>
      </c>
      <c r="O637" s="185" t="s">
        <v>51</v>
      </c>
    </row>
    <row r="638" spans="1:15" x14ac:dyDescent="0.25">
      <c r="A638" s="234" t="s">
        <v>2098</v>
      </c>
      <c r="B638" s="234" t="s">
        <v>28</v>
      </c>
      <c r="C638" s="245">
        <v>46146</v>
      </c>
      <c r="D638" s="234" t="s">
        <v>7275</v>
      </c>
      <c r="E638" s="246">
        <v>39999</v>
      </c>
      <c r="F638" s="247" t="s">
        <v>2097</v>
      </c>
      <c r="G638" s="34" t="s">
        <v>7</v>
      </c>
      <c r="H638" s="234" t="s">
        <v>2099</v>
      </c>
      <c r="I638" s="248" t="s">
        <v>7</v>
      </c>
      <c r="J638" s="249" t="s">
        <v>554</v>
      </c>
      <c r="K638" s="250">
        <v>39999</v>
      </c>
      <c r="L638" s="250">
        <v>0</v>
      </c>
      <c r="M638" s="251" t="s">
        <v>28</v>
      </c>
      <c r="N638" s="252">
        <v>0</v>
      </c>
      <c r="O638" s="185" t="s">
        <v>51</v>
      </c>
    </row>
    <row r="639" spans="1:15" x14ac:dyDescent="0.25">
      <c r="A639" s="234" t="s">
        <v>2074</v>
      </c>
      <c r="B639" s="234" t="s">
        <v>28</v>
      </c>
      <c r="C639" s="245">
        <v>46146</v>
      </c>
      <c r="D639" s="234" t="s">
        <v>7275</v>
      </c>
      <c r="E639" s="246">
        <v>190107</v>
      </c>
      <c r="F639" s="247" t="s">
        <v>2076</v>
      </c>
      <c r="G639" s="34" t="s">
        <v>7</v>
      </c>
      <c r="H639" s="234" t="s">
        <v>2075</v>
      </c>
      <c r="I639" s="248" t="s">
        <v>7</v>
      </c>
      <c r="J639" s="249" t="s">
        <v>62</v>
      </c>
      <c r="K639" s="250">
        <v>190107</v>
      </c>
      <c r="L639" s="250">
        <v>0</v>
      </c>
      <c r="M639" s="251" t="s">
        <v>28</v>
      </c>
      <c r="N639" s="252">
        <v>0</v>
      </c>
      <c r="O639" s="185" t="s">
        <v>51</v>
      </c>
    </row>
    <row r="640" spans="1:15" x14ac:dyDescent="0.25">
      <c r="A640" s="234" t="s">
        <v>2068</v>
      </c>
      <c r="B640" s="234" t="s">
        <v>28</v>
      </c>
      <c r="C640" s="245">
        <v>46146</v>
      </c>
      <c r="D640" s="234" t="s">
        <v>7275</v>
      </c>
      <c r="E640" s="246">
        <v>282750</v>
      </c>
      <c r="F640" s="247" t="s">
        <v>2067</v>
      </c>
      <c r="G640" s="34" t="s">
        <v>7</v>
      </c>
      <c r="H640" s="234" t="s">
        <v>2069</v>
      </c>
      <c r="I640" s="248" t="s">
        <v>7</v>
      </c>
      <c r="J640" s="249" t="s">
        <v>554</v>
      </c>
      <c r="K640" s="250">
        <v>282750</v>
      </c>
      <c r="L640" s="250">
        <v>0</v>
      </c>
      <c r="M640" s="251" t="s">
        <v>28</v>
      </c>
      <c r="N640" s="252">
        <v>0</v>
      </c>
      <c r="O640" s="185" t="s">
        <v>51</v>
      </c>
    </row>
    <row r="641" spans="1:15" x14ac:dyDescent="0.25">
      <c r="A641" s="234" t="s">
        <v>2078</v>
      </c>
      <c r="B641" s="234" t="s">
        <v>28</v>
      </c>
      <c r="C641" s="245">
        <v>46146</v>
      </c>
      <c r="D641" s="234" t="s">
        <v>7275</v>
      </c>
      <c r="E641" s="246">
        <v>214504</v>
      </c>
      <c r="F641" s="247" t="s">
        <v>2081</v>
      </c>
      <c r="G641" s="34" t="s">
        <v>7</v>
      </c>
      <c r="H641" s="234" t="s">
        <v>2079</v>
      </c>
      <c r="I641" s="248" t="s">
        <v>7</v>
      </c>
      <c r="J641" s="249" t="s">
        <v>62</v>
      </c>
      <c r="K641" s="250">
        <v>214504</v>
      </c>
      <c r="L641" s="250">
        <v>0</v>
      </c>
      <c r="M641" s="251" t="s">
        <v>28</v>
      </c>
      <c r="N641" s="252">
        <v>0</v>
      </c>
      <c r="O641" s="185" t="s">
        <v>51</v>
      </c>
    </row>
    <row r="642" spans="1:15" x14ac:dyDescent="0.25">
      <c r="A642" s="234" t="s">
        <v>4380</v>
      </c>
      <c r="B642" s="234" t="s">
        <v>28</v>
      </c>
      <c r="C642" s="245">
        <v>46146</v>
      </c>
      <c r="D642" s="234" t="s">
        <v>7275</v>
      </c>
      <c r="E642" s="246">
        <v>334849.39</v>
      </c>
      <c r="F642" s="247" t="s">
        <v>4379</v>
      </c>
      <c r="G642" s="34" t="s">
        <v>7</v>
      </c>
      <c r="H642" s="234" t="s">
        <v>4381</v>
      </c>
      <c r="I642" s="248" t="s">
        <v>7</v>
      </c>
      <c r="J642" s="249" t="s">
        <v>554</v>
      </c>
      <c r="K642" s="250">
        <v>333036.99</v>
      </c>
      <c r="L642" s="250">
        <v>0</v>
      </c>
      <c r="M642" s="251" t="s">
        <v>28</v>
      </c>
      <c r="N642" s="252">
        <v>0</v>
      </c>
      <c r="O642" s="185" t="s">
        <v>51</v>
      </c>
    </row>
    <row r="643" spans="1:15" x14ac:dyDescent="0.25">
      <c r="A643" s="234"/>
      <c r="B643" s="234" t="s">
        <v>492</v>
      </c>
      <c r="C643" s="245">
        <v>46146</v>
      </c>
      <c r="D643" s="234" t="s">
        <v>492</v>
      </c>
      <c r="E643" s="246">
        <v>1000000</v>
      </c>
      <c r="F643" s="247"/>
      <c r="G643" s="34"/>
      <c r="H643" s="234"/>
      <c r="I643" s="253" t="s">
        <v>7541</v>
      </c>
      <c r="J643" s="253"/>
      <c r="K643" s="253"/>
      <c r="L643" s="253"/>
      <c r="M643" s="234"/>
      <c r="O643" t="s">
        <v>51</v>
      </c>
    </row>
    <row r="644" spans="1:15" x14ac:dyDescent="0.25">
      <c r="A644" s="234"/>
      <c r="B644" s="234" t="s">
        <v>492</v>
      </c>
      <c r="C644" s="245">
        <v>46146</v>
      </c>
      <c r="D644" s="234" t="s">
        <v>492</v>
      </c>
      <c r="E644" s="246">
        <v>0</v>
      </c>
      <c r="F644" s="247"/>
      <c r="G644" s="34"/>
      <c r="H644" s="234"/>
      <c r="I644" s="253" t="s">
        <v>7541</v>
      </c>
      <c r="J644" s="253"/>
      <c r="K644" s="253"/>
      <c r="L644" s="253"/>
      <c r="M644" s="234"/>
      <c r="O644" t="s">
        <v>74</v>
      </c>
    </row>
    <row r="645" spans="1:15" x14ac:dyDescent="0.25">
      <c r="A645" s="234"/>
      <c r="B645" s="234" t="s">
        <v>492</v>
      </c>
      <c r="C645" s="245">
        <v>46146</v>
      </c>
      <c r="D645" s="234" t="s">
        <v>492</v>
      </c>
      <c r="E645" s="246">
        <v>1414166.7500000005</v>
      </c>
      <c r="F645" s="247"/>
      <c r="G645" s="34"/>
      <c r="H645" s="234"/>
      <c r="I645" s="253" t="s">
        <v>7541</v>
      </c>
      <c r="J645" s="253"/>
      <c r="K645" s="253"/>
      <c r="L645" s="253"/>
      <c r="M645" s="234"/>
      <c r="O645" t="s">
        <v>77</v>
      </c>
    </row>
    <row r="646" spans="1:15" x14ac:dyDescent="0.25">
      <c r="A646" s="234"/>
      <c r="B646" s="234" t="s">
        <v>492</v>
      </c>
      <c r="C646" s="245">
        <v>46146</v>
      </c>
      <c r="D646" s="234" t="s">
        <v>492</v>
      </c>
      <c r="E646" s="246">
        <v>7737235.9000000004</v>
      </c>
      <c r="F646" s="247"/>
      <c r="G646" s="34"/>
      <c r="H646" s="234"/>
      <c r="I646" s="253" t="s">
        <v>7541</v>
      </c>
      <c r="J646" s="253"/>
      <c r="K646" s="253"/>
      <c r="L646" s="253"/>
      <c r="M646" s="234"/>
      <c r="O646" t="s">
        <v>78</v>
      </c>
    </row>
    <row r="647" spans="1:15" x14ac:dyDescent="0.25">
      <c r="A647" s="234" t="s">
        <v>1827</v>
      </c>
      <c r="B647" s="234" t="s">
        <v>39</v>
      </c>
      <c r="C647" s="245">
        <v>46147</v>
      </c>
      <c r="D647" s="234" t="s">
        <v>64</v>
      </c>
      <c r="E647" s="246">
        <v>936899</v>
      </c>
      <c r="F647" s="247" t="s">
        <v>1826</v>
      </c>
      <c r="G647" s="34" t="s">
        <v>83</v>
      </c>
      <c r="H647" s="234" t="s">
        <v>1828</v>
      </c>
      <c r="I647" s="248" t="s">
        <v>7</v>
      </c>
      <c r="J647" s="249" t="s">
        <v>554</v>
      </c>
      <c r="K647" s="250">
        <v>936899</v>
      </c>
      <c r="L647" s="250">
        <v>0</v>
      </c>
      <c r="M647" s="251" t="s">
        <v>39</v>
      </c>
      <c r="N647" s="252">
        <v>0</v>
      </c>
      <c r="O647" s="185" t="s">
        <v>51</v>
      </c>
    </row>
    <row r="648" spans="1:15" x14ac:dyDescent="0.25">
      <c r="A648" s="234" t="s">
        <v>604</v>
      </c>
      <c r="B648" s="234" t="s">
        <v>39</v>
      </c>
      <c r="C648" s="245">
        <v>46147</v>
      </c>
      <c r="D648" s="234" t="s">
        <v>7269</v>
      </c>
      <c r="E648" s="246">
        <v>789695</v>
      </c>
      <c r="F648" s="247" t="s">
        <v>602</v>
      </c>
      <c r="G648" s="34" t="s">
        <v>83</v>
      </c>
      <c r="H648" s="234" t="s">
        <v>606</v>
      </c>
      <c r="I648" s="248" t="s">
        <v>7</v>
      </c>
      <c r="J648" s="249" t="s">
        <v>554</v>
      </c>
      <c r="K648" s="250">
        <v>784857</v>
      </c>
      <c r="L648" s="250">
        <v>0</v>
      </c>
      <c r="M648" s="251" t="s">
        <v>39</v>
      </c>
      <c r="N648" s="252">
        <v>0</v>
      </c>
      <c r="O648" s="185" t="s">
        <v>51</v>
      </c>
    </row>
    <row r="649" spans="1:15" x14ac:dyDescent="0.25">
      <c r="A649" s="234" t="s">
        <v>1845</v>
      </c>
      <c r="B649" s="234" t="s">
        <v>39</v>
      </c>
      <c r="C649" s="245">
        <v>46147</v>
      </c>
      <c r="D649" s="234" t="s">
        <v>7264</v>
      </c>
      <c r="E649" s="246">
        <v>201380</v>
      </c>
      <c r="F649" s="247" t="s">
        <v>1844</v>
      </c>
      <c r="G649" s="34" t="s">
        <v>83</v>
      </c>
      <c r="H649" s="234" t="s">
        <v>1846</v>
      </c>
      <c r="I649" s="248" t="s">
        <v>7</v>
      </c>
      <c r="J649" s="249" t="s">
        <v>554</v>
      </c>
      <c r="K649" s="250">
        <v>201380</v>
      </c>
      <c r="L649" s="250">
        <v>0</v>
      </c>
      <c r="M649" s="251" t="s">
        <v>39</v>
      </c>
      <c r="N649" s="252">
        <v>0</v>
      </c>
      <c r="O649" s="185" t="s">
        <v>51</v>
      </c>
    </row>
    <row r="650" spans="1:15" x14ac:dyDescent="0.25">
      <c r="A650" s="234" t="s">
        <v>1853</v>
      </c>
      <c r="B650" s="234" t="s">
        <v>39</v>
      </c>
      <c r="C650" s="245">
        <v>46147</v>
      </c>
      <c r="D650" s="234" t="s">
        <v>7269</v>
      </c>
      <c r="E650" s="246">
        <v>418000</v>
      </c>
      <c r="F650" s="247" t="s">
        <v>1858</v>
      </c>
      <c r="G650" s="34" t="s">
        <v>83</v>
      </c>
      <c r="H650" s="234" t="s">
        <v>1854</v>
      </c>
      <c r="I650" s="248" t="s">
        <v>7</v>
      </c>
      <c r="J650" s="249" t="s">
        <v>554</v>
      </c>
      <c r="K650" s="250">
        <v>418000</v>
      </c>
      <c r="L650" s="250">
        <v>0</v>
      </c>
      <c r="M650" s="251" t="s">
        <v>39</v>
      </c>
      <c r="N650" s="252">
        <v>0</v>
      </c>
      <c r="O650" s="185" t="s">
        <v>51</v>
      </c>
    </row>
    <row r="651" spans="1:15" x14ac:dyDescent="0.25">
      <c r="A651" s="234" t="s">
        <v>1785</v>
      </c>
      <c r="B651" s="234" t="s">
        <v>39</v>
      </c>
      <c r="C651" s="245">
        <v>46147</v>
      </c>
      <c r="D651" s="234" t="s">
        <v>7264</v>
      </c>
      <c r="E651" s="246">
        <v>257400</v>
      </c>
      <c r="F651" s="247" t="s">
        <v>1787</v>
      </c>
      <c r="G651" s="34" t="s">
        <v>83</v>
      </c>
      <c r="H651" s="234" t="s">
        <v>1786</v>
      </c>
      <c r="I651" s="248" t="s">
        <v>7</v>
      </c>
      <c r="J651" s="249" t="s">
        <v>554</v>
      </c>
      <c r="K651" s="250">
        <v>257370</v>
      </c>
      <c r="L651" s="250">
        <v>0</v>
      </c>
      <c r="M651" s="251" t="s">
        <v>39</v>
      </c>
      <c r="N651" s="252">
        <v>0</v>
      </c>
      <c r="O651" s="185" t="s">
        <v>51</v>
      </c>
    </row>
    <row r="652" spans="1:15" x14ac:dyDescent="0.25">
      <c r="A652" s="234" t="s">
        <v>2987</v>
      </c>
      <c r="B652" s="234" t="s">
        <v>40</v>
      </c>
      <c r="C652" s="245">
        <v>46147</v>
      </c>
      <c r="D652" s="234">
        <v>0</v>
      </c>
      <c r="E652" s="246">
        <v>588576</v>
      </c>
      <c r="F652" s="247" t="s">
        <v>2986</v>
      </c>
      <c r="G652" s="34" t="s">
        <v>83</v>
      </c>
      <c r="H652" s="234" t="s">
        <v>2988</v>
      </c>
      <c r="I652" s="248" t="s">
        <v>7</v>
      </c>
      <c r="J652" s="249" t="s">
        <v>554</v>
      </c>
      <c r="K652" s="250">
        <v>588576</v>
      </c>
      <c r="L652" s="250">
        <v>0</v>
      </c>
      <c r="M652" s="251" t="s">
        <v>40</v>
      </c>
      <c r="N652" s="252">
        <v>0</v>
      </c>
      <c r="O652" s="185" t="s">
        <v>51</v>
      </c>
    </row>
    <row r="653" spans="1:15" x14ac:dyDescent="0.25">
      <c r="A653" s="234" t="s">
        <v>1686</v>
      </c>
      <c r="B653" s="234" t="s">
        <v>40</v>
      </c>
      <c r="C653" s="245">
        <v>46147</v>
      </c>
      <c r="D653" s="234">
        <v>0</v>
      </c>
      <c r="E653" s="246">
        <v>447155</v>
      </c>
      <c r="F653" s="247">
        <v>0</v>
      </c>
      <c r="G653" s="34" t="s">
        <v>83</v>
      </c>
      <c r="H653" s="234" t="s">
        <v>1687</v>
      </c>
      <c r="I653" s="248" t="s">
        <v>7</v>
      </c>
      <c r="J653" s="249" t="s">
        <v>492</v>
      </c>
      <c r="K653" s="250">
        <v>0</v>
      </c>
      <c r="L653" s="250">
        <v>0</v>
      </c>
      <c r="M653" s="251" t="s">
        <v>40</v>
      </c>
      <c r="N653" s="252">
        <v>0</v>
      </c>
      <c r="O653" s="185" t="s">
        <v>51</v>
      </c>
    </row>
    <row r="654" spans="1:15" x14ac:dyDescent="0.25">
      <c r="A654" s="234" t="s">
        <v>2164</v>
      </c>
      <c r="B654" s="234" t="s">
        <v>38</v>
      </c>
      <c r="C654" s="245">
        <v>46147</v>
      </c>
      <c r="D654" s="234" t="s">
        <v>7270</v>
      </c>
      <c r="E654" s="246">
        <v>366000</v>
      </c>
      <c r="F654" s="247" t="s">
        <v>2163</v>
      </c>
      <c r="G654" s="34" t="s">
        <v>83</v>
      </c>
      <c r="H654" s="234" t="s">
        <v>2165</v>
      </c>
      <c r="I654" s="248" t="s">
        <v>7</v>
      </c>
      <c r="J654" s="249" t="s">
        <v>554</v>
      </c>
      <c r="K654" s="250">
        <v>367100</v>
      </c>
      <c r="L654" s="250">
        <v>0</v>
      </c>
      <c r="M654" s="251" t="s">
        <v>38</v>
      </c>
      <c r="N654" s="252">
        <v>0</v>
      </c>
      <c r="O654" s="185" t="s">
        <v>51</v>
      </c>
    </row>
    <row r="655" spans="1:15" x14ac:dyDescent="0.25">
      <c r="A655" s="234" t="s">
        <v>3907</v>
      </c>
      <c r="B655" s="234" t="s">
        <v>38</v>
      </c>
      <c r="C655" s="245">
        <v>46147</v>
      </c>
      <c r="D655" s="234" t="s">
        <v>7270</v>
      </c>
      <c r="E655" s="246">
        <v>50000</v>
      </c>
      <c r="F655" s="247" t="s">
        <v>7665</v>
      </c>
      <c r="G655" s="34" t="s">
        <v>83</v>
      </c>
      <c r="H655" s="234" t="s">
        <v>3908</v>
      </c>
      <c r="I655" s="248" t="s">
        <v>7</v>
      </c>
      <c r="J655" s="249" t="s">
        <v>492</v>
      </c>
      <c r="K655" s="250">
        <v>0</v>
      </c>
      <c r="L655" s="250">
        <v>0</v>
      </c>
      <c r="M655" s="251" t="s">
        <v>38</v>
      </c>
      <c r="N655" s="252">
        <v>0</v>
      </c>
      <c r="O655" s="185" t="s">
        <v>74</v>
      </c>
    </row>
    <row r="656" spans="1:15" x14ac:dyDescent="0.25">
      <c r="A656" s="234" t="s">
        <v>3907</v>
      </c>
      <c r="B656" s="234" t="s">
        <v>38</v>
      </c>
      <c r="C656" s="245">
        <v>46147</v>
      </c>
      <c r="D656" s="234" t="s">
        <v>7270</v>
      </c>
      <c r="E656" s="246">
        <v>30000</v>
      </c>
      <c r="F656" s="247" t="s">
        <v>3906</v>
      </c>
      <c r="G656" s="34" t="s">
        <v>83</v>
      </c>
      <c r="H656" s="234" t="s">
        <v>3908</v>
      </c>
      <c r="I656" s="248" t="s">
        <v>7</v>
      </c>
      <c r="J656" s="249" t="s">
        <v>554</v>
      </c>
      <c r="K656" s="250">
        <v>30000</v>
      </c>
      <c r="L656" s="250">
        <v>0</v>
      </c>
      <c r="M656" s="251" t="s">
        <v>38</v>
      </c>
      <c r="N656" s="252">
        <v>0</v>
      </c>
      <c r="O656" s="185" t="s">
        <v>74</v>
      </c>
    </row>
    <row r="657" spans="1:15" x14ac:dyDescent="0.25">
      <c r="A657" s="234" t="s">
        <v>2272</v>
      </c>
      <c r="B657" s="234" t="s">
        <v>38</v>
      </c>
      <c r="C657" s="245">
        <v>46147</v>
      </c>
      <c r="D657" s="234" t="s">
        <v>7270</v>
      </c>
      <c r="E657" s="246">
        <v>90629</v>
      </c>
      <c r="F657" s="247" t="s">
        <v>2275</v>
      </c>
      <c r="G657" s="34" t="s">
        <v>83</v>
      </c>
      <c r="H657" s="234" t="s">
        <v>2273</v>
      </c>
      <c r="I657" s="248" t="s">
        <v>7</v>
      </c>
      <c r="J657" s="249" t="s">
        <v>554</v>
      </c>
      <c r="K657" s="250">
        <v>90629</v>
      </c>
      <c r="L657" s="250">
        <v>0</v>
      </c>
      <c r="M657" s="251" t="s">
        <v>38</v>
      </c>
      <c r="N657" s="252">
        <v>0</v>
      </c>
      <c r="O657" s="185" t="s">
        <v>51</v>
      </c>
    </row>
    <row r="658" spans="1:15" x14ac:dyDescent="0.25">
      <c r="A658" s="234" t="s">
        <v>640</v>
      </c>
      <c r="B658" s="234" t="s">
        <v>38</v>
      </c>
      <c r="C658" s="245">
        <v>46147</v>
      </c>
      <c r="D658" s="234" t="s">
        <v>7270</v>
      </c>
      <c r="E658" s="246">
        <v>464000</v>
      </c>
      <c r="F658" s="247" t="s">
        <v>7275</v>
      </c>
      <c r="G658" s="34" t="s">
        <v>83</v>
      </c>
      <c r="H658" s="234" t="s">
        <v>641</v>
      </c>
      <c r="I658" s="248" t="s">
        <v>7</v>
      </c>
      <c r="J658" s="249" t="s">
        <v>492</v>
      </c>
      <c r="K658" s="250">
        <v>0</v>
      </c>
      <c r="L658" s="250">
        <v>0</v>
      </c>
      <c r="M658" s="251" t="s">
        <v>38</v>
      </c>
      <c r="N658" s="252">
        <v>0</v>
      </c>
      <c r="O658" s="185" t="s">
        <v>51</v>
      </c>
    </row>
    <row r="659" spans="1:15" x14ac:dyDescent="0.25">
      <c r="A659" s="234" t="s">
        <v>1960</v>
      </c>
      <c r="B659" s="234" t="s">
        <v>48</v>
      </c>
      <c r="C659" s="245">
        <v>46147</v>
      </c>
      <c r="D659" s="234">
        <v>0</v>
      </c>
      <c r="E659" s="246">
        <v>100000</v>
      </c>
      <c r="F659" s="247" t="s">
        <v>1962</v>
      </c>
      <c r="G659" s="34" t="s">
        <v>83</v>
      </c>
      <c r="H659" s="234" t="s">
        <v>1961</v>
      </c>
      <c r="I659" s="248" t="s">
        <v>7</v>
      </c>
      <c r="J659" s="249" t="s">
        <v>554</v>
      </c>
      <c r="K659" s="250">
        <v>200000</v>
      </c>
      <c r="L659" s="250">
        <v>0</v>
      </c>
      <c r="M659" s="251" t="s">
        <v>48</v>
      </c>
      <c r="N659" s="252">
        <v>0</v>
      </c>
      <c r="O659" s="185" t="s">
        <v>51</v>
      </c>
    </row>
    <row r="660" spans="1:15" x14ac:dyDescent="0.25">
      <c r="A660" s="234" t="s">
        <v>1960</v>
      </c>
      <c r="B660" s="234" t="s">
        <v>48</v>
      </c>
      <c r="C660" s="245">
        <v>46147</v>
      </c>
      <c r="D660" s="234">
        <v>0</v>
      </c>
      <c r="E660" s="246">
        <v>200000</v>
      </c>
      <c r="F660" s="247" t="s">
        <v>1959</v>
      </c>
      <c r="G660" s="34" t="s">
        <v>83</v>
      </c>
      <c r="H660" s="234" t="s">
        <v>1961</v>
      </c>
      <c r="I660" s="248" t="s">
        <v>7</v>
      </c>
      <c r="J660" s="249" t="s">
        <v>554</v>
      </c>
      <c r="K660" s="250">
        <v>200000</v>
      </c>
      <c r="L660" s="250">
        <v>0</v>
      </c>
      <c r="M660" s="251" t="s">
        <v>48</v>
      </c>
      <c r="N660" s="252">
        <v>0</v>
      </c>
      <c r="O660" s="185" t="s">
        <v>51</v>
      </c>
    </row>
    <row r="661" spans="1:15" x14ac:dyDescent="0.25">
      <c r="A661" s="234" t="s">
        <v>1913</v>
      </c>
      <c r="B661" s="234" t="s">
        <v>48</v>
      </c>
      <c r="C661" s="245">
        <v>46147</v>
      </c>
      <c r="D661" s="234">
        <v>0</v>
      </c>
      <c r="E661" s="246">
        <v>383282</v>
      </c>
      <c r="F661" s="247" t="s">
        <v>1912</v>
      </c>
      <c r="G661" s="34" t="s">
        <v>83</v>
      </c>
      <c r="H661" s="234" t="s">
        <v>1914</v>
      </c>
      <c r="I661" s="248" t="s">
        <v>7</v>
      </c>
      <c r="J661" s="249" t="s">
        <v>554</v>
      </c>
      <c r="K661" s="250">
        <v>383282</v>
      </c>
      <c r="L661" s="250">
        <v>0</v>
      </c>
      <c r="M661" s="251" t="s">
        <v>48</v>
      </c>
      <c r="N661" s="252">
        <v>0</v>
      </c>
      <c r="O661" s="185" t="s">
        <v>51</v>
      </c>
    </row>
    <row r="662" spans="1:15" x14ac:dyDescent="0.25">
      <c r="A662" s="234" t="s">
        <v>1867</v>
      </c>
      <c r="B662" s="234" t="s">
        <v>48</v>
      </c>
      <c r="C662" s="245">
        <v>46147</v>
      </c>
      <c r="D662" s="234">
        <v>0</v>
      </c>
      <c r="E662" s="246">
        <v>100000</v>
      </c>
      <c r="F662" s="247" t="s">
        <v>1869</v>
      </c>
      <c r="G662" s="34" t="s">
        <v>83</v>
      </c>
      <c r="H662" s="234" t="s">
        <v>1868</v>
      </c>
      <c r="I662" s="248" t="s">
        <v>7</v>
      </c>
      <c r="J662" s="249" t="s">
        <v>554</v>
      </c>
      <c r="K662" s="250">
        <v>100000</v>
      </c>
      <c r="L662" s="250">
        <v>0</v>
      </c>
      <c r="M662" s="251" t="s">
        <v>48</v>
      </c>
      <c r="N662" s="252">
        <v>0</v>
      </c>
      <c r="O662" s="185" t="s">
        <v>51</v>
      </c>
    </row>
    <row r="663" spans="1:15" x14ac:dyDescent="0.25">
      <c r="A663" s="234" t="s">
        <v>1867</v>
      </c>
      <c r="B663" s="234" t="s">
        <v>48</v>
      </c>
      <c r="C663" s="245">
        <v>46147</v>
      </c>
      <c r="D663" s="234">
        <v>0</v>
      </c>
      <c r="E663" s="246">
        <v>100000</v>
      </c>
      <c r="F663" s="247" t="s">
        <v>1866</v>
      </c>
      <c r="G663" s="34" t="s">
        <v>83</v>
      </c>
      <c r="H663" s="234" t="s">
        <v>1868</v>
      </c>
      <c r="I663" s="248" t="s">
        <v>7</v>
      </c>
      <c r="J663" s="249" t="s">
        <v>554</v>
      </c>
      <c r="K663" s="250">
        <v>100000</v>
      </c>
      <c r="L663" s="250">
        <v>0</v>
      </c>
      <c r="M663" s="251" t="s">
        <v>48</v>
      </c>
      <c r="N663" s="252">
        <v>0</v>
      </c>
      <c r="O663" s="185" t="s">
        <v>51</v>
      </c>
    </row>
    <row r="664" spans="1:15" x14ac:dyDescent="0.25">
      <c r="A664" s="234" t="s">
        <v>7666</v>
      </c>
      <c r="B664" s="234" t="s">
        <v>48</v>
      </c>
      <c r="C664" s="245">
        <v>46147</v>
      </c>
      <c r="D664" s="234">
        <v>0</v>
      </c>
      <c r="E664" s="246">
        <v>223302</v>
      </c>
      <c r="F664" s="247" t="s">
        <v>7275</v>
      </c>
      <c r="G664" s="34" t="s">
        <v>83</v>
      </c>
      <c r="H664" s="234" t="s">
        <v>7667</v>
      </c>
      <c r="I664" s="248" t="s">
        <v>7</v>
      </c>
      <c r="J664" s="249" t="s">
        <v>492</v>
      </c>
      <c r="K664" s="250">
        <v>0</v>
      </c>
      <c r="L664" s="250">
        <v>0</v>
      </c>
      <c r="M664" s="251" t="s">
        <v>48</v>
      </c>
      <c r="N664" s="252">
        <v>0</v>
      </c>
      <c r="O664" s="185" t="s">
        <v>51</v>
      </c>
    </row>
    <row r="665" spans="1:15" x14ac:dyDescent="0.25">
      <c r="A665" s="234" t="s">
        <v>1966</v>
      </c>
      <c r="B665" s="234" t="s">
        <v>48</v>
      </c>
      <c r="C665" s="245">
        <v>46147</v>
      </c>
      <c r="D665" s="234">
        <v>0</v>
      </c>
      <c r="E665" s="246">
        <v>200000</v>
      </c>
      <c r="F665" s="247" t="s">
        <v>1965</v>
      </c>
      <c r="G665" s="34" t="s">
        <v>83</v>
      </c>
      <c r="H665" s="234" t="s">
        <v>1967</v>
      </c>
      <c r="I665" s="248" t="s">
        <v>7</v>
      </c>
      <c r="J665" s="249" t="s">
        <v>554</v>
      </c>
      <c r="K665" s="250">
        <v>200000</v>
      </c>
      <c r="L665" s="250">
        <v>0</v>
      </c>
      <c r="M665" s="251" t="s">
        <v>48</v>
      </c>
      <c r="N665" s="252">
        <v>0</v>
      </c>
      <c r="O665" s="185" t="s">
        <v>51</v>
      </c>
    </row>
    <row r="666" spans="1:15" x14ac:dyDescent="0.25">
      <c r="A666" s="234" t="s">
        <v>1916</v>
      </c>
      <c r="B666" s="234" t="s">
        <v>48</v>
      </c>
      <c r="C666" s="245">
        <v>46147</v>
      </c>
      <c r="D666" s="234">
        <v>0</v>
      </c>
      <c r="E666" s="246">
        <v>405331</v>
      </c>
      <c r="F666" s="247" t="s">
        <v>7275</v>
      </c>
      <c r="G666" s="34" t="s">
        <v>83</v>
      </c>
      <c r="H666" s="234" t="s">
        <v>1917</v>
      </c>
      <c r="I666" s="248" t="s">
        <v>7</v>
      </c>
      <c r="J666" s="249" t="s">
        <v>492</v>
      </c>
      <c r="K666" s="250">
        <v>0</v>
      </c>
      <c r="L666" s="250">
        <v>0</v>
      </c>
      <c r="M666" s="251" t="s">
        <v>48</v>
      </c>
      <c r="N666" s="252">
        <v>0</v>
      </c>
      <c r="O666" s="185" t="s">
        <v>51</v>
      </c>
    </row>
    <row r="667" spans="1:15" x14ac:dyDescent="0.25">
      <c r="A667" s="234" t="s">
        <v>1867</v>
      </c>
      <c r="B667" s="234" t="s">
        <v>48</v>
      </c>
      <c r="C667" s="245">
        <v>46147</v>
      </c>
      <c r="D667" s="234">
        <v>0</v>
      </c>
      <c r="E667" s="246">
        <v>300000</v>
      </c>
      <c r="F667" s="247">
        <v>0</v>
      </c>
      <c r="G667" s="34" t="s">
        <v>83</v>
      </c>
      <c r="H667" s="234" t="s">
        <v>1868</v>
      </c>
      <c r="I667" s="248" t="s">
        <v>7</v>
      </c>
      <c r="J667" s="249" t="s">
        <v>492</v>
      </c>
      <c r="K667" s="250">
        <v>0</v>
      </c>
      <c r="L667" s="250">
        <v>0</v>
      </c>
      <c r="M667" s="251" t="s">
        <v>48</v>
      </c>
      <c r="N667" s="252">
        <v>0</v>
      </c>
      <c r="O667" s="185" t="s">
        <v>51</v>
      </c>
    </row>
    <row r="668" spans="1:15" x14ac:dyDescent="0.25">
      <c r="A668" s="234" t="s">
        <v>4859</v>
      </c>
      <c r="B668" s="234" t="s">
        <v>42</v>
      </c>
      <c r="C668" s="245">
        <v>46147</v>
      </c>
      <c r="D668" s="234">
        <v>0</v>
      </c>
      <c r="E668" s="246">
        <v>150000</v>
      </c>
      <c r="F668" s="247" t="s">
        <v>7275</v>
      </c>
      <c r="G668" s="34" t="s">
        <v>83</v>
      </c>
      <c r="H668" s="234" t="s">
        <v>4860</v>
      </c>
      <c r="I668" s="248" t="s">
        <v>7</v>
      </c>
      <c r="J668" s="249" t="s">
        <v>492</v>
      </c>
      <c r="K668" s="250">
        <v>0</v>
      </c>
      <c r="L668" s="250">
        <v>0</v>
      </c>
      <c r="M668" s="251" t="s">
        <v>42</v>
      </c>
      <c r="N668" s="252">
        <v>0</v>
      </c>
      <c r="O668" s="185" t="s">
        <v>77</v>
      </c>
    </row>
    <row r="669" spans="1:15" x14ac:dyDescent="0.25">
      <c r="A669" s="234" t="s">
        <v>5827</v>
      </c>
      <c r="B669" s="234" t="s">
        <v>42</v>
      </c>
      <c r="C669" s="245">
        <v>46147</v>
      </c>
      <c r="D669" s="234">
        <v>0</v>
      </c>
      <c r="E669" s="246">
        <v>28896</v>
      </c>
      <c r="F669" s="247" t="s">
        <v>7246</v>
      </c>
      <c r="G669" s="34" t="s">
        <v>83</v>
      </c>
      <c r="H669" s="234" t="s">
        <v>5829</v>
      </c>
      <c r="I669" s="248" t="s">
        <v>7</v>
      </c>
      <c r="J669" s="249" t="s">
        <v>492</v>
      </c>
      <c r="K669" s="250">
        <v>0</v>
      </c>
      <c r="L669" s="250">
        <v>0</v>
      </c>
      <c r="M669" s="251" t="s">
        <v>42</v>
      </c>
      <c r="N669" s="252">
        <v>0</v>
      </c>
      <c r="O669" s="185" t="s">
        <v>78</v>
      </c>
    </row>
    <row r="670" spans="1:15" x14ac:dyDescent="0.25">
      <c r="A670" s="234" t="s">
        <v>5831</v>
      </c>
      <c r="B670" s="234" t="s">
        <v>42</v>
      </c>
      <c r="C670" s="245">
        <v>46147</v>
      </c>
      <c r="D670" s="234">
        <v>0</v>
      </c>
      <c r="E670" s="246">
        <v>26636</v>
      </c>
      <c r="F670" s="247" t="s">
        <v>7247</v>
      </c>
      <c r="G670" s="34" t="s">
        <v>83</v>
      </c>
      <c r="H670" s="234" t="s">
        <v>5832</v>
      </c>
      <c r="I670" s="248" t="s">
        <v>7</v>
      </c>
      <c r="J670" s="249" t="s">
        <v>492</v>
      </c>
      <c r="K670" s="250">
        <v>0</v>
      </c>
      <c r="L670" s="250">
        <v>0</v>
      </c>
      <c r="M670" s="251" t="s">
        <v>42</v>
      </c>
      <c r="N670" s="252">
        <v>0</v>
      </c>
      <c r="O670" s="185" t="s">
        <v>78</v>
      </c>
    </row>
    <row r="671" spans="1:15" x14ac:dyDescent="0.25">
      <c r="A671" s="234" t="s">
        <v>5840</v>
      </c>
      <c r="B671" s="234" t="s">
        <v>42</v>
      </c>
      <c r="C671" s="245">
        <v>46147</v>
      </c>
      <c r="D671" s="234">
        <v>0</v>
      </c>
      <c r="E671" s="246">
        <v>48789</v>
      </c>
      <c r="F671" s="247" t="s">
        <v>5839</v>
      </c>
      <c r="G671" s="34" t="s">
        <v>83</v>
      </c>
      <c r="H671" s="234" t="s">
        <v>5842</v>
      </c>
      <c r="I671" s="248" t="s">
        <v>7</v>
      </c>
      <c r="J671" s="249" t="s">
        <v>554</v>
      </c>
      <c r="K671" s="250">
        <v>243945</v>
      </c>
      <c r="L671" s="250">
        <v>0</v>
      </c>
      <c r="M671" s="251" t="s">
        <v>42</v>
      </c>
      <c r="N671" s="252">
        <v>0</v>
      </c>
      <c r="O671" s="185" t="s">
        <v>78</v>
      </c>
    </row>
    <row r="672" spans="1:15" x14ac:dyDescent="0.25">
      <c r="A672" s="234" t="s">
        <v>5686</v>
      </c>
      <c r="B672" s="234" t="s">
        <v>42</v>
      </c>
      <c r="C672" s="245">
        <v>46147</v>
      </c>
      <c r="D672" s="234">
        <v>0</v>
      </c>
      <c r="E672" s="246">
        <v>500000</v>
      </c>
      <c r="F672" s="247" t="s">
        <v>5685</v>
      </c>
      <c r="G672" s="34" t="s">
        <v>83</v>
      </c>
      <c r="H672" s="234" t="s">
        <v>5687</v>
      </c>
      <c r="I672" s="248" t="s">
        <v>7</v>
      </c>
      <c r="J672" s="249" t="s">
        <v>554</v>
      </c>
      <c r="K672" s="250">
        <v>500000</v>
      </c>
      <c r="L672" s="250">
        <v>0</v>
      </c>
      <c r="M672" s="251" t="s">
        <v>42</v>
      </c>
      <c r="N672" s="252">
        <v>0</v>
      </c>
      <c r="O672" s="185" t="s">
        <v>51</v>
      </c>
    </row>
    <row r="673" spans="1:15" x14ac:dyDescent="0.25">
      <c r="A673" s="234" t="s">
        <v>4774</v>
      </c>
      <c r="B673" s="234" t="s">
        <v>42</v>
      </c>
      <c r="C673" s="245">
        <v>46147</v>
      </c>
      <c r="D673" s="234">
        <v>0</v>
      </c>
      <c r="E673" s="246">
        <v>20000</v>
      </c>
      <c r="F673" s="247" t="s">
        <v>4776</v>
      </c>
      <c r="G673" s="34" t="s">
        <v>83</v>
      </c>
      <c r="H673" s="234" t="s">
        <v>4775</v>
      </c>
      <c r="I673" s="248" t="s">
        <v>7</v>
      </c>
      <c r="J673" s="249" t="s">
        <v>554</v>
      </c>
      <c r="K673" s="250">
        <v>20000</v>
      </c>
      <c r="L673" s="250">
        <v>0</v>
      </c>
      <c r="M673" s="251" t="s">
        <v>42</v>
      </c>
      <c r="N673" s="252">
        <v>0</v>
      </c>
      <c r="O673" s="185" t="s">
        <v>77</v>
      </c>
    </row>
    <row r="674" spans="1:15" x14ac:dyDescent="0.25">
      <c r="A674" s="234" t="s">
        <v>5686</v>
      </c>
      <c r="B674" s="234" t="s">
        <v>42</v>
      </c>
      <c r="C674" s="245">
        <v>46147</v>
      </c>
      <c r="D674" s="234">
        <v>0</v>
      </c>
      <c r="E674" s="246">
        <v>225854</v>
      </c>
      <c r="F674" s="247" t="s">
        <v>5688</v>
      </c>
      <c r="G674" s="34" t="s">
        <v>83</v>
      </c>
      <c r="H674" s="234" t="s">
        <v>5687</v>
      </c>
      <c r="I674" s="248" t="s">
        <v>7</v>
      </c>
      <c r="J674" s="249" t="s">
        <v>554</v>
      </c>
      <c r="K674" s="250">
        <v>3725854</v>
      </c>
      <c r="L674" s="250">
        <v>0</v>
      </c>
      <c r="M674" s="251" t="s">
        <v>42</v>
      </c>
      <c r="N674" s="252">
        <v>0</v>
      </c>
      <c r="O674" s="185" t="s">
        <v>51</v>
      </c>
    </row>
    <row r="675" spans="1:15" x14ac:dyDescent="0.25">
      <c r="A675" s="234" t="s">
        <v>7668</v>
      </c>
      <c r="B675" s="234" t="s">
        <v>44</v>
      </c>
      <c r="C675" s="245">
        <v>46147</v>
      </c>
      <c r="D675" s="234" t="s">
        <v>7289</v>
      </c>
      <c r="E675" s="246">
        <v>79352</v>
      </c>
      <c r="F675" s="247">
        <v>0</v>
      </c>
      <c r="G675" s="34" t="s">
        <v>83</v>
      </c>
      <c r="H675" s="234" t="s">
        <v>7669</v>
      </c>
      <c r="I675" s="248" t="s">
        <v>7</v>
      </c>
      <c r="J675" s="249" t="s">
        <v>492</v>
      </c>
      <c r="K675" s="250">
        <v>0</v>
      </c>
      <c r="L675" s="250">
        <v>0</v>
      </c>
      <c r="M675" s="251" t="s">
        <v>44</v>
      </c>
      <c r="N675" s="252">
        <v>0</v>
      </c>
      <c r="O675" s="185" t="s">
        <v>51</v>
      </c>
    </row>
    <row r="676" spans="1:15" x14ac:dyDescent="0.25">
      <c r="A676" s="234" t="s">
        <v>7670</v>
      </c>
      <c r="B676" s="234" t="s">
        <v>44</v>
      </c>
      <c r="C676" s="245">
        <v>46147</v>
      </c>
      <c r="D676" s="234" t="s">
        <v>7287</v>
      </c>
      <c r="E676" s="246">
        <v>204899</v>
      </c>
      <c r="F676" s="247" t="s">
        <v>7275</v>
      </c>
      <c r="G676" s="34" t="s">
        <v>83</v>
      </c>
      <c r="H676" s="234" t="s">
        <v>7671</v>
      </c>
      <c r="I676" s="248" t="s">
        <v>7</v>
      </c>
      <c r="J676" s="249" t="s">
        <v>492</v>
      </c>
      <c r="K676" s="250">
        <v>0</v>
      </c>
      <c r="L676" s="250">
        <v>0</v>
      </c>
      <c r="M676" s="251" t="s">
        <v>44</v>
      </c>
      <c r="N676" s="252">
        <v>0</v>
      </c>
      <c r="O676" s="185" t="s">
        <v>51</v>
      </c>
    </row>
    <row r="677" spans="1:15" x14ac:dyDescent="0.25">
      <c r="A677" s="234" t="s">
        <v>1435</v>
      </c>
      <c r="B677" s="234" t="s">
        <v>44</v>
      </c>
      <c r="C677" s="245">
        <v>46147</v>
      </c>
      <c r="D677" s="234" t="s">
        <v>7289</v>
      </c>
      <c r="E677" s="246">
        <v>129725</v>
      </c>
      <c r="F677" s="247" t="s">
        <v>7275</v>
      </c>
      <c r="G677" s="34" t="s">
        <v>83</v>
      </c>
      <c r="H677" s="234" t="s">
        <v>1436</v>
      </c>
      <c r="I677" s="248" t="s">
        <v>7</v>
      </c>
      <c r="J677" s="249" t="s">
        <v>492</v>
      </c>
      <c r="K677" s="250">
        <v>0</v>
      </c>
      <c r="L677" s="250">
        <v>0</v>
      </c>
      <c r="M677" s="251" t="s">
        <v>44</v>
      </c>
      <c r="N677" s="252">
        <v>0</v>
      </c>
      <c r="O677" s="185" t="s">
        <v>51</v>
      </c>
    </row>
    <row r="678" spans="1:15" x14ac:dyDescent="0.25">
      <c r="A678" s="234" t="s">
        <v>4472</v>
      </c>
      <c r="B678" s="234" t="s">
        <v>44</v>
      </c>
      <c r="C678" s="245">
        <v>46147</v>
      </c>
      <c r="D678" s="234" t="s">
        <v>7289</v>
      </c>
      <c r="E678" s="246">
        <v>150000</v>
      </c>
      <c r="F678" s="247" t="s">
        <v>4474</v>
      </c>
      <c r="G678" s="34" t="s">
        <v>83</v>
      </c>
      <c r="H678" s="234" t="s">
        <v>4473</v>
      </c>
      <c r="I678" s="248" t="s">
        <v>7</v>
      </c>
      <c r="J678" s="249" t="s">
        <v>61</v>
      </c>
      <c r="K678" s="250">
        <v>130700</v>
      </c>
      <c r="L678" s="250">
        <v>0</v>
      </c>
      <c r="M678" s="251" t="s">
        <v>44</v>
      </c>
      <c r="N678" s="252">
        <v>0</v>
      </c>
      <c r="O678" s="185" t="s">
        <v>74</v>
      </c>
    </row>
    <row r="679" spans="1:15" x14ac:dyDescent="0.25">
      <c r="A679" s="234" t="s">
        <v>7672</v>
      </c>
      <c r="B679" s="234" t="s">
        <v>44</v>
      </c>
      <c r="C679" s="245">
        <v>46147</v>
      </c>
      <c r="D679" s="234" t="s">
        <v>7289</v>
      </c>
      <c r="E679" s="246">
        <v>50000</v>
      </c>
      <c r="F679" s="247" t="s">
        <v>7275</v>
      </c>
      <c r="G679" s="34" t="s">
        <v>83</v>
      </c>
      <c r="H679" s="234" t="s">
        <v>7673</v>
      </c>
      <c r="I679" s="248" t="s">
        <v>7</v>
      </c>
      <c r="J679" s="249" t="s">
        <v>492</v>
      </c>
      <c r="K679" s="250">
        <v>0</v>
      </c>
      <c r="L679" s="250">
        <v>0</v>
      </c>
      <c r="M679" s="251" t="s">
        <v>44</v>
      </c>
      <c r="N679" s="252">
        <v>0</v>
      </c>
      <c r="O679" s="185" t="s">
        <v>74</v>
      </c>
    </row>
    <row r="680" spans="1:15" x14ac:dyDescent="0.25">
      <c r="A680" s="234" t="s">
        <v>564</v>
      </c>
      <c r="B680" s="234" t="s">
        <v>43</v>
      </c>
      <c r="C680" s="245">
        <v>46147</v>
      </c>
      <c r="D680" s="234" t="s">
        <v>43</v>
      </c>
      <c r="E680" s="246">
        <v>19700</v>
      </c>
      <c r="F680" s="247" t="s">
        <v>568</v>
      </c>
      <c r="G680" s="34" t="s">
        <v>83</v>
      </c>
      <c r="H680" s="234" t="s">
        <v>566</v>
      </c>
      <c r="I680" s="248" t="s">
        <v>7</v>
      </c>
      <c r="J680" s="249" t="s">
        <v>554</v>
      </c>
      <c r="K680" s="250">
        <v>19700</v>
      </c>
      <c r="L680" s="250">
        <v>0</v>
      </c>
      <c r="M680" s="251" t="s">
        <v>43</v>
      </c>
      <c r="N680" s="252">
        <v>0</v>
      </c>
      <c r="O680" s="185" t="s">
        <v>51</v>
      </c>
    </row>
    <row r="681" spans="1:15" x14ac:dyDescent="0.25">
      <c r="A681" s="234" t="s">
        <v>1938</v>
      </c>
      <c r="B681" s="234" t="s">
        <v>43</v>
      </c>
      <c r="C681" s="245">
        <v>46147</v>
      </c>
      <c r="D681" s="234" t="s">
        <v>43</v>
      </c>
      <c r="E681" s="246">
        <v>912500</v>
      </c>
      <c r="F681" s="247" t="s">
        <v>1937</v>
      </c>
      <c r="G681" s="34" t="s">
        <v>83</v>
      </c>
      <c r="H681" s="234" t="s">
        <v>1939</v>
      </c>
      <c r="I681" s="248" t="s">
        <v>7</v>
      </c>
      <c r="J681" s="249" t="s">
        <v>61</v>
      </c>
      <c r="K681" s="250">
        <v>250000</v>
      </c>
      <c r="L681" s="250">
        <v>0</v>
      </c>
      <c r="M681" s="251" t="s">
        <v>43</v>
      </c>
      <c r="N681" s="252">
        <v>0</v>
      </c>
      <c r="O681" s="185" t="s">
        <v>51</v>
      </c>
    </row>
    <row r="682" spans="1:15" x14ac:dyDescent="0.25">
      <c r="A682" s="234" t="s">
        <v>2533</v>
      </c>
      <c r="B682" s="234" t="s">
        <v>43</v>
      </c>
      <c r="C682" s="245">
        <v>46147</v>
      </c>
      <c r="D682" s="234" t="s">
        <v>43</v>
      </c>
      <c r="E682" s="246">
        <v>919734</v>
      </c>
      <c r="F682" s="247" t="s">
        <v>2532</v>
      </c>
      <c r="G682" s="34" t="s">
        <v>83</v>
      </c>
      <c r="H682" s="234" t="s">
        <v>2534</v>
      </c>
      <c r="I682" s="248" t="s">
        <v>7</v>
      </c>
      <c r="J682" s="249" t="s">
        <v>554</v>
      </c>
      <c r="K682" s="250">
        <v>919734</v>
      </c>
      <c r="L682" s="250">
        <v>0</v>
      </c>
      <c r="M682" s="251" t="s">
        <v>43</v>
      </c>
      <c r="N682" s="252">
        <v>0</v>
      </c>
      <c r="O682" s="185" t="s">
        <v>51</v>
      </c>
    </row>
    <row r="683" spans="1:15" x14ac:dyDescent="0.25">
      <c r="A683" s="234" t="s">
        <v>2507</v>
      </c>
      <c r="B683" s="234" t="s">
        <v>43</v>
      </c>
      <c r="C683" s="245">
        <v>46147</v>
      </c>
      <c r="D683" s="234" t="s">
        <v>43</v>
      </c>
      <c r="E683" s="246">
        <v>150000</v>
      </c>
      <c r="F683" s="247" t="s">
        <v>2506</v>
      </c>
      <c r="G683" s="34" t="s">
        <v>83</v>
      </c>
      <c r="H683" s="234" t="s">
        <v>2508</v>
      </c>
      <c r="I683" s="248" t="s">
        <v>7</v>
      </c>
      <c r="J683" s="249" t="s">
        <v>554</v>
      </c>
      <c r="K683" s="250">
        <v>400000</v>
      </c>
      <c r="L683" s="250">
        <v>0</v>
      </c>
      <c r="M683" s="251" t="s">
        <v>43</v>
      </c>
      <c r="N683" s="252">
        <v>0</v>
      </c>
      <c r="O683" s="185" t="s">
        <v>51</v>
      </c>
    </row>
    <row r="684" spans="1:15" x14ac:dyDescent="0.25">
      <c r="A684" s="234" t="s">
        <v>1648</v>
      </c>
      <c r="B684" s="234" t="s">
        <v>14</v>
      </c>
      <c r="C684" s="245">
        <v>46147</v>
      </c>
      <c r="D684" s="234">
        <v>0</v>
      </c>
      <c r="E684" s="246">
        <v>13000</v>
      </c>
      <c r="F684" s="247" t="s">
        <v>7674</v>
      </c>
      <c r="G684" s="34" t="s">
        <v>7</v>
      </c>
      <c r="H684" s="234" t="s">
        <v>1649</v>
      </c>
      <c r="I684" s="248" t="s">
        <v>7</v>
      </c>
      <c r="J684" s="249" t="s">
        <v>492</v>
      </c>
      <c r="K684" s="250">
        <v>0</v>
      </c>
      <c r="L684" s="250">
        <v>0</v>
      </c>
      <c r="M684" s="251" t="s">
        <v>14</v>
      </c>
      <c r="N684" s="252">
        <v>0</v>
      </c>
      <c r="O684" s="185" t="s">
        <v>51</v>
      </c>
    </row>
    <row r="685" spans="1:15" x14ac:dyDescent="0.25">
      <c r="A685" s="234" t="s">
        <v>1648</v>
      </c>
      <c r="B685" s="234" t="s">
        <v>14</v>
      </c>
      <c r="C685" s="245">
        <v>46147</v>
      </c>
      <c r="D685" s="234">
        <v>0</v>
      </c>
      <c r="E685" s="246">
        <v>27000</v>
      </c>
      <c r="F685" s="247" t="s">
        <v>7675</v>
      </c>
      <c r="G685" s="34" t="s">
        <v>7</v>
      </c>
      <c r="H685" s="234" t="s">
        <v>1649</v>
      </c>
      <c r="I685" s="248" t="s">
        <v>7</v>
      </c>
      <c r="J685" s="249" t="s">
        <v>554</v>
      </c>
      <c r="K685" s="250">
        <v>173932</v>
      </c>
      <c r="L685" s="250">
        <v>0</v>
      </c>
      <c r="M685" s="251" t="s">
        <v>14</v>
      </c>
      <c r="N685" s="252">
        <v>0</v>
      </c>
      <c r="O685" s="185" t="s">
        <v>51</v>
      </c>
    </row>
    <row r="686" spans="1:15" x14ac:dyDescent="0.25">
      <c r="A686" s="234" t="s">
        <v>2687</v>
      </c>
      <c r="B686" s="234" t="s">
        <v>14</v>
      </c>
      <c r="C686" s="245">
        <v>46147</v>
      </c>
      <c r="D686" s="234">
        <v>0</v>
      </c>
      <c r="E686" s="246">
        <v>229359</v>
      </c>
      <c r="F686" s="247" t="s">
        <v>2686</v>
      </c>
      <c r="G686" s="34" t="s">
        <v>7</v>
      </c>
      <c r="H686" s="234" t="s">
        <v>2689</v>
      </c>
      <c r="I686" s="248" t="s">
        <v>7</v>
      </c>
      <c r="J686" s="249" t="s">
        <v>62</v>
      </c>
      <c r="K686" s="250">
        <v>229359</v>
      </c>
      <c r="L686" s="250">
        <v>0</v>
      </c>
      <c r="M686" s="251" t="s">
        <v>14</v>
      </c>
      <c r="N686" s="252">
        <v>0</v>
      </c>
      <c r="O686" s="185" t="s">
        <v>51</v>
      </c>
    </row>
    <row r="687" spans="1:15" x14ac:dyDescent="0.25">
      <c r="A687" s="234" t="s">
        <v>2692</v>
      </c>
      <c r="B687" s="234" t="s">
        <v>14</v>
      </c>
      <c r="C687" s="245">
        <v>46147</v>
      </c>
      <c r="D687" s="234">
        <v>0</v>
      </c>
      <c r="E687" s="246">
        <v>44000</v>
      </c>
      <c r="F687" s="247" t="s">
        <v>2691</v>
      </c>
      <c r="G687" s="34" t="s">
        <v>7</v>
      </c>
      <c r="H687" s="234" t="s">
        <v>2693</v>
      </c>
      <c r="I687" s="248" t="s">
        <v>7</v>
      </c>
      <c r="J687" s="249" t="s">
        <v>554</v>
      </c>
      <c r="K687" s="250">
        <v>44000</v>
      </c>
      <c r="L687" s="250">
        <v>0</v>
      </c>
      <c r="M687" s="251" t="s">
        <v>14</v>
      </c>
      <c r="N687" s="252">
        <v>0</v>
      </c>
      <c r="O687" s="185" t="s">
        <v>51</v>
      </c>
    </row>
    <row r="688" spans="1:15" x14ac:dyDescent="0.25">
      <c r="A688" s="234" t="s">
        <v>1648</v>
      </c>
      <c r="B688" s="234" t="s">
        <v>14</v>
      </c>
      <c r="C688" s="245">
        <v>46147</v>
      </c>
      <c r="D688" s="234">
        <v>0</v>
      </c>
      <c r="E688" s="246">
        <v>6000</v>
      </c>
      <c r="F688" s="247" t="s">
        <v>1651</v>
      </c>
      <c r="G688" s="34" t="s">
        <v>7</v>
      </c>
      <c r="H688" s="234" t="s">
        <v>1649</v>
      </c>
      <c r="I688" s="248" t="s">
        <v>7</v>
      </c>
      <c r="J688" s="249" t="s">
        <v>554</v>
      </c>
      <c r="K688" s="250">
        <v>6000</v>
      </c>
      <c r="L688" s="250">
        <v>0</v>
      </c>
      <c r="M688" s="251" t="s">
        <v>14</v>
      </c>
      <c r="N688" s="252">
        <v>0</v>
      </c>
      <c r="O688" s="185" t="s">
        <v>51</v>
      </c>
    </row>
    <row r="689" spans="1:15" x14ac:dyDescent="0.25">
      <c r="A689" s="234" t="s">
        <v>1648</v>
      </c>
      <c r="B689" s="234" t="s">
        <v>14</v>
      </c>
      <c r="C689" s="245">
        <v>46147</v>
      </c>
      <c r="D689" s="234">
        <v>0</v>
      </c>
      <c r="E689" s="246">
        <v>14000</v>
      </c>
      <c r="F689" s="247" t="s">
        <v>1652</v>
      </c>
      <c r="G689" s="34" t="s">
        <v>7</v>
      </c>
      <c r="H689" s="234" t="s">
        <v>1649</v>
      </c>
      <c r="I689" s="248" t="s">
        <v>7</v>
      </c>
      <c r="J689" s="249" t="s">
        <v>554</v>
      </c>
      <c r="K689" s="250">
        <v>14000</v>
      </c>
      <c r="L689" s="250">
        <v>0</v>
      </c>
      <c r="M689" s="251" t="s">
        <v>14</v>
      </c>
      <c r="N689" s="252">
        <v>0</v>
      </c>
      <c r="O689" s="185" t="s">
        <v>51</v>
      </c>
    </row>
    <row r="690" spans="1:15" x14ac:dyDescent="0.25">
      <c r="A690" s="234" t="s">
        <v>2695</v>
      </c>
      <c r="B690" s="234" t="s">
        <v>14</v>
      </c>
      <c r="C690" s="245">
        <v>46147</v>
      </c>
      <c r="D690" s="234">
        <v>0</v>
      </c>
      <c r="E690" s="246">
        <v>150000</v>
      </c>
      <c r="F690" s="247" t="s">
        <v>2694</v>
      </c>
      <c r="G690" s="34" t="s">
        <v>7</v>
      </c>
      <c r="H690" s="234" t="s">
        <v>2696</v>
      </c>
      <c r="I690" s="248" t="s">
        <v>7</v>
      </c>
      <c r="J690" s="249" t="s">
        <v>554</v>
      </c>
      <c r="K690" s="250">
        <v>150000</v>
      </c>
      <c r="L690" s="250">
        <v>0</v>
      </c>
      <c r="M690" s="251" t="s">
        <v>14</v>
      </c>
      <c r="N690" s="252">
        <v>0</v>
      </c>
      <c r="O690" s="185" t="s">
        <v>51</v>
      </c>
    </row>
    <row r="691" spans="1:15" x14ac:dyDescent="0.25">
      <c r="A691" s="234" t="s">
        <v>2712</v>
      </c>
      <c r="B691" s="234" t="s">
        <v>14</v>
      </c>
      <c r="C691" s="245">
        <v>46147</v>
      </c>
      <c r="D691" s="234">
        <v>0</v>
      </c>
      <c r="E691" s="246">
        <v>188293</v>
      </c>
      <c r="F691" s="247" t="s">
        <v>2715</v>
      </c>
      <c r="G691" s="34" t="s">
        <v>7</v>
      </c>
      <c r="H691" s="234" t="s">
        <v>2713</v>
      </c>
      <c r="I691" s="248" t="s">
        <v>7</v>
      </c>
      <c r="J691" s="249" t="s">
        <v>554</v>
      </c>
      <c r="K691" s="250">
        <v>188293</v>
      </c>
      <c r="L691" s="250">
        <v>0</v>
      </c>
      <c r="M691" s="251" t="s">
        <v>14</v>
      </c>
      <c r="N691" s="252">
        <v>0</v>
      </c>
      <c r="O691" s="185" t="s">
        <v>51</v>
      </c>
    </row>
    <row r="692" spans="1:15" x14ac:dyDescent="0.25">
      <c r="A692" s="234" t="s">
        <v>2754</v>
      </c>
      <c r="B692" s="234" t="s">
        <v>14</v>
      </c>
      <c r="C692" s="245">
        <v>46147</v>
      </c>
      <c r="D692" s="234">
        <v>0</v>
      </c>
      <c r="E692" s="246">
        <v>231662</v>
      </c>
      <c r="F692" s="247" t="s">
        <v>2757</v>
      </c>
      <c r="G692" s="34" t="s">
        <v>7</v>
      </c>
      <c r="H692" s="234" t="s">
        <v>2755</v>
      </c>
      <c r="I692" s="248" t="s">
        <v>7</v>
      </c>
      <c r="J692" s="249" t="s">
        <v>554</v>
      </c>
      <c r="K692" s="250">
        <v>231662</v>
      </c>
      <c r="L692" s="250">
        <v>0</v>
      </c>
      <c r="M692" s="251" t="s">
        <v>14</v>
      </c>
      <c r="N692" s="252">
        <v>0</v>
      </c>
      <c r="O692" s="185" t="s">
        <v>51</v>
      </c>
    </row>
    <row r="693" spans="1:15" x14ac:dyDescent="0.25">
      <c r="A693" s="234" t="s">
        <v>2287</v>
      </c>
      <c r="B693" s="234" t="s">
        <v>14</v>
      </c>
      <c r="C693" s="245">
        <v>46147</v>
      </c>
      <c r="D693" s="234">
        <v>0</v>
      </c>
      <c r="E693" s="246">
        <v>232641</v>
      </c>
      <c r="F693" s="247" t="s">
        <v>2289</v>
      </c>
      <c r="G693" s="34" t="s">
        <v>7</v>
      </c>
      <c r="H693" s="234" t="s">
        <v>2288</v>
      </c>
      <c r="I693" s="248" t="s">
        <v>7</v>
      </c>
      <c r="J693" s="249" t="s">
        <v>62</v>
      </c>
      <c r="K693" s="250">
        <v>232641.56</v>
      </c>
      <c r="L693" s="250">
        <v>0</v>
      </c>
      <c r="M693" s="251" t="s">
        <v>14</v>
      </c>
      <c r="N693" s="252">
        <v>0</v>
      </c>
      <c r="O693" s="185" t="s">
        <v>51</v>
      </c>
    </row>
    <row r="694" spans="1:15" x14ac:dyDescent="0.25">
      <c r="A694" s="234" t="s">
        <v>2741</v>
      </c>
      <c r="B694" s="234" t="s">
        <v>14</v>
      </c>
      <c r="C694" s="245">
        <v>46147</v>
      </c>
      <c r="D694" s="234">
        <v>0</v>
      </c>
      <c r="E694" s="246">
        <v>176332</v>
      </c>
      <c r="F694" s="247">
        <v>0</v>
      </c>
      <c r="G694" s="34" t="s">
        <v>7</v>
      </c>
      <c r="H694" s="234" t="s">
        <v>2742</v>
      </c>
      <c r="I694" s="248" t="s">
        <v>7</v>
      </c>
      <c r="J694" s="249" t="s">
        <v>492</v>
      </c>
      <c r="K694" s="250">
        <v>0</v>
      </c>
      <c r="L694" s="250">
        <v>0</v>
      </c>
      <c r="M694" s="251" t="s">
        <v>14</v>
      </c>
      <c r="N694" s="252">
        <v>0</v>
      </c>
      <c r="O694" s="185" t="s">
        <v>51</v>
      </c>
    </row>
    <row r="695" spans="1:15" x14ac:dyDescent="0.25">
      <c r="A695" s="234" t="s">
        <v>2681</v>
      </c>
      <c r="B695" s="234" t="s">
        <v>14</v>
      </c>
      <c r="C695" s="245">
        <v>46147</v>
      </c>
      <c r="D695" s="234">
        <v>0</v>
      </c>
      <c r="E695" s="246">
        <v>177436</v>
      </c>
      <c r="F695" s="247">
        <v>0</v>
      </c>
      <c r="G695" s="34" t="s">
        <v>7</v>
      </c>
      <c r="H695" s="234" t="s">
        <v>2682</v>
      </c>
      <c r="I695" s="248" t="s">
        <v>7</v>
      </c>
      <c r="J695" s="249" t="s">
        <v>492</v>
      </c>
      <c r="K695" s="250">
        <v>0</v>
      </c>
      <c r="L695" s="250">
        <v>0</v>
      </c>
      <c r="M695" s="251" t="s">
        <v>14</v>
      </c>
      <c r="N695" s="252">
        <v>0</v>
      </c>
      <c r="O695" s="185" t="s">
        <v>51</v>
      </c>
    </row>
    <row r="696" spans="1:15" x14ac:dyDescent="0.25">
      <c r="A696" s="234" t="s">
        <v>1648</v>
      </c>
      <c r="B696" s="234" t="s">
        <v>14</v>
      </c>
      <c r="C696" s="245">
        <v>46147</v>
      </c>
      <c r="D696" s="234">
        <v>0</v>
      </c>
      <c r="E696" s="246">
        <v>60000</v>
      </c>
      <c r="F696" s="247" t="s">
        <v>1655</v>
      </c>
      <c r="G696" s="34" t="s">
        <v>7</v>
      </c>
      <c r="H696" s="234" t="s">
        <v>1649</v>
      </c>
      <c r="I696" s="248" t="s">
        <v>7</v>
      </c>
      <c r="J696" s="249" t="s">
        <v>554</v>
      </c>
      <c r="K696" s="250">
        <v>20000</v>
      </c>
      <c r="L696" s="250">
        <v>0</v>
      </c>
      <c r="M696" s="251" t="s">
        <v>14</v>
      </c>
      <c r="N696" s="252">
        <v>0</v>
      </c>
      <c r="O696" s="185" t="s">
        <v>51</v>
      </c>
    </row>
    <row r="697" spans="1:15" x14ac:dyDescent="0.25">
      <c r="A697" s="234" t="s">
        <v>3473</v>
      </c>
      <c r="B697" s="234" t="s">
        <v>25</v>
      </c>
      <c r="C697" s="245">
        <v>46147</v>
      </c>
      <c r="D697" s="234">
        <v>0</v>
      </c>
      <c r="E697" s="246">
        <v>42889</v>
      </c>
      <c r="F697" s="247" t="s">
        <v>3476</v>
      </c>
      <c r="G697" s="34" t="s">
        <v>7</v>
      </c>
      <c r="H697" s="234" t="s">
        <v>3474</v>
      </c>
      <c r="I697" s="248" t="s">
        <v>7</v>
      </c>
      <c r="J697" s="249" t="s">
        <v>554</v>
      </c>
      <c r="K697" s="250">
        <v>42889.18</v>
      </c>
      <c r="L697" s="250">
        <v>0</v>
      </c>
      <c r="M697" s="251" t="s">
        <v>25</v>
      </c>
      <c r="N697" s="252">
        <v>0</v>
      </c>
      <c r="O697" s="185" t="s">
        <v>51</v>
      </c>
    </row>
    <row r="698" spans="1:15" x14ac:dyDescent="0.25">
      <c r="A698" s="234" t="s">
        <v>3137</v>
      </c>
      <c r="B698" s="234" t="s">
        <v>25</v>
      </c>
      <c r="C698" s="245">
        <v>46147</v>
      </c>
      <c r="D698" s="234">
        <v>0</v>
      </c>
      <c r="E698" s="246">
        <v>500</v>
      </c>
      <c r="F698" s="247" t="s">
        <v>3136</v>
      </c>
      <c r="G698" s="34" t="s">
        <v>7</v>
      </c>
      <c r="H698" s="234" t="s">
        <v>3138</v>
      </c>
      <c r="I698" s="248" t="s">
        <v>7</v>
      </c>
      <c r="J698" s="249" t="s">
        <v>554</v>
      </c>
      <c r="K698" s="250">
        <v>500</v>
      </c>
      <c r="L698" s="250">
        <v>0</v>
      </c>
      <c r="M698" s="251" t="s">
        <v>25</v>
      </c>
      <c r="N698" s="252">
        <v>0</v>
      </c>
      <c r="O698" s="185" t="s">
        <v>51</v>
      </c>
    </row>
    <row r="699" spans="1:15" x14ac:dyDescent="0.25">
      <c r="A699" s="234" t="s">
        <v>3202</v>
      </c>
      <c r="B699" s="234" t="s">
        <v>25</v>
      </c>
      <c r="C699" s="245">
        <v>46147</v>
      </c>
      <c r="D699" s="234">
        <v>0</v>
      </c>
      <c r="E699" s="246">
        <v>171415</v>
      </c>
      <c r="F699" s="247" t="s">
        <v>3201</v>
      </c>
      <c r="G699" s="34" t="s">
        <v>7</v>
      </c>
      <c r="H699" s="234" t="s">
        <v>3203</v>
      </c>
      <c r="I699" s="248" t="s">
        <v>7</v>
      </c>
      <c r="J699" s="249" t="s">
        <v>61</v>
      </c>
      <c r="K699" s="250">
        <v>174289</v>
      </c>
      <c r="L699" s="250">
        <v>0</v>
      </c>
      <c r="M699" s="251" t="s">
        <v>25</v>
      </c>
      <c r="N699" s="252">
        <v>0</v>
      </c>
      <c r="O699" s="185" t="s">
        <v>51</v>
      </c>
    </row>
    <row r="700" spans="1:15" x14ac:dyDescent="0.25">
      <c r="A700" s="234" t="s">
        <v>3134</v>
      </c>
      <c r="B700" s="234" t="s">
        <v>25</v>
      </c>
      <c r="C700" s="245">
        <v>46147</v>
      </c>
      <c r="D700" s="234">
        <v>0</v>
      </c>
      <c r="E700" s="246">
        <v>220990</v>
      </c>
      <c r="F700" s="247" t="s">
        <v>3133</v>
      </c>
      <c r="G700" s="34" t="s">
        <v>7</v>
      </c>
      <c r="H700" s="234" t="s">
        <v>3135</v>
      </c>
      <c r="I700" s="248" t="s">
        <v>7</v>
      </c>
      <c r="J700" s="249" t="s">
        <v>554</v>
      </c>
      <c r="K700" s="250">
        <v>220990</v>
      </c>
      <c r="L700" s="250">
        <v>0</v>
      </c>
      <c r="M700" s="251" t="s">
        <v>25</v>
      </c>
      <c r="N700" s="252">
        <v>0</v>
      </c>
      <c r="O700" s="185" t="s">
        <v>51</v>
      </c>
    </row>
    <row r="701" spans="1:15" x14ac:dyDescent="0.25">
      <c r="A701" s="234" t="s">
        <v>3257</v>
      </c>
      <c r="B701" s="234" t="s">
        <v>25</v>
      </c>
      <c r="C701" s="245">
        <v>46147</v>
      </c>
      <c r="D701" s="234">
        <v>0</v>
      </c>
      <c r="E701" s="246">
        <v>220990</v>
      </c>
      <c r="F701" s="247" t="s">
        <v>3256</v>
      </c>
      <c r="G701" s="34" t="s">
        <v>7</v>
      </c>
      <c r="H701" s="234" t="s">
        <v>3258</v>
      </c>
      <c r="I701" s="248" t="s">
        <v>7</v>
      </c>
      <c r="J701" s="249" t="s">
        <v>554</v>
      </c>
      <c r="K701" s="250">
        <v>220990</v>
      </c>
      <c r="L701" s="250">
        <v>0</v>
      </c>
      <c r="M701" s="251" t="s">
        <v>25</v>
      </c>
      <c r="N701" s="252">
        <v>0</v>
      </c>
      <c r="O701" s="185" t="s">
        <v>51</v>
      </c>
    </row>
    <row r="702" spans="1:15" x14ac:dyDescent="0.25">
      <c r="A702" s="234" t="s">
        <v>3160</v>
      </c>
      <c r="B702" s="234" t="s">
        <v>25</v>
      </c>
      <c r="C702" s="245">
        <v>46147</v>
      </c>
      <c r="D702" s="234">
        <v>0</v>
      </c>
      <c r="E702" s="246">
        <v>190076</v>
      </c>
      <c r="F702" s="247" t="s">
        <v>3159</v>
      </c>
      <c r="G702" s="34" t="s">
        <v>7</v>
      </c>
      <c r="H702" s="234" t="s">
        <v>3161</v>
      </c>
      <c r="I702" s="248" t="s">
        <v>7</v>
      </c>
      <c r="J702" s="249" t="s">
        <v>554</v>
      </c>
      <c r="K702" s="250">
        <v>190076</v>
      </c>
      <c r="L702" s="250">
        <v>0</v>
      </c>
      <c r="M702" s="251" t="s">
        <v>25</v>
      </c>
      <c r="N702" s="252">
        <v>0</v>
      </c>
      <c r="O702" s="185" t="s">
        <v>51</v>
      </c>
    </row>
    <row r="703" spans="1:15" x14ac:dyDescent="0.25">
      <c r="A703" s="234" t="s">
        <v>3157</v>
      </c>
      <c r="B703" s="234" t="s">
        <v>25</v>
      </c>
      <c r="C703" s="245">
        <v>46147</v>
      </c>
      <c r="D703" s="234">
        <v>0</v>
      </c>
      <c r="E703" s="246">
        <v>190075</v>
      </c>
      <c r="F703" s="247" t="s">
        <v>3156</v>
      </c>
      <c r="G703" s="34" t="s">
        <v>7</v>
      </c>
      <c r="H703" s="234" t="s">
        <v>3158</v>
      </c>
      <c r="I703" s="248" t="s">
        <v>7</v>
      </c>
      <c r="J703" s="249" t="s">
        <v>554</v>
      </c>
      <c r="K703" s="250">
        <v>190075</v>
      </c>
      <c r="L703" s="250">
        <v>0</v>
      </c>
      <c r="M703" s="251" t="s">
        <v>25</v>
      </c>
      <c r="N703" s="252">
        <v>0</v>
      </c>
      <c r="O703" s="185" t="s">
        <v>51</v>
      </c>
    </row>
    <row r="704" spans="1:15" x14ac:dyDescent="0.25">
      <c r="A704" s="234" t="s">
        <v>3481</v>
      </c>
      <c r="B704" s="234" t="s">
        <v>25</v>
      </c>
      <c r="C704" s="245">
        <v>46147</v>
      </c>
      <c r="D704" s="234">
        <v>0</v>
      </c>
      <c r="E704" s="246">
        <v>4660</v>
      </c>
      <c r="F704" s="247" t="s">
        <v>3480</v>
      </c>
      <c r="G704" s="34" t="s">
        <v>7</v>
      </c>
      <c r="H704" s="234" t="s">
        <v>3482</v>
      </c>
      <c r="I704" s="248" t="s">
        <v>7</v>
      </c>
      <c r="J704" s="249" t="s">
        <v>554</v>
      </c>
      <c r="K704" s="250">
        <v>4660.2700000000004</v>
      </c>
      <c r="L704" s="250">
        <v>0</v>
      </c>
      <c r="M704" s="251" t="s">
        <v>25</v>
      </c>
      <c r="N704" s="252">
        <v>0</v>
      </c>
      <c r="O704" s="185" t="s">
        <v>51</v>
      </c>
    </row>
    <row r="705" spans="1:15" x14ac:dyDescent="0.25">
      <c r="A705" s="234" t="s">
        <v>3187</v>
      </c>
      <c r="B705" s="234" t="s">
        <v>25</v>
      </c>
      <c r="C705" s="245">
        <v>46147</v>
      </c>
      <c r="D705" s="234">
        <v>0</v>
      </c>
      <c r="E705" s="246">
        <v>192436</v>
      </c>
      <c r="F705" s="247" t="s">
        <v>3186</v>
      </c>
      <c r="G705" s="34" t="s">
        <v>7</v>
      </c>
      <c r="H705" s="234" t="s">
        <v>3188</v>
      </c>
      <c r="I705" s="248" t="s">
        <v>7</v>
      </c>
      <c r="J705" s="249" t="s">
        <v>582</v>
      </c>
      <c r="K705" s="250">
        <v>192436</v>
      </c>
      <c r="L705" s="250">
        <v>0</v>
      </c>
      <c r="M705" s="251" t="s">
        <v>25</v>
      </c>
      <c r="N705" s="252">
        <v>0</v>
      </c>
      <c r="O705" s="185" t="s">
        <v>51</v>
      </c>
    </row>
    <row r="706" spans="1:15" x14ac:dyDescent="0.25">
      <c r="A706" s="234" t="s">
        <v>3313</v>
      </c>
      <c r="B706" s="234" t="s">
        <v>25</v>
      </c>
      <c r="C706" s="245">
        <v>46147</v>
      </c>
      <c r="D706" s="234">
        <v>0</v>
      </c>
      <c r="E706" s="246">
        <v>105790</v>
      </c>
      <c r="F706" s="247" t="s">
        <v>3312</v>
      </c>
      <c r="G706" s="34" t="s">
        <v>7</v>
      </c>
      <c r="H706" s="234" t="s">
        <v>3314</v>
      </c>
      <c r="I706" s="248" t="s">
        <v>7</v>
      </c>
      <c r="J706" s="249" t="s">
        <v>554</v>
      </c>
      <c r="K706" s="250">
        <v>105790</v>
      </c>
      <c r="L706" s="250">
        <v>0</v>
      </c>
      <c r="M706" s="251" t="s">
        <v>25</v>
      </c>
      <c r="N706" s="252">
        <v>0</v>
      </c>
      <c r="O706" s="185" t="s">
        <v>51</v>
      </c>
    </row>
    <row r="707" spans="1:15" x14ac:dyDescent="0.25">
      <c r="A707" s="234" t="s">
        <v>3251</v>
      </c>
      <c r="B707" s="234" t="s">
        <v>25</v>
      </c>
      <c r="C707" s="245">
        <v>46147</v>
      </c>
      <c r="D707" s="234">
        <v>0</v>
      </c>
      <c r="E707" s="246">
        <v>198339</v>
      </c>
      <c r="F707" s="247" t="s">
        <v>3250</v>
      </c>
      <c r="G707" s="34" t="s">
        <v>7</v>
      </c>
      <c r="H707" s="234" t="s">
        <v>3252</v>
      </c>
      <c r="I707" s="248" t="s">
        <v>7</v>
      </c>
      <c r="J707" s="249" t="s">
        <v>554</v>
      </c>
      <c r="K707" s="250">
        <v>198339</v>
      </c>
      <c r="L707" s="250">
        <v>0</v>
      </c>
      <c r="M707" s="251" t="s">
        <v>25</v>
      </c>
      <c r="N707" s="252">
        <v>0</v>
      </c>
      <c r="O707" s="185" t="s">
        <v>51</v>
      </c>
    </row>
    <row r="708" spans="1:15" x14ac:dyDescent="0.25">
      <c r="A708" s="234" t="s">
        <v>3199</v>
      </c>
      <c r="B708" s="234" t="s">
        <v>25</v>
      </c>
      <c r="C708" s="245">
        <v>46147</v>
      </c>
      <c r="D708" s="234">
        <v>0</v>
      </c>
      <c r="E708" s="246">
        <v>193617</v>
      </c>
      <c r="F708" s="247">
        <v>0</v>
      </c>
      <c r="G708" s="34" t="s">
        <v>7</v>
      </c>
      <c r="H708" s="234" t="s">
        <v>3200</v>
      </c>
      <c r="I708" s="248" t="s">
        <v>7</v>
      </c>
      <c r="J708" s="249" t="s">
        <v>492</v>
      </c>
      <c r="K708" s="250">
        <v>0</v>
      </c>
      <c r="L708" s="250">
        <v>0</v>
      </c>
      <c r="M708" s="251" t="s">
        <v>25</v>
      </c>
      <c r="N708" s="252">
        <v>0</v>
      </c>
      <c r="O708" s="185" t="s">
        <v>51</v>
      </c>
    </row>
    <row r="709" spans="1:15" x14ac:dyDescent="0.25">
      <c r="A709" s="234" t="s">
        <v>3254</v>
      </c>
      <c r="B709" s="234" t="s">
        <v>25</v>
      </c>
      <c r="C709" s="245">
        <v>46147</v>
      </c>
      <c r="D709" s="234">
        <v>0</v>
      </c>
      <c r="E709" s="246">
        <v>188075</v>
      </c>
      <c r="F709" s="247">
        <v>0</v>
      </c>
      <c r="G709" s="34" t="s">
        <v>7</v>
      </c>
      <c r="H709" s="234" t="s">
        <v>3255</v>
      </c>
      <c r="I709" s="248" t="s">
        <v>7</v>
      </c>
      <c r="J709" s="249" t="s">
        <v>492</v>
      </c>
      <c r="K709" s="250">
        <v>0</v>
      </c>
      <c r="L709" s="250">
        <v>0</v>
      </c>
      <c r="M709" s="251" t="s">
        <v>25</v>
      </c>
      <c r="N709" s="252">
        <v>0</v>
      </c>
      <c r="O709" s="185" t="s">
        <v>51</v>
      </c>
    </row>
    <row r="710" spans="1:15" x14ac:dyDescent="0.25">
      <c r="A710" s="234" t="s">
        <v>3484</v>
      </c>
      <c r="B710" s="234" t="s">
        <v>25</v>
      </c>
      <c r="C710" s="245">
        <v>46147</v>
      </c>
      <c r="D710" s="234">
        <v>0</v>
      </c>
      <c r="E710" s="246">
        <v>100000</v>
      </c>
      <c r="F710" s="247" t="s">
        <v>3500</v>
      </c>
      <c r="G710" s="34" t="s">
        <v>7</v>
      </c>
      <c r="H710" s="234" t="s">
        <v>3485</v>
      </c>
      <c r="I710" s="248" t="s">
        <v>7</v>
      </c>
      <c r="J710" s="249" t="s">
        <v>554</v>
      </c>
      <c r="K710" s="250">
        <v>100000</v>
      </c>
      <c r="L710" s="250">
        <v>0</v>
      </c>
      <c r="M710" s="251" t="s">
        <v>25</v>
      </c>
      <c r="N710" s="252">
        <v>0</v>
      </c>
      <c r="O710" s="185" t="s">
        <v>51</v>
      </c>
    </row>
    <row r="711" spans="1:15" x14ac:dyDescent="0.25">
      <c r="A711" s="234" t="s">
        <v>4571</v>
      </c>
      <c r="B711" s="234" t="s">
        <v>11</v>
      </c>
      <c r="C711" s="245">
        <v>46147</v>
      </c>
      <c r="D711" s="234" t="s">
        <v>7287</v>
      </c>
      <c r="E711" s="246">
        <v>206805</v>
      </c>
      <c r="F711" s="247" t="s">
        <v>4570</v>
      </c>
      <c r="G711" s="34" t="s">
        <v>7</v>
      </c>
      <c r="H711" s="234" t="s">
        <v>4572</v>
      </c>
      <c r="I711" s="248" t="s">
        <v>7</v>
      </c>
      <c r="J711" s="249" t="s">
        <v>554</v>
      </c>
      <c r="K711" s="250">
        <v>216934.53</v>
      </c>
      <c r="L711" s="250">
        <v>0</v>
      </c>
      <c r="M711" s="251" t="s">
        <v>11</v>
      </c>
      <c r="N711" s="252">
        <v>0</v>
      </c>
      <c r="O711" s="185" t="s">
        <v>74</v>
      </c>
    </row>
    <row r="712" spans="1:15" x14ac:dyDescent="0.25">
      <c r="A712" s="234" t="s">
        <v>5460</v>
      </c>
      <c r="B712" s="234" t="s">
        <v>11</v>
      </c>
      <c r="C712" s="245">
        <v>46147</v>
      </c>
      <c r="D712" s="234" t="s">
        <v>546</v>
      </c>
      <c r="E712" s="246">
        <v>12500</v>
      </c>
      <c r="F712" s="247" t="s">
        <v>5459</v>
      </c>
      <c r="G712" s="34" t="s">
        <v>7</v>
      </c>
      <c r="H712" s="234" t="s">
        <v>5461</v>
      </c>
      <c r="I712" s="248" t="s">
        <v>7</v>
      </c>
      <c r="J712" s="249" t="s">
        <v>554</v>
      </c>
      <c r="K712" s="250">
        <v>12500</v>
      </c>
      <c r="L712" s="250">
        <v>0</v>
      </c>
      <c r="M712" s="251" t="s">
        <v>11</v>
      </c>
      <c r="N712" s="252">
        <v>0</v>
      </c>
      <c r="O712" s="185" t="s">
        <v>74</v>
      </c>
    </row>
    <row r="713" spans="1:15" x14ac:dyDescent="0.25">
      <c r="A713" s="234" t="s">
        <v>4580</v>
      </c>
      <c r="B713" s="234" t="s">
        <v>11</v>
      </c>
      <c r="C713" s="245">
        <v>46147</v>
      </c>
      <c r="D713" s="234" t="s">
        <v>7552</v>
      </c>
      <c r="E713" s="246">
        <v>224913</v>
      </c>
      <c r="F713" s="247" t="s">
        <v>4579</v>
      </c>
      <c r="G713" s="34" t="s">
        <v>7</v>
      </c>
      <c r="H713" s="234" t="s">
        <v>4581</v>
      </c>
      <c r="I713" s="248" t="s">
        <v>7</v>
      </c>
      <c r="J713" s="249" t="s">
        <v>554</v>
      </c>
      <c r="K713" s="250">
        <v>224913</v>
      </c>
      <c r="L713" s="250">
        <v>0</v>
      </c>
      <c r="M713" s="251" t="s">
        <v>11</v>
      </c>
      <c r="N713" s="252">
        <v>0</v>
      </c>
      <c r="O713" s="185" t="s">
        <v>74</v>
      </c>
    </row>
    <row r="714" spans="1:15" x14ac:dyDescent="0.25">
      <c r="A714" s="234" t="s">
        <v>5457</v>
      </c>
      <c r="B714" s="234" t="s">
        <v>11</v>
      </c>
      <c r="C714" s="245">
        <v>46147</v>
      </c>
      <c r="D714" s="234" t="s">
        <v>7552</v>
      </c>
      <c r="E714" s="246">
        <v>143431</v>
      </c>
      <c r="F714" s="247" t="s">
        <v>5456</v>
      </c>
      <c r="G714" s="34" t="s">
        <v>7</v>
      </c>
      <c r="H714" s="234" t="s">
        <v>5458</v>
      </c>
      <c r="I714" s="248" t="s">
        <v>7</v>
      </c>
      <c r="J714" s="249" t="s">
        <v>554</v>
      </c>
      <c r="K714" s="250">
        <v>143431</v>
      </c>
      <c r="L714" s="250">
        <v>0</v>
      </c>
      <c r="M714" s="251" t="s">
        <v>11</v>
      </c>
      <c r="N714" s="252">
        <v>0</v>
      </c>
      <c r="O714" s="185" t="s">
        <v>74</v>
      </c>
    </row>
    <row r="715" spans="1:15" x14ac:dyDescent="0.25">
      <c r="A715" s="234" t="s">
        <v>3661</v>
      </c>
      <c r="B715" s="234" t="s">
        <v>15</v>
      </c>
      <c r="C715" s="245">
        <v>46147</v>
      </c>
      <c r="D715" s="234">
        <v>0</v>
      </c>
      <c r="E715" s="246">
        <v>40000</v>
      </c>
      <c r="F715" s="247" t="s">
        <v>7676</v>
      </c>
      <c r="G715" s="34" t="s">
        <v>7</v>
      </c>
      <c r="H715" s="234" t="s">
        <v>3662</v>
      </c>
      <c r="I715" s="248" t="s">
        <v>7</v>
      </c>
      <c r="J715" s="249" t="s">
        <v>492</v>
      </c>
      <c r="K715" s="250">
        <v>0</v>
      </c>
      <c r="L715" s="250">
        <v>0</v>
      </c>
      <c r="M715" s="251" t="s">
        <v>15</v>
      </c>
      <c r="N715" s="252">
        <v>0</v>
      </c>
      <c r="O715" s="185" t="s">
        <v>51</v>
      </c>
    </row>
    <row r="716" spans="1:15" x14ac:dyDescent="0.25">
      <c r="A716" s="234" t="s">
        <v>3661</v>
      </c>
      <c r="B716" s="234" t="s">
        <v>15</v>
      </c>
      <c r="C716" s="245">
        <v>46147</v>
      </c>
      <c r="D716" s="234">
        <v>0</v>
      </c>
      <c r="E716" s="246">
        <v>1000</v>
      </c>
      <c r="F716" s="247" t="s">
        <v>7677</v>
      </c>
      <c r="G716" s="34" t="s">
        <v>7</v>
      </c>
      <c r="H716" s="234" t="s">
        <v>3662</v>
      </c>
      <c r="I716" s="248" t="s">
        <v>7</v>
      </c>
      <c r="J716" s="249" t="s">
        <v>492</v>
      </c>
      <c r="K716" s="250">
        <v>0</v>
      </c>
      <c r="L716" s="250">
        <v>0</v>
      </c>
      <c r="M716" s="251" t="s">
        <v>15</v>
      </c>
      <c r="N716" s="252">
        <v>0</v>
      </c>
      <c r="O716" s="185" t="s">
        <v>51</v>
      </c>
    </row>
    <row r="717" spans="1:15" x14ac:dyDescent="0.25">
      <c r="A717" s="234" t="s">
        <v>1547</v>
      </c>
      <c r="B717" s="234" t="s">
        <v>15</v>
      </c>
      <c r="C717" s="245">
        <v>46147</v>
      </c>
      <c r="D717" s="234">
        <v>0</v>
      </c>
      <c r="E717" s="246">
        <v>379465</v>
      </c>
      <c r="F717" s="247" t="s">
        <v>7678</v>
      </c>
      <c r="G717" s="34" t="s">
        <v>7</v>
      </c>
      <c r="H717" s="234" t="s">
        <v>1549</v>
      </c>
      <c r="I717" s="248" t="s">
        <v>7</v>
      </c>
      <c r="J717" s="249" t="s">
        <v>492</v>
      </c>
      <c r="K717" s="250">
        <v>0</v>
      </c>
      <c r="L717" s="250">
        <v>0</v>
      </c>
      <c r="M717" s="251" t="s">
        <v>15</v>
      </c>
      <c r="N717" s="252">
        <v>0</v>
      </c>
      <c r="O717" s="185" t="s">
        <v>51</v>
      </c>
    </row>
    <row r="718" spans="1:15" x14ac:dyDescent="0.25">
      <c r="A718" s="234" t="s">
        <v>1038</v>
      </c>
      <c r="B718" s="234" t="s">
        <v>15</v>
      </c>
      <c r="C718" s="245">
        <v>46147</v>
      </c>
      <c r="D718" s="234">
        <v>0</v>
      </c>
      <c r="E718" s="246">
        <v>124324</v>
      </c>
      <c r="F718" s="247" t="s">
        <v>7679</v>
      </c>
      <c r="G718" s="34" t="s">
        <v>7</v>
      </c>
      <c r="H718" s="234" t="s">
        <v>1039</v>
      </c>
      <c r="I718" s="248" t="s">
        <v>7</v>
      </c>
      <c r="J718" s="249" t="s">
        <v>492</v>
      </c>
      <c r="K718" s="250">
        <v>0</v>
      </c>
      <c r="L718" s="250">
        <v>0</v>
      </c>
      <c r="M718" s="251" t="s">
        <v>15</v>
      </c>
      <c r="N718" s="252">
        <v>0</v>
      </c>
      <c r="O718" s="185" t="s">
        <v>51</v>
      </c>
    </row>
    <row r="719" spans="1:15" x14ac:dyDescent="0.25">
      <c r="A719" s="234" t="s">
        <v>1125</v>
      </c>
      <c r="B719" s="234" t="s">
        <v>15</v>
      </c>
      <c r="C719" s="245">
        <v>46147</v>
      </c>
      <c r="D719" s="234">
        <v>0</v>
      </c>
      <c r="E719" s="246">
        <v>252533</v>
      </c>
      <c r="F719" s="247" t="s">
        <v>7680</v>
      </c>
      <c r="G719" s="34" t="s">
        <v>7</v>
      </c>
      <c r="H719" s="234" t="s">
        <v>1127</v>
      </c>
      <c r="I719" s="248" t="s">
        <v>7</v>
      </c>
      <c r="J719" s="249" t="s">
        <v>492</v>
      </c>
      <c r="K719" s="250">
        <v>0</v>
      </c>
      <c r="L719" s="250">
        <v>0</v>
      </c>
      <c r="M719" s="251" t="s">
        <v>15</v>
      </c>
      <c r="N719" s="252">
        <v>0</v>
      </c>
      <c r="O719" s="185" t="s">
        <v>51</v>
      </c>
    </row>
    <row r="720" spans="1:15" x14ac:dyDescent="0.25">
      <c r="A720" s="234" t="s">
        <v>1021</v>
      </c>
      <c r="B720" s="234" t="s">
        <v>15</v>
      </c>
      <c r="C720" s="245">
        <v>46147</v>
      </c>
      <c r="D720" s="234">
        <v>0</v>
      </c>
      <c r="E720" s="246">
        <v>197546</v>
      </c>
      <c r="F720" s="247" t="s">
        <v>7681</v>
      </c>
      <c r="G720" s="34" t="s">
        <v>7</v>
      </c>
      <c r="H720" s="234" t="s">
        <v>1022</v>
      </c>
      <c r="I720" s="248" t="s">
        <v>7</v>
      </c>
      <c r="J720" s="249" t="s">
        <v>492</v>
      </c>
      <c r="K720" s="250">
        <v>0</v>
      </c>
      <c r="L720" s="250">
        <v>0</v>
      </c>
      <c r="M720" s="251" t="s">
        <v>15</v>
      </c>
      <c r="N720" s="252">
        <v>0</v>
      </c>
      <c r="O720" s="185" t="s">
        <v>51</v>
      </c>
    </row>
    <row r="721" spans="1:15" x14ac:dyDescent="0.25">
      <c r="A721" s="234" t="s">
        <v>7682</v>
      </c>
      <c r="B721" s="234" t="s">
        <v>15</v>
      </c>
      <c r="C721" s="245">
        <v>46147</v>
      </c>
      <c r="D721" s="234">
        <v>0</v>
      </c>
      <c r="E721" s="246">
        <v>123963</v>
      </c>
      <c r="F721" s="247" t="s">
        <v>7683</v>
      </c>
      <c r="G721" s="34" t="s">
        <v>7</v>
      </c>
      <c r="H721" s="234" t="s">
        <v>995</v>
      </c>
      <c r="I721" s="248" t="s">
        <v>7</v>
      </c>
      <c r="J721" s="249" t="s">
        <v>492</v>
      </c>
      <c r="K721" s="250">
        <v>0</v>
      </c>
      <c r="L721" s="250">
        <v>0</v>
      </c>
      <c r="M721" s="251" t="s">
        <v>15</v>
      </c>
      <c r="N721" s="252">
        <v>0</v>
      </c>
      <c r="O721" s="185" t="s">
        <v>51</v>
      </c>
    </row>
    <row r="722" spans="1:15" x14ac:dyDescent="0.25">
      <c r="A722" s="234" t="s">
        <v>1062</v>
      </c>
      <c r="B722" s="234" t="s">
        <v>15</v>
      </c>
      <c r="C722" s="245">
        <v>46147</v>
      </c>
      <c r="D722" s="234">
        <v>0</v>
      </c>
      <c r="E722" s="246">
        <v>111001</v>
      </c>
      <c r="F722" s="247" t="s">
        <v>7684</v>
      </c>
      <c r="G722" s="34" t="s">
        <v>7</v>
      </c>
      <c r="H722" s="234" t="s">
        <v>1063</v>
      </c>
      <c r="I722" s="248" t="s">
        <v>7</v>
      </c>
      <c r="J722" s="249" t="s">
        <v>492</v>
      </c>
      <c r="K722" s="250">
        <v>0</v>
      </c>
      <c r="L722" s="250">
        <v>0</v>
      </c>
      <c r="M722" s="251" t="s">
        <v>15</v>
      </c>
      <c r="N722" s="252">
        <v>0</v>
      </c>
      <c r="O722" s="185" t="s">
        <v>51</v>
      </c>
    </row>
    <row r="723" spans="1:15" x14ac:dyDescent="0.25">
      <c r="A723" s="234" t="s">
        <v>7685</v>
      </c>
      <c r="B723" s="234" t="s">
        <v>15</v>
      </c>
      <c r="C723" s="245">
        <v>46147</v>
      </c>
      <c r="D723" s="234">
        <v>0</v>
      </c>
      <c r="E723" s="246">
        <v>99459</v>
      </c>
      <c r="F723" s="247" t="s">
        <v>7686</v>
      </c>
      <c r="G723" s="34" t="s">
        <v>7</v>
      </c>
      <c r="H723" s="234" t="s">
        <v>1069</v>
      </c>
      <c r="I723" s="248" t="s">
        <v>7</v>
      </c>
      <c r="J723" s="249" t="s">
        <v>492</v>
      </c>
      <c r="K723" s="250">
        <v>0</v>
      </c>
      <c r="L723" s="250">
        <v>0</v>
      </c>
      <c r="M723" s="251" t="s">
        <v>15</v>
      </c>
      <c r="N723" s="252">
        <v>0</v>
      </c>
      <c r="O723" s="185" t="s">
        <v>51</v>
      </c>
    </row>
    <row r="724" spans="1:15" x14ac:dyDescent="0.25">
      <c r="A724" s="234" t="s">
        <v>1265</v>
      </c>
      <c r="B724" s="234" t="s">
        <v>15</v>
      </c>
      <c r="C724" s="245">
        <v>46147</v>
      </c>
      <c r="D724" s="234">
        <v>0</v>
      </c>
      <c r="E724" s="246">
        <v>124997</v>
      </c>
      <c r="F724" s="247" t="s">
        <v>7687</v>
      </c>
      <c r="G724" s="34" t="s">
        <v>7</v>
      </c>
      <c r="H724" s="234" t="s">
        <v>1266</v>
      </c>
      <c r="I724" s="248" t="s">
        <v>7</v>
      </c>
      <c r="J724" s="249" t="s">
        <v>492</v>
      </c>
      <c r="K724" s="250">
        <v>0</v>
      </c>
      <c r="L724" s="250">
        <v>0</v>
      </c>
      <c r="M724" s="251" t="s">
        <v>15</v>
      </c>
      <c r="N724" s="252">
        <v>0</v>
      </c>
      <c r="O724" s="185" t="s">
        <v>51</v>
      </c>
    </row>
    <row r="725" spans="1:15" x14ac:dyDescent="0.25">
      <c r="A725" s="234" t="s">
        <v>3605</v>
      </c>
      <c r="B725" s="234" t="s">
        <v>15</v>
      </c>
      <c r="C725" s="245">
        <v>46147</v>
      </c>
      <c r="D725" s="234">
        <v>0</v>
      </c>
      <c r="E725" s="246">
        <v>128955.07</v>
      </c>
      <c r="F725" s="247" t="s">
        <v>7688</v>
      </c>
      <c r="G725" s="34" t="s">
        <v>7</v>
      </c>
      <c r="H725" s="234" t="s">
        <v>3606</v>
      </c>
      <c r="I725" s="248" t="s">
        <v>7</v>
      </c>
      <c r="J725" s="249" t="s">
        <v>492</v>
      </c>
      <c r="K725" s="250">
        <v>0</v>
      </c>
      <c r="L725" s="250">
        <v>0</v>
      </c>
      <c r="M725" s="251" t="s">
        <v>15</v>
      </c>
      <c r="N725" s="252">
        <v>0</v>
      </c>
      <c r="O725" s="185" t="s">
        <v>51</v>
      </c>
    </row>
    <row r="726" spans="1:15" x14ac:dyDescent="0.25">
      <c r="A726" s="234" t="s">
        <v>7689</v>
      </c>
      <c r="B726" s="234" t="s">
        <v>15</v>
      </c>
      <c r="C726" s="245">
        <v>46147</v>
      </c>
      <c r="D726" s="234">
        <v>0</v>
      </c>
      <c r="E726" s="246">
        <v>105096</v>
      </c>
      <c r="F726" s="247" t="s">
        <v>7690</v>
      </c>
      <c r="G726" s="34" t="s">
        <v>7</v>
      </c>
      <c r="H726" s="234" t="s">
        <v>3650</v>
      </c>
      <c r="I726" s="248" t="s">
        <v>7</v>
      </c>
      <c r="J726" s="249" t="s">
        <v>492</v>
      </c>
      <c r="K726" s="250">
        <v>0</v>
      </c>
      <c r="L726" s="250">
        <v>0</v>
      </c>
      <c r="M726" s="251" t="s">
        <v>15</v>
      </c>
      <c r="N726" s="252">
        <v>0</v>
      </c>
      <c r="O726" s="185" t="s">
        <v>51</v>
      </c>
    </row>
    <row r="727" spans="1:15" x14ac:dyDescent="0.25">
      <c r="A727" s="234" t="s">
        <v>1077</v>
      </c>
      <c r="B727" s="234" t="s">
        <v>15</v>
      </c>
      <c r="C727" s="245">
        <v>46147</v>
      </c>
      <c r="D727" s="234">
        <v>0</v>
      </c>
      <c r="E727" s="246">
        <v>6400</v>
      </c>
      <c r="F727" s="247" t="s">
        <v>7691</v>
      </c>
      <c r="G727" s="34" t="s">
        <v>7</v>
      </c>
      <c r="H727" s="234" t="s">
        <v>1078</v>
      </c>
      <c r="I727" s="248" t="s">
        <v>7</v>
      </c>
      <c r="J727" s="249" t="s">
        <v>492</v>
      </c>
      <c r="K727" s="250">
        <v>0</v>
      </c>
      <c r="L727" s="250">
        <v>0</v>
      </c>
      <c r="M727" s="251" t="s">
        <v>15</v>
      </c>
      <c r="N727" s="252">
        <v>0</v>
      </c>
      <c r="O727" s="185" t="s">
        <v>51</v>
      </c>
    </row>
    <row r="728" spans="1:15" x14ac:dyDescent="0.25">
      <c r="A728" s="234" t="s">
        <v>1173</v>
      </c>
      <c r="B728" s="234" t="s">
        <v>15</v>
      </c>
      <c r="C728" s="245">
        <v>46147</v>
      </c>
      <c r="D728" s="234">
        <v>0</v>
      </c>
      <c r="E728" s="246">
        <v>21850</v>
      </c>
      <c r="F728" s="247" t="s">
        <v>7692</v>
      </c>
      <c r="G728" s="34" t="s">
        <v>7</v>
      </c>
      <c r="H728" s="234" t="s">
        <v>1174</v>
      </c>
      <c r="I728" s="248" t="s">
        <v>7</v>
      </c>
      <c r="J728" s="249" t="s">
        <v>492</v>
      </c>
      <c r="K728" s="250">
        <v>0</v>
      </c>
      <c r="L728" s="250">
        <v>0</v>
      </c>
      <c r="M728" s="251" t="s">
        <v>15</v>
      </c>
      <c r="N728" s="252">
        <v>0</v>
      </c>
      <c r="O728" s="185" t="s">
        <v>51</v>
      </c>
    </row>
    <row r="729" spans="1:15" x14ac:dyDescent="0.25">
      <c r="A729" s="234" t="s">
        <v>5005</v>
      </c>
      <c r="B729" s="234" t="s">
        <v>16</v>
      </c>
      <c r="C729" s="245">
        <v>46147</v>
      </c>
      <c r="D729" s="234" t="s">
        <v>7359</v>
      </c>
      <c r="E729" s="246">
        <v>105966</v>
      </c>
      <c r="F729" s="247" t="s">
        <v>5011</v>
      </c>
      <c r="G729" s="34" t="s">
        <v>7</v>
      </c>
      <c r="H729" s="234" t="s">
        <v>5006</v>
      </c>
      <c r="I729" s="248" t="s">
        <v>7</v>
      </c>
      <c r="J729" s="249" t="s">
        <v>554</v>
      </c>
      <c r="K729" s="250">
        <v>55000</v>
      </c>
      <c r="L729" s="250">
        <v>0</v>
      </c>
      <c r="M729" s="251" t="s">
        <v>16</v>
      </c>
      <c r="N729" s="252">
        <v>0</v>
      </c>
      <c r="O729" s="185" t="s">
        <v>51</v>
      </c>
    </row>
    <row r="730" spans="1:15" x14ac:dyDescent="0.25">
      <c r="A730" s="234" t="s">
        <v>5017</v>
      </c>
      <c r="B730" s="234" t="s">
        <v>16</v>
      </c>
      <c r="C730" s="245">
        <v>46147</v>
      </c>
      <c r="D730" s="234" t="s">
        <v>7577</v>
      </c>
      <c r="E730" s="246">
        <v>204919</v>
      </c>
      <c r="F730" s="247" t="s">
        <v>5016</v>
      </c>
      <c r="G730" s="34" t="s">
        <v>7</v>
      </c>
      <c r="H730" s="234" t="s">
        <v>5018</v>
      </c>
      <c r="I730" s="248" t="s">
        <v>7</v>
      </c>
      <c r="J730" s="249" t="s">
        <v>554</v>
      </c>
      <c r="K730" s="250">
        <v>204919</v>
      </c>
      <c r="L730" s="250">
        <v>0</v>
      </c>
      <c r="M730" s="251" t="s">
        <v>16</v>
      </c>
      <c r="N730" s="252">
        <v>0</v>
      </c>
      <c r="O730" s="185" t="s">
        <v>51</v>
      </c>
    </row>
    <row r="731" spans="1:15" x14ac:dyDescent="0.25">
      <c r="A731" s="234" t="s">
        <v>5118</v>
      </c>
      <c r="B731" s="234" t="s">
        <v>16</v>
      </c>
      <c r="C731" s="245">
        <v>46147</v>
      </c>
      <c r="D731" s="234" t="s">
        <v>7359</v>
      </c>
      <c r="E731" s="246">
        <v>168569</v>
      </c>
      <c r="F731" s="247" t="s">
        <v>5117</v>
      </c>
      <c r="G731" s="34" t="s">
        <v>7</v>
      </c>
      <c r="H731" s="234" t="s">
        <v>5119</v>
      </c>
      <c r="I731" s="248" t="s">
        <v>7</v>
      </c>
      <c r="J731" s="249" t="s">
        <v>62</v>
      </c>
      <c r="K731" s="250">
        <v>56189.599999999999</v>
      </c>
      <c r="L731" s="250">
        <v>0</v>
      </c>
      <c r="M731" s="251" t="s">
        <v>16</v>
      </c>
      <c r="N731" s="252">
        <v>0</v>
      </c>
      <c r="O731" s="185" t="s">
        <v>51</v>
      </c>
    </row>
    <row r="732" spans="1:15" x14ac:dyDescent="0.25">
      <c r="A732" s="234" t="s">
        <v>5199</v>
      </c>
      <c r="B732" s="234" t="s">
        <v>16</v>
      </c>
      <c r="C732" s="245">
        <v>46147</v>
      </c>
      <c r="D732" s="234" t="s">
        <v>7577</v>
      </c>
      <c r="E732" s="246">
        <v>201906</v>
      </c>
      <c r="F732" s="247" t="s">
        <v>5198</v>
      </c>
      <c r="G732" s="34" t="s">
        <v>7</v>
      </c>
      <c r="H732" s="234" t="s">
        <v>5200</v>
      </c>
      <c r="I732" s="248" t="s">
        <v>7</v>
      </c>
      <c r="J732" s="249" t="s">
        <v>554</v>
      </c>
      <c r="K732" s="250">
        <v>201906</v>
      </c>
      <c r="L732" s="250">
        <v>0</v>
      </c>
      <c r="M732" s="251" t="s">
        <v>16</v>
      </c>
      <c r="N732" s="252">
        <v>0</v>
      </c>
      <c r="O732" s="185" t="s">
        <v>51</v>
      </c>
    </row>
    <row r="733" spans="1:15" x14ac:dyDescent="0.25">
      <c r="A733" s="234" t="s">
        <v>4956</v>
      </c>
      <c r="B733" s="234" t="s">
        <v>16</v>
      </c>
      <c r="C733" s="245">
        <v>46147</v>
      </c>
      <c r="D733" s="234" t="s">
        <v>7287</v>
      </c>
      <c r="E733" s="246">
        <v>172497.32</v>
      </c>
      <c r="F733" s="247" t="s">
        <v>4955</v>
      </c>
      <c r="G733" s="34" t="s">
        <v>7</v>
      </c>
      <c r="H733" s="234" t="s">
        <v>4957</v>
      </c>
      <c r="I733" s="248" t="s">
        <v>7</v>
      </c>
      <c r="J733" s="249" t="s">
        <v>554</v>
      </c>
      <c r="K733" s="250">
        <v>168908.4</v>
      </c>
      <c r="L733" s="250">
        <v>0</v>
      </c>
      <c r="M733" s="251" t="s">
        <v>16</v>
      </c>
      <c r="N733" s="252">
        <v>0</v>
      </c>
      <c r="O733" s="185" t="s">
        <v>51</v>
      </c>
    </row>
    <row r="734" spans="1:15" x14ac:dyDescent="0.25">
      <c r="A734" s="234" t="s">
        <v>5076</v>
      </c>
      <c r="B734" s="234" t="s">
        <v>16</v>
      </c>
      <c r="C734" s="245">
        <v>46147</v>
      </c>
      <c r="D734" s="234" t="s">
        <v>7359</v>
      </c>
      <c r="E734" s="246">
        <v>193505</v>
      </c>
      <c r="F734" s="247" t="s">
        <v>5075</v>
      </c>
      <c r="G734" s="34" t="s">
        <v>7</v>
      </c>
      <c r="H734" s="234" t="s">
        <v>5078</v>
      </c>
      <c r="I734" s="248" t="s">
        <v>7</v>
      </c>
      <c r="J734" s="249" t="s">
        <v>554</v>
      </c>
      <c r="K734" s="250">
        <v>43504</v>
      </c>
      <c r="L734" s="250">
        <v>0</v>
      </c>
      <c r="M734" s="251" t="s">
        <v>16</v>
      </c>
      <c r="N734" s="252">
        <v>0</v>
      </c>
      <c r="O734" s="185" t="s">
        <v>51</v>
      </c>
    </row>
    <row r="735" spans="1:15" x14ac:dyDescent="0.25">
      <c r="A735" s="234" t="s">
        <v>5193</v>
      </c>
      <c r="B735" s="234" t="s">
        <v>16</v>
      </c>
      <c r="C735" s="245">
        <v>46147</v>
      </c>
      <c r="D735" s="234" t="s">
        <v>7360</v>
      </c>
      <c r="E735" s="246">
        <v>214781.3</v>
      </c>
      <c r="F735" s="247" t="s">
        <v>5192</v>
      </c>
      <c r="G735" s="34" t="s">
        <v>7</v>
      </c>
      <c r="H735" s="234" t="s">
        <v>5194</v>
      </c>
      <c r="I735" s="248" t="s">
        <v>7</v>
      </c>
      <c r="J735" s="249" t="s">
        <v>554</v>
      </c>
      <c r="K735" s="250">
        <v>214781.3</v>
      </c>
      <c r="L735" s="250">
        <v>0</v>
      </c>
      <c r="M735" s="251" t="s">
        <v>16</v>
      </c>
      <c r="N735" s="252">
        <v>0</v>
      </c>
      <c r="O735" s="185" t="s">
        <v>51</v>
      </c>
    </row>
    <row r="736" spans="1:15" x14ac:dyDescent="0.25">
      <c r="A736" s="234" t="s">
        <v>5098</v>
      </c>
      <c r="B736" s="234" t="s">
        <v>16</v>
      </c>
      <c r="C736" s="245">
        <v>46147</v>
      </c>
      <c r="D736" s="234" t="s">
        <v>7359</v>
      </c>
      <c r="E736" s="246">
        <v>101000</v>
      </c>
      <c r="F736" s="247" t="s">
        <v>5101</v>
      </c>
      <c r="G736" s="34" t="s">
        <v>7</v>
      </c>
      <c r="H736" s="234" t="s">
        <v>5100</v>
      </c>
      <c r="I736" s="248" t="s">
        <v>7</v>
      </c>
      <c r="J736" s="249" t="s">
        <v>554</v>
      </c>
      <c r="K736" s="250">
        <v>101000</v>
      </c>
      <c r="L736" s="250">
        <v>0</v>
      </c>
      <c r="M736" s="251" t="s">
        <v>16</v>
      </c>
      <c r="N736" s="252">
        <v>0</v>
      </c>
      <c r="O736" s="185" t="s">
        <v>51</v>
      </c>
    </row>
    <row r="737" spans="1:15" x14ac:dyDescent="0.25">
      <c r="A737" s="234" t="s">
        <v>5048</v>
      </c>
      <c r="B737" s="234" t="s">
        <v>16</v>
      </c>
      <c r="C737" s="245">
        <v>46147</v>
      </c>
      <c r="D737" s="234" t="s">
        <v>7359</v>
      </c>
      <c r="E737" s="246">
        <v>253781</v>
      </c>
      <c r="F737" s="247" t="s">
        <v>5050</v>
      </c>
      <c r="G737" s="34" t="s">
        <v>7</v>
      </c>
      <c r="H737" s="234" t="s">
        <v>5049</v>
      </c>
      <c r="I737" s="248" t="s">
        <v>7</v>
      </c>
      <c r="J737" s="249" t="s">
        <v>62</v>
      </c>
      <c r="K737" s="250">
        <v>253781.93</v>
      </c>
      <c r="L737" s="250">
        <v>0</v>
      </c>
      <c r="M737" s="251" t="s">
        <v>16</v>
      </c>
      <c r="N737" s="252">
        <v>0</v>
      </c>
      <c r="O737" s="185" t="s">
        <v>51</v>
      </c>
    </row>
    <row r="738" spans="1:15" x14ac:dyDescent="0.25">
      <c r="A738" s="234" t="s">
        <v>4971</v>
      </c>
      <c r="B738" s="234" t="s">
        <v>16</v>
      </c>
      <c r="C738" s="245">
        <v>46147</v>
      </c>
      <c r="D738" s="234" t="s">
        <v>7359</v>
      </c>
      <c r="E738" s="246">
        <v>164122</v>
      </c>
      <c r="F738" s="247" t="s">
        <v>4970</v>
      </c>
      <c r="G738" s="34" t="s">
        <v>7</v>
      </c>
      <c r="H738" s="234" t="s">
        <v>4972</v>
      </c>
      <c r="I738" s="248" t="s">
        <v>7</v>
      </c>
      <c r="J738" s="249" t="s">
        <v>554</v>
      </c>
      <c r="K738" s="250">
        <v>164122</v>
      </c>
      <c r="L738" s="250">
        <v>0</v>
      </c>
      <c r="M738" s="251" t="s">
        <v>16</v>
      </c>
      <c r="N738" s="252">
        <v>0</v>
      </c>
      <c r="O738" s="185" t="s">
        <v>51</v>
      </c>
    </row>
    <row r="739" spans="1:15" x14ac:dyDescent="0.25">
      <c r="A739" s="234" t="s">
        <v>5088</v>
      </c>
      <c r="B739" s="234" t="s">
        <v>16</v>
      </c>
      <c r="C739" s="245">
        <v>46147</v>
      </c>
      <c r="D739" s="234" t="s">
        <v>7359</v>
      </c>
      <c r="E739" s="246">
        <v>162750</v>
      </c>
      <c r="F739" s="247" t="s">
        <v>5087</v>
      </c>
      <c r="G739" s="34" t="s">
        <v>7</v>
      </c>
      <c r="H739" s="234" t="s">
        <v>5089</v>
      </c>
      <c r="I739" s="248" t="s">
        <v>7</v>
      </c>
      <c r="J739" s="249" t="s">
        <v>554</v>
      </c>
      <c r="K739" s="250">
        <v>40687.5</v>
      </c>
      <c r="L739" s="250">
        <v>0</v>
      </c>
      <c r="M739" s="251" t="s">
        <v>16</v>
      </c>
      <c r="N739" s="252">
        <v>0</v>
      </c>
      <c r="O739" s="185" t="s">
        <v>51</v>
      </c>
    </row>
    <row r="740" spans="1:15" x14ac:dyDescent="0.25">
      <c r="A740" s="234" t="s">
        <v>5020</v>
      </c>
      <c r="B740" s="234" t="s">
        <v>16</v>
      </c>
      <c r="C740" s="245">
        <v>46147</v>
      </c>
      <c r="D740" s="234" t="s">
        <v>7359</v>
      </c>
      <c r="E740" s="246">
        <v>328679</v>
      </c>
      <c r="F740" s="247" t="s">
        <v>5026</v>
      </c>
      <c r="G740" s="34" t="s">
        <v>7</v>
      </c>
      <c r="H740" s="234" t="s">
        <v>5022</v>
      </c>
      <c r="I740" s="248" t="s">
        <v>7</v>
      </c>
      <c r="J740" s="249" t="s">
        <v>554</v>
      </c>
      <c r="K740" s="250">
        <v>127750</v>
      </c>
      <c r="L740" s="250">
        <v>0</v>
      </c>
      <c r="M740" s="251" t="s">
        <v>16</v>
      </c>
      <c r="N740" s="252">
        <v>0</v>
      </c>
      <c r="O740" s="185" t="s">
        <v>51</v>
      </c>
    </row>
    <row r="741" spans="1:15" x14ac:dyDescent="0.25">
      <c r="A741" s="234" t="s">
        <v>1362</v>
      </c>
      <c r="B741" s="234" t="s">
        <v>27</v>
      </c>
      <c r="C741" s="245">
        <v>46147</v>
      </c>
      <c r="D741" s="234">
        <v>0</v>
      </c>
      <c r="E741" s="246">
        <v>1500000</v>
      </c>
      <c r="F741" s="247" t="s">
        <v>1364</v>
      </c>
      <c r="G741" s="34" t="s">
        <v>7</v>
      </c>
      <c r="H741" s="234" t="s">
        <v>1363</v>
      </c>
      <c r="I741" s="248" t="s">
        <v>7</v>
      </c>
      <c r="J741" s="249" t="s">
        <v>554</v>
      </c>
      <c r="K741" s="250">
        <v>4000000</v>
      </c>
      <c r="L741" s="250">
        <v>0</v>
      </c>
      <c r="M741" s="251" t="s">
        <v>27</v>
      </c>
      <c r="N741" s="252">
        <v>0</v>
      </c>
      <c r="O741" s="185" t="s">
        <v>51</v>
      </c>
    </row>
    <row r="742" spans="1:15" x14ac:dyDescent="0.25">
      <c r="A742" s="234" t="s">
        <v>451</v>
      </c>
      <c r="B742" s="234" t="s">
        <v>27</v>
      </c>
      <c r="C742" s="245">
        <v>46147</v>
      </c>
      <c r="D742" s="234">
        <v>0</v>
      </c>
      <c r="E742" s="246">
        <v>100000</v>
      </c>
      <c r="F742" s="247" t="s">
        <v>1410</v>
      </c>
      <c r="G742" s="34" t="s">
        <v>7</v>
      </c>
      <c r="H742" s="234" t="s">
        <v>450</v>
      </c>
      <c r="I742" s="248" t="s">
        <v>7</v>
      </c>
      <c r="J742" s="249" t="s">
        <v>554</v>
      </c>
      <c r="K742" s="250">
        <v>100000</v>
      </c>
      <c r="L742" s="250">
        <v>0</v>
      </c>
      <c r="M742" s="251" t="s">
        <v>27</v>
      </c>
      <c r="N742" s="252">
        <v>0</v>
      </c>
      <c r="O742" s="185" t="s">
        <v>51</v>
      </c>
    </row>
    <row r="743" spans="1:15" x14ac:dyDescent="0.25">
      <c r="A743" s="234" t="s">
        <v>451</v>
      </c>
      <c r="B743" s="234" t="s">
        <v>27</v>
      </c>
      <c r="C743" s="245">
        <v>46147</v>
      </c>
      <c r="D743" s="234">
        <v>0</v>
      </c>
      <c r="E743" s="246">
        <v>100000</v>
      </c>
      <c r="F743" s="247" t="s">
        <v>1410</v>
      </c>
      <c r="G743" s="34" t="s">
        <v>7</v>
      </c>
      <c r="H743" s="234" t="s">
        <v>450</v>
      </c>
      <c r="I743" s="248" t="s">
        <v>7</v>
      </c>
      <c r="J743" s="249" t="s">
        <v>554</v>
      </c>
      <c r="K743" s="250">
        <v>100000</v>
      </c>
      <c r="L743" s="250">
        <v>0</v>
      </c>
      <c r="M743" s="251" t="s">
        <v>27</v>
      </c>
      <c r="N743" s="252">
        <v>0</v>
      </c>
      <c r="O743" s="185" t="s">
        <v>51</v>
      </c>
    </row>
    <row r="744" spans="1:15" x14ac:dyDescent="0.25">
      <c r="A744" s="234" t="s">
        <v>4184</v>
      </c>
      <c r="B744" s="234" t="s">
        <v>27</v>
      </c>
      <c r="C744" s="245">
        <v>46147</v>
      </c>
      <c r="D744" s="234">
        <v>0</v>
      </c>
      <c r="E744" s="246">
        <v>35000</v>
      </c>
      <c r="F744" s="247" t="s">
        <v>4186</v>
      </c>
      <c r="G744" s="34" t="s">
        <v>7</v>
      </c>
      <c r="H744" s="234" t="s">
        <v>4185</v>
      </c>
      <c r="I744" s="248" t="s">
        <v>7</v>
      </c>
      <c r="J744" s="249" t="s">
        <v>554</v>
      </c>
      <c r="K744" s="250">
        <v>35000</v>
      </c>
      <c r="L744" s="250">
        <v>0</v>
      </c>
      <c r="M744" s="251" t="s">
        <v>27</v>
      </c>
      <c r="N744" s="252">
        <v>0</v>
      </c>
      <c r="O744" s="185" t="s">
        <v>51</v>
      </c>
    </row>
    <row r="745" spans="1:15" x14ac:dyDescent="0.25">
      <c r="A745" s="234" t="s">
        <v>4184</v>
      </c>
      <c r="B745" s="234" t="s">
        <v>27</v>
      </c>
      <c r="C745" s="245">
        <v>46147</v>
      </c>
      <c r="D745" s="234">
        <v>0</v>
      </c>
      <c r="E745" s="246">
        <v>102944</v>
      </c>
      <c r="F745" s="247" t="s">
        <v>4183</v>
      </c>
      <c r="G745" s="34" t="s">
        <v>7</v>
      </c>
      <c r="H745" s="234" t="s">
        <v>4185</v>
      </c>
      <c r="I745" s="248" t="s">
        <v>7</v>
      </c>
      <c r="J745" s="249" t="s">
        <v>554</v>
      </c>
      <c r="K745" s="250">
        <v>102944</v>
      </c>
      <c r="L745" s="250">
        <v>0</v>
      </c>
      <c r="M745" s="251" t="s">
        <v>27</v>
      </c>
      <c r="N745" s="252">
        <v>0</v>
      </c>
      <c r="O745" s="185" t="s">
        <v>51</v>
      </c>
    </row>
    <row r="746" spans="1:15" x14ac:dyDescent="0.25">
      <c r="A746" s="234" t="s">
        <v>5532</v>
      </c>
      <c r="B746" s="234" t="s">
        <v>27</v>
      </c>
      <c r="C746" s="245">
        <v>46147</v>
      </c>
      <c r="D746" s="234">
        <v>0</v>
      </c>
      <c r="E746" s="246">
        <v>205000</v>
      </c>
      <c r="F746" s="247" t="s">
        <v>5531</v>
      </c>
      <c r="G746" s="34" t="s">
        <v>7</v>
      </c>
      <c r="H746" s="234" t="s">
        <v>5533</v>
      </c>
      <c r="I746" s="248" t="s">
        <v>7</v>
      </c>
      <c r="J746" s="249" t="s">
        <v>554</v>
      </c>
      <c r="K746" s="250">
        <v>205520.94</v>
      </c>
      <c r="L746" s="250">
        <v>0</v>
      </c>
      <c r="M746" s="251" t="s">
        <v>27</v>
      </c>
      <c r="N746" s="252">
        <v>0</v>
      </c>
      <c r="O746" s="185" t="s">
        <v>51</v>
      </c>
    </row>
    <row r="747" spans="1:15" x14ac:dyDescent="0.25">
      <c r="A747" s="234" t="s">
        <v>2346</v>
      </c>
      <c r="B747" s="234" t="s">
        <v>33</v>
      </c>
      <c r="C747" s="245">
        <v>46147</v>
      </c>
      <c r="D747" s="234">
        <v>0</v>
      </c>
      <c r="E747" s="246">
        <v>155000</v>
      </c>
      <c r="F747" s="247" t="s">
        <v>2345</v>
      </c>
      <c r="G747" s="34" t="s">
        <v>7</v>
      </c>
      <c r="H747" s="234" t="s">
        <v>2347</v>
      </c>
      <c r="I747" s="248" t="s">
        <v>7</v>
      </c>
      <c r="J747" s="249" t="s">
        <v>554</v>
      </c>
      <c r="K747" s="250">
        <v>155000</v>
      </c>
      <c r="L747" s="250">
        <v>0</v>
      </c>
      <c r="M747" s="251" t="s">
        <v>33</v>
      </c>
      <c r="N747" s="252">
        <v>0</v>
      </c>
      <c r="O747" s="185" t="s">
        <v>51</v>
      </c>
    </row>
    <row r="748" spans="1:15" x14ac:dyDescent="0.25">
      <c r="A748" s="234" t="s">
        <v>7693</v>
      </c>
      <c r="B748" s="234" t="s">
        <v>33</v>
      </c>
      <c r="C748" s="245">
        <v>46147</v>
      </c>
      <c r="D748" s="234">
        <v>0</v>
      </c>
      <c r="E748" s="246">
        <v>980626</v>
      </c>
      <c r="F748" s="247">
        <v>0</v>
      </c>
      <c r="G748" s="34" t="s">
        <v>7</v>
      </c>
      <c r="H748" s="234" t="s">
        <v>7694</v>
      </c>
      <c r="I748" s="248" t="s">
        <v>7</v>
      </c>
      <c r="J748" s="249" t="s">
        <v>492</v>
      </c>
      <c r="K748" s="250">
        <v>0</v>
      </c>
      <c r="L748" s="250">
        <v>0</v>
      </c>
      <c r="M748" s="251" t="s">
        <v>33</v>
      </c>
      <c r="N748" s="252">
        <v>0</v>
      </c>
      <c r="O748" s="185" t="s">
        <v>51</v>
      </c>
    </row>
    <row r="749" spans="1:15" x14ac:dyDescent="0.25">
      <c r="A749" s="234" t="s">
        <v>2220</v>
      </c>
      <c r="B749" s="234" t="s">
        <v>33</v>
      </c>
      <c r="C749" s="245">
        <v>46147</v>
      </c>
      <c r="D749" s="234">
        <v>0</v>
      </c>
      <c r="E749" s="246">
        <v>171505</v>
      </c>
      <c r="F749" s="247" t="s">
        <v>2219</v>
      </c>
      <c r="G749" s="34" t="s">
        <v>7</v>
      </c>
      <c r="H749" s="234" t="s">
        <v>2221</v>
      </c>
      <c r="I749" s="248" t="s">
        <v>7</v>
      </c>
      <c r="J749" s="249" t="s">
        <v>554</v>
      </c>
      <c r="K749" s="250">
        <v>171505</v>
      </c>
      <c r="L749" s="250">
        <v>0</v>
      </c>
      <c r="M749" s="251" t="s">
        <v>33</v>
      </c>
      <c r="N749" s="252">
        <v>0</v>
      </c>
      <c r="O749" s="185" t="s">
        <v>51</v>
      </c>
    </row>
    <row r="750" spans="1:15" x14ac:dyDescent="0.25">
      <c r="A750" s="234" t="s">
        <v>7695</v>
      </c>
      <c r="B750" s="234" t="s">
        <v>17</v>
      </c>
      <c r="C750" s="245">
        <v>46147</v>
      </c>
      <c r="D750" s="234">
        <v>0</v>
      </c>
      <c r="E750" s="246">
        <v>303952</v>
      </c>
      <c r="F750" s="247">
        <v>0</v>
      </c>
      <c r="G750" s="34" t="s">
        <v>7</v>
      </c>
      <c r="H750" s="234" t="s">
        <v>7696</v>
      </c>
      <c r="I750" s="248" t="s">
        <v>7</v>
      </c>
      <c r="J750" s="249" t="s">
        <v>492</v>
      </c>
      <c r="K750" s="250">
        <v>0</v>
      </c>
      <c r="L750" s="250">
        <v>0</v>
      </c>
      <c r="M750" s="251" t="s">
        <v>17</v>
      </c>
      <c r="N750" s="252">
        <v>0</v>
      </c>
      <c r="O750" s="185" t="s">
        <v>51</v>
      </c>
    </row>
    <row r="751" spans="1:15" x14ac:dyDescent="0.25">
      <c r="A751" s="234" t="s">
        <v>4252</v>
      </c>
      <c r="B751" s="234" t="s">
        <v>17</v>
      </c>
      <c r="C751" s="245">
        <v>46147</v>
      </c>
      <c r="D751" s="234">
        <v>0</v>
      </c>
      <c r="E751" s="246">
        <v>106271</v>
      </c>
      <c r="F751" s="247">
        <v>0</v>
      </c>
      <c r="G751" s="34" t="s">
        <v>7</v>
      </c>
      <c r="H751" s="234" t="s">
        <v>4253</v>
      </c>
      <c r="I751" s="248" t="s">
        <v>7</v>
      </c>
      <c r="J751" s="249" t="s">
        <v>492</v>
      </c>
      <c r="K751" s="250">
        <v>0</v>
      </c>
      <c r="L751" s="250">
        <v>0</v>
      </c>
      <c r="M751" s="251" t="s">
        <v>17</v>
      </c>
      <c r="N751" s="252">
        <v>0</v>
      </c>
      <c r="O751" s="185" t="s">
        <v>51</v>
      </c>
    </row>
    <row r="752" spans="1:15" x14ac:dyDescent="0.25">
      <c r="A752" s="234" t="s">
        <v>4304</v>
      </c>
      <c r="B752" s="234" t="s">
        <v>17</v>
      </c>
      <c r="C752" s="245">
        <v>46147</v>
      </c>
      <c r="D752" s="234">
        <v>0</v>
      </c>
      <c r="E752" s="246">
        <v>106337</v>
      </c>
      <c r="F752" s="247">
        <v>0</v>
      </c>
      <c r="G752" s="34" t="s">
        <v>7</v>
      </c>
      <c r="H752" s="234" t="s">
        <v>4305</v>
      </c>
      <c r="I752" s="248" t="s">
        <v>7</v>
      </c>
      <c r="J752" s="249" t="s">
        <v>492</v>
      </c>
      <c r="K752" s="250">
        <v>0</v>
      </c>
      <c r="L752" s="250">
        <v>0</v>
      </c>
      <c r="M752" s="251" t="s">
        <v>17</v>
      </c>
      <c r="N752" s="252">
        <v>0</v>
      </c>
      <c r="O752" s="185" t="s">
        <v>51</v>
      </c>
    </row>
    <row r="753" spans="1:15" x14ac:dyDescent="0.25">
      <c r="A753" s="234" t="s">
        <v>2932</v>
      </c>
      <c r="B753" s="234" t="s">
        <v>17</v>
      </c>
      <c r="C753" s="245">
        <v>46147</v>
      </c>
      <c r="D753" s="234">
        <v>0</v>
      </c>
      <c r="E753" s="246">
        <v>104991</v>
      </c>
      <c r="F753" s="247">
        <v>0</v>
      </c>
      <c r="G753" s="34" t="s">
        <v>7</v>
      </c>
      <c r="H753" s="234" t="s">
        <v>2933</v>
      </c>
      <c r="I753" s="248" t="s">
        <v>7</v>
      </c>
      <c r="J753" s="249" t="s">
        <v>492</v>
      </c>
      <c r="K753" s="250">
        <v>0</v>
      </c>
      <c r="L753" s="250">
        <v>0</v>
      </c>
      <c r="M753" s="251" t="s">
        <v>17</v>
      </c>
      <c r="N753" s="252">
        <v>0</v>
      </c>
      <c r="O753" s="185" t="s">
        <v>51</v>
      </c>
    </row>
    <row r="754" spans="1:15" x14ac:dyDescent="0.25">
      <c r="A754" s="234" t="s">
        <v>7697</v>
      </c>
      <c r="B754" s="234" t="s">
        <v>17</v>
      </c>
      <c r="C754" s="245">
        <v>46147</v>
      </c>
      <c r="D754" s="234">
        <v>0</v>
      </c>
      <c r="E754" s="246">
        <v>1000000</v>
      </c>
      <c r="F754" s="247">
        <v>0</v>
      </c>
      <c r="G754" s="34" t="s">
        <v>7</v>
      </c>
      <c r="H754" s="234" t="s">
        <v>7698</v>
      </c>
      <c r="I754" s="248" t="s">
        <v>7</v>
      </c>
      <c r="J754" s="249" t="s">
        <v>492</v>
      </c>
      <c r="K754" s="250">
        <v>0</v>
      </c>
      <c r="L754" s="250">
        <v>0</v>
      </c>
      <c r="M754" s="251" t="s">
        <v>17</v>
      </c>
      <c r="N754" s="252">
        <v>0</v>
      </c>
      <c r="O754" s="185" t="s">
        <v>51</v>
      </c>
    </row>
    <row r="755" spans="1:15" x14ac:dyDescent="0.25">
      <c r="A755" s="234" t="s">
        <v>5236</v>
      </c>
      <c r="B755" s="234" t="s">
        <v>9</v>
      </c>
      <c r="C755" s="245">
        <v>46147</v>
      </c>
      <c r="D755" s="234" t="s">
        <v>7385</v>
      </c>
      <c r="E755" s="246">
        <v>130146.61</v>
      </c>
      <c r="F755" s="247" t="s">
        <v>5235</v>
      </c>
      <c r="G755" s="34" t="s">
        <v>7</v>
      </c>
      <c r="H755" s="234" t="s">
        <v>5237</v>
      </c>
      <c r="I755" s="248" t="s">
        <v>7</v>
      </c>
      <c r="J755" s="249" t="s">
        <v>554</v>
      </c>
      <c r="K755" s="250">
        <v>130146</v>
      </c>
      <c r="L755" s="250">
        <v>0</v>
      </c>
      <c r="M755" s="251" t="s">
        <v>9</v>
      </c>
      <c r="N755" s="252">
        <v>0</v>
      </c>
      <c r="O755" s="185" t="s">
        <v>74</v>
      </c>
    </row>
    <row r="756" spans="1:15" x14ac:dyDescent="0.25">
      <c r="A756" s="234" t="s">
        <v>3993</v>
      </c>
      <c r="B756" s="234" t="s">
        <v>9</v>
      </c>
      <c r="C756" s="245">
        <v>46147</v>
      </c>
      <c r="D756" s="234" t="s">
        <v>7289</v>
      </c>
      <c r="E756" s="246">
        <v>128432.67</v>
      </c>
      <c r="F756" s="247" t="s">
        <v>3992</v>
      </c>
      <c r="G756" s="34" t="s">
        <v>7</v>
      </c>
      <c r="H756" s="234" t="s">
        <v>3994</v>
      </c>
      <c r="I756" s="248" t="s">
        <v>7</v>
      </c>
      <c r="J756" s="249" t="s">
        <v>554</v>
      </c>
      <c r="K756" s="250">
        <v>128437.89</v>
      </c>
      <c r="L756" s="250">
        <v>0</v>
      </c>
      <c r="M756" s="251" t="s">
        <v>9</v>
      </c>
      <c r="N756" s="252">
        <v>0</v>
      </c>
      <c r="O756" s="185" t="s">
        <v>74</v>
      </c>
    </row>
    <row r="757" spans="1:15" x14ac:dyDescent="0.25">
      <c r="A757" s="234" t="s">
        <v>5207</v>
      </c>
      <c r="B757" s="234" t="s">
        <v>9</v>
      </c>
      <c r="C757" s="245">
        <v>46147</v>
      </c>
      <c r="D757" s="234" t="s">
        <v>7287</v>
      </c>
      <c r="E757" s="246">
        <v>177106.72</v>
      </c>
      <c r="F757" s="247" t="s">
        <v>7699</v>
      </c>
      <c r="G757" s="34" t="s">
        <v>7</v>
      </c>
      <c r="H757" s="234" t="s">
        <v>5208</v>
      </c>
      <c r="I757" s="248" t="s">
        <v>7</v>
      </c>
      <c r="J757" s="249" t="s">
        <v>492</v>
      </c>
      <c r="K757" s="250">
        <v>0</v>
      </c>
      <c r="L757" s="250">
        <v>0</v>
      </c>
      <c r="M757" s="251" t="s">
        <v>9</v>
      </c>
      <c r="N757" s="252">
        <v>0</v>
      </c>
      <c r="O757" s="185" t="s">
        <v>74</v>
      </c>
    </row>
    <row r="758" spans="1:15" x14ac:dyDescent="0.25">
      <c r="A758" s="234" t="s">
        <v>3967</v>
      </c>
      <c r="B758" s="234" t="s">
        <v>9</v>
      </c>
      <c r="C758" s="245">
        <v>46147</v>
      </c>
      <c r="D758" s="234" t="s">
        <v>7289</v>
      </c>
      <c r="E758" s="246">
        <v>121038</v>
      </c>
      <c r="F758" s="247" t="s">
        <v>3966</v>
      </c>
      <c r="G758" s="34" t="s">
        <v>7</v>
      </c>
      <c r="H758" s="234" t="s">
        <v>3968</v>
      </c>
      <c r="I758" s="248" t="s">
        <v>7</v>
      </c>
      <c r="J758" s="249" t="s">
        <v>554</v>
      </c>
      <c r="K758" s="250">
        <v>121038</v>
      </c>
      <c r="L758" s="250">
        <v>0</v>
      </c>
      <c r="M758" s="251" t="s">
        <v>9</v>
      </c>
      <c r="N758" s="252">
        <v>0</v>
      </c>
      <c r="O758" s="185" t="s">
        <v>74</v>
      </c>
    </row>
    <row r="759" spans="1:15" x14ac:dyDescent="0.25">
      <c r="A759" s="234" t="s">
        <v>3952</v>
      </c>
      <c r="B759" s="234" t="s">
        <v>9</v>
      </c>
      <c r="C759" s="245">
        <v>46147</v>
      </c>
      <c r="D759" s="234" t="s">
        <v>7287</v>
      </c>
      <c r="E759" s="246">
        <v>120843.96</v>
      </c>
      <c r="F759" s="247" t="s">
        <v>3951</v>
      </c>
      <c r="G759" s="34" t="s">
        <v>7</v>
      </c>
      <c r="H759" s="234" t="s">
        <v>3953</v>
      </c>
      <c r="I759" s="248" t="s">
        <v>7</v>
      </c>
      <c r="J759" s="249" t="s">
        <v>554</v>
      </c>
      <c r="K759" s="250">
        <v>123086.39999999999</v>
      </c>
      <c r="L759" s="250">
        <v>0</v>
      </c>
      <c r="M759" s="251" t="s">
        <v>9</v>
      </c>
      <c r="N759" s="252">
        <v>0</v>
      </c>
      <c r="O759" s="185" t="s">
        <v>74</v>
      </c>
    </row>
    <row r="760" spans="1:15" x14ac:dyDescent="0.25">
      <c r="A760" s="234" t="s">
        <v>3882</v>
      </c>
      <c r="B760" s="234" t="s">
        <v>9</v>
      </c>
      <c r="C760" s="245">
        <v>46147</v>
      </c>
      <c r="D760" s="234" t="s">
        <v>7385</v>
      </c>
      <c r="E760" s="246">
        <v>80000</v>
      </c>
      <c r="F760" s="247" t="s">
        <v>3881</v>
      </c>
      <c r="G760" s="34" t="s">
        <v>7</v>
      </c>
      <c r="H760" s="234" t="s">
        <v>3883</v>
      </c>
      <c r="I760" s="248" t="s">
        <v>7</v>
      </c>
      <c r="J760" s="249" t="s">
        <v>554</v>
      </c>
      <c r="K760" s="250">
        <v>80000</v>
      </c>
      <c r="L760" s="250">
        <v>0</v>
      </c>
      <c r="M760" s="251" t="s">
        <v>9</v>
      </c>
      <c r="N760" s="252">
        <v>0</v>
      </c>
      <c r="O760" s="185" t="s">
        <v>74</v>
      </c>
    </row>
    <row r="761" spans="1:15" x14ac:dyDescent="0.25">
      <c r="A761" s="234" t="s">
        <v>5248</v>
      </c>
      <c r="B761" s="234" t="s">
        <v>9</v>
      </c>
      <c r="C761" s="245">
        <v>46147</v>
      </c>
      <c r="D761" s="234" t="s">
        <v>7385</v>
      </c>
      <c r="E761" s="246">
        <v>130899.37</v>
      </c>
      <c r="F761" s="247" t="s">
        <v>5247</v>
      </c>
      <c r="G761" s="34" t="s">
        <v>7</v>
      </c>
      <c r="H761" s="234" t="s">
        <v>5249</v>
      </c>
      <c r="I761" s="248" t="s">
        <v>7</v>
      </c>
      <c r="J761" s="249" t="s">
        <v>554</v>
      </c>
      <c r="K761" s="250">
        <v>130898.63</v>
      </c>
      <c r="L761" s="250">
        <v>0</v>
      </c>
      <c r="M761" s="251" t="s">
        <v>9</v>
      </c>
      <c r="N761" s="252">
        <v>0</v>
      </c>
      <c r="O761" s="185" t="s">
        <v>74</v>
      </c>
    </row>
    <row r="762" spans="1:15" x14ac:dyDescent="0.25">
      <c r="A762" s="234" t="s">
        <v>3866</v>
      </c>
      <c r="B762" s="234" t="s">
        <v>9</v>
      </c>
      <c r="C762" s="245">
        <v>46147</v>
      </c>
      <c r="D762" s="234" t="s">
        <v>7394</v>
      </c>
      <c r="E762" s="246">
        <v>176078</v>
      </c>
      <c r="F762" s="247" t="s">
        <v>3868</v>
      </c>
      <c r="G762" s="34" t="s">
        <v>7</v>
      </c>
      <c r="H762" s="234" t="s">
        <v>3867</v>
      </c>
      <c r="I762" s="248" t="s">
        <v>7</v>
      </c>
      <c r="J762" s="249" t="s">
        <v>554</v>
      </c>
      <c r="K762" s="250">
        <v>176078</v>
      </c>
      <c r="L762" s="250">
        <v>0</v>
      </c>
      <c r="M762" s="251" t="s">
        <v>9</v>
      </c>
      <c r="N762" s="252">
        <v>0</v>
      </c>
      <c r="O762" s="185" t="s">
        <v>74</v>
      </c>
    </row>
    <row r="763" spans="1:15" x14ac:dyDescent="0.25">
      <c r="A763" s="234" t="s">
        <v>3866</v>
      </c>
      <c r="B763" s="234" t="s">
        <v>9</v>
      </c>
      <c r="C763" s="245">
        <v>46147</v>
      </c>
      <c r="D763" s="234" t="s">
        <v>7385</v>
      </c>
      <c r="E763" s="246">
        <v>176090</v>
      </c>
      <c r="F763" s="247" t="s">
        <v>3865</v>
      </c>
      <c r="G763" s="34" t="s">
        <v>7</v>
      </c>
      <c r="H763" s="234" t="s">
        <v>3867</v>
      </c>
      <c r="I763" s="248" t="s">
        <v>7</v>
      </c>
      <c r="J763" s="249" t="s">
        <v>554</v>
      </c>
      <c r="K763" s="250">
        <v>176090</v>
      </c>
      <c r="L763" s="250">
        <v>0</v>
      </c>
      <c r="M763" s="251" t="s">
        <v>9</v>
      </c>
      <c r="N763" s="252">
        <v>0</v>
      </c>
      <c r="O763" s="185" t="s">
        <v>74</v>
      </c>
    </row>
    <row r="764" spans="1:15" x14ac:dyDescent="0.25">
      <c r="A764" s="234" t="s">
        <v>3932</v>
      </c>
      <c r="B764" s="234" t="s">
        <v>9</v>
      </c>
      <c r="C764" s="245">
        <v>46147</v>
      </c>
      <c r="D764" s="234" t="s">
        <v>7289</v>
      </c>
      <c r="E764" s="246">
        <v>60000</v>
      </c>
      <c r="F764" s="247" t="s">
        <v>3931</v>
      </c>
      <c r="G764" s="34" t="s">
        <v>7</v>
      </c>
      <c r="H764" s="234" t="s">
        <v>3933</v>
      </c>
      <c r="I764" s="248" t="s">
        <v>7</v>
      </c>
      <c r="J764" s="249" t="s">
        <v>554</v>
      </c>
      <c r="K764" s="250">
        <v>60000</v>
      </c>
      <c r="L764" s="250">
        <v>0</v>
      </c>
      <c r="M764" s="251" t="s">
        <v>9</v>
      </c>
      <c r="N764" s="252">
        <v>0</v>
      </c>
      <c r="O764" s="185" t="s">
        <v>74</v>
      </c>
    </row>
    <row r="765" spans="1:15" x14ac:dyDescent="0.25">
      <c r="A765" s="234" t="s">
        <v>5224</v>
      </c>
      <c r="B765" s="234" t="s">
        <v>9</v>
      </c>
      <c r="C765" s="245">
        <v>46147</v>
      </c>
      <c r="D765" s="234" t="s">
        <v>7385</v>
      </c>
      <c r="E765" s="246">
        <v>154745.04</v>
      </c>
      <c r="F765" s="247" t="s">
        <v>5223</v>
      </c>
      <c r="G765" s="34" t="s">
        <v>7</v>
      </c>
      <c r="H765" s="234" t="s">
        <v>5225</v>
      </c>
      <c r="I765" s="248" t="s">
        <v>7</v>
      </c>
      <c r="J765" s="249" t="s">
        <v>554</v>
      </c>
      <c r="K765" s="250">
        <v>154745</v>
      </c>
      <c r="L765" s="250">
        <v>0</v>
      </c>
      <c r="M765" s="251" t="s">
        <v>9</v>
      </c>
      <c r="N765" s="252">
        <v>0</v>
      </c>
      <c r="O765" s="185" t="s">
        <v>74</v>
      </c>
    </row>
    <row r="766" spans="1:15" x14ac:dyDescent="0.25">
      <c r="A766" s="234" t="s">
        <v>5254</v>
      </c>
      <c r="B766" s="234" t="s">
        <v>9</v>
      </c>
      <c r="C766" s="245">
        <v>46147</v>
      </c>
      <c r="D766" s="234" t="s">
        <v>7420</v>
      </c>
      <c r="E766" s="246">
        <v>183561.26</v>
      </c>
      <c r="F766" s="247" t="s">
        <v>5253</v>
      </c>
      <c r="G766" s="34" t="s">
        <v>7</v>
      </c>
      <c r="H766" s="234" t="s">
        <v>5255</v>
      </c>
      <c r="I766" s="248" t="s">
        <v>7</v>
      </c>
      <c r="J766" s="249" t="s">
        <v>554</v>
      </c>
      <c r="K766" s="250">
        <v>183600</v>
      </c>
      <c r="L766" s="250">
        <v>0</v>
      </c>
      <c r="M766" s="251" t="s">
        <v>9</v>
      </c>
      <c r="N766" s="252">
        <v>0</v>
      </c>
      <c r="O766" s="185" t="s">
        <v>74</v>
      </c>
    </row>
    <row r="767" spans="1:15" x14ac:dyDescent="0.25">
      <c r="A767" s="234" t="s">
        <v>3863</v>
      </c>
      <c r="B767" s="234" t="s">
        <v>9</v>
      </c>
      <c r="C767" s="245">
        <v>46147</v>
      </c>
      <c r="D767" s="234" t="s">
        <v>7420</v>
      </c>
      <c r="E767" s="246">
        <v>253773.08</v>
      </c>
      <c r="F767" s="247" t="s">
        <v>3862</v>
      </c>
      <c r="G767" s="34" t="s">
        <v>7</v>
      </c>
      <c r="H767" s="234" t="s">
        <v>3864</v>
      </c>
      <c r="I767" s="248" t="s">
        <v>7</v>
      </c>
      <c r="J767" s="249" t="s">
        <v>554</v>
      </c>
      <c r="K767" s="250">
        <v>253901</v>
      </c>
      <c r="L767" s="250">
        <v>0</v>
      </c>
      <c r="M767" s="251" t="s">
        <v>9</v>
      </c>
      <c r="N767" s="252">
        <v>0</v>
      </c>
      <c r="O767" s="185" t="s">
        <v>74</v>
      </c>
    </row>
    <row r="768" spans="1:15" x14ac:dyDescent="0.25">
      <c r="A768" s="234" t="s">
        <v>3941</v>
      </c>
      <c r="B768" s="234" t="s">
        <v>9</v>
      </c>
      <c r="C768" s="245">
        <v>46147</v>
      </c>
      <c r="D768" s="234" t="s">
        <v>7420</v>
      </c>
      <c r="E768" s="246">
        <v>132195.45000000001</v>
      </c>
      <c r="F768" s="247" t="s">
        <v>3940</v>
      </c>
      <c r="G768" s="34" t="s">
        <v>7</v>
      </c>
      <c r="H768" s="234" t="s">
        <v>3942</v>
      </c>
      <c r="I768" s="248" t="s">
        <v>7</v>
      </c>
      <c r="J768" s="249" t="s">
        <v>554</v>
      </c>
      <c r="K768" s="250">
        <v>132195</v>
      </c>
      <c r="L768" s="250">
        <v>0</v>
      </c>
      <c r="M768" s="251" t="s">
        <v>9</v>
      </c>
      <c r="N768" s="252">
        <v>0</v>
      </c>
      <c r="O768" s="185" t="s">
        <v>74</v>
      </c>
    </row>
    <row r="769" spans="1:15" x14ac:dyDescent="0.25">
      <c r="A769" s="234" t="s">
        <v>3926</v>
      </c>
      <c r="B769" s="234" t="s">
        <v>9</v>
      </c>
      <c r="C769" s="245">
        <v>46147</v>
      </c>
      <c r="D769" s="234" t="s">
        <v>7287</v>
      </c>
      <c r="E769" s="246">
        <v>118266.04</v>
      </c>
      <c r="F769" s="247" t="s">
        <v>3925</v>
      </c>
      <c r="G769" s="34" t="s">
        <v>7</v>
      </c>
      <c r="H769" s="234" t="s">
        <v>3927</v>
      </c>
      <c r="I769" s="248" t="s">
        <v>7</v>
      </c>
      <c r="J769" s="249" t="s">
        <v>554</v>
      </c>
      <c r="K769" s="250">
        <v>118056</v>
      </c>
      <c r="L769" s="250">
        <v>0</v>
      </c>
      <c r="M769" s="251" t="s">
        <v>9</v>
      </c>
      <c r="N769" s="252">
        <v>0</v>
      </c>
      <c r="O769" s="185" t="s">
        <v>74</v>
      </c>
    </row>
    <row r="770" spans="1:15" x14ac:dyDescent="0.25">
      <c r="A770" s="234" t="s">
        <v>3923</v>
      </c>
      <c r="B770" s="234" t="s">
        <v>9</v>
      </c>
      <c r="C770" s="245">
        <v>46147</v>
      </c>
      <c r="D770" s="234" t="s">
        <v>7287</v>
      </c>
      <c r="E770" s="246">
        <v>118365.11</v>
      </c>
      <c r="F770" s="247" t="s">
        <v>3922</v>
      </c>
      <c r="G770" s="34" t="s">
        <v>7</v>
      </c>
      <c r="H770" s="234" t="s">
        <v>3924</v>
      </c>
      <c r="I770" s="248" t="s">
        <v>7</v>
      </c>
      <c r="J770" s="249" t="s">
        <v>554</v>
      </c>
      <c r="K770" s="250">
        <v>118155</v>
      </c>
      <c r="L770" s="250">
        <v>0</v>
      </c>
      <c r="M770" s="251" t="s">
        <v>9</v>
      </c>
      <c r="N770" s="252">
        <v>0</v>
      </c>
      <c r="O770" s="185" t="s">
        <v>74</v>
      </c>
    </row>
    <row r="771" spans="1:15" x14ac:dyDescent="0.25">
      <c r="A771" s="234" t="s">
        <v>7700</v>
      </c>
      <c r="B771" s="234" t="s">
        <v>9</v>
      </c>
      <c r="C771" s="245">
        <v>46147</v>
      </c>
      <c r="D771" s="234" t="s">
        <v>7287</v>
      </c>
      <c r="E771" s="246">
        <v>53724.94</v>
      </c>
      <c r="F771" s="247">
        <v>0</v>
      </c>
      <c r="G771" s="34" t="s">
        <v>7</v>
      </c>
      <c r="H771" s="234" t="s">
        <v>7701</v>
      </c>
      <c r="I771" s="248" t="s">
        <v>7</v>
      </c>
      <c r="J771" s="249" t="s">
        <v>492</v>
      </c>
      <c r="K771" s="250">
        <v>0</v>
      </c>
      <c r="L771" s="250">
        <v>0</v>
      </c>
      <c r="M771" s="251" t="s">
        <v>9</v>
      </c>
      <c r="N771" s="252">
        <v>0</v>
      </c>
      <c r="O771" s="185" t="s">
        <v>74</v>
      </c>
    </row>
    <row r="772" spans="1:15" x14ac:dyDescent="0.25">
      <c r="A772" s="234" t="s">
        <v>7700</v>
      </c>
      <c r="B772" s="234" t="s">
        <v>9</v>
      </c>
      <c r="C772" s="245">
        <v>46147</v>
      </c>
      <c r="D772" s="234" t="s">
        <v>7287</v>
      </c>
      <c r="E772" s="246">
        <v>25576.799999999999</v>
      </c>
      <c r="F772" s="247">
        <v>0</v>
      </c>
      <c r="G772" s="34" t="s">
        <v>7</v>
      </c>
      <c r="H772" s="234" t="s">
        <v>7701</v>
      </c>
      <c r="I772" s="248" t="s">
        <v>7</v>
      </c>
      <c r="J772" s="249" t="s">
        <v>492</v>
      </c>
      <c r="K772" s="250">
        <v>0</v>
      </c>
      <c r="L772" s="250">
        <v>0</v>
      </c>
      <c r="M772" s="251" t="s">
        <v>9</v>
      </c>
      <c r="N772" s="252">
        <v>0</v>
      </c>
      <c r="O772" s="185" t="s">
        <v>74</v>
      </c>
    </row>
    <row r="773" spans="1:15" x14ac:dyDescent="0.25">
      <c r="A773" s="234" t="s">
        <v>4481</v>
      </c>
      <c r="B773" s="234" t="s">
        <v>8</v>
      </c>
      <c r="C773" s="245">
        <v>46147</v>
      </c>
      <c r="D773" s="234" t="s">
        <v>7399</v>
      </c>
      <c r="E773" s="246">
        <v>84856</v>
      </c>
      <c r="F773" s="247" t="s">
        <v>4480</v>
      </c>
      <c r="G773" s="34" t="s">
        <v>7</v>
      </c>
      <c r="H773" s="234" t="s">
        <v>4482</v>
      </c>
      <c r="I773" s="248" t="s">
        <v>7</v>
      </c>
      <c r="J773" s="249" t="s">
        <v>554</v>
      </c>
      <c r="K773" s="250">
        <v>84857.34</v>
      </c>
      <c r="L773" s="250">
        <v>0</v>
      </c>
      <c r="M773" s="251" t="s">
        <v>8</v>
      </c>
      <c r="N773" s="252">
        <v>0</v>
      </c>
      <c r="O773" s="185" t="s">
        <v>74</v>
      </c>
    </row>
    <row r="774" spans="1:15" x14ac:dyDescent="0.25">
      <c r="A774" s="234" t="s">
        <v>4586</v>
      </c>
      <c r="B774" s="234" t="s">
        <v>8</v>
      </c>
      <c r="C774" s="245">
        <v>46147</v>
      </c>
      <c r="D774" s="234" t="s">
        <v>7420</v>
      </c>
      <c r="E774" s="246">
        <v>119300</v>
      </c>
      <c r="F774" s="247" t="s">
        <v>4585</v>
      </c>
      <c r="G774" s="34" t="s">
        <v>7</v>
      </c>
      <c r="H774" s="234" t="s">
        <v>4587</v>
      </c>
      <c r="I774" s="248" t="s">
        <v>7</v>
      </c>
      <c r="J774" s="249" t="s">
        <v>554</v>
      </c>
      <c r="K774" s="250">
        <v>119300</v>
      </c>
      <c r="L774" s="250">
        <v>0</v>
      </c>
      <c r="M774" s="251" t="s">
        <v>8</v>
      </c>
      <c r="N774" s="252">
        <v>0</v>
      </c>
      <c r="O774" s="185" t="s">
        <v>74</v>
      </c>
    </row>
    <row r="775" spans="1:15" x14ac:dyDescent="0.25">
      <c r="A775" s="234" t="s">
        <v>4060</v>
      </c>
      <c r="B775" s="234" t="s">
        <v>8</v>
      </c>
      <c r="C775" s="245">
        <v>46147</v>
      </c>
      <c r="D775" s="234" t="s">
        <v>7287</v>
      </c>
      <c r="E775" s="246">
        <v>242410</v>
      </c>
      <c r="F775" s="247" t="s">
        <v>4059</v>
      </c>
      <c r="G775" s="34" t="s">
        <v>7</v>
      </c>
      <c r="H775" s="234" t="s">
        <v>4061</v>
      </c>
      <c r="I775" s="248" t="s">
        <v>7</v>
      </c>
      <c r="J775" s="249" t="s">
        <v>554</v>
      </c>
      <c r="K775" s="250">
        <v>242621.99</v>
      </c>
      <c r="L775" s="250">
        <v>0</v>
      </c>
      <c r="M775" s="251" t="s">
        <v>8</v>
      </c>
      <c r="N775" s="252">
        <v>0</v>
      </c>
      <c r="O775" s="185" t="s">
        <v>74</v>
      </c>
    </row>
    <row r="776" spans="1:15" x14ac:dyDescent="0.25">
      <c r="A776" s="234" t="s">
        <v>4355</v>
      </c>
      <c r="B776" s="234" t="s">
        <v>8</v>
      </c>
      <c r="C776" s="245">
        <v>46147</v>
      </c>
      <c r="D776" s="234" t="s">
        <v>7399</v>
      </c>
      <c r="E776" s="246">
        <v>10000</v>
      </c>
      <c r="F776" s="247" t="s">
        <v>4357</v>
      </c>
      <c r="G776" s="34" t="s">
        <v>7</v>
      </c>
      <c r="H776" s="234" t="s">
        <v>4356</v>
      </c>
      <c r="I776" s="248" t="s">
        <v>7</v>
      </c>
      <c r="J776" s="249" t="s">
        <v>554</v>
      </c>
      <c r="K776" s="250">
        <v>10000</v>
      </c>
      <c r="L776" s="250">
        <v>0</v>
      </c>
      <c r="M776" s="251" t="s">
        <v>8</v>
      </c>
      <c r="N776" s="252">
        <v>0</v>
      </c>
      <c r="O776" s="185" t="s">
        <v>74</v>
      </c>
    </row>
    <row r="777" spans="1:15" x14ac:dyDescent="0.25">
      <c r="A777" s="234" t="s">
        <v>4355</v>
      </c>
      <c r="B777" s="234" t="s">
        <v>8</v>
      </c>
      <c r="C777" s="245">
        <v>46147</v>
      </c>
      <c r="D777" s="234" t="s">
        <v>7399</v>
      </c>
      <c r="E777" s="246">
        <v>10000</v>
      </c>
      <c r="F777" s="247" t="s">
        <v>4354</v>
      </c>
      <c r="G777" s="34" t="s">
        <v>7</v>
      </c>
      <c r="H777" s="234" t="s">
        <v>4356</v>
      </c>
      <c r="I777" s="248" t="s">
        <v>7</v>
      </c>
      <c r="J777" s="249" t="s">
        <v>554</v>
      </c>
      <c r="K777" s="250">
        <v>10000</v>
      </c>
      <c r="L777" s="250">
        <v>0</v>
      </c>
      <c r="M777" s="251" t="s">
        <v>8</v>
      </c>
      <c r="N777" s="252">
        <v>0</v>
      </c>
      <c r="O777" s="185" t="s">
        <v>74</v>
      </c>
    </row>
    <row r="778" spans="1:15" x14ac:dyDescent="0.25">
      <c r="A778" s="234" t="s">
        <v>5391</v>
      </c>
      <c r="B778" s="234" t="s">
        <v>8</v>
      </c>
      <c r="C778" s="245">
        <v>46147</v>
      </c>
      <c r="D778" s="234" t="s">
        <v>7399</v>
      </c>
      <c r="E778" s="246">
        <v>20000</v>
      </c>
      <c r="F778" s="247" t="s">
        <v>5393</v>
      </c>
      <c r="G778" s="34" t="s">
        <v>7</v>
      </c>
      <c r="H778" s="234" t="s">
        <v>5392</v>
      </c>
      <c r="I778" s="248" t="s">
        <v>7</v>
      </c>
      <c r="J778" s="249" t="s">
        <v>62</v>
      </c>
      <c r="K778" s="250">
        <v>20000</v>
      </c>
      <c r="L778" s="250">
        <v>0</v>
      </c>
      <c r="M778" s="251" t="s">
        <v>8</v>
      </c>
      <c r="N778" s="252">
        <v>0</v>
      </c>
      <c r="O778" s="185" t="s">
        <v>74</v>
      </c>
    </row>
    <row r="779" spans="1:15" x14ac:dyDescent="0.25">
      <c r="A779" s="234" t="s">
        <v>3380</v>
      </c>
      <c r="B779" s="234" t="s">
        <v>8</v>
      </c>
      <c r="C779" s="245">
        <v>46147</v>
      </c>
      <c r="D779" s="234" t="s">
        <v>7287</v>
      </c>
      <c r="E779" s="246">
        <v>227218</v>
      </c>
      <c r="F779" s="247" t="s">
        <v>3379</v>
      </c>
      <c r="G779" s="34" t="s">
        <v>7</v>
      </c>
      <c r="H779" s="234" t="s">
        <v>3381</v>
      </c>
      <c r="I779" s="248" t="s">
        <v>7</v>
      </c>
      <c r="J779" s="249" t="s">
        <v>582</v>
      </c>
      <c r="K779" s="250">
        <v>62425.96</v>
      </c>
      <c r="L779" s="250">
        <v>0</v>
      </c>
      <c r="M779" s="251" t="s">
        <v>8</v>
      </c>
      <c r="N779" s="252">
        <v>0</v>
      </c>
      <c r="O779" s="185" t="s">
        <v>74</v>
      </c>
    </row>
    <row r="780" spans="1:15" x14ac:dyDescent="0.25">
      <c r="A780" s="234" t="s">
        <v>5425</v>
      </c>
      <c r="B780" s="234" t="s">
        <v>8</v>
      </c>
      <c r="C780" s="245">
        <v>46147</v>
      </c>
      <c r="D780" s="234" t="s">
        <v>7287</v>
      </c>
      <c r="E780" s="246">
        <v>50000</v>
      </c>
      <c r="F780" s="247" t="s">
        <v>5424</v>
      </c>
      <c r="G780" s="34" t="s">
        <v>7</v>
      </c>
      <c r="H780" s="234" t="s">
        <v>5427</v>
      </c>
      <c r="I780" s="248" t="s">
        <v>7</v>
      </c>
      <c r="J780" s="249" t="s">
        <v>554</v>
      </c>
      <c r="K780" s="250">
        <v>49970</v>
      </c>
      <c r="L780" s="250">
        <v>0</v>
      </c>
      <c r="M780" s="251" t="s">
        <v>8</v>
      </c>
      <c r="N780" s="252">
        <v>0</v>
      </c>
      <c r="O780" s="185" t="s">
        <v>74</v>
      </c>
    </row>
    <row r="781" spans="1:15" x14ac:dyDescent="0.25">
      <c r="A781" s="234" t="s">
        <v>5362</v>
      </c>
      <c r="B781" s="234" t="s">
        <v>8</v>
      </c>
      <c r="C781" s="245">
        <v>46147</v>
      </c>
      <c r="D781" s="234" t="s">
        <v>7289</v>
      </c>
      <c r="E781" s="246">
        <v>170017</v>
      </c>
      <c r="F781" s="247" t="s">
        <v>5361</v>
      </c>
      <c r="G781" s="34" t="s">
        <v>7</v>
      </c>
      <c r="H781" s="234" t="s">
        <v>5363</v>
      </c>
      <c r="I781" s="248" t="s">
        <v>7</v>
      </c>
      <c r="J781" s="249" t="s">
        <v>554</v>
      </c>
      <c r="K781" s="250">
        <v>170017.8</v>
      </c>
      <c r="L781" s="250">
        <v>0</v>
      </c>
      <c r="M781" s="251" t="s">
        <v>8</v>
      </c>
      <c r="N781" s="252">
        <v>0</v>
      </c>
      <c r="O781" s="185" t="s">
        <v>74</v>
      </c>
    </row>
    <row r="782" spans="1:15" x14ac:dyDescent="0.25">
      <c r="A782" s="234" t="s">
        <v>5356</v>
      </c>
      <c r="B782" s="234" t="s">
        <v>8</v>
      </c>
      <c r="C782" s="245">
        <v>46147</v>
      </c>
      <c r="D782" s="234" t="s">
        <v>7420</v>
      </c>
      <c r="E782" s="246">
        <v>138251</v>
      </c>
      <c r="F782" s="247" t="s">
        <v>5355</v>
      </c>
      <c r="G782" s="34" t="s">
        <v>7</v>
      </c>
      <c r="H782" s="234" t="s">
        <v>5357</v>
      </c>
      <c r="I782" s="248" t="s">
        <v>7</v>
      </c>
      <c r="J782" s="249" t="s">
        <v>554</v>
      </c>
      <c r="K782" s="250">
        <v>138251</v>
      </c>
      <c r="L782" s="250">
        <v>0</v>
      </c>
      <c r="M782" s="251" t="s">
        <v>8</v>
      </c>
      <c r="N782" s="252">
        <v>0</v>
      </c>
      <c r="O782" s="185" t="s">
        <v>74</v>
      </c>
    </row>
    <row r="783" spans="1:15" x14ac:dyDescent="0.25">
      <c r="A783" s="234" t="s">
        <v>5330</v>
      </c>
      <c r="B783" s="234" t="s">
        <v>8</v>
      </c>
      <c r="C783" s="245">
        <v>46147</v>
      </c>
      <c r="D783" s="234" t="s">
        <v>7287</v>
      </c>
      <c r="E783" s="246">
        <v>42000</v>
      </c>
      <c r="F783" s="247">
        <v>0</v>
      </c>
      <c r="G783" s="34" t="s">
        <v>7</v>
      </c>
      <c r="H783" s="234" t="s">
        <v>5331</v>
      </c>
      <c r="I783" s="248" t="s">
        <v>7</v>
      </c>
      <c r="J783" s="249" t="s">
        <v>492</v>
      </c>
      <c r="K783" s="250">
        <v>0</v>
      </c>
      <c r="L783" s="250">
        <v>0</v>
      </c>
      <c r="M783" s="251" t="s">
        <v>8</v>
      </c>
      <c r="N783" s="252">
        <v>0</v>
      </c>
      <c r="O783" s="185" t="s">
        <v>74</v>
      </c>
    </row>
    <row r="784" spans="1:15" x14ac:dyDescent="0.25">
      <c r="A784" s="234" t="s">
        <v>5347</v>
      </c>
      <c r="B784" s="234" t="s">
        <v>8</v>
      </c>
      <c r="C784" s="245">
        <v>46147</v>
      </c>
      <c r="D784" s="234" t="s">
        <v>7287</v>
      </c>
      <c r="E784" s="246">
        <v>133129</v>
      </c>
      <c r="F784" s="247">
        <v>0</v>
      </c>
      <c r="G784" s="34" t="s">
        <v>7</v>
      </c>
      <c r="H784" s="234" t="s">
        <v>5348</v>
      </c>
      <c r="I784" s="248" t="s">
        <v>7</v>
      </c>
      <c r="J784" s="249" t="s">
        <v>492</v>
      </c>
      <c r="K784" s="250">
        <v>0</v>
      </c>
      <c r="L784" s="250">
        <v>0</v>
      </c>
      <c r="M784" s="251" t="s">
        <v>8</v>
      </c>
      <c r="N784" s="252">
        <v>0</v>
      </c>
      <c r="O784" s="185" t="s">
        <v>74</v>
      </c>
    </row>
    <row r="785" spans="1:15" x14ac:dyDescent="0.25">
      <c r="A785" s="234" t="s">
        <v>4345</v>
      </c>
      <c r="B785" s="234" t="s">
        <v>8</v>
      </c>
      <c r="C785" s="245">
        <v>46147</v>
      </c>
      <c r="D785" s="234" t="s">
        <v>7287</v>
      </c>
      <c r="E785" s="246">
        <v>129269</v>
      </c>
      <c r="F785" s="247" t="s">
        <v>4347</v>
      </c>
      <c r="G785" s="34" t="s">
        <v>7</v>
      </c>
      <c r="H785" s="234" t="s">
        <v>4346</v>
      </c>
      <c r="I785" s="248" t="s">
        <v>7</v>
      </c>
      <c r="J785" s="249" t="s">
        <v>582</v>
      </c>
      <c r="K785" s="250">
        <v>129269</v>
      </c>
      <c r="L785" s="250">
        <v>0</v>
      </c>
      <c r="M785" s="251" t="s">
        <v>8</v>
      </c>
      <c r="N785" s="252">
        <v>0</v>
      </c>
      <c r="O785" s="185" t="s">
        <v>74</v>
      </c>
    </row>
    <row r="786" spans="1:15" x14ac:dyDescent="0.25">
      <c r="A786" s="234" t="s">
        <v>5419</v>
      </c>
      <c r="B786" s="234" t="s">
        <v>8</v>
      </c>
      <c r="C786" s="245">
        <v>46147</v>
      </c>
      <c r="D786" s="234" t="s">
        <v>7287</v>
      </c>
      <c r="E786" s="246">
        <v>176293</v>
      </c>
      <c r="F786" s="247" t="s">
        <v>5418</v>
      </c>
      <c r="G786" s="34" t="s">
        <v>7</v>
      </c>
      <c r="H786" s="234" t="s">
        <v>5420</v>
      </c>
      <c r="I786" s="248" t="s">
        <v>7</v>
      </c>
      <c r="J786" s="249" t="s">
        <v>554</v>
      </c>
      <c r="K786" s="250">
        <v>176293.47</v>
      </c>
      <c r="L786" s="250">
        <v>0</v>
      </c>
      <c r="M786" s="251" t="s">
        <v>8</v>
      </c>
      <c r="N786" s="252">
        <v>0</v>
      </c>
      <c r="O786" s="185" t="s">
        <v>74</v>
      </c>
    </row>
    <row r="787" spans="1:15" x14ac:dyDescent="0.25">
      <c r="A787" s="234" t="s">
        <v>3583</v>
      </c>
      <c r="B787" s="234" t="s">
        <v>8</v>
      </c>
      <c r="C787" s="245">
        <v>46147</v>
      </c>
      <c r="D787" s="234" t="s">
        <v>7289</v>
      </c>
      <c r="E787" s="246">
        <v>20000</v>
      </c>
      <c r="F787" s="247" t="s">
        <v>3582</v>
      </c>
      <c r="G787" s="34" t="s">
        <v>7</v>
      </c>
      <c r="H787" s="234" t="s">
        <v>3584</v>
      </c>
      <c r="I787" s="248" t="s">
        <v>7</v>
      </c>
      <c r="J787" s="249" t="s">
        <v>554</v>
      </c>
      <c r="K787" s="250">
        <v>20000</v>
      </c>
      <c r="L787" s="250">
        <v>0</v>
      </c>
      <c r="M787" s="251" t="s">
        <v>8</v>
      </c>
      <c r="N787" s="252">
        <v>0</v>
      </c>
      <c r="O787" s="185" t="s">
        <v>74</v>
      </c>
    </row>
    <row r="788" spans="1:15" x14ac:dyDescent="0.25">
      <c r="A788" s="234" t="s">
        <v>2961</v>
      </c>
      <c r="B788" s="234" t="s">
        <v>22</v>
      </c>
      <c r="C788" s="245">
        <v>46147</v>
      </c>
      <c r="D788" s="234" t="s">
        <v>546</v>
      </c>
      <c r="E788" s="246">
        <v>40120</v>
      </c>
      <c r="F788" s="247" t="s">
        <v>2960</v>
      </c>
      <c r="G788" s="34" t="s">
        <v>7</v>
      </c>
      <c r="H788" s="234" t="s">
        <v>2962</v>
      </c>
      <c r="I788" s="248" t="s">
        <v>7</v>
      </c>
      <c r="J788" s="249" t="s">
        <v>554</v>
      </c>
      <c r="K788" s="250">
        <v>40120</v>
      </c>
      <c r="L788" s="250">
        <v>0</v>
      </c>
      <c r="M788" s="251" t="s">
        <v>22</v>
      </c>
      <c r="N788" s="252">
        <v>0</v>
      </c>
      <c r="O788" s="185" t="s">
        <v>51</v>
      </c>
    </row>
    <row r="789" spans="1:15" x14ac:dyDescent="0.25">
      <c r="A789" s="234" t="s">
        <v>1947</v>
      </c>
      <c r="B789" s="234" t="s">
        <v>22</v>
      </c>
      <c r="C789" s="245">
        <v>46147</v>
      </c>
      <c r="D789" s="234" t="s">
        <v>595</v>
      </c>
      <c r="E789" s="246">
        <v>145417</v>
      </c>
      <c r="F789" s="247" t="s">
        <v>1946</v>
      </c>
      <c r="G789" s="34" t="s">
        <v>7</v>
      </c>
      <c r="H789" s="234" t="s">
        <v>1948</v>
      </c>
      <c r="I789" s="248" t="s">
        <v>7</v>
      </c>
      <c r="J789" s="249" t="s">
        <v>554</v>
      </c>
      <c r="K789" s="250">
        <v>145297</v>
      </c>
      <c r="L789" s="250">
        <v>0</v>
      </c>
      <c r="M789" s="251" t="s">
        <v>22</v>
      </c>
      <c r="N789" s="252">
        <v>0</v>
      </c>
      <c r="O789" s="185" t="s">
        <v>51</v>
      </c>
    </row>
    <row r="790" spans="1:15" x14ac:dyDescent="0.25">
      <c r="A790" s="234" t="s">
        <v>1947</v>
      </c>
      <c r="B790" s="234" t="s">
        <v>22</v>
      </c>
      <c r="C790" s="245">
        <v>46147</v>
      </c>
      <c r="D790" s="234" t="s">
        <v>595</v>
      </c>
      <c r="E790" s="246">
        <v>145417</v>
      </c>
      <c r="F790" s="247" t="s">
        <v>1946</v>
      </c>
      <c r="G790" s="34" t="s">
        <v>7</v>
      </c>
      <c r="H790" s="234" t="s">
        <v>1948</v>
      </c>
      <c r="I790" s="248" t="s">
        <v>7</v>
      </c>
      <c r="J790" s="249" t="s">
        <v>554</v>
      </c>
      <c r="K790" s="250">
        <v>145297</v>
      </c>
      <c r="L790" s="250">
        <v>0</v>
      </c>
      <c r="M790" s="251" t="s">
        <v>22</v>
      </c>
      <c r="N790" s="252">
        <v>0</v>
      </c>
      <c r="O790" s="185" t="s">
        <v>51</v>
      </c>
    </row>
    <row r="791" spans="1:15" x14ac:dyDescent="0.25">
      <c r="A791" s="234" t="s">
        <v>596</v>
      </c>
      <c r="B791" s="234" t="s">
        <v>22</v>
      </c>
      <c r="C791" s="245">
        <v>46147</v>
      </c>
      <c r="D791" s="234" t="s">
        <v>595</v>
      </c>
      <c r="E791" s="246">
        <v>21000</v>
      </c>
      <c r="F791" s="247" t="s">
        <v>594</v>
      </c>
      <c r="G791" s="34" t="s">
        <v>7</v>
      </c>
      <c r="H791" s="234" t="s">
        <v>597</v>
      </c>
      <c r="I791" s="248" t="s">
        <v>7</v>
      </c>
      <c r="J791" s="249" t="s">
        <v>554</v>
      </c>
      <c r="K791" s="250">
        <v>21000</v>
      </c>
      <c r="L791" s="250">
        <v>0</v>
      </c>
      <c r="M791" s="251" t="s">
        <v>22</v>
      </c>
      <c r="N791" s="252">
        <v>0</v>
      </c>
      <c r="O791" s="185" t="s">
        <v>51</v>
      </c>
    </row>
    <row r="792" spans="1:15" x14ac:dyDescent="0.25">
      <c r="A792" s="234" t="s">
        <v>596</v>
      </c>
      <c r="B792" s="234" t="s">
        <v>22</v>
      </c>
      <c r="C792" s="245">
        <v>46147</v>
      </c>
      <c r="D792" s="234" t="s">
        <v>595</v>
      </c>
      <c r="E792" s="246">
        <v>100000</v>
      </c>
      <c r="F792" s="247">
        <v>0</v>
      </c>
      <c r="G792" s="34" t="s">
        <v>7</v>
      </c>
      <c r="H792" s="234" t="s">
        <v>597</v>
      </c>
      <c r="I792" s="248" t="s">
        <v>7</v>
      </c>
      <c r="J792" s="249" t="s">
        <v>492</v>
      </c>
      <c r="K792" s="250">
        <v>0</v>
      </c>
      <c r="L792" s="250">
        <v>0</v>
      </c>
      <c r="M792" s="251" t="s">
        <v>22</v>
      </c>
      <c r="N792" s="252">
        <v>0</v>
      </c>
      <c r="O792" s="185" t="s">
        <v>51</v>
      </c>
    </row>
    <row r="793" spans="1:15" x14ac:dyDescent="0.25">
      <c r="A793" s="234" t="s">
        <v>596</v>
      </c>
      <c r="B793" s="234" t="s">
        <v>22</v>
      </c>
      <c r="C793" s="245">
        <v>46147</v>
      </c>
      <c r="D793" s="234" t="s">
        <v>595</v>
      </c>
      <c r="E793" s="246">
        <v>100000</v>
      </c>
      <c r="F793" s="247">
        <v>0</v>
      </c>
      <c r="G793" s="34" t="s">
        <v>7</v>
      </c>
      <c r="H793" s="234" t="s">
        <v>597</v>
      </c>
      <c r="I793" s="248" t="s">
        <v>7</v>
      </c>
      <c r="J793" s="249" t="s">
        <v>492</v>
      </c>
      <c r="K793" s="250">
        <v>0</v>
      </c>
      <c r="L793" s="250">
        <v>0</v>
      </c>
      <c r="M793" s="251" t="s">
        <v>22</v>
      </c>
      <c r="N793" s="252">
        <v>0</v>
      </c>
      <c r="O793" s="185" t="s">
        <v>51</v>
      </c>
    </row>
    <row r="794" spans="1:15" x14ac:dyDescent="0.25">
      <c r="A794" s="234" t="s">
        <v>2969</v>
      </c>
      <c r="B794" s="234" t="s">
        <v>22</v>
      </c>
      <c r="C794" s="245">
        <v>46147</v>
      </c>
      <c r="D794" s="234">
        <v>0</v>
      </c>
      <c r="E794" s="246">
        <v>109664</v>
      </c>
      <c r="F794" s="247">
        <v>0</v>
      </c>
      <c r="G794" s="34" t="s">
        <v>7</v>
      </c>
      <c r="H794" s="234" t="s">
        <v>2970</v>
      </c>
      <c r="I794" s="248" t="s">
        <v>7</v>
      </c>
      <c r="J794" s="249" t="s">
        <v>492</v>
      </c>
      <c r="K794" s="250">
        <v>0</v>
      </c>
      <c r="L794" s="250">
        <v>0</v>
      </c>
      <c r="M794" s="251" t="s">
        <v>22</v>
      </c>
      <c r="N794" s="252">
        <v>0</v>
      </c>
      <c r="O794" s="185" t="s">
        <v>51</v>
      </c>
    </row>
    <row r="795" spans="1:15" x14ac:dyDescent="0.25">
      <c r="A795" s="234" t="s">
        <v>1344</v>
      </c>
      <c r="B795" s="234" t="s">
        <v>22</v>
      </c>
      <c r="C795" s="245">
        <v>46147</v>
      </c>
      <c r="D795" s="234" t="s">
        <v>575</v>
      </c>
      <c r="E795" s="246">
        <v>15000</v>
      </c>
      <c r="F795" s="247" t="s">
        <v>1347</v>
      </c>
      <c r="G795" s="34" t="s">
        <v>7</v>
      </c>
      <c r="H795" s="234" t="s">
        <v>1345</v>
      </c>
      <c r="I795" s="248" t="s">
        <v>7</v>
      </c>
      <c r="J795" s="249" t="s">
        <v>554</v>
      </c>
      <c r="K795" s="250">
        <v>15000</v>
      </c>
      <c r="L795" s="250">
        <v>0</v>
      </c>
      <c r="M795" s="251" t="s">
        <v>22</v>
      </c>
      <c r="N795" s="252">
        <v>0</v>
      </c>
      <c r="O795" s="185" t="s">
        <v>51</v>
      </c>
    </row>
    <row r="796" spans="1:15" x14ac:dyDescent="0.25">
      <c r="A796" s="234" t="s">
        <v>1344</v>
      </c>
      <c r="B796" s="234" t="s">
        <v>22</v>
      </c>
      <c r="C796" s="245">
        <v>46147</v>
      </c>
      <c r="D796" s="234" t="s">
        <v>575</v>
      </c>
      <c r="E796" s="246">
        <v>5000</v>
      </c>
      <c r="F796" s="247" t="s">
        <v>1348</v>
      </c>
      <c r="G796" s="34" t="s">
        <v>7</v>
      </c>
      <c r="H796" s="234" t="s">
        <v>1345</v>
      </c>
      <c r="I796" s="248" t="s">
        <v>7</v>
      </c>
      <c r="J796" s="249" t="s">
        <v>554</v>
      </c>
      <c r="K796" s="250">
        <v>5000</v>
      </c>
      <c r="L796" s="250">
        <v>0</v>
      </c>
      <c r="M796" s="251" t="s">
        <v>22</v>
      </c>
      <c r="N796" s="252">
        <v>0</v>
      </c>
      <c r="O796" s="185" t="s">
        <v>51</v>
      </c>
    </row>
    <row r="797" spans="1:15" x14ac:dyDescent="0.25">
      <c r="A797" s="234" t="s">
        <v>2243</v>
      </c>
      <c r="B797" s="234" t="s">
        <v>22</v>
      </c>
      <c r="C797" s="245">
        <v>46147</v>
      </c>
      <c r="D797" s="234" t="s">
        <v>575</v>
      </c>
      <c r="E797" s="246">
        <v>201500</v>
      </c>
      <c r="F797" s="247">
        <v>0</v>
      </c>
      <c r="G797" s="34" t="s">
        <v>7</v>
      </c>
      <c r="H797" s="234" t="s">
        <v>2244</v>
      </c>
      <c r="I797" s="248" t="s">
        <v>7</v>
      </c>
      <c r="J797" s="249" t="s">
        <v>492</v>
      </c>
      <c r="K797" s="250">
        <v>0</v>
      </c>
      <c r="L797" s="250">
        <v>0</v>
      </c>
      <c r="M797" s="251" t="s">
        <v>22</v>
      </c>
      <c r="N797" s="252">
        <v>0</v>
      </c>
      <c r="O797" s="185" t="s">
        <v>51</v>
      </c>
    </row>
    <row r="798" spans="1:15" x14ac:dyDescent="0.25">
      <c r="A798" s="234" t="s">
        <v>2987</v>
      </c>
      <c r="B798" s="234" t="s">
        <v>22</v>
      </c>
      <c r="C798" s="245">
        <v>46147</v>
      </c>
      <c r="D798" s="234" t="s">
        <v>64</v>
      </c>
      <c r="E798" s="246">
        <v>123338</v>
      </c>
      <c r="F798" s="247" t="s">
        <v>2986</v>
      </c>
      <c r="G798" s="34" t="s">
        <v>7</v>
      </c>
      <c r="H798" s="234" t="s">
        <v>2988</v>
      </c>
      <c r="I798" s="248" t="s">
        <v>7</v>
      </c>
      <c r="J798" s="249" t="s">
        <v>554</v>
      </c>
      <c r="K798" s="250">
        <v>588576</v>
      </c>
      <c r="L798" s="250">
        <v>0</v>
      </c>
      <c r="M798" s="251" t="s">
        <v>22</v>
      </c>
      <c r="N798" s="252">
        <v>0</v>
      </c>
      <c r="O798" s="185" t="s">
        <v>51</v>
      </c>
    </row>
    <row r="799" spans="1:15" x14ac:dyDescent="0.25">
      <c r="A799" s="234" t="s">
        <v>2888</v>
      </c>
      <c r="B799" s="234" t="s">
        <v>22</v>
      </c>
      <c r="C799" s="245">
        <v>46147</v>
      </c>
      <c r="D799" s="234" t="s">
        <v>546</v>
      </c>
      <c r="E799" s="246">
        <v>15000</v>
      </c>
      <c r="F799" s="247" t="s">
        <v>2887</v>
      </c>
      <c r="G799" s="34" t="s">
        <v>7</v>
      </c>
      <c r="H799" s="234" t="s">
        <v>2889</v>
      </c>
      <c r="I799" s="248" t="s">
        <v>7</v>
      </c>
      <c r="J799" s="249" t="s">
        <v>554</v>
      </c>
      <c r="K799" s="250">
        <v>15000</v>
      </c>
      <c r="L799" s="250">
        <v>0</v>
      </c>
      <c r="M799" s="251" t="s">
        <v>22</v>
      </c>
      <c r="N799" s="252">
        <v>0</v>
      </c>
      <c r="O799" s="185" t="s">
        <v>51</v>
      </c>
    </row>
    <row r="800" spans="1:15" x14ac:dyDescent="0.25">
      <c r="A800" s="234" t="s">
        <v>2912</v>
      </c>
      <c r="B800" s="234" t="s">
        <v>22</v>
      </c>
      <c r="C800" s="245">
        <v>46147</v>
      </c>
      <c r="D800" s="234" t="s">
        <v>546</v>
      </c>
      <c r="E800" s="246">
        <v>42938</v>
      </c>
      <c r="F800" s="247" t="s">
        <v>2911</v>
      </c>
      <c r="G800" s="34" t="s">
        <v>7</v>
      </c>
      <c r="H800" s="234" t="s">
        <v>2913</v>
      </c>
      <c r="I800" s="248" t="s">
        <v>7</v>
      </c>
      <c r="J800" s="249" t="s">
        <v>554</v>
      </c>
      <c r="K800" s="250">
        <v>42938</v>
      </c>
      <c r="L800" s="250">
        <v>0</v>
      </c>
      <c r="M800" s="251" t="s">
        <v>22</v>
      </c>
      <c r="N800" s="252">
        <v>0</v>
      </c>
      <c r="O800" s="185" t="s">
        <v>51</v>
      </c>
    </row>
    <row r="801" spans="1:15" x14ac:dyDescent="0.25">
      <c r="A801" s="234" t="s">
        <v>2912</v>
      </c>
      <c r="B801" s="234" t="s">
        <v>22</v>
      </c>
      <c r="C801" s="245">
        <v>46147</v>
      </c>
      <c r="D801" s="234" t="s">
        <v>546</v>
      </c>
      <c r="E801" s="246">
        <v>42938</v>
      </c>
      <c r="F801" s="247" t="s">
        <v>2914</v>
      </c>
      <c r="G801" s="34" t="s">
        <v>7</v>
      </c>
      <c r="H801" s="234" t="s">
        <v>2913</v>
      </c>
      <c r="I801" s="248" t="s">
        <v>7</v>
      </c>
      <c r="J801" s="249" t="s">
        <v>554</v>
      </c>
      <c r="K801" s="250">
        <v>42938</v>
      </c>
      <c r="L801" s="250">
        <v>0</v>
      </c>
      <c r="M801" s="251" t="s">
        <v>22</v>
      </c>
      <c r="N801" s="252">
        <v>0</v>
      </c>
      <c r="O801" s="185" t="s">
        <v>51</v>
      </c>
    </row>
    <row r="802" spans="1:15" x14ac:dyDescent="0.25">
      <c r="A802" s="234" t="s">
        <v>2912</v>
      </c>
      <c r="B802" s="234" t="s">
        <v>22</v>
      </c>
      <c r="C802" s="245">
        <v>46147</v>
      </c>
      <c r="D802" s="234" t="s">
        <v>546</v>
      </c>
      <c r="E802" s="246">
        <v>42938</v>
      </c>
      <c r="F802" s="247" t="s">
        <v>2915</v>
      </c>
      <c r="G802" s="34" t="s">
        <v>7</v>
      </c>
      <c r="H802" s="234" t="s">
        <v>2913</v>
      </c>
      <c r="I802" s="248" t="s">
        <v>7</v>
      </c>
      <c r="J802" s="249" t="s">
        <v>554</v>
      </c>
      <c r="K802" s="250">
        <v>42938</v>
      </c>
      <c r="L802" s="250">
        <v>0</v>
      </c>
      <c r="M802" s="251" t="s">
        <v>22</v>
      </c>
      <c r="N802" s="252">
        <v>0</v>
      </c>
      <c r="O802" s="185" t="s">
        <v>51</v>
      </c>
    </row>
    <row r="803" spans="1:15" x14ac:dyDescent="0.25">
      <c r="A803" s="234" t="s">
        <v>2876</v>
      </c>
      <c r="B803" s="234" t="s">
        <v>22</v>
      </c>
      <c r="C803" s="245">
        <v>46147</v>
      </c>
      <c r="D803" s="234">
        <v>0</v>
      </c>
      <c r="E803" s="246">
        <v>118108</v>
      </c>
      <c r="F803" s="247">
        <v>0</v>
      </c>
      <c r="G803" s="34" t="s">
        <v>7</v>
      </c>
      <c r="H803" s="234" t="s">
        <v>2877</v>
      </c>
      <c r="I803" s="248" t="s">
        <v>7</v>
      </c>
      <c r="J803" s="249" t="s">
        <v>492</v>
      </c>
      <c r="K803" s="250">
        <v>0</v>
      </c>
      <c r="L803" s="250">
        <v>0</v>
      </c>
      <c r="M803" s="251" t="s">
        <v>22</v>
      </c>
      <c r="N803" s="252">
        <v>0</v>
      </c>
      <c r="O803" s="185" t="s">
        <v>51</v>
      </c>
    </row>
    <row r="804" spans="1:15" x14ac:dyDescent="0.25">
      <c r="A804" s="234" t="s">
        <v>7433</v>
      </c>
      <c r="B804" s="234" t="s">
        <v>22</v>
      </c>
      <c r="C804" s="245">
        <v>46147</v>
      </c>
      <c r="D804" s="234" t="s">
        <v>64</v>
      </c>
      <c r="E804" s="246">
        <v>362410</v>
      </c>
      <c r="F804" s="247" t="s">
        <v>7434</v>
      </c>
      <c r="G804" s="34" t="s">
        <v>7</v>
      </c>
      <c r="H804" s="234" t="s">
        <v>7435</v>
      </c>
      <c r="I804" s="248" t="s">
        <v>7</v>
      </c>
      <c r="J804" s="249" t="s">
        <v>492</v>
      </c>
      <c r="K804" s="250">
        <v>0</v>
      </c>
      <c r="L804" s="250">
        <v>0</v>
      </c>
      <c r="M804" s="251" t="s">
        <v>22</v>
      </c>
      <c r="N804" s="252">
        <v>0</v>
      </c>
      <c r="O804" s="185" t="s">
        <v>51</v>
      </c>
    </row>
    <row r="805" spans="1:15" x14ac:dyDescent="0.25">
      <c r="A805" s="234" t="s">
        <v>7702</v>
      </c>
      <c r="B805" s="234" t="s">
        <v>22</v>
      </c>
      <c r="C805" s="245">
        <v>46147</v>
      </c>
      <c r="D805" s="234" t="s">
        <v>64</v>
      </c>
      <c r="E805" s="246">
        <v>419090</v>
      </c>
      <c r="F805" s="247" t="s">
        <v>7703</v>
      </c>
      <c r="G805" s="34" t="s">
        <v>7</v>
      </c>
      <c r="H805" s="234" t="s">
        <v>7704</v>
      </c>
      <c r="I805" s="248" t="s">
        <v>7</v>
      </c>
      <c r="J805" s="249" t="s">
        <v>492</v>
      </c>
      <c r="K805" s="250">
        <v>0</v>
      </c>
      <c r="L805" s="250">
        <v>0</v>
      </c>
      <c r="M805" s="251" t="s">
        <v>22</v>
      </c>
      <c r="N805" s="252">
        <v>0</v>
      </c>
      <c r="O805" s="185" t="s">
        <v>51</v>
      </c>
    </row>
    <row r="806" spans="1:15" x14ac:dyDescent="0.25">
      <c r="A806" s="234" t="s">
        <v>1412</v>
      </c>
      <c r="B806" s="234" t="s">
        <v>23</v>
      </c>
      <c r="C806" s="245">
        <v>46147</v>
      </c>
      <c r="D806" s="234" t="s">
        <v>7705</v>
      </c>
      <c r="E806" s="246">
        <v>50000</v>
      </c>
      <c r="F806" s="247">
        <v>0</v>
      </c>
      <c r="G806" s="34" t="s">
        <v>7</v>
      </c>
      <c r="H806" s="234" t="s">
        <v>1413</v>
      </c>
      <c r="I806" s="248" t="s">
        <v>7</v>
      </c>
      <c r="J806" s="249" t="s">
        <v>492</v>
      </c>
      <c r="K806" s="250">
        <v>0</v>
      </c>
      <c r="L806" s="250">
        <v>0</v>
      </c>
      <c r="M806" s="251" t="s">
        <v>23</v>
      </c>
      <c r="N806" s="252">
        <v>0</v>
      </c>
      <c r="O806" s="185" t="s">
        <v>51</v>
      </c>
    </row>
    <row r="807" spans="1:15" x14ac:dyDescent="0.25">
      <c r="A807" s="234" t="s">
        <v>1412</v>
      </c>
      <c r="B807" s="234" t="s">
        <v>23</v>
      </c>
      <c r="C807" s="245">
        <v>46147</v>
      </c>
      <c r="D807" s="234" t="s">
        <v>7705</v>
      </c>
      <c r="E807" s="246">
        <v>50000</v>
      </c>
      <c r="F807" s="247">
        <v>0</v>
      </c>
      <c r="G807" s="34" t="s">
        <v>7</v>
      </c>
      <c r="H807" s="234" t="s">
        <v>1413</v>
      </c>
      <c r="I807" s="248" t="s">
        <v>7</v>
      </c>
      <c r="J807" s="249" t="s">
        <v>492</v>
      </c>
      <c r="K807" s="250">
        <v>0</v>
      </c>
      <c r="L807" s="250">
        <v>0</v>
      </c>
      <c r="M807" s="251" t="s">
        <v>23</v>
      </c>
      <c r="N807" s="252">
        <v>0</v>
      </c>
      <c r="O807" s="185" t="s">
        <v>51</v>
      </c>
    </row>
    <row r="808" spans="1:15" x14ac:dyDescent="0.25">
      <c r="A808" s="234" t="s">
        <v>1412</v>
      </c>
      <c r="B808" s="234" t="s">
        <v>23</v>
      </c>
      <c r="C808" s="245">
        <v>46147</v>
      </c>
      <c r="D808" s="234" t="s">
        <v>7705</v>
      </c>
      <c r="E808" s="246">
        <v>50000</v>
      </c>
      <c r="F808" s="247">
        <v>0</v>
      </c>
      <c r="G808" s="34" t="s">
        <v>7</v>
      </c>
      <c r="H808" s="234" t="s">
        <v>1413</v>
      </c>
      <c r="I808" s="248" t="s">
        <v>7</v>
      </c>
      <c r="J808" s="249" t="s">
        <v>492</v>
      </c>
      <c r="K808" s="250">
        <v>0</v>
      </c>
      <c r="L808" s="250">
        <v>0</v>
      </c>
      <c r="M808" s="251" t="s">
        <v>23</v>
      </c>
      <c r="N808" s="252">
        <v>0</v>
      </c>
      <c r="O808" s="185" t="s">
        <v>51</v>
      </c>
    </row>
    <row r="809" spans="1:15" x14ac:dyDescent="0.25">
      <c r="A809" s="234" t="s">
        <v>1412</v>
      </c>
      <c r="B809" s="234" t="s">
        <v>23</v>
      </c>
      <c r="C809" s="245">
        <v>46147</v>
      </c>
      <c r="D809" s="234" t="s">
        <v>7705</v>
      </c>
      <c r="E809" s="246">
        <v>50000</v>
      </c>
      <c r="F809" s="247">
        <v>0</v>
      </c>
      <c r="G809" s="34" t="s">
        <v>7</v>
      </c>
      <c r="H809" s="234" t="s">
        <v>1413</v>
      </c>
      <c r="I809" s="248" t="s">
        <v>7</v>
      </c>
      <c r="J809" s="249" t="s">
        <v>492</v>
      </c>
      <c r="K809" s="250">
        <v>0</v>
      </c>
      <c r="L809" s="250">
        <v>0</v>
      </c>
      <c r="M809" s="251" t="s">
        <v>23</v>
      </c>
      <c r="N809" s="252">
        <v>0</v>
      </c>
      <c r="O809" s="185" t="s">
        <v>51</v>
      </c>
    </row>
    <row r="810" spans="1:15" x14ac:dyDescent="0.25">
      <c r="A810" s="234" t="s">
        <v>211</v>
      </c>
      <c r="B810" s="234" t="s">
        <v>23</v>
      </c>
      <c r="C810" s="245">
        <v>46147</v>
      </c>
      <c r="D810" s="234" t="s">
        <v>64</v>
      </c>
      <c r="E810" s="246">
        <v>298488.7</v>
      </c>
      <c r="F810" s="247">
        <v>0</v>
      </c>
      <c r="G810" s="34" t="s">
        <v>7</v>
      </c>
      <c r="H810" s="234" t="s">
        <v>210</v>
      </c>
      <c r="I810" s="248" t="s">
        <v>7</v>
      </c>
      <c r="J810" s="249" t="s">
        <v>492</v>
      </c>
      <c r="K810" s="250">
        <v>0</v>
      </c>
      <c r="L810" s="250">
        <v>0</v>
      </c>
      <c r="M810" s="251" t="s">
        <v>23</v>
      </c>
      <c r="N810" s="252">
        <v>0</v>
      </c>
      <c r="O810" s="185" t="s">
        <v>51</v>
      </c>
    </row>
    <row r="811" spans="1:15" x14ac:dyDescent="0.25">
      <c r="A811" s="234" t="s">
        <v>216</v>
      </c>
      <c r="B811" s="234" t="s">
        <v>23</v>
      </c>
      <c r="C811" s="245">
        <v>46147</v>
      </c>
      <c r="D811" s="234" t="s">
        <v>64</v>
      </c>
      <c r="E811" s="246">
        <v>202706.47</v>
      </c>
      <c r="F811" s="247">
        <v>0</v>
      </c>
      <c r="G811" s="34" t="s">
        <v>7</v>
      </c>
      <c r="H811" s="234" t="s">
        <v>215</v>
      </c>
      <c r="I811" s="248" t="s">
        <v>7</v>
      </c>
      <c r="J811" s="249" t="s">
        <v>492</v>
      </c>
      <c r="K811" s="250">
        <v>0</v>
      </c>
      <c r="L811" s="250">
        <v>0</v>
      </c>
      <c r="M811" s="251" t="s">
        <v>23</v>
      </c>
      <c r="N811" s="252">
        <v>0</v>
      </c>
      <c r="O811" s="185" t="s">
        <v>51</v>
      </c>
    </row>
    <row r="812" spans="1:15" x14ac:dyDescent="0.25">
      <c r="A812" s="234" t="s">
        <v>221</v>
      </c>
      <c r="B812" s="234" t="s">
        <v>23</v>
      </c>
      <c r="C812" s="245">
        <v>46147</v>
      </c>
      <c r="D812" s="234" t="s">
        <v>64</v>
      </c>
      <c r="E812" s="246">
        <v>231366.37</v>
      </c>
      <c r="F812" s="247">
        <v>0</v>
      </c>
      <c r="G812" s="34" t="s">
        <v>7</v>
      </c>
      <c r="H812" s="234" t="s">
        <v>220</v>
      </c>
      <c r="I812" s="248" t="s">
        <v>7</v>
      </c>
      <c r="J812" s="249" t="s">
        <v>492</v>
      </c>
      <c r="K812" s="250">
        <v>0</v>
      </c>
      <c r="L812" s="250">
        <v>0</v>
      </c>
      <c r="M812" s="251" t="s">
        <v>23</v>
      </c>
      <c r="N812" s="252">
        <v>0</v>
      </c>
      <c r="O812" s="185" t="s">
        <v>51</v>
      </c>
    </row>
    <row r="813" spans="1:15" x14ac:dyDescent="0.25">
      <c r="A813" s="234" t="s">
        <v>1447</v>
      </c>
      <c r="B813" s="234" t="s">
        <v>23</v>
      </c>
      <c r="C813" s="245">
        <v>46147</v>
      </c>
      <c r="D813" s="234" t="s">
        <v>546</v>
      </c>
      <c r="E813" s="246">
        <v>94560</v>
      </c>
      <c r="F813" s="247" t="s">
        <v>1449</v>
      </c>
      <c r="G813" s="34" t="s">
        <v>7</v>
      </c>
      <c r="H813" s="234" t="s">
        <v>1448</v>
      </c>
      <c r="I813" s="248" t="s">
        <v>7</v>
      </c>
      <c r="J813" s="249" t="s">
        <v>554</v>
      </c>
      <c r="K813" s="250">
        <v>94560</v>
      </c>
      <c r="L813" s="250">
        <v>0</v>
      </c>
      <c r="M813" s="251" t="s">
        <v>23</v>
      </c>
      <c r="N813" s="252">
        <v>0</v>
      </c>
      <c r="O813" s="185" t="s">
        <v>51</v>
      </c>
    </row>
    <row r="814" spans="1:15" x14ac:dyDescent="0.25">
      <c r="A814" s="234" t="s">
        <v>246</v>
      </c>
      <c r="B814" s="234" t="s">
        <v>23</v>
      </c>
      <c r="C814" s="245">
        <v>46147</v>
      </c>
      <c r="D814" s="234" t="s">
        <v>546</v>
      </c>
      <c r="E814" s="246">
        <v>111644</v>
      </c>
      <c r="F814" s="247" t="s">
        <v>1520</v>
      </c>
      <c r="G814" s="34" t="s">
        <v>7</v>
      </c>
      <c r="H814" s="234" t="s">
        <v>245</v>
      </c>
      <c r="I814" s="248" t="s">
        <v>7</v>
      </c>
      <c r="J814" s="249" t="s">
        <v>554</v>
      </c>
      <c r="K814" s="250">
        <v>111644</v>
      </c>
      <c r="L814" s="250">
        <v>0</v>
      </c>
      <c r="M814" s="251" t="s">
        <v>23</v>
      </c>
      <c r="N814" s="252">
        <v>0</v>
      </c>
      <c r="O814" s="185" t="s">
        <v>51</v>
      </c>
    </row>
    <row r="815" spans="1:15" x14ac:dyDescent="0.25">
      <c r="A815" s="234" t="s">
        <v>246</v>
      </c>
      <c r="B815" s="234" t="s">
        <v>23</v>
      </c>
      <c r="C815" s="245">
        <v>46147</v>
      </c>
      <c r="D815" s="234" t="s">
        <v>546</v>
      </c>
      <c r="E815" s="246">
        <v>111644</v>
      </c>
      <c r="F815" s="247" t="s">
        <v>1521</v>
      </c>
      <c r="G815" s="34" t="s">
        <v>7</v>
      </c>
      <c r="H815" s="234" t="s">
        <v>245</v>
      </c>
      <c r="I815" s="248" t="s">
        <v>7</v>
      </c>
      <c r="J815" s="249" t="s">
        <v>554</v>
      </c>
      <c r="K815" s="250">
        <v>111644</v>
      </c>
      <c r="L815" s="250">
        <v>0</v>
      </c>
      <c r="M815" s="251" t="s">
        <v>23</v>
      </c>
      <c r="N815" s="252">
        <v>0</v>
      </c>
      <c r="O815" s="185" t="s">
        <v>51</v>
      </c>
    </row>
    <row r="816" spans="1:15" x14ac:dyDescent="0.25">
      <c r="A816" s="234" t="s">
        <v>236</v>
      </c>
      <c r="B816" s="234" t="s">
        <v>23</v>
      </c>
      <c r="C816" s="245">
        <v>46147</v>
      </c>
      <c r="D816" s="234" t="s">
        <v>7269</v>
      </c>
      <c r="E816" s="246">
        <v>299910</v>
      </c>
      <c r="F816" s="247">
        <v>0</v>
      </c>
      <c r="G816" s="34" t="s">
        <v>7</v>
      </c>
      <c r="H816" s="234" t="s">
        <v>235</v>
      </c>
      <c r="I816" s="248" t="s">
        <v>7</v>
      </c>
      <c r="J816" s="249" t="s">
        <v>492</v>
      </c>
      <c r="K816" s="250">
        <v>0</v>
      </c>
      <c r="L816" s="250">
        <v>0</v>
      </c>
      <c r="M816" s="251" t="s">
        <v>23</v>
      </c>
      <c r="N816" s="252">
        <v>0</v>
      </c>
      <c r="O816" s="185" t="s">
        <v>51</v>
      </c>
    </row>
    <row r="817" spans="1:15" x14ac:dyDescent="0.25">
      <c r="A817" s="234" t="s">
        <v>206</v>
      </c>
      <c r="B817" s="234" t="s">
        <v>23</v>
      </c>
      <c r="C817" s="245">
        <v>46147</v>
      </c>
      <c r="D817" s="234" t="s">
        <v>64</v>
      </c>
      <c r="E817" s="246">
        <v>151911.6</v>
      </c>
      <c r="F817" s="247" t="s">
        <v>1421</v>
      </c>
      <c r="G817" s="34" t="s">
        <v>7</v>
      </c>
      <c r="H817" s="234" t="s">
        <v>205</v>
      </c>
      <c r="I817" s="248" t="s">
        <v>7</v>
      </c>
      <c r="J817" s="249" t="s">
        <v>554</v>
      </c>
      <c r="K817" s="250">
        <v>0</v>
      </c>
      <c r="L817" s="250">
        <v>0</v>
      </c>
      <c r="M817" s="251" t="s">
        <v>23</v>
      </c>
      <c r="N817" s="252">
        <v>0</v>
      </c>
      <c r="O817" s="185" t="s">
        <v>51</v>
      </c>
    </row>
    <row r="818" spans="1:15" x14ac:dyDescent="0.25">
      <c r="A818" s="234" t="s">
        <v>391</v>
      </c>
      <c r="B818" s="234" t="s">
        <v>23</v>
      </c>
      <c r="C818" s="245">
        <v>46147</v>
      </c>
      <c r="D818" s="234" t="s">
        <v>64</v>
      </c>
      <c r="E818" s="246">
        <v>223670</v>
      </c>
      <c r="F818" s="247" t="s">
        <v>1420</v>
      </c>
      <c r="G818" s="34" t="s">
        <v>7</v>
      </c>
      <c r="H818" s="234" t="s">
        <v>390</v>
      </c>
      <c r="I818" s="248" t="s">
        <v>7</v>
      </c>
      <c r="J818" s="249" t="s">
        <v>554</v>
      </c>
      <c r="K818" s="250">
        <v>223670</v>
      </c>
      <c r="L818" s="250">
        <v>0</v>
      </c>
      <c r="M818" s="251" t="s">
        <v>23</v>
      </c>
      <c r="N818" s="252">
        <v>0</v>
      </c>
      <c r="O818" s="185" t="s">
        <v>51</v>
      </c>
    </row>
    <row r="819" spans="1:15" x14ac:dyDescent="0.25">
      <c r="A819" s="234" t="s">
        <v>1384</v>
      </c>
      <c r="B819" s="234" t="s">
        <v>23</v>
      </c>
      <c r="C819" s="245">
        <v>46147</v>
      </c>
      <c r="D819" s="234" t="s">
        <v>546</v>
      </c>
      <c r="E819" s="246">
        <v>35000</v>
      </c>
      <c r="F819" s="247">
        <v>0</v>
      </c>
      <c r="G819" s="34" t="s">
        <v>7</v>
      </c>
      <c r="H819" s="234" t="s">
        <v>1385</v>
      </c>
      <c r="I819" s="248" t="s">
        <v>7</v>
      </c>
      <c r="J819" s="249" t="s">
        <v>492</v>
      </c>
      <c r="K819" s="250">
        <v>0</v>
      </c>
      <c r="L819" s="250">
        <v>0</v>
      </c>
      <c r="M819" s="251" t="s">
        <v>23</v>
      </c>
      <c r="N819" s="252">
        <v>0</v>
      </c>
      <c r="O819" s="185" t="s">
        <v>51</v>
      </c>
    </row>
    <row r="820" spans="1:15" x14ac:dyDescent="0.25">
      <c r="A820" s="234" t="s">
        <v>1529</v>
      </c>
      <c r="B820" s="234" t="s">
        <v>23</v>
      </c>
      <c r="C820" s="245">
        <v>46147</v>
      </c>
      <c r="D820" s="234" t="s">
        <v>7289</v>
      </c>
      <c r="E820" s="246">
        <v>155642</v>
      </c>
      <c r="F820" s="247" t="s">
        <v>1528</v>
      </c>
      <c r="G820" s="34" t="s">
        <v>7</v>
      </c>
      <c r="H820" s="234" t="s">
        <v>1530</v>
      </c>
      <c r="I820" s="248" t="s">
        <v>7</v>
      </c>
      <c r="J820" s="249" t="s">
        <v>554</v>
      </c>
      <c r="K820" s="250">
        <v>155642</v>
      </c>
      <c r="L820" s="250">
        <v>0</v>
      </c>
      <c r="M820" s="251" t="s">
        <v>23</v>
      </c>
      <c r="N820" s="252">
        <v>0</v>
      </c>
      <c r="O820" s="185" t="s">
        <v>51</v>
      </c>
    </row>
    <row r="821" spans="1:15" x14ac:dyDescent="0.25">
      <c r="A821" s="234" t="s">
        <v>2269</v>
      </c>
      <c r="B821" s="234" t="s">
        <v>13</v>
      </c>
      <c r="C821" s="245">
        <v>46147</v>
      </c>
      <c r="D821" s="234">
        <v>0</v>
      </c>
      <c r="E821" s="246">
        <v>291447</v>
      </c>
      <c r="F821" s="247" t="s">
        <v>7706</v>
      </c>
      <c r="G821" s="34" t="s">
        <v>7</v>
      </c>
      <c r="H821" s="234" t="s">
        <v>2270</v>
      </c>
      <c r="I821" s="248" t="s">
        <v>7</v>
      </c>
      <c r="J821" s="249" t="s">
        <v>492</v>
      </c>
      <c r="K821" s="250">
        <v>0</v>
      </c>
      <c r="L821" s="250">
        <v>0</v>
      </c>
      <c r="M821" s="251" t="s">
        <v>13</v>
      </c>
      <c r="N821" s="252">
        <v>0</v>
      </c>
      <c r="O821" s="185" t="s">
        <v>51</v>
      </c>
    </row>
    <row r="822" spans="1:15" x14ac:dyDescent="0.25">
      <c r="A822" s="234" t="s">
        <v>4719</v>
      </c>
      <c r="B822" s="234" t="s">
        <v>31</v>
      </c>
      <c r="C822" s="245">
        <v>46147</v>
      </c>
      <c r="D822" s="234" t="s">
        <v>546</v>
      </c>
      <c r="E822" s="246">
        <v>34394</v>
      </c>
      <c r="F822" s="247" t="s">
        <v>4725</v>
      </c>
      <c r="G822" s="34" t="s">
        <v>7</v>
      </c>
      <c r="H822" s="234" t="s">
        <v>4720</v>
      </c>
      <c r="I822" s="248" t="s">
        <v>7</v>
      </c>
      <c r="J822" s="249" t="s">
        <v>554</v>
      </c>
      <c r="K822" s="250">
        <v>34394</v>
      </c>
      <c r="L822" s="250">
        <v>0</v>
      </c>
      <c r="M822" s="251" t="s">
        <v>31</v>
      </c>
      <c r="N822" s="252">
        <v>0</v>
      </c>
      <c r="O822" s="185" t="s">
        <v>51</v>
      </c>
    </row>
    <row r="823" spans="1:15" x14ac:dyDescent="0.25">
      <c r="A823" s="234" t="s">
        <v>2544</v>
      </c>
      <c r="B823" s="234" t="s">
        <v>31</v>
      </c>
      <c r="C823" s="245">
        <v>46147</v>
      </c>
      <c r="D823" s="234" t="s">
        <v>546</v>
      </c>
      <c r="E823" s="246">
        <v>3500</v>
      </c>
      <c r="F823" s="247" t="s">
        <v>2543</v>
      </c>
      <c r="G823" s="34" t="s">
        <v>7</v>
      </c>
      <c r="H823" s="234" t="s">
        <v>2545</v>
      </c>
      <c r="I823" s="248" t="s">
        <v>7</v>
      </c>
      <c r="J823" s="249" t="s">
        <v>554</v>
      </c>
      <c r="K823" s="250">
        <v>3500</v>
      </c>
      <c r="L823" s="250">
        <v>0</v>
      </c>
      <c r="M823" s="251" t="s">
        <v>31</v>
      </c>
      <c r="N823" s="252">
        <v>0</v>
      </c>
      <c r="O823" s="185" t="s">
        <v>51</v>
      </c>
    </row>
    <row r="824" spans="1:15" x14ac:dyDescent="0.25">
      <c r="A824" s="234" t="s">
        <v>2579</v>
      </c>
      <c r="B824" s="234" t="s">
        <v>31</v>
      </c>
      <c r="C824" s="245">
        <v>46147</v>
      </c>
      <c r="D824" s="234" t="s">
        <v>546</v>
      </c>
      <c r="E824" s="246">
        <v>10000</v>
      </c>
      <c r="F824" s="247" t="s">
        <v>2578</v>
      </c>
      <c r="G824" s="34" t="s">
        <v>7</v>
      </c>
      <c r="H824" s="234" t="s">
        <v>2580</v>
      </c>
      <c r="I824" s="248" t="s">
        <v>7</v>
      </c>
      <c r="J824" s="249" t="s">
        <v>554</v>
      </c>
      <c r="K824" s="250">
        <v>10000</v>
      </c>
      <c r="L824" s="250">
        <v>0</v>
      </c>
      <c r="M824" s="251" t="s">
        <v>31</v>
      </c>
      <c r="N824" s="252">
        <v>0</v>
      </c>
      <c r="O824" s="185" t="s">
        <v>51</v>
      </c>
    </row>
    <row r="825" spans="1:15" x14ac:dyDescent="0.25">
      <c r="A825" s="234" t="s">
        <v>2735</v>
      </c>
      <c r="B825" s="234" t="s">
        <v>31</v>
      </c>
      <c r="C825" s="245">
        <v>46147</v>
      </c>
      <c r="D825" s="234" t="s">
        <v>595</v>
      </c>
      <c r="E825" s="246">
        <v>238000</v>
      </c>
      <c r="F825" s="247" t="s">
        <v>2734</v>
      </c>
      <c r="G825" s="34" t="s">
        <v>7</v>
      </c>
      <c r="H825" s="234" t="s">
        <v>2736</v>
      </c>
      <c r="I825" s="248" t="s">
        <v>7</v>
      </c>
      <c r="J825" s="249" t="s">
        <v>554</v>
      </c>
      <c r="K825" s="250">
        <v>238000</v>
      </c>
      <c r="L825" s="250">
        <v>0</v>
      </c>
      <c r="M825" s="251" t="s">
        <v>31</v>
      </c>
      <c r="N825" s="252">
        <v>0</v>
      </c>
      <c r="O825" s="185" t="s">
        <v>51</v>
      </c>
    </row>
    <row r="826" spans="1:15" x14ac:dyDescent="0.25">
      <c r="A826" s="234" t="s">
        <v>4496</v>
      </c>
      <c r="B826" s="234" t="s">
        <v>31</v>
      </c>
      <c r="C826" s="245">
        <v>46147</v>
      </c>
      <c r="D826" s="234" t="s">
        <v>546</v>
      </c>
      <c r="E826" s="246">
        <v>27419</v>
      </c>
      <c r="F826" s="247" t="s">
        <v>4495</v>
      </c>
      <c r="G826" s="34" t="s">
        <v>7</v>
      </c>
      <c r="H826" s="234" t="s">
        <v>4497</v>
      </c>
      <c r="I826" s="248" t="s">
        <v>7</v>
      </c>
      <c r="J826" s="249" t="s">
        <v>554</v>
      </c>
      <c r="K826" s="250">
        <v>27419</v>
      </c>
      <c r="L826" s="250">
        <v>0</v>
      </c>
      <c r="M826" s="251" t="s">
        <v>31</v>
      </c>
      <c r="N826" s="252">
        <v>0</v>
      </c>
      <c r="O826" s="185" t="s">
        <v>51</v>
      </c>
    </row>
    <row r="827" spans="1:15" x14ac:dyDescent="0.25">
      <c r="A827" s="234" t="s">
        <v>4528</v>
      </c>
      <c r="B827" s="234" t="s">
        <v>31</v>
      </c>
      <c r="C827" s="245">
        <v>46147</v>
      </c>
      <c r="D827" s="234" t="s">
        <v>546</v>
      </c>
      <c r="E827" s="246">
        <v>9125</v>
      </c>
      <c r="F827" s="247" t="s">
        <v>4530</v>
      </c>
      <c r="G827" s="34" t="s">
        <v>7</v>
      </c>
      <c r="H827" s="234" t="s">
        <v>4529</v>
      </c>
      <c r="I827" s="248" t="s">
        <v>7</v>
      </c>
      <c r="J827" s="249" t="s">
        <v>554</v>
      </c>
      <c r="K827" s="250">
        <v>9125</v>
      </c>
      <c r="L827" s="250">
        <v>0</v>
      </c>
      <c r="M827" s="251" t="s">
        <v>31</v>
      </c>
      <c r="N827" s="252">
        <v>0</v>
      </c>
      <c r="O827" s="185" t="s">
        <v>51</v>
      </c>
    </row>
    <row r="828" spans="1:15" x14ac:dyDescent="0.25">
      <c r="A828" s="234" t="s">
        <v>4528</v>
      </c>
      <c r="B828" s="234" t="s">
        <v>31</v>
      </c>
      <c r="C828" s="245">
        <v>46147</v>
      </c>
      <c r="D828" s="234" t="s">
        <v>546</v>
      </c>
      <c r="E828" s="246">
        <v>72558</v>
      </c>
      <c r="F828" s="247" t="s">
        <v>4527</v>
      </c>
      <c r="G828" s="34" t="s">
        <v>7</v>
      </c>
      <c r="H828" s="234" t="s">
        <v>4529</v>
      </c>
      <c r="I828" s="248" t="s">
        <v>7</v>
      </c>
      <c r="J828" s="249" t="s">
        <v>554</v>
      </c>
      <c r="K828" s="250">
        <v>72558</v>
      </c>
      <c r="L828" s="250">
        <v>0</v>
      </c>
      <c r="M828" s="251" t="s">
        <v>31</v>
      </c>
      <c r="N828" s="252">
        <v>0</v>
      </c>
      <c r="O828" s="185" t="s">
        <v>51</v>
      </c>
    </row>
    <row r="829" spans="1:15" x14ac:dyDescent="0.25">
      <c r="A829" s="234" t="s">
        <v>2605</v>
      </c>
      <c r="B829" s="234" t="s">
        <v>31</v>
      </c>
      <c r="C829" s="245">
        <v>46147</v>
      </c>
      <c r="D829" s="234" t="s">
        <v>546</v>
      </c>
      <c r="E829" s="246">
        <v>30300</v>
      </c>
      <c r="F829" s="247" t="s">
        <v>2610</v>
      </c>
      <c r="G829" s="34" t="s">
        <v>7</v>
      </c>
      <c r="H829" s="234" t="s">
        <v>2606</v>
      </c>
      <c r="I829" s="248" t="s">
        <v>7</v>
      </c>
      <c r="J829" s="249" t="s">
        <v>554</v>
      </c>
      <c r="K829" s="250">
        <v>30300</v>
      </c>
      <c r="L829" s="250">
        <v>0</v>
      </c>
      <c r="M829" s="251" t="s">
        <v>31</v>
      </c>
      <c r="N829" s="252">
        <v>0</v>
      </c>
      <c r="O829" s="185" t="s">
        <v>51</v>
      </c>
    </row>
    <row r="830" spans="1:15" x14ac:dyDescent="0.25">
      <c r="A830" s="234" t="s">
        <v>2605</v>
      </c>
      <c r="B830" s="234" t="s">
        <v>31</v>
      </c>
      <c r="C830" s="245">
        <v>46147</v>
      </c>
      <c r="D830" s="234" t="s">
        <v>546</v>
      </c>
      <c r="E830" s="246">
        <v>14400</v>
      </c>
      <c r="F830" s="247" t="s">
        <v>2609</v>
      </c>
      <c r="G830" s="34" t="s">
        <v>7</v>
      </c>
      <c r="H830" s="234" t="s">
        <v>2606</v>
      </c>
      <c r="I830" s="248" t="s">
        <v>7</v>
      </c>
      <c r="J830" s="249" t="s">
        <v>554</v>
      </c>
      <c r="K830" s="250">
        <v>14400</v>
      </c>
      <c r="L830" s="250">
        <v>0</v>
      </c>
      <c r="M830" s="251" t="s">
        <v>31</v>
      </c>
      <c r="N830" s="252">
        <v>0</v>
      </c>
      <c r="O830" s="185" t="s">
        <v>51</v>
      </c>
    </row>
    <row r="831" spans="1:15" x14ac:dyDescent="0.25">
      <c r="A831" s="234" t="s">
        <v>5048</v>
      </c>
      <c r="B831" s="234" t="s">
        <v>31</v>
      </c>
      <c r="C831" s="245">
        <v>46147</v>
      </c>
      <c r="D831" s="234" t="s">
        <v>546</v>
      </c>
      <c r="E831" s="246">
        <v>50000</v>
      </c>
      <c r="F831" s="247" t="s">
        <v>5047</v>
      </c>
      <c r="G831" s="34" t="s">
        <v>7</v>
      </c>
      <c r="H831" s="234" t="s">
        <v>5049</v>
      </c>
      <c r="I831" s="248" t="s">
        <v>7</v>
      </c>
      <c r="J831" s="249" t="s">
        <v>554</v>
      </c>
      <c r="K831" s="250">
        <v>50000</v>
      </c>
      <c r="L831" s="250">
        <v>0</v>
      </c>
      <c r="M831" s="251" t="s">
        <v>31</v>
      </c>
      <c r="N831" s="252">
        <v>0</v>
      </c>
      <c r="O831" s="185" t="s">
        <v>51</v>
      </c>
    </row>
    <row r="832" spans="1:15" x14ac:dyDescent="0.25">
      <c r="A832" s="234" t="s">
        <v>5193</v>
      </c>
      <c r="B832" s="234" t="s">
        <v>31</v>
      </c>
      <c r="C832" s="245">
        <v>46147</v>
      </c>
      <c r="D832" s="234" t="s">
        <v>546</v>
      </c>
      <c r="E832" s="246">
        <v>214782</v>
      </c>
      <c r="F832" s="247" t="s">
        <v>5192</v>
      </c>
      <c r="G832" s="34" t="s">
        <v>7</v>
      </c>
      <c r="H832" s="234" t="s">
        <v>5194</v>
      </c>
      <c r="I832" s="248" t="s">
        <v>7</v>
      </c>
      <c r="J832" s="249" t="s">
        <v>554</v>
      </c>
      <c r="K832" s="250">
        <v>214781.3</v>
      </c>
      <c r="L832" s="250">
        <v>0</v>
      </c>
      <c r="M832" s="251" t="s">
        <v>31</v>
      </c>
      <c r="N832" s="252">
        <v>0</v>
      </c>
      <c r="O832" s="185" t="s">
        <v>51</v>
      </c>
    </row>
    <row r="833" spans="1:15" x14ac:dyDescent="0.25">
      <c r="A833" s="234" t="s">
        <v>2644</v>
      </c>
      <c r="B833" s="234" t="s">
        <v>31</v>
      </c>
      <c r="C833" s="245">
        <v>46147</v>
      </c>
      <c r="D833" s="234">
        <v>0</v>
      </c>
      <c r="E833" s="246">
        <v>77821</v>
      </c>
      <c r="F833" s="247">
        <v>0</v>
      </c>
      <c r="G833" s="34" t="s">
        <v>7</v>
      </c>
      <c r="H833" s="234" t="s">
        <v>2645</v>
      </c>
      <c r="I833" s="248" t="s">
        <v>7</v>
      </c>
      <c r="J833" s="249" t="s">
        <v>492</v>
      </c>
      <c r="K833" s="250">
        <v>0</v>
      </c>
      <c r="L833" s="250">
        <v>0</v>
      </c>
      <c r="M833" s="251" t="s">
        <v>31</v>
      </c>
      <c r="N833" s="252">
        <v>0</v>
      </c>
      <c r="O833" s="185" t="s">
        <v>51</v>
      </c>
    </row>
    <row r="834" spans="1:15" x14ac:dyDescent="0.25">
      <c r="A834" s="234" t="s">
        <v>2644</v>
      </c>
      <c r="B834" s="234" t="s">
        <v>31</v>
      </c>
      <c r="C834" s="245">
        <v>46147</v>
      </c>
      <c r="D834" s="234">
        <v>0</v>
      </c>
      <c r="E834" s="246">
        <v>106781</v>
      </c>
      <c r="F834" s="247">
        <v>0</v>
      </c>
      <c r="G834" s="34" t="s">
        <v>7</v>
      </c>
      <c r="H834" s="234" t="s">
        <v>2645</v>
      </c>
      <c r="I834" s="248" t="s">
        <v>7</v>
      </c>
      <c r="J834" s="249" t="s">
        <v>492</v>
      </c>
      <c r="K834" s="250">
        <v>0</v>
      </c>
      <c r="L834" s="250">
        <v>0</v>
      </c>
      <c r="M834" s="251" t="s">
        <v>31</v>
      </c>
      <c r="N834" s="252">
        <v>0</v>
      </c>
      <c r="O834" s="185" t="s">
        <v>51</v>
      </c>
    </row>
    <row r="835" spans="1:15" x14ac:dyDescent="0.25">
      <c r="A835" s="234" t="s">
        <v>2620</v>
      </c>
      <c r="B835" s="234" t="s">
        <v>31</v>
      </c>
      <c r="C835" s="245">
        <v>46147</v>
      </c>
      <c r="D835" s="234" t="s">
        <v>575</v>
      </c>
      <c r="E835" s="246">
        <v>103510</v>
      </c>
      <c r="F835" s="247" t="s">
        <v>2622</v>
      </c>
      <c r="G835" s="34" t="s">
        <v>7</v>
      </c>
      <c r="H835" s="234" t="s">
        <v>2621</v>
      </c>
      <c r="I835" s="248" t="s">
        <v>7</v>
      </c>
      <c r="J835" s="249" t="s">
        <v>554</v>
      </c>
      <c r="K835" s="250">
        <v>103510</v>
      </c>
      <c r="L835" s="250">
        <v>0</v>
      </c>
      <c r="M835" s="251" t="s">
        <v>31</v>
      </c>
      <c r="N835" s="252">
        <v>0</v>
      </c>
      <c r="O835" s="185" t="s">
        <v>51</v>
      </c>
    </row>
    <row r="836" spans="1:15" x14ac:dyDescent="0.25">
      <c r="A836" s="234" t="s">
        <v>2624</v>
      </c>
      <c r="B836" s="234" t="s">
        <v>31</v>
      </c>
      <c r="C836" s="245">
        <v>46147</v>
      </c>
      <c r="D836" s="234" t="s">
        <v>575</v>
      </c>
      <c r="E836" s="246">
        <v>45000</v>
      </c>
      <c r="F836" s="247" t="s">
        <v>2623</v>
      </c>
      <c r="G836" s="34" t="s">
        <v>7</v>
      </c>
      <c r="H836" s="234" t="s">
        <v>2625</v>
      </c>
      <c r="I836" s="248" t="s">
        <v>7</v>
      </c>
      <c r="J836" s="249" t="s">
        <v>554</v>
      </c>
      <c r="K836" s="250">
        <v>45000</v>
      </c>
      <c r="L836" s="250">
        <v>0</v>
      </c>
      <c r="M836" s="251" t="s">
        <v>31</v>
      </c>
      <c r="N836" s="252">
        <v>0</v>
      </c>
      <c r="O836" s="185" t="s">
        <v>51</v>
      </c>
    </row>
    <row r="837" spans="1:15" x14ac:dyDescent="0.25">
      <c r="A837" s="234" t="s">
        <v>2598</v>
      </c>
      <c r="B837" s="234" t="s">
        <v>31</v>
      </c>
      <c r="C837" s="245">
        <v>46147</v>
      </c>
      <c r="D837" s="234">
        <v>0</v>
      </c>
      <c r="E837" s="246">
        <v>150000</v>
      </c>
      <c r="F837" s="247" t="s">
        <v>2597</v>
      </c>
      <c r="G837" s="34" t="s">
        <v>7</v>
      </c>
      <c r="H837" s="234" t="s">
        <v>2599</v>
      </c>
      <c r="I837" s="248" t="s">
        <v>7</v>
      </c>
      <c r="J837" s="249" t="s">
        <v>554</v>
      </c>
      <c r="K837" s="250">
        <v>150000</v>
      </c>
      <c r="L837" s="250">
        <v>0</v>
      </c>
      <c r="M837" s="251" t="s">
        <v>31</v>
      </c>
      <c r="N837" s="252">
        <v>0</v>
      </c>
      <c r="O837" s="185" t="s">
        <v>51</v>
      </c>
    </row>
    <row r="838" spans="1:15" x14ac:dyDescent="0.25">
      <c r="A838" s="234" t="s">
        <v>1757</v>
      </c>
      <c r="B838" s="234" t="s">
        <v>20</v>
      </c>
      <c r="C838" s="245">
        <v>46147</v>
      </c>
      <c r="D838" s="234">
        <v>0</v>
      </c>
      <c r="E838" s="246">
        <v>27948</v>
      </c>
      <c r="F838" s="247" t="s">
        <v>1756</v>
      </c>
      <c r="G838" s="34" t="s">
        <v>7</v>
      </c>
      <c r="H838" s="234" t="s">
        <v>1758</v>
      </c>
      <c r="I838" s="248" t="s">
        <v>7</v>
      </c>
      <c r="J838" s="249" t="s">
        <v>554</v>
      </c>
      <c r="K838" s="250">
        <v>27948</v>
      </c>
      <c r="L838" s="250">
        <v>0</v>
      </c>
      <c r="M838" s="251" t="s">
        <v>20</v>
      </c>
      <c r="N838" s="252">
        <v>0</v>
      </c>
      <c r="O838" s="185" t="s">
        <v>51</v>
      </c>
    </row>
    <row r="839" spans="1:15" x14ac:dyDescent="0.25">
      <c r="A839" s="234" t="s">
        <v>1298</v>
      </c>
      <c r="B839" s="234" t="s">
        <v>20</v>
      </c>
      <c r="C839" s="245">
        <v>46147</v>
      </c>
      <c r="D839" s="234">
        <v>0</v>
      </c>
      <c r="E839" s="246">
        <v>155528</v>
      </c>
      <c r="F839" s="247" t="s">
        <v>1297</v>
      </c>
      <c r="G839" s="34" t="s">
        <v>7</v>
      </c>
      <c r="H839" s="234" t="s">
        <v>1299</v>
      </c>
      <c r="I839" s="248" t="s">
        <v>7</v>
      </c>
      <c r="J839" s="249" t="s">
        <v>554</v>
      </c>
      <c r="K839" s="250">
        <v>155528</v>
      </c>
      <c r="L839" s="250">
        <v>0</v>
      </c>
      <c r="M839" s="251" t="s">
        <v>20</v>
      </c>
      <c r="N839" s="252">
        <v>0</v>
      </c>
      <c r="O839" s="185" t="s">
        <v>51</v>
      </c>
    </row>
    <row r="840" spans="1:15" x14ac:dyDescent="0.25">
      <c r="A840" s="234" t="s">
        <v>849</v>
      </c>
      <c r="B840" s="234" t="s">
        <v>20</v>
      </c>
      <c r="C840" s="245">
        <v>46147</v>
      </c>
      <c r="D840" s="234">
        <v>0</v>
      </c>
      <c r="E840" s="246">
        <v>146043</v>
      </c>
      <c r="F840" s="247" t="s">
        <v>848</v>
      </c>
      <c r="G840" s="34" t="s">
        <v>7</v>
      </c>
      <c r="H840" s="234" t="s">
        <v>850</v>
      </c>
      <c r="I840" s="248" t="s">
        <v>7</v>
      </c>
      <c r="J840" s="249" t="s">
        <v>554</v>
      </c>
      <c r="K840" s="250">
        <v>146043</v>
      </c>
      <c r="L840" s="250">
        <v>0</v>
      </c>
      <c r="M840" s="251" t="s">
        <v>20</v>
      </c>
      <c r="N840" s="252">
        <v>0</v>
      </c>
      <c r="O840" s="185" t="s">
        <v>51</v>
      </c>
    </row>
    <row r="841" spans="1:15" x14ac:dyDescent="0.25">
      <c r="A841" s="234" t="s">
        <v>843</v>
      </c>
      <c r="B841" s="234" t="s">
        <v>20</v>
      </c>
      <c r="C841" s="245">
        <v>46147</v>
      </c>
      <c r="D841" s="234">
        <v>0</v>
      </c>
      <c r="E841" s="246">
        <v>94936</v>
      </c>
      <c r="F841" s="247" t="s">
        <v>842</v>
      </c>
      <c r="G841" s="34" t="s">
        <v>7</v>
      </c>
      <c r="H841" s="234" t="s">
        <v>844</v>
      </c>
      <c r="I841" s="248" t="s">
        <v>7</v>
      </c>
      <c r="J841" s="249" t="s">
        <v>554</v>
      </c>
      <c r="K841" s="250">
        <v>94936</v>
      </c>
      <c r="L841" s="250">
        <v>0</v>
      </c>
      <c r="M841" s="251" t="s">
        <v>20</v>
      </c>
      <c r="N841" s="252">
        <v>0</v>
      </c>
      <c r="O841" s="185" t="s">
        <v>51</v>
      </c>
    </row>
    <row r="842" spans="1:15" x14ac:dyDescent="0.25">
      <c r="A842" s="234" t="s">
        <v>7707</v>
      </c>
      <c r="B842" s="234" t="s">
        <v>20</v>
      </c>
      <c r="C842" s="245">
        <v>46147</v>
      </c>
      <c r="D842" s="234">
        <v>0</v>
      </c>
      <c r="E842" s="246">
        <v>252430.32000000009</v>
      </c>
      <c r="F842" s="247">
        <v>0</v>
      </c>
      <c r="G842" s="34" t="s">
        <v>7</v>
      </c>
      <c r="H842" s="234" t="s">
        <v>7708</v>
      </c>
      <c r="I842" s="248" t="s">
        <v>7</v>
      </c>
      <c r="J842" s="249" t="s">
        <v>492</v>
      </c>
      <c r="K842" s="250">
        <v>0</v>
      </c>
      <c r="L842" s="250">
        <v>0</v>
      </c>
      <c r="M842" s="251" t="s">
        <v>20</v>
      </c>
      <c r="N842" s="252">
        <v>0</v>
      </c>
      <c r="O842" s="185" t="s">
        <v>51</v>
      </c>
    </row>
    <row r="843" spans="1:15" x14ac:dyDescent="0.25">
      <c r="A843" s="234" t="s">
        <v>7709</v>
      </c>
      <c r="B843" s="234" t="s">
        <v>20</v>
      </c>
      <c r="C843" s="245">
        <v>46147</v>
      </c>
      <c r="D843" s="234">
        <v>0</v>
      </c>
      <c r="E843" s="246">
        <v>252218.33999999985</v>
      </c>
      <c r="F843" s="247">
        <v>0</v>
      </c>
      <c r="G843" s="34" t="s">
        <v>7</v>
      </c>
      <c r="H843" s="234" t="s">
        <v>7710</v>
      </c>
      <c r="I843" s="248" t="s">
        <v>7</v>
      </c>
      <c r="J843" s="249" t="s">
        <v>492</v>
      </c>
      <c r="K843" s="250">
        <v>0</v>
      </c>
      <c r="L843" s="250">
        <v>0</v>
      </c>
      <c r="M843" s="251" t="s">
        <v>20</v>
      </c>
      <c r="N843" s="252">
        <v>0</v>
      </c>
      <c r="O843" s="185" t="s">
        <v>51</v>
      </c>
    </row>
    <row r="844" spans="1:15" x14ac:dyDescent="0.25">
      <c r="A844" s="234" t="s">
        <v>7711</v>
      </c>
      <c r="B844" s="234" t="s">
        <v>20</v>
      </c>
      <c r="C844" s="245">
        <v>46147</v>
      </c>
      <c r="D844" s="234">
        <v>0</v>
      </c>
      <c r="E844" s="246">
        <v>201944.05000000005</v>
      </c>
      <c r="F844" s="247">
        <v>0</v>
      </c>
      <c r="G844" s="34" t="s">
        <v>7</v>
      </c>
      <c r="H844" s="234" t="s">
        <v>7712</v>
      </c>
      <c r="I844" s="248" t="s">
        <v>7</v>
      </c>
      <c r="J844" s="249" t="s">
        <v>492</v>
      </c>
      <c r="K844" s="250">
        <v>0</v>
      </c>
      <c r="L844" s="250">
        <v>0</v>
      </c>
      <c r="M844" s="251" t="s">
        <v>20</v>
      </c>
      <c r="N844" s="252">
        <v>0</v>
      </c>
      <c r="O844" s="185" t="s">
        <v>51</v>
      </c>
    </row>
    <row r="845" spans="1:15" x14ac:dyDescent="0.25">
      <c r="A845" s="234" t="s">
        <v>7713</v>
      </c>
      <c r="B845" s="234" t="s">
        <v>20</v>
      </c>
      <c r="C845" s="245">
        <v>46147</v>
      </c>
      <c r="D845" s="234">
        <v>0</v>
      </c>
      <c r="E845" s="246">
        <v>165367.09999999998</v>
      </c>
      <c r="F845" s="247">
        <v>0</v>
      </c>
      <c r="G845" s="34" t="s">
        <v>7</v>
      </c>
      <c r="H845" s="234" t="s">
        <v>7714</v>
      </c>
      <c r="I845" s="248" t="s">
        <v>7</v>
      </c>
      <c r="J845" s="249" t="s">
        <v>492</v>
      </c>
      <c r="K845" s="250">
        <v>0</v>
      </c>
      <c r="L845" s="250">
        <v>0</v>
      </c>
      <c r="M845" s="251" t="s">
        <v>20</v>
      </c>
      <c r="N845" s="252">
        <v>0</v>
      </c>
      <c r="O845" s="185" t="s">
        <v>51</v>
      </c>
    </row>
    <row r="846" spans="1:15" x14ac:dyDescent="0.25">
      <c r="A846" s="234" t="s">
        <v>7715</v>
      </c>
      <c r="B846" s="234" t="s">
        <v>20</v>
      </c>
      <c r="C846" s="245">
        <v>46147</v>
      </c>
      <c r="D846" s="234">
        <v>0</v>
      </c>
      <c r="E846" s="246">
        <v>164899.77000000002</v>
      </c>
      <c r="F846" s="247">
        <v>0</v>
      </c>
      <c r="G846" s="34" t="s">
        <v>7</v>
      </c>
      <c r="H846" s="234" t="s">
        <v>7716</v>
      </c>
      <c r="I846" s="248" t="s">
        <v>7</v>
      </c>
      <c r="J846" s="249" t="s">
        <v>492</v>
      </c>
      <c r="K846" s="250">
        <v>0</v>
      </c>
      <c r="L846" s="250">
        <v>0</v>
      </c>
      <c r="M846" s="251" t="s">
        <v>20</v>
      </c>
      <c r="N846" s="252">
        <v>0</v>
      </c>
      <c r="O846" s="185" t="s">
        <v>51</v>
      </c>
    </row>
    <row r="847" spans="1:15" x14ac:dyDescent="0.25">
      <c r="A847" s="234" t="s">
        <v>7717</v>
      </c>
      <c r="B847" s="234" t="s">
        <v>20</v>
      </c>
      <c r="C847" s="245">
        <v>46147</v>
      </c>
      <c r="D847" s="234">
        <v>0</v>
      </c>
      <c r="E847" s="246">
        <v>164337.17999999991</v>
      </c>
      <c r="F847" s="247">
        <v>0</v>
      </c>
      <c r="G847" s="34" t="s">
        <v>7</v>
      </c>
      <c r="H847" s="234" t="s">
        <v>7718</v>
      </c>
      <c r="I847" s="248" t="s">
        <v>7</v>
      </c>
      <c r="J847" s="249" t="s">
        <v>492</v>
      </c>
      <c r="K847" s="250">
        <v>0</v>
      </c>
      <c r="L847" s="250">
        <v>0</v>
      </c>
      <c r="M847" s="251" t="s">
        <v>20</v>
      </c>
      <c r="N847" s="252">
        <v>0</v>
      </c>
      <c r="O847" s="185" t="s">
        <v>51</v>
      </c>
    </row>
    <row r="848" spans="1:15" x14ac:dyDescent="0.25">
      <c r="A848" s="234" t="s">
        <v>7719</v>
      </c>
      <c r="B848" s="234" t="s">
        <v>20</v>
      </c>
      <c r="C848" s="245">
        <v>46147</v>
      </c>
      <c r="D848" s="234">
        <v>0</v>
      </c>
      <c r="E848" s="246">
        <v>163200.14000000001</v>
      </c>
      <c r="F848" s="247">
        <v>0</v>
      </c>
      <c r="G848" s="34" t="s">
        <v>7</v>
      </c>
      <c r="H848" s="234" t="s">
        <v>7720</v>
      </c>
      <c r="I848" s="248" t="s">
        <v>7</v>
      </c>
      <c r="J848" s="249" t="s">
        <v>492</v>
      </c>
      <c r="K848" s="250">
        <v>0</v>
      </c>
      <c r="L848" s="250">
        <v>0</v>
      </c>
      <c r="M848" s="251" t="s">
        <v>20</v>
      </c>
      <c r="N848" s="252">
        <v>0</v>
      </c>
      <c r="O848" s="185" t="s">
        <v>51</v>
      </c>
    </row>
    <row r="849" spans="1:15" x14ac:dyDescent="0.25">
      <c r="A849" s="234" t="s">
        <v>7721</v>
      </c>
      <c r="B849" s="234" t="s">
        <v>20</v>
      </c>
      <c r="C849" s="245">
        <v>46147</v>
      </c>
      <c r="D849" s="234">
        <v>0</v>
      </c>
      <c r="E849" s="246">
        <v>162549.57999999996</v>
      </c>
      <c r="F849" s="247">
        <v>0</v>
      </c>
      <c r="G849" s="34" t="s">
        <v>7</v>
      </c>
      <c r="H849" s="234" t="s">
        <v>7722</v>
      </c>
      <c r="I849" s="248" t="s">
        <v>7</v>
      </c>
      <c r="J849" s="249" t="s">
        <v>492</v>
      </c>
      <c r="K849" s="250">
        <v>0</v>
      </c>
      <c r="L849" s="250">
        <v>0</v>
      </c>
      <c r="M849" s="251" t="s">
        <v>20</v>
      </c>
      <c r="N849" s="252">
        <v>0</v>
      </c>
      <c r="O849" s="185" t="s">
        <v>51</v>
      </c>
    </row>
    <row r="850" spans="1:15" x14ac:dyDescent="0.25">
      <c r="A850" s="234" t="s">
        <v>7723</v>
      </c>
      <c r="B850" s="234" t="s">
        <v>20</v>
      </c>
      <c r="C850" s="245">
        <v>46147</v>
      </c>
      <c r="D850" s="234">
        <v>0</v>
      </c>
      <c r="E850" s="246">
        <v>162421.85999999999</v>
      </c>
      <c r="F850" s="247">
        <v>0</v>
      </c>
      <c r="G850" s="34" t="s">
        <v>7</v>
      </c>
      <c r="H850" s="234" t="s">
        <v>7724</v>
      </c>
      <c r="I850" s="248" t="s">
        <v>7</v>
      </c>
      <c r="J850" s="249" t="s">
        <v>492</v>
      </c>
      <c r="K850" s="250">
        <v>0</v>
      </c>
      <c r="L850" s="250">
        <v>0</v>
      </c>
      <c r="M850" s="251" t="s">
        <v>20</v>
      </c>
      <c r="N850" s="252">
        <v>0</v>
      </c>
      <c r="O850" s="185" t="s">
        <v>51</v>
      </c>
    </row>
    <row r="851" spans="1:15" x14ac:dyDescent="0.25">
      <c r="A851" s="234" t="s">
        <v>7725</v>
      </c>
      <c r="B851" s="234" t="s">
        <v>20</v>
      </c>
      <c r="C851" s="245">
        <v>46147</v>
      </c>
      <c r="D851" s="234">
        <v>0</v>
      </c>
      <c r="E851" s="246">
        <v>161610.21000000008</v>
      </c>
      <c r="F851" s="247">
        <v>0</v>
      </c>
      <c r="G851" s="34" t="s">
        <v>7</v>
      </c>
      <c r="H851" s="234" t="s">
        <v>7726</v>
      </c>
      <c r="I851" s="248" t="s">
        <v>7</v>
      </c>
      <c r="J851" s="249" t="s">
        <v>492</v>
      </c>
      <c r="K851" s="250">
        <v>0</v>
      </c>
      <c r="L851" s="250">
        <v>0</v>
      </c>
      <c r="M851" s="251" t="s">
        <v>20</v>
      </c>
      <c r="N851" s="252">
        <v>0</v>
      </c>
      <c r="O851" s="185" t="s">
        <v>51</v>
      </c>
    </row>
    <row r="852" spans="1:15" x14ac:dyDescent="0.25">
      <c r="A852" s="234" t="s">
        <v>7727</v>
      </c>
      <c r="B852" s="234" t="s">
        <v>20</v>
      </c>
      <c r="C852" s="245">
        <v>46147</v>
      </c>
      <c r="D852" s="234">
        <v>0</v>
      </c>
      <c r="E852" s="246">
        <v>138247.94000000006</v>
      </c>
      <c r="F852" s="247">
        <v>0</v>
      </c>
      <c r="G852" s="34" t="s">
        <v>7</v>
      </c>
      <c r="H852" s="234" t="s">
        <v>7728</v>
      </c>
      <c r="I852" s="248" t="s">
        <v>7</v>
      </c>
      <c r="J852" s="249" t="s">
        <v>492</v>
      </c>
      <c r="K852" s="250">
        <v>0</v>
      </c>
      <c r="L852" s="250">
        <v>0</v>
      </c>
      <c r="M852" s="251" t="s">
        <v>20</v>
      </c>
      <c r="N852" s="252">
        <v>0</v>
      </c>
      <c r="O852" s="185" t="s">
        <v>51</v>
      </c>
    </row>
    <row r="853" spans="1:15" x14ac:dyDescent="0.25">
      <c r="A853" s="234" t="s">
        <v>1713</v>
      </c>
      <c r="B853" s="234" t="s">
        <v>20</v>
      </c>
      <c r="C853" s="245">
        <v>46147</v>
      </c>
      <c r="D853" s="234">
        <v>0</v>
      </c>
      <c r="E853" s="246">
        <v>703769</v>
      </c>
      <c r="F853" s="247">
        <v>0</v>
      </c>
      <c r="G853" s="34" t="s">
        <v>7</v>
      </c>
      <c r="H853" s="234" t="s">
        <v>1714</v>
      </c>
      <c r="I853" s="248" t="s">
        <v>7</v>
      </c>
      <c r="J853" s="249" t="s">
        <v>492</v>
      </c>
      <c r="K853" s="250">
        <v>0</v>
      </c>
      <c r="L853" s="250">
        <v>0</v>
      </c>
      <c r="M853" s="251" t="s">
        <v>20</v>
      </c>
      <c r="N853" s="252">
        <v>0</v>
      </c>
      <c r="O853" s="185" t="s">
        <v>51</v>
      </c>
    </row>
    <row r="854" spans="1:15" x14ac:dyDescent="0.25">
      <c r="A854" s="234" t="s">
        <v>7729</v>
      </c>
      <c r="B854" s="234" t="s">
        <v>24</v>
      </c>
      <c r="C854" s="245">
        <v>46147</v>
      </c>
      <c r="D854" s="234">
        <v>0</v>
      </c>
      <c r="E854" s="246">
        <v>255500</v>
      </c>
      <c r="F854" s="247">
        <v>0</v>
      </c>
      <c r="G854" s="34" t="s">
        <v>7</v>
      </c>
      <c r="H854" s="234" t="s">
        <v>7730</v>
      </c>
      <c r="I854" s="248" t="s">
        <v>7</v>
      </c>
      <c r="J854" s="249" t="s">
        <v>492</v>
      </c>
      <c r="K854" s="250">
        <v>0</v>
      </c>
      <c r="L854" s="250">
        <v>0</v>
      </c>
      <c r="M854" s="251" t="s">
        <v>24</v>
      </c>
      <c r="N854" s="252">
        <v>0</v>
      </c>
      <c r="O854" s="185" t="s">
        <v>51</v>
      </c>
    </row>
    <row r="855" spans="1:15" x14ac:dyDescent="0.25">
      <c r="A855" s="234" t="s">
        <v>2294</v>
      </c>
      <c r="B855" s="234" t="s">
        <v>24</v>
      </c>
      <c r="C855" s="245">
        <v>46147</v>
      </c>
      <c r="D855" s="234">
        <v>0</v>
      </c>
      <c r="E855" s="246">
        <v>288300</v>
      </c>
      <c r="F855" s="247" t="s">
        <v>2293</v>
      </c>
      <c r="G855" s="34" t="s">
        <v>7</v>
      </c>
      <c r="H855" s="234" t="s">
        <v>2295</v>
      </c>
      <c r="I855" s="248" t="s">
        <v>7</v>
      </c>
      <c r="J855" s="249" t="s">
        <v>554</v>
      </c>
      <c r="K855" s="250">
        <v>289393</v>
      </c>
      <c r="L855" s="250">
        <v>0</v>
      </c>
      <c r="M855" s="251" t="s">
        <v>24</v>
      </c>
      <c r="N855" s="252">
        <v>0</v>
      </c>
      <c r="O855" s="185" t="s">
        <v>51</v>
      </c>
    </row>
    <row r="856" spans="1:15" x14ac:dyDescent="0.25">
      <c r="A856" s="234" t="s">
        <v>7624</v>
      </c>
      <c r="B856" s="234" t="s">
        <v>24</v>
      </c>
      <c r="C856" s="245">
        <v>46147</v>
      </c>
      <c r="D856" s="234">
        <v>0</v>
      </c>
      <c r="E856" s="246">
        <v>60000</v>
      </c>
      <c r="F856" s="247" t="s">
        <v>7625</v>
      </c>
      <c r="G856" s="34" t="s">
        <v>7</v>
      </c>
      <c r="H856" s="234" t="s">
        <v>7626</v>
      </c>
      <c r="I856" s="248" t="s">
        <v>7524</v>
      </c>
      <c r="J856" s="249" t="s">
        <v>7627</v>
      </c>
      <c r="K856" s="250">
        <v>60000</v>
      </c>
      <c r="L856" s="250">
        <v>60000</v>
      </c>
      <c r="M856" s="251" t="s">
        <v>24</v>
      </c>
      <c r="N856" s="252">
        <v>0</v>
      </c>
      <c r="O856" s="185" t="s">
        <v>51</v>
      </c>
    </row>
    <row r="857" spans="1:15" x14ac:dyDescent="0.25">
      <c r="A857" s="234" t="s">
        <v>2277</v>
      </c>
      <c r="B857" s="234" t="s">
        <v>24</v>
      </c>
      <c r="C857" s="245">
        <v>46147</v>
      </c>
      <c r="D857" s="234">
        <v>0</v>
      </c>
      <c r="E857" s="246">
        <v>43000</v>
      </c>
      <c r="F857" s="247" t="s">
        <v>2276</v>
      </c>
      <c r="G857" s="34" t="s">
        <v>7</v>
      </c>
      <c r="H857" s="234" t="s">
        <v>2278</v>
      </c>
      <c r="I857" s="248" t="s">
        <v>7</v>
      </c>
      <c r="J857" s="249" t="s">
        <v>554</v>
      </c>
      <c r="K857" s="250">
        <v>43000</v>
      </c>
      <c r="L857" s="250">
        <v>0</v>
      </c>
      <c r="M857" s="251" t="s">
        <v>24</v>
      </c>
      <c r="N857" s="252">
        <v>0</v>
      </c>
      <c r="O857" s="185" t="s">
        <v>51</v>
      </c>
    </row>
    <row r="858" spans="1:15" x14ac:dyDescent="0.25">
      <c r="A858" s="234" t="s">
        <v>4730</v>
      </c>
      <c r="B858" s="234" t="s">
        <v>24</v>
      </c>
      <c r="C858" s="245">
        <v>46147</v>
      </c>
      <c r="D858" s="234">
        <v>0</v>
      </c>
      <c r="E858" s="246">
        <v>50000</v>
      </c>
      <c r="F858" s="247" t="s">
        <v>4729</v>
      </c>
      <c r="G858" s="34" t="s">
        <v>7</v>
      </c>
      <c r="H858" s="234" t="s">
        <v>4731</v>
      </c>
      <c r="I858" s="248" t="s">
        <v>7</v>
      </c>
      <c r="J858" s="249" t="s">
        <v>554</v>
      </c>
      <c r="K858" s="250">
        <v>50000</v>
      </c>
      <c r="L858" s="250">
        <v>0</v>
      </c>
      <c r="M858" s="251" t="s">
        <v>24</v>
      </c>
      <c r="N858" s="252">
        <v>0</v>
      </c>
      <c r="O858" s="185" t="s">
        <v>51</v>
      </c>
    </row>
    <row r="859" spans="1:15" x14ac:dyDescent="0.25">
      <c r="A859" s="234" t="s">
        <v>2374</v>
      </c>
      <c r="B859" s="234" t="s">
        <v>24</v>
      </c>
      <c r="C859" s="245">
        <v>46147</v>
      </c>
      <c r="D859" s="234">
        <v>0</v>
      </c>
      <c r="E859" s="246">
        <v>53914</v>
      </c>
      <c r="F859" s="247" t="s">
        <v>2377</v>
      </c>
      <c r="G859" s="34" t="s">
        <v>7</v>
      </c>
      <c r="H859" s="234" t="s">
        <v>2375</v>
      </c>
      <c r="I859" s="248" t="s">
        <v>7</v>
      </c>
      <c r="J859" s="249" t="s">
        <v>554</v>
      </c>
      <c r="K859" s="250">
        <v>53914</v>
      </c>
      <c r="L859" s="250">
        <v>0</v>
      </c>
      <c r="M859" s="251" t="s">
        <v>24</v>
      </c>
      <c r="N859" s="252">
        <v>0</v>
      </c>
      <c r="O859" s="185" t="s">
        <v>51</v>
      </c>
    </row>
    <row r="860" spans="1:15" x14ac:dyDescent="0.25">
      <c r="A860" s="234" t="s">
        <v>7731</v>
      </c>
      <c r="B860" s="234" t="s">
        <v>24</v>
      </c>
      <c r="C860" s="245">
        <v>46147</v>
      </c>
      <c r="D860" s="234">
        <v>0</v>
      </c>
      <c r="E860" s="246">
        <v>110000</v>
      </c>
      <c r="F860" s="247" t="s">
        <v>7732</v>
      </c>
      <c r="G860" s="34" t="s">
        <v>7</v>
      </c>
      <c r="H860" s="234" t="s">
        <v>7733</v>
      </c>
      <c r="I860" s="248" t="s">
        <v>7524</v>
      </c>
      <c r="J860" s="249" t="s">
        <v>7627</v>
      </c>
      <c r="K860" s="250">
        <v>110000</v>
      </c>
      <c r="L860" s="250">
        <v>110000</v>
      </c>
      <c r="M860" s="251" t="s">
        <v>24</v>
      </c>
      <c r="N860" s="252">
        <v>0</v>
      </c>
      <c r="O860" s="185" t="s">
        <v>51</v>
      </c>
    </row>
    <row r="861" spans="1:15" x14ac:dyDescent="0.25">
      <c r="A861" s="234" t="s">
        <v>5801</v>
      </c>
      <c r="B861" s="234" t="s">
        <v>24</v>
      </c>
      <c r="C861" s="245">
        <v>46147</v>
      </c>
      <c r="D861" s="234">
        <v>0</v>
      </c>
      <c r="E861" s="246">
        <v>310000</v>
      </c>
      <c r="F861" s="247" t="s">
        <v>5800</v>
      </c>
      <c r="G861" s="34" t="s">
        <v>7</v>
      </c>
      <c r="H861" s="234" t="s">
        <v>5802</v>
      </c>
      <c r="I861" s="248" t="s">
        <v>7</v>
      </c>
      <c r="J861" s="249" t="s">
        <v>61</v>
      </c>
      <c r="K861" s="250">
        <v>310000</v>
      </c>
      <c r="L861" s="250">
        <v>0</v>
      </c>
      <c r="M861" s="251" t="s">
        <v>24</v>
      </c>
      <c r="N861" s="252">
        <v>0</v>
      </c>
      <c r="O861" s="185" t="s">
        <v>51</v>
      </c>
    </row>
    <row r="862" spans="1:15" x14ac:dyDescent="0.25">
      <c r="A862" s="234" t="s">
        <v>2256</v>
      </c>
      <c r="B862" s="234" t="s">
        <v>24</v>
      </c>
      <c r="C862" s="245">
        <v>46147</v>
      </c>
      <c r="D862" s="234">
        <v>0</v>
      </c>
      <c r="E862" s="246">
        <v>25000</v>
      </c>
      <c r="F862" s="247" t="s">
        <v>2258</v>
      </c>
      <c r="G862" s="34" t="s">
        <v>7</v>
      </c>
      <c r="H862" s="234" t="s">
        <v>2257</v>
      </c>
      <c r="I862" s="248" t="s">
        <v>7</v>
      </c>
      <c r="J862" s="249" t="s">
        <v>554</v>
      </c>
      <c r="K862" s="250">
        <v>25000</v>
      </c>
      <c r="L862" s="250">
        <v>0</v>
      </c>
      <c r="M862" s="251" t="s">
        <v>24</v>
      </c>
      <c r="N862" s="252">
        <v>0</v>
      </c>
      <c r="O862" s="185" t="s">
        <v>51</v>
      </c>
    </row>
    <row r="863" spans="1:15" x14ac:dyDescent="0.25">
      <c r="A863" s="234" t="s">
        <v>2352</v>
      </c>
      <c r="B863" s="234" t="s">
        <v>24</v>
      </c>
      <c r="C863" s="245">
        <v>46147</v>
      </c>
      <c r="D863" s="234">
        <v>0</v>
      </c>
      <c r="E863" s="246">
        <v>164821</v>
      </c>
      <c r="F863" s="247" t="s">
        <v>2351</v>
      </c>
      <c r="G863" s="34" t="s">
        <v>7</v>
      </c>
      <c r="H863" s="234" t="s">
        <v>2353</v>
      </c>
      <c r="I863" s="248" t="s">
        <v>7</v>
      </c>
      <c r="J863" s="249" t="s">
        <v>61</v>
      </c>
      <c r="K863" s="250">
        <v>164821</v>
      </c>
      <c r="L863" s="250">
        <v>0</v>
      </c>
      <c r="M863" s="251" t="s">
        <v>24</v>
      </c>
      <c r="N863" s="252">
        <v>0</v>
      </c>
      <c r="O863" s="185" t="s">
        <v>51</v>
      </c>
    </row>
    <row r="864" spans="1:15" x14ac:dyDescent="0.25">
      <c r="A864" s="234" t="s">
        <v>4634</v>
      </c>
      <c r="B864" s="234" t="s">
        <v>24</v>
      </c>
      <c r="C864" s="245">
        <v>46147</v>
      </c>
      <c r="D864" s="234">
        <v>0</v>
      </c>
      <c r="E864" s="246">
        <v>64023</v>
      </c>
      <c r="F864" s="247" t="s">
        <v>4633</v>
      </c>
      <c r="G864" s="34" t="s">
        <v>7</v>
      </c>
      <c r="H864" s="234" t="s">
        <v>4635</v>
      </c>
      <c r="I864" s="248" t="s">
        <v>7</v>
      </c>
      <c r="J864" s="249" t="s">
        <v>61</v>
      </c>
      <c r="K864" s="250">
        <v>64023</v>
      </c>
      <c r="L864" s="250">
        <v>0</v>
      </c>
      <c r="M864" s="251" t="s">
        <v>24</v>
      </c>
      <c r="N864" s="252">
        <v>0</v>
      </c>
      <c r="O864" s="185" t="s">
        <v>51</v>
      </c>
    </row>
    <row r="865" spans="1:15" x14ac:dyDescent="0.25">
      <c r="A865" s="234" t="s">
        <v>2246</v>
      </c>
      <c r="B865" s="234" t="s">
        <v>24</v>
      </c>
      <c r="C865" s="245">
        <v>46147</v>
      </c>
      <c r="D865" s="234">
        <v>0</v>
      </c>
      <c r="E865" s="246">
        <v>159785</v>
      </c>
      <c r="F865" s="247" t="s">
        <v>2245</v>
      </c>
      <c r="G865" s="34" t="s">
        <v>7</v>
      </c>
      <c r="H865" s="234" t="s">
        <v>2247</v>
      </c>
      <c r="I865" s="248" t="s">
        <v>7</v>
      </c>
      <c r="J865" s="249" t="s">
        <v>554</v>
      </c>
      <c r="K865" s="250">
        <v>159785</v>
      </c>
      <c r="L865" s="250">
        <v>0</v>
      </c>
      <c r="M865" s="251" t="s">
        <v>24</v>
      </c>
      <c r="N865" s="252">
        <v>0</v>
      </c>
      <c r="O865" s="185" t="s">
        <v>51</v>
      </c>
    </row>
    <row r="866" spans="1:15" x14ac:dyDescent="0.25">
      <c r="A866" s="234" t="s">
        <v>4703</v>
      </c>
      <c r="B866" s="234" t="s">
        <v>24</v>
      </c>
      <c r="C866" s="245">
        <v>46147</v>
      </c>
      <c r="D866" s="234">
        <v>0</v>
      </c>
      <c r="E866" s="246">
        <v>20000</v>
      </c>
      <c r="F866" s="247" t="s">
        <v>7734</v>
      </c>
      <c r="G866" s="34" t="s">
        <v>7</v>
      </c>
      <c r="H866" s="234" t="s">
        <v>4704</v>
      </c>
      <c r="I866" s="248" t="s">
        <v>7</v>
      </c>
      <c r="J866" s="249" t="s">
        <v>492</v>
      </c>
      <c r="K866" s="250">
        <v>0</v>
      </c>
      <c r="L866" s="250">
        <v>0</v>
      </c>
      <c r="M866" s="251" t="s">
        <v>24</v>
      </c>
      <c r="N866" s="252">
        <v>0</v>
      </c>
      <c r="O866" s="185" t="s">
        <v>51</v>
      </c>
    </row>
    <row r="867" spans="1:15" x14ac:dyDescent="0.25">
      <c r="A867" s="234" t="s">
        <v>4703</v>
      </c>
      <c r="B867" s="234" t="s">
        <v>24</v>
      </c>
      <c r="C867" s="245">
        <v>46147</v>
      </c>
      <c r="D867" s="234">
        <v>0</v>
      </c>
      <c r="E867" s="246">
        <v>20000</v>
      </c>
      <c r="F867" s="247" t="s">
        <v>7735</v>
      </c>
      <c r="G867" s="34" t="s">
        <v>7</v>
      </c>
      <c r="H867" s="234" t="s">
        <v>4704</v>
      </c>
      <c r="I867" s="248" t="s">
        <v>7</v>
      </c>
      <c r="J867" s="249" t="s">
        <v>492</v>
      </c>
      <c r="K867" s="250">
        <v>0</v>
      </c>
      <c r="L867" s="250">
        <v>0</v>
      </c>
      <c r="M867" s="251" t="s">
        <v>24</v>
      </c>
      <c r="N867" s="252">
        <v>0</v>
      </c>
      <c r="O867" s="185" t="s">
        <v>51</v>
      </c>
    </row>
    <row r="868" spans="1:15" x14ac:dyDescent="0.25">
      <c r="A868" s="234" t="s">
        <v>4703</v>
      </c>
      <c r="B868" s="234" t="s">
        <v>24</v>
      </c>
      <c r="C868" s="245">
        <v>46147</v>
      </c>
      <c r="D868" s="234">
        <v>0</v>
      </c>
      <c r="E868" s="246">
        <v>20000</v>
      </c>
      <c r="F868" s="247" t="s">
        <v>7736</v>
      </c>
      <c r="G868" s="34" t="s">
        <v>7</v>
      </c>
      <c r="H868" s="234" t="s">
        <v>4704</v>
      </c>
      <c r="I868" s="248" t="s">
        <v>7</v>
      </c>
      <c r="J868" s="249" t="s">
        <v>492</v>
      </c>
      <c r="K868" s="250">
        <v>0</v>
      </c>
      <c r="L868" s="250">
        <v>0</v>
      </c>
      <c r="M868" s="251" t="s">
        <v>24</v>
      </c>
      <c r="N868" s="252">
        <v>0</v>
      </c>
      <c r="O868" s="185" t="s">
        <v>51</v>
      </c>
    </row>
    <row r="869" spans="1:15" x14ac:dyDescent="0.25">
      <c r="A869" s="234" t="s">
        <v>4703</v>
      </c>
      <c r="B869" s="234" t="s">
        <v>24</v>
      </c>
      <c r="C869" s="245">
        <v>46147</v>
      </c>
      <c r="D869" s="234">
        <v>0</v>
      </c>
      <c r="E869" s="246">
        <v>20000</v>
      </c>
      <c r="F869" s="247" t="s">
        <v>7737</v>
      </c>
      <c r="G869" s="34" t="s">
        <v>7</v>
      </c>
      <c r="H869" s="234" t="s">
        <v>4704</v>
      </c>
      <c r="I869" s="248" t="s">
        <v>7</v>
      </c>
      <c r="J869" s="249" t="s">
        <v>492</v>
      </c>
      <c r="K869" s="250">
        <v>0</v>
      </c>
      <c r="L869" s="250">
        <v>0</v>
      </c>
      <c r="M869" s="251" t="s">
        <v>24</v>
      </c>
      <c r="N869" s="252">
        <v>0</v>
      </c>
      <c r="O869" s="185" t="s">
        <v>51</v>
      </c>
    </row>
    <row r="870" spans="1:15" x14ac:dyDescent="0.25">
      <c r="A870" s="234" t="s">
        <v>4703</v>
      </c>
      <c r="B870" s="234" t="s">
        <v>24</v>
      </c>
      <c r="C870" s="245">
        <v>46147</v>
      </c>
      <c r="D870" s="234">
        <v>0</v>
      </c>
      <c r="E870" s="246">
        <v>20000</v>
      </c>
      <c r="F870" s="247" t="s">
        <v>7738</v>
      </c>
      <c r="G870" s="34" t="s">
        <v>7</v>
      </c>
      <c r="H870" s="234" t="s">
        <v>4704</v>
      </c>
      <c r="I870" s="248" t="s">
        <v>7</v>
      </c>
      <c r="J870" s="249" t="s">
        <v>492</v>
      </c>
      <c r="K870" s="250">
        <v>0</v>
      </c>
      <c r="L870" s="250">
        <v>0</v>
      </c>
      <c r="M870" s="251" t="s">
        <v>24</v>
      </c>
      <c r="N870" s="252">
        <v>0</v>
      </c>
      <c r="O870" s="185" t="s">
        <v>51</v>
      </c>
    </row>
    <row r="871" spans="1:15" x14ac:dyDescent="0.25">
      <c r="A871" s="234" t="s">
        <v>5807</v>
      </c>
      <c r="B871" s="234" t="s">
        <v>24</v>
      </c>
      <c r="C871" s="245">
        <v>46147</v>
      </c>
      <c r="D871" s="234">
        <v>0</v>
      </c>
      <c r="E871" s="246">
        <v>405734</v>
      </c>
      <c r="F871" s="247" t="s">
        <v>5806</v>
      </c>
      <c r="G871" s="34" t="s">
        <v>7</v>
      </c>
      <c r="H871" s="234" t="s">
        <v>5808</v>
      </c>
      <c r="I871" s="248" t="s">
        <v>7</v>
      </c>
      <c r="J871" s="249" t="s">
        <v>554</v>
      </c>
      <c r="K871" s="250">
        <v>405734</v>
      </c>
      <c r="L871" s="250">
        <v>0</v>
      </c>
      <c r="M871" s="251" t="s">
        <v>24</v>
      </c>
      <c r="N871" s="252">
        <v>0</v>
      </c>
      <c r="O871" s="185" t="s">
        <v>51</v>
      </c>
    </row>
    <row r="872" spans="1:15" x14ac:dyDescent="0.25">
      <c r="A872" s="234" t="s">
        <v>7739</v>
      </c>
      <c r="B872" s="234" t="s">
        <v>46</v>
      </c>
      <c r="C872" s="245">
        <v>46147</v>
      </c>
      <c r="D872" s="234">
        <v>0</v>
      </c>
      <c r="E872" s="246">
        <v>501000</v>
      </c>
      <c r="F872" s="247">
        <v>0</v>
      </c>
      <c r="G872" s="34" t="s">
        <v>83</v>
      </c>
      <c r="H872" s="234" t="s">
        <v>7740</v>
      </c>
      <c r="I872" s="248" t="s">
        <v>7</v>
      </c>
      <c r="J872" s="249" t="s">
        <v>492</v>
      </c>
      <c r="K872" s="250">
        <v>0</v>
      </c>
      <c r="L872" s="250">
        <v>0</v>
      </c>
      <c r="M872" s="251" t="s">
        <v>46</v>
      </c>
      <c r="N872" s="252">
        <v>0</v>
      </c>
      <c r="O872" s="185" t="s">
        <v>51</v>
      </c>
    </row>
    <row r="873" spans="1:15" x14ac:dyDescent="0.25">
      <c r="A873" s="234" t="s">
        <v>5442</v>
      </c>
      <c r="B873" s="234" t="s">
        <v>46</v>
      </c>
      <c r="C873" s="245">
        <v>46147</v>
      </c>
      <c r="D873" s="234">
        <v>0</v>
      </c>
      <c r="E873" s="246">
        <v>100000</v>
      </c>
      <c r="F873" s="247">
        <v>0</v>
      </c>
      <c r="G873" s="34" t="s">
        <v>83</v>
      </c>
      <c r="H873" s="234" t="s">
        <v>5443</v>
      </c>
      <c r="I873" s="248" t="s">
        <v>7</v>
      </c>
      <c r="J873" s="249" t="s">
        <v>492</v>
      </c>
      <c r="K873" s="250">
        <v>0</v>
      </c>
      <c r="L873" s="250">
        <v>0</v>
      </c>
      <c r="M873" s="251" t="s">
        <v>46</v>
      </c>
      <c r="N873" s="252">
        <v>0</v>
      </c>
      <c r="O873" s="185" t="s">
        <v>51</v>
      </c>
    </row>
    <row r="874" spans="1:15" x14ac:dyDescent="0.25">
      <c r="A874" s="234" t="s">
        <v>2471</v>
      </c>
      <c r="B874" s="234" t="s">
        <v>19</v>
      </c>
      <c r="C874" s="245">
        <v>46147</v>
      </c>
      <c r="D874" s="234" t="s">
        <v>546</v>
      </c>
      <c r="E874" s="246">
        <v>50000</v>
      </c>
      <c r="F874" s="247" t="s">
        <v>2470</v>
      </c>
      <c r="G874" s="34" t="s">
        <v>7</v>
      </c>
      <c r="H874" s="234" t="s">
        <v>2472</v>
      </c>
      <c r="I874" s="248" t="s">
        <v>7</v>
      </c>
      <c r="J874" s="249" t="s">
        <v>554</v>
      </c>
      <c r="K874" s="250">
        <v>50000</v>
      </c>
      <c r="L874" s="250">
        <v>0</v>
      </c>
      <c r="M874" s="251" t="s">
        <v>19</v>
      </c>
      <c r="N874" s="252">
        <v>0</v>
      </c>
      <c r="O874" s="185" t="s">
        <v>51</v>
      </c>
    </row>
    <row r="875" spans="1:15" x14ac:dyDescent="0.25">
      <c r="A875" s="234" t="s">
        <v>2729</v>
      </c>
      <c r="B875" s="234" t="s">
        <v>19</v>
      </c>
      <c r="C875" s="245">
        <v>46147</v>
      </c>
      <c r="D875" s="234" t="s">
        <v>575</v>
      </c>
      <c r="E875" s="246">
        <v>264625</v>
      </c>
      <c r="F875" s="247" t="s">
        <v>2728</v>
      </c>
      <c r="G875" s="34" t="s">
        <v>7</v>
      </c>
      <c r="H875" s="234" t="s">
        <v>2730</v>
      </c>
      <c r="I875" s="248" t="s">
        <v>7</v>
      </c>
      <c r="J875" s="249" t="s">
        <v>61</v>
      </c>
      <c r="K875" s="250">
        <v>264625</v>
      </c>
      <c r="L875" s="250">
        <v>0</v>
      </c>
      <c r="M875" s="251" t="s">
        <v>19</v>
      </c>
      <c r="N875" s="252">
        <v>0</v>
      </c>
      <c r="O875" s="185" t="s">
        <v>51</v>
      </c>
    </row>
    <row r="876" spans="1:15" x14ac:dyDescent="0.25">
      <c r="A876" s="234" t="s">
        <v>3342</v>
      </c>
      <c r="B876" s="234" t="s">
        <v>19</v>
      </c>
      <c r="C876" s="245">
        <v>46147</v>
      </c>
      <c r="D876" s="234" t="s">
        <v>595</v>
      </c>
      <c r="E876" s="246">
        <v>359.21</v>
      </c>
      <c r="F876" s="247" t="s">
        <v>3341</v>
      </c>
      <c r="G876" s="34" t="s">
        <v>7</v>
      </c>
      <c r="H876" s="234" t="s">
        <v>3343</v>
      </c>
      <c r="I876" s="248" t="s">
        <v>7</v>
      </c>
      <c r="J876" s="249" t="s">
        <v>61</v>
      </c>
      <c r="K876" s="250">
        <v>359.21</v>
      </c>
      <c r="L876" s="250">
        <v>0</v>
      </c>
      <c r="M876" s="251" t="s">
        <v>19</v>
      </c>
      <c r="N876" s="252">
        <v>0</v>
      </c>
      <c r="O876" s="185" t="s">
        <v>51</v>
      </c>
    </row>
    <row r="877" spans="1:15" x14ac:dyDescent="0.25">
      <c r="A877" s="234" t="s">
        <v>2961</v>
      </c>
      <c r="B877" s="234" t="s">
        <v>19</v>
      </c>
      <c r="C877" s="245">
        <v>46147</v>
      </c>
      <c r="D877" s="234" t="s">
        <v>546</v>
      </c>
      <c r="E877" s="246">
        <v>40120</v>
      </c>
      <c r="F877" s="247" t="s">
        <v>2960</v>
      </c>
      <c r="G877" s="34" t="s">
        <v>7</v>
      </c>
      <c r="H877" s="234" t="s">
        <v>2962</v>
      </c>
      <c r="I877" s="248" t="s">
        <v>7</v>
      </c>
      <c r="J877" s="249" t="s">
        <v>554</v>
      </c>
      <c r="K877" s="250">
        <v>40120</v>
      </c>
      <c r="L877" s="250">
        <v>0</v>
      </c>
      <c r="M877" s="251" t="s">
        <v>19</v>
      </c>
      <c r="N877" s="252">
        <v>0</v>
      </c>
      <c r="O877" s="185" t="s">
        <v>51</v>
      </c>
    </row>
    <row r="878" spans="1:15" x14ac:dyDescent="0.25">
      <c r="A878" s="234" t="s">
        <v>3637</v>
      </c>
      <c r="B878" s="234" t="s">
        <v>19</v>
      </c>
      <c r="C878" s="245">
        <v>46147</v>
      </c>
      <c r="D878" s="234" t="s">
        <v>546</v>
      </c>
      <c r="E878" s="246">
        <v>25000</v>
      </c>
      <c r="F878" s="247" t="s">
        <v>3636</v>
      </c>
      <c r="G878" s="34" t="s">
        <v>7</v>
      </c>
      <c r="H878" s="234" t="s">
        <v>3639</v>
      </c>
      <c r="I878" s="248" t="s">
        <v>7</v>
      </c>
      <c r="J878" s="249" t="s">
        <v>554</v>
      </c>
      <c r="K878" s="250">
        <v>25000</v>
      </c>
      <c r="L878" s="250">
        <v>0</v>
      </c>
      <c r="M878" s="251" t="s">
        <v>19</v>
      </c>
      <c r="N878" s="252">
        <v>0</v>
      </c>
      <c r="O878" s="185" t="s">
        <v>51</v>
      </c>
    </row>
    <row r="879" spans="1:15" x14ac:dyDescent="0.25">
      <c r="A879" s="234" t="s">
        <v>913</v>
      </c>
      <c r="B879" s="234" t="s">
        <v>19</v>
      </c>
      <c r="C879" s="245">
        <v>46147</v>
      </c>
      <c r="D879" s="234" t="s">
        <v>546</v>
      </c>
      <c r="E879" s="246">
        <v>8200</v>
      </c>
      <c r="F879" s="247" t="s">
        <v>916</v>
      </c>
      <c r="G879" s="34" t="s">
        <v>7</v>
      </c>
      <c r="H879" s="234" t="s">
        <v>914</v>
      </c>
      <c r="I879" s="248" t="s">
        <v>7</v>
      </c>
      <c r="J879" s="249" t="s">
        <v>554</v>
      </c>
      <c r="K879" s="250">
        <v>8200</v>
      </c>
      <c r="L879" s="250">
        <v>0</v>
      </c>
      <c r="M879" s="251" t="s">
        <v>19</v>
      </c>
      <c r="N879" s="252">
        <v>0</v>
      </c>
      <c r="O879" s="185" t="s">
        <v>51</v>
      </c>
    </row>
    <row r="880" spans="1:15" x14ac:dyDescent="0.25">
      <c r="A880" s="234" t="s">
        <v>913</v>
      </c>
      <c r="B880" s="234" t="s">
        <v>19</v>
      </c>
      <c r="C880" s="245">
        <v>46147</v>
      </c>
      <c r="D880" s="234" t="s">
        <v>546</v>
      </c>
      <c r="E880" s="246">
        <v>8200</v>
      </c>
      <c r="F880" s="247" t="s">
        <v>920</v>
      </c>
      <c r="G880" s="34" t="s">
        <v>7</v>
      </c>
      <c r="H880" s="234" t="s">
        <v>914</v>
      </c>
      <c r="I880" s="248" t="s">
        <v>7</v>
      </c>
      <c r="J880" s="249" t="s">
        <v>554</v>
      </c>
      <c r="K880" s="250">
        <v>8200</v>
      </c>
      <c r="L880" s="250">
        <v>0</v>
      </c>
      <c r="M880" s="251" t="s">
        <v>19</v>
      </c>
      <c r="N880" s="252">
        <v>0</v>
      </c>
      <c r="O880" s="185" t="s">
        <v>51</v>
      </c>
    </row>
    <row r="881" spans="1:15" x14ac:dyDescent="0.25">
      <c r="A881" s="234" t="s">
        <v>913</v>
      </c>
      <c r="B881" s="234" t="s">
        <v>19</v>
      </c>
      <c r="C881" s="245">
        <v>46147</v>
      </c>
      <c r="D881" s="234" t="s">
        <v>546</v>
      </c>
      <c r="E881" s="246">
        <v>8200</v>
      </c>
      <c r="F881" s="247" t="s">
        <v>922</v>
      </c>
      <c r="G881" s="34" t="s">
        <v>7</v>
      </c>
      <c r="H881" s="234" t="s">
        <v>914</v>
      </c>
      <c r="I881" s="248" t="s">
        <v>7</v>
      </c>
      <c r="J881" s="249" t="s">
        <v>554</v>
      </c>
      <c r="K881" s="250">
        <v>8200</v>
      </c>
      <c r="L881" s="250">
        <v>0</v>
      </c>
      <c r="M881" s="251" t="s">
        <v>19</v>
      </c>
      <c r="N881" s="252">
        <v>0</v>
      </c>
      <c r="O881" s="185" t="s">
        <v>51</v>
      </c>
    </row>
    <row r="882" spans="1:15" x14ac:dyDescent="0.25">
      <c r="A882" s="234" t="s">
        <v>904</v>
      </c>
      <c r="B882" s="234" t="s">
        <v>19</v>
      </c>
      <c r="C882" s="245">
        <v>46147</v>
      </c>
      <c r="D882" s="234" t="s">
        <v>546</v>
      </c>
      <c r="E882" s="246">
        <v>8100</v>
      </c>
      <c r="F882" s="247" t="s">
        <v>907</v>
      </c>
      <c r="G882" s="34" t="s">
        <v>7</v>
      </c>
      <c r="H882" s="234" t="s">
        <v>905</v>
      </c>
      <c r="I882" s="248" t="s">
        <v>7</v>
      </c>
      <c r="J882" s="249" t="s">
        <v>554</v>
      </c>
      <c r="K882" s="250">
        <v>8100</v>
      </c>
      <c r="L882" s="250">
        <v>0</v>
      </c>
      <c r="M882" s="251" t="s">
        <v>19</v>
      </c>
      <c r="N882" s="252">
        <v>0</v>
      </c>
      <c r="O882" s="185" t="s">
        <v>51</v>
      </c>
    </row>
    <row r="883" spans="1:15" x14ac:dyDescent="0.25">
      <c r="A883" s="234" t="s">
        <v>2046</v>
      </c>
      <c r="B883" s="234" t="s">
        <v>19</v>
      </c>
      <c r="C883" s="245">
        <v>46147</v>
      </c>
      <c r="D883" s="234" t="s">
        <v>595</v>
      </c>
      <c r="E883" s="246">
        <v>100</v>
      </c>
      <c r="F883" s="247" t="s">
        <v>2045</v>
      </c>
      <c r="G883" s="34" t="s">
        <v>7</v>
      </c>
      <c r="H883" s="234" t="s">
        <v>2047</v>
      </c>
      <c r="I883" s="248" t="s">
        <v>7</v>
      </c>
      <c r="J883" s="249" t="s">
        <v>582</v>
      </c>
      <c r="K883" s="250">
        <v>100</v>
      </c>
      <c r="L883" s="250">
        <v>0</v>
      </c>
      <c r="M883" s="251" t="s">
        <v>19</v>
      </c>
      <c r="N883" s="252">
        <v>0</v>
      </c>
      <c r="O883" s="185" t="s">
        <v>51</v>
      </c>
    </row>
    <row r="884" spans="1:15" x14ac:dyDescent="0.25">
      <c r="A884" s="234" t="s">
        <v>2043</v>
      </c>
      <c r="B884" s="234" t="s">
        <v>19</v>
      </c>
      <c r="C884" s="245">
        <v>46147</v>
      </c>
      <c r="D884" s="234" t="s">
        <v>64</v>
      </c>
      <c r="E884" s="246">
        <v>679221.7</v>
      </c>
      <c r="F884" s="247" t="s">
        <v>2042</v>
      </c>
      <c r="G884" s="34" t="s">
        <v>7</v>
      </c>
      <c r="H884" s="234" t="s">
        <v>2044</v>
      </c>
      <c r="I884" s="248" t="s">
        <v>7</v>
      </c>
      <c r="J884" s="249" t="s">
        <v>554</v>
      </c>
      <c r="K884" s="250">
        <v>679221.7</v>
      </c>
      <c r="L884" s="250">
        <v>0</v>
      </c>
      <c r="M884" s="251" t="s">
        <v>19</v>
      </c>
      <c r="N884" s="252">
        <v>0</v>
      </c>
      <c r="O884" s="185" t="s">
        <v>51</v>
      </c>
    </row>
    <row r="885" spans="1:15" x14ac:dyDescent="0.25">
      <c r="A885" s="234" t="s">
        <v>4844</v>
      </c>
      <c r="B885" s="234" t="s">
        <v>10</v>
      </c>
      <c r="C885" s="245">
        <v>46147</v>
      </c>
      <c r="D885" s="234">
        <v>0</v>
      </c>
      <c r="E885" s="246">
        <v>50000</v>
      </c>
      <c r="F885" s="247" t="s">
        <v>4847</v>
      </c>
      <c r="G885" s="34" t="s">
        <v>7</v>
      </c>
      <c r="H885" s="234" t="s">
        <v>4845</v>
      </c>
      <c r="I885" s="248" t="s">
        <v>7</v>
      </c>
      <c r="J885" s="249" t="s">
        <v>554</v>
      </c>
      <c r="K885" s="250">
        <v>50000</v>
      </c>
      <c r="L885" s="250">
        <v>0</v>
      </c>
      <c r="M885" s="251" t="s">
        <v>10</v>
      </c>
      <c r="N885" s="252">
        <v>0</v>
      </c>
      <c r="O885" s="185" t="s">
        <v>77</v>
      </c>
    </row>
    <row r="886" spans="1:15" x14ac:dyDescent="0.25">
      <c r="A886" s="234" t="s">
        <v>4844</v>
      </c>
      <c r="B886" s="234" t="s">
        <v>10</v>
      </c>
      <c r="C886" s="245">
        <v>46147</v>
      </c>
      <c r="D886" s="234">
        <v>0</v>
      </c>
      <c r="E886" s="246">
        <v>50000</v>
      </c>
      <c r="F886" s="247" t="s">
        <v>4843</v>
      </c>
      <c r="G886" s="34" t="s">
        <v>7</v>
      </c>
      <c r="H886" s="234" t="s">
        <v>4845</v>
      </c>
      <c r="I886" s="248" t="s">
        <v>7</v>
      </c>
      <c r="J886" s="249" t="s">
        <v>554</v>
      </c>
      <c r="K886" s="250">
        <v>50000</v>
      </c>
      <c r="L886" s="250">
        <v>0</v>
      </c>
      <c r="M886" s="251" t="s">
        <v>10</v>
      </c>
      <c r="N886" s="252">
        <v>0</v>
      </c>
      <c r="O886" s="185" t="s">
        <v>77</v>
      </c>
    </row>
    <row r="887" spans="1:15" x14ac:dyDescent="0.25">
      <c r="A887" s="234" t="s">
        <v>4785</v>
      </c>
      <c r="B887" s="234" t="s">
        <v>10</v>
      </c>
      <c r="C887" s="245">
        <v>46147</v>
      </c>
      <c r="D887" s="234">
        <v>0</v>
      </c>
      <c r="E887" s="246">
        <v>119400</v>
      </c>
      <c r="F887" s="247" t="s">
        <v>7741</v>
      </c>
      <c r="G887" s="34" t="s">
        <v>7</v>
      </c>
      <c r="H887" s="234" t="s">
        <v>4786</v>
      </c>
      <c r="I887" s="248" t="s">
        <v>7</v>
      </c>
      <c r="J887" s="249" t="s">
        <v>492</v>
      </c>
      <c r="K887" s="250">
        <v>0</v>
      </c>
      <c r="L887" s="250">
        <v>0</v>
      </c>
      <c r="M887" s="251" t="s">
        <v>10</v>
      </c>
      <c r="N887" s="252">
        <v>0</v>
      </c>
      <c r="O887" s="185" t="s">
        <v>77</v>
      </c>
    </row>
    <row r="888" spans="1:15" x14ac:dyDescent="0.25">
      <c r="A888" s="234" t="s">
        <v>4878</v>
      </c>
      <c r="B888" s="234" t="s">
        <v>10</v>
      </c>
      <c r="C888" s="245">
        <v>46147</v>
      </c>
      <c r="D888" s="234">
        <v>0</v>
      </c>
      <c r="E888" s="246">
        <v>150413</v>
      </c>
      <c r="F888" s="247" t="s">
        <v>4881</v>
      </c>
      <c r="G888" s="34" t="s">
        <v>7</v>
      </c>
      <c r="H888" s="234" t="s">
        <v>4880</v>
      </c>
      <c r="I888" s="248" t="s">
        <v>7</v>
      </c>
      <c r="J888" s="249" t="s">
        <v>554</v>
      </c>
      <c r="K888" s="250">
        <v>150413.18</v>
      </c>
      <c r="L888" s="250">
        <v>0</v>
      </c>
      <c r="M888" s="251" t="s">
        <v>10</v>
      </c>
      <c r="N888" s="252">
        <v>0</v>
      </c>
      <c r="O888" s="185" t="s">
        <v>77</v>
      </c>
    </row>
    <row r="889" spans="1:15" x14ac:dyDescent="0.25">
      <c r="A889" s="234" t="s">
        <v>4875</v>
      </c>
      <c r="B889" s="234" t="s">
        <v>10</v>
      </c>
      <c r="C889" s="245">
        <v>46147</v>
      </c>
      <c r="D889" s="234">
        <v>0</v>
      </c>
      <c r="E889" s="246">
        <v>118702</v>
      </c>
      <c r="F889" s="247" t="s">
        <v>4874</v>
      </c>
      <c r="G889" s="34" t="s">
        <v>7</v>
      </c>
      <c r="H889" s="234" t="s">
        <v>4876</v>
      </c>
      <c r="I889" s="248" t="s">
        <v>7</v>
      </c>
      <c r="J889" s="249" t="s">
        <v>554</v>
      </c>
      <c r="K889" s="250">
        <v>118702</v>
      </c>
      <c r="L889" s="250">
        <v>0</v>
      </c>
      <c r="M889" s="251" t="s">
        <v>10</v>
      </c>
      <c r="N889" s="252">
        <v>0</v>
      </c>
      <c r="O889" s="185" t="s">
        <v>77</v>
      </c>
    </row>
    <row r="890" spans="1:15" x14ac:dyDescent="0.25">
      <c r="A890" s="234" t="s">
        <v>4923</v>
      </c>
      <c r="B890" s="234" t="s">
        <v>10</v>
      </c>
      <c r="C890" s="245">
        <v>46147</v>
      </c>
      <c r="D890" s="234">
        <v>0</v>
      </c>
      <c r="E890" s="246">
        <v>116120</v>
      </c>
      <c r="F890" s="247" t="s">
        <v>4922</v>
      </c>
      <c r="G890" s="34" t="s">
        <v>7</v>
      </c>
      <c r="H890" s="234" t="s">
        <v>4924</v>
      </c>
      <c r="I890" s="248" t="s">
        <v>7</v>
      </c>
      <c r="J890" s="249" t="s">
        <v>554</v>
      </c>
      <c r="K890" s="250">
        <v>116120</v>
      </c>
      <c r="L890" s="250">
        <v>0</v>
      </c>
      <c r="M890" s="251" t="s">
        <v>10</v>
      </c>
      <c r="N890" s="252">
        <v>0</v>
      </c>
      <c r="O890" s="185" t="s">
        <v>77</v>
      </c>
    </row>
    <row r="891" spans="1:15" x14ac:dyDescent="0.25">
      <c r="A891" s="234" t="s">
        <v>3713</v>
      </c>
      <c r="B891" s="234" t="s">
        <v>10</v>
      </c>
      <c r="C891" s="245">
        <v>46147</v>
      </c>
      <c r="D891" s="234">
        <v>0</v>
      </c>
      <c r="E891" s="246">
        <v>149407</v>
      </c>
      <c r="F891" s="247" t="s">
        <v>3712</v>
      </c>
      <c r="G891" s="34" t="s">
        <v>7</v>
      </c>
      <c r="H891" s="234" t="s">
        <v>3714</v>
      </c>
      <c r="I891" s="248" t="s">
        <v>7</v>
      </c>
      <c r="J891" s="249" t="s">
        <v>554</v>
      </c>
      <c r="K891" s="250">
        <v>149407</v>
      </c>
      <c r="L891" s="250">
        <v>0</v>
      </c>
      <c r="M891" s="251" t="s">
        <v>10</v>
      </c>
      <c r="N891" s="252">
        <v>0</v>
      </c>
      <c r="O891" s="185" t="s">
        <v>74</v>
      </c>
    </row>
    <row r="892" spans="1:15" x14ac:dyDescent="0.25">
      <c r="A892" s="234" t="s">
        <v>3816</v>
      </c>
      <c r="B892" s="234" t="s">
        <v>10</v>
      </c>
      <c r="C892" s="245">
        <v>46147</v>
      </c>
      <c r="D892" s="234">
        <v>0</v>
      </c>
      <c r="E892" s="246">
        <v>124953</v>
      </c>
      <c r="F892" s="247" t="s">
        <v>3815</v>
      </c>
      <c r="G892" s="34" t="s">
        <v>7</v>
      </c>
      <c r="H892" s="234" t="s">
        <v>3817</v>
      </c>
      <c r="I892" s="248" t="s">
        <v>7</v>
      </c>
      <c r="J892" s="249" t="s">
        <v>554</v>
      </c>
      <c r="K892" s="250">
        <v>124953</v>
      </c>
      <c r="L892" s="250">
        <v>0</v>
      </c>
      <c r="M892" s="251" t="s">
        <v>10</v>
      </c>
      <c r="N892" s="252">
        <v>0</v>
      </c>
      <c r="O892" s="185" t="s">
        <v>74</v>
      </c>
    </row>
    <row r="893" spans="1:15" x14ac:dyDescent="0.25">
      <c r="A893" s="234" t="s">
        <v>3744</v>
      </c>
      <c r="B893" s="234" t="s">
        <v>10</v>
      </c>
      <c r="C893" s="245">
        <v>46147</v>
      </c>
      <c r="D893" s="234">
        <v>0</v>
      </c>
      <c r="E893" s="246">
        <v>121000</v>
      </c>
      <c r="F893" s="247" t="s">
        <v>3743</v>
      </c>
      <c r="G893" s="34" t="s">
        <v>7</v>
      </c>
      <c r="H893" s="234" t="s">
        <v>3745</v>
      </c>
      <c r="I893" s="248" t="s">
        <v>7</v>
      </c>
      <c r="J893" s="249" t="s">
        <v>554</v>
      </c>
      <c r="K893" s="250">
        <v>116291.67</v>
      </c>
      <c r="L893" s="250">
        <v>0</v>
      </c>
      <c r="M893" s="251" t="s">
        <v>10</v>
      </c>
      <c r="N893" s="252">
        <v>0</v>
      </c>
      <c r="O893" s="185" t="s">
        <v>74</v>
      </c>
    </row>
    <row r="894" spans="1:15" x14ac:dyDescent="0.25">
      <c r="A894" s="234" t="s">
        <v>3747</v>
      </c>
      <c r="B894" s="234" t="s">
        <v>10</v>
      </c>
      <c r="C894" s="245">
        <v>46147</v>
      </c>
      <c r="D894" s="234">
        <v>0</v>
      </c>
      <c r="E894" s="246">
        <v>33629</v>
      </c>
      <c r="F894" s="247" t="s">
        <v>3758</v>
      </c>
      <c r="G894" s="34" t="s">
        <v>7</v>
      </c>
      <c r="H894" s="234" t="s">
        <v>3748</v>
      </c>
      <c r="I894" s="248" t="s">
        <v>7</v>
      </c>
      <c r="J894" s="249" t="s">
        <v>554</v>
      </c>
      <c r="K894" s="250">
        <v>33629</v>
      </c>
      <c r="L894" s="250">
        <v>0</v>
      </c>
      <c r="M894" s="251" t="s">
        <v>10</v>
      </c>
      <c r="N894" s="252">
        <v>0</v>
      </c>
      <c r="O894" s="185" t="s">
        <v>74</v>
      </c>
    </row>
    <row r="895" spans="1:15" x14ac:dyDescent="0.25">
      <c r="A895" s="234" t="s">
        <v>3747</v>
      </c>
      <c r="B895" s="234" t="s">
        <v>10</v>
      </c>
      <c r="C895" s="245">
        <v>46147</v>
      </c>
      <c r="D895" s="234">
        <v>0</v>
      </c>
      <c r="E895" s="246">
        <v>32000</v>
      </c>
      <c r="F895" s="247" t="s">
        <v>3759</v>
      </c>
      <c r="G895" s="34" t="s">
        <v>7</v>
      </c>
      <c r="H895" s="234" t="s">
        <v>3748</v>
      </c>
      <c r="I895" s="248" t="s">
        <v>7</v>
      </c>
      <c r="J895" s="249" t="s">
        <v>554</v>
      </c>
      <c r="K895" s="250">
        <v>32000</v>
      </c>
      <c r="L895" s="250">
        <v>0</v>
      </c>
      <c r="M895" s="251" t="s">
        <v>10</v>
      </c>
      <c r="N895" s="252">
        <v>0</v>
      </c>
      <c r="O895" s="185" t="s">
        <v>74</v>
      </c>
    </row>
    <row r="896" spans="1:15" x14ac:dyDescent="0.25">
      <c r="A896" s="234" t="s">
        <v>5505</v>
      </c>
      <c r="B896" s="234" t="s">
        <v>10</v>
      </c>
      <c r="C896" s="245">
        <v>46147</v>
      </c>
      <c r="D896" s="234">
        <v>0</v>
      </c>
      <c r="E896" s="246">
        <v>123316</v>
      </c>
      <c r="F896" s="247" t="s">
        <v>5504</v>
      </c>
      <c r="G896" s="34" t="s">
        <v>7</v>
      </c>
      <c r="H896" s="234" t="s">
        <v>5506</v>
      </c>
      <c r="I896" s="248" t="s">
        <v>7</v>
      </c>
      <c r="J896" s="249" t="s">
        <v>554</v>
      </c>
      <c r="K896" s="250">
        <v>123316</v>
      </c>
      <c r="L896" s="250">
        <v>0</v>
      </c>
      <c r="M896" s="251" t="s">
        <v>10</v>
      </c>
      <c r="N896" s="252">
        <v>0</v>
      </c>
      <c r="O896" s="185" t="s">
        <v>77</v>
      </c>
    </row>
    <row r="897" spans="1:15" x14ac:dyDescent="0.25">
      <c r="A897" s="234" t="s">
        <v>5508</v>
      </c>
      <c r="B897" s="234" t="s">
        <v>10</v>
      </c>
      <c r="C897" s="245">
        <v>46147</v>
      </c>
      <c r="D897" s="234">
        <v>0</v>
      </c>
      <c r="E897" s="246">
        <v>125615.74</v>
      </c>
      <c r="F897" s="247" t="s">
        <v>5500</v>
      </c>
      <c r="G897" s="34" t="s">
        <v>7</v>
      </c>
      <c r="H897" s="234" t="s">
        <v>5509</v>
      </c>
      <c r="I897" s="248" t="s">
        <v>7</v>
      </c>
      <c r="J897" s="249" t="s">
        <v>554</v>
      </c>
      <c r="K897" s="250">
        <v>120729</v>
      </c>
      <c r="L897" s="250">
        <v>0</v>
      </c>
      <c r="M897" s="251" t="s">
        <v>10</v>
      </c>
      <c r="N897" s="252">
        <v>0</v>
      </c>
      <c r="O897" s="185" t="s">
        <v>77</v>
      </c>
    </row>
    <row r="898" spans="1:15" x14ac:dyDescent="0.25">
      <c r="A898" s="234" t="s">
        <v>5501</v>
      </c>
      <c r="B898" s="234" t="s">
        <v>10</v>
      </c>
      <c r="C898" s="245">
        <v>46147</v>
      </c>
      <c r="D898" s="234">
        <v>0</v>
      </c>
      <c r="E898" s="246">
        <v>123316</v>
      </c>
      <c r="F898" s="247" t="s">
        <v>5507</v>
      </c>
      <c r="G898" s="34" t="s">
        <v>7</v>
      </c>
      <c r="H898" s="234" t="s">
        <v>5502</v>
      </c>
      <c r="I898" s="248" t="s">
        <v>7</v>
      </c>
      <c r="J898" s="249" t="s">
        <v>554</v>
      </c>
      <c r="K898" s="250">
        <v>125616</v>
      </c>
      <c r="L898" s="250">
        <v>0</v>
      </c>
      <c r="M898" s="251" t="s">
        <v>10</v>
      </c>
      <c r="N898" s="252">
        <v>0</v>
      </c>
      <c r="O898" s="185" t="s">
        <v>77</v>
      </c>
    </row>
    <row r="899" spans="1:15" x14ac:dyDescent="0.25">
      <c r="A899" s="234" t="s">
        <v>4757</v>
      </c>
      <c r="B899" s="234" t="s">
        <v>10</v>
      </c>
      <c r="C899" s="245">
        <v>46147</v>
      </c>
      <c r="D899" s="234">
        <v>0</v>
      </c>
      <c r="E899" s="246">
        <v>125000</v>
      </c>
      <c r="F899" s="247" t="s">
        <v>4756</v>
      </c>
      <c r="G899" s="34" t="s">
        <v>7</v>
      </c>
      <c r="H899" s="234" t="s">
        <v>4758</v>
      </c>
      <c r="I899" s="248" t="s">
        <v>7</v>
      </c>
      <c r="J899" s="249" t="s">
        <v>554</v>
      </c>
      <c r="K899" s="250">
        <v>125000</v>
      </c>
      <c r="L899" s="250">
        <v>0</v>
      </c>
      <c r="M899" s="251" t="s">
        <v>10</v>
      </c>
      <c r="N899" s="252">
        <v>0</v>
      </c>
      <c r="O899" s="185" t="s">
        <v>77</v>
      </c>
    </row>
    <row r="900" spans="1:15" x14ac:dyDescent="0.25">
      <c r="A900" s="234" t="s">
        <v>3773</v>
      </c>
      <c r="B900" s="234" t="s">
        <v>10</v>
      </c>
      <c r="C900" s="245">
        <v>46147</v>
      </c>
      <c r="D900" s="234">
        <v>0</v>
      </c>
      <c r="E900" s="246">
        <v>148862</v>
      </c>
      <c r="F900" s="247" t="s">
        <v>3772</v>
      </c>
      <c r="G900" s="34" t="s">
        <v>7</v>
      </c>
      <c r="H900" s="234" t="s">
        <v>3774</v>
      </c>
      <c r="I900" s="248" t="s">
        <v>7</v>
      </c>
      <c r="J900" s="249" t="s">
        <v>554</v>
      </c>
      <c r="K900" s="250">
        <v>148862</v>
      </c>
      <c r="L900" s="250">
        <v>0</v>
      </c>
      <c r="M900" s="251" t="s">
        <v>10</v>
      </c>
      <c r="N900" s="252">
        <v>0</v>
      </c>
      <c r="O900" s="185" t="s">
        <v>74</v>
      </c>
    </row>
    <row r="901" spans="1:15" x14ac:dyDescent="0.25">
      <c r="A901" s="234" t="s">
        <v>3825</v>
      </c>
      <c r="B901" s="234" t="s">
        <v>10</v>
      </c>
      <c r="C901" s="245">
        <v>46147</v>
      </c>
      <c r="D901" s="234">
        <v>0</v>
      </c>
      <c r="E901" s="246">
        <v>251393</v>
      </c>
      <c r="F901" s="247" t="s">
        <v>3824</v>
      </c>
      <c r="G901" s="34" t="s">
        <v>7</v>
      </c>
      <c r="H901" s="234" t="s">
        <v>3826</v>
      </c>
      <c r="I901" s="248" t="s">
        <v>7</v>
      </c>
      <c r="J901" s="249" t="s">
        <v>554</v>
      </c>
      <c r="K901" s="250">
        <v>251393</v>
      </c>
      <c r="L901" s="250">
        <v>0</v>
      </c>
      <c r="M901" s="251" t="s">
        <v>10</v>
      </c>
      <c r="N901" s="252">
        <v>0</v>
      </c>
      <c r="O901" s="185" t="s">
        <v>74</v>
      </c>
    </row>
    <row r="902" spans="1:15" x14ac:dyDescent="0.25">
      <c r="A902" s="234" t="s">
        <v>4761</v>
      </c>
      <c r="B902" s="234" t="s">
        <v>10</v>
      </c>
      <c r="C902" s="245">
        <v>46147</v>
      </c>
      <c r="D902" s="234">
        <v>0</v>
      </c>
      <c r="E902" s="246">
        <v>20000</v>
      </c>
      <c r="F902" s="247" t="s">
        <v>4765</v>
      </c>
      <c r="G902" s="34" t="s">
        <v>7</v>
      </c>
      <c r="H902" s="234" t="s">
        <v>4762</v>
      </c>
      <c r="I902" s="248" t="s">
        <v>7</v>
      </c>
      <c r="J902" s="249" t="s">
        <v>554</v>
      </c>
      <c r="K902" s="250">
        <v>20000</v>
      </c>
      <c r="L902" s="250">
        <v>0</v>
      </c>
      <c r="M902" s="251" t="s">
        <v>10</v>
      </c>
      <c r="N902" s="252">
        <v>0</v>
      </c>
      <c r="O902" s="185" t="s">
        <v>77</v>
      </c>
    </row>
    <row r="903" spans="1:15" x14ac:dyDescent="0.25">
      <c r="A903" s="234" t="s">
        <v>4761</v>
      </c>
      <c r="B903" s="234" t="s">
        <v>10</v>
      </c>
      <c r="C903" s="245">
        <v>46147</v>
      </c>
      <c r="D903" s="234">
        <v>0</v>
      </c>
      <c r="E903" s="246">
        <v>17259</v>
      </c>
      <c r="F903" s="247" t="s">
        <v>4766</v>
      </c>
      <c r="G903" s="34" t="s">
        <v>7</v>
      </c>
      <c r="H903" s="234" t="s">
        <v>4762</v>
      </c>
      <c r="I903" s="248" t="s">
        <v>7</v>
      </c>
      <c r="J903" s="249" t="s">
        <v>554</v>
      </c>
      <c r="K903" s="250">
        <v>17259</v>
      </c>
      <c r="L903" s="250">
        <v>0</v>
      </c>
      <c r="M903" s="251" t="s">
        <v>10</v>
      </c>
      <c r="N903" s="252">
        <v>0</v>
      </c>
      <c r="O903" s="185" t="s">
        <v>77</v>
      </c>
    </row>
    <row r="904" spans="1:15" x14ac:dyDescent="0.25">
      <c r="A904" s="234" t="s">
        <v>3841</v>
      </c>
      <c r="B904" s="234" t="s">
        <v>10</v>
      </c>
      <c r="C904" s="245">
        <v>46147</v>
      </c>
      <c r="D904" s="234">
        <v>0</v>
      </c>
      <c r="E904" s="246">
        <v>251392</v>
      </c>
      <c r="F904" s="247" t="s">
        <v>3840</v>
      </c>
      <c r="G904" s="34" t="s">
        <v>7</v>
      </c>
      <c r="H904" s="234" t="s">
        <v>3842</v>
      </c>
      <c r="I904" s="248" t="s">
        <v>7</v>
      </c>
      <c r="J904" s="249" t="s">
        <v>554</v>
      </c>
      <c r="K904" s="250">
        <v>251392</v>
      </c>
      <c r="L904" s="250">
        <v>0</v>
      </c>
      <c r="M904" s="251" t="s">
        <v>10</v>
      </c>
      <c r="N904" s="252">
        <v>0</v>
      </c>
      <c r="O904" s="185" t="s">
        <v>74</v>
      </c>
    </row>
    <row r="905" spans="1:15" x14ac:dyDescent="0.25">
      <c r="A905" s="234" t="s">
        <v>3576</v>
      </c>
      <c r="B905" s="234" t="s">
        <v>10</v>
      </c>
      <c r="C905" s="245">
        <v>46147</v>
      </c>
      <c r="D905" s="234">
        <v>0</v>
      </c>
      <c r="E905" s="246">
        <v>19118</v>
      </c>
      <c r="F905" s="247" t="s">
        <v>3575</v>
      </c>
      <c r="G905" s="34" t="s">
        <v>7</v>
      </c>
      <c r="H905" s="234" t="s">
        <v>3577</v>
      </c>
      <c r="I905" s="248" t="s">
        <v>7</v>
      </c>
      <c r="J905" s="249" t="s">
        <v>554</v>
      </c>
      <c r="K905" s="250">
        <v>19117.61</v>
      </c>
      <c r="L905" s="250">
        <v>0</v>
      </c>
      <c r="M905" s="251" t="s">
        <v>10</v>
      </c>
      <c r="N905" s="252">
        <v>0</v>
      </c>
      <c r="O905" s="185" t="s">
        <v>74</v>
      </c>
    </row>
    <row r="906" spans="1:15" x14ac:dyDescent="0.25">
      <c r="A906" s="234" t="s">
        <v>3576</v>
      </c>
      <c r="B906" s="234" t="s">
        <v>10</v>
      </c>
      <c r="C906" s="245">
        <v>46147</v>
      </c>
      <c r="D906" s="234">
        <v>0</v>
      </c>
      <c r="E906" s="246">
        <v>10843</v>
      </c>
      <c r="F906" s="247" t="s">
        <v>3578</v>
      </c>
      <c r="G906" s="34" t="s">
        <v>7</v>
      </c>
      <c r="H906" s="234" t="s">
        <v>3577</v>
      </c>
      <c r="I906" s="248" t="s">
        <v>7</v>
      </c>
      <c r="J906" s="249" t="s">
        <v>554</v>
      </c>
      <c r="K906" s="250">
        <v>10843</v>
      </c>
      <c r="L906" s="250">
        <v>0</v>
      </c>
      <c r="M906" s="251" t="s">
        <v>10</v>
      </c>
      <c r="N906" s="252">
        <v>0</v>
      </c>
      <c r="O906" s="185" t="s">
        <v>74</v>
      </c>
    </row>
    <row r="907" spans="1:15" x14ac:dyDescent="0.25">
      <c r="A907" s="234" t="s">
        <v>4897</v>
      </c>
      <c r="B907" s="234" t="s">
        <v>10</v>
      </c>
      <c r="C907" s="245">
        <v>46147</v>
      </c>
      <c r="D907" s="234">
        <v>0</v>
      </c>
      <c r="E907" s="246">
        <v>121000</v>
      </c>
      <c r="F907" s="247" t="s">
        <v>4896</v>
      </c>
      <c r="G907" s="34" t="s">
        <v>7</v>
      </c>
      <c r="H907" s="234" t="s">
        <v>4898</v>
      </c>
      <c r="I907" s="248" t="s">
        <v>7</v>
      </c>
      <c r="J907" s="249" t="s">
        <v>554</v>
      </c>
      <c r="K907" s="250">
        <v>121000</v>
      </c>
      <c r="L907" s="250">
        <v>0</v>
      </c>
      <c r="M907" s="251" t="s">
        <v>10</v>
      </c>
      <c r="N907" s="252">
        <v>0</v>
      </c>
      <c r="O907" s="185" t="s">
        <v>77</v>
      </c>
    </row>
    <row r="908" spans="1:15" x14ac:dyDescent="0.25">
      <c r="A908" s="234" t="s">
        <v>7742</v>
      </c>
      <c r="B908" s="234" t="s">
        <v>10</v>
      </c>
      <c r="C908" s="245">
        <v>46147</v>
      </c>
      <c r="D908" s="234">
        <v>0</v>
      </c>
      <c r="E908" s="246">
        <v>161816.20000000001</v>
      </c>
      <c r="F908" s="247">
        <v>0</v>
      </c>
      <c r="G908" s="34" t="s">
        <v>7</v>
      </c>
      <c r="H908" s="234" t="s">
        <v>7743</v>
      </c>
      <c r="I908" s="248" t="s">
        <v>7</v>
      </c>
      <c r="J908" s="249" t="s">
        <v>492</v>
      </c>
      <c r="K908" s="250">
        <v>0</v>
      </c>
      <c r="L908" s="250">
        <v>0</v>
      </c>
      <c r="M908" s="251" t="s">
        <v>10</v>
      </c>
      <c r="N908" s="252">
        <v>0</v>
      </c>
      <c r="O908" s="185" t="s">
        <v>77</v>
      </c>
    </row>
    <row r="909" spans="1:15" x14ac:dyDescent="0.25">
      <c r="A909" s="234" t="s">
        <v>7744</v>
      </c>
      <c r="B909" s="234" t="s">
        <v>10</v>
      </c>
      <c r="C909" s="245">
        <v>46147</v>
      </c>
      <c r="D909" s="234">
        <v>0</v>
      </c>
      <c r="E909" s="246">
        <v>118616.4</v>
      </c>
      <c r="F909" s="247">
        <v>0</v>
      </c>
      <c r="G909" s="34" t="s">
        <v>7</v>
      </c>
      <c r="H909" s="234" t="s">
        <v>7745</v>
      </c>
      <c r="I909" s="248" t="s">
        <v>7</v>
      </c>
      <c r="J909" s="249" t="s">
        <v>492</v>
      </c>
      <c r="K909" s="250">
        <v>0</v>
      </c>
      <c r="L909" s="250">
        <v>0</v>
      </c>
      <c r="M909" s="251" t="s">
        <v>10</v>
      </c>
      <c r="N909" s="252">
        <v>0</v>
      </c>
      <c r="O909" s="185" t="s">
        <v>77</v>
      </c>
    </row>
    <row r="910" spans="1:15" x14ac:dyDescent="0.25">
      <c r="A910" s="234" t="s">
        <v>4816</v>
      </c>
      <c r="B910" s="234" t="s">
        <v>10</v>
      </c>
      <c r="C910" s="245">
        <v>46147</v>
      </c>
      <c r="D910" s="234">
        <v>0</v>
      </c>
      <c r="E910" s="246">
        <v>118636</v>
      </c>
      <c r="F910" s="247" t="s">
        <v>4815</v>
      </c>
      <c r="G910" s="34" t="s">
        <v>7</v>
      </c>
      <c r="H910" s="234" t="s">
        <v>4817</v>
      </c>
      <c r="I910" s="248" t="s">
        <v>7</v>
      </c>
      <c r="J910" s="249" t="s">
        <v>554</v>
      </c>
      <c r="K910" s="250">
        <v>118636</v>
      </c>
      <c r="L910" s="250">
        <v>0</v>
      </c>
      <c r="M910" s="251" t="s">
        <v>10</v>
      </c>
      <c r="N910" s="252">
        <v>0</v>
      </c>
      <c r="O910" s="185" t="s">
        <v>77</v>
      </c>
    </row>
    <row r="911" spans="1:15" x14ac:dyDescent="0.25">
      <c r="A911" s="234" t="s">
        <v>4919</v>
      </c>
      <c r="B911" s="234" t="s">
        <v>10</v>
      </c>
      <c r="C911" s="245">
        <v>46147</v>
      </c>
      <c r="D911" s="234">
        <v>0</v>
      </c>
      <c r="E911" s="246">
        <v>89457.5</v>
      </c>
      <c r="F911" s="247" t="s">
        <v>4918</v>
      </c>
      <c r="G911" s="34" t="s">
        <v>7</v>
      </c>
      <c r="H911" s="234" t="s">
        <v>4920</v>
      </c>
      <c r="I911" s="248" t="s">
        <v>7</v>
      </c>
      <c r="J911" s="249" t="s">
        <v>554</v>
      </c>
      <c r="K911" s="250">
        <v>89457.5</v>
      </c>
      <c r="L911" s="250">
        <v>0</v>
      </c>
      <c r="M911" s="251" t="s">
        <v>10</v>
      </c>
      <c r="N911" s="252">
        <v>0</v>
      </c>
      <c r="O911" s="185" t="s">
        <v>77</v>
      </c>
    </row>
    <row r="912" spans="1:15" x14ac:dyDescent="0.25">
      <c r="A912" s="234" t="s">
        <v>3813</v>
      </c>
      <c r="B912" s="234" t="s">
        <v>10</v>
      </c>
      <c r="C912" s="245">
        <v>46147</v>
      </c>
      <c r="D912" s="234">
        <v>0</v>
      </c>
      <c r="E912" s="246">
        <v>324872</v>
      </c>
      <c r="F912" s="247" t="s">
        <v>3812</v>
      </c>
      <c r="G912" s="34" t="s">
        <v>7</v>
      </c>
      <c r="H912" s="234" t="s">
        <v>3814</v>
      </c>
      <c r="I912" s="248" t="s">
        <v>7</v>
      </c>
      <c r="J912" s="249" t="s">
        <v>554</v>
      </c>
      <c r="K912" s="250">
        <v>324872</v>
      </c>
      <c r="L912" s="250">
        <v>0</v>
      </c>
      <c r="M912" s="251" t="s">
        <v>10</v>
      </c>
      <c r="N912" s="252">
        <v>0</v>
      </c>
      <c r="O912" s="185" t="s">
        <v>74</v>
      </c>
    </row>
    <row r="913" spans="1:15" x14ac:dyDescent="0.25">
      <c r="A913" s="234" t="s">
        <v>4828</v>
      </c>
      <c r="B913" s="234" t="s">
        <v>10</v>
      </c>
      <c r="C913" s="245">
        <v>46147</v>
      </c>
      <c r="D913" s="234">
        <v>0</v>
      </c>
      <c r="E913" s="246">
        <v>155150</v>
      </c>
      <c r="F913" s="247" t="s">
        <v>4827</v>
      </c>
      <c r="G913" s="34" t="s">
        <v>7</v>
      </c>
      <c r="H913" s="234" t="s">
        <v>4829</v>
      </c>
      <c r="I913" s="248" t="s">
        <v>7</v>
      </c>
      <c r="J913" s="249" t="s">
        <v>554</v>
      </c>
      <c r="K913" s="250">
        <v>155150</v>
      </c>
      <c r="L913" s="250">
        <v>0</v>
      </c>
      <c r="M913" s="251" t="s">
        <v>10</v>
      </c>
      <c r="N913" s="252">
        <v>0</v>
      </c>
      <c r="O913" s="185" t="s">
        <v>77</v>
      </c>
    </row>
    <row r="914" spans="1:15" x14ac:dyDescent="0.25">
      <c r="A914" s="234" t="s">
        <v>4791</v>
      </c>
      <c r="B914" s="234" t="s">
        <v>10</v>
      </c>
      <c r="C914" s="245">
        <v>46147</v>
      </c>
      <c r="D914" s="234">
        <v>0</v>
      </c>
      <c r="E914" s="246">
        <v>46000</v>
      </c>
      <c r="F914" s="247" t="s">
        <v>4790</v>
      </c>
      <c r="G914" s="34" t="s">
        <v>7</v>
      </c>
      <c r="H914" s="234" t="s">
        <v>4793</v>
      </c>
      <c r="I914" s="248" t="s">
        <v>7</v>
      </c>
      <c r="J914" s="249" t="s">
        <v>554</v>
      </c>
      <c r="K914" s="250">
        <v>54215.9</v>
      </c>
      <c r="L914" s="250">
        <v>0</v>
      </c>
      <c r="M914" s="251" t="s">
        <v>10</v>
      </c>
      <c r="N914" s="252">
        <v>0</v>
      </c>
      <c r="O914" s="185" t="s">
        <v>77</v>
      </c>
    </row>
    <row r="915" spans="1:15" x14ac:dyDescent="0.25">
      <c r="A915" s="234" t="s">
        <v>4834</v>
      </c>
      <c r="B915" s="234" t="s">
        <v>10</v>
      </c>
      <c r="C915" s="245">
        <v>46147</v>
      </c>
      <c r="D915" s="234">
        <v>0</v>
      </c>
      <c r="E915" s="246">
        <v>159702.71</v>
      </c>
      <c r="F915" s="247" t="s">
        <v>4833</v>
      </c>
      <c r="G915" s="34" t="s">
        <v>7</v>
      </c>
      <c r="H915" s="234" t="s">
        <v>4835</v>
      </c>
      <c r="I915" s="248" t="s">
        <v>7</v>
      </c>
      <c r="J915" s="249" t="s">
        <v>554</v>
      </c>
      <c r="K915" s="250">
        <v>159702.71</v>
      </c>
      <c r="L915" s="250">
        <v>0</v>
      </c>
      <c r="M915" s="251" t="s">
        <v>10</v>
      </c>
      <c r="N915" s="252">
        <v>0</v>
      </c>
      <c r="O915" s="185" t="s">
        <v>77</v>
      </c>
    </row>
    <row r="916" spans="1:15" x14ac:dyDescent="0.25">
      <c r="A916" s="234" t="s">
        <v>3764</v>
      </c>
      <c r="B916" s="234" t="s">
        <v>10</v>
      </c>
      <c r="C916" s="245">
        <v>46147</v>
      </c>
      <c r="D916" s="234">
        <v>0</v>
      </c>
      <c r="E916" s="246">
        <v>121000</v>
      </c>
      <c r="F916" s="247" t="s">
        <v>3763</v>
      </c>
      <c r="G916" s="34" t="s">
        <v>7</v>
      </c>
      <c r="H916" s="234" t="s">
        <v>3765</v>
      </c>
      <c r="I916" s="248" t="s">
        <v>7</v>
      </c>
      <c r="J916" s="249" t="s">
        <v>582</v>
      </c>
      <c r="K916" s="250">
        <v>33302.19</v>
      </c>
      <c r="L916" s="250">
        <v>0</v>
      </c>
      <c r="M916" s="251" t="s">
        <v>10</v>
      </c>
      <c r="N916" s="252">
        <v>0</v>
      </c>
      <c r="O916" s="185" t="s">
        <v>74</v>
      </c>
    </row>
    <row r="917" spans="1:15" x14ac:dyDescent="0.25">
      <c r="A917" s="234" t="s">
        <v>4819</v>
      </c>
      <c r="B917" s="234" t="s">
        <v>10</v>
      </c>
      <c r="C917" s="245">
        <v>46147</v>
      </c>
      <c r="D917" s="234">
        <v>0</v>
      </c>
      <c r="E917" s="246">
        <v>120571.21</v>
      </c>
      <c r="F917" s="247" t="s">
        <v>4818</v>
      </c>
      <c r="G917" s="34" t="s">
        <v>7</v>
      </c>
      <c r="H917" s="234" t="s">
        <v>4820</v>
      </c>
      <c r="I917" s="248" t="s">
        <v>7</v>
      </c>
      <c r="J917" s="249" t="s">
        <v>62</v>
      </c>
      <c r="K917" s="250">
        <v>120571.21</v>
      </c>
      <c r="L917" s="250">
        <v>0</v>
      </c>
      <c r="M917" s="251" t="s">
        <v>10</v>
      </c>
      <c r="N917" s="252">
        <v>0</v>
      </c>
      <c r="O917" s="185" t="s">
        <v>77</v>
      </c>
    </row>
    <row r="918" spans="1:15" x14ac:dyDescent="0.25">
      <c r="A918" s="234" t="s">
        <v>3122</v>
      </c>
      <c r="B918" s="234" t="s">
        <v>21</v>
      </c>
      <c r="C918" s="245">
        <v>46147</v>
      </c>
      <c r="D918" s="234" t="s">
        <v>546</v>
      </c>
      <c r="E918" s="246">
        <v>198867.52</v>
      </c>
      <c r="F918" s="247" t="s">
        <v>3121</v>
      </c>
      <c r="G918" s="34" t="s">
        <v>7</v>
      </c>
      <c r="H918" s="234" t="s">
        <v>3123</v>
      </c>
      <c r="I918" s="248" t="s">
        <v>7</v>
      </c>
      <c r="J918" s="249" t="s">
        <v>554</v>
      </c>
      <c r="K918" s="250">
        <v>198867.52</v>
      </c>
      <c r="L918" s="250">
        <v>0</v>
      </c>
      <c r="M918" s="251" t="s">
        <v>21</v>
      </c>
      <c r="N918" s="252">
        <v>0</v>
      </c>
      <c r="O918" s="185" t="s">
        <v>51</v>
      </c>
    </row>
    <row r="919" spans="1:15" x14ac:dyDescent="0.25">
      <c r="A919" s="234" t="s">
        <v>5492</v>
      </c>
      <c r="B919" s="234" t="s">
        <v>21</v>
      </c>
      <c r="C919" s="245">
        <v>46147</v>
      </c>
      <c r="D919" s="234" t="s">
        <v>546</v>
      </c>
      <c r="E919" s="246">
        <v>192135</v>
      </c>
      <c r="F919" s="247" t="s">
        <v>5491</v>
      </c>
      <c r="G919" s="34" t="s">
        <v>7</v>
      </c>
      <c r="H919" s="234" t="s">
        <v>5493</v>
      </c>
      <c r="I919" s="248" t="s">
        <v>7</v>
      </c>
      <c r="J919" s="249" t="s">
        <v>554</v>
      </c>
      <c r="K919" s="250">
        <v>192135</v>
      </c>
      <c r="L919" s="250">
        <v>0</v>
      </c>
      <c r="M919" s="251" t="s">
        <v>21</v>
      </c>
      <c r="N919" s="252">
        <v>0</v>
      </c>
      <c r="O919" s="185" t="s">
        <v>51</v>
      </c>
    </row>
    <row r="920" spans="1:15" x14ac:dyDescent="0.25">
      <c r="A920" s="234" t="s">
        <v>3100</v>
      </c>
      <c r="B920" s="234" t="s">
        <v>21</v>
      </c>
      <c r="C920" s="245">
        <v>46147</v>
      </c>
      <c r="D920" s="234" t="s">
        <v>575</v>
      </c>
      <c r="E920" s="246">
        <v>193845</v>
      </c>
      <c r="F920" s="247" t="s">
        <v>3099</v>
      </c>
      <c r="G920" s="34" t="s">
        <v>7</v>
      </c>
      <c r="H920" s="234" t="s">
        <v>3101</v>
      </c>
      <c r="I920" s="248" t="s">
        <v>7</v>
      </c>
      <c r="J920" s="249" t="s">
        <v>554</v>
      </c>
      <c r="K920" s="250">
        <v>193845</v>
      </c>
      <c r="L920" s="250">
        <v>0</v>
      </c>
      <c r="M920" s="251" t="s">
        <v>21</v>
      </c>
      <c r="N920" s="252">
        <v>0</v>
      </c>
      <c r="O920" s="185" t="s">
        <v>51</v>
      </c>
    </row>
    <row r="921" spans="1:15" x14ac:dyDescent="0.25">
      <c r="A921" s="234" t="s">
        <v>3103</v>
      </c>
      <c r="B921" s="234" t="s">
        <v>21</v>
      </c>
      <c r="C921" s="245">
        <v>46147</v>
      </c>
      <c r="D921" s="234" t="s">
        <v>575</v>
      </c>
      <c r="E921" s="246">
        <v>136877</v>
      </c>
      <c r="F921" s="247" t="s">
        <v>3102</v>
      </c>
      <c r="G921" s="34" t="s">
        <v>7</v>
      </c>
      <c r="H921" s="234" t="s">
        <v>3104</v>
      </c>
      <c r="I921" s="248" t="s">
        <v>7</v>
      </c>
      <c r="J921" s="249" t="s">
        <v>554</v>
      </c>
      <c r="K921" s="250">
        <v>136877</v>
      </c>
      <c r="L921" s="250">
        <v>0</v>
      </c>
      <c r="M921" s="251" t="s">
        <v>21</v>
      </c>
      <c r="N921" s="252">
        <v>0</v>
      </c>
      <c r="O921" s="185" t="s">
        <v>51</v>
      </c>
    </row>
    <row r="922" spans="1:15" x14ac:dyDescent="0.25">
      <c r="A922" s="234" t="s">
        <v>3443</v>
      </c>
      <c r="B922" s="234" t="s">
        <v>21</v>
      </c>
      <c r="C922" s="245">
        <v>46147</v>
      </c>
      <c r="D922" s="234" t="s">
        <v>595</v>
      </c>
      <c r="E922" s="246">
        <v>794997</v>
      </c>
      <c r="F922" s="247" t="s">
        <v>3442</v>
      </c>
      <c r="G922" s="34" t="s">
        <v>7</v>
      </c>
      <c r="H922" s="234" t="s">
        <v>3444</v>
      </c>
      <c r="I922" s="248" t="s">
        <v>7</v>
      </c>
      <c r="J922" s="249" t="s">
        <v>554</v>
      </c>
      <c r="K922" s="250">
        <v>794997</v>
      </c>
      <c r="L922" s="250">
        <v>0</v>
      </c>
      <c r="M922" s="251" t="s">
        <v>21</v>
      </c>
      <c r="N922" s="252">
        <v>0</v>
      </c>
      <c r="O922" s="185" t="s">
        <v>51</v>
      </c>
    </row>
    <row r="923" spans="1:15" x14ac:dyDescent="0.25">
      <c r="A923" s="234" t="s">
        <v>2157</v>
      </c>
      <c r="B923" s="234" t="s">
        <v>21</v>
      </c>
      <c r="C923" s="245">
        <v>46147</v>
      </c>
      <c r="D923" s="234" t="s">
        <v>64</v>
      </c>
      <c r="E923" s="246">
        <v>491314</v>
      </c>
      <c r="F923" s="247" t="s">
        <v>7275</v>
      </c>
      <c r="G923" s="34" t="s">
        <v>7</v>
      </c>
      <c r="H923" s="234" t="s">
        <v>2158</v>
      </c>
      <c r="I923" s="248" t="s">
        <v>7</v>
      </c>
      <c r="J923" s="249" t="s">
        <v>492</v>
      </c>
      <c r="K923" s="250">
        <v>0</v>
      </c>
      <c r="L923" s="250">
        <v>0</v>
      </c>
      <c r="M923" s="251" t="s">
        <v>21</v>
      </c>
      <c r="N923" s="252">
        <v>0</v>
      </c>
      <c r="O923" s="185" t="s">
        <v>51</v>
      </c>
    </row>
    <row r="924" spans="1:15" x14ac:dyDescent="0.25">
      <c r="A924" s="234" t="s">
        <v>741</v>
      </c>
      <c r="B924" s="234" t="s">
        <v>18</v>
      </c>
      <c r="C924" s="245">
        <v>46147</v>
      </c>
      <c r="D924" s="234">
        <v>0</v>
      </c>
      <c r="E924" s="246">
        <v>250000</v>
      </c>
      <c r="F924" s="247" t="s">
        <v>740</v>
      </c>
      <c r="G924" s="34" t="s">
        <v>7</v>
      </c>
      <c r="H924" s="234" t="s">
        <v>742</v>
      </c>
      <c r="I924" s="248" t="s">
        <v>7</v>
      </c>
      <c r="J924" s="249" t="s">
        <v>554</v>
      </c>
      <c r="K924" s="250">
        <v>250000</v>
      </c>
      <c r="L924" s="250">
        <v>0</v>
      </c>
      <c r="M924" s="251" t="s">
        <v>18</v>
      </c>
      <c r="N924" s="252">
        <v>0</v>
      </c>
      <c r="O924" s="185" t="s">
        <v>51</v>
      </c>
    </row>
    <row r="925" spans="1:15" x14ac:dyDescent="0.25">
      <c r="A925" s="234" t="s">
        <v>5591</v>
      </c>
      <c r="B925" s="234" t="s">
        <v>18</v>
      </c>
      <c r="C925" s="245">
        <v>46147</v>
      </c>
      <c r="D925" s="234">
        <v>0</v>
      </c>
      <c r="E925" s="246">
        <v>220271</v>
      </c>
      <c r="F925" s="247" t="s">
        <v>5590</v>
      </c>
      <c r="G925" s="34" t="s">
        <v>7</v>
      </c>
      <c r="H925" s="234" t="s">
        <v>5593</v>
      </c>
      <c r="I925" s="248" t="s">
        <v>7</v>
      </c>
      <c r="J925" s="249" t="s">
        <v>582</v>
      </c>
      <c r="K925" s="250">
        <v>220772</v>
      </c>
      <c r="L925" s="250">
        <v>0</v>
      </c>
      <c r="M925" s="251" t="s">
        <v>18</v>
      </c>
      <c r="N925" s="252">
        <v>0</v>
      </c>
      <c r="O925" s="185" t="s">
        <v>51</v>
      </c>
    </row>
    <row r="926" spans="1:15" x14ac:dyDescent="0.25">
      <c r="A926" s="234" t="s">
        <v>5571</v>
      </c>
      <c r="B926" s="234" t="s">
        <v>18</v>
      </c>
      <c r="C926" s="245">
        <v>46147</v>
      </c>
      <c r="D926" s="234">
        <v>0</v>
      </c>
      <c r="E926" s="246">
        <v>100000</v>
      </c>
      <c r="F926" s="247" t="s">
        <v>7746</v>
      </c>
      <c r="G926" s="34" t="s">
        <v>7</v>
      </c>
      <c r="H926" s="234" t="s">
        <v>5572</v>
      </c>
      <c r="I926" s="248" t="s">
        <v>7</v>
      </c>
      <c r="J926" s="249" t="s">
        <v>492</v>
      </c>
      <c r="K926" s="250">
        <v>0</v>
      </c>
      <c r="L926" s="250">
        <v>0</v>
      </c>
      <c r="M926" s="251" t="s">
        <v>18</v>
      </c>
      <c r="N926" s="252">
        <v>0</v>
      </c>
      <c r="O926" s="185" t="s">
        <v>51</v>
      </c>
    </row>
    <row r="927" spans="1:15" x14ac:dyDescent="0.25">
      <c r="A927" s="234" t="s">
        <v>5571</v>
      </c>
      <c r="B927" s="234" t="s">
        <v>18</v>
      </c>
      <c r="C927" s="245">
        <v>46147</v>
      </c>
      <c r="D927" s="234">
        <v>0</v>
      </c>
      <c r="E927" s="246">
        <v>30000</v>
      </c>
      <c r="F927" s="247" t="s">
        <v>5573</v>
      </c>
      <c r="G927" s="34" t="s">
        <v>7</v>
      </c>
      <c r="H927" s="234" t="s">
        <v>5572</v>
      </c>
      <c r="I927" s="248" t="s">
        <v>7</v>
      </c>
      <c r="J927" s="249" t="s">
        <v>554</v>
      </c>
      <c r="K927" s="250">
        <v>30000</v>
      </c>
      <c r="L927" s="250">
        <v>0</v>
      </c>
      <c r="M927" s="251" t="s">
        <v>18</v>
      </c>
      <c r="N927" s="252">
        <v>0</v>
      </c>
      <c r="O927" s="185" t="s">
        <v>51</v>
      </c>
    </row>
    <row r="928" spans="1:15" x14ac:dyDescent="0.25">
      <c r="A928" s="234" t="s">
        <v>751</v>
      </c>
      <c r="B928" s="234" t="s">
        <v>18</v>
      </c>
      <c r="C928" s="245">
        <v>46147</v>
      </c>
      <c r="D928" s="234">
        <v>0</v>
      </c>
      <c r="E928" s="246">
        <v>301008</v>
      </c>
      <c r="F928" s="247" t="s">
        <v>750</v>
      </c>
      <c r="G928" s="34" t="s">
        <v>7</v>
      </c>
      <c r="H928" s="234" t="s">
        <v>752</v>
      </c>
      <c r="I928" s="248" t="s">
        <v>7</v>
      </c>
      <c r="J928" s="249" t="s">
        <v>554</v>
      </c>
      <c r="K928" s="250">
        <v>301008</v>
      </c>
      <c r="L928" s="250">
        <v>0</v>
      </c>
      <c r="M928" s="251" t="s">
        <v>18</v>
      </c>
      <c r="N928" s="252">
        <v>0</v>
      </c>
      <c r="O928" s="185" t="s">
        <v>51</v>
      </c>
    </row>
    <row r="929" spans="1:15" x14ac:dyDescent="0.25">
      <c r="A929" s="234" t="s">
        <v>1357</v>
      </c>
      <c r="B929" s="234" t="s">
        <v>18</v>
      </c>
      <c r="C929" s="245">
        <v>46147</v>
      </c>
      <c r="D929" s="234">
        <v>0</v>
      </c>
      <c r="E929" s="246">
        <v>1000000</v>
      </c>
      <c r="F929" s="247" t="s">
        <v>1356</v>
      </c>
      <c r="G929" s="34" t="s">
        <v>7</v>
      </c>
      <c r="H929" s="234" t="s">
        <v>1358</v>
      </c>
      <c r="I929" s="248" t="s">
        <v>7</v>
      </c>
      <c r="J929" s="249" t="s">
        <v>554</v>
      </c>
      <c r="K929" s="250">
        <v>1000000</v>
      </c>
      <c r="L929" s="250">
        <v>0</v>
      </c>
      <c r="M929" s="251" t="s">
        <v>18</v>
      </c>
      <c r="N929" s="252">
        <v>0</v>
      </c>
      <c r="O929" s="185" t="s">
        <v>51</v>
      </c>
    </row>
    <row r="930" spans="1:15" x14ac:dyDescent="0.25">
      <c r="A930" s="234" t="s">
        <v>7747</v>
      </c>
      <c r="B930" s="234" t="s">
        <v>18</v>
      </c>
      <c r="C930" s="245">
        <v>46147</v>
      </c>
      <c r="D930" s="234">
        <v>0</v>
      </c>
      <c r="E930" s="246">
        <v>310084</v>
      </c>
      <c r="F930" s="247" t="s">
        <v>7748</v>
      </c>
      <c r="G930" s="34" t="s">
        <v>7</v>
      </c>
      <c r="H930" s="234" t="s">
        <v>7749</v>
      </c>
      <c r="I930" s="248" t="s">
        <v>7</v>
      </c>
      <c r="J930" s="249" t="s">
        <v>492</v>
      </c>
      <c r="K930" s="250">
        <v>0</v>
      </c>
      <c r="L930" s="250">
        <v>0</v>
      </c>
      <c r="M930" s="251" t="s">
        <v>18</v>
      </c>
      <c r="N930" s="252">
        <v>0</v>
      </c>
      <c r="O930" s="185" t="s">
        <v>51</v>
      </c>
    </row>
    <row r="931" spans="1:15" x14ac:dyDescent="0.25">
      <c r="A931" s="234" t="s">
        <v>5650</v>
      </c>
      <c r="B931" s="234" t="s">
        <v>34</v>
      </c>
      <c r="C931" s="245">
        <v>46147</v>
      </c>
      <c r="D931" s="234">
        <v>0</v>
      </c>
      <c r="E931" s="246">
        <v>90000</v>
      </c>
      <c r="F931" s="247" t="s">
        <v>5649</v>
      </c>
      <c r="G931" s="34" t="s">
        <v>7</v>
      </c>
      <c r="H931" s="234" t="s">
        <v>5651</v>
      </c>
      <c r="I931" s="248" t="s">
        <v>7</v>
      </c>
      <c r="J931" s="249" t="s">
        <v>554</v>
      </c>
      <c r="K931" s="250">
        <v>89874</v>
      </c>
      <c r="L931" s="250">
        <v>0</v>
      </c>
      <c r="M931" s="251" t="s">
        <v>34</v>
      </c>
      <c r="N931" s="252">
        <v>0</v>
      </c>
      <c r="O931" s="185" t="s">
        <v>51</v>
      </c>
    </row>
    <row r="932" spans="1:15" x14ac:dyDescent="0.25">
      <c r="A932" s="234" t="s">
        <v>4365</v>
      </c>
      <c r="B932" s="234" t="s">
        <v>34</v>
      </c>
      <c r="C932" s="245">
        <v>46147</v>
      </c>
      <c r="D932" s="234">
        <v>0</v>
      </c>
      <c r="E932" s="246">
        <v>30000</v>
      </c>
      <c r="F932" s="247" t="s">
        <v>4367</v>
      </c>
      <c r="G932" s="34" t="s">
        <v>7</v>
      </c>
      <c r="H932" s="234" t="s">
        <v>4366</v>
      </c>
      <c r="I932" s="248" t="s">
        <v>7</v>
      </c>
      <c r="J932" s="249" t="s">
        <v>554</v>
      </c>
      <c r="K932" s="250">
        <v>30000</v>
      </c>
      <c r="L932" s="250">
        <v>0</v>
      </c>
      <c r="M932" s="251" t="s">
        <v>34</v>
      </c>
      <c r="N932" s="252">
        <v>0</v>
      </c>
      <c r="O932" s="185" t="s">
        <v>51</v>
      </c>
    </row>
    <row r="933" spans="1:15" x14ac:dyDescent="0.25">
      <c r="A933" s="234" t="s">
        <v>2223</v>
      </c>
      <c r="B933" s="234" t="s">
        <v>34</v>
      </c>
      <c r="C933" s="245">
        <v>46147</v>
      </c>
      <c r="D933" s="234">
        <v>0</v>
      </c>
      <c r="E933" s="246">
        <v>168008</v>
      </c>
      <c r="F933" s="247" t="s">
        <v>2222</v>
      </c>
      <c r="G933" s="34" t="s">
        <v>7</v>
      </c>
      <c r="H933" s="234" t="s">
        <v>2224</v>
      </c>
      <c r="I933" s="248" t="s">
        <v>7</v>
      </c>
      <c r="J933" s="249" t="s">
        <v>554</v>
      </c>
      <c r="K933" s="250">
        <v>168008</v>
      </c>
      <c r="L933" s="250">
        <v>0</v>
      </c>
      <c r="M933" s="251" t="s">
        <v>34</v>
      </c>
      <c r="N933" s="252">
        <v>0</v>
      </c>
      <c r="O933" s="185" t="s">
        <v>51</v>
      </c>
    </row>
    <row r="934" spans="1:15" x14ac:dyDescent="0.25">
      <c r="A934" s="234" t="s">
        <v>4042</v>
      </c>
      <c r="B934" s="234" t="s">
        <v>34</v>
      </c>
      <c r="C934" s="245">
        <v>46147</v>
      </c>
      <c r="D934" s="234">
        <v>0</v>
      </c>
      <c r="E934" s="246">
        <v>197968</v>
      </c>
      <c r="F934" s="247" t="s">
        <v>4041</v>
      </c>
      <c r="G934" s="34" t="s">
        <v>7</v>
      </c>
      <c r="H934" s="234" t="s">
        <v>4043</v>
      </c>
      <c r="I934" s="248" t="s">
        <v>7</v>
      </c>
      <c r="J934" s="249" t="s">
        <v>554</v>
      </c>
      <c r="K934" s="250">
        <v>197968</v>
      </c>
      <c r="L934" s="250">
        <v>0</v>
      </c>
      <c r="M934" s="251" t="s">
        <v>34</v>
      </c>
      <c r="N934" s="252">
        <v>0</v>
      </c>
      <c r="O934" s="185" t="s">
        <v>51</v>
      </c>
    </row>
    <row r="935" spans="1:15" x14ac:dyDescent="0.25">
      <c r="A935" s="234" t="s">
        <v>4019</v>
      </c>
      <c r="B935" s="234" t="s">
        <v>34</v>
      </c>
      <c r="C935" s="245">
        <v>46147</v>
      </c>
      <c r="D935" s="234">
        <v>0</v>
      </c>
      <c r="E935" s="246">
        <v>196768</v>
      </c>
      <c r="F935" s="247" t="s">
        <v>4018</v>
      </c>
      <c r="G935" s="34" t="s">
        <v>7</v>
      </c>
      <c r="H935" s="234" t="s">
        <v>4020</v>
      </c>
      <c r="I935" s="248" t="s">
        <v>7</v>
      </c>
      <c r="J935" s="249" t="s">
        <v>554</v>
      </c>
      <c r="K935" s="250">
        <v>196768</v>
      </c>
      <c r="L935" s="250">
        <v>0</v>
      </c>
      <c r="M935" s="251" t="s">
        <v>34</v>
      </c>
      <c r="N935" s="252">
        <v>0</v>
      </c>
      <c r="O935" s="185" t="s">
        <v>51</v>
      </c>
    </row>
    <row r="936" spans="1:15" x14ac:dyDescent="0.25">
      <c r="A936" s="234" t="s">
        <v>2309</v>
      </c>
      <c r="B936" s="234" t="s">
        <v>34</v>
      </c>
      <c r="C936" s="245">
        <v>46147</v>
      </c>
      <c r="D936" s="234">
        <v>0</v>
      </c>
      <c r="E936" s="246">
        <v>35467.97</v>
      </c>
      <c r="F936" s="247" t="s">
        <v>2313</v>
      </c>
      <c r="G936" s="34" t="s">
        <v>7</v>
      </c>
      <c r="H936" s="234" t="s">
        <v>2310</v>
      </c>
      <c r="I936" s="248" t="s">
        <v>7</v>
      </c>
      <c r="J936" s="249" t="s">
        <v>554</v>
      </c>
      <c r="K936" s="250">
        <v>35467.97</v>
      </c>
      <c r="L936" s="250">
        <v>0</v>
      </c>
      <c r="M936" s="251" t="s">
        <v>34</v>
      </c>
      <c r="N936" s="252">
        <v>0</v>
      </c>
      <c r="O936" s="185" t="s">
        <v>51</v>
      </c>
    </row>
    <row r="937" spans="1:15" x14ac:dyDescent="0.25">
      <c r="A937" s="234" t="s">
        <v>5669</v>
      </c>
      <c r="B937" s="234" t="s">
        <v>34</v>
      </c>
      <c r="C937" s="245">
        <v>46147</v>
      </c>
      <c r="D937" s="234">
        <v>0</v>
      </c>
      <c r="E937" s="246">
        <v>214812</v>
      </c>
      <c r="F937" s="247" t="s">
        <v>5668</v>
      </c>
      <c r="G937" s="34" t="s">
        <v>7</v>
      </c>
      <c r="H937" s="234" t="s">
        <v>5670</v>
      </c>
      <c r="I937" s="248" t="s">
        <v>7367</v>
      </c>
      <c r="J937" s="249" t="s">
        <v>554</v>
      </c>
      <c r="K937" s="250">
        <v>214812</v>
      </c>
      <c r="L937" s="250">
        <v>1289</v>
      </c>
      <c r="M937" s="251" t="s">
        <v>34</v>
      </c>
      <c r="N937" s="252">
        <v>213523</v>
      </c>
      <c r="O937" s="185" t="s">
        <v>51</v>
      </c>
    </row>
    <row r="938" spans="1:15" x14ac:dyDescent="0.25">
      <c r="A938" s="234" t="s">
        <v>2306</v>
      </c>
      <c r="B938" s="234" t="s">
        <v>34</v>
      </c>
      <c r="C938" s="245">
        <v>46147</v>
      </c>
      <c r="D938" s="234">
        <v>0</v>
      </c>
      <c r="E938" s="246">
        <v>684798</v>
      </c>
      <c r="F938" s="247" t="s">
        <v>2305</v>
      </c>
      <c r="G938" s="34" t="s">
        <v>7</v>
      </c>
      <c r="H938" s="234" t="s">
        <v>2307</v>
      </c>
      <c r="I938" s="248" t="s">
        <v>7</v>
      </c>
      <c r="J938" s="249" t="s">
        <v>554</v>
      </c>
      <c r="K938" s="250">
        <v>684798.4</v>
      </c>
      <c r="L938" s="250">
        <v>0</v>
      </c>
      <c r="M938" s="251" t="s">
        <v>34</v>
      </c>
      <c r="N938" s="252">
        <v>0</v>
      </c>
      <c r="O938" s="185" t="s">
        <v>51</v>
      </c>
    </row>
    <row r="939" spans="1:15" x14ac:dyDescent="0.25">
      <c r="A939" s="234" t="s">
        <v>4036</v>
      </c>
      <c r="B939" s="234" t="s">
        <v>34</v>
      </c>
      <c r="C939" s="245">
        <v>46147</v>
      </c>
      <c r="D939" s="234">
        <v>0</v>
      </c>
      <c r="E939" s="246">
        <v>132148</v>
      </c>
      <c r="F939" s="247" t="s">
        <v>4035</v>
      </c>
      <c r="G939" s="34" t="s">
        <v>7</v>
      </c>
      <c r="H939" s="234" t="s">
        <v>4037</v>
      </c>
      <c r="I939" s="248" t="s">
        <v>7</v>
      </c>
      <c r="J939" s="249" t="s">
        <v>554</v>
      </c>
      <c r="K939" s="250">
        <v>132148</v>
      </c>
      <c r="L939" s="250">
        <v>0</v>
      </c>
      <c r="M939" s="251" t="s">
        <v>34</v>
      </c>
      <c r="N939" s="252">
        <v>0</v>
      </c>
      <c r="O939" s="185" t="s">
        <v>51</v>
      </c>
    </row>
    <row r="940" spans="1:15" x14ac:dyDescent="0.25">
      <c r="A940" s="234" t="s">
        <v>2112</v>
      </c>
      <c r="B940" s="234" t="s">
        <v>34</v>
      </c>
      <c r="C940" s="245">
        <v>46147</v>
      </c>
      <c r="D940" s="234">
        <v>0</v>
      </c>
      <c r="E940" s="246">
        <v>240566</v>
      </c>
      <c r="F940" s="247">
        <v>0</v>
      </c>
      <c r="G940" s="34" t="s">
        <v>7</v>
      </c>
      <c r="H940" s="234" t="s">
        <v>2113</v>
      </c>
      <c r="I940" s="248" t="s">
        <v>7</v>
      </c>
      <c r="J940" s="249" t="s">
        <v>492</v>
      </c>
      <c r="K940" s="250">
        <v>0</v>
      </c>
      <c r="L940" s="250">
        <v>0</v>
      </c>
      <c r="M940" s="251" t="s">
        <v>34</v>
      </c>
      <c r="N940" s="252">
        <v>0</v>
      </c>
      <c r="O940" s="185" t="s">
        <v>51</v>
      </c>
    </row>
    <row r="941" spans="1:15" x14ac:dyDescent="0.25">
      <c r="A941" s="234" t="s">
        <v>7521</v>
      </c>
      <c r="B941" s="234" t="s">
        <v>34</v>
      </c>
      <c r="C941" s="245">
        <v>46147</v>
      </c>
      <c r="D941" s="234">
        <v>0</v>
      </c>
      <c r="E941" s="246">
        <v>18000</v>
      </c>
      <c r="F941" s="247" t="s">
        <v>7750</v>
      </c>
      <c r="G941" s="34" t="s">
        <v>7</v>
      </c>
      <c r="H941" s="234" t="s">
        <v>7523</v>
      </c>
      <c r="I941" s="248" t="s">
        <v>7524</v>
      </c>
      <c r="J941" s="249" t="s">
        <v>7627</v>
      </c>
      <c r="K941" s="250">
        <v>18000</v>
      </c>
      <c r="L941" s="250">
        <v>18000</v>
      </c>
      <c r="M941" s="251" t="s">
        <v>34</v>
      </c>
      <c r="N941" s="252">
        <v>0</v>
      </c>
      <c r="O941" s="185" t="s">
        <v>51</v>
      </c>
    </row>
    <row r="942" spans="1:15" x14ac:dyDescent="0.25">
      <c r="A942" s="234" t="s">
        <v>2200</v>
      </c>
      <c r="B942" s="234" t="s">
        <v>34</v>
      </c>
      <c r="C942" s="245">
        <v>46147</v>
      </c>
      <c r="D942" s="234">
        <v>0</v>
      </c>
      <c r="E942" s="246">
        <v>50000</v>
      </c>
      <c r="F942" s="247" t="s">
        <v>2202</v>
      </c>
      <c r="G942" s="34" t="s">
        <v>7</v>
      </c>
      <c r="H942" s="234" t="s">
        <v>2201</v>
      </c>
      <c r="I942" s="248" t="s">
        <v>7</v>
      </c>
      <c r="J942" s="249" t="s">
        <v>554</v>
      </c>
      <c r="K942" s="250">
        <v>50000</v>
      </c>
      <c r="L942" s="250">
        <v>0</v>
      </c>
      <c r="M942" s="251" t="s">
        <v>34</v>
      </c>
      <c r="N942" s="252">
        <v>0</v>
      </c>
      <c r="O942" s="185" t="s">
        <v>51</v>
      </c>
    </row>
    <row r="943" spans="1:15" x14ac:dyDescent="0.25">
      <c r="A943" s="234" t="s">
        <v>2200</v>
      </c>
      <c r="B943" s="234" t="s">
        <v>34</v>
      </c>
      <c r="C943" s="245">
        <v>46147</v>
      </c>
      <c r="D943" s="234">
        <v>0</v>
      </c>
      <c r="E943" s="246">
        <v>25000</v>
      </c>
      <c r="F943" s="247" t="s">
        <v>2199</v>
      </c>
      <c r="G943" s="34" t="s">
        <v>7</v>
      </c>
      <c r="H943" s="234" t="s">
        <v>2201</v>
      </c>
      <c r="I943" s="248" t="s">
        <v>7</v>
      </c>
      <c r="J943" s="249" t="s">
        <v>554</v>
      </c>
      <c r="K943" s="250">
        <v>25000</v>
      </c>
      <c r="L943" s="250">
        <v>0</v>
      </c>
      <c r="M943" s="251" t="s">
        <v>34</v>
      </c>
      <c r="N943" s="252">
        <v>0</v>
      </c>
      <c r="O943" s="185" t="s">
        <v>51</v>
      </c>
    </row>
    <row r="944" spans="1:15" x14ac:dyDescent="0.25">
      <c r="A944" s="234" t="s">
        <v>7521</v>
      </c>
      <c r="B944" s="234" t="s">
        <v>34</v>
      </c>
      <c r="C944" s="245">
        <v>46147</v>
      </c>
      <c r="D944" s="234">
        <v>0</v>
      </c>
      <c r="E944" s="246">
        <v>18000</v>
      </c>
      <c r="F944" s="247" t="s">
        <v>7751</v>
      </c>
      <c r="G944" s="34" t="s">
        <v>7</v>
      </c>
      <c r="H944" s="234" t="s">
        <v>7523</v>
      </c>
      <c r="I944" s="248" t="s">
        <v>7524</v>
      </c>
      <c r="J944" s="249" t="s">
        <v>7627</v>
      </c>
      <c r="K944" s="250">
        <v>18000</v>
      </c>
      <c r="L944" s="250">
        <v>18000</v>
      </c>
      <c r="M944" s="251" t="s">
        <v>34</v>
      </c>
      <c r="N944" s="252">
        <v>0</v>
      </c>
      <c r="O944" s="185" t="s">
        <v>51</v>
      </c>
    </row>
    <row r="945" spans="1:15" x14ac:dyDescent="0.25">
      <c r="A945" s="234" t="s">
        <v>5106</v>
      </c>
      <c r="B945" s="234" t="s">
        <v>49</v>
      </c>
      <c r="C945" s="245">
        <v>46147</v>
      </c>
      <c r="D945" s="234" t="s">
        <v>546</v>
      </c>
      <c r="E945" s="246">
        <v>800</v>
      </c>
      <c r="F945" s="247" t="s">
        <v>5105</v>
      </c>
      <c r="G945" s="34" t="s">
        <v>83</v>
      </c>
      <c r="H945" s="234" t="s">
        <v>5107</v>
      </c>
      <c r="I945" s="248" t="s">
        <v>7</v>
      </c>
      <c r="J945" s="249" t="s">
        <v>554</v>
      </c>
      <c r="K945" s="250">
        <v>800</v>
      </c>
      <c r="L945" s="250">
        <v>0</v>
      </c>
      <c r="M945" s="251" t="s">
        <v>49</v>
      </c>
      <c r="N945" s="252">
        <v>0</v>
      </c>
      <c r="O945" s="185" t="s">
        <v>51</v>
      </c>
    </row>
    <row r="946" spans="1:15" x14ac:dyDescent="0.25">
      <c r="A946" s="234" t="s">
        <v>3552</v>
      </c>
      <c r="B946" s="234" t="s">
        <v>49</v>
      </c>
      <c r="C946" s="245">
        <v>46147</v>
      </c>
      <c r="D946" s="234" t="s">
        <v>546</v>
      </c>
      <c r="E946" s="246">
        <v>25000</v>
      </c>
      <c r="F946" s="247" t="s">
        <v>3554</v>
      </c>
      <c r="G946" s="34" t="s">
        <v>83</v>
      </c>
      <c r="H946" s="234" t="s">
        <v>3553</v>
      </c>
      <c r="I946" s="248" t="s">
        <v>7</v>
      </c>
      <c r="J946" s="249" t="s">
        <v>554</v>
      </c>
      <c r="K946" s="250">
        <v>25000</v>
      </c>
      <c r="L946" s="250">
        <v>0</v>
      </c>
      <c r="M946" s="251" t="s">
        <v>49</v>
      </c>
      <c r="N946" s="252">
        <v>0</v>
      </c>
      <c r="O946" s="185" t="s">
        <v>51</v>
      </c>
    </row>
    <row r="947" spans="1:15" x14ac:dyDescent="0.25">
      <c r="A947" s="234" t="s">
        <v>5071</v>
      </c>
      <c r="B947" s="234" t="s">
        <v>49</v>
      </c>
      <c r="C947" s="245">
        <v>46147</v>
      </c>
      <c r="D947" s="234" t="s">
        <v>7287</v>
      </c>
      <c r="E947" s="246">
        <v>43739.74</v>
      </c>
      <c r="F947" s="247" t="s">
        <v>5073</v>
      </c>
      <c r="G947" s="34" t="s">
        <v>83</v>
      </c>
      <c r="H947" s="234" t="s">
        <v>5072</v>
      </c>
      <c r="I947" s="248" t="s">
        <v>7</v>
      </c>
      <c r="J947" s="249" t="s">
        <v>554</v>
      </c>
      <c r="K947" s="250">
        <v>99619.37</v>
      </c>
      <c r="L947" s="250">
        <v>0</v>
      </c>
      <c r="M947" s="251" t="s">
        <v>49</v>
      </c>
      <c r="N947" s="252">
        <v>0</v>
      </c>
      <c r="O947" s="185" t="s">
        <v>51</v>
      </c>
    </row>
    <row r="948" spans="1:15" x14ac:dyDescent="0.25">
      <c r="A948" s="234" t="s">
        <v>5071</v>
      </c>
      <c r="B948" s="234" t="s">
        <v>49</v>
      </c>
      <c r="C948" s="245">
        <v>46147</v>
      </c>
      <c r="D948" s="234" t="s">
        <v>7287</v>
      </c>
      <c r="E948" s="246">
        <v>99618.87</v>
      </c>
      <c r="F948" s="247" t="s">
        <v>5074</v>
      </c>
      <c r="G948" s="34" t="s">
        <v>83</v>
      </c>
      <c r="H948" s="234" t="s">
        <v>5072</v>
      </c>
      <c r="I948" s="248" t="s">
        <v>7</v>
      </c>
      <c r="J948" s="249" t="s">
        <v>582</v>
      </c>
      <c r="K948" s="250">
        <v>99618.87</v>
      </c>
      <c r="L948" s="250">
        <v>0</v>
      </c>
      <c r="M948" s="251" t="s">
        <v>49</v>
      </c>
      <c r="N948" s="252">
        <v>0</v>
      </c>
      <c r="O948" s="185" t="s">
        <v>51</v>
      </c>
    </row>
    <row r="949" spans="1:15" x14ac:dyDescent="0.25">
      <c r="A949" s="234" t="s">
        <v>3546</v>
      </c>
      <c r="B949" s="234" t="s">
        <v>49</v>
      </c>
      <c r="C949" s="245">
        <v>46147</v>
      </c>
      <c r="D949" s="234" t="s">
        <v>546</v>
      </c>
      <c r="E949" s="246">
        <v>10000</v>
      </c>
      <c r="F949" s="247" t="s">
        <v>3548</v>
      </c>
      <c r="G949" s="34" t="s">
        <v>83</v>
      </c>
      <c r="H949" s="234" t="s">
        <v>3547</v>
      </c>
      <c r="I949" s="248" t="s">
        <v>7</v>
      </c>
      <c r="J949" s="249" t="s">
        <v>554</v>
      </c>
      <c r="K949" s="250">
        <v>10000</v>
      </c>
      <c r="L949" s="250">
        <v>0</v>
      </c>
      <c r="M949" s="251" t="s">
        <v>49</v>
      </c>
      <c r="N949" s="252">
        <v>0</v>
      </c>
      <c r="O949" s="185" t="s">
        <v>51</v>
      </c>
    </row>
    <row r="950" spans="1:15" x14ac:dyDescent="0.25">
      <c r="A950" s="234" t="s">
        <v>3546</v>
      </c>
      <c r="B950" s="234" t="s">
        <v>49</v>
      </c>
      <c r="C950" s="245">
        <v>46147</v>
      </c>
      <c r="D950" s="234" t="s">
        <v>546</v>
      </c>
      <c r="E950" s="246">
        <v>29000</v>
      </c>
      <c r="F950" s="247" t="s">
        <v>3545</v>
      </c>
      <c r="G950" s="34" t="s">
        <v>83</v>
      </c>
      <c r="H950" s="234" t="s">
        <v>3547</v>
      </c>
      <c r="I950" s="248" t="s">
        <v>7</v>
      </c>
      <c r="J950" s="249" t="s">
        <v>554</v>
      </c>
      <c r="K950" s="250">
        <v>29000</v>
      </c>
      <c r="L950" s="250">
        <v>0</v>
      </c>
      <c r="M950" s="251" t="s">
        <v>49</v>
      </c>
      <c r="N950" s="252">
        <v>0</v>
      </c>
      <c r="O950" s="185" t="s">
        <v>51</v>
      </c>
    </row>
    <row r="951" spans="1:15" x14ac:dyDescent="0.25">
      <c r="A951" s="234" t="s">
        <v>3860</v>
      </c>
      <c r="B951" s="234" t="s">
        <v>49</v>
      </c>
      <c r="C951" s="245">
        <v>46147</v>
      </c>
      <c r="D951" s="234" t="s">
        <v>546</v>
      </c>
      <c r="E951" s="246">
        <v>12500</v>
      </c>
      <c r="F951" s="247" t="s">
        <v>3859</v>
      </c>
      <c r="G951" s="34" t="s">
        <v>83</v>
      </c>
      <c r="H951" s="234" t="s">
        <v>3861</v>
      </c>
      <c r="I951" s="248" t="s">
        <v>7</v>
      </c>
      <c r="J951" s="249" t="s">
        <v>554</v>
      </c>
      <c r="K951" s="250">
        <v>12500</v>
      </c>
      <c r="L951" s="250">
        <v>0</v>
      </c>
      <c r="M951" s="251" t="s">
        <v>49</v>
      </c>
      <c r="N951" s="252">
        <v>0</v>
      </c>
      <c r="O951" s="185" t="s">
        <v>51</v>
      </c>
    </row>
    <row r="952" spans="1:15" x14ac:dyDescent="0.25">
      <c r="A952" s="234" t="s">
        <v>3526</v>
      </c>
      <c r="B952" s="234" t="s">
        <v>49</v>
      </c>
      <c r="C952" s="245">
        <v>46147</v>
      </c>
      <c r="D952" s="234" t="s">
        <v>546</v>
      </c>
      <c r="E952" s="246">
        <v>12500</v>
      </c>
      <c r="F952" s="247" t="s">
        <v>3525</v>
      </c>
      <c r="G952" s="34" t="s">
        <v>83</v>
      </c>
      <c r="H952" s="234" t="s">
        <v>3527</v>
      </c>
      <c r="I952" s="248" t="s">
        <v>7</v>
      </c>
      <c r="J952" s="249" t="s">
        <v>554</v>
      </c>
      <c r="K952" s="250">
        <v>12500</v>
      </c>
      <c r="L952" s="250">
        <v>0</v>
      </c>
      <c r="M952" s="251" t="s">
        <v>49</v>
      </c>
      <c r="N952" s="252">
        <v>0</v>
      </c>
      <c r="O952" s="185" t="s">
        <v>51</v>
      </c>
    </row>
    <row r="953" spans="1:15" x14ac:dyDescent="0.25">
      <c r="A953" s="234" t="s">
        <v>3533</v>
      </c>
      <c r="B953" s="234" t="s">
        <v>49</v>
      </c>
      <c r="C953" s="245">
        <v>46147</v>
      </c>
      <c r="D953" s="234" t="s">
        <v>546</v>
      </c>
      <c r="E953" s="246">
        <v>129442</v>
      </c>
      <c r="F953" s="247" t="s">
        <v>3532</v>
      </c>
      <c r="G953" s="34" t="s">
        <v>83</v>
      </c>
      <c r="H953" s="234" t="s">
        <v>3534</v>
      </c>
      <c r="I953" s="248" t="s">
        <v>7</v>
      </c>
      <c r="J953" s="249" t="s">
        <v>554</v>
      </c>
      <c r="K953" s="250">
        <v>129442</v>
      </c>
      <c r="L953" s="250">
        <v>0</v>
      </c>
      <c r="M953" s="251" t="s">
        <v>49</v>
      </c>
      <c r="N953" s="252">
        <v>0</v>
      </c>
      <c r="O953" s="185" t="s">
        <v>51</v>
      </c>
    </row>
    <row r="954" spans="1:15" x14ac:dyDescent="0.25">
      <c r="A954" s="234" t="s">
        <v>4564</v>
      </c>
      <c r="B954" s="234" t="s">
        <v>49</v>
      </c>
      <c r="C954" s="245">
        <v>46147</v>
      </c>
      <c r="D954" s="234" t="s">
        <v>546</v>
      </c>
      <c r="E954" s="246">
        <v>10000</v>
      </c>
      <c r="F954" s="247" t="s">
        <v>4563</v>
      </c>
      <c r="G954" s="34" t="s">
        <v>83</v>
      </c>
      <c r="H954" s="234" t="s">
        <v>4565</v>
      </c>
      <c r="I954" s="248" t="s">
        <v>7</v>
      </c>
      <c r="J954" s="249" t="s">
        <v>554</v>
      </c>
      <c r="K954" s="250">
        <v>10000</v>
      </c>
      <c r="L954" s="250">
        <v>0</v>
      </c>
      <c r="M954" s="251" t="s">
        <v>49</v>
      </c>
      <c r="N954" s="252">
        <v>0</v>
      </c>
      <c r="O954" s="185" t="s">
        <v>74</v>
      </c>
    </row>
    <row r="955" spans="1:15" x14ac:dyDescent="0.25">
      <c r="A955" s="234" t="s">
        <v>5741</v>
      </c>
      <c r="B955" s="234" t="s">
        <v>49</v>
      </c>
      <c r="C955" s="245">
        <v>46147</v>
      </c>
      <c r="D955" s="234" t="s">
        <v>546</v>
      </c>
      <c r="E955" s="246">
        <v>5051</v>
      </c>
      <c r="F955" s="247" t="s">
        <v>5748</v>
      </c>
      <c r="G955" s="34" t="s">
        <v>83</v>
      </c>
      <c r="H955" s="234" t="s">
        <v>5742</v>
      </c>
      <c r="I955" s="248" t="s">
        <v>7</v>
      </c>
      <c r="J955" s="249" t="s">
        <v>554</v>
      </c>
      <c r="K955" s="250">
        <v>10000</v>
      </c>
      <c r="L955" s="250">
        <v>0</v>
      </c>
      <c r="M955" s="251" t="s">
        <v>49</v>
      </c>
      <c r="N955" s="252">
        <v>0</v>
      </c>
      <c r="O955" s="185" t="s">
        <v>51</v>
      </c>
    </row>
    <row r="956" spans="1:15" x14ac:dyDescent="0.25">
      <c r="A956" s="234" t="s">
        <v>4329</v>
      </c>
      <c r="B956" s="234" t="s">
        <v>49</v>
      </c>
      <c r="C956" s="245">
        <v>46147</v>
      </c>
      <c r="D956" s="234" t="s">
        <v>7289</v>
      </c>
      <c r="E956" s="246">
        <v>169808</v>
      </c>
      <c r="F956" s="247" t="s">
        <v>4328</v>
      </c>
      <c r="G956" s="34" t="s">
        <v>83</v>
      </c>
      <c r="H956" s="234" t="s">
        <v>4330</v>
      </c>
      <c r="I956" s="248" t="s">
        <v>7</v>
      </c>
      <c r="J956" s="249" t="s">
        <v>61</v>
      </c>
      <c r="K956" s="250">
        <v>169807.68</v>
      </c>
      <c r="L956" s="250">
        <v>0</v>
      </c>
      <c r="M956" s="251" t="s">
        <v>49</v>
      </c>
      <c r="N956" s="252">
        <v>0</v>
      </c>
      <c r="O956" s="185" t="s">
        <v>74</v>
      </c>
    </row>
    <row r="957" spans="1:15" x14ac:dyDescent="0.25">
      <c r="A957" s="234" t="s">
        <v>5285</v>
      </c>
      <c r="B957" s="234" t="s">
        <v>49</v>
      </c>
      <c r="C957" s="245">
        <v>46147</v>
      </c>
      <c r="D957" s="234" t="s">
        <v>546</v>
      </c>
      <c r="E957" s="246">
        <v>3600</v>
      </c>
      <c r="F957" s="247" t="s">
        <v>5284</v>
      </c>
      <c r="G957" s="34" t="s">
        <v>83</v>
      </c>
      <c r="H957" s="234" t="s">
        <v>5286</v>
      </c>
      <c r="I957" s="248" t="s">
        <v>7</v>
      </c>
      <c r="J957" s="249" t="s">
        <v>554</v>
      </c>
      <c r="K957" s="250">
        <v>3600</v>
      </c>
      <c r="L957" s="250">
        <v>0</v>
      </c>
      <c r="M957" s="251" t="s">
        <v>49</v>
      </c>
      <c r="N957" s="252">
        <v>0</v>
      </c>
      <c r="O957" s="185" t="s">
        <v>74</v>
      </c>
    </row>
    <row r="958" spans="1:15" x14ac:dyDescent="0.25">
      <c r="A958" s="234" t="s">
        <v>7651</v>
      </c>
      <c r="B958" s="234" t="s">
        <v>45</v>
      </c>
      <c r="C958" s="245">
        <v>46147</v>
      </c>
      <c r="D958" s="234">
        <v>0</v>
      </c>
      <c r="E958" s="246">
        <v>277000</v>
      </c>
      <c r="F958" s="247">
        <v>0</v>
      </c>
      <c r="G958" s="34" t="s">
        <v>83</v>
      </c>
      <c r="H958" s="234" t="s">
        <v>7652</v>
      </c>
      <c r="I958" s="248" t="s">
        <v>7</v>
      </c>
      <c r="J958" s="249" t="s">
        <v>492</v>
      </c>
      <c r="K958" s="250">
        <v>0</v>
      </c>
      <c r="L958" s="250">
        <v>0</v>
      </c>
      <c r="M958" s="251" t="s">
        <v>45</v>
      </c>
      <c r="N958" s="252">
        <v>0</v>
      </c>
      <c r="O958" s="185" t="s">
        <v>74</v>
      </c>
    </row>
    <row r="959" spans="1:15" x14ac:dyDescent="0.25">
      <c r="A959" s="234" t="s">
        <v>4045</v>
      </c>
      <c r="B959" s="234" t="s">
        <v>45</v>
      </c>
      <c r="C959" s="245">
        <v>46147</v>
      </c>
      <c r="D959" s="234">
        <v>0</v>
      </c>
      <c r="E959" s="246">
        <v>147301</v>
      </c>
      <c r="F959" s="247">
        <v>0</v>
      </c>
      <c r="G959" s="34" t="s">
        <v>83</v>
      </c>
      <c r="H959" s="234" t="s">
        <v>4046</v>
      </c>
      <c r="I959" s="248" t="s">
        <v>7</v>
      </c>
      <c r="J959" s="249" t="s">
        <v>492</v>
      </c>
      <c r="K959" s="250">
        <v>0</v>
      </c>
      <c r="L959" s="250">
        <v>0</v>
      </c>
      <c r="M959" s="251" t="s">
        <v>45</v>
      </c>
      <c r="N959" s="252">
        <v>0</v>
      </c>
      <c r="O959" s="185" t="s">
        <v>74</v>
      </c>
    </row>
    <row r="960" spans="1:15" x14ac:dyDescent="0.25">
      <c r="A960" s="234" t="s">
        <v>7752</v>
      </c>
      <c r="B960" s="234" t="s">
        <v>45</v>
      </c>
      <c r="C960" s="245">
        <v>46147</v>
      </c>
      <c r="D960" s="234">
        <v>0</v>
      </c>
      <c r="E960" s="246">
        <v>85000</v>
      </c>
      <c r="F960" s="247">
        <v>0</v>
      </c>
      <c r="G960" s="34" t="s">
        <v>83</v>
      </c>
      <c r="H960" s="234" t="s">
        <v>7753</v>
      </c>
      <c r="I960" s="248" t="s">
        <v>7</v>
      </c>
      <c r="J960" s="249" t="s">
        <v>492</v>
      </c>
      <c r="K960" s="250">
        <v>0</v>
      </c>
      <c r="L960" s="250">
        <v>0</v>
      </c>
      <c r="M960" s="251" t="s">
        <v>45</v>
      </c>
      <c r="N960" s="252">
        <v>0</v>
      </c>
      <c r="O960" s="185" t="s">
        <v>74</v>
      </c>
    </row>
    <row r="961" spans="1:15" x14ac:dyDescent="0.25">
      <c r="A961" s="234" t="s">
        <v>5699</v>
      </c>
      <c r="B961" s="234" t="s">
        <v>29</v>
      </c>
      <c r="C961" s="245">
        <v>46147</v>
      </c>
      <c r="D961" s="234">
        <v>0</v>
      </c>
      <c r="E961" s="246">
        <v>200000</v>
      </c>
      <c r="F961" s="247">
        <v>0</v>
      </c>
      <c r="G961" s="34" t="s">
        <v>7</v>
      </c>
      <c r="H961" s="234" t="s">
        <v>5701</v>
      </c>
      <c r="I961" s="248" t="s">
        <v>7</v>
      </c>
      <c r="J961" s="249" t="s">
        <v>492</v>
      </c>
      <c r="K961" s="250">
        <v>0</v>
      </c>
      <c r="L961" s="250">
        <v>0</v>
      </c>
      <c r="M961" s="251" t="s">
        <v>29</v>
      </c>
      <c r="N961" s="252">
        <v>0</v>
      </c>
      <c r="O961" s="185" t="s">
        <v>51</v>
      </c>
    </row>
    <row r="962" spans="1:15" x14ac:dyDescent="0.25">
      <c r="A962" s="234" t="s">
        <v>5788</v>
      </c>
      <c r="B962" s="234" t="s">
        <v>29</v>
      </c>
      <c r="C962" s="245">
        <v>46147</v>
      </c>
      <c r="D962" s="234">
        <v>0</v>
      </c>
      <c r="E962" s="246">
        <v>115000</v>
      </c>
      <c r="F962" s="247">
        <v>0</v>
      </c>
      <c r="G962" s="34" t="s">
        <v>7</v>
      </c>
      <c r="H962" s="234" t="s">
        <v>5789</v>
      </c>
      <c r="I962" s="248" t="s">
        <v>7</v>
      </c>
      <c r="J962" s="249" t="s">
        <v>492</v>
      </c>
      <c r="K962" s="250">
        <v>0</v>
      </c>
      <c r="L962" s="250">
        <v>0</v>
      </c>
      <c r="M962" s="251" t="s">
        <v>29</v>
      </c>
      <c r="N962" s="252">
        <v>0</v>
      </c>
      <c r="O962" s="185" t="s">
        <v>51</v>
      </c>
    </row>
    <row r="963" spans="1:15" x14ac:dyDescent="0.25">
      <c r="A963" s="234" t="s">
        <v>2975</v>
      </c>
      <c r="B963" s="234" t="s">
        <v>29</v>
      </c>
      <c r="C963" s="245">
        <v>46147</v>
      </c>
      <c r="D963" s="234">
        <v>0</v>
      </c>
      <c r="E963" s="246">
        <v>25000</v>
      </c>
      <c r="F963" s="247">
        <v>0</v>
      </c>
      <c r="G963" s="34" t="s">
        <v>7</v>
      </c>
      <c r="H963" s="234" t="s">
        <v>2976</v>
      </c>
      <c r="I963" s="248" t="s">
        <v>7</v>
      </c>
      <c r="J963" s="249" t="s">
        <v>492</v>
      </c>
      <c r="K963" s="250">
        <v>0</v>
      </c>
      <c r="L963" s="250">
        <v>0</v>
      </c>
      <c r="M963" s="251" t="s">
        <v>29</v>
      </c>
      <c r="N963" s="252">
        <v>0</v>
      </c>
      <c r="O963" s="185" t="s">
        <v>51</v>
      </c>
    </row>
    <row r="964" spans="1:15" x14ac:dyDescent="0.25">
      <c r="A964" s="234" t="s">
        <v>5784</v>
      </c>
      <c r="B964" s="234" t="s">
        <v>29</v>
      </c>
      <c r="C964" s="245">
        <v>46147</v>
      </c>
      <c r="D964" s="234">
        <v>0</v>
      </c>
      <c r="E964" s="246">
        <v>557000</v>
      </c>
      <c r="F964" s="247">
        <v>0</v>
      </c>
      <c r="G964" s="34" t="s">
        <v>7</v>
      </c>
      <c r="H964" s="234" t="s">
        <v>5786</v>
      </c>
      <c r="I964" s="248" t="s">
        <v>7</v>
      </c>
      <c r="J964" s="249" t="s">
        <v>492</v>
      </c>
      <c r="K964" s="250">
        <v>0</v>
      </c>
      <c r="L964" s="250">
        <v>0</v>
      </c>
      <c r="M964" s="251" t="s">
        <v>29</v>
      </c>
      <c r="N964" s="252">
        <v>0</v>
      </c>
      <c r="O964" s="185" t="s">
        <v>51</v>
      </c>
    </row>
    <row r="965" spans="1:15" x14ac:dyDescent="0.25">
      <c r="A965" s="234" t="s">
        <v>2895</v>
      </c>
      <c r="B965" s="234" t="s">
        <v>29</v>
      </c>
      <c r="C965" s="245">
        <v>46147</v>
      </c>
      <c r="D965" s="234">
        <v>0</v>
      </c>
      <c r="E965" s="246">
        <v>25000</v>
      </c>
      <c r="F965" s="247">
        <v>0</v>
      </c>
      <c r="G965" s="34" t="s">
        <v>7</v>
      </c>
      <c r="H965" s="234" t="s">
        <v>2896</v>
      </c>
      <c r="I965" s="248" t="s">
        <v>7</v>
      </c>
      <c r="J965" s="249" t="s">
        <v>492</v>
      </c>
      <c r="K965" s="250">
        <v>0</v>
      </c>
      <c r="L965" s="250">
        <v>0</v>
      </c>
      <c r="M965" s="251" t="s">
        <v>29</v>
      </c>
      <c r="N965" s="252">
        <v>0</v>
      </c>
      <c r="O965" s="185" t="s">
        <v>51</v>
      </c>
    </row>
    <row r="966" spans="1:15" x14ac:dyDescent="0.25">
      <c r="A966" s="234" t="s">
        <v>5792</v>
      </c>
      <c r="B966" s="234" t="s">
        <v>29</v>
      </c>
      <c r="C966" s="245">
        <v>46147</v>
      </c>
      <c r="D966" s="234">
        <v>0</v>
      </c>
      <c r="E966" s="246">
        <v>50000</v>
      </c>
      <c r="F966" s="247">
        <v>0</v>
      </c>
      <c r="G966" s="34" t="s">
        <v>7</v>
      </c>
      <c r="H966" s="234" t="s">
        <v>5794</v>
      </c>
      <c r="I966" s="248" t="s">
        <v>7</v>
      </c>
      <c r="J966" s="249" t="s">
        <v>492</v>
      </c>
      <c r="K966" s="250">
        <v>0</v>
      </c>
      <c r="L966" s="250">
        <v>0</v>
      </c>
      <c r="M966" s="251" t="s">
        <v>29</v>
      </c>
      <c r="N966" s="252">
        <v>0</v>
      </c>
      <c r="O966" s="185" t="s">
        <v>51</v>
      </c>
    </row>
    <row r="967" spans="1:15" x14ac:dyDescent="0.25">
      <c r="A967" s="234" t="s">
        <v>7754</v>
      </c>
      <c r="B967" s="234" t="s">
        <v>29</v>
      </c>
      <c r="C967" s="245">
        <v>46147</v>
      </c>
      <c r="D967" s="234">
        <v>0</v>
      </c>
      <c r="E967" s="246">
        <v>42000</v>
      </c>
      <c r="F967" s="247">
        <v>0</v>
      </c>
      <c r="G967" s="34" t="s">
        <v>7</v>
      </c>
      <c r="H967" s="234" t="s">
        <v>7755</v>
      </c>
      <c r="I967" s="248" t="s">
        <v>7</v>
      </c>
      <c r="J967" s="249" t="s">
        <v>492</v>
      </c>
      <c r="K967" s="250">
        <v>0</v>
      </c>
      <c r="L967" s="250">
        <v>0</v>
      </c>
      <c r="M967" s="251" t="s">
        <v>29</v>
      </c>
      <c r="N967" s="252">
        <v>0</v>
      </c>
      <c r="O967" s="185" t="s">
        <v>51</v>
      </c>
    </row>
    <row r="968" spans="1:15" x14ac:dyDescent="0.25">
      <c r="A968" s="234" t="s">
        <v>1993</v>
      </c>
      <c r="B968" s="234" t="s">
        <v>32</v>
      </c>
      <c r="C968" s="245">
        <v>46147</v>
      </c>
      <c r="D968" s="234" t="s">
        <v>7655</v>
      </c>
      <c r="E968" s="246">
        <v>406346</v>
      </c>
      <c r="F968" s="247" t="s">
        <v>1992</v>
      </c>
      <c r="G968" s="34" t="s">
        <v>7</v>
      </c>
      <c r="H968" s="234" t="s">
        <v>1994</v>
      </c>
      <c r="I968" s="248" t="s">
        <v>7</v>
      </c>
      <c r="J968" s="249" t="s">
        <v>554</v>
      </c>
      <c r="K968" s="250">
        <v>406346</v>
      </c>
      <c r="L968" s="250">
        <v>0</v>
      </c>
      <c r="M968" s="251" t="s">
        <v>32</v>
      </c>
      <c r="N968" s="252">
        <v>0</v>
      </c>
      <c r="O968" s="185" t="s">
        <v>51</v>
      </c>
    </row>
    <row r="969" spans="1:15" x14ac:dyDescent="0.25">
      <c r="A969" s="234" t="s">
        <v>3632</v>
      </c>
      <c r="B969" s="234" t="s">
        <v>32</v>
      </c>
      <c r="C969" s="245">
        <v>46147</v>
      </c>
      <c r="D969" s="234" t="s">
        <v>7655</v>
      </c>
      <c r="E969" s="246">
        <v>131636</v>
      </c>
      <c r="F969" s="247" t="s">
        <v>3634</v>
      </c>
      <c r="G969" s="34" t="s">
        <v>7</v>
      </c>
      <c r="H969" s="234" t="s">
        <v>3633</v>
      </c>
      <c r="I969" s="248" t="s">
        <v>7</v>
      </c>
      <c r="J969" s="249" t="s">
        <v>582</v>
      </c>
      <c r="K969" s="250">
        <v>131636</v>
      </c>
      <c r="L969" s="250">
        <v>0</v>
      </c>
      <c r="M969" s="251" t="s">
        <v>32</v>
      </c>
      <c r="N969" s="252">
        <v>0</v>
      </c>
      <c r="O969" s="185" t="s">
        <v>51</v>
      </c>
    </row>
    <row r="970" spans="1:15" x14ac:dyDescent="0.25">
      <c r="A970" s="234" t="s">
        <v>1990</v>
      </c>
      <c r="B970" s="234" t="s">
        <v>32</v>
      </c>
      <c r="C970" s="245">
        <v>46147</v>
      </c>
      <c r="D970" s="234" t="s">
        <v>7756</v>
      </c>
      <c r="E970" s="246">
        <v>500000</v>
      </c>
      <c r="F970" s="247" t="s">
        <v>1989</v>
      </c>
      <c r="G970" s="34" t="s">
        <v>7</v>
      </c>
      <c r="H970" s="234" t="s">
        <v>1991</v>
      </c>
      <c r="I970" s="248" t="s">
        <v>7</v>
      </c>
      <c r="J970" s="249" t="s">
        <v>554</v>
      </c>
      <c r="K970" s="250">
        <v>500000</v>
      </c>
      <c r="L970" s="250">
        <v>0</v>
      </c>
      <c r="M970" s="251" t="s">
        <v>32</v>
      </c>
      <c r="N970" s="252">
        <v>0</v>
      </c>
      <c r="O970" s="185" t="s">
        <v>51</v>
      </c>
    </row>
    <row r="971" spans="1:15" x14ac:dyDescent="0.25">
      <c r="A971" s="234" t="s">
        <v>5309</v>
      </c>
      <c r="B971" s="234" t="s">
        <v>32</v>
      </c>
      <c r="C971" s="245">
        <v>46147</v>
      </c>
      <c r="D971" s="234" t="s">
        <v>546</v>
      </c>
      <c r="E971" s="246">
        <v>73283</v>
      </c>
      <c r="F971" s="247" t="s">
        <v>5308</v>
      </c>
      <c r="G971" s="34" t="s">
        <v>7</v>
      </c>
      <c r="H971" s="234" t="s">
        <v>5310</v>
      </c>
      <c r="I971" s="248" t="s">
        <v>7</v>
      </c>
      <c r="J971" s="249" t="s">
        <v>554</v>
      </c>
      <c r="K971" s="250">
        <v>0</v>
      </c>
      <c r="L971" s="250">
        <v>0</v>
      </c>
      <c r="M971" s="251" t="s">
        <v>32</v>
      </c>
      <c r="N971" s="252">
        <v>0</v>
      </c>
      <c r="O971" s="185" t="s">
        <v>51</v>
      </c>
    </row>
    <row r="972" spans="1:15" x14ac:dyDescent="0.25">
      <c r="A972" s="234" t="s">
        <v>5176</v>
      </c>
      <c r="B972" s="234" t="s">
        <v>30</v>
      </c>
      <c r="C972" s="245">
        <v>46147</v>
      </c>
      <c r="D972" s="234">
        <v>0</v>
      </c>
      <c r="E972" s="246">
        <v>142813</v>
      </c>
      <c r="F972" s="247">
        <v>0</v>
      </c>
      <c r="G972" s="34" t="s">
        <v>7</v>
      </c>
      <c r="H972" s="234" t="s">
        <v>5177</v>
      </c>
      <c r="I972" s="248" t="s">
        <v>7</v>
      </c>
      <c r="J972" s="249" t="s">
        <v>492</v>
      </c>
      <c r="K972" s="250">
        <v>0</v>
      </c>
      <c r="L972" s="250">
        <v>0</v>
      </c>
      <c r="M972" s="251" t="s">
        <v>30</v>
      </c>
      <c r="N972" s="252">
        <v>0</v>
      </c>
      <c r="O972" s="185" t="s">
        <v>51</v>
      </c>
    </row>
    <row r="973" spans="1:15" x14ac:dyDescent="0.25">
      <c r="A973" s="234" t="s">
        <v>4980</v>
      </c>
      <c r="B973" s="234" t="s">
        <v>30</v>
      </c>
      <c r="C973" s="245">
        <v>46147</v>
      </c>
      <c r="D973" s="234">
        <v>0</v>
      </c>
      <c r="E973" s="246">
        <v>190498</v>
      </c>
      <c r="F973" s="247">
        <v>0</v>
      </c>
      <c r="G973" s="34" t="s">
        <v>7</v>
      </c>
      <c r="H973" s="234" t="s">
        <v>4981</v>
      </c>
      <c r="I973" s="248" t="s">
        <v>7</v>
      </c>
      <c r="J973" s="249" t="s">
        <v>492</v>
      </c>
      <c r="K973" s="250">
        <v>0</v>
      </c>
      <c r="L973" s="250">
        <v>0</v>
      </c>
      <c r="M973" s="251" t="s">
        <v>30</v>
      </c>
      <c r="N973" s="252">
        <v>0</v>
      </c>
      <c r="O973" s="185" t="s">
        <v>51</v>
      </c>
    </row>
    <row r="974" spans="1:15" x14ac:dyDescent="0.25">
      <c r="A974" s="234" t="s">
        <v>2389</v>
      </c>
      <c r="B974" s="234" t="s">
        <v>30</v>
      </c>
      <c r="C974" s="245">
        <v>46147</v>
      </c>
      <c r="D974" s="234">
        <v>0</v>
      </c>
      <c r="E974" s="246">
        <v>10000</v>
      </c>
      <c r="F974" s="247">
        <v>0</v>
      </c>
      <c r="G974" s="34" t="s">
        <v>7</v>
      </c>
      <c r="H974" s="234" t="s">
        <v>2390</v>
      </c>
      <c r="I974" s="248" t="s">
        <v>7</v>
      </c>
      <c r="J974" s="249" t="s">
        <v>492</v>
      </c>
      <c r="K974" s="250">
        <v>0</v>
      </c>
      <c r="L974" s="250">
        <v>0</v>
      </c>
      <c r="M974" s="251" t="s">
        <v>30</v>
      </c>
      <c r="N974" s="252">
        <v>0</v>
      </c>
      <c r="O974" s="185" t="s">
        <v>51</v>
      </c>
    </row>
    <row r="975" spans="1:15" x14ac:dyDescent="0.25">
      <c r="A975" s="234" t="s">
        <v>2582</v>
      </c>
      <c r="B975" s="234" t="s">
        <v>30</v>
      </c>
      <c r="C975" s="245">
        <v>46147</v>
      </c>
      <c r="D975" s="234">
        <v>0</v>
      </c>
      <c r="E975" s="246">
        <v>21478</v>
      </c>
      <c r="F975" s="247">
        <v>0</v>
      </c>
      <c r="G975" s="34" t="s">
        <v>7</v>
      </c>
      <c r="H975" s="234" t="s">
        <v>2583</v>
      </c>
      <c r="I975" s="248" t="s">
        <v>7</v>
      </c>
      <c r="J975" s="249" t="s">
        <v>492</v>
      </c>
      <c r="K975" s="250">
        <v>0</v>
      </c>
      <c r="L975" s="250">
        <v>0</v>
      </c>
      <c r="M975" s="251" t="s">
        <v>30</v>
      </c>
      <c r="N975" s="252">
        <v>0</v>
      </c>
      <c r="O975" s="185" t="s">
        <v>51</v>
      </c>
    </row>
    <row r="976" spans="1:15" x14ac:dyDescent="0.25">
      <c r="A976" s="234" t="s">
        <v>2441</v>
      </c>
      <c r="B976" s="234" t="s">
        <v>30</v>
      </c>
      <c r="C976" s="245">
        <v>46147</v>
      </c>
      <c r="D976" s="234">
        <v>0</v>
      </c>
      <c r="E976" s="246">
        <v>191474</v>
      </c>
      <c r="F976" s="247">
        <v>0</v>
      </c>
      <c r="G976" s="34" t="s">
        <v>7</v>
      </c>
      <c r="H976" s="234" t="s">
        <v>2442</v>
      </c>
      <c r="I976" s="248" t="s">
        <v>7</v>
      </c>
      <c r="J976" s="249" t="s">
        <v>492</v>
      </c>
      <c r="K976" s="250">
        <v>0</v>
      </c>
      <c r="L976" s="250">
        <v>0</v>
      </c>
      <c r="M976" s="251" t="s">
        <v>30</v>
      </c>
      <c r="N976" s="252">
        <v>0</v>
      </c>
      <c r="O976" s="185" t="s">
        <v>51</v>
      </c>
    </row>
    <row r="977" spans="1:15" x14ac:dyDescent="0.25">
      <c r="A977" s="234" t="s">
        <v>2786</v>
      </c>
      <c r="B977" s="234" t="s">
        <v>47</v>
      </c>
      <c r="C977" s="245">
        <v>46147</v>
      </c>
      <c r="D977" s="234">
        <v>0</v>
      </c>
      <c r="E977" s="246">
        <v>34500</v>
      </c>
      <c r="F977" s="247">
        <v>0</v>
      </c>
      <c r="G977" s="34" t="s">
        <v>83</v>
      </c>
      <c r="H977" s="234" t="s">
        <v>2787</v>
      </c>
      <c r="I977" s="248" t="s">
        <v>7</v>
      </c>
      <c r="J977" s="249" t="s">
        <v>492</v>
      </c>
      <c r="K977" s="250">
        <v>0</v>
      </c>
      <c r="L977" s="250">
        <v>0</v>
      </c>
      <c r="M977" s="251" t="s">
        <v>47</v>
      </c>
      <c r="N977" s="252">
        <v>0</v>
      </c>
      <c r="O977" s="185" t="s">
        <v>51</v>
      </c>
    </row>
    <row r="978" spans="1:15" x14ac:dyDescent="0.25">
      <c r="A978" s="234" t="s">
        <v>4314</v>
      </c>
      <c r="B978" s="234" t="s">
        <v>47</v>
      </c>
      <c r="C978" s="245">
        <v>46147</v>
      </c>
      <c r="D978" s="234">
        <v>0</v>
      </c>
      <c r="E978" s="246">
        <v>503132.5</v>
      </c>
      <c r="F978" s="247">
        <v>0</v>
      </c>
      <c r="G978" s="34" t="s">
        <v>83</v>
      </c>
      <c r="H978" s="234" t="s">
        <v>4315</v>
      </c>
      <c r="I978" s="248" t="s">
        <v>7</v>
      </c>
      <c r="J978" s="249" t="s">
        <v>492</v>
      </c>
      <c r="K978" s="250">
        <v>0</v>
      </c>
      <c r="L978" s="250">
        <v>0</v>
      </c>
      <c r="M978" s="251" t="s">
        <v>47</v>
      </c>
      <c r="N978" s="252">
        <v>0</v>
      </c>
      <c r="O978" s="185" t="s">
        <v>51</v>
      </c>
    </row>
    <row r="979" spans="1:15" x14ac:dyDescent="0.25">
      <c r="A979" s="234" t="s">
        <v>7757</v>
      </c>
      <c r="B979" s="234" t="s">
        <v>47</v>
      </c>
      <c r="C979" s="245">
        <v>46147</v>
      </c>
      <c r="D979" s="234">
        <v>0</v>
      </c>
      <c r="E979" s="246">
        <v>80500</v>
      </c>
      <c r="F979" s="247">
        <v>0</v>
      </c>
      <c r="G979" s="34" t="s">
        <v>83</v>
      </c>
      <c r="H979" s="234" t="s">
        <v>7758</v>
      </c>
      <c r="I979" s="248" t="s">
        <v>7</v>
      </c>
      <c r="J979" s="249" t="s">
        <v>492</v>
      </c>
      <c r="K979" s="250">
        <v>0</v>
      </c>
      <c r="L979" s="250">
        <v>0</v>
      </c>
      <c r="M979" s="251" t="s">
        <v>47</v>
      </c>
      <c r="N979" s="252">
        <v>0</v>
      </c>
      <c r="O979" s="185" t="s">
        <v>51</v>
      </c>
    </row>
    <row r="980" spans="1:15" x14ac:dyDescent="0.25">
      <c r="A980" s="234" t="s">
        <v>7757</v>
      </c>
      <c r="B980" s="234" t="s">
        <v>47</v>
      </c>
      <c r="C980" s="245">
        <v>46147</v>
      </c>
      <c r="D980" s="234">
        <v>0</v>
      </c>
      <c r="E980" s="246">
        <v>100000</v>
      </c>
      <c r="F980" s="247">
        <v>0</v>
      </c>
      <c r="G980" s="34" t="s">
        <v>83</v>
      </c>
      <c r="H980" s="234" t="s">
        <v>7758</v>
      </c>
      <c r="I980" s="248" t="s">
        <v>7</v>
      </c>
      <c r="J980" s="249" t="s">
        <v>492</v>
      </c>
      <c r="K980" s="250">
        <v>0</v>
      </c>
      <c r="L980" s="250">
        <v>0</v>
      </c>
      <c r="M980" s="251" t="s">
        <v>47</v>
      </c>
      <c r="N980" s="252">
        <v>0</v>
      </c>
      <c r="O980" s="185" t="s">
        <v>51</v>
      </c>
    </row>
    <row r="981" spans="1:15" x14ac:dyDescent="0.25">
      <c r="A981" s="234" t="s">
        <v>7757</v>
      </c>
      <c r="B981" s="234" t="s">
        <v>47</v>
      </c>
      <c r="C981" s="245">
        <v>46147</v>
      </c>
      <c r="D981" s="234">
        <v>0</v>
      </c>
      <c r="E981" s="246">
        <v>115100</v>
      </c>
      <c r="F981" s="247">
        <v>0</v>
      </c>
      <c r="G981" s="34" t="s">
        <v>83</v>
      </c>
      <c r="H981" s="234" t="s">
        <v>7758</v>
      </c>
      <c r="I981" s="248" t="s">
        <v>7</v>
      </c>
      <c r="J981" s="249" t="s">
        <v>492</v>
      </c>
      <c r="K981" s="250">
        <v>0</v>
      </c>
      <c r="L981" s="250">
        <v>0</v>
      </c>
      <c r="M981" s="251" t="s">
        <v>47</v>
      </c>
      <c r="N981" s="252">
        <v>0</v>
      </c>
      <c r="O981" s="185" t="s">
        <v>51</v>
      </c>
    </row>
    <row r="982" spans="1:15" x14ac:dyDescent="0.25">
      <c r="A982" s="234" t="s">
        <v>2836</v>
      </c>
      <c r="B982" s="234" t="s">
        <v>47</v>
      </c>
      <c r="C982" s="245">
        <v>46147</v>
      </c>
      <c r="D982" s="234">
        <v>0</v>
      </c>
      <c r="E982" s="246">
        <v>206346</v>
      </c>
      <c r="F982" s="247">
        <v>0</v>
      </c>
      <c r="G982" s="34" t="s">
        <v>83</v>
      </c>
      <c r="H982" s="234" t="s">
        <v>2837</v>
      </c>
      <c r="I982" s="248" t="s">
        <v>7</v>
      </c>
      <c r="J982" s="249" t="s">
        <v>492</v>
      </c>
      <c r="K982" s="250">
        <v>0</v>
      </c>
      <c r="L982" s="250">
        <v>0</v>
      </c>
      <c r="M982" s="251" t="s">
        <v>47</v>
      </c>
      <c r="N982" s="252">
        <v>0</v>
      </c>
      <c r="O982" s="185" t="s">
        <v>51</v>
      </c>
    </row>
    <row r="983" spans="1:15" x14ac:dyDescent="0.25">
      <c r="A983" s="234" t="s">
        <v>2092</v>
      </c>
      <c r="B983" s="234" t="s">
        <v>28</v>
      </c>
      <c r="C983" s="245">
        <v>46147</v>
      </c>
      <c r="D983" s="234" t="s">
        <v>7275</v>
      </c>
      <c r="E983" s="246">
        <v>214718</v>
      </c>
      <c r="F983" s="247" t="s">
        <v>2091</v>
      </c>
      <c r="G983" s="34" t="s">
        <v>7</v>
      </c>
      <c r="H983" s="234" t="s">
        <v>2093</v>
      </c>
      <c r="I983" s="248" t="s">
        <v>7</v>
      </c>
      <c r="J983" s="249" t="s">
        <v>554</v>
      </c>
      <c r="K983" s="250">
        <v>214718</v>
      </c>
      <c r="L983" s="250">
        <v>0</v>
      </c>
      <c r="M983" s="251" t="s">
        <v>28</v>
      </c>
      <c r="N983" s="252">
        <v>0</v>
      </c>
      <c r="O983" s="185" t="s">
        <v>51</v>
      </c>
    </row>
    <row r="984" spans="1:15" x14ac:dyDescent="0.25">
      <c r="A984" s="234" t="s">
        <v>2059</v>
      </c>
      <c r="B984" s="234" t="s">
        <v>28</v>
      </c>
      <c r="C984" s="245">
        <v>46147</v>
      </c>
      <c r="D984" s="234" t="s">
        <v>7275</v>
      </c>
      <c r="E984" s="246">
        <v>205178</v>
      </c>
      <c r="F984" s="247" t="s">
        <v>2058</v>
      </c>
      <c r="G984" s="34" t="s">
        <v>7</v>
      </c>
      <c r="H984" s="234" t="s">
        <v>2060</v>
      </c>
      <c r="I984" s="248" t="s">
        <v>7</v>
      </c>
      <c r="J984" s="249" t="s">
        <v>554</v>
      </c>
      <c r="K984" s="250">
        <v>205178</v>
      </c>
      <c r="L984" s="250">
        <v>0</v>
      </c>
      <c r="M984" s="251" t="s">
        <v>28</v>
      </c>
      <c r="N984" s="252">
        <v>0</v>
      </c>
      <c r="O984" s="185" t="s">
        <v>51</v>
      </c>
    </row>
    <row r="985" spans="1:15" x14ac:dyDescent="0.25">
      <c r="A985" s="234" t="s">
        <v>2215</v>
      </c>
      <c r="B985" s="234" t="s">
        <v>28</v>
      </c>
      <c r="C985" s="245">
        <v>46147</v>
      </c>
      <c r="D985" s="234" t="s">
        <v>7275</v>
      </c>
      <c r="E985" s="246">
        <v>50000</v>
      </c>
      <c r="F985" s="247" t="s">
        <v>2214</v>
      </c>
      <c r="G985" s="34" t="s">
        <v>7</v>
      </c>
      <c r="H985" s="234" t="s">
        <v>2216</v>
      </c>
      <c r="I985" s="248" t="s">
        <v>7</v>
      </c>
      <c r="J985" s="249" t="s">
        <v>554</v>
      </c>
      <c r="K985" s="250">
        <v>50000</v>
      </c>
      <c r="L985" s="250">
        <v>0</v>
      </c>
      <c r="M985" s="251" t="s">
        <v>28</v>
      </c>
      <c r="N985" s="252">
        <v>0</v>
      </c>
      <c r="O985" s="185" t="s">
        <v>51</v>
      </c>
    </row>
    <row r="986" spans="1:15" x14ac:dyDescent="0.25">
      <c r="A986" s="234" t="s">
        <v>2511</v>
      </c>
      <c r="B986" s="234" t="s">
        <v>28</v>
      </c>
      <c r="C986" s="245">
        <v>46147</v>
      </c>
      <c r="D986" s="234" t="s">
        <v>7275</v>
      </c>
      <c r="E986" s="246">
        <v>194407</v>
      </c>
      <c r="F986" s="247" t="s">
        <v>2513</v>
      </c>
      <c r="G986" s="34" t="s">
        <v>7</v>
      </c>
      <c r="H986" s="234" t="s">
        <v>2512</v>
      </c>
      <c r="I986" s="248" t="s">
        <v>7</v>
      </c>
      <c r="J986" s="249" t="s">
        <v>554</v>
      </c>
      <c r="K986" s="250">
        <v>194407</v>
      </c>
      <c r="L986" s="250">
        <v>0</v>
      </c>
      <c r="M986" s="251" t="s">
        <v>28</v>
      </c>
      <c r="N986" s="252">
        <v>0</v>
      </c>
      <c r="O986" s="185" t="s">
        <v>51</v>
      </c>
    </row>
    <row r="987" spans="1:15" x14ac:dyDescent="0.25">
      <c r="A987" s="234" t="s">
        <v>2065</v>
      </c>
      <c r="B987" s="234" t="s">
        <v>28</v>
      </c>
      <c r="C987" s="245">
        <v>46147</v>
      </c>
      <c r="D987" s="234" t="s">
        <v>7275</v>
      </c>
      <c r="E987" s="246">
        <v>200000</v>
      </c>
      <c r="F987" s="247" t="s">
        <v>2064</v>
      </c>
      <c r="G987" s="34" t="s">
        <v>7</v>
      </c>
      <c r="H987" s="234" t="s">
        <v>2066</v>
      </c>
      <c r="I987" s="248" t="s">
        <v>7</v>
      </c>
      <c r="J987" s="249" t="s">
        <v>582</v>
      </c>
      <c r="K987" s="250">
        <v>200000</v>
      </c>
      <c r="L987" s="250">
        <v>0</v>
      </c>
      <c r="M987" s="251" t="s">
        <v>28</v>
      </c>
      <c r="N987" s="252">
        <v>0</v>
      </c>
      <c r="O987" s="185" t="s">
        <v>51</v>
      </c>
    </row>
    <row r="988" spans="1:15" x14ac:dyDescent="0.25">
      <c r="A988" s="234" t="s">
        <v>2511</v>
      </c>
      <c r="B988" s="234" t="s">
        <v>28</v>
      </c>
      <c r="C988" s="245">
        <v>46147</v>
      </c>
      <c r="D988" s="234" t="s">
        <v>7275</v>
      </c>
      <c r="E988" s="246">
        <v>194407</v>
      </c>
      <c r="F988" s="247" t="s">
        <v>2510</v>
      </c>
      <c r="G988" s="34" t="s">
        <v>7</v>
      </c>
      <c r="H988" s="234" t="s">
        <v>2512</v>
      </c>
      <c r="I988" s="248" t="s">
        <v>7</v>
      </c>
      <c r="J988" s="249" t="s">
        <v>62</v>
      </c>
      <c r="K988" s="250">
        <v>194407</v>
      </c>
      <c r="L988" s="250">
        <v>0</v>
      </c>
      <c r="M988" s="251" t="s">
        <v>28</v>
      </c>
      <c r="N988" s="252">
        <v>0</v>
      </c>
      <c r="O988" s="185" t="s">
        <v>51</v>
      </c>
    </row>
    <row r="989" spans="1:15" x14ac:dyDescent="0.25">
      <c r="A989" s="234" t="s">
        <v>4388</v>
      </c>
      <c r="B989" s="234" t="s">
        <v>28</v>
      </c>
      <c r="C989" s="245">
        <v>46147</v>
      </c>
      <c r="D989" s="234" t="s">
        <v>7275</v>
      </c>
      <c r="E989" s="246">
        <v>50000</v>
      </c>
      <c r="F989" s="247" t="s">
        <v>4387</v>
      </c>
      <c r="G989" s="34" t="s">
        <v>7</v>
      </c>
      <c r="H989" s="234" t="s">
        <v>4389</v>
      </c>
      <c r="I989" s="248" t="s">
        <v>7</v>
      </c>
      <c r="J989" s="249" t="s">
        <v>554</v>
      </c>
      <c r="K989" s="250">
        <v>50000</v>
      </c>
      <c r="L989" s="250">
        <v>0</v>
      </c>
      <c r="M989" s="251" t="s">
        <v>28</v>
      </c>
      <c r="N989" s="252">
        <v>0</v>
      </c>
      <c r="O989" s="185" t="s">
        <v>51</v>
      </c>
    </row>
    <row r="990" spans="1:15" x14ac:dyDescent="0.25">
      <c r="A990" s="234" t="s">
        <v>617</v>
      </c>
      <c r="B990" s="234" t="s">
        <v>28</v>
      </c>
      <c r="C990" s="245">
        <v>46147</v>
      </c>
      <c r="D990" s="234" t="s">
        <v>7275</v>
      </c>
      <c r="E990" s="246">
        <v>220000</v>
      </c>
      <c r="F990" s="247" t="s">
        <v>616</v>
      </c>
      <c r="G990" s="34" t="s">
        <v>7</v>
      </c>
      <c r="H990" s="234" t="s">
        <v>618</v>
      </c>
      <c r="I990" s="248" t="s">
        <v>7</v>
      </c>
      <c r="J990" s="249" t="s">
        <v>554</v>
      </c>
      <c r="K990" s="250">
        <v>220000</v>
      </c>
      <c r="L990" s="250">
        <v>0</v>
      </c>
      <c r="M990" s="251" t="s">
        <v>28</v>
      </c>
      <c r="N990" s="252">
        <v>0</v>
      </c>
      <c r="O990" s="185" t="s">
        <v>51</v>
      </c>
    </row>
    <row r="991" spans="1:15" x14ac:dyDescent="0.25">
      <c r="A991" s="234" t="s">
        <v>2102</v>
      </c>
      <c r="B991" s="234" t="s">
        <v>28</v>
      </c>
      <c r="C991" s="245">
        <v>46147</v>
      </c>
      <c r="D991" s="234" t="s">
        <v>7275</v>
      </c>
      <c r="E991" s="246">
        <v>313778.12</v>
      </c>
      <c r="F991" s="247" t="s">
        <v>2101</v>
      </c>
      <c r="G991" s="34" t="s">
        <v>7</v>
      </c>
      <c r="H991" s="234" t="s">
        <v>2103</v>
      </c>
      <c r="I991" s="248" t="s">
        <v>7</v>
      </c>
      <c r="J991" s="249" t="s">
        <v>554</v>
      </c>
      <c r="K991" s="250">
        <v>313778.12</v>
      </c>
      <c r="L991" s="250">
        <v>0</v>
      </c>
      <c r="M991" s="251" t="s">
        <v>28</v>
      </c>
      <c r="N991" s="252">
        <v>0</v>
      </c>
      <c r="O991" s="185" t="s">
        <v>51</v>
      </c>
    </row>
    <row r="992" spans="1:15" x14ac:dyDescent="0.25">
      <c r="A992" s="234" t="s">
        <v>2083</v>
      </c>
      <c r="B992" s="234" t="s">
        <v>28</v>
      </c>
      <c r="C992" s="245">
        <v>46147</v>
      </c>
      <c r="D992" s="234" t="s">
        <v>7275</v>
      </c>
      <c r="E992" s="246">
        <v>286748</v>
      </c>
      <c r="F992" s="247" t="s">
        <v>2082</v>
      </c>
      <c r="G992" s="34" t="s">
        <v>7</v>
      </c>
      <c r="H992" s="234" t="s">
        <v>2084</v>
      </c>
      <c r="I992" s="248" t="s">
        <v>7</v>
      </c>
      <c r="J992" s="249" t="s">
        <v>62</v>
      </c>
      <c r="K992" s="250">
        <v>286748</v>
      </c>
      <c r="L992" s="250">
        <v>0</v>
      </c>
      <c r="M992" s="251" t="s">
        <v>28</v>
      </c>
      <c r="N992" s="252">
        <v>0</v>
      </c>
      <c r="O992" s="185" t="s">
        <v>51</v>
      </c>
    </row>
    <row r="993" spans="1:15" x14ac:dyDescent="0.25">
      <c r="A993" s="234"/>
      <c r="B993" s="234" t="s">
        <v>492</v>
      </c>
      <c r="C993" s="245">
        <v>46147</v>
      </c>
      <c r="D993" s="234" t="s">
        <v>492</v>
      </c>
      <c r="E993" s="246">
        <v>14000000</v>
      </c>
      <c r="F993" s="247"/>
      <c r="G993" s="34"/>
      <c r="H993" s="234"/>
      <c r="I993" s="253" t="s">
        <v>7541</v>
      </c>
      <c r="J993" s="253"/>
      <c r="K993" s="253"/>
      <c r="L993" s="253"/>
      <c r="M993" s="234"/>
      <c r="O993" t="s">
        <v>51</v>
      </c>
    </row>
    <row r="994" spans="1:15" x14ac:dyDescent="0.25">
      <c r="A994" s="234"/>
      <c r="B994" s="234" t="s">
        <v>492</v>
      </c>
      <c r="C994" s="245">
        <v>46147</v>
      </c>
      <c r="D994" s="234" t="s">
        <v>492</v>
      </c>
      <c r="E994" s="246">
        <v>0</v>
      </c>
      <c r="F994" s="247"/>
      <c r="G994" s="34"/>
      <c r="H994" s="234"/>
      <c r="I994" s="253" t="s">
        <v>7541</v>
      </c>
      <c r="J994" s="253"/>
      <c r="K994" s="253"/>
      <c r="L994" s="253"/>
      <c r="M994" s="234"/>
      <c r="O994" t="s">
        <v>74</v>
      </c>
    </row>
    <row r="995" spans="1:15" x14ac:dyDescent="0.25">
      <c r="A995" s="234"/>
      <c r="B995" s="234" t="s">
        <v>492</v>
      </c>
      <c r="C995" s="245">
        <v>46147</v>
      </c>
      <c r="D995" s="234" t="s">
        <v>492</v>
      </c>
      <c r="E995" s="246">
        <v>0</v>
      </c>
      <c r="F995" s="247"/>
      <c r="G995" s="34"/>
      <c r="H995" s="234"/>
      <c r="I995" s="253" t="s">
        <v>7541</v>
      </c>
      <c r="J995" s="253"/>
      <c r="K995" s="253"/>
      <c r="L995" s="253"/>
      <c r="M995" s="234"/>
      <c r="O995" t="s">
        <v>77</v>
      </c>
    </row>
    <row r="996" spans="1:15" x14ac:dyDescent="0.25">
      <c r="A996" s="234"/>
      <c r="B996" s="234" t="s">
        <v>492</v>
      </c>
      <c r="C996" s="245">
        <v>46147</v>
      </c>
      <c r="D996" s="234" t="s">
        <v>492</v>
      </c>
      <c r="E996" s="246">
        <v>4995804.1999999993</v>
      </c>
      <c r="F996" s="247"/>
      <c r="G996" s="34"/>
      <c r="H996" s="234"/>
      <c r="I996" s="253" t="s">
        <v>7541</v>
      </c>
      <c r="J996" s="253"/>
      <c r="K996" s="253"/>
      <c r="L996" s="253"/>
      <c r="M996" s="234"/>
      <c r="O996" t="s">
        <v>78</v>
      </c>
    </row>
    <row r="997" spans="1:15" x14ac:dyDescent="0.25">
      <c r="A997" s="234" t="s">
        <v>2287</v>
      </c>
      <c r="B997" s="234" t="s">
        <v>39</v>
      </c>
      <c r="C997" s="245">
        <v>46148</v>
      </c>
      <c r="D997" s="234" t="s">
        <v>7264</v>
      </c>
      <c r="E997" s="246">
        <v>1179720</v>
      </c>
      <c r="F997" s="247" t="s">
        <v>2286</v>
      </c>
      <c r="G997" s="34" t="s">
        <v>83</v>
      </c>
      <c r="H997" s="234" t="s">
        <v>2288</v>
      </c>
      <c r="I997" s="248" t="s">
        <v>7</v>
      </c>
      <c r="J997" s="249" t="s">
        <v>554</v>
      </c>
      <c r="K997" s="250">
        <v>1412362</v>
      </c>
      <c r="L997" s="250">
        <v>0</v>
      </c>
      <c r="M997" s="251" t="s">
        <v>39</v>
      </c>
      <c r="N997" s="252">
        <v>0</v>
      </c>
      <c r="O997" s="185" t="s">
        <v>51</v>
      </c>
    </row>
    <row r="998" spans="1:15" x14ac:dyDescent="0.25">
      <c r="A998" s="234" t="s">
        <v>637</v>
      </c>
      <c r="B998" s="234" t="s">
        <v>39</v>
      </c>
      <c r="C998" s="245">
        <v>46148</v>
      </c>
      <c r="D998" s="234" t="s">
        <v>7264</v>
      </c>
      <c r="E998" s="246">
        <v>210020</v>
      </c>
      <c r="F998" s="247" t="s">
        <v>636</v>
      </c>
      <c r="G998" s="34" t="s">
        <v>83</v>
      </c>
      <c r="H998" s="234" t="s">
        <v>638</v>
      </c>
      <c r="I998" s="248" t="s">
        <v>7</v>
      </c>
      <c r="J998" s="249" t="s">
        <v>554</v>
      </c>
      <c r="K998" s="250">
        <v>210020</v>
      </c>
      <c r="L998" s="250">
        <v>0</v>
      </c>
      <c r="M998" s="251" t="s">
        <v>39</v>
      </c>
      <c r="N998" s="252">
        <v>0</v>
      </c>
      <c r="O998" s="185" t="s">
        <v>51</v>
      </c>
    </row>
    <row r="999" spans="1:15" x14ac:dyDescent="0.25">
      <c r="A999" s="234" t="s">
        <v>1792</v>
      </c>
      <c r="B999" s="234" t="s">
        <v>39</v>
      </c>
      <c r="C999" s="245">
        <v>46148</v>
      </c>
      <c r="D999" s="234" t="s">
        <v>546</v>
      </c>
      <c r="E999" s="246">
        <v>201478</v>
      </c>
      <c r="F999" s="247" t="s">
        <v>1796</v>
      </c>
      <c r="G999" s="34" t="s">
        <v>83</v>
      </c>
      <c r="H999" s="234" t="s">
        <v>1793</v>
      </c>
      <c r="I999" s="248" t="s">
        <v>7</v>
      </c>
      <c r="J999" s="249" t="s">
        <v>554</v>
      </c>
      <c r="K999" s="250">
        <v>201478</v>
      </c>
      <c r="L999" s="250">
        <v>0</v>
      </c>
      <c r="M999" s="251" t="s">
        <v>39</v>
      </c>
      <c r="N999" s="252">
        <v>0</v>
      </c>
      <c r="O999" s="185" t="s">
        <v>51</v>
      </c>
    </row>
    <row r="1000" spans="1:15" x14ac:dyDescent="0.25">
      <c r="A1000" s="234" t="s">
        <v>999</v>
      </c>
      <c r="B1000" s="234" t="s">
        <v>39</v>
      </c>
      <c r="C1000" s="245">
        <v>46148</v>
      </c>
      <c r="D1000" s="234" t="s">
        <v>64</v>
      </c>
      <c r="E1000" s="246">
        <v>283562</v>
      </c>
      <c r="F1000" s="247">
        <v>0</v>
      </c>
      <c r="G1000" s="34" t="s">
        <v>83</v>
      </c>
      <c r="H1000" s="234" t="s">
        <v>1000</v>
      </c>
      <c r="I1000" s="248" t="s">
        <v>7</v>
      </c>
      <c r="J1000" s="249" t="s">
        <v>492</v>
      </c>
      <c r="K1000" s="250">
        <v>0</v>
      </c>
      <c r="L1000" s="250">
        <v>0</v>
      </c>
      <c r="M1000" s="251" t="s">
        <v>39</v>
      </c>
      <c r="N1000" s="252">
        <v>0</v>
      </c>
      <c r="O1000" s="185" t="s">
        <v>51</v>
      </c>
    </row>
    <row r="1001" spans="1:15" x14ac:dyDescent="0.25">
      <c r="A1001" s="234" t="s">
        <v>1848</v>
      </c>
      <c r="B1001" s="234" t="s">
        <v>39</v>
      </c>
      <c r="C1001" s="245">
        <v>46148</v>
      </c>
      <c r="D1001" s="234" t="s">
        <v>7264</v>
      </c>
      <c r="E1001" s="246">
        <v>129000</v>
      </c>
      <c r="F1001" s="247" t="s">
        <v>1847</v>
      </c>
      <c r="G1001" s="34" t="s">
        <v>83</v>
      </c>
      <c r="H1001" s="234" t="s">
        <v>1849</v>
      </c>
      <c r="I1001" s="248" t="s">
        <v>7</v>
      </c>
      <c r="J1001" s="249" t="s">
        <v>582</v>
      </c>
      <c r="K1001" s="250">
        <v>129693</v>
      </c>
      <c r="L1001" s="250">
        <v>0</v>
      </c>
      <c r="M1001" s="251" t="s">
        <v>39</v>
      </c>
      <c r="N1001" s="252">
        <v>0</v>
      </c>
      <c r="O1001" s="185" t="s">
        <v>51</v>
      </c>
    </row>
    <row r="1002" spans="1:15" x14ac:dyDescent="0.25">
      <c r="A1002" s="234" t="s">
        <v>821</v>
      </c>
      <c r="B1002" s="234" t="s">
        <v>39</v>
      </c>
      <c r="C1002" s="245">
        <v>46148</v>
      </c>
      <c r="D1002" s="234" t="s">
        <v>64</v>
      </c>
      <c r="E1002" s="246">
        <v>382603</v>
      </c>
      <c r="F1002" s="247">
        <v>0</v>
      </c>
      <c r="G1002" s="34" t="s">
        <v>83</v>
      </c>
      <c r="H1002" s="234" t="s">
        <v>822</v>
      </c>
      <c r="I1002" s="248" t="s">
        <v>7</v>
      </c>
      <c r="J1002" s="249" t="s">
        <v>492</v>
      </c>
      <c r="K1002" s="250">
        <v>0</v>
      </c>
      <c r="L1002" s="250">
        <v>0</v>
      </c>
      <c r="M1002" s="251" t="s">
        <v>39</v>
      </c>
      <c r="N1002" s="252">
        <v>0</v>
      </c>
      <c r="O1002" s="185" t="s">
        <v>51</v>
      </c>
    </row>
    <row r="1003" spans="1:15" x14ac:dyDescent="0.25">
      <c r="A1003" s="234" t="s">
        <v>1817</v>
      </c>
      <c r="B1003" s="234" t="s">
        <v>39</v>
      </c>
      <c r="C1003" s="245">
        <v>46148</v>
      </c>
      <c r="D1003" s="234" t="s">
        <v>7759</v>
      </c>
      <c r="E1003" s="246">
        <v>1100</v>
      </c>
      <c r="F1003" s="247" t="s">
        <v>1824</v>
      </c>
      <c r="G1003" s="34" t="s">
        <v>83</v>
      </c>
      <c r="H1003" s="234" t="s">
        <v>1818</v>
      </c>
      <c r="I1003" s="248" t="s">
        <v>7</v>
      </c>
      <c r="J1003" s="249" t="s">
        <v>582</v>
      </c>
      <c r="K1003" s="250">
        <v>1100</v>
      </c>
      <c r="L1003" s="250">
        <v>0</v>
      </c>
      <c r="M1003" s="251" t="s">
        <v>39</v>
      </c>
      <c r="N1003" s="252">
        <v>0</v>
      </c>
      <c r="O1003" s="185" t="s">
        <v>51</v>
      </c>
    </row>
    <row r="1004" spans="1:15" x14ac:dyDescent="0.25">
      <c r="A1004" s="234" t="s">
        <v>1817</v>
      </c>
      <c r="B1004" s="234" t="s">
        <v>39</v>
      </c>
      <c r="C1004" s="245">
        <v>46148</v>
      </c>
      <c r="D1004" s="234" t="s">
        <v>7759</v>
      </c>
      <c r="E1004" s="246">
        <v>30000</v>
      </c>
      <c r="F1004" s="247" t="s">
        <v>1823</v>
      </c>
      <c r="G1004" s="34" t="s">
        <v>83</v>
      </c>
      <c r="H1004" s="234" t="s">
        <v>1818</v>
      </c>
      <c r="I1004" s="248" t="s">
        <v>7</v>
      </c>
      <c r="J1004" s="249" t="s">
        <v>554</v>
      </c>
      <c r="K1004" s="250">
        <v>30000</v>
      </c>
      <c r="L1004" s="250">
        <v>0</v>
      </c>
      <c r="M1004" s="251" t="s">
        <v>39</v>
      </c>
      <c r="N1004" s="252">
        <v>0</v>
      </c>
      <c r="O1004" s="185" t="s">
        <v>51</v>
      </c>
    </row>
    <row r="1005" spans="1:15" x14ac:dyDescent="0.25">
      <c r="A1005" s="234" t="s">
        <v>1817</v>
      </c>
      <c r="B1005" s="234" t="s">
        <v>39</v>
      </c>
      <c r="C1005" s="245">
        <v>46148</v>
      </c>
      <c r="D1005" s="234" t="s">
        <v>7759</v>
      </c>
      <c r="E1005" s="246">
        <v>19000</v>
      </c>
      <c r="F1005" s="247" t="s">
        <v>1822</v>
      </c>
      <c r="G1005" s="34" t="s">
        <v>83</v>
      </c>
      <c r="H1005" s="234" t="s">
        <v>1818</v>
      </c>
      <c r="I1005" s="248" t="s">
        <v>7</v>
      </c>
      <c r="J1005" s="249" t="s">
        <v>554</v>
      </c>
      <c r="K1005" s="250">
        <v>19000</v>
      </c>
      <c r="L1005" s="250">
        <v>0</v>
      </c>
      <c r="M1005" s="251" t="s">
        <v>39</v>
      </c>
      <c r="N1005" s="252">
        <v>0</v>
      </c>
      <c r="O1005" s="185" t="s">
        <v>51</v>
      </c>
    </row>
    <row r="1006" spans="1:15" x14ac:dyDescent="0.25">
      <c r="A1006" s="234" t="s">
        <v>1686</v>
      </c>
      <c r="B1006" s="234" t="s">
        <v>40</v>
      </c>
      <c r="C1006" s="245">
        <v>46148</v>
      </c>
      <c r="D1006" s="234">
        <v>0</v>
      </c>
      <c r="E1006" s="246">
        <v>450000</v>
      </c>
      <c r="F1006" s="247">
        <v>0</v>
      </c>
      <c r="G1006" s="34" t="s">
        <v>83</v>
      </c>
      <c r="H1006" s="234" t="s">
        <v>1687</v>
      </c>
      <c r="I1006" s="248" t="s">
        <v>7</v>
      </c>
      <c r="J1006" s="249" t="s">
        <v>492</v>
      </c>
      <c r="K1006" s="250">
        <v>0</v>
      </c>
      <c r="L1006" s="250">
        <v>0</v>
      </c>
      <c r="M1006" s="251" t="s">
        <v>40</v>
      </c>
      <c r="N1006" s="252">
        <v>0</v>
      </c>
      <c r="O1006" s="185" t="s">
        <v>51</v>
      </c>
    </row>
    <row r="1007" spans="1:15" x14ac:dyDescent="0.25">
      <c r="A1007" s="234" t="s">
        <v>1626</v>
      </c>
      <c r="B1007" s="234" t="s">
        <v>40</v>
      </c>
      <c r="C1007" s="245">
        <v>46148</v>
      </c>
      <c r="D1007" s="234">
        <v>0</v>
      </c>
      <c r="E1007" s="246">
        <v>155027</v>
      </c>
      <c r="F1007" s="247" t="s">
        <v>7760</v>
      </c>
      <c r="G1007" s="34" t="s">
        <v>83</v>
      </c>
      <c r="H1007" s="234" t="s">
        <v>1627</v>
      </c>
      <c r="I1007" s="248" t="s">
        <v>7</v>
      </c>
      <c r="J1007" s="249" t="s">
        <v>492</v>
      </c>
      <c r="K1007" s="250">
        <v>0</v>
      </c>
      <c r="L1007" s="250">
        <v>0</v>
      </c>
      <c r="M1007" s="251" t="s">
        <v>40</v>
      </c>
      <c r="N1007" s="252">
        <v>0</v>
      </c>
      <c r="O1007" s="185" t="s">
        <v>51</v>
      </c>
    </row>
    <row r="1008" spans="1:15" x14ac:dyDescent="0.25">
      <c r="A1008" s="234" t="s">
        <v>2717</v>
      </c>
      <c r="B1008" s="234" t="s">
        <v>40</v>
      </c>
      <c r="C1008" s="245">
        <v>46148</v>
      </c>
      <c r="D1008" s="234">
        <v>0</v>
      </c>
      <c r="E1008" s="246">
        <v>140265</v>
      </c>
      <c r="F1008" s="247" t="s">
        <v>2716</v>
      </c>
      <c r="G1008" s="34" t="s">
        <v>83</v>
      </c>
      <c r="H1008" s="234" t="s">
        <v>2718</v>
      </c>
      <c r="I1008" s="248" t="s">
        <v>7</v>
      </c>
      <c r="J1008" s="249" t="s">
        <v>554</v>
      </c>
      <c r="K1008" s="250">
        <v>224736</v>
      </c>
      <c r="L1008" s="250">
        <v>0</v>
      </c>
      <c r="M1008" s="251" t="s">
        <v>40</v>
      </c>
      <c r="N1008" s="252">
        <v>0</v>
      </c>
      <c r="O1008" s="185" t="s">
        <v>51</v>
      </c>
    </row>
    <row r="1009" spans="1:15" x14ac:dyDescent="0.25">
      <c r="A1009" s="234" t="s">
        <v>5344</v>
      </c>
      <c r="B1009" s="234" t="s">
        <v>38</v>
      </c>
      <c r="C1009" s="245">
        <v>46148</v>
      </c>
      <c r="D1009" s="234" t="s">
        <v>7270</v>
      </c>
      <c r="E1009" s="246">
        <v>136912</v>
      </c>
      <c r="F1009" s="247" t="s">
        <v>5343</v>
      </c>
      <c r="G1009" s="34" t="s">
        <v>83</v>
      </c>
      <c r="H1009" s="234" t="s">
        <v>5345</v>
      </c>
      <c r="I1009" s="248" t="s">
        <v>7</v>
      </c>
      <c r="J1009" s="249" t="s">
        <v>554</v>
      </c>
      <c r="K1009" s="250">
        <v>136912</v>
      </c>
      <c r="L1009" s="250">
        <v>0</v>
      </c>
      <c r="M1009" s="251" t="s">
        <v>38</v>
      </c>
      <c r="N1009" s="252">
        <v>0</v>
      </c>
      <c r="O1009" s="185" t="s">
        <v>74</v>
      </c>
    </row>
    <row r="1010" spans="1:15" x14ac:dyDescent="0.25">
      <c r="A1010" s="234" t="s">
        <v>5303</v>
      </c>
      <c r="B1010" s="234" t="s">
        <v>38</v>
      </c>
      <c r="C1010" s="245">
        <v>46148</v>
      </c>
      <c r="D1010" s="234" t="s">
        <v>7270</v>
      </c>
      <c r="E1010" s="246">
        <v>166850</v>
      </c>
      <c r="F1010" s="247" t="s">
        <v>5302</v>
      </c>
      <c r="G1010" s="34" t="s">
        <v>83</v>
      </c>
      <c r="H1010" s="234" t="s">
        <v>5304</v>
      </c>
      <c r="I1010" s="248" t="s">
        <v>7</v>
      </c>
      <c r="J1010" s="249" t="s">
        <v>582</v>
      </c>
      <c r="K1010" s="250">
        <v>166850</v>
      </c>
      <c r="L1010" s="250">
        <v>0</v>
      </c>
      <c r="M1010" s="251" t="s">
        <v>38</v>
      </c>
      <c r="N1010" s="252">
        <v>0</v>
      </c>
      <c r="O1010" s="185" t="s">
        <v>51</v>
      </c>
    </row>
    <row r="1011" spans="1:15" x14ac:dyDescent="0.25">
      <c r="A1011" s="234" t="s">
        <v>640</v>
      </c>
      <c r="B1011" s="234" t="s">
        <v>38</v>
      </c>
      <c r="C1011" s="245">
        <v>46148</v>
      </c>
      <c r="D1011" s="234" t="s">
        <v>7270</v>
      </c>
      <c r="E1011" s="246">
        <v>300000</v>
      </c>
      <c r="F1011" s="247" t="s">
        <v>643</v>
      </c>
      <c r="G1011" s="34" t="s">
        <v>83</v>
      </c>
      <c r="H1011" s="234" t="s">
        <v>641</v>
      </c>
      <c r="I1011" s="248" t="s">
        <v>7</v>
      </c>
      <c r="J1011" s="249" t="s">
        <v>554</v>
      </c>
      <c r="K1011" s="250">
        <v>300000</v>
      </c>
      <c r="L1011" s="250">
        <v>0</v>
      </c>
      <c r="M1011" s="251" t="s">
        <v>38</v>
      </c>
      <c r="N1011" s="252">
        <v>0</v>
      </c>
      <c r="O1011" s="185" t="s">
        <v>51</v>
      </c>
    </row>
    <row r="1012" spans="1:15" x14ac:dyDescent="0.25">
      <c r="A1012" s="234" t="s">
        <v>640</v>
      </c>
      <c r="B1012" s="234" t="s">
        <v>38</v>
      </c>
      <c r="C1012" s="245">
        <v>46148</v>
      </c>
      <c r="D1012" s="234" t="s">
        <v>7270</v>
      </c>
      <c r="E1012" s="246">
        <v>300000</v>
      </c>
      <c r="F1012" s="247" t="s">
        <v>642</v>
      </c>
      <c r="G1012" s="34" t="s">
        <v>83</v>
      </c>
      <c r="H1012" s="234" t="s">
        <v>641</v>
      </c>
      <c r="I1012" s="248" t="s">
        <v>7</v>
      </c>
      <c r="J1012" s="249" t="s">
        <v>554</v>
      </c>
      <c r="K1012" s="250">
        <v>300000</v>
      </c>
      <c r="L1012" s="250">
        <v>0</v>
      </c>
      <c r="M1012" s="251" t="s">
        <v>38</v>
      </c>
      <c r="N1012" s="252">
        <v>0</v>
      </c>
      <c r="O1012" s="185" t="s">
        <v>51</v>
      </c>
    </row>
    <row r="1013" spans="1:15" x14ac:dyDescent="0.25">
      <c r="A1013" s="234" t="s">
        <v>5306</v>
      </c>
      <c r="B1013" s="234" t="s">
        <v>38</v>
      </c>
      <c r="C1013" s="245">
        <v>46148</v>
      </c>
      <c r="D1013" s="234" t="s">
        <v>7270</v>
      </c>
      <c r="E1013" s="246">
        <v>96291</v>
      </c>
      <c r="F1013" s="247" t="s">
        <v>5305</v>
      </c>
      <c r="G1013" s="34" t="s">
        <v>83</v>
      </c>
      <c r="H1013" s="234" t="s">
        <v>5307</v>
      </c>
      <c r="I1013" s="248" t="s">
        <v>7</v>
      </c>
      <c r="J1013" s="249" t="s">
        <v>554</v>
      </c>
      <c r="K1013" s="250">
        <v>167691</v>
      </c>
      <c r="L1013" s="250">
        <v>0</v>
      </c>
      <c r="M1013" s="251" t="s">
        <v>38</v>
      </c>
      <c r="N1013" s="252">
        <v>0</v>
      </c>
      <c r="O1013" s="185" t="s">
        <v>51</v>
      </c>
    </row>
    <row r="1014" spans="1:15" x14ac:dyDescent="0.25">
      <c r="A1014" s="234" t="s">
        <v>1956</v>
      </c>
      <c r="B1014" s="234" t="s">
        <v>48</v>
      </c>
      <c r="C1014" s="245">
        <v>46148</v>
      </c>
      <c r="D1014" s="234">
        <v>0</v>
      </c>
      <c r="E1014" s="246">
        <v>50000</v>
      </c>
      <c r="F1014" s="247" t="s">
        <v>1955</v>
      </c>
      <c r="G1014" s="34" t="s">
        <v>83</v>
      </c>
      <c r="H1014" s="234" t="s">
        <v>1957</v>
      </c>
      <c r="I1014" s="248" t="s">
        <v>7</v>
      </c>
      <c r="J1014" s="249" t="s">
        <v>554</v>
      </c>
      <c r="K1014" s="250">
        <v>50000</v>
      </c>
      <c r="L1014" s="250">
        <v>0</v>
      </c>
      <c r="M1014" s="251" t="s">
        <v>48</v>
      </c>
      <c r="N1014" s="252">
        <v>0</v>
      </c>
      <c r="O1014" s="185" t="s">
        <v>51</v>
      </c>
    </row>
    <row r="1015" spans="1:15" x14ac:dyDescent="0.25">
      <c r="A1015" s="234" t="s">
        <v>1863</v>
      </c>
      <c r="B1015" s="234" t="s">
        <v>48</v>
      </c>
      <c r="C1015" s="245">
        <v>46148</v>
      </c>
      <c r="D1015" s="234">
        <v>0</v>
      </c>
      <c r="E1015" s="246">
        <v>670558</v>
      </c>
      <c r="F1015" s="247" t="s">
        <v>1862</v>
      </c>
      <c r="G1015" s="34" t="s">
        <v>83</v>
      </c>
      <c r="H1015" s="234" t="s">
        <v>1864</v>
      </c>
      <c r="I1015" s="248" t="s">
        <v>7</v>
      </c>
      <c r="J1015" s="249" t="s">
        <v>582</v>
      </c>
      <c r="K1015" s="250">
        <v>670558</v>
      </c>
      <c r="L1015" s="250">
        <v>0</v>
      </c>
      <c r="M1015" s="251" t="s">
        <v>48</v>
      </c>
      <c r="N1015" s="252">
        <v>0</v>
      </c>
      <c r="O1015" s="185" t="s">
        <v>51</v>
      </c>
    </row>
    <row r="1016" spans="1:15" x14ac:dyDescent="0.25">
      <c r="A1016" s="234" t="s">
        <v>1894</v>
      </c>
      <c r="B1016" s="234" t="s">
        <v>48</v>
      </c>
      <c r="C1016" s="245">
        <v>46148</v>
      </c>
      <c r="D1016" s="234">
        <v>0</v>
      </c>
      <c r="E1016" s="246">
        <v>50000</v>
      </c>
      <c r="F1016" s="247" t="s">
        <v>1902</v>
      </c>
      <c r="G1016" s="34" t="s">
        <v>83</v>
      </c>
      <c r="H1016" s="234" t="s">
        <v>1895</v>
      </c>
      <c r="I1016" s="248" t="s">
        <v>7</v>
      </c>
      <c r="J1016" s="249" t="s">
        <v>554</v>
      </c>
      <c r="K1016" s="250">
        <v>50000</v>
      </c>
      <c r="L1016" s="250">
        <v>0</v>
      </c>
      <c r="M1016" s="251" t="s">
        <v>48</v>
      </c>
      <c r="N1016" s="252">
        <v>0</v>
      </c>
      <c r="O1016" s="185" t="s">
        <v>51</v>
      </c>
    </row>
    <row r="1017" spans="1:15" x14ac:dyDescent="0.25">
      <c r="A1017" s="234" t="s">
        <v>1894</v>
      </c>
      <c r="B1017" s="234" t="s">
        <v>48</v>
      </c>
      <c r="C1017" s="245">
        <v>46148</v>
      </c>
      <c r="D1017" s="234">
        <v>0</v>
      </c>
      <c r="E1017" s="246">
        <v>50000</v>
      </c>
      <c r="F1017" s="247" t="s">
        <v>1901</v>
      </c>
      <c r="G1017" s="34" t="s">
        <v>83</v>
      </c>
      <c r="H1017" s="234" t="s">
        <v>1895</v>
      </c>
      <c r="I1017" s="248" t="s">
        <v>7</v>
      </c>
      <c r="J1017" s="249" t="s">
        <v>554</v>
      </c>
      <c r="K1017" s="250">
        <v>50000</v>
      </c>
      <c r="L1017" s="250">
        <v>0</v>
      </c>
      <c r="M1017" s="251" t="s">
        <v>48</v>
      </c>
      <c r="N1017" s="252">
        <v>0</v>
      </c>
      <c r="O1017" s="185" t="s">
        <v>51</v>
      </c>
    </row>
    <row r="1018" spans="1:15" x14ac:dyDescent="0.25">
      <c r="A1018" s="234" t="s">
        <v>1894</v>
      </c>
      <c r="B1018" s="234" t="s">
        <v>48</v>
      </c>
      <c r="C1018" s="245">
        <v>46148</v>
      </c>
      <c r="D1018" s="234">
        <v>0</v>
      </c>
      <c r="E1018" s="246">
        <v>25000</v>
      </c>
      <c r="F1018" s="247" t="s">
        <v>1899</v>
      </c>
      <c r="G1018" s="34" t="s">
        <v>83</v>
      </c>
      <c r="H1018" s="234" t="s">
        <v>1895</v>
      </c>
      <c r="I1018" s="248" t="s">
        <v>7</v>
      </c>
      <c r="J1018" s="249" t="s">
        <v>554</v>
      </c>
      <c r="K1018" s="250">
        <v>25000</v>
      </c>
      <c r="L1018" s="250">
        <v>0</v>
      </c>
      <c r="M1018" s="251" t="s">
        <v>48</v>
      </c>
      <c r="N1018" s="252">
        <v>0</v>
      </c>
      <c r="O1018" s="185" t="s">
        <v>51</v>
      </c>
    </row>
    <row r="1019" spans="1:15" x14ac:dyDescent="0.25">
      <c r="A1019" s="234" t="s">
        <v>1894</v>
      </c>
      <c r="B1019" s="234" t="s">
        <v>48</v>
      </c>
      <c r="C1019" s="245">
        <v>46148</v>
      </c>
      <c r="D1019" s="234">
        <v>0</v>
      </c>
      <c r="E1019" s="246">
        <v>125000</v>
      </c>
      <c r="F1019" s="247" t="s">
        <v>1897</v>
      </c>
      <c r="G1019" s="34" t="s">
        <v>83</v>
      </c>
      <c r="H1019" s="234" t="s">
        <v>1895</v>
      </c>
      <c r="I1019" s="248" t="s">
        <v>7</v>
      </c>
      <c r="J1019" s="249" t="s">
        <v>554</v>
      </c>
      <c r="K1019" s="250">
        <v>125000</v>
      </c>
      <c r="L1019" s="250">
        <v>0</v>
      </c>
      <c r="M1019" s="251" t="s">
        <v>48</v>
      </c>
      <c r="N1019" s="252">
        <v>0</v>
      </c>
      <c r="O1019" s="185" t="s">
        <v>51</v>
      </c>
    </row>
    <row r="1020" spans="1:15" x14ac:dyDescent="0.25">
      <c r="A1020" s="234" t="s">
        <v>1960</v>
      </c>
      <c r="B1020" s="234" t="s">
        <v>48</v>
      </c>
      <c r="C1020" s="245">
        <v>46148</v>
      </c>
      <c r="D1020" s="234">
        <v>0</v>
      </c>
      <c r="E1020" s="246">
        <v>200000</v>
      </c>
      <c r="F1020" s="247" t="s">
        <v>1964</v>
      </c>
      <c r="G1020" s="34" t="s">
        <v>83</v>
      </c>
      <c r="H1020" s="234" t="s">
        <v>1961</v>
      </c>
      <c r="I1020" s="248" t="s">
        <v>7</v>
      </c>
      <c r="J1020" s="249" t="s">
        <v>554</v>
      </c>
      <c r="K1020" s="250">
        <v>200000</v>
      </c>
      <c r="L1020" s="250">
        <v>0</v>
      </c>
      <c r="M1020" s="251" t="s">
        <v>48</v>
      </c>
      <c r="N1020" s="252">
        <v>0</v>
      </c>
      <c r="O1020" s="185" t="s">
        <v>51</v>
      </c>
    </row>
    <row r="1021" spans="1:15" x14ac:dyDescent="0.25">
      <c r="A1021" s="234" t="s">
        <v>1894</v>
      </c>
      <c r="B1021" s="234" t="s">
        <v>48</v>
      </c>
      <c r="C1021" s="245">
        <v>46148</v>
      </c>
      <c r="D1021" s="234">
        <v>0</v>
      </c>
      <c r="E1021" s="246">
        <v>125000</v>
      </c>
      <c r="F1021" s="247" t="s">
        <v>1908</v>
      </c>
      <c r="G1021" s="34" t="s">
        <v>83</v>
      </c>
      <c r="H1021" s="234" t="s">
        <v>1895</v>
      </c>
      <c r="I1021" s="248" t="s">
        <v>7</v>
      </c>
      <c r="J1021" s="249" t="s">
        <v>554</v>
      </c>
      <c r="K1021" s="250">
        <v>125000</v>
      </c>
      <c r="L1021" s="250">
        <v>0</v>
      </c>
      <c r="M1021" s="251" t="s">
        <v>48</v>
      </c>
      <c r="N1021" s="252">
        <v>0</v>
      </c>
      <c r="O1021" s="185" t="s">
        <v>51</v>
      </c>
    </row>
    <row r="1022" spans="1:15" x14ac:dyDescent="0.25">
      <c r="A1022" s="234" t="s">
        <v>1894</v>
      </c>
      <c r="B1022" s="234" t="s">
        <v>48</v>
      </c>
      <c r="C1022" s="245">
        <v>46148</v>
      </c>
      <c r="D1022" s="234">
        <v>0</v>
      </c>
      <c r="E1022" s="246">
        <v>50000</v>
      </c>
      <c r="F1022" s="247" t="s">
        <v>1907</v>
      </c>
      <c r="G1022" s="34" t="s">
        <v>83</v>
      </c>
      <c r="H1022" s="234" t="s">
        <v>1895</v>
      </c>
      <c r="I1022" s="248" t="s">
        <v>7</v>
      </c>
      <c r="J1022" s="249" t="s">
        <v>554</v>
      </c>
      <c r="K1022" s="250">
        <v>50000</v>
      </c>
      <c r="L1022" s="250">
        <v>0</v>
      </c>
      <c r="M1022" s="251" t="s">
        <v>48</v>
      </c>
      <c r="N1022" s="252">
        <v>0</v>
      </c>
      <c r="O1022" s="185" t="s">
        <v>51</v>
      </c>
    </row>
    <row r="1023" spans="1:15" x14ac:dyDescent="0.25">
      <c r="A1023" s="234" t="s">
        <v>1894</v>
      </c>
      <c r="B1023" s="234" t="s">
        <v>48</v>
      </c>
      <c r="C1023" s="245">
        <v>46148</v>
      </c>
      <c r="D1023" s="234">
        <v>0</v>
      </c>
      <c r="E1023" s="246">
        <v>50000</v>
      </c>
      <c r="F1023" s="247" t="s">
        <v>1905</v>
      </c>
      <c r="G1023" s="34" t="s">
        <v>83</v>
      </c>
      <c r="H1023" s="234" t="s">
        <v>1895</v>
      </c>
      <c r="I1023" s="248" t="s">
        <v>7</v>
      </c>
      <c r="J1023" s="249" t="s">
        <v>554</v>
      </c>
      <c r="K1023" s="250">
        <v>50000</v>
      </c>
      <c r="L1023" s="250">
        <v>0</v>
      </c>
      <c r="M1023" s="251" t="s">
        <v>48</v>
      </c>
      <c r="N1023" s="252">
        <v>0</v>
      </c>
      <c r="O1023" s="185" t="s">
        <v>51</v>
      </c>
    </row>
    <row r="1024" spans="1:15" x14ac:dyDescent="0.25">
      <c r="A1024" s="234" t="s">
        <v>4681</v>
      </c>
      <c r="B1024" s="234" t="s">
        <v>48</v>
      </c>
      <c r="C1024" s="245">
        <v>46148</v>
      </c>
      <c r="D1024" s="234">
        <v>0</v>
      </c>
      <c r="E1024" s="246">
        <v>75000</v>
      </c>
      <c r="F1024" s="247" t="s">
        <v>4680</v>
      </c>
      <c r="G1024" s="34" t="s">
        <v>83</v>
      </c>
      <c r="H1024" s="234" t="s">
        <v>4682</v>
      </c>
      <c r="I1024" s="248" t="s">
        <v>7</v>
      </c>
      <c r="J1024" s="249" t="s">
        <v>554</v>
      </c>
      <c r="K1024" s="250">
        <v>75000</v>
      </c>
      <c r="L1024" s="250">
        <v>0</v>
      </c>
      <c r="M1024" s="251" t="s">
        <v>48</v>
      </c>
      <c r="N1024" s="252">
        <v>0</v>
      </c>
      <c r="O1024" s="185" t="s">
        <v>51</v>
      </c>
    </row>
    <row r="1025" spans="1:15" x14ac:dyDescent="0.25">
      <c r="A1025" s="234" t="s">
        <v>3710</v>
      </c>
      <c r="B1025" s="234" t="s">
        <v>48</v>
      </c>
      <c r="C1025" s="245">
        <v>46148</v>
      </c>
      <c r="D1025" s="234">
        <v>0</v>
      </c>
      <c r="E1025" s="246">
        <v>705881</v>
      </c>
      <c r="F1025" s="247" t="s">
        <v>3709</v>
      </c>
      <c r="G1025" s="34" t="s">
        <v>83</v>
      </c>
      <c r="H1025" s="234" t="s">
        <v>3711</v>
      </c>
      <c r="I1025" s="248" t="s">
        <v>7</v>
      </c>
      <c r="J1025" s="249" t="s">
        <v>554</v>
      </c>
      <c r="K1025" s="250">
        <v>705881</v>
      </c>
      <c r="L1025" s="250">
        <v>0</v>
      </c>
      <c r="M1025" s="251" t="s">
        <v>48</v>
      </c>
      <c r="N1025" s="252">
        <v>0</v>
      </c>
      <c r="O1025" s="185" t="s">
        <v>74</v>
      </c>
    </row>
    <row r="1026" spans="1:15" x14ac:dyDescent="0.25">
      <c r="A1026" s="234" t="s">
        <v>5686</v>
      </c>
      <c r="B1026" s="234" t="s">
        <v>42</v>
      </c>
      <c r="C1026" s="245">
        <v>46148</v>
      </c>
      <c r="D1026" s="234">
        <v>0</v>
      </c>
      <c r="E1026" s="246">
        <v>1000000</v>
      </c>
      <c r="F1026" s="247" t="s">
        <v>5688</v>
      </c>
      <c r="G1026" s="34" t="s">
        <v>83</v>
      </c>
      <c r="H1026" s="234" t="s">
        <v>5687</v>
      </c>
      <c r="I1026" s="248" t="s">
        <v>7</v>
      </c>
      <c r="J1026" s="249" t="s">
        <v>554</v>
      </c>
      <c r="K1026" s="250">
        <v>3725854</v>
      </c>
      <c r="L1026" s="250">
        <v>0</v>
      </c>
      <c r="M1026" s="251" t="s">
        <v>42</v>
      </c>
      <c r="N1026" s="252">
        <v>0</v>
      </c>
      <c r="O1026" s="185" t="s">
        <v>51</v>
      </c>
    </row>
    <row r="1027" spans="1:15" x14ac:dyDescent="0.25">
      <c r="A1027" s="234" t="s">
        <v>1397</v>
      </c>
      <c r="B1027" s="234" t="s">
        <v>44</v>
      </c>
      <c r="C1027" s="245">
        <v>46148</v>
      </c>
      <c r="D1027" s="234" t="s">
        <v>7546</v>
      </c>
      <c r="E1027" s="246">
        <v>140337</v>
      </c>
      <c r="F1027" s="247" t="s">
        <v>1396</v>
      </c>
      <c r="G1027" s="34" t="s">
        <v>83</v>
      </c>
      <c r="H1027" s="234" t="s">
        <v>1398</v>
      </c>
      <c r="I1027" s="248" t="s">
        <v>7</v>
      </c>
      <c r="J1027" s="249" t="s">
        <v>554</v>
      </c>
      <c r="K1027" s="250">
        <v>140329.96</v>
      </c>
      <c r="L1027" s="250">
        <v>0</v>
      </c>
      <c r="M1027" s="251" t="s">
        <v>44</v>
      </c>
      <c r="N1027" s="252">
        <v>0</v>
      </c>
      <c r="O1027" s="185" t="s">
        <v>51</v>
      </c>
    </row>
    <row r="1028" spans="1:15" x14ac:dyDescent="0.25">
      <c r="A1028" s="234" t="s">
        <v>7761</v>
      </c>
      <c r="B1028" s="234" t="s">
        <v>44</v>
      </c>
      <c r="C1028" s="245">
        <v>46148</v>
      </c>
      <c r="D1028" s="234" t="s">
        <v>7287</v>
      </c>
      <c r="E1028" s="246">
        <v>50000</v>
      </c>
      <c r="F1028" s="247" t="s">
        <v>7275</v>
      </c>
      <c r="G1028" s="34" t="s">
        <v>83</v>
      </c>
      <c r="H1028" s="234" t="s">
        <v>7762</v>
      </c>
      <c r="I1028" s="248" t="s">
        <v>7</v>
      </c>
      <c r="J1028" s="249" t="s">
        <v>492</v>
      </c>
      <c r="K1028" s="250">
        <v>0</v>
      </c>
      <c r="L1028" s="250">
        <v>0</v>
      </c>
      <c r="M1028" s="251" t="s">
        <v>44</v>
      </c>
      <c r="N1028" s="252">
        <v>0</v>
      </c>
      <c r="O1028" s="185" t="s">
        <v>74</v>
      </c>
    </row>
    <row r="1029" spans="1:15" x14ac:dyDescent="0.25">
      <c r="A1029" s="234" t="s">
        <v>7763</v>
      </c>
      <c r="B1029" s="234" t="s">
        <v>44</v>
      </c>
      <c r="C1029" s="245">
        <v>46148</v>
      </c>
      <c r="D1029" s="234" t="s">
        <v>7289</v>
      </c>
      <c r="E1029" s="246">
        <v>106369</v>
      </c>
      <c r="F1029" s="247" t="s">
        <v>7275</v>
      </c>
      <c r="G1029" s="34" t="s">
        <v>83</v>
      </c>
      <c r="H1029" s="234" t="s">
        <v>7764</v>
      </c>
      <c r="I1029" s="248" t="s">
        <v>7</v>
      </c>
      <c r="J1029" s="249" t="s">
        <v>492</v>
      </c>
      <c r="K1029" s="250">
        <v>0</v>
      </c>
      <c r="L1029" s="250">
        <v>0</v>
      </c>
      <c r="M1029" s="251" t="s">
        <v>44</v>
      </c>
      <c r="N1029" s="252">
        <v>0</v>
      </c>
      <c r="O1029" s="185" t="s">
        <v>51</v>
      </c>
    </row>
    <row r="1030" spans="1:15" x14ac:dyDescent="0.25">
      <c r="A1030" s="234" t="s">
        <v>7765</v>
      </c>
      <c r="B1030" s="234" t="s">
        <v>44</v>
      </c>
      <c r="C1030" s="245">
        <v>46148</v>
      </c>
      <c r="D1030" s="234">
        <v>0</v>
      </c>
      <c r="E1030" s="246">
        <v>320000</v>
      </c>
      <c r="F1030" s="247">
        <v>0</v>
      </c>
      <c r="G1030" s="34" t="s">
        <v>83</v>
      </c>
      <c r="H1030" s="234" t="s">
        <v>7766</v>
      </c>
      <c r="I1030" s="248" t="s">
        <v>7</v>
      </c>
      <c r="J1030" s="249" t="s">
        <v>492</v>
      </c>
      <c r="K1030" s="250">
        <v>0</v>
      </c>
      <c r="L1030" s="250">
        <v>0</v>
      </c>
      <c r="M1030" s="251" t="s">
        <v>44</v>
      </c>
      <c r="N1030" s="252">
        <v>0</v>
      </c>
      <c r="O1030" s="185" t="s">
        <v>74</v>
      </c>
    </row>
    <row r="1031" spans="1:15" x14ac:dyDescent="0.25">
      <c r="A1031" s="234" t="s">
        <v>7767</v>
      </c>
      <c r="B1031" s="234" t="s">
        <v>43</v>
      </c>
      <c r="C1031" s="245">
        <v>46148</v>
      </c>
      <c r="D1031" s="234" t="s">
        <v>43</v>
      </c>
      <c r="E1031" s="246">
        <v>165970</v>
      </c>
      <c r="F1031" s="247">
        <v>0</v>
      </c>
      <c r="G1031" s="34" t="s">
        <v>83</v>
      </c>
      <c r="H1031" s="234" t="s">
        <v>7768</v>
      </c>
      <c r="I1031" s="248" t="s">
        <v>7</v>
      </c>
      <c r="J1031" s="249" t="s">
        <v>492</v>
      </c>
      <c r="K1031" s="250">
        <v>0</v>
      </c>
      <c r="L1031" s="250">
        <v>0</v>
      </c>
      <c r="M1031" s="251" t="s">
        <v>43</v>
      </c>
      <c r="N1031" s="252">
        <v>0</v>
      </c>
      <c r="O1031" s="185" t="s">
        <v>51</v>
      </c>
    </row>
    <row r="1032" spans="1:15" x14ac:dyDescent="0.25">
      <c r="A1032" s="234" t="s">
        <v>1999</v>
      </c>
      <c r="B1032" s="234" t="s">
        <v>43</v>
      </c>
      <c r="C1032" s="245">
        <v>46148</v>
      </c>
      <c r="D1032" s="234" t="s">
        <v>43</v>
      </c>
      <c r="E1032" s="246">
        <v>15000</v>
      </c>
      <c r="F1032" s="247" t="s">
        <v>2001</v>
      </c>
      <c r="G1032" s="34" t="s">
        <v>83</v>
      </c>
      <c r="H1032" s="234" t="s">
        <v>2000</v>
      </c>
      <c r="I1032" s="248" t="s">
        <v>7</v>
      </c>
      <c r="J1032" s="249" t="s">
        <v>554</v>
      </c>
      <c r="K1032" s="250">
        <v>15000</v>
      </c>
      <c r="L1032" s="250">
        <v>0</v>
      </c>
      <c r="M1032" s="251" t="s">
        <v>43</v>
      </c>
      <c r="N1032" s="252">
        <v>0</v>
      </c>
      <c r="O1032" s="185" t="s">
        <v>51</v>
      </c>
    </row>
    <row r="1033" spans="1:15" x14ac:dyDescent="0.25">
      <c r="A1033" s="234" t="s">
        <v>1999</v>
      </c>
      <c r="B1033" s="234" t="s">
        <v>43</v>
      </c>
      <c r="C1033" s="245">
        <v>46148</v>
      </c>
      <c r="D1033" s="234" t="s">
        <v>43</v>
      </c>
      <c r="E1033" s="246">
        <v>20000</v>
      </c>
      <c r="F1033" s="247" t="s">
        <v>1998</v>
      </c>
      <c r="G1033" s="34" t="s">
        <v>83</v>
      </c>
      <c r="H1033" s="234" t="s">
        <v>2000</v>
      </c>
      <c r="I1033" s="248" t="s">
        <v>7</v>
      </c>
      <c r="J1033" s="249" t="s">
        <v>554</v>
      </c>
      <c r="K1033" s="250">
        <v>20000</v>
      </c>
      <c r="L1033" s="250">
        <v>0</v>
      </c>
      <c r="M1033" s="251" t="s">
        <v>43</v>
      </c>
      <c r="N1033" s="252">
        <v>0</v>
      </c>
      <c r="O1033" s="185" t="s">
        <v>51</v>
      </c>
    </row>
    <row r="1034" spans="1:15" x14ac:dyDescent="0.25">
      <c r="A1034" s="234" t="s">
        <v>2493</v>
      </c>
      <c r="B1034" s="234" t="s">
        <v>43</v>
      </c>
      <c r="C1034" s="245">
        <v>46148</v>
      </c>
      <c r="D1034" s="234" t="s">
        <v>43</v>
      </c>
      <c r="E1034" s="246">
        <v>20000</v>
      </c>
      <c r="F1034" s="247" t="s">
        <v>2492</v>
      </c>
      <c r="G1034" s="34" t="s">
        <v>83</v>
      </c>
      <c r="H1034" s="234" t="s">
        <v>2494</v>
      </c>
      <c r="I1034" s="248" t="s">
        <v>7</v>
      </c>
      <c r="J1034" s="249" t="s">
        <v>554</v>
      </c>
      <c r="K1034" s="250">
        <v>20000</v>
      </c>
      <c r="L1034" s="250">
        <v>0</v>
      </c>
      <c r="M1034" s="251" t="s">
        <v>43</v>
      </c>
      <c r="N1034" s="252">
        <v>0</v>
      </c>
      <c r="O1034" s="185" t="s">
        <v>51</v>
      </c>
    </row>
    <row r="1035" spans="1:15" x14ac:dyDescent="0.25">
      <c r="A1035" s="234" t="s">
        <v>2507</v>
      </c>
      <c r="B1035" s="234" t="s">
        <v>43</v>
      </c>
      <c r="C1035" s="245">
        <v>46148</v>
      </c>
      <c r="D1035" s="234" t="s">
        <v>43</v>
      </c>
      <c r="E1035" s="246">
        <v>250000</v>
      </c>
      <c r="F1035" s="247" t="s">
        <v>2506</v>
      </c>
      <c r="G1035" s="34" t="s">
        <v>83</v>
      </c>
      <c r="H1035" s="234" t="s">
        <v>2508</v>
      </c>
      <c r="I1035" s="248" t="s">
        <v>7</v>
      </c>
      <c r="J1035" s="249" t="s">
        <v>554</v>
      </c>
      <c r="K1035" s="250">
        <v>400000</v>
      </c>
      <c r="L1035" s="250">
        <v>0</v>
      </c>
      <c r="M1035" s="251" t="s">
        <v>43</v>
      </c>
      <c r="N1035" s="252">
        <v>0</v>
      </c>
      <c r="O1035" s="185" t="s">
        <v>51</v>
      </c>
    </row>
    <row r="1036" spans="1:15" x14ac:dyDescent="0.25">
      <c r="A1036" s="234" t="s">
        <v>2431</v>
      </c>
      <c r="B1036" s="234" t="s">
        <v>43</v>
      </c>
      <c r="C1036" s="245">
        <v>46148</v>
      </c>
      <c r="D1036" s="234" t="s">
        <v>43</v>
      </c>
      <c r="E1036" s="246">
        <v>20000</v>
      </c>
      <c r="F1036" s="247" t="s">
        <v>2430</v>
      </c>
      <c r="G1036" s="34" t="s">
        <v>83</v>
      </c>
      <c r="H1036" s="234" t="s">
        <v>2432</v>
      </c>
      <c r="I1036" s="248" t="s">
        <v>7</v>
      </c>
      <c r="J1036" s="249" t="s">
        <v>554</v>
      </c>
      <c r="K1036" s="250">
        <v>20000</v>
      </c>
      <c r="L1036" s="250">
        <v>0</v>
      </c>
      <c r="M1036" s="251" t="s">
        <v>43</v>
      </c>
      <c r="N1036" s="252">
        <v>0</v>
      </c>
      <c r="O1036" s="185" t="s">
        <v>51</v>
      </c>
    </row>
    <row r="1037" spans="1:15" x14ac:dyDescent="0.25">
      <c r="A1037" s="234" t="s">
        <v>2425</v>
      </c>
      <c r="B1037" s="234" t="s">
        <v>43</v>
      </c>
      <c r="C1037" s="245">
        <v>46148</v>
      </c>
      <c r="D1037" s="234" t="s">
        <v>43</v>
      </c>
      <c r="E1037" s="246">
        <v>73651.78</v>
      </c>
      <c r="F1037" s="247" t="s">
        <v>2424</v>
      </c>
      <c r="G1037" s="34" t="s">
        <v>83</v>
      </c>
      <c r="H1037" s="234" t="s">
        <v>2426</v>
      </c>
      <c r="I1037" s="248" t="s">
        <v>7</v>
      </c>
      <c r="J1037" s="249" t="s">
        <v>61</v>
      </c>
      <c r="K1037" s="250">
        <v>73651.78</v>
      </c>
      <c r="L1037" s="250">
        <v>0</v>
      </c>
      <c r="M1037" s="251" t="s">
        <v>43</v>
      </c>
      <c r="N1037" s="252">
        <v>0</v>
      </c>
      <c r="O1037" s="185" t="s">
        <v>51</v>
      </c>
    </row>
    <row r="1038" spans="1:15" x14ac:dyDescent="0.25">
      <c r="A1038" s="234" t="s">
        <v>3658</v>
      </c>
      <c r="B1038" s="234" t="s">
        <v>43</v>
      </c>
      <c r="C1038" s="245">
        <v>46148</v>
      </c>
      <c r="D1038" s="234" t="s">
        <v>43</v>
      </c>
      <c r="E1038" s="246">
        <v>119452.78</v>
      </c>
      <c r="F1038" s="247" t="s">
        <v>3657</v>
      </c>
      <c r="G1038" s="34" t="s">
        <v>83</v>
      </c>
      <c r="H1038" s="234" t="s">
        <v>3659</v>
      </c>
      <c r="I1038" s="248" t="s">
        <v>7</v>
      </c>
      <c r="J1038" s="249" t="s">
        <v>582</v>
      </c>
      <c r="K1038" s="250">
        <v>27721.05</v>
      </c>
      <c r="L1038" s="250">
        <v>0</v>
      </c>
      <c r="M1038" s="251" t="s">
        <v>43</v>
      </c>
      <c r="N1038" s="252">
        <v>0</v>
      </c>
      <c r="O1038" s="185" t="s">
        <v>51</v>
      </c>
    </row>
    <row r="1039" spans="1:15" x14ac:dyDescent="0.25">
      <c r="A1039" s="234" t="s">
        <v>2530</v>
      </c>
      <c r="B1039" s="234" t="s">
        <v>43</v>
      </c>
      <c r="C1039" s="245">
        <v>46148</v>
      </c>
      <c r="D1039" s="234" t="s">
        <v>43</v>
      </c>
      <c r="E1039" s="246">
        <v>287926</v>
      </c>
      <c r="F1039" s="247" t="s">
        <v>2529</v>
      </c>
      <c r="G1039" s="34" t="s">
        <v>83</v>
      </c>
      <c r="H1039" s="234" t="s">
        <v>2531</v>
      </c>
      <c r="I1039" s="248" t="s">
        <v>7</v>
      </c>
      <c r="J1039" s="249" t="s">
        <v>554</v>
      </c>
      <c r="K1039" s="250">
        <v>271926</v>
      </c>
      <c r="L1039" s="250">
        <v>0</v>
      </c>
      <c r="M1039" s="251" t="s">
        <v>43</v>
      </c>
      <c r="N1039" s="252">
        <v>0</v>
      </c>
      <c r="O1039" s="185" t="s">
        <v>51</v>
      </c>
    </row>
    <row r="1040" spans="1:15" x14ac:dyDescent="0.25">
      <c r="A1040" s="234" t="s">
        <v>2448</v>
      </c>
      <c r="B1040" s="234" t="s">
        <v>43</v>
      </c>
      <c r="C1040" s="245">
        <v>46148</v>
      </c>
      <c r="D1040" s="234" t="s">
        <v>43</v>
      </c>
      <c r="E1040" s="246">
        <v>529564</v>
      </c>
      <c r="F1040" s="247">
        <v>0</v>
      </c>
      <c r="G1040" s="34" t="s">
        <v>83</v>
      </c>
      <c r="H1040" s="234" t="s">
        <v>2449</v>
      </c>
      <c r="I1040" s="248" t="s">
        <v>7</v>
      </c>
      <c r="J1040" s="249" t="s">
        <v>492</v>
      </c>
      <c r="K1040" s="250">
        <v>0</v>
      </c>
      <c r="L1040" s="250">
        <v>0</v>
      </c>
      <c r="M1040" s="251" t="s">
        <v>43</v>
      </c>
      <c r="N1040" s="252">
        <v>0</v>
      </c>
      <c r="O1040" s="185" t="s">
        <v>51</v>
      </c>
    </row>
    <row r="1041" spans="1:15" x14ac:dyDescent="0.25">
      <c r="A1041" s="234" t="s">
        <v>4727</v>
      </c>
      <c r="B1041" s="234" t="s">
        <v>14</v>
      </c>
      <c r="C1041" s="245">
        <v>46148</v>
      </c>
      <c r="D1041" s="234">
        <v>0</v>
      </c>
      <c r="E1041" s="246">
        <v>331310</v>
      </c>
      <c r="F1041" s="247" t="s">
        <v>4726</v>
      </c>
      <c r="G1041" s="34" t="s">
        <v>7</v>
      </c>
      <c r="H1041" s="234" t="s">
        <v>4728</v>
      </c>
      <c r="I1041" s="248" t="s">
        <v>7</v>
      </c>
      <c r="J1041" s="249" t="s">
        <v>554</v>
      </c>
      <c r="K1041" s="250">
        <v>331310</v>
      </c>
      <c r="L1041" s="250">
        <v>0</v>
      </c>
      <c r="M1041" s="251" t="s">
        <v>14</v>
      </c>
      <c r="N1041" s="252">
        <v>0</v>
      </c>
      <c r="O1041" s="185" t="s">
        <v>51</v>
      </c>
    </row>
    <row r="1042" spans="1:15" x14ac:dyDescent="0.25">
      <c r="A1042" s="234" t="s">
        <v>4696</v>
      </c>
      <c r="B1042" s="234" t="s">
        <v>14</v>
      </c>
      <c r="C1042" s="245">
        <v>46148</v>
      </c>
      <c r="D1042" s="234">
        <v>0</v>
      </c>
      <c r="E1042" s="246">
        <v>195687</v>
      </c>
      <c r="F1042" s="247" t="s">
        <v>4695</v>
      </c>
      <c r="G1042" s="34" t="s">
        <v>7</v>
      </c>
      <c r="H1042" s="234" t="s">
        <v>4697</v>
      </c>
      <c r="I1042" s="248" t="s">
        <v>7</v>
      </c>
      <c r="J1042" s="249" t="s">
        <v>554</v>
      </c>
      <c r="K1042" s="250">
        <v>195477</v>
      </c>
      <c r="L1042" s="250">
        <v>0</v>
      </c>
      <c r="M1042" s="251" t="s">
        <v>14</v>
      </c>
      <c r="N1042" s="252">
        <v>0</v>
      </c>
      <c r="O1042" s="185" t="s">
        <v>51</v>
      </c>
    </row>
    <row r="1043" spans="1:15" x14ac:dyDescent="0.25">
      <c r="A1043" s="234" t="s">
        <v>2284</v>
      </c>
      <c r="B1043" s="234" t="s">
        <v>14</v>
      </c>
      <c r="C1043" s="245">
        <v>46148</v>
      </c>
      <c r="D1043" s="234">
        <v>0</v>
      </c>
      <c r="E1043" s="246">
        <v>250000</v>
      </c>
      <c r="F1043" s="247" t="s">
        <v>2283</v>
      </c>
      <c r="G1043" s="34" t="s">
        <v>7</v>
      </c>
      <c r="H1043" s="234" t="s">
        <v>2285</v>
      </c>
      <c r="I1043" s="248" t="s">
        <v>7</v>
      </c>
      <c r="J1043" s="249" t="s">
        <v>582</v>
      </c>
      <c r="K1043" s="250">
        <v>250000</v>
      </c>
      <c r="L1043" s="250">
        <v>0</v>
      </c>
      <c r="M1043" s="251" t="s">
        <v>14</v>
      </c>
      <c r="N1043" s="252">
        <v>0</v>
      </c>
      <c r="O1043" s="185" t="s">
        <v>51</v>
      </c>
    </row>
    <row r="1044" spans="1:15" x14ac:dyDescent="0.25">
      <c r="A1044" s="234" t="s">
        <v>2673</v>
      </c>
      <c r="B1044" s="234" t="s">
        <v>14</v>
      </c>
      <c r="C1044" s="245">
        <v>46148</v>
      </c>
      <c r="D1044" s="234">
        <v>0</v>
      </c>
      <c r="E1044" s="246">
        <v>165476</v>
      </c>
      <c r="F1044" s="247" t="s">
        <v>2672</v>
      </c>
      <c r="G1044" s="34" t="s">
        <v>7</v>
      </c>
      <c r="H1044" s="234" t="s">
        <v>2674</v>
      </c>
      <c r="I1044" s="248" t="s">
        <v>7</v>
      </c>
      <c r="J1044" s="249" t="s">
        <v>554</v>
      </c>
      <c r="K1044" s="250">
        <v>165476</v>
      </c>
      <c r="L1044" s="250">
        <v>0</v>
      </c>
      <c r="M1044" s="251" t="s">
        <v>14</v>
      </c>
      <c r="N1044" s="252">
        <v>0</v>
      </c>
      <c r="O1044" s="185" t="s">
        <v>51</v>
      </c>
    </row>
    <row r="1045" spans="1:15" x14ac:dyDescent="0.25">
      <c r="A1045" s="234" t="s">
        <v>1645</v>
      </c>
      <c r="B1045" s="234" t="s">
        <v>14</v>
      </c>
      <c r="C1045" s="245">
        <v>46148</v>
      </c>
      <c r="D1045" s="234">
        <v>0</v>
      </c>
      <c r="E1045" s="246">
        <v>100000</v>
      </c>
      <c r="F1045" s="247" t="s">
        <v>1644</v>
      </c>
      <c r="G1045" s="34" t="s">
        <v>7</v>
      </c>
      <c r="H1045" s="234" t="s">
        <v>1646</v>
      </c>
      <c r="I1045" s="248" t="s">
        <v>7</v>
      </c>
      <c r="J1045" s="249" t="s">
        <v>554</v>
      </c>
      <c r="K1045" s="250">
        <v>100000</v>
      </c>
      <c r="L1045" s="250">
        <v>0</v>
      </c>
      <c r="M1045" s="251" t="s">
        <v>14</v>
      </c>
      <c r="N1045" s="252">
        <v>0</v>
      </c>
      <c r="O1045" s="185" t="s">
        <v>51</v>
      </c>
    </row>
    <row r="1046" spans="1:15" x14ac:dyDescent="0.25">
      <c r="A1046" s="234" t="s">
        <v>2720</v>
      </c>
      <c r="B1046" s="234" t="s">
        <v>14</v>
      </c>
      <c r="C1046" s="245">
        <v>46148</v>
      </c>
      <c r="D1046" s="234">
        <v>0</v>
      </c>
      <c r="E1046" s="246">
        <v>258063</v>
      </c>
      <c r="F1046" s="247" t="s">
        <v>2719</v>
      </c>
      <c r="G1046" s="34" t="s">
        <v>7</v>
      </c>
      <c r="H1046" s="234" t="s">
        <v>2721</v>
      </c>
      <c r="I1046" s="248" t="s">
        <v>7</v>
      </c>
      <c r="J1046" s="249" t="s">
        <v>554</v>
      </c>
      <c r="K1046" s="250">
        <v>258063</v>
      </c>
      <c r="L1046" s="250">
        <v>0</v>
      </c>
      <c r="M1046" s="251" t="s">
        <v>14</v>
      </c>
      <c r="N1046" s="252">
        <v>0</v>
      </c>
      <c r="O1046" s="185" t="s">
        <v>51</v>
      </c>
    </row>
    <row r="1047" spans="1:15" x14ac:dyDescent="0.25">
      <c r="A1047" s="234" t="s">
        <v>1689</v>
      </c>
      <c r="B1047" s="234" t="s">
        <v>14</v>
      </c>
      <c r="C1047" s="245">
        <v>46148</v>
      </c>
      <c r="D1047" s="234">
        <v>0</v>
      </c>
      <c r="E1047" s="246">
        <v>274750</v>
      </c>
      <c r="F1047" s="247">
        <v>0</v>
      </c>
      <c r="G1047" s="34" t="s">
        <v>7</v>
      </c>
      <c r="H1047" s="234" t="s">
        <v>1690</v>
      </c>
      <c r="I1047" s="248" t="s">
        <v>7</v>
      </c>
      <c r="J1047" s="249" t="s">
        <v>492</v>
      </c>
      <c r="K1047" s="250">
        <v>0</v>
      </c>
      <c r="L1047" s="250">
        <v>0</v>
      </c>
      <c r="M1047" s="251" t="s">
        <v>14</v>
      </c>
      <c r="N1047" s="252">
        <v>0</v>
      </c>
      <c r="O1047" s="185" t="s">
        <v>51</v>
      </c>
    </row>
    <row r="1048" spans="1:15" x14ac:dyDescent="0.25">
      <c r="A1048" s="234" t="s">
        <v>3209</v>
      </c>
      <c r="B1048" s="234" t="s">
        <v>25</v>
      </c>
      <c r="C1048" s="245">
        <v>46148</v>
      </c>
      <c r="D1048" s="234">
        <v>0</v>
      </c>
      <c r="E1048" s="246">
        <v>36000</v>
      </c>
      <c r="F1048" s="247" t="s">
        <v>3216</v>
      </c>
      <c r="G1048" s="34" t="s">
        <v>7</v>
      </c>
      <c r="H1048" s="234" t="s">
        <v>3211</v>
      </c>
      <c r="I1048" s="248" t="s">
        <v>7</v>
      </c>
      <c r="J1048" s="249" t="s">
        <v>554</v>
      </c>
      <c r="K1048" s="250">
        <v>36000</v>
      </c>
      <c r="L1048" s="250">
        <v>0</v>
      </c>
      <c r="M1048" s="251" t="s">
        <v>25</v>
      </c>
      <c r="N1048" s="252">
        <v>0</v>
      </c>
      <c r="O1048" s="185" t="s">
        <v>51</v>
      </c>
    </row>
    <row r="1049" spans="1:15" x14ac:dyDescent="0.25">
      <c r="A1049" s="234" t="s">
        <v>3484</v>
      </c>
      <c r="B1049" s="234" t="s">
        <v>25</v>
      </c>
      <c r="C1049" s="245">
        <v>46148</v>
      </c>
      <c r="D1049" s="234">
        <v>0</v>
      </c>
      <c r="E1049" s="246">
        <v>45000</v>
      </c>
      <c r="F1049" s="247" t="s">
        <v>3502</v>
      </c>
      <c r="G1049" s="34" t="s">
        <v>7</v>
      </c>
      <c r="H1049" s="234" t="s">
        <v>3485</v>
      </c>
      <c r="I1049" s="248" t="s">
        <v>7</v>
      </c>
      <c r="J1049" s="249" t="s">
        <v>554</v>
      </c>
      <c r="K1049" s="250">
        <v>45000</v>
      </c>
      <c r="L1049" s="250">
        <v>0</v>
      </c>
      <c r="M1049" s="251" t="s">
        <v>25</v>
      </c>
      <c r="N1049" s="252">
        <v>0</v>
      </c>
      <c r="O1049" s="185" t="s">
        <v>51</v>
      </c>
    </row>
    <row r="1050" spans="1:15" x14ac:dyDescent="0.25">
      <c r="A1050" s="234" t="s">
        <v>3166</v>
      </c>
      <c r="B1050" s="234" t="s">
        <v>25</v>
      </c>
      <c r="C1050" s="245">
        <v>46148</v>
      </c>
      <c r="D1050" s="234">
        <v>0</v>
      </c>
      <c r="E1050" s="246">
        <v>189371</v>
      </c>
      <c r="F1050" s="247" t="s">
        <v>3168</v>
      </c>
      <c r="G1050" s="34" t="s">
        <v>7</v>
      </c>
      <c r="H1050" s="234" t="s">
        <v>3167</v>
      </c>
      <c r="I1050" s="248" t="s">
        <v>7</v>
      </c>
      <c r="J1050" s="249" t="s">
        <v>554</v>
      </c>
      <c r="K1050" s="250">
        <v>189371.23</v>
      </c>
      <c r="L1050" s="250">
        <v>0</v>
      </c>
      <c r="M1050" s="251" t="s">
        <v>25</v>
      </c>
      <c r="N1050" s="252">
        <v>0</v>
      </c>
      <c r="O1050" s="185" t="s">
        <v>51</v>
      </c>
    </row>
    <row r="1051" spans="1:15" x14ac:dyDescent="0.25">
      <c r="A1051" s="234" t="s">
        <v>3462</v>
      </c>
      <c r="B1051" s="234" t="s">
        <v>25</v>
      </c>
      <c r="C1051" s="245">
        <v>46148</v>
      </c>
      <c r="D1051" s="234">
        <v>0</v>
      </c>
      <c r="E1051" s="246">
        <v>5000</v>
      </c>
      <c r="F1051" s="247" t="s">
        <v>3468</v>
      </c>
      <c r="G1051" s="34" t="s">
        <v>7</v>
      </c>
      <c r="H1051" s="234" t="s">
        <v>3463</v>
      </c>
      <c r="I1051" s="248" t="s">
        <v>7</v>
      </c>
      <c r="J1051" s="249" t="s">
        <v>554</v>
      </c>
      <c r="K1051" s="250">
        <v>5000</v>
      </c>
      <c r="L1051" s="250">
        <v>0</v>
      </c>
      <c r="M1051" s="251" t="s">
        <v>25</v>
      </c>
      <c r="N1051" s="252">
        <v>0</v>
      </c>
      <c r="O1051" s="185" t="s">
        <v>51</v>
      </c>
    </row>
    <row r="1052" spans="1:15" x14ac:dyDescent="0.25">
      <c r="A1052" s="234" t="s">
        <v>3484</v>
      </c>
      <c r="B1052" s="234" t="s">
        <v>25</v>
      </c>
      <c r="C1052" s="245">
        <v>46148</v>
      </c>
      <c r="D1052" s="234">
        <v>0</v>
      </c>
      <c r="E1052" s="246">
        <v>100000</v>
      </c>
      <c r="F1052" s="247" t="s">
        <v>3506</v>
      </c>
      <c r="G1052" s="34" t="s">
        <v>7</v>
      </c>
      <c r="H1052" s="234" t="s">
        <v>3485</v>
      </c>
      <c r="I1052" s="248" t="s">
        <v>7</v>
      </c>
      <c r="J1052" s="249" t="s">
        <v>554</v>
      </c>
      <c r="K1052" s="250">
        <v>100000</v>
      </c>
      <c r="L1052" s="250">
        <v>0</v>
      </c>
      <c r="M1052" s="251" t="s">
        <v>25</v>
      </c>
      <c r="N1052" s="252">
        <v>0</v>
      </c>
      <c r="O1052" s="185" t="s">
        <v>51</v>
      </c>
    </row>
    <row r="1053" spans="1:15" x14ac:dyDescent="0.25">
      <c r="A1053" s="234" t="s">
        <v>3484</v>
      </c>
      <c r="B1053" s="234" t="s">
        <v>25</v>
      </c>
      <c r="C1053" s="245">
        <v>46148</v>
      </c>
      <c r="D1053" s="234">
        <v>0</v>
      </c>
      <c r="E1053" s="246">
        <v>45000</v>
      </c>
      <c r="F1053" s="247" t="s">
        <v>3505</v>
      </c>
      <c r="G1053" s="34" t="s">
        <v>7</v>
      </c>
      <c r="H1053" s="234" t="s">
        <v>3485</v>
      </c>
      <c r="I1053" s="248" t="s">
        <v>7</v>
      </c>
      <c r="J1053" s="249" t="s">
        <v>554</v>
      </c>
      <c r="K1053" s="250">
        <v>45000</v>
      </c>
      <c r="L1053" s="250">
        <v>0</v>
      </c>
      <c r="M1053" s="251" t="s">
        <v>25</v>
      </c>
      <c r="N1053" s="252">
        <v>0</v>
      </c>
      <c r="O1053" s="185" t="s">
        <v>51</v>
      </c>
    </row>
    <row r="1054" spans="1:15" x14ac:dyDescent="0.25">
      <c r="A1054" s="234" t="s">
        <v>3145</v>
      </c>
      <c r="B1054" s="234" t="s">
        <v>25</v>
      </c>
      <c r="C1054" s="245">
        <v>46148</v>
      </c>
      <c r="D1054" s="234">
        <v>0</v>
      </c>
      <c r="E1054" s="246">
        <v>389167</v>
      </c>
      <c r="F1054" s="247" t="s">
        <v>3144</v>
      </c>
      <c r="G1054" s="34" t="s">
        <v>7</v>
      </c>
      <c r="H1054" s="234" t="s">
        <v>3146</v>
      </c>
      <c r="I1054" s="248" t="s">
        <v>7</v>
      </c>
      <c r="J1054" s="249" t="s">
        <v>582</v>
      </c>
      <c r="K1054" s="250">
        <v>120000</v>
      </c>
      <c r="L1054" s="250">
        <v>0</v>
      </c>
      <c r="M1054" s="251" t="s">
        <v>25</v>
      </c>
      <c r="N1054" s="252">
        <v>0</v>
      </c>
      <c r="O1054" s="185" t="s">
        <v>51</v>
      </c>
    </row>
    <row r="1055" spans="1:15" x14ac:dyDescent="0.25">
      <c r="A1055" s="234" t="s">
        <v>7769</v>
      </c>
      <c r="B1055" s="234" t="s">
        <v>25</v>
      </c>
      <c r="C1055" s="245">
        <v>46148</v>
      </c>
      <c r="D1055" s="234">
        <v>0</v>
      </c>
      <c r="E1055" s="246">
        <v>196253</v>
      </c>
      <c r="F1055" s="247">
        <v>0</v>
      </c>
      <c r="G1055" s="34" t="s">
        <v>7</v>
      </c>
      <c r="H1055" s="234" t="s">
        <v>7770</v>
      </c>
      <c r="I1055" s="248" t="s">
        <v>7</v>
      </c>
      <c r="J1055" s="249" t="s">
        <v>492</v>
      </c>
      <c r="K1055" s="250">
        <v>0</v>
      </c>
      <c r="L1055" s="250">
        <v>0</v>
      </c>
      <c r="M1055" s="251" t="s">
        <v>25</v>
      </c>
      <c r="N1055" s="252">
        <v>0</v>
      </c>
      <c r="O1055" s="185" t="s">
        <v>51</v>
      </c>
    </row>
    <row r="1056" spans="1:15" x14ac:dyDescent="0.25">
      <c r="A1056" s="234" t="s">
        <v>3456</v>
      </c>
      <c r="B1056" s="234" t="s">
        <v>25</v>
      </c>
      <c r="C1056" s="245">
        <v>46148</v>
      </c>
      <c r="D1056" s="234">
        <v>0</v>
      </c>
      <c r="E1056" s="246">
        <v>98500</v>
      </c>
      <c r="F1056" s="247" t="s">
        <v>3455</v>
      </c>
      <c r="G1056" s="34" t="s">
        <v>7</v>
      </c>
      <c r="H1056" s="234" t="s">
        <v>3457</v>
      </c>
      <c r="I1056" s="248" t="s">
        <v>7</v>
      </c>
      <c r="J1056" s="249" t="s">
        <v>61</v>
      </c>
      <c r="K1056" s="250">
        <v>98500</v>
      </c>
      <c r="L1056" s="250">
        <v>0</v>
      </c>
      <c r="M1056" s="251" t="s">
        <v>25</v>
      </c>
      <c r="N1056" s="252">
        <v>0</v>
      </c>
      <c r="O1056" s="185" t="s">
        <v>51</v>
      </c>
    </row>
    <row r="1057" spans="1:15" x14ac:dyDescent="0.25">
      <c r="A1057" s="234" t="s">
        <v>3456</v>
      </c>
      <c r="B1057" s="234" t="s">
        <v>25</v>
      </c>
      <c r="C1057" s="245">
        <v>46148</v>
      </c>
      <c r="D1057" s="234">
        <v>0</v>
      </c>
      <c r="E1057" s="246">
        <v>50000</v>
      </c>
      <c r="F1057" s="247" t="s">
        <v>3460</v>
      </c>
      <c r="G1057" s="34" t="s">
        <v>7</v>
      </c>
      <c r="H1057" s="234" t="s">
        <v>3457</v>
      </c>
      <c r="I1057" s="248" t="s">
        <v>7</v>
      </c>
      <c r="J1057" s="249" t="s">
        <v>554</v>
      </c>
      <c r="K1057" s="250">
        <v>50000</v>
      </c>
      <c r="L1057" s="250">
        <v>0</v>
      </c>
      <c r="M1057" s="251" t="s">
        <v>25</v>
      </c>
      <c r="N1057" s="252">
        <v>0</v>
      </c>
      <c r="O1057" s="185" t="s">
        <v>51</v>
      </c>
    </row>
    <row r="1058" spans="1:15" x14ac:dyDescent="0.25">
      <c r="A1058" s="234" t="s">
        <v>3456</v>
      </c>
      <c r="B1058" s="234" t="s">
        <v>25</v>
      </c>
      <c r="C1058" s="245">
        <v>46148</v>
      </c>
      <c r="D1058" s="234">
        <v>0</v>
      </c>
      <c r="E1058" s="246">
        <v>200000</v>
      </c>
      <c r="F1058" s="247" t="s">
        <v>3459</v>
      </c>
      <c r="G1058" s="34" t="s">
        <v>7</v>
      </c>
      <c r="H1058" s="234" t="s">
        <v>3457</v>
      </c>
      <c r="I1058" s="248" t="s">
        <v>7</v>
      </c>
      <c r="J1058" s="249" t="s">
        <v>554</v>
      </c>
      <c r="K1058" s="250">
        <v>200000</v>
      </c>
      <c r="L1058" s="250">
        <v>0</v>
      </c>
      <c r="M1058" s="251" t="s">
        <v>25</v>
      </c>
      <c r="N1058" s="252">
        <v>0</v>
      </c>
      <c r="O1058" s="185" t="s">
        <v>51</v>
      </c>
    </row>
    <row r="1059" spans="1:15" x14ac:dyDescent="0.25">
      <c r="A1059" s="234" t="s">
        <v>3456</v>
      </c>
      <c r="B1059" s="234" t="s">
        <v>25</v>
      </c>
      <c r="C1059" s="245">
        <v>46148</v>
      </c>
      <c r="D1059" s="234">
        <v>0</v>
      </c>
      <c r="E1059" s="246">
        <v>36000</v>
      </c>
      <c r="F1059" s="247" t="s">
        <v>3458</v>
      </c>
      <c r="G1059" s="34" t="s">
        <v>7</v>
      </c>
      <c r="H1059" s="234" t="s">
        <v>3457</v>
      </c>
      <c r="I1059" s="248" t="s">
        <v>7</v>
      </c>
      <c r="J1059" s="249" t="s">
        <v>582</v>
      </c>
      <c r="K1059" s="250">
        <v>36000</v>
      </c>
      <c r="L1059" s="250">
        <v>0</v>
      </c>
      <c r="M1059" s="251" t="s">
        <v>25</v>
      </c>
      <c r="N1059" s="252">
        <v>0</v>
      </c>
      <c r="O1059" s="185" t="s">
        <v>51</v>
      </c>
    </row>
    <row r="1060" spans="1:15" x14ac:dyDescent="0.25">
      <c r="A1060" s="234" t="s">
        <v>3194</v>
      </c>
      <c r="B1060" s="234" t="s">
        <v>25</v>
      </c>
      <c r="C1060" s="245">
        <v>46148</v>
      </c>
      <c r="D1060" s="234">
        <v>0</v>
      </c>
      <c r="E1060" s="246">
        <v>41145</v>
      </c>
      <c r="F1060" s="247" t="s">
        <v>3197</v>
      </c>
      <c r="G1060" s="34" t="s">
        <v>7</v>
      </c>
      <c r="H1060" s="234" t="s">
        <v>3195</v>
      </c>
      <c r="I1060" s="248" t="s">
        <v>7</v>
      </c>
      <c r="J1060" s="249" t="s">
        <v>554</v>
      </c>
      <c r="K1060" s="250">
        <v>41145</v>
      </c>
      <c r="L1060" s="250">
        <v>0</v>
      </c>
      <c r="M1060" s="251" t="s">
        <v>25</v>
      </c>
      <c r="N1060" s="252">
        <v>0</v>
      </c>
      <c r="O1060" s="185" t="s">
        <v>51</v>
      </c>
    </row>
    <row r="1061" spans="1:15" x14ac:dyDescent="0.25">
      <c r="A1061" s="234" t="s">
        <v>3137</v>
      </c>
      <c r="B1061" s="234" t="s">
        <v>25</v>
      </c>
      <c r="C1061" s="245">
        <v>46148</v>
      </c>
      <c r="D1061" s="234">
        <v>0</v>
      </c>
      <c r="E1061" s="246">
        <v>140712</v>
      </c>
      <c r="F1061" s="247" t="s">
        <v>3139</v>
      </c>
      <c r="G1061" s="34" t="s">
        <v>7</v>
      </c>
      <c r="H1061" s="234" t="s">
        <v>3138</v>
      </c>
      <c r="I1061" s="248" t="s">
        <v>7</v>
      </c>
      <c r="J1061" s="249" t="s">
        <v>554</v>
      </c>
      <c r="K1061" s="250">
        <v>140712.95000000001</v>
      </c>
      <c r="L1061" s="250">
        <v>0</v>
      </c>
      <c r="M1061" s="251" t="s">
        <v>25</v>
      </c>
      <c r="N1061" s="252">
        <v>0</v>
      </c>
      <c r="O1061" s="185" t="s">
        <v>51</v>
      </c>
    </row>
    <row r="1062" spans="1:15" x14ac:dyDescent="0.25">
      <c r="A1062" s="234" t="s">
        <v>3478</v>
      </c>
      <c r="B1062" s="234" t="s">
        <v>25</v>
      </c>
      <c r="C1062" s="245">
        <v>46148</v>
      </c>
      <c r="D1062" s="234">
        <v>0</v>
      </c>
      <c r="E1062" s="246">
        <v>71434</v>
      </c>
      <c r="F1062" s="247" t="s">
        <v>3477</v>
      </c>
      <c r="G1062" s="34" t="s">
        <v>7</v>
      </c>
      <c r="H1062" s="234" t="s">
        <v>3479</v>
      </c>
      <c r="I1062" s="248" t="s">
        <v>7</v>
      </c>
      <c r="J1062" s="249" t="s">
        <v>554</v>
      </c>
      <c r="K1062" s="250">
        <v>71434</v>
      </c>
      <c r="L1062" s="250">
        <v>0</v>
      </c>
      <c r="M1062" s="251" t="s">
        <v>25</v>
      </c>
      <c r="N1062" s="252">
        <v>0</v>
      </c>
      <c r="O1062" s="185" t="s">
        <v>51</v>
      </c>
    </row>
    <row r="1063" spans="1:15" x14ac:dyDescent="0.25">
      <c r="A1063" s="234" t="s">
        <v>3484</v>
      </c>
      <c r="B1063" s="234" t="s">
        <v>25</v>
      </c>
      <c r="C1063" s="245">
        <v>46148</v>
      </c>
      <c r="D1063" s="234">
        <v>0</v>
      </c>
      <c r="E1063" s="246">
        <v>60000</v>
      </c>
      <c r="F1063" s="247">
        <v>0</v>
      </c>
      <c r="G1063" s="34" t="s">
        <v>7</v>
      </c>
      <c r="H1063" s="234" t="s">
        <v>3485</v>
      </c>
      <c r="I1063" s="248" t="s">
        <v>7</v>
      </c>
      <c r="J1063" s="249" t="s">
        <v>492</v>
      </c>
      <c r="K1063" s="250">
        <v>0</v>
      </c>
      <c r="L1063" s="250">
        <v>0</v>
      </c>
      <c r="M1063" s="251" t="s">
        <v>25</v>
      </c>
      <c r="N1063" s="252">
        <v>0</v>
      </c>
      <c r="O1063" s="185" t="s">
        <v>51</v>
      </c>
    </row>
    <row r="1064" spans="1:15" x14ac:dyDescent="0.25">
      <c r="A1064" s="234" t="s">
        <v>3126</v>
      </c>
      <c r="B1064" s="234" t="s">
        <v>25</v>
      </c>
      <c r="C1064" s="245">
        <v>46148</v>
      </c>
      <c r="D1064" s="234">
        <v>0</v>
      </c>
      <c r="E1064" s="246">
        <v>390151</v>
      </c>
      <c r="F1064" s="247">
        <v>0</v>
      </c>
      <c r="G1064" s="34" t="s">
        <v>7</v>
      </c>
      <c r="H1064" s="234" t="s">
        <v>3127</v>
      </c>
      <c r="I1064" s="248" t="s">
        <v>7</v>
      </c>
      <c r="J1064" s="249" t="s">
        <v>492</v>
      </c>
      <c r="K1064" s="250">
        <v>0</v>
      </c>
      <c r="L1064" s="250">
        <v>0</v>
      </c>
      <c r="M1064" s="251" t="s">
        <v>25</v>
      </c>
      <c r="N1064" s="252">
        <v>0</v>
      </c>
      <c r="O1064" s="185" t="s">
        <v>51</v>
      </c>
    </row>
    <row r="1065" spans="1:15" x14ac:dyDescent="0.25">
      <c r="A1065" s="234" t="s">
        <v>7771</v>
      </c>
      <c r="B1065" s="234" t="s">
        <v>11</v>
      </c>
      <c r="C1065" s="245">
        <v>46148</v>
      </c>
      <c r="D1065" s="234" t="s">
        <v>7287</v>
      </c>
      <c r="E1065" s="246">
        <v>199832</v>
      </c>
      <c r="F1065" s="247">
        <v>0</v>
      </c>
      <c r="G1065" s="34" t="s">
        <v>7</v>
      </c>
      <c r="H1065" s="234" t="s">
        <v>7772</v>
      </c>
      <c r="I1065" s="248" t="s">
        <v>7</v>
      </c>
      <c r="J1065" s="249" t="s">
        <v>492</v>
      </c>
      <c r="K1065" s="250">
        <v>0</v>
      </c>
      <c r="L1065" s="250">
        <v>0</v>
      </c>
      <c r="M1065" s="251" t="s">
        <v>11</v>
      </c>
      <c r="N1065" s="252">
        <v>0</v>
      </c>
      <c r="O1065" s="185" t="s">
        <v>74</v>
      </c>
    </row>
    <row r="1066" spans="1:15" x14ac:dyDescent="0.25">
      <c r="A1066" s="234" t="s">
        <v>4583</v>
      </c>
      <c r="B1066" s="234" t="s">
        <v>11</v>
      </c>
      <c r="C1066" s="245">
        <v>46148</v>
      </c>
      <c r="D1066" s="234" t="s">
        <v>546</v>
      </c>
      <c r="E1066" s="246">
        <v>43000</v>
      </c>
      <c r="F1066" s="247" t="s">
        <v>4582</v>
      </c>
      <c r="G1066" s="34" t="s">
        <v>7</v>
      </c>
      <c r="H1066" s="234" t="s">
        <v>4584</v>
      </c>
      <c r="I1066" s="248" t="s">
        <v>7</v>
      </c>
      <c r="J1066" s="249" t="s">
        <v>554</v>
      </c>
      <c r="K1066" s="250">
        <v>43000</v>
      </c>
      <c r="L1066" s="250">
        <v>0</v>
      </c>
      <c r="M1066" s="251" t="s">
        <v>11</v>
      </c>
      <c r="N1066" s="252">
        <v>0</v>
      </c>
      <c r="O1066" s="185" t="s">
        <v>74</v>
      </c>
    </row>
    <row r="1067" spans="1:15" x14ac:dyDescent="0.25">
      <c r="A1067" s="234" t="s">
        <v>4547</v>
      </c>
      <c r="B1067" s="234" t="s">
        <v>11</v>
      </c>
      <c r="C1067" s="245">
        <v>46148</v>
      </c>
      <c r="D1067" s="234" t="s">
        <v>7287</v>
      </c>
      <c r="E1067" s="246">
        <v>178369</v>
      </c>
      <c r="F1067" s="247" t="s">
        <v>4546</v>
      </c>
      <c r="G1067" s="34" t="s">
        <v>7</v>
      </c>
      <c r="H1067" s="234" t="s">
        <v>4548</v>
      </c>
      <c r="I1067" s="248" t="s">
        <v>7</v>
      </c>
      <c r="J1067" s="249" t="s">
        <v>582</v>
      </c>
      <c r="K1067" s="250">
        <v>178368.96</v>
      </c>
      <c r="L1067" s="250">
        <v>0</v>
      </c>
      <c r="M1067" s="251" t="s">
        <v>11</v>
      </c>
      <c r="N1067" s="252">
        <v>0</v>
      </c>
      <c r="O1067" s="185" t="s">
        <v>74</v>
      </c>
    </row>
    <row r="1068" spans="1:15" x14ac:dyDescent="0.25">
      <c r="A1068" s="234" t="s">
        <v>5454</v>
      </c>
      <c r="B1068" s="234" t="s">
        <v>11</v>
      </c>
      <c r="C1068" s="245">
        <v>46148</v>
      </c>
      <c r="D1068" s="234" t="s">
        <v>7287</v>
      </c>
      <c r="E1068" s="246">
        <v>177867.15</v>
      </c>
      <c r="F1068" s="247" t="s">
        <v>5453</v>
      </c>
      <c r="G1068" s="34" t="s">
        <v>7</v>
      </c>
      <c r="H1068" s="234" t="s">
        <v>5455</v>
      </c>
      <c r="I1068" s="248" t="s">
        <v>7367</v>
      </c>
      <c r="J1068" s="249" t="s">
        <v>582</v>
      </c>
      <c r="K1068" s="250">
        <v>177867.15</v>
      </c>
      <c r="L1068" s="250">
        <v>93</v>
      </c>
      <c r="M1068" s="251" t="s">
        <v>11</v>
      </c>
      <c r="N1068" s="252">
        <v>177774.15</v>
      </c>
      <c r="O1068" s="185" t="s">
        <v>74</v>
      </c>
    </row>
    <row r="1069" spans="1:15" x14ac:dyDescent="0.25">
      <c r="A1069" s="234" t="s">
        <v>4107</v>
      </c>
      <c r="B1069" s="234" t="s">
        <v>15</v>
      </c>
      <c r="C1069" s="245">
        <v>46148</v>
      </c>
      <c r="D1069" s="234">
        <v>0</v>
      </c>
      <c r="E1069" s="246">
        <v>24619</v>
      </c>
      <c r="F1069" s="247" t="s">
        <v>7773</v>
      </c>
      <c r="G1069" s="34" t="s">
        <v>7</v>
      </c>
      <c r="H1069" s="234" t="s">
        <v>4108</v>
      </c>
      <c r="I1069" s="248" t="s">
        <v>7</v>
      </c>
      <c r="J1069" s="249" t="s">
        <v>492</v>
      </c>
      <c r="K1069" s="250">
        <v>0</v>
      </c>
      <c r="L1069" s="250">
        <v>0</v>
      </c>
      <c r="M1069" s="251" t="s">
        <v>15</v>
      </c>
      <c r="N1069" s="252">
        <v>0</v>
      </c>
      <c r="O1069" s="185" t="s">
        <v>51</v>
      </c>
    </row>
    <row r="1070" spans="1:15" x14ac:dyDescent="0.25">
      <c r="A1070" s="234" t="s">
        <v>1044</v>
      </c>
      <c r="B1070" s="234" t="s">
        <v>15</v>
      </c>
      <c r="C1070" s="245">
        <v>46148</v>
      </c>
      <c r="D1070" s="234">
        <v>0</v>
      </c>
      <c r="E1070" s="246">
        <v>40000</v>
      </c>
      <c r="F1070" s="247" t="s">
        <v>7774</v>
      </c>
      <c r="G1070" s="34" t="s">
        <v>7</v>
      </c>
      <c r="H1070" s="234" t="s">
        <v>1045</v>
      </c>
      <c r="I1070" s="248" t="s">
        <v>7</v>
      </c>
      <c r="J1070" s="249" t="s">
        <v>492</v>
      </c>
      <c r="K1070" s="250">
        <v>0</v>
      </c>
      <c r="L1070" s="250">
        <v>0</v>
      </c>
      <c r="M1070" s="251" t="s">
        <v>15</v>
      </c>
      <c r="N1070" s="252">
        <v>0</v>
      </c>
      <c r="O1070" s="185" t="s">
        <v>51</v>
      </c>
    </row>
    <row r="1071" spans="1:15" x14ac:dyDescent="0.25">
      <c r="A1071" s="234" t="s">
        <v>1031</v>
      </c>
      <c r="B1071" s="234" t="s">
        <v>15</v>
      </c>
      <c r="C1071" s="245">
        <v>46148</v>
      </c>
      <c r="D1071" s="234">
        <v>0</v>
      </c>
      <c r="E1071" s="246">
        <v>40000</v>
      </c>
      <c r="F1071" s="247" t="s">
        <v>7775</v>
      </c>
      <c r="G1071" s="34" t="s">
        <v>7</v>
      </c>
      <c r="H1071" s="234" t="s">
        <v>1032</v>
      </c>
      <c r="I1071" s="248" t="s">
        <v>7</v>
      </c>
      <c r="J1071" s="249" t="s">
        <v>492</v>
      </c>
      <c r="K1071" s="250">
        <v>0</v>
      </c>
      <c r="L1071" s="250">
        <v>0</v>
      </c>
      <c r="M1071" s="251" t="s">
        <v>15</v>
      </c>
      <c r="N1071" s="252">
        <v>0</v>
      </c>
      <c r="O1071" s="185" t="s">
        <v>51</v>
      </c>
    </row>
    <row r="1072" spans="1:15" x14ac:dyDescent="0.25">
      <c r="A1072" s="234" t="s">
        <v>1031</v>
      </c>
      <c r="B1072" s="234" t="s">
        <v>15</v>
      </c>
      <c r="C1072" s="245">
        <v>46148</v>
      </c>
      <c r="D1072" s="234">
        <v>0</v>
      </c>
      <c r="E1072" s="246">
        <v>36000</v>
      </c>
      <c r="F1072" s="247" t="s">
        <v>7776</v>
      </c>
      <c r="G1072" s="34" t="s">
        <v>7</v>
      </c>
      <c r="H1072" s="234" t="s">
        <v>1032</v>
      </c>
      <c r="I1072" s="248" t="s">
        <v>7</v>
      </c>
      <c r="J1072" s="249" t="s">
        <v>492</v>
      </c>
      <c r="K1072" s="250">
        <v>0</v>
      </c>
      <c r="L1072" s="250">
        <v>0</v>
      </c>
      <c r="M1072" s="251" t="s">
        <v>15</v>
      </c>
      <c r="N1072" s="252">
        <v>0</v>
      </c>
      <c r="O1072" s="185" t="s">
        <v>51</v>
      </c>
    </row>
    <row r="1073" spans="1:15" x14ac:dyDescent="0.25">
      <c r="A1073" s="234" t="s">
        <v>7777</v>
      </c>
      <c r="B1073" s="234" t="s">
        <v>15</v>
      </c>
      <c r="C1073" s="245">
        <v>46148</v>
      </c>
      <c r="D1073" s="234">
        <v>0</v>
      </c>
      <c r="E1073" s="246">
        <v>28062</v>
      </c>
      <c r="F1073" s="247" t="s">
        <v>7778</v>
      </c>
      <c r="G1073" s="34" t="s">
        <v>7</v>
      </c>
      <c r="H1073" s="234" t="s">
        <v>1269</v>
      </c>
      <c r="I1073" s="248" t="s">
        <v>7</v>
      </c>
      <c r="J1073" s="249" t="s">
        <v>492</v>
      </c>
      <c r="K1073" s="250">
        <v>0</v>
      </c>
      <c r="L1073" s="250">
        <v>0</v>
      </c>
      <c r="M1073" s="251" t="s">
        <v>15</v>
      </c>
      <c r="N1073" s="252">
        <v>0</v>
      </c>
      <c r="O1073" s="185" t="s">
        <v>51</v>
      </c>
    </row>
    <row r="1074" spans="1:15" x14ac:dyDescent="0.25">
      <c r="A1074" s="234" t="s">
        <v>1119</v>
      </c>
      <c r="B1074" s="234" t="s">
        <v>15</v>
      </c>
      <c r="C1074" s="245">
        <v>46148</v>
      </c>
      <c r="D1074" s="234">
        <v>0</v>
      </c>
      <c r="E1074" s="246">
        <v>161541</v>
      </c>
      <c r="F1074" s="247" t="s">
        <v>7779</v>
      </c>
      <c r="G1074" s="34" t="s">
        <v>7</v>
      </c>
      <c r="H1074" s="234" t="s">
        <v>1120</v>
      </c>
      <c r="I1074" s="248" t="s">
        <v>7</v>
      </c>
      <c r="J1074" s="249" t="s">
        <v>492</v>
      </c>
      <c r="K1074" s="250">
        <v>0</v>
      </c>
      <c r="L1074" s="250">
        <v>0</v>
      </c>
      <c r="M1074" s="251" t="s">
        <v>15</v>
      </c>
      <c r="N1074" s="252">
        <v>0</v>
      </c>
      <c r="O1074" s="185" t="s">
        <v>51</v>
      </c>
    </row>
    <row r="1075" spans="1:15" x14ac:dyDescent="0.25">
      <c r="A1075" s="234" t="s">
        <v>7780</v>
      </c>
      <c r="B1075" s="234" t="s">
        <v>15</v>
      </c>
      <c r="C1075" s="245">
        <v>46148</v>
      </c>
      <c r="D1075" s="234">
        <v>0</v>
      </c>
      <c r="E1075" s="246">
        <v>138752</v>
      </c>
      <c r="F1075" s="247" t="s">
        <v>7781</v>
      </c>
      <c r="G1075" s="34" t="s">
        <v>7</v>
      </c>
      <c r="H1075" s="234" t="s">
        <v>7782</v>
      </c>
      <c r="I1075" s="248" t="s">
        <v>7</v>
      </c>
      <c r="J1075" s="249" t="s">
        <v>492</v>
      </c>
      <c r="K1075" s="250">
        <v>0</v>
      </c>
      <c r="L1075" s="250">
        <v>0</v>
      </c>
      <c r="M1075" s="251" t="s">
        <v>15</v>
      </c>
      <c r="N1075" s="252">
        <v>0</v>
      </c>
      <c r="O1075" s="185" t="s">
        <v>51</v>
      </c>
    </row>
    <row r="1076" spans="1:15" x14ac:dyDescent="0.25">
      <c r="A1076" s="234" t="s">
        <v>1259</v>
      </c>
      <c r="B1076" s="234" t="s">
        <v>15</v>
      </c>
      <c r="C1076" s="245">
        <v>46148</v>
      </c>
      <c r="D1076" s="234">
        <v>0</v>
      </c>
      <c r="E1076" s="246">
        <v>80665</v>
      </c>
      <c r="F1076" s="247" t="s">
        <v>7783</v>
      </c>
      <c r="G1076" s="34" t="s">
        <v>7</v>
      </c>
      <c r="H1076" s="234" t="s">
        <v>1260</v>
      </c>
      <c r="I1076" s="248" t="s">
        <v>7</v>
      </c>
      <c r="J1076" s="249" t="s">
        <v>492</v>
      </c>
      <c r="K1076" s="250">
        <v>0</v>
      </c>
      <c r="L1076" s="250">
        <v>0</v>
      </c>
      <c r="M1076" s="251" t="s">
        <v>15</v>
      </c>
      <c r="N1076" s="252">
        <v>0</v>
      </c>
      <c r="O1076" s="185" t="s">
        <v>51</v>
      </c>
    </row>
    <row r="1077" spans="1:15" x14ac:dyDescent="0.25">
      <c r="A1077" s="234" t="s">
        <v>1247</v>
      </c>
      <c r="B1077" s="234" t="s">
        <v>15</v>
      </c>
      <c r="C1077" s="245">
        <v>46148</v>
      </c>
      <c r="D1077" s="234">
        <v>0</v>
      </c>
      <c r="E1077" s="246">
        <v>99500</v>
      </c>
      <c r="F1077" s="247" t="s">
        <v>7784</v>
      </c>
      <c r="G1077" s="34" t="s">
        <v>7</v>
      </c>
      <c r="H1077" s="234" t="s">
        <v>1248</v>
      </c>
      <c r="I1077" s="248" t="s">
        <v>7</v>
      </c>
      <c r="J1077" s="249" t="s">
        <v>492</v>
      </c>
      <c r="K1077" s="250">
        <v>0</v>
      </c>
      <c r="L1077" s="250">
        <v>0</v>
      </c>
      <c r="M1077" s="251" t="s">
        <v>15</v>
      </c>
      <c r="N1077" s="252">
        <v>0</v>
      </c>
      <c r="O1077" s="185" t="s">
        <v>51</v>
      </c>
    </row>
    <row r="1078" spans="1:15" x14ac:dyDescent="0.25">
      <c r="A1078" s="234" t="s">
        <v>1247</v>
      </c>
      <c r="B1078" s="234" t="s">
        <v>15</v>
      </c>
      <c r="C1078" s="245">
        <v>46148</v>
      </c>
      <c r="D1078" s="234">
        <v>0</v>
      </c>
      <c r="E1078" s="246">
        <v>65048</v>
      </c>
      <c r="F1078" s="247" t="s">
        <v>7785</v>
      </c>
      <c r="G1078" s="34" t="s">
        <v>7</v>
      </c>
      <c r="H1078" s="234" t="s">
        <v>1248</v>
      </c>
      <c r="I1078" s="248" t="s">
        <v>7</v>
      </c>
      <c r="J1078" s="249" t="s">
        <v>492</v>
      </c>
      <c r="K1078" s="250">
        <v>0</v>
      </c>
      <c r="L1078" s="250">
        <v>0</v>
      </c>
      <c r="M1078" s="251" t="s">
        <v>15</v>
      </c>
      <c r="N1078" s="252">
        <v>0</v>
      </c>
      <c r="O1078" s="185" t="s">
        <v>51</v>
      </c>
    </row>
    <row r="1079" spans="1:15" x14ac:dyDescent="0.25">
      <c r="A1079" s="234" t="s">
        <v>1028</v>
      </c>
      <c r="B1079" s="234" t="s">
        <v>15</v>
      </c>
      <c r="C1079" s="245">
        <v>46148</v>
      </c>
      <c r="D1079" s="234">
        <v>0</v>
      </c>
      <c r="E1079" s="246">
        <v>142300</v>
      </c>
      <c r="F1079" s="247" t="s">
        <v>7786</v>
      </c>
      <c r="G1079" s="34" t="s">
        <v>7</v>
      </c>
      <c r="H1079" s="234" t="s">
        <v>1029</v>
      </c>
      <c r="I1079" s="248" t="s">
        <v>7</v>
      </c>
      <c r="J1079" s="249" t="s">
        <v>492</v>
      </c>
      <c r="K1079" s="250">
        <v>0</v>
      </c>
      <c r="L1079" s="250">
        <v>0</v>
      </c>
      <c r="M1079" s="251" t="s">
        <v>15</v>
      </c>
      <c r="N1079" s="252">
        <v>0</v>
      </c>
      <c r="O1079" s="185" t="s">
        <v>51</v>
      </c>
    </row>
    <row r="1080" spans="1:15" x14ac:dyDescent="0.25">
      <c r="A1080" s="234" t="s">
        <v>7787</v>
      </c>
      <c r="B1080" s="234" t="s">
        <v>15</v>
      </c>
      <c r="C1080" s="245">
        <v>46148</v>
      </c>
      <c r="D1080" s="234">
        <v>0</v>
      </c>
      <c r="E1080" s="246">
        <v>20286</v>
      </c>
      <c r="F1080" s="247" t="s">
        <v>7788</v>
      </c>
      <c r="G1080" s="34" t="s">
        <v>7</v>
      </c>
      <c r="H1080" s="234" t="s">
        <v>1545</v>
      </c>
      <c r="I1080" s="248" t="s">
        <v>7</v>
      </c>
      <c r="J1080" s="249" t="s">
        <v>492</v>
      </c>
      <c r="K1080" s="250">
        <v>0</v>
      </c>
      <c r="L1080" s="250">
        <v>0</v>
      </c>
      <c r="M1080" s="251" t="s">
        <v>15</v>
      </c>
      <c r="N1080" s="252">
        <v>0</v>
      </c>
      <c r="O1080" s="185" t="s">
        <v>51</v>
      </c>
    </row>
    <row r="1081" spans="1:15" x14ac:dyDescent="0.25">
      <c r="A1081" s="234" t="s">
        <v>1227</v>
      </c>
      <c r="B1081" s="234" t="s">
        <v>15</v>
      </c>
      <c r="C1081" s="245">
        <v>46148</v>
      </c>
      <c r="D1081" s="234">
        <v>0</v>
      </c>
      <c r="E1081" s="246">
        <v>111000</v>
      </c>
      <c r="F1081" s="247" t="s">
        <v>7789</v>
      </c>
      <c r="G1081" s="34" t="s">
        <v>7</v>
      </c>
      <c r="H1081" s="234" t="s">
        <v>1228</v>
      </c>
      <c r="I1081" s="248" t="s">
        <v>7</v>
      </c>
      <c r="J1081" s="249" t="s">
        <v>492</v>
      </c>
      <c r="K1081" s="250">
        <v>0</v>
      </c>
      <c r="L1081" s="250">
        <v>0</v>
      </c>
      <c r="M1081" s="251" t="s">
        <v>15</v>
      </c>
      <c r="N1081" s="252">
        <v>0</v>
      </c>
      <c r="O1081" s="185" t="s">
        <v>51</v>
      </c>
    </row>
    <row r="1082" spans="1:15" x14ac:dyDescent="0.25">
      <c r="A1082" s="234" t="s">
        <v>3655</v>
      </c>
      <c r="B1082" s="234" t="s">
        <v>15</v>
      </c>
      <c r="C1082" s="245">
        <v>46148</v>
      </c>
      <c r="D1082" s="234">
        <v>0</v>
      </c>
      <c r="E1082" s="246">
        <v>20000</v>
      </c>
      <c r="F1082" s="247" t="s">
        <v>7790</v>
      </c>
      <c r="G1082" s="34" t="s">
        <v>7</v>
      </c>
      <c r="H1082" s="234" t="s">
        <v>3656</v>
      </c>
      <c r="I1082" s="248" t="s">
        <v>7</v>
      </c>
      <c r="J1082" s="249" t="s">
        <v>492</v>
      </c>
      <c r="K1082" s="250">
        <v>0</v>
      </c>
      <c r="L1082" s="250">
        <v>0</v>
      </c>
      <c r="M1082" s="251" t="s">
        <v>15</v>
      </c>
      <c r="N1082" s="252">
        <v>0</v>
      </c>
      <c r="O1082" s="185" t="s">
        <v>51</v>
      </c>
    </row>
    <row r="1083" spans="1:15" x14ac:dyDescent="0.25">
      <c r="A1083" s="234" t="s">
        <v>3655</v>
      </c>
      <c r="B1083" s="234" t="s">
        <v>15</v>
      </c>
      <c r="C1083" s="245">
        <v>46148</v>
      </c>
      <c r="D1083" s="234">
        <v>0</v>
      </c>
      <c r="E1083" s="246">
        <v>50000</v>
      </c>
      <c r="F1083" s="247" t="s">
        <v>7791</v>
      </c>
      <c r="G1083" s="34" t="s">
        <v>7</v>
      </c>
      <c r="H1083" s="234" t="s">
        <v>3656</v>
      </c>
      <c r="I1083" s="248" t="s">
        <v>7</v>
      </c>
      <c r="J1083" s="249" t="s">
        <v>492</v>
      </c>
      <c r="K1083" s="250">
        <v>0</v>
      </c>
      <c r="L1083" s="250">
        <v>0</v>
      </c>
      <c r="M1083" s="251" t="s">
        <v>15</v>
      </c>
      <c r="N1083" s="252">
        <v>0</v>
      </c>
      <c r="O1083" s="185" t="s">
        <v>51</v>
      </c>
    </row>
    <row r="1084" spans="1:15" x14ac:dyDescent="0.25">
      <c r="A1084" s="234" t="s">
        <v>7792</v>
      </c>
      <c r="B1084" s="234" t="s">
        <v>15</v>
      </c>
      <c r="C1084" s="245">
        <v>46148</v>
      </c>
      <c r="D1084" s="234">
        <v>0</v>
      </c>
      <c r="E1084" s="246">
        <v>124075</v>
      </c>
      <c r="F1084" s="247" t="s">
        <v>7793</v>
      </c>
      <c r="G1084" s="34" t="s">
        <v>7</v>
      </c>
      <c r="H1084" s="234" t="s">
        <v>1239</v>
      </c>
      <c r="I1084" s="248" t="s">
        <v>7</v>
      </c>
      <c r="J1084" s="249" t="s">
        <v>492</v>
      </c>
      <c r="K1084" s="250">
        <v>0</v>
      </c>
      <c r="L1084" s="250">
        <v>0</v>
      </c>
      <c r="M1084" s="251" t="s">
        <v>15</v>
      </c>
      <c r="N1084" s="252">
        <v>0</v>
      </c>
      <c r="O1084" s="185" t="s">
        <v>51</v>
      </c>
    </row>
    <row r="1085" spans="1:15" x14ac:dyDescent="0.25">
      <c r="A1085" s="234" t="s">
        <v>4107</v>
      </c>
      <c r="B1085" s="234" t="s">
        <v>15</v>
      </c>
      <c r="C1085" s="245">
        <v>46148</v>
      </c>
      <c r="D1085" s="234">
        <v>0</v>
      </c>
      <c r="E1085" s="246">
        <v>50000</v>
      </c>
      <c r="F1085" s="247" t="s">
        <v>7794</v>
      </c>
      <c r="G1085" s="34" t="s">
        <v>7</v>
      </c>
      <c r="H1085" s="234" t="s">
        <v>4108</v>
      </c>
      <c r="I1085" s="248" t="s">
        <v>7</v>
      </c>
      <c r="J1085" s="249" t="s">
        <v>492</v>
      </c>
      <c r="K1085" s="250">
        <v>0</v>
      </c>
      <c r="L1085" s="250">
        <v>0</v>
      </c>
      <c r="M1085" s="251" t="s">
        <v>15</v>
      </c>
      <c r="N1085" s="252">
        <v>0</v>
      </c>
      <c r="O1085" s="185" t="s">
        <v>51</v>
      </c>
    </row>
    <row r="1086" spans="1:15" x14ac:dyDescent="0.25">
      <c r="A1086" s="234" t="s">
        <v>4107</v>
      </c>
      <c r="B1086" s="234" t="s">
        <v>15</v>
      </c>
      <c r="C1086" s="245">
        <v>46148</v>
      </c>
      <c r="D1086" s="234">
        <v>0</v>
      </c>
      <c r="E1086" s="246">
        <v>21590</v>
      </c>
      <c r="F1086" s="247" t="s">
        <v>7795</v>
      </c>
      <c r="G1086" s="34" t="s">
        <v>7</v>
      </c>
      <c r="H1086" s="234" t="s">
        <v>4108</v>
      </c>
      <c r="I1086" s="248" t="s">
        <v>7</v>
      </c>
      <c r="J1086" s="249" t="s">
        <v>492</v>
      </c>
      <c r="K1086" s="250">
        <v>0</v>
      </c>
      <c r="L1086" s="250">
        <v>0</v>
      </c>
      <c r="M1086" s="251" t="s">
        <v>15</v>
      </c>
      <c r="N1086" s="252">
        <v>0</v>
      </c>
      <c r="O1086" s="185" t="s">
        <v>51</v>
      </c>
    </row>
    <row r="1087" spans="1:15" x14ac:dyDescent="0.25">
      <c r="A1087" s="234" t="s">
        <v>4107</v>
      </c>
      <c r="B1087" s="234" t="s">
        <v>15</v>
      </c>
      <c r="C1087" s="245">
        <v>46148</v>
      </c>
      <c r="D1087" s="234">
        <v>0</v>
      </c>
      <c r="E1087" s="246">
        <v>30000</v>
      </c>
      <c r="F1087" s="247" t="s">
        <v>7796</v>
      </c>
      <c r="G1087" s="34" t="s">
        <v>7</v>
      </c>
      <c r="H1087" s="234" t="s">
        <v>4108</v>
      </c>
      <c r="I1087" s="248" t="s">
        <v>7</v>
      </c>
      <c r="J1087" s="249" t="s">
        <v>492</v>
      </c>
      <c r="K1087" s="250">
        <v>0</v>
      </c>
      <c r="L1087" s="250">
        <v>0</v>
      </c>
      <c r="M1087" s="251" t="s">
        <v>15</v>
      </c>
      <c r="N1087" s="252">
        <v>0</v>
      </c>
      <c r="O1087" s="185" t="s">
        <v>51</v>
      </c>
    </row>
    <row r="1088" spans="1:15" x14ac:dyDescent="0.25">
      <c r="A1088" s="234" t="s">
        <v>7797</v>
      </c>
      <c r="B1088" s="234" t="s">
        <v>15</v>
      </c>
      <c r="C1088" s="245">
        <v>46148</v>
      </c>
      <c r="D1088" s="234">
        <v>0</v>
      </c>
      <c r="E1088" s="246">
        <v>1000</v>
      </c>
      <c r="F1088" s="247" t="s">
        <v>7798</v>
      </c>
      <c r="G1088" s="34" t="s">
        <v>7</v>
      </c>
      <c r="H1088" s="234" t="s">
        <v>1569</v>
      </c>
      <c r="I1088" s="248" t="s">
        <v>7</v>
      </c>
      <c r="J1088" s="249" t="s">
        <v>492</v>
      </c>
      <c r="K1088" s="250">
        <v>0</v>
      </c>
      <c r="L1088" s="250">
        <v>0</v>
      </c>
      <c r="M1088" s="251" t="s">
        <v>15</v>
      </c>
      <c r="N1088" s="252">
        <v>0</v>
      </c>
      <c r="O1088" s="185" t="s">
        <v>51</v>
      </c>
    </row>
    <row r="1089" spans="1:15" x14ac:dyDescent="0.25">
      <c r="A1089" s="234" t="s">
        <v>1254</v>
      </c>
      <c r="B1089" s="234" t="s">
        <v>15</v>
      </c>
      <c r="C1089" s="245">
        <v>46148</v>
      </c>
      <c r="D1089" s="234">
        <v>0</v>
      </c>
      <c r="E1089" s="246">
        <v>45000</v>
      </c>
      <c r="F1089" s="247" t="s">
        <v>7799</v>
      </c>
      <c r="G1089" s="34" t="s">
        <v>7</v>
      </c>
      <c r="H1089" s="234" t="s">
        <v>1255</v>
      </c>
      <c r="I1089" s="248" t="s">
        <v>7</v>
      </c>
      <c r="J1089" s="249" t="s">
        <v>492</v>
      </c>
      <c r="K1089" s="250">
        <v>0</v>
      </c>
      <c r="L1089" s="250">
        <v>0</v>
      </c>
      <c r="M1089" s="251" t="s">
        <v>15</v>
      </c>
      <c r="N1089" s="252">
        <v>0</v>
      </c>
      <c r="O1089" s="185" t="s">
        <v>51</v>
      </c>
    </row>
    <row r="1090" spans="1:15" x14ac:dyDescent="0.25">
      <c r="A1090" s="234" t="s">
        <v>1071</v>
      </c>
      <c r="B1090" s="234" t="s">
        <v>15</v>
      </c>
      <c r="C1090" s="245">
        <v>46148</v>
      </c>
      <c r="D1090" s="234">
        <v>0</v>
      </c>
      <c r="E1090" s="246">
        <v>142195</v>
      </c>
      <c r="F1090" s="247" t="s">
        <v>7800</v>
      </c>
      <c r="G1090" s="34" t="s">
        <v>7</v>
      </c>
      <c r="H1090" s="234" t="s">
        <v>1072</v>
      </c>
      <c r="I1090" s="248" t="s">
        <v>7</v>
      </c>
      <c r="J1090" s="249" t="s">
        <v>492</v>
      </c>
      <c r="K1090" s="250">
        <v>0</v>
      </c>
      <c r="L1090" s="250">
        <v>0</v>
      </c>
      <c r="M1090" s="251" t="s">
        <v>15</v>
      </c>
      <c r="N1090" s="252">
        <v>0</v>
      </c>
      <c r="O1090" s="185" t="s">
        <v>51</v>
      </c>
    </row>
    <row r="1091" spans="1:15" x14ac:dyDescent="0.25">
      <c r="A1091" s="234" t="s">
        <v>1097</v>
      </c>
      <c r="B1091" s="234" t="s">
        <v>15</v>
      </c>
      <c r="C1091" s="245">
        <v>46148</v>
      </c>
      <c r="D1091" s="234">
        <v>0</v>
      </c>
      <c r="E1091" s="246">
        <v>253568</v>
      </c>
      <c r="F1091" s="247" t="s">
        <v>7801</v>
      </c>
      <c r="G1091" s="34" t="s">
        <v>7</v>
      </c>
      <c r="H1091" s="234" t="s">
        <v>1098</v>
      </c>
      <c r="I1091" s="248" t="s">
        <v>7</v>
      </c>
      <c r="J1091" s="249" t="s">
        <v>492</v>
      </c>
      <c r="K1091" s="250">
        <v>0</v>
      </c>
      <c r="L1091" s="250">
        <v>0</v>
      </c>
      <c r="M1091" s="251" t="s">
        <v>15</v>
      </c>
      <c r="N1091" s="252">
        <v>0</v>
      </c>
      <c r="O1091" s="185" t="s">
        <v>51</v>
      </c>
    </row>
    <row r="1092" spans="1:15" x14ac:dyDescent="0.25">
      <c r="A1092" s="234" t="s">
        <v>1173</v>
      </c>
      <c r="B1092" s="234" t="s">
        <v>15</v>
      </c>
      <c r="C1092" s="245">
        <v>46148</v>
      </c>
      <c r="D1092" s="234">
        <v>0</v>
      </c>
      <c r="E1092" s="246">
        <v>10900</v>
      </c>
      <c r="F1092" s="247" t="s">
        <v>7802</v>
      </c>
      <c r="G1092" s="34" t="s">
        <v>7</v>
      </c>
      <c r="H1092" s="234" t="s">
        <v>1174</v>
      </c>
      <c r="I1092" s="248" t="s">
        <v>7</v>
      </c>
      <c r="J1092" s="249" t="s">
        <v>492</v>
      </c>
      <c r="K1092" s="250">
        <v>0</v>
      </c>
      <c r="L1092" s="250">
        <v>0</v>
      </c>
      <c r="M1092" s="251" t="s">
        <v>15</v>
      </c>
      <c r="N1092" s="252">
        <v>0</v>
      </c>
      <c r="O1092" s="185" t="s">
        <v>51</v>
      </c>
    </row>
    <row r="1093" spans="1:15" x14ac:dyDescent="0.25">
      <c r="A1093" s="234" t="s">
        <v>4102</v>
      </c>
      <c r="B1093" s="234" t="s">
        <v>15</v>
      </c>
      <c r="C1093" s="245">
        <v>46148</v>
      </c>
      <c r="D1093" s="234">
        <v>0</v>
      </c>
      <c r="E1093" s="246">
        <v>10000</v>
      </c>
      <c r="F1093" s="247" t="s">
        <v>7803</v>
      </c>
      <c r="G1093" s="34" t="s">
        <v>7</v>
      </c>
      <c r="H1093" s="234" t="s">
        <v>4103</v>
      </c>
      <c r="I1093" s="248" t="s">
        <v>7</v>
      </c>
      <c r="J1093" s="249" t="s">
        <v>492</v>
      </c>
      <c r="K1093" s="250">
        <v>0</v>
      </c>
      <c r="L1093" s="250">
        <v>0</v>
      </c>
      <c r="M1093" s="251" t="s">
        <v>15</v>
      </c>
      <c r="N1093" s="252">
        <v>0</v>
      </c>
      <c r="O1093" s="185" t="s">
        <v>51</v>
      </c>
    </row>
    <row r="1094" spans="1:15" x14ac:dyDescent="0.25">
      <c r="A1094" s="234" t="s">
        <v>7804</v>
      </c>
      <c r="B1094" s="234" t="s">
        <v>15</v>
      </c>
      <c r="C1094" s="245">
        <v>46148</v>
      </c>
      <c r="D1094" s="234">
        <v>0</v>
      </c>
      <c r="E1094" s="246">
        <v>13400</v>
      </c>
      <c r="F1094" s="247" t="s">
        <v>7805</v>
      </c>
      <c r="G1094" s="34" t="s">
        <v>7</v>
      </c>
      <c r="H1094" s="234" t="s">
        <v>1603</v>
      </c>
      <c r="I1094" s="248" t="s">
        <v>7</v>
      </c>
      <c r="J1094" s="249" t="s">
        <v>492</v>
      </c>
      <c r="K1094" s="250">
        <v>0</v>
      </c>
      <c r="L1094" s="250">
        <v>0</v>
      </c>
      <c r="M1094" s="251" t="s">
        <v>15</v>
      </c>
      <c r="N1094" s="252">
        <v>0</v>
      </c>
      <c r="O1094" s="185" t="s">
        <v>51</v>
      </c>
    </row>
    <row r="1095" spans="1:15" x14ac:dyDescent="0.25">
      <c r="A1095" s="234" t="s">
        <v>7804</v>
      </c>
      <c r="B1095" s="234" t="s">
        <v>15</v>
      </c>
      <c r="C1095" s="245">
        <v>46148</v>
      </c>
      <c r="D1095" s="234">
        <v>0</v>
      </c>
      <c r="E1095" s="246">
        <v>10000</v>
      </c>
      <c r="F1095" s="247" t="s">
        <v>7806</v>
      </c>
      <c r="G1095" s="34" t="s">
        <v>7</v>
      </c>
      <c r="H1095" s="234" t="s">
        <v>1603</v>
      </c>
      <c r="I1095" s="248" t="s">
        <v>7</v>
      </c>
      <c r="J1095" s="249" t="s">
        <v>492</v>
      </c>
      <c r="K1095" s="250">
        <v>0</v>
      </c>
      <c r="L1095" s="250">
        <v>0</v>
      </c>
      <c r="M1095" s="251" t="s">
        <v>15</v>
      </c>
      <c r="N1095" s="252">
        <v>0</v>
      </c>
      <c r="O1095" s="185" t="s">
        <v>51</v>
      </c>
    </row>
    <row r="1096" spans="1:15" x14ac:dyDescent="0.25">
      <c r="A1096" s="234" t="s">
        <v>7804</v>
      </c>
      <c r="B1096" s="234" t="s">
        <v>15</v>
      </c>
      <c r="C1096" s="245">
        <v>46148</v>
      </c>
      <c r="D1096" s="234">
        <v>0</v>
      </c>
      <c r="E1096" s="246">
        <v>31316</v>
      </c>
      <c r="F1096" s="247" t="s">
        <v>7807</v>
      </c>
      <c r="G1096" s="34" t="s">
        <v>7</v>
      </c>
      <c r="H1096" s="234" t="s">
        <v>1603</v>
      </c>
      <c r="I1096" s="248" t="s">
        <v>7</v>
      </c>
      <c r="J1096" s="249" t="s">
        <v>492</v>
      </c>
      <c r="K1096" s="250">
        <v>0</v>
      </c>
      <c r="L1096" s="250">
        <v>0</v>
      </c>
      <c r="M1096" s="251" t="s">
        <v>15</v>
      </c>
      <c r="N1096" s="252">
        <v>0</v>
      </c>
      <c r="O1096" s="185" t="s">
        <v>51</v>
      </c>
    </row>
    <row r="1097" spans="1:15" x14ac:dyDescent="0.25">
      <c r="A1097" s="234" t="s">
        <v>5038</v>
      </c>
      <c r="B1097" s="234" t="s">
        <v>16</v>
      </c>
      <c r="C1097" s="245">
        <v>46148</v>
      </c>
      <c r="D1097" s="234" t="s">
        <v>7287</v>
      </c>
      <c r="E1097" s="246">
        <v>252343</v>
      </c>
      <c r="F1097" s="247" t="s">
        <v>5037</v>
      </c>
      <c r="G1097" s="34" t="s">
        <v>7</v>
      </c>
      <c r="H1097" s="234" t="s">
        <v>5039</v>
      </c>
      <c r="I1097" s="248" t="s">
        <v>7</v>
      </c>
      <c r="J1097" s="249" t="s">
        <v>554</v>
      </c>
      <c r="K1097" s="250">
        <v>49570</v>
      </c>
      <c r="L1097" s="250">
        <v>0</v>
      </c>
      <c r="M1097" s="251" t="s">
        <v>16</v>
      </c>
      <c r="N1097" s="252">
        <v>0</v>
      </c>
      <c r="O1097" s="185" t="s">
        <v>51</v>
      </c>
    </row>
    <row r="1098" spans="1:15" x14ac:dyDescent="0.25">
      <c r="A1098" s="234" t="s">
        <v>4968</v>
      </c>
      <c r="B1098" s="234" t="s">
        <v>16</v>
      </c>
      <c r="C1098" s="245">
        <v>46148</v>
      </c>
      <c r="D1098" s="234" t="s">
        <v>7577</v>
      </c>
      <c r="E1098" s="246">
        <v>159293</v>
      </c>
      <c r="F1098" s="247" t="s">
        <v>4967</v>
      </c>
      <c r="G1098" s="34" t="s">
        <v>7</v>
      </c>
      <c r="H1098" s="234" t="s">
        <v>4969</v>
      </c>
      <c r="I1098" s="248" t="s">
        <v>7</v>
      </c>
      <c r="J1098" s="249" t="s">
        <v>554</v>
      </c>
      <c r="K1098" s="250">
        <v>159293</v>
      </c>
      <c r="L1098" s="250">
        <v>0</v>
      </c>
      <c r="M1098" s="251" t="s">
        <v>16</v>
      </c>
      <c r="N1098" s="252">
        <v>0</v>
      </c>
      <c r="O1098" s="185" t="s">
        <v>51</v>
      </c>
    </row>
    <row r="1099" spans="1:15" x14ac:dyDescent="0.25">
      <c r="A1099" s="234" t="s">
        <v>5082</v>
      </c>
      <c r="B1099" s="234" t="s">
        <v>16</v>
      </c>
      <c r="C1099" s="245">
        <v>46148</v>
      </c>
      <c r="D1099" s="234" t="s">
        <v>7359</v>
      </c>
      <c r="E1099" s="246">
        <v>155498</v>
      </c>
      <c r="F1099" s="247" t="s">
        <v>5081</v>
      </c>
      <c r="G1099" s="34" t="s">
        <v>7</v>
      </c>
      <c r="H1099" s="234" t="s">
        <v>5083</v>
      </c>
      <c r="I1099" s="248" t="s">
        <v>7</v>
      </c>
      <c r="J1099" s="249" t="s">
        <v>61</v>
      </c>
      <c r="K1099" s="250">
        <v>155498</v>
      </c>
      <c r="L1099" s="250">
        <v>0</v>
      </c>
      <c r="M1099" s="251" t="s">
        <v>16</v>
      </c>
      <c r="N1099" s="252">
        <v>0</v>
      </c>
      <c r="O1099" s="185" t="s">
        <v>51</v>
      </c>
    </row>
    <row r="1100" spans="1:15" x14ac:dyDescent="0.25">
      <c r="A1100" s="234" t="s">
        <v>7808</v>
      </c>
      <c r="B1100" s="234" t="s">
        <v>16</v>
      </c>
      <c r="C1100" s="245">
        <v>46148</v>
      </c>
      <c r="D1100" s="234" t="s">
        <v>7577</v>
      </c>
      <c r="E1100" s="246">
        <v>345262.5</v>
      </c>
      <c r="F1100" s="247" t="s">
        <v>7809</v>
      </c>
      <c r="G1100" s="34" t="s">
        <v>7</v>
      </c>
      <c r="H1100" s="234" t="s">
        <v>7810</v>
      </c>
      <c r="I1100" s="248" t="s">
        <v>7</v>
      </c>
      <c r="J1100" s="249" t="s">
        <v>492</v>
      </c>
      <c r="K1100" s="250">
        <v>0</v>
      </c>
      <c r="L1100" s="250">
        <v>0</v>
      </c>
      <c r="M1100" s="251" t="s">
        <v>16</v>
      </c>
      <c r="N1100" s="252">
        <v>0</v>
      </c>
      <c r="O1100" s="185" t="s">
        <v>51</v>
      </c>
    </row>
    <row r="1101" spans="1:15" x14ac:dyDescent="0.25">
      <c r="A1101" s="234" t="s">
        <v>5032</v>
      </c>
      <c r="B1101" s="234" t="s">
        <v>16</v>
      </c>
      <c r="C1101" s="245">
        <v>46148</v>
      </c>
      <c r="D1101" s="234" t="s">
        <v>7360</v>
      </c>
      <c r="E1101" s="246">
        <v>200523</v>
      </c>
      <c r="F1101" s="247" t="s">
        <v>5031</v>
      </c>
      <c r="G1101" s="34" t="s">
        <v>7</v>
      </c>
      <c r="H1101" s="234" t="s">
        <v>5033</v>
      </c>
      <c r="I1101" s="248" t="s">
        <v>7</v>
      </c>
      <c r="J1101" s="249" t="s">
        <v>554</v>
      </c>
      <c r="K1101" s="250">
        <v>200523</v>
      </c>
      <c r="L1101" s="250">
        <v>0</v>
      </c>
      <c r="M1101" s="251" t="s">
        <v>16</v>
      </c>
      <c r="N1101" s="252">
        <v>0</v>
      </c>
      <c r="O1101" s="185" t="s">
        <v>51</v>
      </c>
    </row>
    <row r="1102" spans="1:15" x14ac:dyDescent="0.25">
      <c r="A1102" s="234" t="s">
        <v>5085</v>
      </c>
      <c r="B1102" s="234" t="s">
        <v>16</v>
      </c>
      <c r="C1102" s="245">
        <v>46148</v>
      </c>
      <c r="D1102" s="234" t="s">
        <v>7287</v>
      </c>
      <c r="E1102" s="246">
        <v>42830</v>
      </c>
      <c r="F1102" s="247" t="s">
        <v>5084</v>
      </c>
      <c r="G1102" s="34" t="s">
        <v>7</v>
      </c>
      <c r="H1102" s="234" t="s">
        <v>5086</v>
      </c>
      <c r="I1102" s="248" t="s">
        <v>7</v>
      </c>
      <c r="J1102" s="249" t="s">
        <v>554</v>
      </c>
      <c r="K1102" s="250">
        <v>42830</v>
      </c>
      <c r="L1102" s="250">
        <v>0</v>
      </c>
      <c r="M1102" s="251" t="s">
        <v>16</v>
      </c>
      <c r="N1102" s="252">
        <v>0</v>
      </c>
      <c r="O1102" s="185" t="s">
        <v>51</v>
      </c>
    </row>
    <row r="1103" spans="1:15" x14ac:dyDescent="0.25">
      <c r="A1103" s="234" t="s">
        <v>5035</v>
      </c>
      <c r="B1103" s="234" t="s">
        <v>16</v>
      </c>
      <c r="C1103" s="245">
        <v>46148</v>
      </c>
      <c r="D1103" s="234" t="s">
        <v>7360</v>
      </c>
      <c r="E1103" s="246">
        <v>165885</v>
      </c>
      <c r="F1103" s="247" t="s">
        <v>5034</v>
      </c>
      <c r="G1103" s="34" t="s">
        <v>7</v>
      </c>
      <c r="H1103" s="234" t="s">
        <v>5036</v>
      </c>
      <c r="I1103" s="248" t="s">
        <v>7</v>
      </c>
      <c r="J1103" s="249" t="s">
        <v>62</v>
      </c>
      <c r="K1103" s="250">
        <v>165885</v>
      </c>
      <c r="L1103" s="250">
        <v>0</v>
      </c>
      <c r="M1103" s="251" t="s">
        <v>16</v>
      </c>
      <c r="N1103" s="252">
        <v>0</v>
      </c>
      <c r="O1103" s="185" t="s">
        <v>51</v>
      </c>
    </row>
    <row r="1104" spans="1:15" x14ac:dyDescent="0.25">
      <c r="A1104" s="234" t="s">
        <v>7811</v>
      </c>
      <c r="B1104" s="234" t="s">
        <v>16</v>
      </c>
      <c r="C1104" s="245">
        <v>46148</v>
      </c>
      <c r="D1104" s="234" t="s">
        <v>7287</v>
      </c>
      <c r="E1104" s="246">
        <v>165004</v>
      </c>
      <c r="F1104" s="247" t="s">
        <v>7812</v>
      </c>
      <c r="G1104" s="34" t="s">
        <v>7</v>
      </c>
      <c r="H1104" s="234" t="s">
        <v>7813</v>
      </c>
      <c r="I1104" s="248" t="s">
        <v>7</v>
      </c>
      <c r="J1104" s="249" t="s">
        <v>492</v>
      </c>
      <c r="K1104" s="250">
        <v>0</v>
      </c>
      <c r="L1104" s="250">
        <v>0</v>
      </c>
      <c r="M1104" s="251" t="s">
        <v>16</v>
      </c>
      <c r="N1104" s="252">
        <v>0</v>
      </c>
      <c r="O1104" s="185" t="s">
        <v>51</v>
      </c>
    </row>
    <row r="1105" spans="1:15" x14ac:dyDescent="0.25">
      <c r="A1105" s="234" t="s">
        <v>5028</v>
      </c>
      <c r="B1105" s="234" t="s">
        <v>16</v>
      </c>
      <c r="C1105" s="245">
        <v>46148</v>
      </c>
      <c r="D1105" s="234" t="s">
        <v>7287</v>
      </c>
      <c r="E1105" s="246">
        <v>152776</v>
      </c>
      <c r="F1105" s="247" t="s">
        <v>5027</v>
      </c>
      <c r="G1105" s="34" t="s">
        <v>7</v>
      </c>
      <c r="H1105" s="234" t="s">
        <v>5029</v>
      </c>
      <c r="I1105" s="248" t="s">
        <v>7</v>
      </c>
      <c r="J1105" s="249" t="s">
        <v>554</v>
      </c>
      <c r="K1105" s="250">
        <v>149738.4</v>
      </c>
      <c r="L1105" s="250">
        <v>0</v>
      </c>
      <c r="M1105" s="251" t="s">
        <v>16</v>
      </c>
      <c r="N1105" s="252">
        <v>0</v>
      </c>
      <c r="O1105" s="185" t="s">
        <v>51</v>
      </c>
    </row>
    <row r="1106" spans="1:15" x14ac:dyDescent="0.25">
      <c r="A1106" s="234" t="s">
        <v>7814</v>
      </c>
      <c r="B1106" s="234" t="s">
        <v>16</v>
      </c>
      <c r="C1106" s="245">
        <v>46148</v>
      </c>
      <c r="D1106" s="234" t="s">
        <v>7287</v>
      </c>
      <c r="E1106" s="246">
        <v>257323</v>
      </c>
      <c r="F1106" s="247">
        <v>0</v>
      </c>
      <c r="G1106" s="34" t="s">
        <v>7</v>
      </c>
      <c r="H1106" s="234" t="s">
        <v>7815</v>
      </c>
      <c r="I1106" s="248" t="s">
        <v>7</v>
      </c>
      <c r="J1106" s="249" t="s">
        <v>492</v>
      </c>
      <c r="K1106" s="250">
        <v>0</v>
      </c>
      <c r="L1106" s="250">
        <v>0</v>
      </c>
      <c r="M1106" s="251" t="s">
        <v>16</v>
      </c>
      <c r="N1106" s="252">
        <v>0</v>
      </c>
      <c r="O1106" s="185" t="s">
        <v>51</v>
      </c>
    </row>
    <row r="1107" spans="1:15" x14ac:dyDescent="0.25">
      <c r="A1107" s="234" t="s">
        <v>5005</v>
      </c>
      <c r="B1107" s="234" t="s">
        <v>16</v>
      </c>
      <c r="C1107" s="245">
        <v>46148</v>
      </c>
      <c r="D1107" s="234" t="s">
        <v>7359</v>
      </c>
      <c r="E1107" s="246">
        <v>39000</v>
      </c>
      <c r="F1107" s="247" t="s">
        <v>5014</v>
      </c>
      <c r="G1107" s="34" t="s">
        <v>7</v>
      </c>
      <c r="H1107" s="234" t="s">
        <v>5006</v>
      </c>
      <c r="I1107" s="248" t="s">
        <v>7</v>
      </c>
      <c r="J1107" s="249" t="s">
        <v>554</v>
      </c>
      <c r="K1107" s="250">
        <v>30000</v>
      </c>
      <c r="L1107" s="250">
        <v>0</v>
      </c>
      <c r="M1107" s="251" t="s">
        <v>16</v>
      </c>
      <c r="N1107" s="252">
        <v>0</v>
      </c>
      <c r="O1107" s="185" t="s">
        <v>51</v>
      </c>
    </row>
    <row r="1108" spans="1:15" x14ac:dyDescent="0.25">
      <c r="A1108" s="234" t="s">
        <v>1362</v>
      </c>
      <c r="B1108" s="234" t="s">
        <v>27</v>
      </c>
      <c r="C1108" s="245">
        <v>46148</v>
      </c>
      <c r="D1108" s="234">
        <v>0</v>
      </c>
      <c r="E1108" s="246">
        <v>2000000</v>
      </c>
      <c r="F1108" s="247" t="s">
        <v>1361</v>
      </c>
      <c r="G1108" s="34" t="s">
        <v>7</v>
      </c>
      <c r="H1108" s="234" t="s">
        <v>1363</v>
      </c>
      <c r="I1108" s="248" t="s">
        <v>7</v>
      </c>
      <c r="J1108" s="249" t="s">
        <v>554</v>
      </c>
      <c r="K1108" s="250">
        <v>3800000</v>
      </c>
      <c r="L1108" s="250">
        <v>0</v>
      </c>
      <c r="M1108" s="251" t="s">
        <v>27</v>
      </c>
      <c r="N1108" s="252">
        <v>0</v>
      </c>
      <c r="O1108" s="185" t="s">
        <v>51</v>
      </c>
    </row>
    <row r="1109" spans="1:15" x14ac:dyDescent="0.25">
      <c r="A1109" s="234" t="s">
        <v>7816</v>
      </c>
      <c r="B1109" s="234" t="s">
        <v>33</v>
      </c>
      <c r="C1109" s="245">
        <v>46148</v>
      </c>
      <c r="D1109" s="234">
        <v>0</v>
      </c>
      <c r="E1109" s="246">
        <v>34400</v>
      </c>
      <c r="F1109" s="247" t="s">
        <v>7817</v>
      </c>
      <c r="G1109" s="34" t="s">
        <v>7</v>
      </c>
      <c r="H1109" s="234" t="s">
        <v>7818</v>
      </c>
      <c r="I1109" s="248" t="s">
        <v>7</v>
      </c>
      <c r="J1109" s="249" t="s">
        <v>492</v>
      </c>
      <c r="K1109" s="250">
        <v>0</v>
      </c>
      <c r="L1109" s="250">
        <v>0</v>
      </c>
      <c r="M1109" s="251" t="s">
        <v>33</v>
      </c>
      <c r="N1109" s="252">
        <v>0</v>
      </c>
      <c r="O1109" s="185" t="s">
        <v>51</v>
      </c>
    </row>
    <row r="1110" spans="1:15" x14ac:dyDescent="0.25">
      <c r="A1110" s="234" t="s">
        <v>692</v>
      </c>
      <c r="B1110" s="234" t="s">
        <v>33</v>
      </c>
      <c r="C1110" s="245">
        <v>46148</v>
      </c>
      <c r="D1110" s="234">
        <v>0</v>
      </c>
      <c r="E1110" s="246">
        <v>179200</v>
      </c>
      <c r="F1110" s="247" t="s">
        <v>691</v>
      </c>
      <c r="G1110" s="34" t="s">
        <v>7</v>
      </c>
      <c r="H1110" s="234" t="s">
        <v>694</v>
      </c>
      <c r="I1110" s="248" t="s">
        <v>7</v>
      </c>
      <c r="J1110" s="249" t="s">
        <v>554</v>
      </c>
      <c r="K1110" s="250">
        <v>179200</v>
      </c>
      <c r="L1110" s="250">
        <v>0</v>
      </c>
      <c r="M1110" s="251" t="s">
        <v>33</v>
      </c>
      <c r="N1110" s="252">
        <v>0</v>
      </c>
      <c r="O1110" s="185" t="s">
        <v>51</v>
      </c>
    </row>
    <row r="1111" spans="1:15" x14ac:dyDescent="0.25">
      <c r="A1111" s="234" t="s">
        <v>2243</v>
      </c>
      <c r="B1111" s="234" t="s">
        <v>33</v>
      </c>
      <c r="C1111" s="245">
        <v>46148</v>
      </c>
      <c r="D1111" s="234">
        <v>0</v>
      </c>
      <c r="E1111" s="246">
        <v>201000</v>
      </c>
      <c r="F1111" s="247" t="s">
        <v>2242</v>
      </c>
      <c r="G1111" s="34" t="s">
        <v>7</v>
      </c>
      <c r="H1111" s="234" t="s">
        <v>2244</v>
      </c>
      <c r="I1111" s="248" t="s">
        <v>7</v>
      </c>
      <c r="J1111" s="249" t="s">
        <v>61</v>
      </c>
      <c r="K1111" s="250">
        <v>201500</v>
      </c>
      <c r="L1111" s="250">
        <v>0</v>
      </c>
      <c r="M1111" s="251" t="s">
        <v>33</v>
      </c>
      <c r="N1111" s="252">
        <v>0</v>
      </c>
      <c r="O1111" s="185" t="s">
        <v>51</v>
      </c>
    </row>
    <row r="1112" spans="1:15" x14ac:dyDescent="0.25">
      <c r="A1112" s="234" t="s">
        <v>558</v>
      </c>
      <c r="B1112" s="234" t="s">
        <v>33</v>
      </c>
      <c r="C1112" s="245">
        <v>46148</v>
      </c>
      <c r="D1112" s="234">
        <v>0</v>
      </c>
      <c r="E1112" s="246">
        <v>100000</v>
      </c>
      <c r="F1112" s="247" t="s">
        <v>557</v>
      </c>
      <c r="G1112" s="34" t="s">
        <v>7</v>
      </c>
      <c r="H1112" s="234" t="s">
        <v>559</v>
      </c>
      <c r="I1112" s="248" t="s">
        <v>7</v>
      </c>
      <c r="J1112" s="249" t="s">
        <v>554</v>
      </c>
      <c r="K1112" s="250">
        <v>100000</v>
      </c>
      <c r="L1112" s="250">
        <v>0</v>
      </c>
      <c r="M1112" s="251" t="s">
        <v>33</v>
      </c>
      <c r="N1112" s="252">
        <v>0</v>
      </c>
      <c r="O1112" s="185" t="s">
        <v>51</v>
      </c>
    </row>
    <row r="1113" spans="1:15" x14ac:dyDescent="0.25">
      <c r="A1113" s="234" t="s">
        <v>7693</v>
      </c>
      <c r="B1113" s="234" t="s">
        <v>33</v>
      </c>
      <c r="C1113" s="245">
        <v>46148</v>
      </c>
      <c r="D1113" s="234">
        <v>0</v>
      </c>
      <c r="E1113" s="246">
        <v>800000</v>
      </c>
      <c r="F1113" s="247">
        <v>0</v>
      </c>
      <c r="G1113" s="34" t="s">
        <v>7</v>
      </c>
      <c r="H1113" s="234" t="s">
        <v>7694</v>
      </c>
      <c r="I1113" s="248" t="s">
        <v>7</v>
      </c>
      <c r="J1113" s="249" t="s">
        <v>492</v>
      </c>
      <c r="K1113" s="250">
        <v>0</v>
      </c>
      <c r="L1113" s="250">
        <v>0</v>
      </c>
      <c r="M1113" s="251" t="s">
        <v>33</v>
      </c>
      <c r="N1113" s="252">
        <v>0</v>
      </c>
      <c r="O1113" s="185" t="s">
        <v>51</v>
      </c>
    </row>
    <row r="1114" spans="1:15" x14ac:dyDescent="0.25">
      <c r="A1114" s="234" t="s">
        <v>2167</v>
      </c>
      <c r="B1114" s="234" t="s">
        <v>33</v>
      </c>
      <c r="C1114" s="245">
        <v>46148</v>
      </c>
      <c r="D1114" s="234">
        <v>0</v>
      </c>
      <c r="E1114" s="246">
        <v>75000</v>
      </c>
      <c r="F1114" s="247" t="s">
        <v>2169</v>
      </c>
      <c r="G1114" s="34" t="s">
        <v>7</v>
      </c>
      <c r="H1114" s="234" t="s">
        <v>2168</v>
      </c>
      <c r="I1114" s="248" t="s">
        <v>7</v>
      </c>
      <c r="J1114" s="249" t="s">
        <v>554</v>
      </c>
      <c r="K1114" s="250">
        <v>75000</v>
      </c>
      <c r="L1114" s="250">
        <v>0</v>
      </c>
      <c r="M1114" s="251" t="s">
        <v>33</v>
      </c>
      <c r="N1114" s="252">
        <v>0</v>
      </c>
      <c r="O1114" s="185" t="s">
        <v>51</v>
      </c>
    </row>
    <row r="1115" spans="1:15" x14ac:dyDescent="0.25">
      <c r="A1115" s="234" t="s">
        <v>682</v>
      </c>
      <c r="B1115" s="234" t="s">
        <v>33</v>
      </c>
      <c r="C1115" s="245">
        <v>46148</v>
      </c>
      <c r="D1115" s="234">
        <v>0</v>
      </c>
      <c r="E1115" s="246">
        <v>20000</v>
      </c>
      <c r="F1115" s="247" t="s">
        <v>687</v>
      </c>
      <c r="G1115" s="34" t="s">
        <v>7</v>
      </c>
      <c r="H1115" s="234" t="s">
        <v>684</v>
      </c>
      <c r="I1115" s="248" t="s">
        <v>7</v>
      </c>
      <c r="J1115" s="249" t="s">
        <v>61</v>
      </c>
      <c r="K1115" s="250">
        <v>20000</v>
      </c>
      <c r="L1115" s="250">
        <v>0</v>
      </c>
      <c r="M1115" s="251" t="s">
        <v>33</v>
      </c>
      <c r="N1115" s="252">
        <v>0</v>
      </c>
      <c r="O1115" s="185" t="s">
        <v>51</v>
      </c>
    </row>
    <row r="1116" spans="1:15" x14ac:dyDescent="0.25">
      <c r="A1116" s="234" t="s">
        <v>4310</v>
      </c>
      <c r="B1116" s="234" t="s">
        <v>17</v>
      </c>
      <c r="C1116" s="245">
        <v>46148</v>
      </c>
      <c r="D1116" s="234">
        <v>0</v>
      </c>
      <c r="E1116" s="246">
        <v>112197</v>
      </c>
      <c r="F1116" s="247">
        <v>0</v>
      </c>
      <c r="G1116" s="34" t="s">
        <v>7</v>
      </c>
      <c r="H1116" s="234" t="s">
        <v>4312</v>
      </c>
      <c r="I1116" s="248" t="s">
        <v>7</v>
      </c>
      <c r="J1116" s="249" t="s">
        <v>492</v>
      </c>
      <c r="K1116" s="250">
        <v>0</v>
      </c>
      <c r="L1116" s="250">
        <v>0</v>
      </c>
      <c r="M1116" s="251" t="s">
        <v>17</v>
      </c>
      <c r="N1116" s="252">
        <v>0</v>
      </c>
      <c r="O1116" s="185" t="s">
        <v>51</v>
      </c>
    </row>
    <row r="1117" spans="1:15" x14ac:dyDescent="0.25">
      <c r="A1117" s="234" t="s">
        <v>4675</v>
      </c>
      <c r="B1117" s="234" t="s">
        <v>17</v>
      </c>
      <c r="C1117" s="245">
        <v>46148</v>
      </c>
      <c r="D1117" s="234">
        <v>0</v>
      </c>
      <c r="E1117" s="246">
        <v>268625</v>
      </c>
      <c r="F1117" s="247">
        <v>0</v>
      </c>
      <c r="G1117" s="34" t="s">
        <v>7</v>
      </c>
      <c r="H1117" s="234" t="s">
        <v>4676</v>
      </c>
      <c r="I1117" s="248" t="s">
        <v>7</v>
      </c>
      <c r="J1117" s="249" t="s">
        <v>492</v>
      </c>
      <c r="K1117" s="250">
        <v>0</v>
      </c>
      <c r="L1117" s="250">
        <v>0</v>
      </c>
      <c r="M1117" s="251" t="s">
        <v>17</v>
      </c>
      <c r="N1117" s="252">
        <v>0</v>
      </c>
      <c r="O1117" s="185" t="s">
        <v>51</v>
      </c>
    </row>
    <row r="1118" spans="1:15" x14ac:dyDescent="0.25">
      <c r="A1118" s="234" t="s">
        <v>2936</v>
      </c>
      <c r="B1118" s="234" t="s">
        <v>17</v>
      </c>
      <c r="C1118" s="245">
        <v>46148</v>
      </c>
      <c r="D1118" s="234">
        <v>0</v>
      </c>
      <c r="E1118" s="246">
        <v>53000</v>
      </c>
      <c r="F1118" s="247">
        <v>0</v>
      </c>
      <c r="G1118" s="34" t="s">
        <v>7</v>
      </c>
      <c r="H1118" s="234" t="s">
        <v>2937</v>
      </c>
      <c r="I1118" s="248" t="s">
        <v>7</v>
      </c>
      <c r="J1118" s="249" t="s">
        <v>492</v>
      </c>
      <c r="K1118" s="250">
        <v>0</v>
      </c>
      <c r="L1118" s="250">
        <v>0</v>
      </c>
      <c r="M1118" s="251" t="s">
        <v>17</v>
      </c>
      <c r="N1118" s="252">
        <v>0</v>
      </c>
      <c r="O1118" s="185" t="s">
        <v>51</v>
      </c>
    </row>
    <row r="1119" spans="1:15" x14ac:dyDescent="0.25">
      <c r="A1119" s="234" t="s">
        <v>7697</v>
      </c>
      <c r="B1119" s="234" t="s">
        <v>17</v>
      </c>
      <c r="C1119" s="245">
        <v>46148</v>
      </c>
      <c r="D1119" s="234">
        <v>0</v>
      </c>
      <c r="E1119" s="246">
        <v>976899</v>
      </c>
      <c r="F1119" s="247">
        <v>0</v>
      </c>
      <c r="G1119" s="34" t="s">
        <v>7</v>
      </c>
      <c r="H1119" s="234" t="s">
        <v>7698</v>
      </c>
      <c r="I1119" s="248" t="s">
        <v>7</v>
      </c>
      <c r="J1119" s="249" t="s">
        <v>492</v>
      </c>
      <c r="K1119" s="250">
        <v>0</v>
      </c>
      <c r="L1119" s="250">
        <v>0</v>
      </c>
      <c r="M1119" s="251" t="s">
        <v>17</v>
      </c>
      <c r="N1119" s="252">
        <v>0</v>
      </c>
      <c r="O1119" s="185" t="s">
        <v>51</v>
      </c>
    </row>
    <row r="1120" spans="1:15" x14ac:dyDescent="0.25">
      <c r="A1120" s="234" t="s">
        <v>4010</v>
      </c>
      <c r="B1120" s="234" t="s">
        <v>9</v>
      </c>
      <c r="C1120" s="245">
        <v>46148</v>
      </c>
      <c r="D1120" s="234" t="s">
        <v>7289</v>
      </c>
      <c r="E1120" s="246">
        <v>153850.22</v>
      </c>
      <c r="F1120" s="247" t="s">
        <v>7699</v>
      </c>
      <c r="G1120" s="34" t="s">
        <v>7</v>
      </c>
      <c r="H1120" s="234" t="s">
        <v>4011</v>
      </c>
      <c r="I1120" s="248" t="s">
        <v>7</v>
      </c>
      <c r="J1120" s="249" t="s">
        <v>492</v>
      </c>
      <c r="K1120" s="250">
        <v>0</v>
      </c>
      <c r="L1120" s="250">
        <v>0</v>
      </c>
      <c r="M1120" s="251" t="s">
        <v>9</v>
      </c>
      <c r="N1120" s="252">
        <v>0</v>
      </c>
      <c r="O1120" s="185" t="s">
        <v>74</v>
      </c>
    </row>
    <row r="1121" spans="1:15" x14ac:dyDescent="0.25">
      <c r="A1121" s="234" t="s">
        <v>3910</v>
      </c>
      <c r="B1121" s="234" t="s">
        <v>9</v>
      </c>
      <c r="C1121" s="245">
        <v>46148</v>
      </c>
      <c r="D1121" s="234" t="s">
        <v>7287</v>
      </c>
      <c r="E1121" s="246">
        <v>153159.38</v>
      </c>
      <c r="F1121" s="247" t="s">
        <v>3909</v>
      </c>
      <c r="G1121" s="34" t="s">
        <v>7</v>
      </c>
      <c r="H1121" s="234" t="s">
        <v>3911</v>
      </c>
      <c r="I1121" s="248" t="s">
        <v>7</v>
      </c>
      <c r="J1121" s="249" t="s">
        <v>582</v>
      </c>
      <c r="K1121" s="250">
        <v>42209</v>
      </c>
      <c r="L1121" s="250">
        <v>0</v>
      </c>
      <c r="M1121" s="251" t="s">
        <v>9</v>
      </c>
      <c r="N1121" s="252">
        <v>0</v>
      </c>
      <c r="O1121" s="185" t="s">
        <v>74</v>
      </c>
    </row>
    <row r="1122" spans="1:15" x14ac:dyDescent="0.25">
      <c r="A1122" s="234" t="s">
        <v>3913</v>
      </c>
      <c r="B1122" s="234" t="s">
        <v>9</v>
      </c>
      <c r="C1122" s="245">
        <v>46148</v>
      </c>
      <c r="D1122" s="234" t="s">
        <v>7287</v>
      </c>
      <c r="E1122" s="246">
        <v>118169.4</v>
      </c>
      <c r="F1122" s="247" t="s">
        <v>3912</v>
      </c>
      <c r="G1122" s="34" t="s">
        <v>7</v>
      </c>
      <c r="H1122" s="234" t="s">
        <v>3914</v>
      </c>
      <c r="I1122" s="248" t="s">
        <v>7</v>
      </c>
      <c r="J1122" s="249" t="s">
        <v>554</v>
      </c>
      <c r="K1122" s="250">
        <v>118390</v>
      </c>
      <c r="L1122" s="250">
        <v>0</v>
      </c>
      <c r="M1122" s="251" t="s">
        <v>9</v>
      </c>
      <c r="N1122" s="252">
        <v>0</v>
      </c>
      <c r="O1122" s="185" t="s">
        <v>74</v>
      </c>
    </row>
    <row r="1123" spans="1:15" x14ac:dyDescent="0.25">
      <c r="A1123" s="234" t="s">
        <v>5210</v>
      </c>
      <c r="B1123" s="234" t="s">
        <v>9</v>
      </c>
      <c r="C1123" s="245">
        <v>46148</v>
      </c>
      <c r="D1123" s="234" t="s">
        <v>7289</v>
      </c>
      <c r="E1123" s="246">
        <v>140470</v>
      </c>
      <c r="F1123" s="247" t="s">
        <v>5209</v>
      </c>
      <c r="G1123" s="34" t="s">
        <v>7</v>
      </c>
      <c r="H1123" s="234" t="s">
        <v>5211</v>
      </c>
      <c r="I1123" s="248" t="s">
        <v>7</v>
      </c>
      <c r="J1123" s="249" t="s">
        <v>582</v>
      </c>
      <c r="K1123" s="250">
        <v>140470</v>
      </c>
      <c r="L1123" s="250">
        <v>0</v>
      </c>
      <c r="M1123" s="251" t="s">
        <v>9</v>
      </c>
      <c r="N1123" s="252">
        <v>0</v>
      </c>
      <c r="O1123" s="185" t="s">
        <v>74</v>
      </c>
    </row>
    <row r="1124" spans="1:15" x14ac:dyDescent="0.25">
      <c r="A1124" s="234" t="s">
        <v>5251</v>
      </c>
      <c r="B1124" s="234" t="s">
        <v>9</v>
      </c>
      <c r="C1124" s="245">
        <v>46148</v>
      </c>
      <c r="D1124" s="234" t="s">
        <v>7287</v>
      </c>
      <c r="E1124" s="246">
        <v>331116.21000000002</v>
      </c>
      <c r="F1124" s="247" t="s">
        <v>5250</v>
      </c>
      <c r="G1124" s="34" t="s">
        <v>7</v>
      </c>
      <c r="H1124" s="234" t="s">
        <v>5252</v>
      </c>
      <c r="I1124" s="248" t="s">
        <v>7</v>
      </c>
      <c r="J1124" s="249" t="s">
        <v>554</v>
      </c>
      <c r="K1124" s="250">
        <v>331924.25</v>
      </c>
      <c r="L1124" s="250">
        <v>0</v>
      </c>
      <c r="M1124" s="251" t="s">
        <v>9</v>
      </c>
      <c r="N1124" s="252">
        <v>0</v>
      </c>
      <c r="O1124" s="185" t="s">
        <v>74</v>
      </c>
    </row>
    <row r="1125" spans="1:15" x14ac:dyDescent="0.25">
      <c r="A1125" s="234" t="s">
        <v>5270</v>
      </c>
      <c r="B1125" s="234" t="s">
        <v>9</v>
      </c>
      <c r="C1125" s="245">
        <v>46148</v>
      </c>
      <c r="D1125" s="234" t="s">
        <v>7289</v>
      </c>
      <c r="E1125" s="246">
        <v>150371.47</v>
      </c>
      <c r="F1125" s="247" t="s">
        <v>5269</v>
      </c>
      <c r="G1125" s="34" t="s">
        <v>7</v>
      </c>
      <c r="H1125" s="234" t="s">
        <v>5271</v>
      </c>
      <c r="I1125" s="248" t="s">
        <v>7</v>
      </c>
      <c r="J1125" s="249" t="s">
        <v>554</v>
      </c>
      <c r="K1125" s="250">
        <v>150371</v>
      </c>
      <c r="L1125" s="250">
        <v>0</v>
      </c>
      <c r="M1125" s="251" t="s">
        <v>9</v>
      </c>
      <c r="N1125" s="252">
        <v>0</v>
      </c>
      <c r="O1125" s="185" t="s">
        <v>74</v>
      </c>
    </row>
    <row r="1126" spans="1:15" x14ac:dyDescent="0.25">
      <c r="A1126" s="234" t="s">
        <v>5282</v>
      </c>
      <c r="B1126" s="234" t="s">
        <v>9</v>
      </c>
      <c r="C1126" s="245">
        <v>46148</v>
      </c>
      <c r="D1126" s="234" t="s">
        <v>7385</v>
      </c>
      <c r="E1126" s="246">
        <v>40000</v>
      </c>
      <c r="F1126" s="247" t="s">
        <v>5281</v>
      </c>
      <c r="G1126" s="34" t="s">
        <v>7</v>
      </c>
      <c r="H1126" s="234" t="s">
        <v>5283</v>
      </c>
      <c r="I1126" s="248" t="s">
        <v>7</v>
      </c>
      <c r="J1126" s="249" t="s">
        <v>554</v>
      </c>
      <c r="K1126" s="250">
        <v>40000</v>
      </c>
      <c r="L1126" s="250">
        <v>0</v>
      </c>
      <c r="M1126" s="251" t="s">
        <v>9</v>
      </c>
      <c r="N1126" s="252">
        <v>0</v>
      </c>
      <c r="O1126" s="185" t="s">
        <v>74</v>
      </c>
    </row>
    <row r="1127" spans="1:15" x14ac:dyDescent="0.25">
      <c r="A1127" s="234" t="s">
        <v>7819</v>
      </c>
      <c r="B1127" s="234" t="s">
        <v>9</v>
      </c>
      <c r="C1127" s="245">
        <v>46148</v>
      </c>
      <c r="D1127" s="234">
        <v>0</v>
      </c>
      <c r="E1127" s="246">
        <v>35390</v>
      </c>
      <c r="F1127" s="247">
        <v>0</v>
      </c>
      <c r="G1127" s="34" t="s">
        <v>7</v>
      </c>
      <c r="H1127" s="234" t="s">
        <v>7820</v>
      </c>
      <c r="I1127" s="248" t="s">
        <v>7</v>
      </c>
      <c r="J1127" s="249" t="s">
        <v>492</v>
      </c>
      <c r="K1127" s="250">
        <v>0</v>
      </c>
      <c r="L1127" s="250">
        <v>0</v>
      </c>
      <c r="M1127" s="251" t="s">
        <v>9</v>
      </c>
      <c r="N1127" s="252">
        <v>0</v>
      </c>
      <c r="O1127" s="185" t="s">
        <v>74</v>
      </c>
    </row>
    <row r="1128" spans="1:15" x14ac:dyDescent="0.25">
      <c r="A1128" s="234" t="s">
        <v>5260</v>
      </c>
      <c r="B1128" s="234" t="s">
        <v>9</v>
      </c>
      <c r="C1128" s="245">
        <v>46148</v>
      </c>
      <c r="D1128" s="234">
        <v>0</v>
      </c>
      <c r="E1128" s="246">
        <v>81400</v>
      </c>
      <c r="F1128" s="247">
        <v>0</v>
      </c>
      <c r="G1128" s="34" t="s">
        <v>7</v>
      </c>
      <c r="H1128" s="234" t="s">
        <v>5261</v>
      </c>
      <c r="I1128" s="248" t="s">
        <v>7</v>
      </c>
      <c r="J1128" s="249" t="s">
        <v>492</v>
      </c>
      <c r="K1128" s="250">
        <v>0</v>
      </c>
      <c r="L1128" s="250">
        <v>0</v>
      </c>
      <c r="M1128" s="251" t="s">
        <v>9</v>
      </c>
      <c r="N1128" s="252">
        <v>0</v>
      </c>
      <c r="O1128" s="185" t="s">
        <v>74</v>
      </c>
    </row>
    <row r="1129" spans="1:15" x14ac:dyDescent="0.25">
      <c r="A1129" s="234" t="s">
        <v>4007</v>
      </c>
      <c r="B1129" s="234" t="s">
        <v>9</v>
      </c>
      <c r="C1129" s="245">
        <v>46148</v>
      </c>
      <c r="D1129" s="234" t="s">
        <v>7287</v>
      </c>
      <c r="E1129" s="246">
        <v>122683.52</v>
      </c>
      <c r="F1129" s="247" t="s">
        <v>4006</v>
      </c>
      <c r="G1129" s="34" t="s">
        <v>7</v>
      </c>
      <c r="H1129" s="234" t="s">
        <v>4008</v>
      </c>
      <c r="I1129" s="248" t="s">
        <v>7</v>
      </c>
      <c r="J1129" s="249" t="s">
        <v>582</v>
      </c>
      <c r="K1129" s="250">
        <v>122714</v>
      </c>
      <c r="L1129" s="250">
        <v>0</v>
      </c>
      <c r="M1129" s="251" t="s">
        <v>9</v>
      </c>
      <c r="N1129" s="252">
        <v>0</v>
      </c>
      <c r="O1129" s="185" t="s">
        <v>74</v>
      </c>
    </row>
    <row r="1130" spans="1:15" x14ac:dyDescent="0.25">
      <c r="A1130" s="234" t="s">
        <v>3895</v>
      </c>
      <c r="B1130" s="234" t="s">
        <v>9</v>
      </c>
      <c r="C1130" s="245">
        <v>46148</v>
      </c>
      <c r="D1130" s="234" t="s">
        <v>7385</v>
      </c>
      <c r="E1130" s="246">
        <v>12089</v>
      </c>
      <c r="F1130" s="247" t="s">
        <v>3894</v>
      </c>
      <c r="G1130" s="34" t="s">
        <v>7</v>
      </c>
      <c r="H1130" s="234" t="s">
        <v>3896</v>
      </c>
      <c r="I1130" s="248" t="s">
        <v>7</v>
      </c>
      <c r="J1130" s="249" t="s">
        <v>554</v>
      </c>
      <c r="K1130" s="250">
        <v>12089</v>
      </c>
      <c r="L1130" s="250">
        <v>0</v>
      </c>
      <c r="M1130" s="251" t="s">
        <v>9</v>
      </c>
      <c r="N1130" s="252">
        <v>0</v>
      </c>
      <c r="O1130" s="185" t="s">
        <v>74</v>
      </c>
    </row>
    <row r="1131" spans="1:15" x14ac:dyDescent="0.25">
      <c r="A1131" s="234" t="s">
        <v>3961</v>
      </c>
      <c r="B1131" s="234" t="s">
        <v>9</v>
      </c>
      <c r="C1131" s="245">
        <v>46148</v>
      </c>
      <c r="D1131" s="234" t="s">
        <v>7385</v>
      </c>
      <c r="E1131" s="246">
        <v>44500</v>
      </c>
      <c r="F1131" s="247" t="s">
        <v>3960</v>
      </c>
      <c r="G1131" s="34" t="s">
        <v>7</v>
      </c>
      <c r="H1131" s="234" t="s">
        <v>3962</v>
      </c>
      <c r="I1131" s="248" t="s">
        <v>7</v>
      </c>
      <c r="J1131" s="249" t="s">
        <v>554</v>
      </c>
      <c r="K1131" s="250">
        <v>44500</v>
      </c>
      <c r="L1131" s="250">
        <v>0</v>
      </c>
      <c r="M1131" s="251" t="s">
        <v>9</v>
      </c>
      <c r="N1131" s="252">
        <v>0</v>
      </c>
      <c r="O1131" s="185" t="s">
        <v>74</v>
      </c>
    </row>
    <row r="1132" spans="1:15" x14ac:dyDescent="0.25">
      <c r="A1132" s="234" t="s">
        <v>3901</v>
      </c>
      <c r="B1132" s="234" t="s">
        <v>9</v>
      </c>
      <c r="C1132" s="245">
        <v>46148</v>
      </c>
      <c r="D1132" s="234" t="s">
        <v>7394</v>
      </c>
      <c r="E1132" s="246">
        <v>154442</v>
      </c>
      <c r="F1132" s="247" t="s">
        <v>3900</v>
      </c>
      <c r="G1132" s="34" t="s">
        <v>7</v>
      </c>
      <c r="H1132" s="234" t="s">
        <v>3902</v>
      </c>
      <c r="I1132" s="248" t="s">
        <v>7</v>
      </c>
      <c r="J1132" s="249" t="s">
        <v>554</v>
      </c>
      <c r="K1132" s="250">
        <v>154442</v>
      </c>
      <c r="L1132" s="250">
        <v>0</v>
      </c>
      <c r="M1132" s="251" t="s">
        <v>9</v>
      </c>
      <c r="N1132" s="252">
        <v>0</v>
      </c>
      <c r="O1132" s="185" t="s">
        <v>74</v>
      </c>
    </row>
    <row r="1133" spans="1:15" x14ac:dyDescent="0.25">
      <c r="A1133" s="234" t="s">
        <v>7821</v>
      </c>
      <c r="B1133" s="234" t="s">
        <v>9</v>
      </c>
      <c r="C1133" s="245">
        <v>46148</v>
      </c>
      <c r="D1133" s="234" t="s">
        <v>7287</v>
      </c>
      <c r="E1133" s="246">
        <v>161952</v>
      </c>
      <c r="F1133" s="247">
        <v>0</v>
      </c>
      <c r="G1133" s="34" t="s">
        <v>7</v>
      </c>
      <c r="H1133" s="234" t="s">
        <v>7822</v>
      </c>
      <c r="I1133" s="248" t="s">
        <v>7</v>
      </c>
      <c r="J1133" s="249" t="s">
        <v>492</v>
      </c>
      <c r="K1133" s="250">
        <v>0</v>
      </c>
      <c r="L1133" s="250">
        <v>0</v>
      </c>
      <c r="M1133" s="251" t="s">
        <v>9</v>
      </c>
      <c r="N1133" s="252">
        <v>0</v>
      </c>
      <c r="O1133" s="185" t="s">
        <v>74</v>
      </c>
    </row>
    <row r="1134" spans="1:15" x14ac:dyDescent="0.25">
      <c r="A1134" s="234" t="s">
        <v>3882</v>
      </c>
      <c r="B1134" s="234" t="s">
        <v>9</v>
      </c>
      <c r="C1134" s="245">
        <v>46148</v>
      </c>
      <c r="D1134" s="234" t="s">
        <v>7385</v>
      </c>
      <c r="E1134" s="246">
        <v>50000</v>
      </c>
      <c r="F1134" s="247" t="s">
        <v>3885</v>
      </c>
      <c r="G1134" s="34" t="s">
        <v>7</v>
      </c>
      <c r="H1134" s="234" t="s">
        <v>3883</v>
      </c>
      <c r="I1134" s="248" t="s">
        <v>7</v>
      </c>
      <c r="J1134" s="249" t="s">
        <v>554</v>
      </c>
      <c r="K1134" s="250">
        <v>50000</v>
      </c>
      <c r="L1134" s="250">
        <v>0</v>
      </c>
      <c r="M1134" s="251" t="s">
        <v>9</v>
      </c>
      <c r="N1134" s="252">
        <v>0</v>
      </c>
      <c r="O1134" s="185" t="s">
        <v>74</v>
      </c>
    </row>
    <row r="1135" spans="1:15" x14ac:dyDescent="0.25">
      <c r="A1135" s="234" t="s">
        <v>7823</v>
      </c>
      <c r="B1135" s="234" t="s">
        <v>9</v>
      </c>
      <c r="C1135" s="245">
        <v>46148</v>
      </c>
      <c r="D1135" s="234" t="s">
        <v>7287</v>
      </c>
      <c r="E1135" s="246">
        <v>155361.35</v>
      </c>
      <c r="F1135" s="247">
        <v>0</v>
      </c>
      <c r="G1135" s="34" t="s">
        <v>7</v>
      </c>
      <c r="H1135" s="234" t="s">
        <v>7824</v>
      </c>
      <c r="I1135" s="248" t="s">
        <v>7</v>
      </c>
      <c r="J1135" s="249" t="s">
        <v>492</v>
      </c>
      <c r="K1135" s="250">
        <v>0</v>
      </c>
      <c r="L1135" s="250">
        <v>0</v>
      </c>
      <c r="M1135" s="251" t="s">
        <v>9</v>
      </c>
      <c r="N1135" s="252">
        <v>0</v>
      </c>
      <c r="O1135" s="185" t="s">
        <v>74</v>
      </c>
    </row>
    <row r="1136" spans="1:15" x14ac:dyDescent="0.25">
      <c r="A1136" s="234" t="s">
        <v>7825</v>
      </c>
      <c r="B1136" s="234" t="s">
        <v>9</v>
      </c>
      <c r="C1136" s="245">
        <v>46148</v>
      </c>
      <c r="D1136" s="234" t="s">
        <v>7287</v>
      </c>
      <c r="E1136" s="246">
        <v>270619.57</v>
      </c>
      <c r="F1136" s="247">
        <v>0</v>
      </c>
      <c r="G1136" s="34" t="s">
        <v>7</v>
      </c>
      <c r="H1136" s="234" t="s">
        <v>7826</v>
      </c>
      <c r="I1136" s="248" t="s">
        <v>7</v>
      </c>
      <c r="J1136" s="249" t="s">
        <v>492</v>
      </c>
      <c r="K1136" s="250">
        <v>0</v>
      </c>
      <c r="L1136" s="250">
        <v>0</v>
      </c>
      <c r="M1136" s="251" t="s">
        <v>9</v>
      </c>
      <c r="N1136" s="252">
        <v>0</v>
      </c>
      <c r="O1136" s="185" t="s">
        <v>74</v>
      </c>
    </row>
    <row r="1137" spans="1:15" x14ac:dyDescent="0.25">
      <c r="A1137" s="234" t="s">
        <v>7827</v>
      </c>
      <c r="B1137" s="234" t="s">
        <v>9</v>
      </c>
      <c r="C1137" s="245">
        <v>46148</v>
      </c>
      <c r="D1137" s="234" t="s">
        <v>7287</v>
      </c>
      <c r="E1137" s="246">
        <v>266920.95</v>
      </c>
      <c r="F1137" s="247">
        <v>0</v>
      </c>
      <c r="G1137" s="34" t="s">
        <v>7</v>
      </c>
      <c r="H1137" s="234" t="s">
        <v>7828</v>
      </c>
      <c r="I1137" s="248" t="s">
        <v>7</v>
      </c>
      <c r="J1137" s="249" t="s">
        <v>492</v>
      </c>
      <c r="K1137" s="250">
        <v>0</v>
      </c>
      <c r="L1137" s="250">
        <v>0</v>
      </c>
      <c r="M1137" s="251" t="s">
        <v>9</v>
      </c>
      <c r="N1137" s="252">
        <v>0</v>
      </c>
      <c r="O1137" s="185" t="s">
        <v>74</v>
      </c>
    </row>
    <row r="1138" spans="1:15" x14ac:dyDescent="0.25">
      <c r="A1138" s="234" t="s">
        <v>5239</v>
      </c>
      <c r="B1138" s="234" t="s">
        <v>9</v>
      </c>
      <c r="C1138" s="245">
        <v>46148</v>
      </c>
      <c r="D1138" s="234" t="s">
        <v>7385</v>
      </c>
      <c r="E1138" s="246">
        <v>47000</v>
      </c>
      <c r="F1138" s="247" t="s">
        <v>5238</v>
      </c>
      <c r="G1138" s="34" t="s">
        <v>7</v>
      </c>
      <c r="H1138" s="234" t="s">
        <v>5240</v>
      </c>
      <c r="I1138" s="248" t="s">
        <v>7</v>
      </c>
      <c r="J1138" s="249" t="s">
        <v>554</v>
      </c>
      <c r="K1138" s="250">
        <v>20000</v>
      </c>
      <c r="L1138" s="250">
        <v>0</v>
      </c>
      <c r="M1138" s="251" t="s">
        <v>9</v>
      </c>
      <c r="N1138" s="252">
        <v>0</v>
      </c>
      <c r="O1138" s="185" t="s">
        <v>74</v>
      </c>
    </row>
    <row r="1139" spans="1:15" x14ac:dyDescent="0.25">
      <c r="A1139" s="234" t="s">
        <v>5239</v>
      </c>
      <c r="B1139" s="234" t="s">
        <v>9</v>
      </c>
      <c r="C1139" s="245">
        <v>46148</v>
      </c>
      <c r="D1139" s="234" t="s">
        <v>7385</v>
      </c>
      <c r="E1139" s="246">
        <v>20000</v>
      </c>
      <c r="F1139" s="247" t="s">
        <v>5242</v>
      </c>
      <c r="G1139" s="34" t="s">
        <v>7</v>
      </c>
      <c r="H1139" s="234" t="s">
        <v>5240</v>
      </c>
      <c r="I1139" s="248" t="s">
        <v>7</v>
      </c>
      <c r="J1139" s="249" t="s">
        <v>554</v>
      </c>
      <c r="K1139" s="250">
        <v>47000</v>
      </c>
      <c r="L1139" s="250">
        <v>0</v>
      </c>
      <c r="M1139" s="251" t="s">
        <v>9</v>
      </c>
      <c r="N1139" s="252">
        <v>0</v>
      </c>
      <c r="O1139" s="185" t="s">
        <v>74</v>
      </c>
    </row>
    <row r="1140" spans="1:15" x14ac:dyDescent="0.25">
      <c r="A1140" s="234" t="s">
        <v>5330</v>
      </c>
      <c r="B1140" s="234" t="s">
        <v>8</v>
      </c>
      <c r="C1140" s="245">
        <v>46148</v>
      </c>
      <c r="D1140" s="234" t="s">
        <v>7287</v>
      </c>
      <c r="E1140" s="246">
        <v>43000</v>
      </c>
      <c r="F1140" s="247" t="s">
        <v>5329</v>
      </c>
      <c r="G1140" s="34" t="s">
        <v>7</v>
      </c>
      <c r="H1140" s="234" t="s">
        <v>5331</v>
      </c>
      <c r="I1140" s="248" t="s">
        <v>7</v>
      </c>
      <c r="J1140" s="249" t="s">
        <v>554</v>
      </c>
      <c r="K1140" s="250">
        <v>43000</v>
      </c>
      <c r="L1140" s="250">
        <v>0</v>
      </c>
      <c r="M1140" s="251" t="s">
        <v>8</v>
      </c>
      <c r="N1140" s="252">
        <v>0</v>
      </c>
      <c r="O1140" s="185" t="s">
        <v>74</v>
      </c>
    </row>
    <row r="1141" spans="1:15" x14ac:dyDescent="0.25">
      <c r="A1141" s="234" t="s">
        <v>3572</v>
      </c>
      <c r="B1141" s="234" t="s">
        <v>8</v>
      </c>
      <c r="C1141" s="245">
        <v>46148</v>
      </c>
      <c r="D1141" s="234" t="s">
        <v>7287</v>
      </c>
      <c r="E1141" s="246">
        <v>40000</v>
      </c>
      <c r="F1141" s="247" t="s">
        <v>3574</v>
      </c>
      <c r="G1141" s="34" t="s">
        <v>7</v>
      </c>
      <c r="H1141" s="234" t="s">
        <v>3573</v>
      </c>
      <c r="I1141" s="248" t="s">
        <v>7</v>
      </c>
      <c r="J1141" s="249" t="s">
        <v>554</v>
      </c>
      <c r="K1141" s="250">
        <v>40000</v>
      </c>
      <c r="L1141" s="250">
        <v>0</v>
      </c>
      <c r="M1141" s="251" t="s">
        <v>8</v>
      </c>
      <c r="N1141" s="252">
        <v>0</v>
      </c>
      <c r="O1141" s="185" t="s">
        <v>74</v>
      </c>
    </row>
    <row r="1142" spans="1:15" x14ac:dyDescent="0.25">
      <c r="A1142" s="234" t="s">
        <v>5425</v>
      </c>
      <c r="B1142" s="234" t="s">
        <v>8</v>
      </c>
      <c r="C1142" s="245">
        <v>46148</v>
      </c>
      <c r="D1142" s="234" t="s">
        <v>7287</v>
      </c>
      <c r="E1142" s="246">
        <v>50000</v>
      </c>
      <c r="F1142" s="247">
        <v>0</v>
      </c>
      <c r="G1142" s="34" t="s">
        <v>7</v>
      </c>
      <c r="H1142" s="234" t="s">
        <v>5427</v>
      </c>
      <c r="I1142" s="248" t="s">
        <v>7</v>
      </c>
      <c r="J1142" s="249" t="s">
        <v>492</v>
      </c>
      <c r="K1142" s="250">
        <v>0</v>
      </c>
      <c r="L1142" s="250">
        <v>0</v>
      </c>
      <c r="M1142" s="251" t="s">
        <v>8</v>
      </c>
      <c r="N1142" s="252">
        <v>0</v>
      </c>
      <c r="O1142" s="185" t="s">
        <v>74</v>
      </c>
    </row>
    <row r="1143" spans="1:15" x14ac:dyDescent="0.25">
      <c r="A1143" s="234" t="s">
        <v>3358</v>
      </c>
      <c r="B1143" s="234" t="s">
        <v>8</v>
      </c>
      <c r="C1143" s="245">
        <v>46148</v>
      </c>
      <c r="D1143" s="234" t="s">
        <v>7289</v>
      </c>
      <c r="E1143" s="246">
        <v>29486</v>
      </c>
      <c r="F1143" s="247" t="s">
        <v>3368</v>
      </c>
      <c r="G1143" s="34" t="s">
        <v>7</v>
      </c>
      <c r="H1143" s="234" t="s">
        <v>3360</v>
      </c>
      <c r="I1143" s="248" t="s">
        <v>7</v>
      </c>
      <c r="J1143" s="249" t="s">
        <v>554</v>
      </c>
      <c r="K1143" s="250">
        <v>30580</v>
      </c>
      <c r="L1143" s="250">
        <v>0</v>
      </c>
      <c r="M1143" s="251" t="s">
        <v>8</v>
      </c>
      <c r="N1143" s="252">
        <v>0</v>
      </c>
      <c r="O1143" s="185" t="s">
        <v>74</v>
      </c>
    </row>
    <row r="1144" spans="1:15" x14ac:dyDescent="0.25">
      <c r="A1144" s="234" t="s">
        <v>5391</v>
      </c>
      <c r="B1144" s="234" t="s">
        <v>8</v>
      </c>
      <c r="C1144" s="245">
        <v>46148</v>
      </c>
      <c r="D1144" s="234" t="s">
        <v>7399</v>
      </c>
      <c r="E1144" s="246">
        <v>20000</v>
      </c>
      <c r="F1144" s="247" t="s">
        <v>5395</v>
      </c>
      <c r="G1144" s="34" t="s">
        <v>7</v>
      </c>
      <c r="H1144" s="234" t="s">
        <v>5392</v>
      </c>
      <c r="I1144" s="248" t="s">
        <v>7</v>
      </c>
      <c r="J1144" s="249" t="s">
        <v>554</v>
      </c>
      <c r="K1144" s="250">
        <v>20000</v>
      </c>
      <c r="L1144" s="250">
        <v>0</v>
      </c>
      <c r="M1144" s="251" t="s">
        <v>8</v>
      </c>
      <c r="N1144" s="252">
        <v>0</v>
      </c>
      <c r="O1144" s="185" t="s">
        <v>74</v>
      </c>
    </row>
    <row r="1145" spans="1:15" x14ac:dyDescent="0.25">
      <c r="A1145" s="234" t="s">
        <v>3566</v>
      </c>
      <c r="B1145" s="234" t="s">
        <v>8</v>
      </c>
      <c r="C1145" s="245">
        <v>46148</v>
      </c>
      <c r="D1145" s="234" t="s">
        <v>7289</v>
      </c>
      <c r="E1145" s="246">
        <v>144368</v>
      </c>
      <c r="F1145" s="247" t="s">
        <v>3565</v>
      </c>
      <c r="G1145" s="34" t="s">
        <v>7</v>
      </c>
      <c r="H1145" s="234" t="s">
        <v>3567</v>
      </c>
      <c r="I1145" s="248" t="s">
        <v>7</v>
      </c>
      <c r="J1145" s="249" t="s">
        <v>61</v>
      </c>
      <c r="K1145" s="250">
        <v>146506</v>
      </c>
      <c r="L1145" s="250">
        <v>0</v>
      </c>
      <c r="M1145" s="251" t="s">
        <v>8</v>
      </c>
      <c r="N1145" s="252">
        <v>0</v>
      </c>
      <c r="O1145" s="185" t="s">
        <v>74</v>
      </c>
    </row>
    <row r="1146" spans="1:15" x14ac:dyDescent="0.25">
      <c r="A1146" s="234" t="s">
        <v>4492</v>
      </c>
      <c r="B1146" s="234" t="s">
        <v>8</v>
      </c>
      <c r="C1146" s="245">
        <v>46148</v>
      </c>
      <c r="D1146" s="234" t="s">
        <v>7289</v>
      </c>
      <c r="E1146" s="246">
        <v>118853</v>
      </c>
      <c r="F1146" s="247" t="s">
        <v>4491</v>
      </c>
      <c r="G1146" s="34" t="s">
        <v>7</v>
      </c>
      <c r="H1146" s="234" t="s">
        <v>4494</v>
      </c>
      <c r="I1146" s="248" t="s">
        <v>7</v>
      </c>
      <c r="J1146" s="249" t="s">
        <v>554</v>
      </c>
      <c r="K1146" s="250">
        <v>118853</v>
      </c>
      <c r="L1146" s="250">
        <v>0</v>
      </c>
      <c r="M1146" s="251" t="s">
        <v>8</v>
      </c>
      <c r="N1146" s="252">
        <v>0</v>
      </c>
      <c r="O1146" s="185" t="s">
        <v>74</v>
      </c>
    </row>
    <row r="1147" spans="1:15" x14ac:dyDescent="0.25">
      <c r="A1147" s="234" t="s">
        <v>5400</v>
      </c>
      <c r="B1147" s="234" t="s">
        <v>8</v>
      </c>
      <c r="C1147" s="245">
        <v>46148</v>
      </c>
      <c r="D1147" s="234" t="s">
        <v>7287</v>
      </c>
      <c r="E1147" s="246">
        <v>175473</v>
      </c>
      <c r="F1147" s="247" t="s">
        <v>5399</v>
      </c>
      <c r="G1147" s="34" t="s">
        <v>7</v>
      </c>
      <c r="H1147" s="234" t="s">
        <v>5401</v>
      </c>
      <c r="I1147" s="248" t="s">
        <v>7</v>
      </c>
      <c r="J1147" s="249" t="s">
        <v>554</v>
      </c>
      <c r="K1147" s="250">
        <v>178990</v>
      </c>
      <c r="L1147" s="250">
        <v>0</v>
      </c>
      <c r="M1147" s="251" t="s">
        <v>8</v>
      </c>
      <c r="N1147" s="252">
        <v>0</v>
      </c>
      <c r="O1147" s="185" t="s">
        <v>74</v>
      </c>
    </row>
    <row r="1148" spans="1:15" x14ac:dyDescent="0.25">
      <c r="A1148" s="234" t="s">
        <v>3592</v>
      </c>
      <c r="B1148" s="234" t="s">
        <v>8</v>
      </c>
      <c r="C1148" s="245">
        <v>46148</v>
      </c>
      <c r="D1148" s="234" t="s">
        <v>7287</v>
      </c>
      <c r="E1148" s="246">
        <v>325110</v>
      </c>
      <c r="F1148" s="247" t="s">
        <v>3591</v>
      </c>
      <c r="G1148" s="34" t="s">
        <v>7</v>
      </c>
      <c r="H1148" s="234" t="s">
        <v>3593</v>
      </c>
      <c r="I1148" s="248" t="s">
        <v>7</v>
      </c>
      <c r="J1148" s="249" t="s">
        <v>582</v>
      </c>
      <c r="K1148" s="250">
        <v>89900</v>
      </c>
      <c r="L1148" s="250">
        <v>0</v>
      </c>
      <c r="M1148" s="251" t="s">
        <v>8</v>
      </c>
      <c r="N1148" s="252">
        <v>0</v>
      </c>
      <c r="O1148" s="185" t="s">
        <v>74</v>
      </c>
    </row>
    <row r="1149" spans="1:15" x14ac:dyDescent="0.25">
      <c r="A1149" s="234" t="s">
        <v>4465</v>
      </c>
      <c r="B1149" s="234" t="s">
        <v>8</v>
      </c>
      <c r="C1149" s="245">
        <v>46148</v>
      </c>
      <c r="D1149" s="234" t="s">
        <v>7289</v>
      </c>
      <c r="E1149" s="246">
        <v>179703</v>
      </c>
      <c r="F1149" s="247" t="s">
        <v>4464</v>
      </c>
      <c r="G1149" s="34" t="s">
        <v>7</v>
      </c>
      <c r="H1149" s="234" t="s">
        <v>4466</v>
      </c>
      <c r="I1149" s="248" t="s">
        <v>7</v>
      </c>
      <c r="J1149" s="249" t="s">
        <v>61</v>
      </c>
      <c r="K1149" s="250">
        <v>179703.48</v>
      </c>
      <c r="L1149" s="250">
        <v>0</v>
      </c>
      <c r="M1149" s="251" t="s">
        <v>8</v>
      </c>
      <c r="N1149" s="252">
        <v>0</v>
      </c>
      <c r="O1149" s="185" t="s">
        <v>74</v>
      </c>
    </row>
    <row r="1150" spans="1:15" x14ac:dyDescent="0.25">
      <c r="A1150" s="234" t="s">
        <v>5379</v>
      </c>
      <c r="B1150" s="234" t="s">
        <v>8</v>
      </c>
      <c r="C1150" s="245">
        <v>46148</v>
      </c>
      <c r="D1150" s="234" t="s">
        <v>7289</v>
      </c>
      <c r="E1150" s="246">
        <v>43096.43</v>
      </c>
      <c r="F1150" s="247" t="s">
        <v>5378</v>
      </c>
      <c r="G1150" s="34" t="s">
        <v>7</v>
      </c>
      <c r="H1150" s="234" t="s">
        <v>5380</v>
      </c>
      <c r="I1150" s="248" t="s">
        <v>7</v>
      </c>
      <c r="J1150" s="249" t="s">
        <v>582</v>
      </c>
      <c r="K1150" s="250">
        <v>10000</v>
      </c>
      <c r="L1150" s="250">
        <v>0</v>
      </c>
      <c r="M1150" s="251" t="s">
        <v>8</v>
      </c>
      <c r="N1150" s="252">
        <v>0</v>
      </c>
      <c r="O1150" s="185" t="s">
        <v>74</v>
      </c>
    </row>
    <row r="1151" spans="1:15" x14ac:dyDescent="0.25">
      <c r="A1151" s="234" t="s">
        <v>5386</v>
      </c>
      <c r="B1151" s="234" t="s">
        <v>8</v>
      </c>
      <c r="C1151" s="245">
        <v>46148</v>
      </c>
      <c r="D1151" s="234" t="s">
        <v>7287</v>
      </c>
      <c r="E1151" s="246">
        <v>44361.22</v>
      </c>
      <c r="F1151" s="247" t="s">
        <v>5389</v>
      </c>
      <c r="G1151" s="34" t="s">
        <v>7</v>
      </c>
      <c r="H1151" s="234" t="s">
        <v>5387</v>
      </c>
      <c r="I1151" s="248" t="s">
        <v>7</v>
      </c>
      <c r="J1151" s="249" t="s">
        <v>61</v>
      </c>
      <c r="K1151" s="250">
        <v>9000</v>
      </c>
      <c r="L1151" s="250">
        <v>0</v>
      </c>
      <c r="M1151" s="251" t="s">
        <v>8</v>
      </c>
      <c r="N1151" s="252">
        <v>0</v>
      </c>
      <c r="O1151" s="185" t="s">
        <v>74</v>
      </c>
    </row>
    <row r="1152" spans="1:15" x14ac:dyDescent="0.25">
      <c r="A1152" s="234" t="s">
        <v>5386</v>
      </c>
      <c r="B1152" s="234" t="s">
        <v>8</v>
      </c>
      <c r="C1152" s="245">
        <v>46148</v>
      </c>
      <c r="D1152" s="234" t="s">
        <v>7287</v>
      </c>
      <c r="E1152" s="246">
        <v>12316.25</v>
      </c>
      <c r="F1152" s="247" t="s">
        <v>5388</v>
      </c>
      <c r="G1152" s="34" t="s">
        <v>7</v>
      </c>
      <c r="H1152" s="234" t="s">
        <v>5387</v>
      </c>
      <c r="I1152" s="248" t="s">
        <v>7</v>
      </c>
      <c r="J1152" s="249" t="s">
        <v>61</v>
      </c>
      <c r="K1152" s="250">
        <v>2500</v>
      </c>
      <c r="L1152" s="250">
        <v>0</v>
      </c>
      <c r="M1152" s="251" t="s">
        <v>8</v>
      </c>
      <c r="N1152" s="252">
        <v>0</v>
      </c>
      <c r="O1152" s="185" t="s">
        <v>74</v>
      </c>
    </row>
    <row r="1153" spans="1:15" x14ac:dyDescent="0.25">
      <c r="A1153" s="234" t="s">
        <v>5386</v>
      </c>
      <c r="B1153" s="234" t="s">
        <v>8</v>
      </c>
      <c r="C1153" s="245">
        <v>46148</v>
      </c>
      <c r="D1153" s="234" t="s">
        <v>7287</v>
      </c>
      <c r="E1153" s="246">
        <v>5000</v>
      </c>
      <c r="F1153" s="247" t="s">
        <v>5385</v>
      </c>
      <c r="G1153" s="34" t="s">
        <v>7</v>
      </c>
      <c r="H1153" s="234" t="s">
        <v>5387</v>
      </c>
      <c r="I1153" s="248" t="s">
        <v>7</v>
      </c>
      <c r="J1153" s="249" t="s">
        <v>582</v>
      </c>
      <c r="K1153" s="250">
        <v>5000</v>
      </c>
      <c r="L1153" s="250">
        <v>0</v>
      </c>
      <c r="M1153" s="251" t="s">
        <v>8</v>
      </c>
      <c r="N1153" s="252">
        <v>0</v>
      </c>
      <c r="O1153" s="185" t="s">
        <v>74</v>
      </c>
    </row>
    <row r="1154" spans="1:15" x14ac:dyDescent="0.25">
      <c r="A1154" s="234" t="s">
        <v>5382</v>
      </c>
      <c r="B1154" s="234" t="s">
        <v>8</v>
      </c>
      <c r="C1154" s="245">
        <v>46148</v>
      </c>
      <c r="D1154" s="234" t="s">
        <v>7287</v>
      </c>
      <c r="E1154" s="246">
        <v>168331</v>
      </c>
      <c r="F1154" s="247" t="s">
        <v>5381</v>
      </c>
      <c r="G1154" s="34" t="s">
        <v>7</v>
      </c>
      <c r="H1154" s="234" t="s">
        <v>5384</v>
      </c>
      <c r="I1154" s="248" t="s">
        <v>7</v>
      </c>
      <c r="J1154" s="249" t="s">
        <v>582</v>
      </c>
      <c r="K1154" s="250">
        <v>39600</v>
      </c>
      <c r="L1154" s="250">
        <v>0</v>
      </c>
      <c r="M1154" s="251" t="s">
        <v>8</v>
      </c>
      <c r="N1154" s="252">
        <v>0</v>
      </c>
      <c r="O1154" s="185" t="s">
        <v>74</v>
      </c>
    </row>
    <row r="1155" spans="1:15" x14ac:dyDescent="0.25">
      <c r="A1155" s="234" t="s">
        <v>3690</v>
      </c>
      <c r="B1155" s="234" t="s">
        <v>8</v>
      </c>
      <c r="C1155" s="245">
        <v>46148</v>
      </c>
      <c r="D1155" s="234" t="s">
        <v>7399</v>
      </c>
      <c r="E1155" s="246">
        <v>5525</v>
      </c>
      <c r="F1155" s="247" t="s">
        <v>7829</v>
      </c>
      <c r="G1155" s="34" t="s">
        <v>7</v>
      </c>
      <c r="H1155" s="234" t="s">
        <v>3691</v>
      </c>
      <c r="I1155" s="248" t="s">
        <v>7</v>
      </c>
      <c r="J1155" s="249" t="s">
        <v>492</v>
      </c>
      <c r="K1155" s="250">
        <v>0</v>
      </c>
      <c r="L1155" s="250">
        <v>0</v>
      </c>
      <c r="M1155" s="251" t="s">
        <v>8</v>
      </c>
      <c r="N1155" s="252">
        <v>0</v>
      </c>
      <c r="O1155" s="185" t="s">
        <v>74</v>
      </c>
    </row>
    <row r="1156" spans="1:15" x14ac:dyDescent="0.25">
      <c r="A1156" s="234" t="s">
        <v>4594</v>
      </c>
      <c r="B1156" s="234" t="s">
        <v>8</v>
      </c>
      <c r="C1156" s="245">
        <v>46148</v>
      </c>
      <c r="D1156" s="234" t="s">
        <v>7399</v>
      </c>
      <c r="E1156" s="246">
        <v>19700</v>
      </c>
      <c r="F1156" s="247" t="s">
        <v>4600</v>
      </c>
      <c r="G1156" s="34" t="s">
        <v>7</v>
      </c>
      <c r="H1156" s="234" t="s">
        <v>4595</v>
      </c>
      <c r="I1156" s="248" t="s">
        <v>7</v>
      </c>
      <c r="J1156" s="249" t="s">
        <v>554</v>
      </c>
      <c r="K1156" s="250">
        <v>19700</v>
      </c>
      <c r="L1156" s="250">
        <v>0</v>
      </c>
      <c r="M1156" s="251" t="s">
        <v>8</v>
      </c>
      <c r="N1156" s="252">
        <v>0</v>
      </c>
      <c r="O1156" s="185" t="s">
        <v>74</v>
      </c>
    </row>
    <row r="1157" spans="1:15" x14ac:dyDescent="0.25">
      <c r="A1157" s="234" t="s">
        <v>4594</v>
      </c>
      <c r="B1157" s="234" t="s">
        <v>8</v>
      </c>
      <c r="C1157" s="245">
        <v>46148</v>
      </c>
      <c r="D1157" s="234" t="s">
        <v>7399</v>
      </c>
      <c r="E1157" s="246">
        <v>28900</v>
      </c>
      <c r="F1157" s="247" t="s">
        <v>4605</v>
      </c>
      <c r="G1157" s="34" t="s">
        <v>7</v>
      </c>
      <c r="H1157" s="234" t="s">
        <v>4595</v>
      </c>
      <c r="I1157" s="248" t="s">
        <v>7</v>
      </c>
      <c r="J1157" s="249" t="s">
        <v>554</v>
      </c>
      <c r="K1157" s="250">
        <v>28900</v>
      </c>
      <c r="L1157" s="250">
        <v>0</v>
      </c>
      <c r="M1157" s="251" t="s">
        <v>8</v>
      </c>
      <c r="N1157" s="252">
        <v>0</v>
      </c>
      <c r="O1157" s="185" t="s">
        <v>74</v>
      </c>
    </row>
    <row r="1158" spans="1:15" x14ac:dyDescent="0.25">
      <c r="A1158" s="234" t="s">
        <v>4594</v>
      </c>
      <c r="B1158" s="234" t="s">
        <v>8</v>
      </c>
      <c r="C1158" s="245">
        <v>46148</v>
      </c>
      <c r="D1158" s="234" t="s">
        <v>7399</v>
      </c>
      <c r="E1158" s="246">
        <v>51400</v>
      </c>
      <c r="F1158" s="247" t="s">
        <v>4603</v>
      </c>
      <c r="G1158" s="34" t="s">
        <v>7</v>
      </c>
      <c r="H1158" s="234" t="s">
        <v>4595</v>
      </c>
      <c r="I1158" s="248" t="s">
        <v>7</v>
      </c>
      <c r="J1158" s="249" t="s">
        <v>554</v>
      </c>
      <c r="K1158" s="250">
        <v>51400</v>
      </c>
      <c r="L1158" s="250">
        <v>0</v>
      </c>
      <c r="M1158" s="251" t="s">
        <v>8</v>
      </c>
      <c r="N1158" s="252">
        <v>0</v>
      </c>
      <c r="O1158" s="185" t="s">
        <v>74</v>
      </c>
    </row>
    <row r="1159" spans="1:15" x14ac:dyDescent="0.25">
      <c r="A1159" s="234" t="s">
        <v>5350</v>
      </c>
      <c r="B1159" s="234" t="s">
        <v>8</v>
      </c>
      <c r="C1159" s="245">
        <v>46148</v>
      </c>
      <c r="D1159" s="234" t="s">
        <v>7287</v>
      </c>
      <c r="E1159" s="246">
        <v>51367.8</v>
      </c>
      <c r="F1159" s="247">
        <v>0</v>
      </c>
      <c r="G1159" s="34" t="s">
        <v>7</v>
      </c>
      <c r="H1159" s="234" t="s">
        <v>5352</v>
      </c>
      <c r="I1159" s="248" t="s">
        <v>7</v>
      </c>
      <c r="J1159" s="249" t="s">
        <v>492</v>
      </c>
      <c r="K1159" s="250">
        <v>0</v>
      </c>
      <c r="L1159" s="250">
        <v>0</v>
      </c>
      <c r="M1159" s="251" t="s">
        <v>8</v>
      </c>
      <c r="N1159" s="252">
        <v>0</v>
      </c>
      <c r="O1159" s="185" t="s">
        <v>74</v>
      </c>
    </row>
    <row r="1160" spans="1:15" x14ac:dyDescent="0.25">
      <c r="A1160" s="234" t="s">
        <v>5350</v>
      </c>
      <c r="B1160" s="234" t="s">
        <v>8</v>
      </c>
      <c r="C1160" s="245">
        <v>46148</v>
      </c>
      <c r="D1160" s="234" t="s">
        <v>7287</v>
      </c>
      <c r="E1160" s="246">
        <v>51158.400000000001</v>
      </c>
      <c r="F1160" s="247">
        <v>0</v>
      </c>
      <c r="G1160" s="34" t="s">
        <v>7</v>
      </c>
      <c r="H1160" s="234" t="s">
        <v>5352</v>
      </c>
      <c r="I1160" s="248" t="s">
        <v>7</v>
      </c>
      <c r="J1160" s="249" t="s">
        <v>492</v>
      </c>
      <c r="K1160" s="250">
        <v>0</v>
      </c>
      <c r="L1160" s="250">
        <v>0</v>
      </c>
      <c r="M1160" s="251" t="s">
        <v>8</v>
      </c>
      <c r="N1160" s="252">
        <v>0</v>
      </c>
      <c r="O1160" s="185" t="s">
        <v>74</v>
      </c>
    </row>
    <row r="1161" spans="1:15" x14ac:dyDescent="0.25">
      <c r="A1161" s="234" t="s">
        <v>4349</v>
      </c>
      <c r="B1161" s="234" t="s">
        <v>8</v>
      </c>
      <c r="C1161" s="245">
        <v>46148</v>
      </c>
      <c r="D1161" s="234" t="s">
        <v>7287</v>
      </c>
      <c r="E1161" s="246">
        <v>12159</v>
      </c>
      <c r="F1161" s="247">
        <v>0</v>
      </c>
      <c r="G1161" s="34" t="s">
        <v>7</v>
      </c>
      <c r="H1161" s="234" t="s">
        <v>4350</v>
      </c>
      <c r="I1161" s="248" t="s">
        <v>7</v>
      </c>
      <c r="J1161" s="249" t="s">
        <v>492</v>
      </c>
      <c r="K1161" s="250">
        <v>0</v>
      </c>
      <c r="L1161" s="250">
        <v>0</v>
      </c>
      <c r="M1161" s="251" t="s">
        <v>8</v>
      </c>
      <c r="N1161" s="252">
        <v>0</v>
      </c>
      <c r="O1161" s="185" t="s">
        <v>74</v>
      </c>
    </row>
    <row r="1162" spans="1:15" x14ac:dyDescent="0.25">
      <c r="A1162" s="234" t="s">
        <v>7830</v>
      </c>
      <c r="B1162" s="234" t="s">
        <v>8</v>
      </c>
      <c r="C1162" s="245">
        <v>46148</v>
      </c>
      <c r="D1162" s="234" t="s">
        <v>7289</v>
      </c>
      <c r="E1162" s="246">
        <v>111037</v>
      </c>
      <c r="F1162" s="247">
        <v>0</v>
      </c>
      <c r="G1162" s="34" t="s">
        <v>7</v>
      </c>
      <c r="H1162" s="234" t="s">
        <v>7831</v>
      </c>
      <c r="I1162" s="248" t="s">
        <v>7</v>
      </c>
      <c r="J1162" s="249" t="s">
        <v>492</v>
      </c>
      <c r="K1162" s="250">
        <v>0</v>
      </c>
      <c r="L1162" s="250">
        <v>0</v>
      </c>
      <c r="M1162" s="251" t="s">
        <v>8</v>
      </c>
      <c r="N1162" s="252">
        <v>0</v>
      </c>
      <c r="O1162" s="185" t="s">
        <v>74</v>
      </c>
    </row>
    <row r="1163" spans="1:15" x14ac:dyDescent="0.25">
      <c r="A1163" s="234" t="s">
        <v>2948</v>
      </c>
      <c r="B1163" s="234" t="s">
        <v>22</v>
      </c>
      <c r="C1163" s="245">
        <v>46148</v>
      </c>
      <c r="D1163" s="234" t="s">
        <v>546</v>
      </c>
      <c r="E1163" s="246">
        <v>198634</v>
      </c>
      <c r="F1163" s="247" t="s">
        <v>2947</v>
      </c>
      <c r="G1163" s="34" t="s">
        <v>7</v>
      </c>
      <c r="H1163" s="234" t="s">
        <v>2949</v>
      </c>
      <c r="I1163" s="248" t="s">
        <v>7</v>
      </c>
      <c r="J1163" s="249" t="s">
        <v>554</v>
      </c>
      <c r="K1163" s="250">
        <v>198634.76</v>
      </c>
      <c r="L1163" s="250">
        <v>0</v>
      </c>
      <c r="M1163" s="251" t="s">
        <v>22</v>
      </c>
      <c r="N1163" s="252">
        <v>0</v>
      </c>
      <c r="O1163" s="185" t="s">
        <v>51</v>
      </c>
    </row>
    <row r="1164" spans="1:15" x14ac:dyDescent="0.25">
      <c r="A1164" s="234" t="s">
        <v>2668</v>
      </c>
      <c r="B1164" s="234" t="s">
        <v>22</v>
      </c>
      <c r="C1164" s="245">
        <v>46148</v>
      </c>
      <c r="D1164" s="234" t="s">
        <v>546</v>
      </c>
      <c r="E1164" s="246">
        <v>180000</v>
      </c>
      <c r="F1164" s="247" t="s">
        <v>2671</v>
      </c>
      <c r="G1164" s="34" t="s">
        <v>7</v>
      </c>
      <c r="H1164" s="234" t="s">
        <v>2669</v>
      </c>
      <c r="I1164" s="248" t="s">
        <v>7</v>
      </c>
      <c r="J1164" s="249" t="s">
        <v>554</v>
      </c>
      <c r="K1164" s="250">
        <v>180000</v>
      </c>
      <c r="L1164" s="250">
        <v>0</v>
      </c>
      <c r="M1164" s="251" t="s">
        <v>22</v>
      </c>
      <c r="N1164" s="252">
        <v>0</v>
      </c>
      <c r="O1164" s="185" t="s">
        <v>51</v>
      </c>
    </row>
    <row r="1165" spans="1:15" x14ac:dyDescent="0.25">
      <c r="A1165" s="234" t="s">
        <v>3697</v>
      </c>
      <c r="B1165" s="234" t="s">
        <v>22</v>
      </c>
      <c r="C1165" s="245">
        <v>46148</v>
      </c>
      <c r="D1165" s="234" t="s">
        <v>546</v>
      </c>
      <c r="E1165" s="246">
        <v>100000</v>
      </c>
      <c r="F1165" s="247" t="s">
        <v>3699</v>
      </c>
      <c r="G1165" s="34" t="s">
        <v>7</v>
      </c>
      <c r="H1165" s="234" t="s">
        <v>3698</v>
      </c>
      <c r="I1165" s="248" t="s">
        <v>7</v>
      </c>
      <c r="J1165" s="249" t="s">
        <v>554</v>
      </c>
      <c r="K1165" s="250">
        <v>100000</v>
      </c>
      <c r="L1165" s="250">
        <v>0</v>
      </c>
      <c r="M1165" s="251" t="s">
        <v>22</v>
      </c>
      <c r="N1165" s="252">
        <v>0</v>
      </c>
      <c r="O1165" s="185" t="s">
        <v>51</v>
      </c>
    </row>
    <row r="1166" spans="1:15" x14ac:dyDescent="0.25">
      <c r="A1166" s="234" t="s">
        <v>3697</v>
      </c>
      <c r="B1166" s="234" t="s">
        <v>22</v>
      </c>
      <c r="C1166" s="245">
        <v>46148</v>
      </c>
      <c r="D1166" s="234" t="s">
        <v>546</v>
      </c>
      <c r="E1166" s="246">
        <v>200000</v>
      </c>
      <c r="F1166" s="247" t="s">
        <v>3702</v>
      </c>
      <c r="G1166" s="34" t="s">
        <v>7</v>
      </c>
      <c r="H1166" s="234" t="s">
        <v>3698</v>
      </c>
      <c r="I1166" s="248" t="s">
        <v>7</v>
      </c>
      <c r="J1166" s="249" t="s">
        <v>554</v>
      </c>
      <c r="K1166" s="250">
        <v>200000</v>
      </c>
      <c r="L1166" s="250">
        <v>0</v>
      </c>
      <c r="M1166" s="251" t="s">
        <v>22</v>
      </c>
      <c r="N1166" s="252">
        <v>0</v>
      </c>
      <c r="O1166" s="185" t="s">
        <v>51</v>
      </c>
    </row>
    <row r="1167" spans="1:15" x14ac:dyDescent="0.25">
      <c r="A1167" s="234" t="s">
        <v>1344</v>
      </c>
      <c r="B1167" s="234" t="s">
        <v>22</v>
      </c>
      <c r="C1167" s="245">
        <v>46148</v>
      </c>
      <c r="D1167" s="234" t="s">
        <v>575</v>
      </c>
      <c r="E1167" s="246">
        <v>10000</v>
      </c>
      <c r="F1167" s="247" t="s">
        <v>1349</v>
      </c>
      <c r="G1167" s="34" t="s">
        <v>7</v>
      </c>
      <c r="H1167" s="234" t="s">
        <v>1345</v>
      </c>
      <c r="I1167" s="248" t="s">
        <v>7</v>
      </c>
      <c r="J1167" s="249" t="s">
        <v>61</v>
      </c>
      <c r="K1167" s="250">
        <v>10000</v>
      </c>
      <c r="L1167" s="250">
        <v>0</v>
      </c>
      <c r="M1167" s="251" t="s">
        <v>22</v>
      </c>
      <c r="N1167" s="252">
        <v>0</v>
      </c>
      <c r="O1167" s="185" t="s">
        <v>51</v>
      </c>
    </row>
    <row r="1168" spans="1:15" x14ac:dyDescent="0.25">
      <c r="A1168" s="234" t="s">
        <v>2233</v>
      </c>
      <c r="B1168" s="234" t="s">
        <v>22</v>
      </c>
      <c r="C1168" s="245">
        <v>46148</v>
      </c>
      <c r="D1168" s="234" t="s">
        <v>575</v>
      </c>
      <c r="E1168" s="246">
        <v>185671</v>
      </c>
      <c r="F1168" s="247" t="s">
        <v>2232</v>
      </c>
      <c r="G1168" s="34" t="s">
        <v>7</v>
      </c>
      <c r="H1168" s="234" t="s">
        <v>2234</v>
      </c>
      <c r="I1168" s="248" t="s">
        <v>7</v>
      </c>
      <c r="J1168" s="249" t="s">
        <v>554</v>
      </c>
      <c r="K1168" s="250">
        <v>185671</v>
      </c>
      <c r="L1168" s="250">
        <v>0</v>
      </c>
      <c r="M1168" s="251" t="s">
        <v>22</v>
      </c>
      <c r="N1168" s="252">
        <v>0</v>
      </c>
      <c r="O1168" s="185" t="s">
        <v>51</v>
      </c>
    </row>
    <row r="1169" spans="1:15" x14ac:dyDescent="0.25">
      <c r="A1169" s="234" t="s">
        <v>2876</v>
      </c>
      <c r="B1169" s="234" t="s">
        <v>22</v>
      </c>
      <c r="C1169" s="245">
        <v>46148</v>
      </c>
      <c r="D1169" s="234" t="s">
        <v>595</v>
      </c>
      <c r="E1169" s="246">
        <v>118185</v>
      </c>
      <c r="F1169" s="247" t="s">
        <v>2875</v>
      </c>
      <c r="G1169" s="34" t="s">
        <v>7</v>
      </c>
      <c r="H1169" s="234" t="s">
        <v>2877</v>
      </c>
      <c r="I1169" s="248" t="s">
        <v>7</v>
      </c>
      <c r="J1169" s="249" t="s">
        <v>554</v>
      </c>
      <c r="K1169" s="250">
        <v>118185</v>
      </c>
      <c r="L1169" s="250">
        <v>0</v>
      </c>
      <c r="M1169" s="251" t="s">
        <v>22</v>
      </c>
      <c r="N1169" s="252">
        <v>0</v>
      </c>
      <c r="O1169" s="185" t="s">
        <v>51</v>
      </c>
    </row>
    <row r="1170" spans="1:15" x14ac:dyDescent="0.25">
      <c r="A1170" s="234" t="s">
        <v>1941</v>
      </c>
      <c r="B1170" s="234" t="s">
        <v>22</v>
      </c>
      <c r="C1170" s="245">
        <v>46148</v>
      </c>
      <c r="D1170" s="234">
        <v>0</v>
      </c>
      <c r="E1170" s="246">
        <v>77559</v>
      </c>
      <c r="F1170" s="247">
        <v>0</v>
      </c>
      <c r="G1170" s="34" t="s">
        <v>7</v>
      </c>
      <c r="H1170" s="234" t="s">
        <v>1942</v>
      </c>
      <c r="I1170" s="248" t="s">
        <v>7</v>
      </c>
      <c r="J1170" s="249" t="s">
        <v>492</v>
      </c>
      <c r="K1170" s="250">
        <v>0</v>
      </c>
      <c r="L1170" s="250">
        <v>0</v>
      </c>
      <c r="M1170" s="251" t="s">
        <v>22</v>
      </c>
      <c r="N1170" s="252">
        <v>0</v>
      </c>
      <c r="O1170" s="185" t="s">
        <v>51</v>
      </c>
    </row>
    <row r="1171" spans="1:15" x14ac:dyDescent="0.25">
      <c r="A1171" s="234" t="s">
        <v>2182</v>
      </c>
      <c r="B1171" s="234" t="s">
        <v>22</v>
      </c>
      <c r="C1171" s="245">
        <v>46148</v>
      </c>
      <c r="D1171" s="234" t="s">
        <v>575</v>
      </c>
      <c r="E1171" s="246">
        <v>200000</v>
      </c>
      <c r="F1171" s="247" t="s">
        <v>2181</v>
      </c>
      <c r="G1171" s="34" t="s">
        <v>7</v>
      </c>
      <c r="H1171" s="234" t="s">
        <v>2183</v>
      </c>
      <c r="I1171" s="248" t="s">
        <v>7</v>
      </c>
      <c r="J1171" s="249" t="s">
        <v>554</v>
      </c>
      <c r="K1171" s="250">
        <v>200000</v>
      </c>
      <c r="L1171" s="250">
        <v>0</v>
      </c>
      <c r="M1171" s="251" t="s">
        <v>22</v>
      </c>
      <c r="N1171" s="252">
        <v>0</v>
      </c>
      <c r="O1171" s="185" t="s">
        <v>51</v>
      </c>
    </row>
    <row r="1172" spans="1:15" x14ac:dyDescent="0.25">
      <c r="A1172" s="234" t="s">
        <v>596</v>
      </c>
      <c r="B1172" s="234" t="s">
        <v>22</v>
      </c>
      <c r="C1172" s="245">
        <v>46148</v>
      </c>
      <c r="D1172" s="234" t="s">
        <v>595</v>
      </c>
      <c r="E1172" s="246">
        <v>23000</v>
      </c>
      <c r="F1172" s="247" t="s">
        <v>598</v>
      </c>
      <c r="G1172" s="34" t="s">
        <v>7</v>
      </c>
      <c r="H1172" s="234" t="s">
        <v>597</v>
      </c>
      <c r="I1172" s="248" t="s">
        <v>7</v>
      </c>
      <c r="J1172" s="249" t="s">
        <v>554</v>
      </c>
      <c r="K1172" s="250">
        <v>23000</v>
      </c>
      <c r="L1172" s="250">
        <v>0</v>
      </c>
      <c r="M1172" s="251" t="s">
        <v>22</v>
      </c>
      <c r="N1172" s="252">
        <v>0</v>
      </c>
      <c r="O1172" s="185" t="s">
        <v>51</v>
      </c>
    </row>
    <row r="1173" spans="1:15" x14ac:dyDescent="0.25">
      <c r="A1173" s="234" t="s">
        <v>1320</v>
      </c>
      <c r="B1173" s="234" t="s">
        <v>22</v>
      </c>
      <c r="C1173" s="245">
        <v>46148</v>
      </c>
      <c r="D1173" s="234" t="s">
        <v>575</v>
      </c>
      <c r="E1173" s="246">
        <v>60000</v>
      </c>
      <c r="F1173" s="247" t="s">
        <v>1319</v>
      </c>
      <c r="G1173" s="34" t="s">
        <v>7</v>
      </c>
      <c r="H1173" s="234" t="s">
        <v>1321</v>
      </c>
      <c r="I1173" s="248" t="s">
        <v>7</v>
      </c>
      <c r="J1173" s="249" t="s">
        <v>554</v>
      </c>
      <c r="K1173" s="250">
        <v>60000</v>
      </c>
      <c r="L1173" s="250">
        <v>0</v>
      </c>
      <c r="M1173" s="251" t="s">
        <v>22</v>
      </c>
      <c r="N1173" s="252">
        <v>0</v>
      </c>
      <c r="O1173" s="185" t="s">
        <v>51</v>
      </c>
    </row>
    <row r="1174" spans="1:15" x14ac:dyDescent="0.25">
      <c r="A1174" s="234" t="s">
        <v>1320</v>
      </c>
      <c r="B1174" s="234" t="s">
        <v>22</v>
      </c>
      <c r="C1174" s="245">
        <v>46148</v>
      </c>
      <c r="D1174" s="234" t="s">
        <v>575</v>
      </c>
      <c r="E1174" s="246">
        <v>220000</v>
      </c>
      <c r="F1174" s="247">
        <v>0</v>
      </c>
      <c r="G1174" s="34" t="s">
        <v>7</v>
      </c>
      <c r="H1174" s="234" t="s">
        <v>1321</v>
      </c>
      <c r="I1174" s="248" t="s">
        <v>7</v>
      </c>
      <c r="J1174" s="249" t="s">
        <v>492</v>
      </c>
      <c r="K1174" s="250">
        <v>0</v>
      </c>
      <c r="L1174" s="250">
        <v>0</v>
      </c>
      <c r="M1174" s="251" t="s">
        <v>22</v>
      </c>
      <c r="N1174" s="252">
        <v>0</v>
      </c>
      <c r="O1174" s="185" t="s">
        <v>51</v>
      </c>
    </row>
    <row r="1175" spans="1:15" x14ac:dyDescent="0.25">
      <c r="A1175" s="234" t="s">
        <v>2233</v>
      </c>
      <c r="B1175" s="234" t="s">
        <v>22</v>
      </c>
      <c r="C1175" s="245">
        <v>46148</v>
      </c>
      <c r="D1175" s="234" t="s">
        <v>575</v>
      </c>
      <c r="E1175" s="246">
        <v>185671</v>
      </c>
      <c r="F1175" s="247" t="s">
        <v>2235</v>
      </c>
      <c r="G1175" s="34" t="s">
        <v>7</v>
      </c>
      <c r="H1175" s="234" t="s">
        <v>2234</v>
      </c>
      <c r="I1175" s="248" t="s">
        <v>7</v>
      </c>
      <c r="J1175" s="249" t="s">
        <v>62</v>
      </c>
      <c r="K1175" s="250">
        <v>185671</v>
      </c>
      <c r="L1175" s="250">
        <v>0</v>
      </c>
      <c r="M1175" s="251" t="s">
        <v>22</v>
      </c>
      <c r="N1175" s="252">
        <v>0</v>
      </c>
      <c r="O1175" s="185" t="s">
        <v>51</v>
      </c>
    </row>
    <row r="1176" spans="1:15" x14ac:dyDescent="0.25">
      <c r="A1176" s="234" t="s">
        <v>628</v>
      </c>
      <c r="B1176" s="234" t="s">
        <v>22</v>
      </c>
      <c r="C1176" s="245">
        <v>46148</v>
      </c>
      <c r="D1176" s="234" t="s">
        <v>575</v>
      </c>
      <c r="E1176" s="246">
        <v>36466</v>
      </c>
      <c r="F1176" s="247" t="s">
        <v>627</v>
      </c>
      <c r="G1176" s="34" t="s">
        <v>7</v>
      </c>
      <c r="H1176" s="234" t="s">
        <v>629</v>
      </c>
      <c r="I1176" s="248" t="s">
        <v>7</v>
      </c>
      <c r="J1176" s="249" t="s">
        <v>554</v>
      </c>
      <c r="K1176" s="250">
        <v>36466</v>
      </c>
      <c r="L1176" s="250">
        <v>0</v>
      </c>
      <c r="M1176" s="251" t="s">
        <v>22</v>
      </c>
      <c r="N1176" s="252">
        <v>0</v>
      </c>
      <c r="O1176" s="185" t="s">
        <v>51</v>
      </c>
    </row>
    <row r="1177" spans="1:15" x14ac:dyDescent="0.25">
      <c r="A1177" s="234" t="s">
        <v>2879</v>
      </c>
      <c r="B1177" s="234" t="s">
        <v>22</v>
      </c>
      <c r="C1177" s="245">
        <v>46148</v>
      </c>
      <c r="D1177" s="234" t="s">
        <v>595</v>
      </c>
      <c r="E1177" s="246">
        <v>127433</v>
      </c>
      <c r="F1177" s="247" t="s">
        <v>2878</v>
      </c>
      <c r="G1177" s="34" t="s">
        <v>7</v>
      </c>
      <c r="H1177" s="234" t="s">
        <v>2880</v>
      </c>
      <c r="I1177" s="248" t="s">
        <v>7</v>
      </c>
      <c r="J1177" s="249" t="s">
        <v>582</v>
      </c>
      <c r="K1177" s="250">
        <v>35200</v>
      </c>
      <c r="L1177" s="250">
        <v>0</v>
      </c>
      <c r="M1177" s="251" t="s">
        <v>22</v>
      </c>
      <c r="N1177" s="252">
        <v>0</v>
      </c>
      <c r="O1177" s="185" t="s">
        <v>51</v>
      </c>
    </row>
    <row r="1178" spans="1:15" x14ac:dyDescent="0.25">
      <c r="A1178" s="234" t="s">
        <v>1324</v>
      </c>
      <c r="B1178" s="234" t="s">
        <v>22</v>
      </c>
      <c r="C1178" s="245">
        <v>46148</v>
      </c>
      <c r="D1178" s="234">
        <v>0</v>
      </c>
      <c r="E1178" s="246">
        <v>100000</v>
      </c>
      <c r="F1178" s="247">
        <v>0</v>
      </c>
      <c r="G1178" s="34" t="s">
        <v>7</v>
      </c>
      <c r="H1178" s="234" t="s">
        <v>1325</v>
      </c>
      <c r="I1178" s="248" t="s">
        <v>7</v>
      </c>
      <c r="J1178" s="249" t="s">
        <v>492</v>
      </c>
      <c r="K1178" s="250">
        <v>0</v>
      </c>
      <c r="L1178" s="250">
        <v>0</v>
      </c>
      <c r="M1178" s="251" t="s">
        <v>22</v>
      </c>
      <c r="N1178" s="252">
        <v>0</v>
      </c>
      <c r="O1178" s="185" t="s">
        <v>51</v>
      </c>
    </row>
    <row r="1179" spans="1:15" x14ac:dyDescent="0.25">
      <c r="A1179" s="234" t="s">
        <v>3556</v>
      </c>
      <c r="B1179" s="234" t="s">
        <v>23</v>
      </c>
      <c r="C1179" s="245">
        <v>46148</v>
      </c>
      <c r="D1179" s="234" t="s">
        <v>7289</v>
      </c>
      <c r="E1179" s="246">
        <v>49000</v>
      </c>
      <c r="F1179" s="247" t="s">
        <v>3555</v>
      </c>
      <c r="G1179" s="34" t="s">
        <v>7</v>
      </c>
      <c r="H1179" s="234" t="s">
        <v>3557</v>
      </c>
      <c r="I1179" s="248" t="s">
        <v>7</v>
      </c>
      <c r="J1179" s="249" t="s">
        <v>554</v>
      </c>
      <c r="K1179" s="250">
        <v>49000</v>
      </c>
      <c r="L1179" s="250">
        <v>0</v>
      </c>
      <c r="M1179" s="251" t="s">
        <v>23</v>
      </c>
      <c r="N1179" s="252">
        <v>0</v>
      </c>
      <c r="O1179" s="185" t="s">
        <v>51</v>
      </c>
    </row>
    <row r="1180" spans="1:15" x14ac:dyDescent="0.25">
      <c r="A1180" s="234" t="s">
        <v>1476</v>
      </c>
      <c r="B1180" s="234" t="s">
        <v>23</v>
      </c>
      <c r="C1180" s="245">
        <v>46148</v>
      </c>
      <c r="D1180" s="234" t="s">
        <v>7289</v>
      </c>
      <c r="E1180" s="246">
        <v>229393</v>
      </c>
      <c r="F1180" s="247" t="s">
        <v>1475</v>
      </c>
      <c r="G1180" s="34" t="s">
        <v>7</v>
      </c>
      <c r="H1180" s="234" t="s">
        <v>1477</v>
      </c>
      <c r="I1180" s="248" t="s">
        <v>7</v>
      </c>
      <c r="J1180" s="249" t="s">
        <v>61</v>
      </c>
      <c r="K1180" s="250">
        <v>228393</v>
      </c>
      <c r="L1180" s="250">
        <v>0</v>
      </c>
      <c r="M1180" s="251" t="s">
        <v>23</v>
      </c>
      <c r="N1180" s="252">
        <v>0</v>
      </c>
      <c r="O1180" s="185" t="s">
        <v>51</v>
      </c>
    </row>
    <row r="1181" spans="1:15" x14ac:dyDescent="0.25">
      <c r="A1181" s="234" t="s">
        <v>1379</v>
      </c>
      <c r="B1181" s="234" t="s">
        <v>23</v>
      </c>
      <c r="C1181" s="245">
        <v>46148</v>
      </c>
      <c r="D1181" s="234" t="s">
        <v>7289</v>
      </c>
      <c r="E1181" s="246">
        <v>132060</v>
      </c>
      <c r="F1181" s="247" t="s">
        <v>1382</v>
      </c>
      <c r="G1181" s="34" t="s">
        <v>7</v>
      </c>
      <c r="H1181" s="234" t="s">
        <v>1380</v>
      </c>
      <c r="I1181" s="248" t="s">
        <v>7</v>
      </c>
      <c r="J1181" s="249" t="s">
        <v>582</v>
      </c>
      <c r="K1181" s="250">
        <v>132060</v>
      </c>
      <c r="L1181" s="250">
        <v>0</v>
      </c>
      <c r="M1181" s="251" t="s">
        <v>23</v>
      </c>
      <c r="N1181" s="252">
        <v>0</v>
      </c>
      <c r="O1181" s="185" t="s">
        <v>51</v>
      </c>
    </row>
    <row r="1182" spans="1:15" x14ac:dyDescent="0.25">
      <c r="A1182" s="234" t="s">
        <v>1379</v>
      </c>
      <c r="B1182" s="234" t="s">
        <v>23</v>
      </c>
      <c r="C1182" s="245">
        <v>46148</v>
      </c>
      <c r="D1182" s="234" t="s">
        <v>7289</v>
      </c>
      <c r="E1182" s="246">
        <v>4000</v>
      </c>
      <c r="F1182" s="247" t="s">
        <v>1381</v>
      </c>
      <c r="G1182" s="34" t="s">
        <v>7</v>
      </c>
      <c r="H1182" s="234" t="s">
        <v>1380</v>
      </c>
      <c r="I1182" s="248" t="s">
        <v>7</v>
      </c>
      <c r="J1182" s="249" t="s">
        <v>554</v>
      </c>
      <c r="K1182" s="250">
        <v>4000</v>
      </c>
      <c r="L1182" s="250">
        <v>0</v>
      </c>
      <c r="M1182" s="251" t="s">
        <v>23</v>
      </c>
      <c r="N1182" s="252">
        <v>0</v>
      </c>
      <c r="O1182" s="185" t="s">
        <v>51</v>
      </c>
    </row>
    <row r="1183" spans="1:15" x14ac:dyDescent="0.25">
      <c r="A1183" s="234" t="s">
        <v>1379</v>
      </c>
      <c r="B1183" s="234" t="s">
        <v>23</v>
      </c>
      <c r="C1183" s="245">
        <v>46148</v>
      </c>
      <c r="D1183" s="234" t="s">
        <v>7289</v>
      </c>
      <c r="E1183" s="246">
        <v>4293.2</v>
      </c>
      <c r="F1183" s="247" t="s">
        <v>1378</v>
      </c>
      <c r="G1183" s="34" t="s">
        <v>7</v>
      </c>
      <c r="H1183" s="234" t="s">
        <v>1380</v>
      </c>
      <c r="I1183" s="248" t="s">
        <v>7</v>
      </c>
      <c r="J1183" s="249" t="s">
        <v>554</v>
      </c>
      <c r="K1183" s="250">
        <v>4293.2</v>
      </c>
      <c r="L1183" s="250">
        <v>0</v>
      </c>
      <c r="M1183" s="251" t="s">
        <v>23</v>
      </c>
      <c r="N1183" s="252">
        <v>0</v>
      </c>
      <c r="O1183" s="185" t="s">
        <v>51</v>
      </c>
    </row>
    <row r="1184" spans="1:15" x14ac:dyDescent="0.25">
      <c r="A1184" s="234" t="s">
        <v>3523</v>
      </c>
      <c r="B1184" s="234" t="s">
        <v>23</v>
      </c>
      <c r="C1184" s="245">
        <v>46148</v>
      </c>
      <c r="D1184" s="234" t="s">
        <v>7289</v>
      </c>
      <c r="E1184" s="246">
        <v>194428</v>
      </c>
      <c r="F1184" s="247" t="s">
        <v>3522</v>
      </c>
      <c r="G1184" s="34" t="s">
        <v>7</v>
      </c>
      <c r="H1184" s="234" t="s">
        <v>3524</v>
      </c>
      <c r="I1184" s="248" t="s">
        <v>7</v>
      </c>
      <c r="J1184" s="249" t="s">
        <v>554</v>
      </c>
      <c r="K1184" s="250">
        <v>194428</v>
      </c>
      <c r="L1184" s="250">
        <v>0</v>
      </c>
      <c r="M1184" s="251" t="s">
        <v>23</v>
      </c>
      <c r="N1184" s="252">
        <v>0</v>
      </c>
      <c r="O1184" s="185" t="s">
        <v>51</v>
      </c>
    </row>
    <row r="1185" spans="1:15" x14ac:dyDescent="0.25">
      <c r="A1185" s="234" t="s">
        <v>1488</v>
      </c>
      <c r="B1185" s="234" t="s">
        <v>23</v>
      </c>
      <c r="C1185" s="245">
        <v>46148</v>
      </c>
      <c r="D1185" s="234" t="s">
        <v>7289</v>
      </c>
      <c r="E1185" s="246">
        <v>136625</v>
      </c>
      <c r="F1185" s="247" t="s">
        <v>1487</v>
      </c>
      <c r="G1185" s="34" t="s">
        <v>7</v>
      </c>
      <c r="H1185" s="234" t="s">
        <v>1489</v>
      </c>
      <c r="I1185" s="248" t="s">
        <v>7</v>
      </c>
      <c r="J1185" s="249" t="s">
        <v>554</v>
      </c>
      <c r="K1185" s="250">
        <v>136625</v>
      </c>
      <c r="L1185" s="250">
        <v>0</v>
      </c>
      <c r="M1185" s="251" t="s">
        <v>23</v>
      </c>
      <c r="N1185" s="252">
        <v>0</v>
      </c>
      <c r="O1185" s="185" t="s">
        <v>51</v>
      </c>
    </row>
    <row r="1186" spans="1:15" x14ac:dyDescent="0.25">
      <c r="A1186" s="234" t="s">
        <v>5430</v>
      </c>
      <c r="B1186" s="234" t="s">
        <v>23</v>
      </c>
      <c r="C1186" s="245">
        <v>46148</v>
      </c>
      <c r="D1186" s="234" t="s">
        <v>7287</v>
      </c>
      <c r="E1186" s="246">
        <v>128485</v>
      </c>
      <c r="F1186" s="247" t="s">
        <v>5433</v>
      </c>
      <c r="G1186" s="34" t="s">
        <v>7</v>
      </c>
      <c r="H1186" s="234" t="s">
        <v>5432</v>
      </c>
      <c r="I1186" s="248" t="s">
        <v>7</v>
      </c>
      <c r="J1186" s="249" t="s">
        <v>554</v>
      </c>
      <c r="K1186" s="250">
        <v>128485</v>
      </c>
      <c r="L1186" s="250">
        <v>0</v>
      </c>
      <c r="M1186" s="251" t="s">
        <v>23</v>
      </c>
      <c r="N1186" s="252">
        <v>0</v>
      </c>
      <c r="O1186" s="185" t="s">
        <v>51</v>
      </c>
    </row>
    <row r="1187" spans="1:15" x14ac:dyDescent="0.25">
      <c r="A1187" s="234" t="s">
        <v>499</v>
      </c>
      <c r="B1187" s="234" t="s">
        <v>23</v>
      </c>
      <c r="C1187" s="245">
        <v>46148</v>
      </c>
      <c r="D1187" s="234" t="s">
        <v>546</v>
      </c>
      <c r="E1187" s="246">
        <v>80000</v>
      </c>
      <c r="F1187" s="247" t="s">
        <v>1373</v>
      </c>
      <c r="G1187" s="34" t="s">
        <v>7</v>
      </c>
      <c r="H1187" s="234" t="s">
        <v>498</v>
      </c>
      <c r="I1187" s="248" t="s">
        <v>7</v>
      </c>
      <c r="J1187" s="249" t="s">
        <v>554</v>
      </c>
      <c r="K1187" s="250">
        <v>80000</v>
      </c>
      <c r="L1187" s="250">
        <v>0</v>
      </c>
      <c r="M1187" s="251" t="s">
        <v>23</v>
      </c>
      <c r="N1187" s="252">
        <v>0</v>
      </c>
      <c r="O1187" s="185" t="s">
        <v>51</v>
      </c>
    </row>
    <row r="1188" spans="1:15" x14ac:dyDescent="0.25">
      <c r="A1188" s="234" t="s">
        <v>1391</v>
      </c>
      <c r="B1188" s="234" t="s">
        <v>23</v>
      </c>
      <c r="C1188" s="245">
        <v>46148</v>
      </c>
      <c r="D1188" s="234" t="s">
        <v>7289</v>
      </c>
      <c r="E1188" s="246">
        <v>147910</v>
      </c>
      <c r="F1188" s="247" t="s">
        <v>1390</v>
      </c>
      <c r="G1188" s="34" t="s">
        <v>7</v>
      </c>
      <c r="H1188" s="234" t="s">
        <v>1392</v>
      </c>
      <c r="I1188" s="248" t="s">
        <v>7</v>
      </c>
      <c r="J1188" s="249" t="s">
        <v>554</v>
      </c>
      <c r="K1188" s="250">
        <v>147910</v>
      </c>
      <c r="L1188" s="250">
        <v>0</v>
      </c>
      <c r="M1188" s="251" t="s">
        <v>23</v>
      </c>
      <c r="N1188" s="252">
        <v>0</v>
      </c>
      <c r="O1188" s="185" t="s">
        <v>51</v>
      </c>
    </row>
    <row r="1189" spans="1:15" x14ac:dyDescent="0.25">
      <c r="A1189" s="234" t="s">
        <v>1402</v>
      </c>
      <c r="B1189" s="234" t="s">
        <v>23</v>
      </c>
      <c r="C1189" s="245">
        <v>46148</v>
      </c>
      <c r="D1189" s="234" t="s">
        <v>546</v>
      </c>
      <c r="E1189" s="246">
        <v>197346</v>
      </c>
      <c r="F1189" s="247" t="s">
        <v>1401</v>
      </c>
      <c r="G1189" s="34" t="s">
        <v>7</v>
      </c>
      <c r="H1189" s="234" t="s">
        <v>1403</v>
      </c>
      <c r="I1189" s="248" t="s">
        <v>7</v>
      </c>
      <c r="J1189" s="249" t="s">
        <v>554</v>
      </c>
      <c r="K1189" s="250">
        <v>197346</v>
      </c>
      <c r="L1189" s="250">
        <v>0</v>
      </c>
      <c r="M1189" s="251" t="s">
        <v>23</v>
      </c>
      <c r="N1189" s="252">
        <v>0</v>
      </c>
      <c r="O1189" s="185" t="s">
        <v>51</v>
      </c>
    </row>
    <row r="1190" spans="1:15" x14ac:dyDescent="0.25">
      <c r="A1190" s="234" t="s">
        <v>4520</v>
      </c>
      <c r="B1190" s="234" t="s">
        <v>23</v>
      </c>
      <c r="C1190" s="245">
        <v>46148</v>
      </c>
      <c r="D1190" s="234" t="s">
        <v>7705</v>
      </c>
      <c r="E1190" s="246">
        <v>35500</v>
      </c>
      <c r="F1190" s="247" t="s">
        <v>4522</v>
      </c>
      <c r="G1190" s="34" t="s">
        <v>7</v>
      </c>
      <c r="H1190" s="234" t="s">
        <v>4521</v>
      </c>
      <c r="I1190" s="248" t="s">
        <v>7</v>
      </c>
      <c r="J1190" s="249" t="s">
        <v>554</v>
      </c>
      <c r="K1190" s="250">
        <v>35500</v>
      </c>
      <c r="L1190" s="250">
        <v>0</v>
      </c>
      <c r="M1190" s="251" t="s">
        <v>23</v>
      </c>
      <c r="N1190" s="252">
        <v>0</v>
      </c>
      <c r="O1190" s="185" t="s">
        <v>51</v>
      </c>
    </row>
    <row r="1191" spans="1:15" x14ac:dyDescent="0.25">
      <c r="A1191" s="234" t="s">
        <v>1435</v>
      </c>
      <c r="B1191" s="234" t="s">
        <v>23</v>
      </c>
      <c r="C1191" s="245">
        <v>46148</v>
      </c>
      <c r="D1191" s="234" t="s">
        <v>546</v>
      </c>
      <c r="E1191" s="246">
        <v>132846.07999999999</v>
      </c>
      <c r="F1191" s="247" t="s">
        <v>1434</v>
      </c>
      <c r="G1191" s="34" t="s">
        <v>7</v>
      </c>
      <c r="H1191" s="234" t="s">
        <v>1436</v>
      </c>
      <c r="I1191" s="248" t="s">
        <v>7</v>
      </c>
      <c r="J1191" s="249" t="s">
        <v>554</v>
      </c>
      <c r="K1191" s="250">
        <v>132846.07999999999</v>
      </c>
      <c r="L1191" s="250">
        <v>0</v>
      </c>
      <c r="M1191" s="251" t="s">
        <v>23</v>
      </c>
      <c r="N1191" s="252">
        <v>0</v>
      </c>
      <c r="O1191" s="185" t="s">
        <v>51</v>
      </c>
    </row>
    <row r="1192" spans="1:15" x14ac:dyDescent="0.25">
      <c r="A1192" s="234" t="s">
        <v>7832</v>
      </c>
      <c r="B1192" s="234" t="s">
        <v>23</v>
      </c>
      <c r="C1192" s="245">
        <v>46148</v>
      </c>
      <c r="D1192" s="234" t="s">
        <v>64</v>
      </c>
      <c r="E1192" s="246">
        <v>184500</v>
      </c>
      <c r="F1192" s="247">
        <v>0</v>
      </c>
      <c r="G1192" s="34" t="s">
        <v>7</v>
      </c>
      <c r="H1192" s="234" t="s">
        <v>7833</v>
      </c>
      <c r="I1192" s="248" t="s">
        <v>7</v>
      </c>
      <c r="J1192" s="249" t="s">
        <v>492</v>
      </c>
      <c r="K1192" s="250">
        <v>0</v>
      </c>
      <c r="L1192" s="250">
        <v>0</v>
      </c>
      <c r="M1192" s="251" t="s">
        <v>23</v>
      </c>
      <c r="N1192" s="252">
        <v>0</v>
      </c>
      <c r="O1192" s="185" t="s">
        <v>51</v>
      </c>
    </row>
    <row r="1193" spans="1:15" x14ac:dyDescent="0.25">
      <c r="A1193" s="234" t="s">
        <v>1429</v>
      </c>
      <c r="B1193" s="234" t="s">
        <v>23</v>
      </c>
      <c r="C1193" s="245">
        <v>46148</v>
      </c>
      <c r="D1193" s="234" t="s">
        <v>7289</v>
      </c>
      <c r="E1193" s="246">
        <v>197346</v>
      </c>
      <c r="F1193" s="247" t="s">
        <v>1428</v>
      </c>
      <c r="G1193" s="34" t="s">
        <v>7</v>
      </c>
      <c r="H1193" s="234" t="s">
        <v>1430</v>
      </c>
      <c r="I1193" s="248" t="s">
        <v>7</v>
      </c>
      <c r="J1193" s="249" t="s">
        <v>554</v>
      </c>
      <c r="K1193" s="250">
        <v>197346</v>
      </c>
      <c r="L1193" s="250">
        <v>0</v>
      </c>
      <c r="M1193" s="251" t="s">
        <v>23</v>
      </c>
      <c r="N1193" s="252">
        <v>0</v>
      </c>
      <c r="O1193" s="185" t="s">
        <v>51</v>
      </c>
    </row>
    <row r="1194" spans="1:15" x14ac:dyDescent="0.25">
      <c r="A1194" s="234" t="s">
        <v>1498</v>
      </c>
      <c r="B1194" s="234" t="s">
        <v>23</v>
      </c>
      <c r="C1194" s="245">
        <v>46148</v>
      </c>
      <c r="D1194" s="234" t="s">
        <v>546</v>
      </c>
      <c r="E1194" s="246">
        <v>40000</v>
      </c>
      <c r="F1194" s="247" t="s">
        <v>1500</v>
      </c>
      <c r="G1194" s="34" t="s">
        <v>7</v>
      </c>
      <c r="H1194" s="234" t="s">
        <v>1499</v>
      </c>
      <c r="I1194" s="248" t="s">
        <v>7</v>
      </c>
      <c r="J1194" s="249" t="s">
        <v>554</v>
      </c>
      <c r="K1194" s="250">
        <v>40000</v>
      </c>
      <c r="L1194" s="250">
        <v>0</v>
      </c>
      <c r="M1194" s="251" t="s">
        <v>23</v>
      </c>
      <c r="N1194" s="252">
        <v>0</v>
      </c>
      <c r="O1194" s="185" t="s">
        <v>51</v>
      </c>
    </row>
    <row r="1195" spans="1:15" x14ac:dyDescent="0.25">
      <c r="A1195" s="234" t="s">
        <v>1451</v>
      </c>
      <c r="B1195" s="234" t="s">
        <v>23</v>
      </c>
      <c r="C1195" s="245">
        <v>46148</v>
      </c>
      <c r="D1195" s="234" t="s">
        <v>7287</v>
      </c>
      <c r="E1195" s="246">
        <v>154051</v>
      </c>
      <c r="F1195" s="247" t="s">
        <v>1450</v>
      </c>
      <c r="G1195" s="34" t="s">
        <v>7</v>
      </c>
      <c r="H1195" s="234" t="s">
        <v>1452</v>
      </c>
      <c r="I1195" s="248" t="s">
        <v>7</v>
      </c>
      <c r="J1195" s="249" t="s">
        <v>554</v>
      </c>
      <c r="K1195" s="250">
        <v>154051</v>
      </c>
      <c r="L1195" s="250">
        <v>0</v>
      </c>
      <c r="M1195" s="251" t="s">
        <v>23</v>
      </c>
      <c r="N1195" s="252">
        <v>0</v>
      </c>
      <c r="O1195" s="185" t="s">
        <v>51</v>
      </c>
    </row>
    <row r="1196" spans="1:15" x14ac:dyDescent="0.25">
      <c r="A1196" s="234" t="s">
        <v>7834</v>
      </c>
      <c r="B1196" s="234" t="s">
        <v>23</v>
      </c>
      <c r="C1196" s="245">
        <v>46148</v>
      </c>
      <c r="D1196" s="234" t="s">
        <v>7287</v>
      </c>
      <c r="E1196" s="246">
        <v>151912</v>
      </c>
      <c r="F1196" s="247">
        <v>0</v>
      </c>
      <c r="G1196" s="34" t="s">
        <v>7</v>
      </c>
      <c r="H1196" s="234" t="s">
        <v>7835</v>
      </c>
      <c r="I1196" s="248" t="s">
        <v>7</v>
      </c>
      <c r="J1196" s="249" t="s">
        <v>492</v>
      </c>
      <c r="K1196" s="250">
        <v>0</v>
      </c>
      <c r="L1196" s="250">
        <v>0</v>
      </c>
      <c r="M1196" s="251" t="s">
        <v>23</v>
      </c>
      <c r="N1196" s="252">
        <v>0</v>
      </c>
      <c r="O1196" s="185" t="s">
        <v>51</v>
      </c>
    </row>
    <row r="1197" spans="1:15" x14ac:dyDescent="0.25">
      <c r="A1197" s="234" t="s">
        <v>7836</v>
      </c>
      <c r="B1197" s="234" t="s">
        <v>23</v>
      </c>
      <c r="C1197" s="245">
        <v>46148</v>
      </c>
      <c r="D1197" s="234" t="s">
        <v>7287</v>
      </c>
      <c r="E1197" s="246">
        <v>202905</v>
      </c>
      <c r="F1197" s="247">
        <v>0</v>
      </c>
      <c r="G1197" s="34" t="s">
        <v>7</v>
      </c>
      <c r="H1197" s="234" t="s">
        <v>7837</v>
      </c>
      <c r="I1197" s="248" t="s">
        <v>7</v>
      </c>
      <c r="J1197" s="249" t="s">
        <v>492</v>
      </c>
      <c r="K1197" s="250">
        <v>0</v>
      </c>
      <c r="L1197" s="250">
        <v>0</v>
      </c>
      <c r="M1197" s="251" t="s">
        <v>23</v>
      </c>
      <c r="N1197" s="252">
        <v>0</v>
      </c>
      <c r="O1197" s="185" t="s">
        <v>51</v>
      </c>
    </row>
    <row r="1198" spans="1:15" x14ac:dyDescent="0.25">
      <c r="A1198" s="234" t="s">
        <v>433</v>
      </c>
      <c r="B1198" s="234" t="s">
        <v>23</v>
      </c>
      <c r="C1198" s="245">
        <v>46148</v>
      </c>
      <c r="D1198" s="234" t="s">
        <v>7289</v>
      </c>
      <c r="E1198" s="246">
        <v>220270</v>
      </c>
      <c r="F1198" s="247">
        <v>0</v>
      </c>
      <c r="G1198" s="34" t="s">
        <v>7</v>
      </c>
      <c r="H1198" s="234" t="s">
        <v>432</v>
      </c>
      <c r="I1198" s="248" t="s">
        <v>7</v>
      </c>
      <c r="J1198" s="249" t="s">
        <v>492</v>
      </c>
      <c r="K1198" s="250">
        <v>0</v>
      </c>
      <c r="L1198" s="250">
        <v>0</v>
      </c>
      <c r="M1198" s="251" t="s">
        <v>23</v>
      </c>
      <c r="N1198" s="252">
        <v>0</v>
      </c>
      <c r="O1198" s="185" t="s">
        <v>51</v>
      </c>
    </row>
    <row r="1199" spans="1:15" x14ac:dyDescent="0.25">
      <c r="A1199" s="234" t="s">
        <v>1930</v>
      </c>
      <c r="B1199" s="234" t="s">
        <v>23</v>
      </c>
      <c r="C1199" s="245">
        <v>46148</v>
      </c>
      <c r="D1199" s="234" t="s">
        <v>546</v>
      </c>
      <c r="E1199" s="246">
        <v>100000</v>
      </c>
      <c r="F1199" s="247" t="s">
        <v>1929</v>
      </c>
      <c r="G1199" s="34" t="s">
        <v>7</v>
      </c>
      <c r="H1199" s="234" t="s">
        <v>1932</v>
      </c>
      <c r="I1199" s="248" t="s">
        <v>7</v>
      </c>
      <c r="J1199" s="249" t="s">
        <v>554</v>
      </c>
      <c r="K1199" s="250">
        <v>100000</v>
      </c>
      <c r="L1199" s="250">
        <v>0</v>
      </c>
      <c r="M1199" s="251" t="s">
        <v>23</v>
      </c>
      <c r="N1199" s="252">
        <v>0</v>
      </c>
      <c r="O1199" s="185" t="s">
        <v>51</v>
      </c>
    </row>
    <row r="1200" spans="1:15" x14ac:dyDescent="0.25">
      <c r="A1200" s="234" t="s">
        <v>2616</v>
      </c>
      <c r="B1200" s="234" t="s">
        <v>13</v>
      </c>
      <c r="C1200" s="245">
        <v>46148</v>
      </c>
      <c r="D1200" s="234">
        <v>0</v>
      </c>
      <c r="E1200" s="246">
        <v>155880</v>
      </c>
      <c r="F1200" s="247" t="s">
        <v>2618</v>
      </c>
      <c r="G1200" s="34" t="s">
        <v>7</v>
      </c>
      <c r="H1200" s="234" t="s">
        <v>2617</v>
      </c>
      <c r="I1200" s="248" t="s">
        <v>7</v>
      </c>
      <c r="J1200" s="249" t="s">
        <v>554</v>
      </c>
      <c r="K1200" s="250">
        <v>155880.54999999999</v>
      </c>
      <c r="L1200" s="250">
        <v>0</v>
      </c>
      <c r="M1200" s="251" t="s">
        <v>13</v>
      </c>
      <c r="N1200" s="252">
        <v>0</v>
      </c>
      <c r="O1200" s="185" t="s">
        <v>51</v>
      </c>
    </row>
    <row r="1201" spans="1:15" x14ac:dyDescent="0.25">
      <c r="A1201" s="234" t="s">
        <v>2613</v>
      </c>
      <c r="B1201" s="234" t="s">
        <v>13</v>
      </c>
      <c r="C1201" s="245">
        <v>46148</v>
      </c>
      <c r="D1201" s="234">
        <v>0</v>
      </c>
      <c r="E1201" s="246">
        <v>155880</v>
      </c>
      <c r="F1201" s="247" t="s">
        <v>2612</v>
      </c>
      <c r="G1201" s="34" t="s">
        <v>7</v>
      </c>
      <c r="H1201" s="234" t="s">
        <v>2614</v>
      </c>
      <c r="I1201" s="248" t="s">
        <v>7</v>
      </c>
      <c r="J1201" s="249" t="s">
        <v>61</v>
      </c>
      <c r="K1201" s="250">
        <v>155880.54999999999</v>
      </c>
      <c r="L1201" s="250">
        <v>0</v>
      </c>
      <c r="M1201" s="251" t="s">
        <v>13</v>
      </c>
      <c r="N1201" s="252">
        <v>0</v>
      </c>
      <c r="O1201" s="185" t="s">
        <v>51</v>
      </c>
    </row>
    <row r="1202" spans="1:15" x14ac:dyDescent="0.25">
      <c r="A1202" s="234" t="s">
        <v>1919</v>
      </c>
      <c r="B1202" s="234" t="s">
        <v>13</v>
      </c>
      <c r="C1202" s="245">
        <v>46148</v>
      </c>
      <c r="D1202" s="234">
        <v>0</v>
      </c>
      <c r="E1202" s="246">
        <v>165274</v>
      </c>
      <c r="F1202" s="247" t="s">
        <v>1921</v>
      </c>
      <c r="G1202" s="34" t="s">
        <v>7</v>
      </c>
      <c r="H1202" s="234" t="s">
        <v>1920</v>
      </c>
      <c r="I1202" s="248" t="s">
        <v>7</v>
      </c>
      <c r="J1202" s="249" t="s">
        <v>554</v>
      </c>
      <c r="K1202" s="250">
        <v>165274</v>
      </c>
      <c r="L1202" s="250">
        <v>0</v>
      </c>
      <c r="M1202" s="251" t="s">
        <v>13</v>
      </c>
      <c r="N1202" s="252">
        <v>0</v>
      </c>
      <c r="O1202" s="185" t="s">
        <v>51</v>
      </c>
    </row>
    <row r="1203" spans="1:15" x14ac:dyDescent="0.25">
      <c r="A1203" s="234" t="s">
        <v>5085</v>
      </c>
      <c r="B1203" s="234" t="s">
        <v>13</v>
      </c>
      <c r="C1203" s="245">
        <v>46148</v>
      </c>
      <c r="D1203" s="234">
        <v>0</v>
      </c>
      <c r="E1203" s="246">
        <v>42830</v>
      </c>
      <c r="F1203" s="247" t="s">
        <v>5084</v>
      </c>
      <c r="G1203" s="34" t="s">
        <v>7</v>
      </c>
      <c r="H1203" s="234" t="s">
        <v>5086</v>
      </c>
      <c r="I1203" s="248" t="s">
        <v>7</v>
      </c>
      <c r="J1203" s="249" t="s">
        <v>554</v>
      </c>
      <c r="K1203" s="250">
        <v>42830</v>
      </c>
      <c r="L1203" s="250">
        <v>0</v>
      </c>
      <c r="M1203" s="251" t="s">
        <v>13</v>
      </c>
      <c r="N1203" s="252">
        <v>0</v>
      </c>
      <c r="O1203" s="185" t="s">
        <v>51</v>
      </c>
    </row>
    <row r="1204" spans="1:15" x14ac:dyDescent="0.25">
      <c r="A1204" s="234" t="s">
        <v>2605</v>
      </c>
      <c r="B1204" s="234" t="s">
        <v>31</v>
      </c>
      <c r="C1204" s="245">
        <v>46148</v>
      </c>
      <c r="D1204" s="234" t="s">
        <v>546</v>
      </c>
      <c r="E1204" s="246">
        <v>8000</v>
      </c>
      <c r="F1204" s="247" t="s">
        <v>2611</v>
      </c>
      <c r="G1204" s="34" t="s">
        <v>7</v>
      </c>
      <c r="H1204" s="234" t="s">
        <v>2606</v>
      </c>
      <c r="I1204" s="248" t="s">
        <v>7</v>
      </c>
      <c r="J1204" s="249" t="s">
        <v>554</v>
      </c>
      <c r="K1204" s="250">
        <v>8000</v>
      </c>
      <c r="L1204" s="250">
        <v>0</v>
      </c>
      <c r="M1204" s="251" t="s">
        <v>31</v>
      </c>
      <c r="N1204" s="252">
        <v>0</v>
      </c>
      <c r="O1204" s="185" t="s">
        <v>51</v>
      </c>
    </row>
    <row r="1205" spans="1:15" x14ac:dyDescent="0.25">
      <c r="A1205" s="234" t="s">
        <v>4962</v>
      </c>
      <c r="B1205" s="234" t="s">
        <v>31</v>
      </c>
      <c r="C1205" s="245">
        <v>46148</v>
      </c>
      <c r="D1205" s="234" t="s">
        <v>575</v>
      </c>
      <c r="E1205" s="246">
        <v>202728</v>
      </c>
      <c r="F1205" s="247" t="s">
        <v>4961</v>
      </c>
      <c r="G1205" s="34" t="s">
        <v>7</v>
      </c>
      <c r="H1205" s="234" t="s">
        <v>4963</v>
      </c>
      <c r="I1205" s="248" t="s">
        <v>7</v>
      </c>
      <c r="J1205" s="249" t="s">
        <v>554</v>
      </c>
      <c r="K1205" s="250">
        <v>202728</v>
      </c>
      <c r="L1205" s="250">
        <v>0</v>
      </c>
      <c r="M1205" s="251" t="s">
        <v>31</v>
      </c>
      <c r="N1205" s="252">
        <v>0</v>
      </c>
      <c r="O1205" s="185" t="s">
        <v>51</v>
      </c>
    </row>
    <row r="1206" spans="1:15" x14ac:dyDescent="0.25">
      <c r="A1206" s="234" t="s">
        <v>5048</v>
      </c>
      <c r="B1206" s="234" t="s">
        <v>31</v>
      </c>
      <c r="C1206" s="245">
        <v>46148</v>
      </c>
      <c r="D1206" s="234" t="s">
        <v>546</v>
      </c>
      <c r="E1206" s="246">
        <v>50000</v>
      </c>
      <c r="F1206" s="247" t="s">
        <v>5052</v>
      </c>
      <c r="G1206" s="34" t="s">
        <v>7</v>
      </c>
      <c r="H1206" s="234" t="s">
        <v>5049</v>
      </c>
      <c r="I1206" s="248" t="s">
        <v>7</v>
      </c>
      <c r="J1206" s="249" t="s">
        <v>554</v>
      </c>
      <c r="K1206" s="250">
        <v>50000</v>
      </c>
      <c r="L1206" s="250">
        <v>0</v>
      </c>
      <c r="M1206" s="251" t="s">
        <v>31</v>
      </c>
      <c r="N1206" s="252">
        <v>0</v>
      </c>
      <c r="O1206" s="185" t="s">
        <v>51</v>
      </c>
    </row>
    <row r="1207" spans="1:15" x14ac:dyDescent="0.25">
      <c r="A1207" s="234" t="s">
        <v>2766</v>
      </c>
      <c r="B1207" s="234" t="s">
        <v>31</v>
      </c>
      <c r="C1207" s="245">
        <v>46148</v>
      </c>
      <c r="D1207" s="234" t="s">
        <v>546</v>
      </c>
      <c r="E1207" s="246">
        <v>11000</v>
      </c>
      <c r="F1207" s="247" t="s">
        <v>2765</v>
      </c>
      <c r="G1207" s="34" t="s">
        <v>7</v>
      </c>
      <c r="H1207" s="234" t="s">
        <v>2767</v>
      </c>
      <c r="I1207" s="248" t="s">
        <v>7</v>
      </c>
      <c r="J1207" s="249" t="s">
        <v>554</v>
      </c>
      <c r="K1207" s="250">
        <v>11000</v>
      </c>
      <c r="L1207" s="250">
        <v>0</v>
      </c>
      <c r="M1207" s="251" t="s">
        <v>31</v>
      </c>
      <c r="N1207" s="252">
        <v>0</v>
      </c>
      <c r="O1207" s="185" t="s">
        <v>51</v>
      </c>
    </row>
    <row r="1208" spans="1:15" x14ac:dyDescent="0.25">
      <c r="A1208" s="234" t="s">
        <v>2557</v>
      </c>
      <c r="B1208" s="234" t="s">
        <v>31</v>
      </c>
      <c r="C1208" s="245">
        <v>46148</v>
      </c>
      <c r="D1208" s="234" t="s">
        <v>595</v>
      </c>
      <c r="E1208" s="246">
        <v>165208</v>
      </c>
      <c r="F1208" s="247" t="s">
        <v>2556</v>
      </c>
      <c r="G1208" s="34" t="s">
        <v>7</v>
      </c>
      <c r="H1208" s="234" t="s">
        <v>2558</v>
      </c>
      <c r="I1208" s="248" t="s">
        <v>7</v>
      </c>
      <c r="J1208" s="249" t="s">
        <v>554</v>
      </c>
      <c r="K1208" s="250">
        <v>165207.41</v>
      </c>
      <c r="L1208" s="250">
        <v>0</v>
      </c>
      <c r="M1208" s="251" t="s">
        <v>31</v>
      </c>
      <c r="N1208" s="252">
        <v>0</v>
      </c>
      <c r="O1208" s="185" t="s">
        <v>51</v>
      </c>
    </row>
    <row r="1209" spans="1:15" x14ac:dyDescent="0.25">
      <c r="A1209" s="234" t="s">
        <v>7838</v>
      </c>
      <c r="B1209" s="234" t="s">
        <v>31</v>
      </c>
      <c r="C1209" s="245">
        <v>46148</v>
      </c>
      <c r="D1209" s="234" t="s">
        <v>575</v>
      </c>
      <c r="E1209" s="246">
        <v>262387</v>
      </c>
      <c r="F1209" s="247">
        <v>0</v>
      </c>
      <c r="G1209" s="34" t="s">
        <v>7</v>
      </c>
      <c r="H1209" s="234" t="s">
        <v>7839</v>
      </c>
      <c r="I1209" s="248" t="s">
        <v>7</v>
      </c>
      <c r="J1209" s="249" t="s">
        <v>492</v>
      </c>
      <c r="K1209" s="250">
        <v>0</v>
      </c>
      <c r="L1209" s="250">
        <v>0</v>
      </c>
      <c r="M1209" s="251" t="s">
        <v>31</v>
      </c>
      <c r="N1209" s="252">
        <v>0</v>
      </c>
      <c r="O1209" s="185" t="s">
        <v>51</v>
      </c>
    </row>
    <row r="1210" spans="1:15" x14ac:dyDescent="0.25">
      <c r="A1210" s="234" t="s">
        <v>2547</v>
      </c>
      <c r="B1210" s="234" t="s">
        <v>31</v>
      </c>
      <c r="C1210" s="245">
        <v>46148</v>
      </c>
      <c r="D1210" s="234" t="s">
        <v>546</v>
      </c>
      <c r="E1210" s="246">
        <v>40000</v>
      </c>
      <c r="F1210" s="247" t="s">
        <v>2546</v>
      </c>
      <c r="G1210" s="34" t="s">
        <v>7</v>
      </c>
      <c r="H1210" s="234" t="s">
        <v>2549</v>
      </c>
      <c r="I1210" s="248" t="s">
        <v>7</v>
      </c>
      <c r="J1210" s="249" t="s">
        <v>554</v>
      </c>
      <c r="K1210" s="250">
        <v>40000</v>
      </c>
      <c r="L1210" s="250">
        <v>0</v>
      </c>
      <c r="M1210" s="251" t="s">
        <v>31</v>
      </c>
      <c r="N1210" s="252">
        <v>0</v>
      </c>
      <c r="O1210" s="185" t="s">
        <v>51</v>
      </c>
    </row>
    <row r="1211" spans="1:15" x14ac:dyDescent="0.25">
      <c r="A1211" s="234" t="s">
        <v>7840</v>
      </c>
      <c r="B1211" s="234" t="s">
        <v>31</v>
      </c>
      <c r="C1211" s="245">
        <v>46148</v>
      </c>
      <c r="D1211" s="234">
        <v>0</v>
      </c>
      <c r="E1211" s="246">
        <v>130105</v>
      </c>
      <c r="F1211" s="247">
        <v>0</v>
      </c>
      <c r="G1211" s="34" t="s">
        <v>7</v>
      </c>
      <c r="H1211" s="234" t="s">
        <v>7841</v>
      </c>
      <c r="I1211" s="248" t="s">
        <v>7</v>
      </c>
      <c r="J1211" s="249" t="s">
        <v>492</v>
      </c>
      <c r="K1211" s="250">
        <v>0</v>
      </c>
      <c r="L1211" s="250">
        <v>0</v>
      </c>
      <c r="M1211" s="251" t="s">
        <v>31</v>
      </c>
      <c r="N1211" s="252">
        <v>0</v>
      </c>
      <c r="O1211" s="185" t="s">
        <v>51</v>
      </c>
    </row>
    <row r="1212" spans="1:15" x14ac:dyDescent="0.25">
      <c r="A1212" s="234" t="s">
        <v>1741</v>
      </c>
      <c r="B1212" s="234" t="s">
        <v>20</v>
      </c>
      <c r="C1212" s="245">
        <v>46148</v>
      </c>
      <c r="D1212" s="234">
        <v>0</v>
      </c>
      <c r="E1212" s="246">
        <v>100000</v>
      </c>
      <c r="F1212" s="247">
        <v>0</v>
      </c>
      <c r="G1212" s="34" t="s">
        <v>7</v>
      </c>
      <c r="H1212" s="234" t="s">
        <v>1742</v>
      </c>
      <c r="I1212" s="248" t="s">
        <v>7</v>
      </c>
      <c r="J1212" s="249" t="s">
        <v>492</v>
      </c>
      <c r="K1212" s="250">
        <v>0</v>
      </c>
      <c r="L1212" s="250">
        <v>0</v>
      </c>
      <c r="M1212" s="251" t="s">
        <v>20</v>
      </c>
      <c r="N1212" s="252">
        <v>0</v>
      </c>
      <c r="O1212" s="185" t="s">
        <v>51</v>
      </c>
    </row>
    <row r="1213" spans="1:15" x14ac:dyDescent="0.25">
      <c r="A1213" s="234" t="s">
        <v>1741</v>
      </c>
      <c r="B1213" s="234" t="s">
        <v>20</v>
      </c>
      <c r="C1213" s="245">
        <v>46148</v>
      </c>
      <c r="D1213" s="234">
        <v>0</v>
      </c>
      <c r="E1213" s="246">
        <v>214370</v>
      </c>
      <c r="F1213" s="247">
        <v>0</v>
      </c>
      <c r="G1213" s="34" t="s">
        <v>7</v>
      </c>
      <c r="H1213" s="234" t="s">
        <v>1742</v>
      </c>
      <c r="I1213" s="248" t="s">
        <v>7</v>
      </c>
      <c r="J1213" s="249" t="s">
        <v>492</v>
      </c>
      <c r="K1213" s="250">
        <v>0</v>
      </c>
      <c r="L1213" s="250">
        <v>0</v>
      </c>
      <c r="M1213" s="251" t="s">
        <v>20</v>
      </c>
      <c r="N1213" s="252">
        <v>0</v>
      </c>
      <c r="O1213" s="185" t="s">
        <v>51</v>
      </c>
    </row>
    <row r="1214" spans="1:15" x14ac:dyDescent="0.25">
      <c r="A1214" s="234" t="s">
        <v>1716</v>
      </c>
      <c r="B1214" s="234" t="s">
        <v>20</v>
      </c>
      <c r="C1214" s="245">
        <v>46148</v>
      </c>
      <c r="D1214" s="234">
        <v>0</v>
      </c>
      <c r="E1214" s="246">
        <v>239760</v>
      </c>
      <c r="F1214" s="247" t="s">
        <v>1715</v>
      </c>
      <c r="G1214" s="34" t="s">
        <v>7</v>
      </c>
      <c r="H1214" s="234" t="s">
        <v>1717</v>
      </c>
      <c r="I1214" s="248" t="s">
        <v>7</v>
      </c>
      <c r="J1214" s="249" t="s">
        <v>554</v>
      </c>
      <c r="K1214" s="250">
        <v>239760</v>
      </c>
      <c r="L1214" s="250">
        <v>0</v>
      </c>
      <c r="M1214" s="251" t="s">
        <v>20</v>
      </c>
      <c r="N1214" s="252">
        <v>0</v>
      </c>
      <c r="O1214" s="185" t="s">
        <v>51</v>
      </c>
    </row>
    <row r="1215" spans="1:15" x14ac:dyDescent="0.25">
      <c r="A1215" s="234" t="s">
        <v>972</v>
      </c>
      <c r="B1215" s="234" t="s">
        <v>20</v>
      </c>
      <c r="C1215" s="245">
        <v>46148</v>
      </c>
      <c r="D1215" s="234">
        <v>0</v>
      </c>
      <c r="E1215" s="246">
        <v>50000</v>
      </c>
      <c r="F1215" s="247" t="s">
        <v>974</v>
      </c>
      <c r="G1215" s="34" t="s">
        <v>7</v>
      </c>
      <c r="H1215" s="234" t="s">
        <v>973</v>
      </c>
      <c r="I1215" s="248" t="s">
        <v>7</v>
      </c>
      <c r="J1215" s="249" t="s">
        <v>554</v>
      </c>
      <c r="K1215" s="250">
        <v>50000</v>
      </c>
      <c r="L1215" s="250">
        <v>0</v>
      </c>
      <c r="M1215" s="251" t="s">
        <v>20</v>
      </c>
      <c r="N1215" s="252">
        <v>0</v>
      </c>
      <c r="O1215" s="185" t="s">
        <v>51</v>
      </c>
    </row>
    <row r="1216" spans="1:15" x14ac:dyDescent="0.25">
      <c r="A1216" s="234" t="s">
        <v>972</v>
      </c>
      <c r="B1216" s="234" t="s">
        <v>20</v>
      </c>
      <c r="C1216" s="245">
        <v>46148</v>
      </c>
      <c r="D1216" s="234">
        <v>0</v>
      </c>
      <c r="E1216" s="246">
        <v>49000</v>
      </c>
      <c r="F1216" s="247" t="s">
        <v>971</v>
      </c>
      <c r="G1216" s="34" t="s">
        <v>7</v>
      </c>
      <c r="H1216" s="234" t="s">
        <v>973</v>
      </c>
      <c r="I1216" s="248" t="s">
        <v>7</v>
      </c>
      <c r="J1216" s="249" t="s">
        <v>554</v>
      </c>
      <c r="K1216" s="250">
        <v>49000</v>
      </c>
      <c r="L1216" s="250">
        <v>0</v>
      </c>
      <c r="M1216" s="251" t="s">
        <v>20</v>
      </c>
      <c r="N1216" s="252">
        <v>0</v>
      </c>
      <c r="O1216" s="185" t="s">
        <v>51</v>
      </c>
    </row>
    <row r="1217" spans="1:15" x14ac:dyDescent="0.25">
      <c r="A1217" s="234" t="s">
        <v>962</v>
      </c>
      <c r="B1217" s="234" t="s">
        <v>20</v>
      </c>
      <c r="C1217" s="245">
        <v>46148</v>
      </c>
      <c r="D1217" s="234">
        <v>0</v>
      </c>
      <c r="E1217" s="246">
        <v>23663</v>
      </c>
      <c r="F1217" s="247" t="s">
        <v>961</v>
      </c>
      <c r="G1217" s="34" t="s">
        <v>7</v>
      </c>
      <c r="H1217" s="234" t="s">
        <v>963</v>
      </c>
      <c r="I1217" s="248" t="s">
        <v>7</v>
      </c>
      <c r="J1217" s="249" t="s">
        <v>554</v>
      </c>
      <c r="K1217" s="250">
        <v>23663</v>
      </c>
      <c r="L1217" s="250">
        <v>0</v>
      </c>
      <c r="M1217" s="251" t="s">
        <v>20</v>
      </c>
      <c r="N1217" s="252">
        <v>0</v>
      </c>
      <c r="O1217" s="185" t="s">
        <v>51</v>
      </c>
    </row>
    <row r="1218" spans="1:15" x14ac:dyDescent="0.25">
      <c r="A1218" s="234" t="s">
        <v>1279</v>
      </c>
      <c r="B1218" s="234" t="s">
        <v>20</v>
      </c>
      <c r="C1218" s="245">
        <v>46148</v>
      </c>
      <c r="D1218" s="234">
        <v>0</v>
      </c>
      <c r="E1218" s="246">
        <v>166014</v>
      </c>
      <c r="F1218" s="247" t="s">
        <v>1278</v>
      </c>
      <c r="G1218" s="34" t="s">
        <v>7</v>
      </c>
      <c r="H1218" s="234" t="s">
        <v>1280</v>
      </c>
      <c r="I1218" s="248" t="s">
        <v>7</v>
      </c>
      <c r="J1218" s="249" t="s">
        <v>554</v>
      </c>
      <c r="K1218" s="250">
        <v>166014</v>
      </c>
      <c r="L1218" s="250">
        <v>0</v>
      </c>
      <c r="M1218" s="251" t="s">
        <v>20</v>
      </c>
      <c r="N1218" s="252">
        <v>0</v>
      </c>
      <c r="O1218" s="185" t="s">
        <v>51</v>
      </c>
    </row>
    <row r="1219" spans="1:15" x14ac:dyDescent="0.25">
      <c r="A1219" s="234" t="s">
        <v>1741</v>
      </c>
      <c r="B1219" s="234" t="s">
        <v>20</v>
      </c>
      <c r="C1219" s="245">
        <v>46148</v>
      </c>
      <c r="D1219" s="234">
        <v>0</v>
      </c>
      <c r="E1219" s="246">
        <v>943112</v>
      </c>
      <c r="F1219" s="247">
        <v>0</v>
      </c>
      <c r="G1219" s="34" t="s">
        <v>7</v>
      </c>
      <c r="H1219" s="234" t="s">
        <v>1742</v>
      </c>
      <c r="I1219" s="248" t="s">
        <v>7</v>
      </c>
      <c r="J1219" s="249" t="s">
        <v>492</v>
      </c>
      <c r="K1219" s="250">
        <v>0</v>
      </c>
      <c r="L1219" s="250">
        <v>0</v>
      </c>
      <c r="M1219" s="251" t="s">
        <v>20</v>
      </c>
      <c r="N1219" s="252">
        <v>0</v>
      </c>
      <c r="O1219" s="185" t="s">
        <v>51</v>
      </c>
    </row>
    <row r="1220" spans="1:15" x14ac:dyDescent="0.25">
      <c r="A1220" s="234" t="s">
        <v>7842</v>
      </c>
      <c r="B1220" s="234" t="s">
        <v>20</v>
      </c>
      <c r="C1220" s="245">
        <v>46148</v>
      </c>
      <c r="D1220" s="234">
        <v>0</v>
      </c>
      <c r="E1220" s="246">
        <v>166014</v>
      </c>
      <c r="F1220" s="247" t="s">
        <v>7843</v>
      </c>
      <c r="G1220" s="34" t="s">
        <v>7</v>
      </c>
      <c r="H1220" s="234" t="s">
        <v>7844</v>
      </c>
      <c r="I1220" s="248" t="s">
        <v>7</v>
      </c>
      <c r="J1220" s="249" t="s">
        <v>492</v>
      </c>
      <c r="K1220" s="250">
        <v>0</v>
      </c>
      <c r="L1220" s="250">
        <v>0</v>
      </c>
      <c r="M1220" s="251" t="s">
        <v>20</v>
      </c>
      <c r="N1220" s="252">
        <v>0</v>
      </c>
      <c r="O1220" s="185" t="s">
        <v>51</v>
      </c>
    </row>
    <row r="1221" spans="1:15" x14ac:dyDescent="0.25">
      <c r="A1221" s="234" t="s">
        <v>7845</v>
      </c>
      <c r="B1221" s="234" t="s">
        <v>20</v>
      </c>
      <c r="C1221" s="245">
        <v>46148</v>
      </c>
      <c r="D1221" s="234">
        <v>0</v>
      </c>
      <c r="E1221" s="246">
        <v>141600</v>
      </c>
      <c r="F1221" s="247">
        <v>0</v>
      </c>
      <c r="G1221" s="34" t="s">
        <v>7</v>
      </c>
      <c r="H1221" s="234" t="s">
        <v>7846</v>
      </c>
      <c r="I1221" s="248" t="s">
        <v>7</v>
      </c>
      <c r="J1221" s="249" t="s">
        <v>492</v>
      </c>
      <c r="K1221" s="250">
        <v>0</v>
      </c>
      <c r="L1221" s="250">
        <v>0</v>
      </c>
      <c r="M1221" s="251" t="s">
        <v>20</v>
      </c>
      <c r="N1221" s="252">
        <v>0</v>
      </c>
      <c r="O1221" s="185" t="s">
        <v>51</v>
      </c>
    </row>
    <row r="1222" spans="1:15" x14ac:dyDescent="0.25">
      <c r="A1222" s="234" t="s">
        <v>1693</v>
      </c>
      <c r="B1222" s="234" t="s">
        <v>20</v>
      </c>
      <c r="C1222" s="245">
        <v>46148</v>
      </c>
      <c r="D1222" s="234">
        <v>0</v>
      </c>
      <c r="E1222" s="246">
        <v>243917</v>
      </c>
      <c r="F1222" s="247" t="s">
        <v>1692</v>
      </c>
      <c r="G1222" s="34" t="s">
        <v>7</v>
      </c>
      <c r="H1222" s="234" t="s">
        <v>1694</v>
      </c>
      <c r="I1222" s="248" t="s">
        <v>7</v>
      </c>
      <c r="J1222" s="249" t="s">
        <v>554</v>
      </c>
      <c r="K1222" s="250">
        <v>243731</v>
      </c>
      <c r="L1222" s="250">
        <v>0</v>
      </c>
      <c r="M1222" s="251" t="s">
        <v>20</v>
      </c>
      <c r="N1222" s="252">
        <v>0</v>
      </c>
      <c r="O1222" s="185" t="s">
        <v>51</v>
      </c>
    </row>
    <row r="1223" spans="1:15" x14ac:dyDescent="0.25">
      <c r="A1223" s="234" t="s">
        <v>1696</v>
      </c>
      <c r="B1223" s="234" t="s">
        <v>20</v>
      </c>
      <c r="C1223" s="245">
        <v>46148</v>
      </c>
      <c r="D1223" s="234">
        <v>0</v>
      </c>
      <c r="E1223" s="246">
        <v>243100</v>
      </c>
      <c r="F1223" s="247" t="s">
        <v>1695</v>
      </c>
      <c r="G1223" s="34" t="s">
        <v>7</v>
      </c>
      <c r="H1223" s="234" t="s">
        <v>1697</v>
      </c>
      <c r="I1223" s="248" t="s">
        <v>7</v>
      </c>
      <c r="J1223" s="249" t="s">
        <v>554</v>
      </c>
      <c r="K1223" s="250">
        <v>243101</v>
      </c>
      <c r="L1223" s="250">
        <v>0</v>
      </c>
      <c r="M1223" s="251" t="s">
        <v>20</v>
      </c>
      <c r="N1223" s="252">
        <v>0</v>
      </c>
      <c r="O1223" s="185" t="s">
        <v>51</v>
      </c>
    </row>
    <row r="1224" spans="1:15" x14ac:dyDescent="0.25">
      <c r="A1224" s="234" t="s">
        <v>985</v>
      </c>
      <c r="B1224" s="234" t="s">
        <v>20</v>
      </c>
      <c r="C1224" s="245">
        <v>46148</v>
      </c>
      <c r="D1224" s="234">
        <v>0</v>
      </c>
      <c r="E1224" s="246">
        <v>162371</v>
      </c>
      <c r="F1224" s="247">
        <v>0</v>
      </c>
      <c r="G1224" s="34" t="s">
        <v>7</v>
      </c>
      <c r="H1224" s="234" t="s">
        <v>986</v>
      </c>
      <c r="I1224" s="248" t="s">
        <v>7</v>
      </c>
      <c r="J1224" s="249" t="s">
        <v>492</v>
      </c>
      <c r="K1224" s="250">
        <v>0</v>
      </c>
      <c r="L1224" s="250">
        <v>0</v>
      </c>
      <c r="M1224" s="251" t="s">
        <v>20</v>
      </c>
      <c r="N1224" s="252">
        <v>0</v>
      </c>
      <c r="O1224" s="185" t="s">
        <v>51</v>
      </c>
    </row>
    <row r="1225" spans="1:15" x14ac:dyDescent="0.25">
      <c r="A1225" s="234" t="s">
        <v>5693</v>
      </c>
      <c r="B1225" s="234" t="s">
        <v>20</v>
      </c>
      <c r="C1225" s="245">
        <v>46148</v>
      </c>
      <c r="D1225" s="234">
        <v>0</v>
      </c>
      <c r="E1225" s="246">
        <v>200000</v>
      </c>
      <c r="F1225" s="247" t="s">
        <v>5697</v>
      </c>
      <c r="G1225" s="34" t="s">
        <v>7</v>
      </c>
      <c r="H1225" s="234" t="s">
        <v>5694</v>
      </c>
      <c r="I1225" s="248" t="s">
        <v>7</v>
      </c>
      <c r="J1225" s="249" t="s">
        <v>554</v>
      </c>
      <c r="K1225" s="250">
        <v>200000</v>
      </c>
      <c r="L1225" s="250">
        <v>0</v>
      </c>
      <c r="M1225" s="251" t="s">
        <v>20</v>
      </c>
      <c r="N1225" s="252">
        <v>0</v>
      </c>
      <c r="O1225" s="185" t="s">
        <v>51</v>
      </c>
    </row>
    <row r="1226" spans="1:15" x14ac:dyDescent="0.25">
      <c r="A1226" s="234" t="s">
        <v>5693</v>
      </c>
      <c r="B1226" s="234" t="s">
        <v>20</v>
      </c>
      <c r="C1226" s="245">
        <v>46148</v>
      </c>
      <c r="D1226" s="234">
        <v>0</v>
      </c>
      <c r="E1226" s="246">
        <v>40000</v>
      </c>
      <c r="F1226" s="247" t="s">
        <v>5696</v>
      </c>
      <c r="G1226" s="34" t="s">
        <v>7</v>
      </c>
      <c r="H1226" s="234" t="s">
        <v>5694</v>
      </c>
      <c r="I1226" s="248" t="s">
        <v>7</v>
      </c>
      <c r="J1226" s="249" t="s">
        <v>554</v>
      </c>
      <c r="K1226" s="250">
        <v>40000</v>
      </c>
      <c r="L1226" s="250">
        <v>0</v>
      </c>
      <c r="M1226" s="251" t="s">
        <v>20</v>
      </c>
      <c r="N1226" s="252">
        <v>0</v>
      </c>
      <c r="O1226" s="185" t="s">
        <v>51</v>
      </c>
    </row>
    <row r="1227" spans="1:15" x14ac:dyDescent="0.25">
      <c r="A1227" s="234" t="s">
        <v>5693</v>
      </c>
      <c r="B1227" s="234" t="s">
        <v>20</v>
      </c>
      <c r="C1227" s="245">
        <v>46148</v>
      </c>
      <c r="D1227" s="234">
        <v>0</v>
      </c>
      <c r="E1227" s="246">
        <v>50000</v>
      </c>
      <c r="F1227" s="247" t="s">
        <v>5695</v>
      </c>
      <c r="G1227" s="34" t="s">
        <v>7</v>
      </c>
      <c r="H1227" s="234" t="s">
        <v>5694</v>
      </c>
      <c r="I1227" s="248" t="s">
        <v>7</v>
      </c>
      <c r="J1227" s="249" t="s">
        <v>554</v>
      </c>
      <c r="K1227" s="250">
        <v>50000</v>
      </c>
      <c r="L1227" s="250">
        <v>0</v>
      </c>
      <c r="M1227" s="251" t="s">
        <v>20</v>
      </c>
      <c r="N1227" s="252">
        <v>0</v>
      </c>
      <c r="O1227" s="185" t="s">
        <v>51</v>
      </c>
    </row>
    <row r="1228" spans="1:15" x14ac:dyDescent="0.25">
      <c r="A1228" s="234" t="s">
        <v>5693</v>
      </c>
      <c r="B1228" s="234" t="s">
        <v>20</v>
      </c>
      <c r="C1228" s="245">
        <v>46148</v>
      </c>
      <c r="D1228" s="234">
        <v>0</v>
      </c>
      <c r="E1228" s="246">
        <v>60000</v>
      </c>
      <c r="F1228" s="247" t="s">
        <v>5692</v>
      </c>
      <c r="G1228" s="34" t="s">
        <v>7</v>
      </c>
      <c r="H1228" s="234" t="s">
        <v>5694</v>
      </c>
      <c r="I1228" s="248" t="s">
        <v>7</v>
      </c>
      <c r="J1228" s="249" t="s">
        <v>554</v>
      </c>
      <c r="K1228" s="250">
        <v>60000</v>
      </c>
      <c r="L1228" s="250">
        <v>0</v>
      </c>
      <c r="M1228" s="251" t="s">
        <v>20</v>
      </c>
      <c r="N1228" s="252">
        <v>0</v>
      </c>
      <c r="O1228" s="185" t="s">
        <v>51</v>
      </c>
    </row>
    <row r="1229" spans="1:15" x14ac:dyDescent="0.25">
      <c r="A1229" s="234" t="s">
        <v>5804</v>
      </c>
      <c r="B1229" s="234" t="s">
        <v>24</v>
      </c>
      <c r="C1229" s="245">
        <v>46148</v>
      </c>
      <c r="D1229" s="234">
        <v>0</v>
      </c>
      <c r="E1229" s="246">
        <v>100000</v>
      </c>
      <c r="F1229" s="247" t="s">
        <v>5803</v>
      </c>
      <c r="G1229" s="34" t="s">
        <v>7</v>
      </c>
      <c r="H1229" s="234" t="s">
        <v>5805</v>
      </c>
      <c r="I1229" s="248" t="s">
        <v>7</v>
      </c>
      <c r="J1229" s="249" t="s">
        <v>554</v>
      </c>
      <c r="K1229" s="250">
        <v>99960</v>
      </c>
      <c r="L1229" s="250">
        <v>0</v>
      </c>
      <c r="M1229" s="251" t="s">
        <v>24</v>
      </c>
      <c r="N1229" s="252">
        <v>0</v>
      </c>
      <c r="O1229" s="185" t="s">
        <v>51</v>
      </c>
    </row>
    <row r="1230" spans="1:15" x14ac:dyDescent="0.25">
      <c r="A1230" s="234" t="s">
        <v>4622</v>
      </c>
      <c r="B1230" s="234" t="s">
        <v>24</v>
      </c>
      <c r="C1230" s="245">
        <v>46148</v>
      </c>
      <c r="D1230" s="234">
        <v>0</v>
      </c>
      <c r="E1230" s="246">
        <v>189102</v>
      </c>
      <c r="F1230" s="247" t="s">
        <v>4621</v>
      </c>
      <c r="G1230" s="34" t="s">
        <v>7</v>
      </c>
      <c r="H1230" s="234" t="s">
        <v>4623</v>
      </c>
      <c r="I1230" s="248" t="s">
        <v>7</v>
      </c>
      <c r="J1230" s="249" t="s">
        <v>61</v>
      </c>
      <c r="K1230" s="250">
        <v>189102</v>
      </c>
      <c r="L1230" s="250">
        <v>0</v>
      </c>
      <c r="M1230" s="251" t="s">
        <v>24</v>
      </c>
      <c r="N1230" s="252">
        <v>0</v>
      </c>
      <c r="O1230" s="185" t="s">
        <v>51</v>
      </c>
    </row>
    <row r="1231" spans="1:15" x14ac:dyDescent="0.25">
      <c r="A1231" s="234" t="s">
        <v>4672</v>
      </c>
      <c r="B1231" s="234" t="s">
        <v>24</v>
      </c>
      <c r="C1231" s="245">
        <v>46148</v>
      </c>
      <c r="D1231" s="234">
        <v>0</v>
      </c>
      <c r="E1231" s="246">
        <v>238079</v>
      </c>
      <c r="F1231" s="247" t="s">
        <v>4671</v>
      </c>
      <c r="G1231" s="34" t="s">
        <v>7</v>
      </c>
      <c r="H1231" s="234" t="s">
        <v>4673</v>
      </c>
      <c r="I1231" s="248" t="s">
        <v>7</v>
      </c>
      <c r="J1231" s="249" t="s">
        <v>554</v>
      </c>
      <c r="K1231" s="250">
        <v>238079.12</v>
      </c>
      <c r="L1231" s="250">
        <v>0</v>
      </c>
      <c r="M1231" s="251" t="s">
        <v>24</v>
      </c>
      <c r="N1231" s="252">
        <v>0</v>
      </c>
      <c r="O1231" s="185" t="s">
        <v>51</v>
      </c>
    </row>
    <row r="1232" spans="1:15" x14ac:dyDescent="0.25">
      <c r="A1232" s="234" t="s">
        <v>4640</v>
      </c>
      <c r="B1232" s="234" t="s">
        <v>24</v>
      </c>
      <c r="C1232" s="245">
        <v>46148</v>
      </c>
      <c r="D1232" s="234">
        <v>0</v>
      </c>
      <c r="E1232" s="246">
        <v>344708</v>
      </c>
      <c r="F1232" s="247" t="s">
        <v>4639</v>
      </c>
      <c r="G1232" s="34" t="s">
        <v>7</v>
      </c>
      <c r="H1232" s="234" t="s">
        <v>4641</v>
      </c>
      <c r="I1232" s="248" t="s">
        <v>7</v>
      </c>
      <c r="J1232" s="249" t="s">
        <v>554</v>
      </c>
      <c r="K1232" s="250">
        <v>344628</v>
      </c>
      <c r="L1232" s="250">
        <v>0</v>
      </c>
      <c r="M1232" s="251" t="s">
        <v>24</v>
      </c>
      <c r="N1232" s="252">
        <v>0</v>
      </c>
      <c r="O1232" s="185" t="s">
        <v>51</v>
      </c>
    </row>
    <row r="1233" spans="1:15" x14ac:dyDescent="0.25">
      <c r="A1233" s="234" t="s">
        <v>4696</v>
      </c>
      <c r="B1233" s="234" t="s">
        <v>24</v>
      </c>
      <c r="C1233" s="245">
        <v>46148</v>
      </c>
      <c r="D1233" s="234">
        <v>0</v>
      </c>
      <c r="E1233" s="246">
        <v>195687</v>
      </c>
      <c r="F1233" s="247" t="s">
        <v>4695</v>
      </c>
      <c r="G1233" s="34" t="s">
        <v>7</v>
      </c>
      <c r="H1233" s="234" t="s">
        <v>4697</v>
      </c>
      <c r="I1233" s="248" t="s">
        <v>7</v>
      </c>
      <c r="J1233" s="249" t="s">
        <v>554</v>
      </c>
      <c r="K1233" s="250">
        <v>195477</v>
      </c>
      <c r="L1233" s="250">
        <v>0</v>
      </c>
      <c r="M1233" s="251" t="s">
        <v>24</v>
      </c>
      <c r="N1233" s="252">
        <v>0</v>
      </c>
      <c r="O1233" s="185" t="s">
        <v>51</v>
      </c>
    </row>
    <row r="1234" spans="1:15" x14ac:dyDescent="0.25">
      <c r="A1234" s="234" t="s">
        <v>4625</v>
      </c>
      <c r="B1234" s="234" t="s">
        <v>24</v>
      </c>
      <c r="C1234" s="245">
        <v>46148</v>
      </c>
      <c r="D1234" s="234">
        <v>0</v>
      </c>
      <c r="E1234" s="246">
        <v>187000</v>
      </c>
      <c r="F1234" s="247" t="s">
        <v>4624</v>
      </c>
      <c r="G1234" s="34" t="s">
        <v>7</v>
      </c>
      <c r="H1234" s="234" t="s">
        <v>4626</v>
      </c>
      <c r="I1234" s="248" t="s">
        <v>7</v>
      </c>
      <c r="J1234" s="249" t="s">
        <v>61</v>
      </c>
      <c r="K1234" s="250">
        <v>187000</v>
      </c>
      <c r="L1234" s="250">
        <v>0</v>
      </c>
      <c r="M1234" s="251" t="s">
        <v>24</v>
      </c>
      <c r="N1234" s="252">
        <v>0</v>
      </c>
      <c r="O1234" s="185" t="s">
        <v>51</v>
      </c>
    </row>
    <row r="1235" spans="1:15" x14ac:dyDescent="0.25">
      <c r="A1235" s="234" t="s">
        <v>4703</v>
      </c>
      <c r="B1235" s="234" t="s">
        <v>24</v>
      </c>
      <c r="C1235" s="245">
        <v>46148</v>
      </c>
      <c r="D1235" s="234">
        <v>0</v>
      </c>
      <c r="E1235" s="246">
        <v>41375</v>
      </c>
      <c r="F1235" s="247" t="s">
        <v>4711</v>
      </c>
      <c r="G1235" s="34" t="s">
        <v>7</v>
      </c>
      <c r="H1235" s="234" t="s">
        <v>4704</v>
      </c>
      <c r="I1235" s="248" t="s">
        <v>7</v>
      </c>
      <c r="J1235" s="249" t="s">
        <v>61</v>
      </c>
      <c r="K1235" s="250">
        <v>41375</v>
      </c>
      <c r="L1235" s="250">
        <v>0</v>
      </c>
      <c r="M1235" s="251" t="s">
        <v>24</v>
      </c>
      <c r="N1235" s="252">
        <v>0</v>
      </c>
      <c r="O1235" s="185" t="s">
        <v>51</v>
      </c>
    </row>
    <row r="1236" spans="1:15" x14ac:dyDescent="0.25">
      <c r="A1236" s="234" t="s">
        <v>2256</v>
      </c>
      <c r="B1236" s="234" t="s">
        <v>24</v>
      </c>
      <c r="C1236" s="245">
        <v>46148</v>
      </c>
      <c r="D1236" s="234">
        <v>0</v>
      </c>
      <c r="E1236" s="246">
        <v>40000</v>
      </c>
      <c r="F1236" s="247" t="s">
        <v>2260</v>
      </c>
      <c r="G1236" s="34" t="s">
        <v>7</v>
      </c>
      <c r="H1236" s="234" t="s">
        <v>2257</v>
      </c>
      <c r="I1236" s="248" t="s">
        <v>7</v>
      </c>
      <c r="J1236" s="249" t="s">
        <v>554</v>
      </c>
      <c r="K1236" s="250">
        <v>40000</v>
      </c>
      <c r="L1236" s="250">
        <v>0</v>
      </c>
      <c r="M1236" s="251" t="s">
        <v>24</v>
      </c>
      <c r="N1236" s="252">
        <v>0</v>
      </c>
      <c r="O1236" s="185" t="s">
        <v>51</v>
      </c>
    </row>
    <row r="1237" spans="1:15" x14ac:dyDescent="0.25">
      <c r="A1237" s="234" t="s">
        <v>1953</v>
      </c>
      <c r="B1237" s="234" t="s">
        <v>46</v>
      </c>
      <c r="C1237" s="245">
        <v>46148</v>
      </c>
      <c r="D1237" s="234">
        <v>0</v>
      </c>
      <c r="E1237" s="246">
        <v>410000</v>
      </c>
      <c r="F1237" s="247">
        <v>0</v>
      </c>
      <c r="G1237" s="34" t="s">
        <v>83</v>
      </c>
      <c r="H1237" s="234" t="s">
        <v>1954</v>
      </c>
      <c r="I1237" s="248" t="s">
        <v>7</v>
      </c>
      <c r="J1237" s="249" t="s">
        <v>492</v>
      </c>
      <c r="K1237" s="250">
        <v>0</v>
      </c>
      <c r="L1237" s="250">
        <v>0</v>
      </c>
      <c r="M1237" s="251" t="s">
        <v>46</v>
      </c>
      <c r="N1237" s="252">
        <v>0</v>
      </c>
      <c r="O1237" s="185" t="s">
        <v>51</v>
      </c>
    </row>
    <row r="1238" spans="1:15" x14ac:dyDescent="0.25">
      <c r="A1238" s="234" t="s">
        <v>2011</v>
      </c>
      <c r="B1238" s="234" t="s">
        <v>46</v>
      </c>
      <c r="C1238" s="245">
        <v>46148</v>
      </c>
      <c r="D1238" s="234">
        <v>0</v>
      </c>
      <c r="E1238" s="246">
        <v>429215</v>
      </c>
      <c r="F1238" s="247">
        <v>0</v>
      </c>
      <c r="G1238" s="34" t="s">
        <v>83</v>
      </c>
      <c r="H1238" s="234" t="s">
        <v>2012</v>
      </c>
      <c r="I1238" s="248" t="s">
        <v>7</v>
      </c>
      <c r="J1238" s="249" t="s">
        <v>492</v>
      </c>
      <c r="K1238" s="250">
        <v>0</v>
      </c>
      <c r="L1238" s="250">
        <v>0</v>
      </c>
      <c r="M1238" s="251" t="s">
        <v>46</v>
      </c>
      <c r="N1238" s="252">
        <v>0</v>
      </c>
      <c r="O1238" s="185" t="s">
        <v>51</v>
      </c>
    </row>
    <row r="1239" spans="1:15" x14ac:dyDescent="0.25">
      <c r="A1239" s="234" t="s">
        <v>7847</v>
      </c>
      <c r="B1239" s="234" t="s">
        <v>46</v>
      </c>
      <c r="C1239" s="245">
        <v>46148</v>
      </c>
      <c r="D1239" s="234">
        <v>0</v>
      </c>
      <c r="E1239" s="246">
        <v>161000</v>
      </c>
      <c r="F1239" s="247">
        <v>0</v>
      </c>
      <c r="G1239" s="34" t="s">
        <v>83</v>
      </c>
      <c r="H1239" s="234" t="s">
        <v>2090</v>
      </c>
      <c r="I1239" s="248" t="s">
        <v>7</v>
      </c>
      <c r="J1239" s="249" t="s">
        <v>492</v>
      </c>
      <c r="K1239" s="250">
        <v>0</v>
      </c>
      <c r="L1239" s="250">
        <v>0</v>
      </c>
      <c r="M1239" s="251" t="s">
        <v>46</v>
      </c>
      <c r="N1239" s="252">
        <v>0</v>
      </c>
      <c r="O1239" s="185" t="s">
        <v>51</v>
      </c>
    </row>
    <row r="1240" spans="1:15" x14ac:dyDescent="0.25">
      <c r="A1240" s="234" t="s">
        <v>3439</v>
      </c>
      <c r="B1240" s="234" t="s">
        <v>19</v>
      </c>
      <c r="C1240" s="245">
        <v>46148</v>
      </c>
      <c r="D1240" s="234" t="s">
        <v>546</v>
      </c>
      <c r="E1240" s="246">
        <v>100000</v>
      </c>
      <c r="F1240" s="247" t="s">
        <v>3441</v>
      </c>
      <c r="G1240" s="34" t="s">
        <v>7</v>
      </c>
      <c r="H1240" s="234" t="s">
        <v>3440</v>
      </c>
      <c r="I1240" s="248" t="s">
        <v>7</v>
      </c>
      <c r="J1240" s="249" t="s">
        <v>554</v>
      </c>
      <c r="K1240" s="250">
        <v>100000</v>
      </c>
      <c r="L1240" s="250">
        <v>0</v>
      </c>
      <c r="M1240" s="251" t="s">
        <v>19</v>
      </c>
      <c r="N1240" s="252">
        <v>0</v>
      </c>
      <c r="O1240" s="185" t="s">
        <v>51</v>
      </c>
    </row>
    <row r="1241" spans="1:15" x14ac:dyDescent="0.25">
      <c r="A1241" s="234" t="s">
        <v>3556</v>
      </c>
      <c r="B1241" s="234" t="s">
        <v>19</v>
      </c>
      <c r="C1241" s="245">
        <v>46148</v>
      </c>
      <c r="D1241" s="234" t="s">
        <v>575</v>
      </c>
      <c r="E1241" s="246">
        <v>49000</v>
      </c>
      <c r="F1241" s="247" t="s">
        <v>3555</v>
      </c>
      <c r="G1241" s="34" t="s">
        <v>7</v>
      </c>
      <c r="H1241" s="234" t="s">
        <v>3557</v>
      </c>
      <c r="I1241" s="248" t="s">
        <v>7</v>
      </c>
      <c r="J1241" s="249" t="s">
        <v>554</v>
      </c>
      <c r="K1241" s="250">
        <v>49000</v>
      </c>
      <c r="L1241" s="250">
        <v>0</v>
      </c>
      <c r="M1241" s="251" t="s">
        <v>19</v>
      </c>
      <c r="N1241" s="252">
        <v>0</v>
      </c>
      <c r="O1241" s="185" t="s">
        <v>51</v>
      </c>
    </row>
    <row r="1242" spans="1:15" x14ac:dyDescent="0.25">
      <c r="A1242" s="234" t="s">
        <v>3637</v>
      </c>
      <c r="B1242" s="234" t="s">
        <v>19</v>
      </c>
      <c r="C1242" s="245">
        <v>46148</v>
      </c>
      <c r="D1242" s="234" t="s">
        <v>668</v>
      </c>
      <c r="E1242" s="246">
        <v>50000</v>
      </c>
      <c r="F1242" s="247" t="s">
        <v>3640</v>
      </c>
      <c r="G1242" s="34" t="s">
        <v>7</v>
      </c>
      <c r="H1242" s="234" t="s">
        <v>3639</v>
      </c>
      <c r="I1242" s="248" t="s">
        <v>7</v>
      </c>
      <c r="J1242" s="249" t="s">
        <v>554</v>
      </c>
      <c r="K1242" s="250">
        <v>50000</v>
      </c>
      <c r="L1242" s="250">
        <v>0</v>
      </c>
      <c r="M1242" s="251" t="s">
        <v>19</v>
      </c>
      <c r="N1242" s="252">
        <v>0</v>
      </c>
      <c r="O1242" s="185" t="s">
        <v>51</v>
      </c>
    </row>
    <row r="1243" spans="1:15" x14ac:dyDescent="0.25">
      <c r="A1243" s="234" t="s">
        <v>953</v>
      </c>
      <c r="B1243" s="234" t="s">
        <v>19</v>
      </c>
      <c r="C1243" s="245">
        <v>46148</v>
      </c>
      <c r="D1243" s="234" t="s">
        <v>546</v>
      </c>
      <c r="E1243" s="246">
        <v>14629.5</v>
      </c>
      <c r="F1243" s="247" t="s">
        <v>952</v>
      </c>
      <c r="G1243" s="34" t="s">
        <v>7</v>
      </c>
      <c r="H1243" s="234" t="s">
        <v>954</v>
      </c>
      <c r="I1243" s="248" t="s">
        <v>7</v>
      </c>
      <c r="J1243" s="249" t="s">
        <v>554</v>
      </c>
      <c r="K1243" s="250">
        <v>14629.5</v>
      </c>
      <c r="L1243" s="250">
        <v>0</v>
      </c>
      <c r="M1243" s="251" t="s">
        <v>19</v>
      </c>
      <c r="N1243" s="252">
        <v>0</v>
      </c>
      <c r="O1243" s="185" t="s">
        <v>51</v>
      </c>
    </row>
    <row r="1244" spans="1:15" x14ac:dyDescent="0.25">
      <c r="A1244" s="234" t="s">
        <v>4383</v>
      </c>
      <c r="B1244" s="234" t="s">
        <v>19</v>
      </c>
      <c r="C1244" s="245">
        <v>46148</v>
      </c>
      <c r="D1244" s="234" t="s">
        <v>546</v>
      </c>
      <c r="E1244" s="246">
        <v>40000</v>
      </c>
      <c r="F1244" s="247" t="s">
        <v>4386</v>
      </c>
      <c r="G1244" s="34" t="s">
        <v>7</v>
      </c>
      <c r="H1244" s="234" t="s">
        <v>4384</v>
      </c>
      <c r="I1244" s="248" t="s">
        <v>7</v>
      </c>
      <c r="J1244" s="249" t="s">
        <v>554</v>
      </c>
      <c r="K1244" s="250">
        <v>40000</v>
      </c>
      <c r="L1244" s="250">
        <v>0</v>
      </c>
      <c r="M1244" s="251" t="s">
        <v>19</v>
      </c>
      <c r="N1244" s="252">
        <v>0</v>
      </c>
      <c r="O1244" s="185" t="s">
        <v>51</v>
      </c>
    </row>
    <row r="1245" spans="1:15" x14ac:dyDescent="0.25">
      <c r="A1245" s="234" t="s">
        <v>904</v>
      </c>
      <c r="B1245" s="234" t="s">
        <v>19</v>
      </c>
      <c r="C1245" s="245">
        <v>46148</v>
      </c>
      <c r="D1245" s="234" t="s">
        <v>546</v>
      </c>
      <c r="E1245" s="246">
        <v>8250</v>
      </c>
      <c r="F1245" s="247" t="s">
        <v>911</v>
      </c>
      <c r="G1245" s="34" t="s">
        <v>7</v>
      </c>
      <c r="H1245" s="234" t="s">
        <v>905</v>
      </c>
      <c r="I1245" s="248" t="s">
        <v>7</v>
      </c>
      <c r="J1245" s="249" t="s">
        <v>554</v>
      </c>
      <c r="K1245" s="250">
        <v>8250</v>
      </c>
      <c r="L1245" s="250">
        <v>0</v>
      </c>
      <c r="M1245" s="251" t="s">
        <v>19</v>
      </c>
      <c r="N1245" s="252">
        <v>0</v>
      </c>
      <c r="O1245" s="185" t="s">
        <v>51</v>
      </c>
    </row>
    <row r="1246" spans="1:15" x14ac:dyDescent="0.25">
      <c r="A1246" s="234" t="s">
        <v>3478</v>
      </c>
      <c r="B1246" s="234" t="s">
        <v>19</v>
      </c>
      <c r="C1246" s="245">
        <v>46148</v>
      </c>
      <c r="D1246" s="234" t="s">
        <v>575</v>
      </c>
      <c r="E1246" s="246">
        <v>71434</v>
      </c>
      <c r="F1246" s="247" t="s">
        <v>3477</v>
      </c>
      <c r="G1246" s="34" t="s">
        <v>7</v>
      </c>
      <c r="H1246" s="234" t="s">
        <v>3479</v>
      </c>
      <c r="I1246" s="248" t="s">
        <v>7</v>
      </c>
      <c r="J1246" s="249" t="s">
        <v>554</v>
      </c>
      <c r="K1246" s="250">
        <v>71434</v>
      </c>
      <c r="L1246" s="250">
        <v>0</v>
      </c>
      <c r="M1246" s="251" t="s">
        <v>19</v>
      </c>
      <c r="N1246" s="252">
        <v>0</v>
      </c>
      <c r="O1246" s="185" t="s">
        <v>51</v>
      </c>
    </row>
    <row r="1247" spans="1:15" x14ac:dyDescent="0.25">
      <c r="A1247" s="234" t="s">
        <v>3810</v>
      </c>
      <c r="B1247" s="234" t="s">
        <v>10</v>
      </c>
      <c r="C1247" s="245">
        <v>46148</v>
      </c>
      <c r="D1247" s="234">
        <v>0</v>
      </c>
      <c r="E1247" s="246">
        <v>50000</v>
      </c>
      <c r="F1247" s="247" t="s">
        <v>3809</v>
      </c>
      <c r="G1247" s="34" t="s">
        <v>7</v>
      </c>
      <c r="H1247" s="234" t="s">
        <v>3811</v>
      </c>
      <c r="I1247" s="248" t="s">
        <v>7</v>
      </c>
      <c r="J1247" s="249" t="s">
        <v>554</v>
      </c>
      <c r="K1247" s="250">
        <v>50000</v>
      </c>
      <c r="L1247" s="250">
        <v>0</v>
      </c>
      <c r="M1247" s="251" t="s">
        <v>10</v>
      </c>
      <c r="N1247" s="252">
        <v>0</v>
      </c>
      <c r="O1247" s="185" t="s">
        <v>74</v>
      </c>
    </row>
    <row r="1248" spans="1:15" x14ac:dyDescent="0.25">
      <c r="A1248" s="234" t="s">
        <v>4862</v>
      </c>
      <c r="B1248" s="234" t="s">
        <v>10</v>
      </c>
      <c r="C1248" s="245">
        <v>46148</v>
      </c>
      <c r="D1248" s="234">
        <v>0</v>
      </c>
      <c r="E1248" s="246">
        <v>90000</v>
      </c>
      <c r="F1248" s="247" t="s">
        <v>4865</v>
      </c>
      <c r="G1248" s="34" t="s">
        <v>7</v>
      </c>
      <c r="H1248" s="234" t="s">
        <v>4863</v>
      </c>
      <c r="I1248" s="248" t="s">
        <v>7</v>
      </c>
      <c r="J1248" s="249" t="s">
        <v>554</v>
      </c>
      <c r="K1248" s="250">
        <v>90000</v>
      </c>
      <c r="L1248" s="250">
        <v>0</v>
      </c>
      <c r="M1248" s="251" t="s">
        <v>10</v>
      </c>
      <c r="N1248" s="252">
        <v>0</v>
      </c>
      <c r="O1248" s="185" t="s">
        <v>77</v>
      </c>
    </row>
    <row r="1249" spans="1:15" x14ac:dyDescent="0.25">
      <c r="A1249" s="234" t="s">
        <v>4862</v>
      </c>
      <c r="B1249" s="234" t="s">
        <v>10</v>
      </c>
      <c r="C1249" s="245">
        <v>46148</v>
      </c>
      <c r="D1249" s="234">
        <v>0</v>
      </c>
      <c r="E1249" s="246">
        <v>17230</v>
      </c>
      <c r="F1249" s="247" t="s">
        <v>4866</v>
      </c>
      <c r="G1249" s="34" t="s">
        <v>7</v>
      </c>
      <c r="H1249" s="234" t="s">
        <v>4863</v>
      </c>
      <c r="I1249" s="248" t="s">
        <v>7</v>
      </c>
      <c r="J1249" s="249" t="s">
        <v>554</v>
      </c>
      <c r="K1249" s="250">
        <v>17230</v>
      </c>
      <c r="L1249" s="250">
        <v>0</v>
      </c>
      <c r="M1249" s="251" t="s">
        <v>10</v>
      </c>
      <c r="N1249" s="252">
        <v>0</v>
      </c>
      <c r="O1249" s="185" t="s">
        <v>77</v>
      </c>
    </row>
    <row r="1250" spans="1:15" x14ac:dyDescent="0.25">
      <c r="A1250" s="234" t="s">
        <v>4805</v>
      </c>
      <c r="B1250" s="234" t="s">
        <v>10</v>
      </c>
      <c r="C1250" s="245">
        <v>46148</v>
      </c>
      <c r="D1250" s="234">
        <v>0</v>
      </c>
      <c r="E1250" s="246">
        <v>8784</v>
      </c>
      <c r="F1250" s="247" t="s">
        <v>4804</v>
      </c>
      <c r="G1250" s="34" t="s">
        <v>7</v>
      </c>
      <c r="H1250" s="234" t="s">
        <v>4806</v>
      </c>
      <c r="I1250" s="248" t="s">
        <v>7</v>
      </c>
      <c r="J1250" s="249" t="s">
        <v>554</v>
      </c>
      <c r="K1250" s="250">
        <v>10000</v>
      </c>
      <c r="L1250" s="250">
        <v>0</v>
      </c>
      <c r="M1250" s="251" t="s">
        <v>10</v>
      </c>
      <c r="N1250" s="252">
        <v>0</v>
      </c>
      <c r="O1250" s="185" t="s">
        <v>77</v>
      </c>
    </row>
    <row r="1251" spans="1:15" x14ac:dyDescent="0.25">
      <c r="A1251" s="234" t="s">
        <v>4805</v>
      </c>
      <c r="B1251" s="234" t="s">
        <v>10</v>
      </c>
      <c r="C1251" s="245">
        <v>46148</v>
      </c>
      <c r="D1251" s="234">
        <v>0</v>
      </c>
      <c r="E1251" s="246">
        <v>10000</v>
      </c>
      <c r="F1251" s="247" t="s">
        <v>4809</v>
      </c>
      <c r="G1251" s="34" t="s">
        <v>7</v>
      </c>
      <c r="H1251" s="234" t="s">
        <v>4806</v>
      </c>
      <c r="I1251" s="248" t="s">
        <v>7</v>
      </c>
      <c r="J1251" s="249" t="s">
        <v>554</v>
      </c>
      <c r="K1251" s="250">
        <v>8784</v>
      </c>
      <c r="L1251" s="250">
        <v>0</v>
      </c>
      <c r="M1251" s="251" t="s">
        <v>10</v>
      </c>
      <c r="N1251" s="252">
        <v>0</v>
      </c>
      <c r="O1251" s="185" t="s">
        <v>77</v>
      </c>
    </row>
    <row r="1252" spans="1:15" x14ac:dyDescent="0.25">
      <c r="A1252" s="234" t="s">
        <v>4932</v>
      </c>
      <c r="B1252" s="234" t="s">
        <v>10</v>
      </c>
      <c r="C1252" s="245">
        <v>46148</v>
      </c>
      <c r="D1252" s="234">
        <v>0</v>
      </c>
      <c r="E1252" s="246">
        <v>478000</v>
      </c>
      <c r="F1252" s="247" t="s">
        <v>4931</v>
      </c>
      <c r="G1252" s="34" t="s">
        <v>7</v>
      </c>
      <c r="H1252" s="234" t="s">
        <v>4933</v>
      </c>
      <c r="I1252" s="248" t="s">
        <v>7</v>
      </c>
      <c r="J1252" s="249" t="s">
        <v>62</v>
      </c>
      <c r="K1252" s="250">
        <v>477095.61</v>
      </c>
      <c r="L1252" s="250">
        <v>0</v>
      </c>
      <c r="M1252" s="251" t="s">
        <v>10</v>
      </c>
      <c r="N1252" s="252">
        <v>0</v>
      </c>
      <c r="O1252" s="185" t="s">
        <v>77</v>
      </c>
    </row>
    <row r="1253" spans="1:15" x14ac:dyDescent="0.25">
      <c r="A1253" s="234" t="s">
        <v>4795</v>
      </c>
      <c r="B1253" s="234" t="s">
        <v>10</v>
      </c>
      <c r="C1253" s="245">
        <v>46148</v>
      </c>
      <c r="D1253" s="234">
        <v>0</v>
      </c>
      <c r="E1253" s="246">
        <v>50574</v>
      </c>
      <c r="F1253" s="247">
        <v>0</v>
      </c>
      <c r="G1253" s="34" t="s">
        <v>7</v>
      </c>
      <c r="H1253" s="234" t="s">
        <v>4796</v>
      </c>
      <c r="I1253" s="248" t="s">
        <v>7</v>
      </c>
      <c r="J1253" s="249" t="s">
        <v>492</v>
      </c>
      <c r="K1253" s="250">
        <v>0</v>
      </c>
      <c r="L1253" s="250">
        <v>0</v>
      </c>
      <c r="M1253" s="251" t="s">
        <v>10</v>
      </c>
      <c r="N1253" s="252">
        <v>0</v>
      </c>
      <c r="O1253" s="185" t="s">
        <v>77</v>
      </c>
    </row>
    <row r="1254" spans="1:15" x14ac:dyDescent="0.25">
      <c r="A1254" s="234" t="s">
        <v>3776</v>
      </c>
      <c r="B1254" s="234" t="s">
        <v>10</v>
      </c>
      <c r="C1254" s="245">
        <v>46148</v>
      </c>
      <c r="D1254" s="234">
        <v>0</v>
      </c>
      <c r="E1254" s="246">
        <v>163166</v>
      </c>
      <c r="F1254" s="247">
        <v>0</v>
      </c>
      <c r="G1254" s="34" t="s">
        <v>7</v>
      </c>
      <c r="H1254" s="234" t="s">
        <v>3777</v>
      </c>
      <c r="I1254" s="248" t="s">
        <v>7</v>
      </c>
      <c r="J1254" s="249" t="s">
        <v>492</v>
      </c>
      <c r="K1254" s="250">
        <v>0</v>
      </c>
      <c r="L1254" s="250">
        <v>0</v>
      </c>
      <c r="M1254" s="251" t="s">
        <v>10</v>
      </c>
      <c r="N1254" s="252">
        <v>0</v>
      </c>
      <c r="O1254" s="185" t="s">
        <v>74</v>
      </c>
    </row>
    <row r="1255" spans="1:15" x14ac:dyDescent="0.25">
      <c r="A1255" s="234" t="s">
        <v>4851</v>
      </c>
      <c r="B1255" s="234" t="s">
        <v>10</v>
      </c>
      <c r="C1255" s="245">
        <v>46148</v>
      </c>
      <c r="D1255" s="234">
        <v>0</v>
      </c>
      <c r="E1255" s="246">
        <v>121000</v>
      </c>
      <c r="F1255" s="247" t="s">
        <v>4850</v>
      </c>
      <c r="G1255" s="34" t="s">
        <v>7</v>
      </c>
      <c r="H1255" s="234" t="s">
        <v>4852</v>
      </c>
      <c r="I1255" s="248" t="s">
        <v>7</v>
      </c>
      <c r="J1255" s="249" t="s">
        <v>61</v>
      </c>
      <c r="K1255" s="250">
        <v>33500</v>
      </c>
      <c r="L1255" s="250">
        <v>0</v>
      </c>
      <c r="M1255" s="251" t="s">
        <v>10</v>
      </c>
      <c r="N1255" s="252">
        <v>0</v>
      </c>
      <c r="O1255" s="185" t="s">
        <v>77</v>
      </c>
    </row>
    <row r="1256" spans="1:15" x14ac:dyDescent="0.25">
      <c r="A1256" s="234" t="s">
        <v>3761</v>
      </c>
      <c r="B1256" s="234" t="s">
        <v>10</v>
      </c>
      <c r="C1256" s="245">
        <v>46148</v>
      </c>
      <c r="D1256" s="234">
        <v>0</v>
      </c>
      <c r="E1256" s="246">
        <v>125760</v>
      </c>
      <c r="F1256" s="247" t="s">
        <v>3760</v>
      </c>
      <c r="G1256" s="34" t="s">
        <v>7</v>
      </c>
      <c r="H1256" s="234" t="s">
        <v>3762</v>
      </c>
      <c r="I1256" s="248" t="s">
        <v>7</v>
      </c>
      <c r="J1256" s="249" t="s">
        <v>582</v>
      </c>
      <c r="K1256" s="250">
        <v>125760</v>
      </c>
      <c r="L1256" s="250">
        <v>0</v>
      </c>
      <c r="M1256" s="251" t="s">
        <v>10</v>
      </c>
      <c r="N1256" s="252">
        <v>0</v>
      </c>
      <c r="O1256" s="185" t="s">
        <v>74</v>
      </c>
    </row>
    <row r="1257" spans="1:15" x14ac:dyDescent="0.25">
      <c r="A1257" s="234" t="s">
        <v>3741</v>
      </c>
      <c r="B1257" s="234" t="s">
        <v>10</v>
      </c>
      <c r="C1257" s="245">
        <v>46148</v>
      </c>
      <c r="D1257" s="234">
        <v>0</v>
      </c>
      <c r="E1257" s="246">
        <v>117126.1</v>
      </c>
      <c r="F1257" s="247" t="s">
        <v>3740</v>
      </c>
      <c r="G1257" s="34" t="s">
        <v>7</v>
      </c>
      <c r="H1257" s="234" t="s">
        <v>3742</v>
      </c>
      <c r="I1257" s="248" t="s">
        <v>7</v>
      </c>
      <c r="J1257" s="249" t="s">
        <v>554</v>
      </c>
      <c r="K1257" s="250">
        <v>117126.1</v>
      </c>
      <c r="L1257" s="250">
        <v>0</v>
      </c>
      <c r="M1257" s="251" t="s">
        <v>10</v>
      </c>
      <c r="N1257" s="252">
        <v>0</v>
      </c>
      <c r="O1257" s="185" t="s">
        <v>74</v>
      </c>
    </row>
    <row r="1258" spans="1:15" x14ac:dyDescent="0.25">
      <c r="A1258" s="234" t="s">
        <v>4888</v>
      </c>
      <c r="B1258" s="234" t="s">
        <v>10</v>
      </c>
      <c r="C1258" s="245">
        <v>46148</v>
      </c>
      <c r="D1258" s="234">
        <v>0</v>
      </c>
      <c r="E1258" s="246">
        <v>118925</v>
      </c>
      <c r="F1258" s="247" t="s">
        <v>4887</v>
      </c>
      <c r="G1258" s="34" t="s">
        <v>7</v>
      </c>
      <c r="H1258" s="234" t="s">
        <v>4889</v>
      </c>
      <c r="I1258" s="248" t="s">
        <v>7</v>
      </c>
      <c r="J1258" s="249" t="s">
        <v>554</v>
      </c>
      <c r="K1258" s="250">
        <v>118925</v>
      </c>
      <c r="L1258" s="250">
        <v>0</v>
      </c>
      <c r="M1258" s="251" t="s">
        <v>10</v>
      </c>
      <c r="N1258" s="252">
        <v>0</v>
      </c>
      <c r="O1258" s="185" t="s">
        <v>77</v>
      </c>
    </row>
    <row r="1259" spans="1:15" x14ac:dyDescent="0.25">
      <c r="A1259" s="234" t="s">
        <v>5512</v>
      </c>
      <c r="B1259" s="234" t="s">
        <v>10</v>
      </c>
      <c r="C1259" s="245">
        <v>46148</v>
      </c>
      <c r="D1259" s="234">
        <v>0</v>
      </c>
      <c r="E1259" s="246">
        <v>126074</v>
      </c>
      <c r="F1259" s="247" t="s">
        <v>5511</v>
      </c>
      <c r="G1259" s="34" t="s">
        <v>7</v>
      </c>
      <c r="H1259" s="234" t="s">
        <v>5513</v>
      </c>
      <c r="I1259" s="248" t="s">
        <v>7</v>
      </c>
      <c r="J1259" s="249" t="s">
        <v>554</v>
      </c>
      <c r="K1259" s="250">
        <v>126074</v>
      </c>
      <c r="L1259" s="250">
        <v>0</v>
      </c>
      <c r="M1259" s="251" t="s">
        <v>10</v>
      </c>
      <c r="N1259" s="252">
        <v>0</v>
      </c>
      <c r="O1259" s="185" t="s">
        <v>77</v>
      </c>
    </row>
    <row r="1260" spans="1:15" x14ac:dyDescent="0.25">
      <c r="A1260" s="234" t="s">
        <v>4926</v>
      </c>
      <c r="B1260" s="234" t="s">
        <v>10</v>
      </c>
      <c r="C1260" s="245">
        <v>46148</v>
      </c>
      <c r="D1260" s="234">
        <v>0</v>
      </c>
      <c r="E1260" s="246">
        <v>147842</v>
      </c>
      <c r="F1260" s="247" t="s">
        <v>4925</v>
      </c>
      <c r="G1260" s="34" t="s">
        <v>7</v>
      </c>
      <c r="H1260" s="234" t="s">
        <v>4927</v>
      </c>
      <c r="I1260" s="248" t="s">
        <v>7</v>
      </c>
      <c r="J1260" s="249" t="s">
        <v>554</v>
      </c>
      <c r="K1260" s="250">
        <v>147842</v>
      </c>
      <c r="L1260" s="250">
        <v>0</v>
      </c>
      <c r="M1260" s="251" t="s">
        <v>10</v>
      </c>
      <c r="N1260" s="252">
        <v>0</v>
      </c>
      <c r="O1260" s="185" t="s">
        <v>77</v>
      </c>
    </row>
    <row r="1261" spans="1:15" x14ac:dyDescent="0.25">
      <c r="A1261" s="234" t="s">
        <v>4900</v>
      </c>
      <c r="B1261" s="234" t="s">
        <v>10</v>
      </c>
      <c r="C1261" s="245">
        <v>46148</v>
      </c>
      <c r="D1261" s="234">
        <v>0</v>
      </c>
      <c r="E1261" s="246">
        <v>121355</v>
      </c>
      <c r="F1261" s="247" t="s">
        <v>4899</v>
      </c>
      <c r="G1261" s="34" t="s">
        <v>7</v>
      </c>
      <c r="H1261" s="234" t="s">
        <v>4901</v>
      </c>
      <c r="I1261" s="248" t="s">
        <v>7</v>
      </c>
      <c r="J1261" s="249" t="s">
        <v>554</v>
      </c>
      <c r="K1261" s="250">
        <v>121355</v>
      </c>
      <c r="L1261" s="250">
        <v>0</v>
      </c>
      <c r="M1261" s="251" t="s">
        <v>10</v>
      </c>
      <c r="N1261" s="252">
        <v>0</v>
      </c>
      <c r="O1261" s="185" t="s">
        <v>77</v>
      </c>
    </row>
    <row r="1262" spans="1:15" x14ac:dyDescent="0.25">
      <c r="A1262" s="234" t="s">
        <v>4844</v>
      </c>
      <c r="B1262" s="234" t="s">
        <v>10</v>
      </c>
      <c r="C1262" s="245">
        <v>46148</v>
      </c>
      <c r="D1262" s="234">
        <v>0</v>
      </c>
      <c r="E1262" s="246">
        <v>60000</v>
      </c>
      <c r="F1262" s="247" t="s">
        <v>4849</v>
      </c>
      <c r="G1262" s="34" t="s">
        <v>7</v>
      </c>
      <c r="H1262" s="234" t="s">
        <v>4845</v>
      </c>
      <c r="I1262" s="248" t="s">
        <v>7</v>
      </c>
      <c r="J1262" s="249" t="s">
        <v>554</v>
      </c>
      <c r="K1262" s="250">
        <v>60000</v>
      </c>
      <c r="L1262" s="250">
        <v>0</v>
      </c>
      <c r="M1262" s="251" t="s">
        <v>10</v>
      </c>
      <c r="N1262" s="252">
        <v>0</v>
      </c>
      <c r="O1262" s="185" t="s">
        <v>77</v>
      </c>
    </row>
    <row r="1263" spans="1:15" x14ac:dyDescent="0.25">
      <c r="A1263" s="234" t="s">
        <v>3828</v>
      </c>
      <c r="B1263" s="234" t="s">
        <v>10</v>
      </c>
      <c r="C1263" s="245">
        <v>46148</v>
      </c>
      <c r="D1263" s="234">
        <v>0</v>
      </c>
      <c r="E1263" s="246">
        <v>15790</v>
      </c>
      <c r="F1263" s="247" t="s">
        <v>3827</v>
      </c>
      <c r="G1263" s="34" t="s">
        <v>7</v>
      </c>
      <c r="H1263" s="234" t="s">
        <v>3829</v>
      </c>
      <c r="I1263" s="248" t="s">
        <v>7</v>
      </c>
      <c r="J1263" s="249" t="s">
        <v>554</v>
      </c>
      <c r="K1263" s="250">
        <v>15790</v>
      </c>
      <c r="L1263" s="250">
        <v>0</v>
      </c>
      <c r="M1263" s="251" t="s">
        <v>10</v>
      </c>
      <c r="N1263" s="252">
        <v>0</v>
      </c>
      <c r="O1263" s="185" t="s">
        <v>74</v>
      </c>
    </row>
    <row r="1264" spans="1:15" x14ac:dyDescent="0.25">
      <c r="A1264" s="234" t="s">
        <v>4903</v>
      </c>
      <c r="B1264" s="234" t="s">
        <v>10</v>
      </c>
      <c r="C1264" s="245">
        <v>46148</v>
      </c>
      <c r="D1264" s="234">
        <v>0</v>
      </c>
      <c r="E1264" s="246">
        <v>26080</v>
      </c>
      <c r="F1264" s="247" t="s">
        <v>4902</v>
      </c>
      <c r="G1264" s="34" t="s">
        <v>7</v>
      </c>
      <c r="H1264" s="234" t="s">
        <v>4904</v>
      </c>
      <c r="I1264" s="248" t="s">
        <v>7</v>
      </c>
      <c r="J1264" s="249" t="s">
        <v>554</v>
      </c>
      <c r="K1264" s="250">
        <v>26080</v>
      </c>
      <c r="L1264" s="250">
        <v>0</v>
      </c>
      <c r="M1264" s="251" t="s">
        <v>10</v>
      </c>
      <c r="N1264" s="252">
        <v>0</v>
      </c>
      <c r="O1264" s="185" t="s">
        <v>77</v>
      </c>
    </row>
    <row r="1265" spans="1:15" x14ac:dyDescent="0.25">
      <c r="A1265" s="234" t="s">
        <v>4937</v>
      </c>
      <c r="B1265" s="234" t="s">
        <v>10</v>
      </c>
      <c r="C1265" s="245">
        <v>46148</v>
      </c>
      <c r="D1265" s="234">
        <v>0</v>
      </c>
      <c r="E1265" s="246">
        <v>112881</v>
      </c>
      <c r="F1265" s="247" t="s">
        <v>4940</v>
      </c>
      <c r="G1265" s="34" t="s">
        <v>7</v>
      </c>
      <c r="H1265" s="234" t="s">
        <v>4938</v>
      </c>
      <c r="I1265" s="248" t="s">
        <v>7</v>
      </c>
      <c r="J1265" s="249" t="s">
        <v>554</v>
      </c>
      <c r="K1265" s="250">
        <v>112881</v>
      </c>
      <c r="L1265" s="250">
        <v>0</v>
      </c>
      <c r="M1265" s="251" t="s">
        <v>10</v>
      </c>
      <c r="N1265" s="252">
        <v>0</v>
      </c>
      <c r="O1265" s="185" t="s">
        <v>77</v>
      </c>
    </row>
    <row r="1266" spans="1:15" x14ac:dyDescent="0.25">
      <c r="A1266" s="234" t="s">
        <v>4949</v>
      </c>
      <c r="B1266" s="234" t="s">
        <v>10</v>
      </c>
      <c r="C1266" s="245">
        <v>46148</v>
      </c>
      <c r="D1266" s="234">
        <v>0</v>
      </c>
      <c r="E1266" s="246">
        <v>70000</v>
      </c>
      <c r="F1266" s="247" t="s">
        <v>4948</v>
      </c>
      <c r="G1266" s="34" t="s">
        <v>7</v>
      </c>
      <c r="H1266" s="234" t="s">
        <v>4950</v>
      </c>
      <c r="I1266" s="248" t="s">
        <v>7</v>
      </c>
      <c r="J1266" s="249" t="s">
        <v>582</v>
      </c>
      <c r="K1266" s="250">
        <v>70000</v>
      </c>
      <c r="L1266" s="250">
        <v>0</v>
      </c>
      <c r="M1266" s="251" t="s">
        <v>10</v>
      </c>
      <c r="N1266" s="252">
        <v>0</v>
      </c>
      <c r="O1266" s="185" t="s">
        <v>77</v>
      </c>
    </row>
    <row r="1267" spans="1:15" x14ac:dyDescent="0.25">
      <c r="A1267" s="234" t="s">
        <v>4929</v>
      </c>
      <c r="B1267" s="234" t="s">
        <v>10</v>
      </c>
      <c r="C1267" s="245">
        <v>46148</v>
      </c>
      <c r="D1267" s="234">
        <v>0</v>
      </c>
      <c r="E1267" s="246">
        <v>117656</v>
      </c>
      <c r="F1267" s="247" t="s">
        <v>4928</v>
      </c>
      <c r="G1267" s="34" t="s">
        <v>7</v>
      </c>
      <c r="H1267" s="234" t="s">
        <v>4930</v>
      </c>
      <c r="I1267" s="248" t="s">
        <v>7</v>
      </c>
      <c r="J1267" s="249" t="s">
        <v>554</v>
      </c>
      <c r="K1267" s="250">
        <v>117656</v>
      </c>
      <c r="L1267" s="250">
        <v>0</v>
      </c>
      <c r="M1267" s="251" t="s">
        <v>10</v>
      </c>
      <c r="N1267" s="252">
        <v>0</v>
      </c>
      <c r="O1267" s="185" t="s">
        <v>77</v>
      </c>
    </row>
    <row r="1268" spans="1:15" x14ac:dyDescent="0.25">
      <c r="A1268" s="234" t="s">
        <v>3844</v>
      </c>
      <c r="B1268" s="234" t="s">
        <v>10</v>
      </c>
      <c r="C1268" s="245">
        <v>46148</v>
      </c>
      <c r="D1268" s="234">
        <v>0</v>
      </c>
      <c r="E1268" s="246">
        <v>442949</v>
      </c>
      <c r="F1268" s="247" t="s">
        <v>3843</v>
      </c>
      <c r="G1268" s="34" t="s">
        <v>7</v>
      </c>
      <c r="H1268" s="234" t="s">
        <v>3845</v>
      </c>
      <c r="I1268" s="248" t="s">
        <v>7</v>
      </c>
      <c r="J1268" s="249" t="s">
        <v>62</v>
      </c>
      <c r="K1268" s="250">
        <v>442949</v>
      </c>
      <c r="L1268" s="250">
        <v>0</v>
      </c>
      <c r="M1268" s="251" t="s">
        <v>10</v>
      </c>
      <c r="N1268" s="252">
        <v>0</v>
      </c>
      <c r="O1268" s="185" t="s">
        <v>74</v>
      </c>
    </row>
    <row r="1269" spans="1:15" x14ac:dyDescent="0.25">
      <c r="A1269" s="234" t="s">
        <v>3432</v>
      </c>
      <c r="B1269" s="234" t="s">
        <v>21</v>
      </c>
      <c r="C1269" s="245">
        <v>46148</v>
      </c>
      <c r="D1269" s="234" t="s">
        <v>595</v>
      </c>
      <c r="E1269" s="246">
        <v>819838</v>
      </c>
      <c r="F1269" s="247" t="s">
        <v>3431</v>
      </c>
      <c r="G1269" s="34" t="s">
        <v>7</v>
      </c>
      <c r="H1269" s="234" t="s">
        <v>3433</v>
      </c>
      <c r="I1269" s="248" t="s">
        <v>7</v>
      </c>
      <c r="J1269" s="249" t="s">
        <v>61</v>
      </c>
      <c r="K1269" s="250">
        <v>819838</v>
      </c>
      <c r="L1269" s="250">
        <v>0</v>
      </c>
      <c r="M1269" s="251" t="s">
        <v>21</v>
      </c>
      <c r="N1269" s="252">
        <v>0</v>
      </c>
      <c r="O1269" s="185" t="s">
        <v>51</v>
      </c>
    </row>
    <row r="1270" spans="1:15" x14ac:dyDescent="0.25">
      <c r="A1270" s="234" t="s">
        <v>3426</v>
      </c>
      <c r="B1270" s="234" t="s">
        <v>21</v>
      </c>
      <c r="C1270" s="245">
        <v>46148</v>
      </c>
      <c r="D1270" s="234" t="s">
        <v>595</v>
      </c>
      <c r="E1270" s="246">
        <v>819738</v>
      </c>
      <c r="F1270" s="247" t="s">
        <v>3425</v>
      </c>
      <c r="G1270" s="34" t="s">
        <v>7</v>
      </c>
      <c r="H1270" s="234" t="s">
        <v>3427</v>
      </c>
      <c r="I1270" s="248" t="s">
        <v>7</v>
      </c>
      <c r="J1270" s="249" t="s">
        <v>582</v>
      </c>
      <c r="K1270" s="250">
        <v>819738</v>
      </c>
      <c r="L1270" s="250">
        <v>0</v>
      </c>
      <c r="M1270" s="251" t="s">
        <v>21</v>
      </c>
      <c r="N1270" s="252">
        <v>0</v>
      </c>
      <c r="O1270" s="185" t="s">
        <v>51</v>
      </c>
    </row>
    <row r="1271" spans="1:15" x14ac:dyDescent="0.25">
      <c r="A1271" s="234" t="s">
        <v>3446</v>
      </c>
      <c r="B1271" s="234" t="s">
        <v>21</v>
      </c>
      <c r="C1271" s="245">
        <v>46148</v>
      </c>
      <c r="D1271" s="234" t="s">
        <v>595</v>
      </c>
      <c r="E1271" s="246">
        <v>649827</v>
      </c>
      <c r="F1271" s="247" t="s">
        <v>3445</v>
      </c>
      <c r="G1271" s="34" t="s">
        <v>7</v>
      </c>
      <c r="H1271" s="234" t="s">
        <v>3447</v>
      </c>
      <c r="I1271" s="248" t="s">
        <v>7</v>
      </c>
      <c r="J1271" s="249" t="s">
        <v>61</v>
      </c>
      <c r="K1271" s="250">
        <v>649827</v>
      </c>
      <c r="L1271" s="250">
        <v>0</v>
      </c>
      <c r="M1271" s="251" t="s">
        <v>21</v>
      </c>
      <c r="N1271" s="252">
        <v>0</v>
      </c>
      <c r="O1271" s="185" t="s">
        <v>51</v>
      </c>
    </row>
    <row r="1272" spans="1:15" x14ac:dyDescent="0.25">
      <c r="A1272" s="234" t="s">
        <v>2833</v>
      </c>
      <c r="B1272" s="234" t="s">
        <v>21</v>
      </c>
      <c r="C1272" s="245">
        <v>46148</v>
      </c>
      <c r="D1272" s="234" t="s">
        <v>546</v>
      </c>
      <c r="E1272" s="246">
        <v>99667</v>
      </c>
      <c r="F1272" s="247" t="s">
        <v>2832</v>
      </c>
      <c r="G1272" s="34" t="s">
        <v>7</v>
      </c>
      <c r="H1272" s="234" t="s">
        <v>2834</v>
      </c>
      <c r="I1272" s="248" t="s">
        <v>7</v>
      </c>
      <c r="J1272" s="249" t="s">
        <v>554</v>
      </c>
      <c r="K1272" s="250">
        <v>99667</v>
      </c>
      <c r="L1272" s="250">
        <v>0</v>
      </c>
      <c r="M1272" s="251" t="s">
        <v>21</v>
      </c>
      <c r="N1272" s="252">
        <v>0</v>
      </c>
      <c r="O1272" s="185" t="s">
        <v>51</v>
      </c>
    </row>
    <row r="1273" spans="1:15" x14ac:dyDescent="0.25">
      <c r="A1273" s="234" t="s">
        <v>3106</v>
      </c>
      <c r="B1273" s="234" t="s">
        <v>21</v>
      </c>
      <c r="C1273" s="245">
        <v>46148</v>
      </c>
      <c r="D1273" s="234" t="s">
        <v>668</v>
      </c>
      <c r="E1273" s="246">
        <v>25000</v>
      </c>
      <c r="F1273" s="247" t="s">
        <v>3111</v>
      </c>
      <c r="G1273" s="34" t="s">
        <v>7</v>
      </c>
      <c r="H1273" s="234" t="s">
        <v>3107</v>
      </c>
      <c r="I1273" s="248" t="s">
        <v>7</v>
      </c>
      <c r="J1273" s="249" t="s">
        <v>554</v>
      </c>
      <c r="K1273" s="250">
        <v>25000</v>
      </c>
      <c r="L1273" s="250">
        <v>0</v>
      </c>
      <c r="M1273" s="251" t="s">
        <v>21</v>
      </c>
      <c r="N1273" s="252">
        <v>0</v>
      </c>
      <c r="O1273" s="185" t="s">
        <v>51</v>
      </c>
    </row>
    <row r="1274" spans="1:15" x14ac:dyDescent="0.25">
      <c r="A1274" s="234" t="s">
        <v>3106</v>
      </c>
      <c r="B1274" s="234" t="s">
        <v>21</v>
      </c>
      <c r="C1274" s="245">
        <v>46148</v>
      </c>
      <c r="D1274" s="234" t="s">
        <v>668</v>
      </c>
      <c r="E1274" s="246">
        <v>25000</v>
      </c>
      <c r="F1274" s="247" t="s">
        <v>3110</v>
      </c>
      <c r="G1274" s="34" t="s">
        <v>7</v>
      </c>
      <c r="H1274" s="234" t="s">
        <v>3107</v>
      </c>
      <c r="I1274" s="248" t="s">
        <v>7</v>
      </c>
      <c r="J1274" s="249" t="s">
        <v>554</v>
      </c>
      <c r="K1274" s="250">
        <v>25000</v>
      </c>
      <c r="L1274" s="250">
        <v>0</v>
      </c>
      <c r="M1274" s="251" t="s">
        <v>21</v>
      </c>
      <c r="N1274" s="252">
        <v>0</v>
      </c>
      <c r="O1274" s="185" t="s">
        <v>51</v>
      </c>
    </row>
    <row r="1275" spans="1:15" x14ac:dyDescent="0.25">
      <c r="A1275" s="234" t="s">
        <v>3106</v>
      </c>
      <c r="B1275" s="234" t="s">
        <v>21</v>
      </c>
      <c r="C1275" s="245">
        <v>46148</v>
      </c>
      <c r="D1275" s="234" t="s">
        <v>668</v>
      </c>
      <c r="E1275" s="246">
        <v>25000</v>
      </c>
      <c r="F1275" s="247" t="s">
        <v>3109</v>
      </c>
      <c r="G1275" s="34" t="s">
        <v>7</v>
      </c>
      <c r="H1275" s="234" t="s">
        <v>3107</v>
      </c>
      <c r="I1275" s="248" t="s">
        <v>7</v>
      </c>
      <c r="J1275" s="249" t="s">
        <v>554</v>
      </c>
      <c r="K1275" s="250">
        <v>25000</v>
      </c>
      <c r="L1275" s="250">
        <v>0</v>
      </c>
      <c r="M1275" s="251" t="s">
        <v>21</v>
      </c>
      <c r="N1275" s="252">
        <v>0</v>
      </c>
      <c r="O1275" s="185" t="s">
        <v>51</v>
      </c>
    </row>
    <row r="1276" spans="1:15" x14ac:dyDescent="0.25">
      <c r="A1276" s="234" t="s">
        <v>3106</v>
      </c>
      <c r="B1276" s="234" t="s">
        <v>21</v>
      </c>
      <c r="C1276" s="245">
        <v>46148</v>
      </c>
      <c r="D1276" s="234" t="s">
        <v>668</v>
      </c>
      <c r="E1276" s="246">
        <v>25000</v>
      </c>
      <c r="F1276" s="247" t="s">
        <v>3108</v>
      </c>
      <c r="G1276" s="34" t="s">
        <v>7</v>
      </c>
      <c r="H1276" s="234" t="s">
        <v>3107</v>
      </c>
      <c r="I1276" s="248" t="s">
        <v>7</v>
      </c>
      <c r="J1276" s="249" t="s">
        <v>554</v>
      </c>
      <c r="K1276" s="250">
        <v>25000</v>
      </c>
      <c r="L1276" s="250">
        <v>0</v>
      </c>
      <c r="M1276" s="251" t="s">
        <v>21</v>
      </c>
      <c r="N1276" s="252">
        <v>0</v>
      </c>
      <c r="O1276" s="185" t="s">
        <v>51</v>
      </c>
    </row>
    <row r="1277" spans="1:15" x14ac:dyDescent="0.25">
      <c r="A1277" s="234" t="s">
        <v>3106</v>
      </c>
      <c r="B1277" s="234" t="s">
        <v>21</v>
      </c>
      <c r="C1277" s="245">
        <v>46148</v>
      </c>
      <c r="D1277" s="234" t="s">
        <v>668</v>
      </c>
      <c r="E1277" s="246">
        <v>17400</v>
      </c>
      <c r="F1277" s="247" t="s">
        <v>3105</v>
      </c>
      <c r="G1277" s="34" t="s">
        <v>7</v>
      </c>
      <c r="H1277" s="234" t="s">
        <v>3107</v>
      </c>
      <c r="I1277" s="248" t="s">
        <v>7</v>
      </c>
      <c r="J1277" s="249" t="s">
        <v>62</v>
      </c>
      <c r="K1277" s="250">
        <v>17400</v>
      </c>
      <c r="L1277" s="250">
        <v>0</v>
      </c>
      <c r="M1277" s="251" t="s">
        <v>21</v>
      </c>
      <c r="N1277" s="252">
        <v>0</v>
      </c>
      <c r="O1277" s="185" t="s">
        <v>51</v>
      </c>
    </row>
    <row r="1278" spans="1:15" x14ac:dyDescent="0.25">
      <c r="A1278" s="234" t="s">
        <v>772</v>
      </c>
      <c r="B1278" s="234" t="s">
        <v>18</v>
      </c>
      <c r="C1278" s="245">
        <v>46148</v>
      </c>
      <c r="D1278" s="234">
        <v>0</v>
      </c>
      <c r="E1278" s="246">
        <v>300000</v>
      </c>
      <c r="F1278" s="247" t="s">
        <v>771</v>
      </c>
      <c r="G1278" s="34" t="s">
        <v>7</v>
      </c>
      <c r="H1278" s="234" t="s">
        <v>774</v>
      </c>
      <c r="I1278" s="248" t="s">
        <v>7</v>
      </c>
      <c r="J1278" s="249" t="s">
        <v>554</v>
      </c>
      <c r="K1278" s="250">
        <v>300000</v>
      </c>
      <c r="L1278" s="250">
        <v>0</v>
      </c>
      <c r="M1278" s="251" t="s">
        <v>18</v>
      </c>
      <c r="N1278" s="252">
        <v>0</v>
      </c>
      <c r="O1278" s="185" t="s">
        <v>51</v>
      </c>
    </row>
    <row r="1279" spans="1:15" x14ac:dyDescent="0.25">
      <c r="A1279" s="234" t="s">
        <v>763</v>
      </c>
      <c r="B1279" s="234" t="s">
        <v>18</v>
      </c>
      <c r="C1279" s="245">
        <v>46148</v>
      </c>
      <c r="D1279" s="234">
        <v>0</v>
      </c>
      <c r="E1279" s="246">
        <v>248294</v>
      </c>
      <c r="F1279" s="247" t="s">
        <v>762</v>
      </c>
      <c r="G1279" s="34" t="s">
        <v>7</v>
      </c>
      <c r="H1279" s="234" t="s">
        <v>764</v>
      </c>
      <c r="I1279" s="248" t="s">
        <v>7</v>
      </c>
      <c r="J1279" s="249" t="s">
        <v>554</v>
      </c>
      <c r="K1279" s="250">
        <v>248294</v>
      </c>
      <c r="L1279" s="250">
        <v>0</v>
      </c>
      <c r="M1279" s="251" t="s">
        <v>18</v>
      </c>
      <c r="N1279" s="252">
        <v>0</v>
      </c>
      <c r="O1279" s="185" t="s">
        <v>51</v>
      </c>
    </row>
    <row r="1280" spans="1:15" x14ac:dyDescent="0.25">
      <c r="A1280" s="234" t="s">
        <v>797</v>
      </c>
      <c r="B1280" s="234" t="s">
        <v>18</v>
      </c>
      <c r="C1280" s="245">
        <v>46148</v>
      </c>
      <c r="D1280" s="234">
        <v>0</v>
      </c>
      <c r="E1280" s="246">
        <v>77500</v>
      </c>
      <c r="F1280" s="247" t="s">
        <v>796</v>
      </c>
      <c r="G1280" s="34" t="s">
        <v>7</v>
      </c>
      <c r="H1280" s="234" t="s">
        <v>798</v>
      </c>
      <c r="I1280" s="248" t="s">
        <v>7</v>
      </c>
      <c r="J1280" s="249" t="s">
        <v>554</v>
      </c>
      <c r="K1280" s="250">
        <v>77500</v>
      </c>
      <c r="L1280" s="250">
        <v>0</v>
      </c>
      <c r="M1280" s="251" t="s">
        <v>18</v>
      </c>
      <c r="N1280" s="252">
        <v>0</v>
      </c>
      <c r="O1280" s="185" t="s">
        <v>51</v>
      </c>
    </row>
    <row r="1281" spans="1:15" x14ac:dyDescent="0.25">
      <c r="A1281" s="234" t="s">
        <v>5680</v>
      </c>
      <c r="B1281" s="234" t="s">
        <v>18</v>
      </c>
      <c r="C1281" s="245">
        <v>46148</v>
      </c>
      <c r="D1281" s="234">
        <v>0</v>
      </c>
      <c r="E1281" s="246">
        <v>64830</v>
      </c>
      <c r="F1281" s="247" t="s">
        <v>5679</v>
      </c>
      <c r="G1281" s="34" t="s">
        <v>7</v>
      </c>
      <c r="H1281" s="234" t="s">
        <v>5681</v>
      </c>
      <c r="I1281" s="248" t="s">
        <v>7</v>
      </c>
      <c r="J1281" s="249" t="s">
        <v>554</v>
      </c>
      <c r="K1281" s="250">
        <v>64830</v>
      </c>
      <c r="L1281" s="250">
        <v>0</v>
      </c>
      <c r="M1281" s="251" t="s">
        <v>18</v>
      </c>
      <c r="N1281" s="252">
        <v>0</v>
      </c>
      <c r="O1281" s="185" t="s">
        <v>51</v>
      </c>
    </row>
    <row r="1282" spans="1:15" x14ac:dyDescent="0.25">
      <c r="A1282" s="234" t="s">
        <v>5576</v>
      </c>
      <c r="B1282" s="234" t="s">
        <v>18</v>
      </c>
      <c r="C1282" s="245">
        <v>46148</v>
      </c>
      <c r="D1282" s="234">
        <v>0</v>
      </c>
      <c r="E1282" s="246">
        <v>297014</v>
      </c>
      <c r="F1282" s="247" t="s">
        <v>5575</v>
      </c>
      <c r="G1282" s="34" t="s">
        <v>7</v>
      </c>
      <c r="H1282" s="234" t="s">
        <v>5578</v>
      </c>
      <c r="I1282" s="248" t="s">
        <v>7367</v>
      </c>
      <c r="J1282" s="249" t="s">
        <v>554</v>
      </c>
      <c r="K1282" s="250">
        <v>297014</v>
      </c>
      <c r="L1282" s="250">
        <v>21</v>
      </c>
      <c r="M1282" s="251" t="s">
        <v>18</v>
      </c>
      <c r="N1282" s="252">
        <v>296993</v>
      </c>
      <c r="O1282" s="185" t="s">
        <v>51</v>
      </c>
    </row>
    <row r="1283" spans="1:15" x14ac:dyDescent="0.25">
      <c r="A1283" s="234" t="s">
        <v>5585</v>
      </c>
      <c r="B1283" s="234" t="s">
        <v>18</v>
      </c>
      <c r="C1283" s="245">
        <v>46148</v>
      </c>
      <c r="D1283" s="234">
        <v>0</v>
      </c>
      <c r="E1283" s="246">
        <v>40000</v>
      </c>
      <c r="F1283" s="247" t="s">
        <v>5584</v>
      </c>
      <c r="G1283" s="34" t="s">
        <v>7</v>
      </c>
      <c r="H1283" s="234" t="s">
        <v>5586</v>
      </c>
      <c r="I1283" s="248" t="s">
        <v>7</v>
      </c>
      <c r="J1283" s="249" t="s">
        <v>554</v>
      </c>
      <c r="K1283" s="250">
        <v>40000</v>
      </c>
      <c r="L1283" s="250">
        <v>0</v>
      </c>
      <c r="M1283" s="251" t="s">
        <v>18</v>
      </c>
      <c r="N1283" s="252">
        <v>0</v>
      </c>
      <c r="O1283" s="185" t="s">
        <v>51</v>
      </c>
    </row>
    <row r="1284" spans="1:15" x14ac:dyDescent="0.25">
      <c r="A1284" s="234" t="s">
        <v>800</v>
      </c>
      <c r="B1284" s="234" t="s">
        <v>18</v>
      </c>
      <c r="C1284" s="245">
        <v>46148</v>
      </c>
      <c r="D1284" s="234">
        <v>0</v>
      </c>
      <c r="E1284" s="246">
        <v>245208</v>
      </c>
      <c r="F1284" s="247" t="s">
        <v>799</v>
      </c>
      <c r="G1284" s="34" t="s">
        <v>7</v>
      </c>
      <c r="H1284" s="234" t="s">
        <v>801</v>
      </c>
      <c r="I1284" s="248" t="s">
        <v>7</v>
      </c>
      <c r="J1284" s="249" t="s">
        <v>554</v>
      </c>
      <c r="K1284" s="250">
        <v>245208</v>
      </c>
      <c r="L1284" s="250">
        <v>0</v>
      </c>
      <c r="M1284" s="251" t="s">
        <v>18</v>
      </c>
      <c r="N1284" s="252">
        <v>0</v>
      </c>
      <c r="O1284" s="185" t="s">
        <v>51</v>
      </c>
    </row>
    <row r="1285" spans="1:15" x14ac:dyDescent="0.25">
      <c r="A1285" s="234" t="s">
        <v>7848</v>
      </c>
      <c r="B1285" s="234" t="s">
        <v>18</v>
      </c>
      <c r="C1285" s="245">
        <v>46148</v>
      </c>
      <c r="D1285" s="234">
        <v>0</v>
      </c>
      <c r="E1285" s="246">
        <v>305757</v>
      </c>
      <c r="F1285" s="247" t="s">
        <v>7849</v>
      </c>
      <c r="G1285" s="34" t="s">
        <v>7</v>
      </c>
      <c r="H1285" s="234" t="s">
        <v>7850</v>
      </c>
      <c r="I1285" s="248" t="s">
        <v>7</v>
      </c>
      <c r="J1285" s="249" t="s">
        <v>492</v>
      </c>
      <c r="K1285" s="250">
        <v>0</v>
      </c>
      <c r="L1285" s="250">
        <v>0</v>
      </c>
      <c r="M1285" s="251" t="s">
        <v>18</v>
      </c>
      <c r="N1285" s="252">
        <v>0</v>
      </c>
      <c r="O1285" s="185" t="s">
        <v>51</v>
      </c>
    </row>
    <row r="1286" spans="1:15" x14ac:dyDescent="0.25">
      <c r="A1286" s="234" t="s">
        <v>7851</v>
      </c>
      <c r="B1286" s="234" t="s">
        <v>18</v>
      </c>
      <c r="C1286" s="245">
        <v>46148</v>
      </c>
      <c r="D1286" s="234">
        <v>0</v>
      </c>
      <c r="E1286" s="246">
        <v>302127</v>
      </c>
      <c r="F1286" s="247" t="s">
        <v>7852</v>
      </c>
      <c r="G1286" s="34" t="s">
        <v>7</v>
      </c>
      <c r="H1286" s="234" t="s">
        <v>7853</v>
      </c>
      <c r="I1286" s="248" t="s">
        <v>7</v>
      </c>
      <c r="J1286" s="249" t="s">
        <v>492</v>
      </c>
      <c r="K1286" s="250">
        <v>0</v>
      </c>
      <c r="L1286" s="250">
        <v>0</v>
      </c>
      <c r="M1286" s="251" t="s">
        <v>18</v>
      </c>
      <c r="N1286" s="252">
        <v>0</v>
      </c>
      <c r="O1286" s="185" t="s">
        <v>51</v>
      </c>
    </row>
    <row r="1287" spans="1:15" x14ac:dyDescent="0.25">
      <c r="A1287" s="234" t="s">
        <v>7854</v>
      </c>
      <c r="B1287" s="234" t="s">
        <v>18</v>
      </c>
      <c r="C1287" s="245">
        <v>46148</v>
      </c>
      <c r="D1287" s="234">
        <v>0</v>
      </c>
      <c r="E1287" s="246">
        <v>301008</v>
      </c>
      <c r="F1287" s="247" t="s">
        <v>7855</v>
      </c>
      <c r="G1287" s="34" t="s">
        <v>7</v>
      </c>
      <c r="H1287" s="234" t="s">
        <v>7856</v>
      </c>
      <c r="I1287" s="248" t="s">
        <v>7</v>
      </c>
      <c r="J1287" s="249" t="s">
        <v>492</v>
      </c>
      <c r="K1287" s="250">
        <v>0</v>
      </c>
      <c r="L1287" s="250">
        <v>0</v>
      </c>
      <c r="M1287" s="251" t="s">
        <v>18</v>
      </c>
      <c r="N1287" s="252">
        <v>0</v>
      </c>
      <c r="O1287" s="185" t="s">
        <v>51</v>
      </c>
    </row>
    <row r="1288" spans="1:15" x14ac:dyDescent="0.25">
      <c r="A1288" s="234" t="s">
        <v>5588</v>
      </c>
      <c r="B1288" s="234" t="s">
        <v>18</v>
      </c>
      <c r="C1288" s="245">
        <v>46148</v>
      </c>
      <c r="D1288" s="234">
        <v>0</v>
      </c>
      <c r="E1288" s="246">
        <v>168596</v>
      </c>
      <c r="F1288" s="247" t="s">
        <v>5587</v>
      </c>
      <c r="G1288" s="34" t="s">
        <v>7</v>
      </c>
      <c r="H1288" s="234" t="s">
        <v>5589</v>
      </c>
      <c r="I1288" s="248" t="s">
        <v>7</v>
      </c>
      <c r="J1288" s="249" t="s">
        <v>554</v>
      </c>
      <c r="K1288" s="250">
        <v>168596</v>
      </c>
      <c r="L1288" s="250">
        <v>0</v>
      </c>
      <c r="M1288" s="251" t="s">
        <v>18</v>
      </c>
      <c r="N1288" s="252">
        <v>0</v>
      </c>
      <c r="O1288" s="185" t="s">
        <v>51</v>
      </c>
    </row>
    <row r="1289" spans="1:15" x14ac:dyDescent="0.25">
      <c r="A1289" s="234" t="s">
        <v>3453</v>
      </c>
      <c r="B1289" s="234" t="s">
        <v>34</v>
      </c>
      <c r="C1289" s="245">
        <v>46148</v>
      </c>
      <c r="D1289" s="234">
        <v>0</v>
      </c>
      <c r="E1289" s="246">
        <v>192489</v>
      </c>
      <c r="F1289" s="247" t="s">
        <v>3452</v>
      </c>
      <c r="G1289" s="34" t="s">
        <v>7</v>
      </c>
      <c r="H1289" s="234" t="s">
        <v>3454</v>
      </c>
      <c r="I1289" s="248" t="s">
        <v>7</v>
      </c>
      <c r="J1289" s="249" t="s">
        <v>554</v>
      </c>
      <c r="K1289" s="250">
        <v>192489</v>
      </c>
      <c r="L1289" s="250">
        <v>0</v>
      </c>
      <c r="M1289" s="251" t="s">
        <v>34</v>
      </c>
      <c r="N1289" s="252">
        <v>0</v>
      </c>
      <c r="O1289" s="185" t="s">
        <v>51</v>
      </c>
    </row>
    <row r="1290" spans="1:15" x14ac:dyDescent="0.25">
      <c r="A1290" s="234" t="s">
        <v>2300</v>
      </c>
      <c r="B1290" s="234" t="s">
        <v>34</v>
      </c>
      <c r="C1290" s="245">
        <v>46148</v>
      </c>
      <c r="D1290" s="234">
        <v>0</v>
      </c>
      <c r="E1290" s="246">
        <v>311540.12</v>
      </c>
      <c r="F1290" s="247" t="s">
        <v>2299</v>
      </c>
      <c r="G1290" s="34" t="s">
        <v>7</v>
      </c>
      <c r="H1290" s="234" t="s">
        <v>2301</v>
      </c>
      <c r="I1290" s="248" t="s">
        <v>7</v>
      </c>
      <c r="J1290" s="249" t="s">
        <v>62</v>
      </c>
      <c r="K1290" s="250">
        <v>311540.12</v>
      </c>
      <c r="L1290" s="250">
        <v>0</v>
      </c>
      <c r="M1290" s="251" t="s">
        <v>34</v>
      </c>
      <c r="N1290" s="252">
        <v>0</v>
      </c>
      <c r="O1290" s="185" t="s">
        <v>51</v>
      </c>
    </row>
    <row r="1291" spans="1:15" x14ac:dyDescent="0.25">
      <c r="A1291" s="234" t="s">
        <v>2200</v>
      </c>
      <c r="B1291" s="234" t="s">
        <v>34</v>
      </c>
      <c r="C1291" s="245">
        <v>46148</v>
      </c>
      <c r="D1291" s="234">
        <v>0</v>
      </c>
      <c r="E1291" s="246">
        <v>80000</v>
      </c>
      <c r="F1291" s="247" t="s">
        <v>2203</v>
      </c>
      <c r="G1291" s="34" t="s">
        <v>7</v>
      </c>
      <c r="H1291" s="234" t="s">
        <v>2201</v>
      </c>
      <c r="I1291" s="248" t="s">
        <v>7</v>
      </c>
      <c r="J1291" s="249" t="s">
        <v>554</v>
      </c>
      <c r="K1291" s="250">
        <v>80000</v>
      </c>
      <c r="L1291" s="250">
        <v>0</v>
      </c>
      <c r="M1291" s="251" t="s">
        <v>34</v>
      </c>
      <c r="N1291" s="252">
        <v>0</v>
      </c>
      <c r="O1291" s="185" t="s">
        <v>51</v>
      </c>
    </row>
    <row r="1292" spans="1:15" x14ac:dyDescent="0.25">
      <c r="A1292" s="234" t="s">
        <v>2332</v>
      </c>
      <c r="B1292" s="234" t="s">
        <v>34</v>
      </c>
      <c r="C1292" s="245">
        <v>46148</v>
      </c>
      <c r="D1292" s="234">
        <v>0</v>
      </c>
      <c r="E1292" s="246">
        <v>100000</v>
      </c>
      <c r="F1292" s="247" t="s">
        <v>2336</v>
      </c>
      <c r="G1292" s="34" t="s">
        <v>7</v>
      </c>
      <c r="H1292" s="234" t="s">
        <v>2333</v>
      </c>
      <c r="I1292" s="248" t="s">
        <v>7</v>
      </c>
      <c r="J1292" s="249" t="s">
        <v>554</v>
      </c>
      <c r="K1292" s="250">
        <v>100000</v>
      </c>
      <c r="L1292" s="250">
        <v>0</v>
      </c>
      <c r="M1292" s="251" t="s">
        <v>34</v>
      </c>
      <c r="N1292" s="252">
        <v>0</v>
      </c>
      <c r="O1292" s="185" t="s">
        <v>51</v>
      </c>
    </row>
    <row r="1293" spans="1:15" x14ac:dyDescent="0.25">
      <c r="A1293" s="234" t="s">
        <v>2332</v>
      </c>
      <c r="B1293" s="234" t="s">
        <v>34</v>
      </c>
      <c r="C1293" s="245">
        <v>46148</v>
      </c>
      <c r="D1293" s="234">
        <v>0</v>
      </c>
      <c r="E1293" s="246">
        <v>100000</v>
      </c>
      <c r="F1293" s="247" t="s">
        <v>2335</v>
      </c>
      <c r="G1293" s="34" t="s">
        <v>7</v>
      </c>
      <c r="H1293" s="234" t="s">
        <v>2333</v>
      </c>
      <c r="I1293" s="248" t="s">
        <v>7</v>
      </c>
      <c r="J1293" s="249" t="s">
        <v>554</v>
      </c>
      <c r="K1293" s="250">
        <v>100000</v>
      </c>
      <c r="L1293" s="250">
        <v>0</v>
      </c>
      <c r="M1293" s="251" t="s">
        <v>34</v>
      </c>
      <c r="N1293" s="252">
        <v>0</v>
      </c>
      <c r="O1293" s="185" t="s">
        <v>51</v>
      </c>
    </row>
    <row r="1294" spans="1:15" x14ac:dyDescent="0.25">
      <c r="A1294" s="234" t="s">
        <v>2332</v>
      </c>
      <c r="B1294" s="234" t="s">
        <v>34</v>
      </c>
      <c r="C1294" s="245">
        <v>46148</v>
      </c>
      <c r="D1294" s="234">
        <v>0</v>
      </c>
      <c r="E1294" s="246">
        <v>100000</v>
      </c>
      <c r="F1294" s="247" t="s">
        <v>2334</v>
      </c>
      <c r="G1294" s="34" t="s">
        <v>7</v>
      </c>
      <c r="H1294" s="234" t="s">
        <v>2333</v>
      </c>
      <c r="I1294" s="248" t="s">
        <v>7</v>
      </c>
      <c r="J1294" s="249" t="s">
        <v>554</v>
      </c>
      <c r="K1294" s="250">
        <v>100000</v>
      </c>
      <c r="L1294" s="250">
        <v>0</v>
      </c>
      <c r="M1294" s="251" t="s">
        <v>34</v>
      </c>
      <c r="N1294" s="252">
        <v>0</v>
      </c>
      <c r="O1294" s="185" t="s">
        <v>51</v>
      </c>
    </row>
    <row r="1295" spans="1:15" x14ac:dyDescent="0.25">
      <c r="A1295" s="234" t="s">
        <v>2332</v>
      </c>
      <c r="B1295" s="234" t="s">
        <v>34</v>
      </c>
      <c r="C1295" s="245">
        <v>46148</v>
      </c>
      <c r="D1295" s="234">
        <v>0</v>
      </c>
      <c r="E1295" s="246">
        <v>100000</v>
      </c>
      <c r="F1295" s="247" t="s">
        <v>2331</v>
      </c>
      <c r="G1295" s="34" t="s">
        <v>7</v>
      </c>
      <c r="H1295" s="234" t="s">
        <v>2333</v>
      </c>
      <c r="I1295" s="248" t="s">
        <v>7</v>
      </c>
      <c r="J1295" s="249" t="s">
        <v>554</v>
      </c>
      <c r="K1295" s="250">
        <v>100000</v>
      </c>
      <c r="L1295" s="250">
        <v>0</v>
      </c>
      <c r="M1295" s="251" t="s">
        <v>34</v>
      </c>
      <c r="N1295" s="252">
        <v>0</v>
      </c>
      <c r="O1295" s="185" t="s">
        <v>51</v>
      </c>
    </row>
    <row r="1296" spans="1:15" x14ac:dyDescent="0.25">
      <c r="A1296" s="234" t="s">
        <v>645</v>
      </c>
      <c r="B1296" s="234" t="s">
        <v>34</v>
      </c>
      <c r="C1296" s="245">
        <v>46148</v>
      </c>
      <c r="D1296" s="234">
        <v>0</v>
      </c>
      <c r="E1296" s="246">
        <v>150000</v>
      </c>
      <c r="F1296" s="247" t="s">
        <v>644</v>
      </c>
      <c r="G1296" s="34" t="s">
        <v>7</v>
      </c>
      <c r="H1296" s="234" t="s">
        <v>646</v>
      </c>
      <c r="I1296" s="248" t="s">
        <v>7</v>
      </c>
      <c r="J1296" s="249" t="s">
        <v>554</v>
      </c>
      <c r="K1296" s="250">
        <v>150000</v>
      </c>
      <c r="L1296" s="250">
        <v>0</v>
      </c>
      <c r="M1296" s="251" t="s">
        <v>34</v>
      </c>
      <c r="N1296" s="252">
        <v>0</v>
      </c>
      <c r="O1296" s="185" t="s">
        <v>51</v>
      </c>
    </row>
    <row r="1297" spans="1:15" x14ac:dyDescent="0.25">
      <c r="A1297" s="234" t="s">
        <v>4096</v>
      </c>
      <c r="B1297" s="234" t="s">
        <v>34</v>
      </c>
      <c r="C1297" s="245">
        <v>46148</v>
      </c>
      <c r="D1297" s="234">
        <v>0</v>
      </c>
      <c r="E1297" s="246">
        <v>367711</v>
      </c>
      <c r="F1297" s="247" t="s">
        <v>4095</v>
      </c>
      <c r="G1297" s="34" t="s">
        <v>7</v>
      </c>
      <c r="H1297" s="234" t="s">
        <v>4097</v>
      </c>
      <c r="I1297" s="248" t="s">
        <v>7</v>
      </c>
      <c r="J1297" s="249" t="s">
        <v>554</v>
      </c>
      <c r="K1297" s="250">
        <v>367711</v>
      </c>
      <c r="L1297" s="250">
        <v>0</v>
      </c>
      <c r="M1297" s="251" t="s">
        <v>34</v>
      </c>
      <c r="N1297" s="252">
        <v>0</v>
      </c>
      <c r="O1297" s="185" t="s">
        <v>51</v>
      </c>
    </row>
    <row r="1298" spans="1:15" x14ac:dyDescent="0.25">
      <c r="A1298" s="234" t="s">
        <v>5614</v>
      </c>
      <c r="B1298" s="234" t="s">
        <v>34</v>
      </c>
      <c r="C1298" s="245">
        <v>46148</v>
      </c>
      <c r="D1298" s="234">
        <v>0</v>
      </c>
      <c r="E1298" s="246">
        <v>71014</v>
      </c>
      <c r="F1298" s="247" t="s">
        <v>5616</v>
      </c>
      <c r="G1298" s="34" t="s">
        <v>7</v>
      </c>
      <c r="H1298" s="234" t="s">
        <v>5615</v>
      </c>
      <c r="I1298" s="248" t="s">
        <v>7</v>
      </c>
      <c r="J1298" s="249" t="s">
        <v>554</v>
      </c>
      <c r="K1298" s="250">
        <v>71014</v>
      </c>
      <c r="L1298" s="250">
        <v>0</v>
      </c>
      <c r="M1298" s="251" t="s">
        <v>34</v>
      </c>
      <c r="N1298" s="252">
        <v>0</v>
      </c>
      <c r="O1298" s="185" t="s">
        <v>51</v>
      </c>
    </row>
    <row r="1299" spans="1:15" x14ac:dyDescent="0.25">
      <c r="A1299" s="234" t="s">
        <v>2303</v>
      </c>
      <c r="B1299" s="234" t="s">
        <v>34</v>
      </c>
      <c r="C1299" s="245">
        <v>46148</v>
      </c>
      <c r="D1299" s="234">
        <v>0</v>
      </c>
      <c r="E1299" s="246">
        <v>80000</v>
      </c>
      <c r="F1299" s="247" t="s">
        <v>2302</v>
      </c>
      <c r="G1299" s="34" t="s">
        <v>7</v>
      </c>
      <c r="H1299" s="234" t="s">
        <v>2304</v>
      </c>
      <c r="I1299" s="248" t="s">
        <v>7</v>
      </c>
      <c r="J1299" s="249" t="s">
        <v>554</v>
      </c>
      <c r="K1299" s="250">
        <v>80000</v>
      </c>
      <c r="L1299" s="250">
        <v>0</v>
      </c>
      <c r="M1299" s="251" t="s">
        <v>34</v>
      </c>
      <c r="N1299" s="252">
        <v>0</v>
      </c>
      <c r="O1299" s="185" t="s">
        <v>51</v>
      </c>
    </row>
    <row r="1300" spans="1:15" x14ac:dyDescent="0.25">
      <c r="A1300" s="234" t="s">
        <v>3288</v>
      </c>
      <c r="B1300" s="234" t="s">
        <v>34</v>
      </c>
      <c r="C1300" s="245">
        <v>46148</v>
      </c>
      <c r="D1300" s="234">
        <v>0</v>
      </c>
      <c r="E1300" s="246">
        <v>60000</v>
      </c>
      <c r="F1300" s="247" t="s">
        <v>3287</v>
      </c>
      <c r="G1300" s="34" t="s">
        <v>7</v>
      </c>
      <c r="H1300" s="234" t="s">
        <v>3289</v>
      </c>
      <c r="I1300" s="248" t="s">
        <v>7</v>
      </c>
      <c r="J1300" s="249" t="s">
        <v>554</v>
      </c>
      <c r="K1300" s="250">
        <v>60000</v>
      </c>
      <c r="L1300" s="250">
        <v>0</v>
      </c>
      <c r="M1300" s="251" t="s">
        <v>34</v>
      </c>
      <c r="N1300" s="252">
        <v>0</v>
      </c>
      <c r="O1300" s="185" t="s">
        <v>51</v>
      </c>
    </row>
    <row r="1301" spans="1:15" x14ac:dyDescent="0.25">
      <c r="A1301" s="234" t="s">
        <v>5606</v>
      </c>
      <c r="B1301" s="234" t="s">
        <v>34</v>
      </c>
      <c r="C1301" s="245">
        <v>46148</v>
      </c>
      <c r="D1301" s="234">
        <v>0</v>
      </c>
      <c r="E1301" s="246">
        <v>199769.2</v>
      </c>
      <c r="F1301" s="247" t="s">
        <v>5605</v>
      </c>
      <c r="G1301" s="34" t="s">
        <v>7</v>
      </c>
      <c r="H1301" s="234" t="s">
        <v>5607</v>
      </c>
      <c r="I1301" s="248" t="s">
        <v>7367</v>
      </c>
      <c r="J1301" s="249" t="s">
        <v>554</v>
      </c>
      <c r="K1301" s="250">
        <v>199769.2</v>
      </c>
      <c r="L1301" s="250">
        <v>444</v>
      </c>
      <c r="M1301" s="251" t="s">
        <v>34</v>
      </c>
      <c r="N1301" s="252">
        <v>199325.2</v>
      </c>
      <c r="O1301" s="185" t="s">
        <v>51</v>
      </c>
    </row>
    <row r="1302" spans="1:15" x14ac:dyDescent="0.25">
      <c r="A1302" s="234" t="s">
        <v>2332</v>
      </c>
      <c r="B1302" s="234" t="s">
        <v>34</v>
      </c>
      <c r="C1302" s="245">
        <v>46148</v>
      </c>
      <c r="D1302" s="234">
        <v>0</v>
      </c>
      <c r="E1302" s="246">
        <v>100000</v>
      </c>
      <c r="F1302" s="247">
        <v>0</v>
      </c>
      <c r="G1302" s="34" t="s">
        <v>7</v>
      </c>
      <c r="H1302" s="234" t="s">
        <v>2333</v>
      </c>
      <c r="I1302" s="248" t="s">
        <v>7</v>
      </c>
      <c r="J1302" s="249" t="s">
        <v>492</v>
      </c>
      <c r="K1302" s="250">
        <v>0</v>
      </c>
      <c r="L1302" s="250">
        <v>0</v>
      </c>
      <c r="M1302" s="251" t="s">
        <v>34</v>
      </c>
      <c r="N1302" s="252">
        <v>0</v>
      </c>
      <c r="O1302" s="185" t="s">
        <v>51</v>
      </c>
    </row>
    <row r="1303" spans="1:15" x14ac:dyDescent="0.25">
      <c r="A1303" s="234" t="s">
        <v>2303</v>
      </c>
      <c r="B1303" s="234" t="s">
        <v>34</v>
      </c>
      <c r="C1303" s="245">
        <v>46148</v>
      </c>
      <c r="D1303" s="234">
        <v>0</v>
      </c>
      <c r="E1303" s="246">
        <v>80000</v>
      </c>
      <c r="F1303" s="247">
        <v>0</v>
      </c>
      <c r="G1303" s="34" t="s">
        <v>7</v>
      </c>
      <c r="H1303" s="234" t="s">
        <v>2304</v>
      </c>
      <c r="I1303" s="248" t="s">
        <v>7</v>
      </c>
      <c r="J1303" s="249" t="s">
        <v>492</v>
      </c>
      <c r="K1303" s="250">
        <v>0</v>
      </c>
      <c r="L1303" s="250">
        <v>0</v>
      </c>
      <c r="M1303" s="251" t="s">
        <v>34</v>
      </c>
      <c r="N1303" s="252">
        <v>0</v>
      </c>
      <c r="O1303" s="185" t="s">
        <v>51</v>
      </c>
    </row>
    <row r="1304" spans="1:15" x14ac:dyDescent="0.25">
      <c r="A1304" s="234" t="s">
        <v>5098</v>
      </c>
      <c r="B1304" s="234" t="s">
        <v>49</v>
      </c>
      <c r="C1304" s="245">
        <v>46148</v>
      </c>
      <c r="D1304" s="234" t="s">
        <v>546</v>
      </c>
      <c r="E1304" s="246">
        <v>1543</v>
      </c>
      <c r="F1304" s="247" t="s">
        <v>5101</v>
      </c>
      <c r="G1304" s="34" t="s">
        <v>83</v>
      </c>
      <c r="H1304" s="234" t="s">
        <v>5100</v>
      </c>
      <c r="I1304" s="248" t="s">
        <v>7</v>
      </c>
      <c r="J1304" s="249" t="s">
        <v>554</v>
      </c>
      <c r="K1304" s="250">
        <v>101000</v>
      </c>
      <c r="L1304" s="250">
        <v>0</v>
      </c>
      <c r="M1304" s="251" t="s">
        <v>49</v>
      </c>
      <c r="N1304" s="252">
        <v>0</v>
      </c>
      <c r="O1304" s="185" t="s">
        <v>51</v>
      </c>
    </row>
    <row r="1305" spans="1:15" x14ac:dyDescent="0.25">
      <c r="A1305" s="234" t="s">
        <v>5076</v>
      </c>
      <c r="B1305" s="234" t="s">
        <v>49</v>
      </c>
      <c r="C1305" s="245">
        <v>46148</v>
      </c>
      <c r="D1305" s="234" t="s">
        <v>546</v>
      </c>
      <c r="E1305" s="246">
        <v>19391</v>
      </c>
      <c r="F1305" s="247" t="s">
        <v>5075</v>
      </c>
      <c r="G1305" s="34" t="s">
        <v>83</v>
      </c>
      <c r="H1305" s="234" t="s">
        <v>5078</v>
      </c>
      <c r="I1305" s="248" t="s">
        <v>7</v>
      </c>
      <c r="J1305" s="249" t="s">
        <v>554</v>
      </c>
      <c r="K1305" s="250">
        <v>43504</v>
      </c>
      <c r="L1305" s="250">
        <v>0</v>
      </c>
      <c r="M1305" s="251" t="s">
        <v>49</v>
      </c>
      <c r="N1305" s="252">
        <v>0</v>
      </c>
      <c r="O1305" s="185" t="s">
        <v>51</v>
      </c>
    </row>
    <row r="1306" spans="1:15" x14ac:dyDescent="0.25">
      <c r="A1306" s="234" t="s">
        <v>5171</v>
      </c>
      <c r="B1306" s="234" t="s">
        <v>49</v>
      </c>
      <c r="C1306" s="245">
        <v>46148</v>
      </c>
      <c r="D1306" s="234" t="s">
        <v>546</v>
      </c>
      <c r="E1306" s="246">
        <v>1197</v>
      </c>
      <c r="F1306" s="247" t="s">
        <v>5174</v>
      </c>
      <c r="G1306" s="34" t="s">
        <v>83</v>
      </c>
      <c r="H1306" s="234" t="s">
        <v>5173</v>
      </c>
      <c r="I1306" s="248" t="s">
        <v>7</v>
      </c>
      <c r="J1306" s="249" t="s">
        <v>554</v>
      </c>
      <c r="K1306" s="250">
        <v>2000</v>
      </c>
      <c r="L1306" s="250">
        <v>0</v>
      </c>
      <c r="M1306" s="251" t="s">
        <v>49</v>
      </c>
      <c r="N1306" s="252">
        <v>0</v>
      </c>
      <c r="O1306" s="185" t="s">
        <v>51</v>
      </c>
    </row>
    <row r="1307" spans="1:15" x14ac:dyDescent="0.25">
      <c r="A1307" s="234" t="s">
        <v>5661</v>
      </c>
      <c r="B1307" s="234" t="s">
        <v>49</v>
      </c>
      <c r="C1307" s="245">
        <v>46148</v>
      </c>
      <c r="D1307" s="234" t="s">
        <v>546</v>
      </c>
      <c r="E1307" s="246">
        <v>1800</v>
      </c>
      <c r="F1307" s="247" t="s">
        <v>5665</v>
      </c>
      <c r="G1307" s="34" t="s">
        <v>83</v>
      </c>
      <c r="H1307" s="234" t="s">
        <v>5663</v>
      </c>
      <c r="I1307" s="248" t="s">
        <v>7</v>
      </c>
      <c r="J1307" s="249" t="s">
        <v>554</v>
      </c>
      <c r="K1307" s="250">
        <v>1800</v>
      </c>
      <c r="L1307" s="250">
        <v>0</v>
      </c>
      <c r="M1307" s="251" t="s">
        <v>49</v>
      </c>
      <c r="N1307" s="252">
        <v>0</v>
      </c>
      <c r="O1307" s="185" t="s">
        <v>51</v>
      </c>
    </row>
    <row r="1308" spans="1:15" x14ac:dyDescent="0.25">
      <c r="A1308" s="234" t="s">
        <v>5661</v>
      </c>
      <c r="B1308" s="234" t="s">
        <v>49</v>
      </c>
      <c r="C1308" s="245">
        <v>46148</v>
      </c>
      <c r="D1308" s="234" t="s">
        <v>546</v>
      </c>
      <c r="E1308" s="246">
        <v>3700</v>
      </c>
      <c r="F1308" s="247" t="s">
        <v>5664</v>
      </c>
      <c r="G1308" s="34" t="s">
        <v>83</v>
      </c>
      <c r="H1308" s="234" t="s">
        <v>5663</v>
      </c>
      <c r="I1308" s="248" t="s">
        <v>7</v>
      </c>
      <c r="J1308" s="249" t="s">
        <v>554</v>
      </c>
      <c r="K1308" s="250">
        <v>3700</v>
      </c>
      <c r="L1308" s="250">
        <v>0</v>
      </c>
      <c r="M1308" s="251" t="s">
        <v>49</v>
      </c>
      <c r="N1308" s="252">
        <v>0</v>
      </c>
      <c r="O1308" s="185" t="s">
        <v>51</v>
      </c>
    </row>
    <row r="1309" spans="1:15" x14ac:dyDescent="0.25">
      <c r="A1309" s="234" t="s">
        <v>5661</v>
      </c>
      <c r="B1309" s="234" t="s">
        <v>49</v>
      </c>
      <c r="C1309" s="245">
        <v>46148</v>
      </c>
      <c r="D1309" s="234" t="s">
        <v>546</v>
      </c>
      <c r="E1309" s="246">
        <v>3700</v>
      </c>
      <c r="F1309" s="247" t="s">
        <v>5660</v>
      </c>
      <c r="G1309" s="34" t="s">
        <v>83</v>
      </c>
      <c r="H1309" s="234" t="s">
        <v>5663</v>
      </c>
      <c r="I1309" s="248" t="s">
        <v>7</v>
      </c>
      <c r="J1309" s="249" t="s">
        <v>554</v>
      </c>
      <c r="K1309" s="250">
        <v>3700</v>
      </c>
      <c r="L1309" s="250">
        <v>0</v>
      </c>
      <c r="M1309" s="251" t="s">
        <v>49</v>
      </c>
      <c r="N1309" s="252">
        <v>0</v>
      </c>
      <c r="O1309" s="185" t="s">
        <v>51</v>
      </c>
    </row>
    <row r="1310" spans="1:15" x14ac:dyDescent="0.25">
      <c r="A1310" s="234" t="s">
        <v>3269</v>
      </c>
      <c r="B1310" s="234" t="s">
        <v>49</v>
      </c>
      <c r="C1310" s="245">
        <v>46148</v>
      </c>
      <c r="D1310" s="234" t="s">
        <v>546</v>
      </c>
      <c r="E1310" s="246">
        <v>60000</v>
      </c>
      <c r="F1310" s="247" t="s">
        <v>3275</v>
      </c>
      <c r="G1310" s="34" t="s">
        <v>83</v>
      </c>
      <c r="H1310" s="234" t="s">
        <v>3270</v>
      </c>
      <c r="I1310" s="248" t="s">
        <v>7</v>
      </c>
      <c r="J1310" s="249" t="s">
        <v>554</v>
      </c>
      <c r="K1310" s="250">
        <v>60000</v>
      </c>
      <c r="L1310" s="250">
        <v>0</v>
      </c>
      <c r="M1310" s="251" t="s">
        <v>49</v>
      </c>
      <c r="N1310" s="252">
        <v>0</v>
      </c>
      <c r="O1310" s="185" t="s">
        <v>51</v>
      </c>
    </row>
    <row r="1311" spans="1:15" x14ac:dyDescent="0.25">
      <c r="A1311" s="234" t="s">
        <v>3269</v>
      </c>
      <c r="B1311" s="234" t="s">
        <v>49</v>
      </c>
      <c r="C1311" s="245">
        <v>46148</v>
      </c>
      <c r="D1311" s="234" t="s">
        <v>546</v>
      </c>
      <c r="E1311" s="246">
        <v>60000</v>
      </c>
      <c r="F1311" s="247" t="s">
        <v>3273</v>
      </c>
      <c r="G1311" s="34" t="s">
        <v>83</v>
      </c>
      <c r="H1311" s="234" t="s">
        <v>3270</v>
      </c>
      <c r="I1311" s="248" t="s">
        <v>7</v>
      </c>
      <c r="J1311" s="249" t="s">
        <v>554</v>
      </c>
      <c r="K1311" s="250">
        <v>60000</v>
      </c>
      <c r="L1311" s="250">
        <v>0</v>
      </c>
      <c r="M1311" s="251" t="s">
        <v>49</v>
      </c>
      <c r="N1311" s="252">
        <v>0</v>
      </c>
      <c r="O1311" s="185" t="s">
        <v>51</v>
      </c>
    </row>
    <row r="1312" spans="1:15" x14ac:dyDescent="0.25">
      <c r="A1312" s="234" t="s">
        <v>3269</v>
      </c>
      <c r="B1312" s="234" t="s">
        <v>49</v>
      </c>
      <c r="C1312" s="245">
        <v>46148</v>
      </c>
      <c r="D1312" s="234" t="s">
        <v>546</v>
      </c>
      <c r="E1312" s="246">
        <v>60000</v>
      </c>
      <c r="F1312" s="247" t="s">
        <v>3272</v>
      </c>
      <c r="G1312" s="34" t="s">
        <v>83</v>
      </c>
      <c r="H1312" s="234" t="s">
        <v>3270</v>
      </c>
      <c r="I1312" s="248" t="s">
        <v>7</v>
      </c>
      <c r="J1312" s="249" t="s">
        <v>554</v>
      </c>
      <c r="K1312" s="250">
        <v>60000</v>
      </c>
      <c r="L1312" s="250">
        <v>0</v>
      </c>
      <c r="M1312" s="251" t="s">
        <v>49</v>
      </c>
      <c r="N1312" s="252">
        <v>0</v>
      </c>
      <c r="O1312" s="185" t="s">
        <v>51</v>
      </c>
    </row>
    <row r="1313" spans="1:15" x14ac:dyDescent="0.25">
      <c r="A1313" s="234" t="s">
        <v>3269</v>
      </c>
      <c r="B1313" s="234" t="s">
        <v>49</v>
      </c>
      <c r="C1313" s="245">
        <v>46148</v>
      </c>
      <c r="D1313" s="234" t="s">
        <v>546</v>
      </c>
      <c r="E1313" s="246">
        <v>11446</v>
      </c>
      <c r="F1313" s="247" t="s">
        <v>3271</v>
      </c>
      <c r="G1313" s="34" t="s">
        <v>83</v>
      </c>
      <c r="H1313" s="234" t="s">
        <v>3270</v>
      </c>
      <c r="I1313" s="248" t="s">
        <v>7</v>
      </c>
      <c r="J1313" s="249" t="s">
        <v>554</v>
      </c>
      <c r="K1313" s="250">
        <v>11446</v>
      </c>
      <c r="L1313" s="250">
        <v>0</v>
      </c>
      <c r="M1313" s="251" t="s">
        <v>49</v>
      </c>
      <c r="N1313" s="252">
        <v>0</v>
      </c>
      <c r="O1313" s="185" t="s">
        <v>51</v>
      </c>
    </row>
    <row r="1314" spans="1:15" x14ac:dyDescent="0.25">
      <c r="A1314" s="234" t="s">
        <v>5294</v>
      </c>
      <c r="B1314" s="234" t="s">
        <v>49</v>
      </c>
      <c r="C1314" s="245">
        <v>46148</v>
      </c>
      <c r="D1314" s="234" t="s">
        <v>64</v>
      </c>
      <c r="E1314" s="246">
        <v>121104</v>
      </c>
      <c r="F1314" s="247" t="s">
        <v>5293</v>
      </c>
      <c r="G1314" s="34" t="s">
        <v>83</v>
      </c>
      <c r="H1314" s="234" t="s">
        <v>5295</v>
      </c>
      <c r="I1314" s="248" t="s">
        <v>7</v>
      </c>
      <c r="J1314" s="249" t="s">
        <v>554</v>
      </c>
      <c r="K1314" s="250">
        <v>121104</v>
      </c>
      <c r="L1314" s="250">
        <v>0</v>
      </c>
      <c r="M1314" s="251" t="s">
        <v>49</v>
      </c>
      <c r="N1314" s="252">
        <v>0</v>
      </c>
      <c r="O1314" s="185" t="s">
        <v>74</v>
      </c>
    </row>
    <row r="1315" spans="1:15" x14ac:dyDescent="0.25">
      <c r="A1315" s="234" t="s">
        <v>3281</v>
      </c>
      <c r="B1315" s="234" t="s">
        <v>49</v>
      </c>
      <c r="C1315" s="245">
        <v>46148</v>
      </c>
      <c r="D1315" s="234" t="s">
        <v>546</v>
      </c>
      <c r="E1315" s="246">
        <v>15000</v>
      </c>
      <c r="F1315" s="247" t="s">
        <v>7531</v>
      </c>
      <c r="G1315" s="34" t="s">
        <v>83</v>
      </c>
      <c r="H1315" s="234" t="s">
        <v>3282</v>
      </c>
      <c r="I1315" s="248" t="s">
        <v>7</v>
      </c>
      <c r="J1315" s="249" t="s">
        <v>492</v>
      </c>
      <c r="K1315" s="250">
        <v>0</v>
      </c>
      <c r="L1315" s="250">
        <v>0</v>
      </c>
      <c r="M1315" s="251" t="s">
        <v>49</v>
      </c>
      <c r="N1315" s="252">
        <v>0</v>
      </c>
      <c r="O1315" s="185" t="s">
        <v>51</v>
      </c>
    </row>
    <row r="1316" spans="1:15" x14ac:dyDescent="0.25">
      <c r="A1316" s="234" t="s">
        <v>4099</v>
      </c>
      <c r="B1316" s="234" t="s">
        <v>45</v>
      </c>
      <c r="C1316" s="245">
        <v>46148</v>
      </c>
      <c r="D1316" s="234">
        <v>0</v>
      </c>
      <c r="E1316" s="246">
        <v>125088</v>
      </c>
      <c r="F1316" s="247" t="s">
        <v>4098</v>
      </c>
      <c r="G1316" s="34" t="s">
        <v>83</v>
      </c>
      <c r="H1316" s="234" t="s">
        <v>4100</v>
      </c>
      <c r="I1316" s="248" t="s">
        <v>7</v>
      </c>
      <c r="J1316" s="249" t="s">
        <v>554</v>
      </c>
      <c r="K1316" s="250">
        <v>125088</v>
      </c>
      <c r="L1316" s="250">
        <v>0</v>
      </c>
      <c r="M1316" s="251" t="s">
        <v>45</v>
      </c>
      <c r="N1316" s="252">
        <v>0</v>
      </c>
      <c r="O1316" s="185" t="s">
        <v>51</v>
      </c>
    </row>
    <row r="1317" spans="1:15" x14ac:dyDescent="0.25">
      <c r="A1317" s="234" t="s">
        <v>7857</v>
      </c>
      <c r="B1317" s="234" t="s">
        <v>45</v>
      </c>
      <c r="C1317" s="245">
        <v>46148</v>
      </c>
      <c r="D1317" s="234">
        <v>0</v>
      </c>
      <c r="E1317" s="246">
        <v>133983.56</v>
      </c>
      <c r="F1317" s="247" t="s">
        <v>7858</v>
      </c>
      <c r="G1317" s="34" t="s">
        <v>83</v>
      </c>
      <c r="H1317" s="234" t="s">
        <v>7859</v>
      </c>
      <c r="I1317" s="248" t="s">
        <v>7</v>
      </c>
      <c r="J1317" s="249" t="s">
        <v>492</v>
      </c>
      <c r="K1317" s="250">
        <v>0</v>
      </c>
      <c r="L1317" s="250">
        <v>0</v>
      </c>
      <c r="M1317" s="251" t="s">
        <v>45</v>
      </c>
      <c r="N1317" s="252">
        <v>0</v>
      </c>
      <c r="O1317" s="185" t="s">
        <v>51</v>
      </c>
    </row>
    <row r="1318" spans="1:15" x14ac:dyDescent="0.25">
      <c r="A1318" s="234" t="s">
        <v>7857</v>
      </c>
      <c r="B1318" s="234" t="s">
        <v>45</v>
      </c>
      <c r="C1318" s="245">
        <v>46148</v>
      </c>
      <c r="D1318" s="234">
        <v>0</v>
      </c>
      <c r="E1318" s="246">
        <v>150000</v>
      </c>
      <c r="F1318" s="247">
        <v>0</v>
      </c>
      <c r="G1318" s="34" t="s">
        <v>83</v>
      </c>
      <c r="H1318" s="234" t="s">
        <v>7859</v>
      </c>
      <c r="I1318" s="248" t="s">
        <v>7</v>
      </c>
      <c r="J1318" s="249" t="s">
        <v>492</v>
      </c>
      <c r="K1318" s="250">
        <v>0</v>
      </c>
      <c r="L1318" s="250">
        <v>0</v>
      </c>
      <c r="M1318" s="251" t="s">
        <v>45</v>
      </c>
      <c r="N1318" s="252">
        <v>0</v>
      </c>
      <c r="O1318" s="185" t="s">
        <v>51</v>
      </c>
    </row>
    <row r="1319" spans="1:15" x14ac:dyDescent="0.25">
      <c r="A1319" s="234" t="s">
        <v>7857</v>
      </c>
      <c r="B1319" s="234" t="s">
        <v>45</v>
      </c>
      <c r="C1319" s="245">
        <v>46148</v>
      </c>
      <c r="D1319" s="234">
        <v>0</v>
      </c>
      <c r="E1319" s="246">
        <v>100000</v>
      </c>
      <c r="F1319" s="247">
        <v>0</v>
      </c>
      <c r="G1319" s="34" t="s">
        <v>83</v>
      </c>
      <c r="H1319" s="234" t="s">
        <v>7859</v>
      </c>
      <c r="I1319" s="248" t="s">
        <v>7</v>
      </c>
      <c r="J1319" s="249" t="s">
        <v>492</v>
      </c>
      <c r="K1319" s="250">
        <v>0</v>
      </c>
      <c r="L1319" s="250">
        <v>0</v>
      </c>
      <c r="M1319" s="251" t="s">
        <v>45</v>
      </c>
      <c r="N1319" s="252">
        <v>0</v>
      </c>
      <c r="O1319" s="185" t="s">
        <v>51</v>
      </c>
    </row>
    <row r="1320" spans="1:15" x14ac:dyDescent="0.25">
      <c r="A1320" s="234" t="s">
        <v>2902</v>
      </c>
      <c r="B1320" s="234" t="s">
        <v>29</v>
      </c>
      <c r="C1320" s="245">
        <v>46148</v>
      </c>
      <c r="D1320" s="234">
        <v>0</v>
      </c>
      <c r="E1320" s="246">
        <v>20000</v>
      </c>
      <c r="F1320" s="247">
        <v>0</v>
      </c>
      <c r="G1320" s="34" t="s">
        <v>7</v>
      </c>
      <c r="H1320" s="234" t="s">
        <v>2903</v>
      </c>
      <c r="I1320" s="248" t="s">
        <v>7</v>
      </c>
      <c r="J1320" s="249" t="s">
        <v>492</v>
      </c>
      <c r="K1320" s="250">
        <v>0</v>
      </c>
      <c r="L1320" s="250">
        <v>0</v>
      </c>
      <c r="M1320" s="251" t="s">
        <v>29</v>
      </c>
      <c r="N1320" s="252">
        <v>0</v>
      </c>
      <c r="O1320" s="185" t="s">
        <v>51</v>
      </c>
    </row>
    <row r="1321" spans="1:15" x14ac:dyDescent="0.25">
      <c r="A1321" s="234" t="s">
        <v>5759</v>
      </c>
      <c r="B1321" s="234" t="s">
        <v>29</v>
      </c>
      <c r="C1321" s="245">
        <v>46148</v>
      </c>
      <c r="D1321" s="234">
        <v>0</v>
      </c>
      <c r="E1321" s="246">
        <v>399590</v>
      </c>
      <c r="F1321" s="247">
        <v>0</v>
      </c>
      <c r="G1321" s="34" t="s">
        <v>7</v>
      </c>
      <c r="H1321" s="234" t="s">
        <v>5760</v>
      </c>
      <c r="I1321" s="248" t="s">
        <v>7</v>
      </c>
      <c r="J1321" s="249" t="s">
        <v>492</v>
      </c>
      <c r="K1321" s="250">
        <v>0</v>
      </c>
      <c r="L1321" s="250">
        <v>0</v>
      </c>
      <c r="M1321" s="251" t="s">
        <v>29</v>
      </c>
      <c r="N1321" s="252">
        <v>0</v>
      </c>
      <c r="O1321" s="185" t="s">
        <v>51</v>
      </c>
    </row>
    <row r="1322" spans="1:15" x14ac:dyDescent="0.25">
      <c r="A1322" s="234" t="s">
        <v>5773</v>
      </c>
      <c r="B1322" s="234" t="s">
        <v>29</v>
      </c>
      <c r="C1322" s="245">
        <v>46148</v>
      </c>
      <c r="D1322" s="234">
        <v>0</v>
      </c>
      <c r="E1322" s="246">
        <v>110000</v>
      </c>
      <c r="F1322" s="247">
        <v>0</v>
      </c>
      <c r="G1322" s="34" t="s">
        <v>7</v>
      </c>
      <c r="H1322" s="234" t="s">
        <v>5775</v>
      </c>
      <c r="I1322" s="248" t="s">
        <v>7</v>
      </c>
      <c r="J1322" s="249" t="s">
        <v>492</v>
      </c>
      <c r="K1322" s="250">
        <v>0</v>
      </c>
      <c r="L1322" s="250">
        <v>0</v>
      </c>
      <c r="M1322" s="251" t="s">
        <v>29</v>
      </c>
      <c r="N1322" s="252">
        <v>0</v>
      </c>
      <c r="O1322" s="185" t="s">
        <v>51</v>
      </c>
    </row>
    <row r="1323" spans="1:15" x14ac:dyDescent="0.25">
      <c r="A1323" s="234" t="s">
        <v>7860</v>
      </c>
      <c r="B1323" s="234" t="s">
        <v>29</v>
      </c>
      <c r="C1323" s="245">
        <v>46148</v>
      </c>
      <c r="D1323" s="234">
        <v>0</v>
      </c>
      <c r="E1323" s="246">
        <v>500000</v>
      </c>
      <c r="F1323" s="247">
        <v>0</v>
      </c>
      <c r="G1323" s="34" t="s">
        <v>7</v>
      </c>
      <c r="H1323" s="234" t="s">
        <v>7861</v>
      </c>
      <c r="I1323" s="248" t="s">
        <v>7</v>
      </c>
      <c r="J1323" s="249" t="s">
        <v>492</v>
      </c>
      <c r="K1323" s="250">
        <v>0</v>
      </c>
      <c r="L1323" s="250">
        <v>0</v>
      </c>
      <c r="M1323" s="251" t="s">
        <v>29</v>
      </c>
      <c r="N1323" s="252">
        <v>0</v>
      </c>
      <c r="O1323" s="185" t="s">
        <v>51</v>
      </c>
    </row>
    <row r="1324" spans="1:15" x14ac:dyDescent="0.25">
      <c r="A1324" s="234" t="s">
        <v>2137</v>
      </c>
      <c r="B1324" s="234" t="s">
        <v>32</v>
      </c>
      <c r="C1324" s="245">
        <v>46148</v>
      </c>
      <c r="D1324" s="234" t="s">
        <v>546</v>
      </c>
      <c r="E1324" s="246">
        <v>41255</v>
      </c>
      <c r="F1324" s="247" t="s">
        <v>2139</v>
      </c>
      <c r="G1324" s="34" t="s">
        <v>7</v>
      </c>
      <c r="H1324" s="234" t="s">
        <v>2138</v>
      </c>
      <c r="I1324" s="248" t="s">
        <v>7</v>
      </c>
      <c r="J1324" s="249" t="s">
        <v>554</v>
      </c>
      <c r="K1324" s="250">
        <v>41255</v>
      </c>
      <c r="L1324" s="250">
        <v>0</v>
      </c>
      <c r="M1324" s="251" t="s">
        <v>32</v>
      </c>
      <c r="N1324" s="252">
        <v>0</v>
      </c>
      <c r="O1324" s="185" t="s">
        <v>51</v>
      </c>
    </row>
    <row r="1325" spans="1:15" x14ac:dyDescent="0.25">
      <c r="A1325" s="234" t="s">
        <v>5673</v>
      </c>
      <c r="B1325" s="234" t="s">
        <v>32</v>
      </c>
      <c r="C1325" s="245">
        <v>46148</v>
      </c>
      <c r="D1325" s="234" t="s">
        <v>546</v>
      </c>
      <c r="E1325" s="246">
        <v>14608</v>
      </c>
      <c r="F1325" s="247" t="s">
        <v>5677</v>
      </c>
      <c r="G1325" s="34" t="s">
        <v>7</v>
      </c>
      <c r="H1325" s="234" t="s">
        <v>5674</v>
      </c>
      <c r="I1325" s="248" t="s">
        <v>7</v>
      </c>
      <c r="J1325" s="249" t="s">
        <v>554</v>
      </c>
      <c r="K1325" s="250">
        <v>14608</v>
      </c>
      <c r="L1325" s="250">
        <v>0</v>
      </c>
      <c r="M1325" s="251" t="s">
        <v>32</v>
      </c>
      <c r="N1325" s="252">
        <v>0</v>
      </c>
      <c r="O1325" s="185" t="s">
        <v>51</v>
      </c>
    </row>
    <row r="1326" spans="1:15" x14ac:dyDescent="0.25">
      <c r="A1326" s="234" t="s">
        <v>2212</v>
      </c>
      <c r="B1326" s="234" t="s">
        <v>32</v>
      </c>
      <c r="C1326" s="245">
        <v>46148</v>
      </c>
      <c r="D1326" s="234" t="s">
        <v>546</v>
      </c>
      <c r="E1326" s="246">
        <v>500933</v>
      </c>
      <c r="F1326" s="247" t="s">
        <v>2211</v>
      </c>
      <c r="G1326" s="34" t="s">
        <v>7</v>
      </c>
      <c r="H1326" s="234" t="s">
        <v>2213</v>
      </c>
      <c r="I1326" s="248" t="s">
        <v>7</v>
      </c>
      <c r="J1326" s="249" t="s">
        <v>554</v>
      </c>
      <c r="K1326" s="250">
        <v>495081</v>
      </c>
      <c r="L1326" s="250">
        <v>0</v>
      </c>
      <c r="M1326" s="251" t="s">
        <v>32</v>
      </c>
      <c r="N1326" s="252">
        <v>0</v>
      </c>
      <c r="O1326" s="185" t="s">
        <v>51</v>
      </c>
    </row>
    <row r="1327" spans="1:15" x14ac:dyDescent="0.25">
      <c r="A1327" s="234" t="s">
        <v>1978</v>
      </c>
      <c r="B1327" s="234" t="s">
        <v>32</v>
      </c>
      <c r="C1327" s="245">
        <v>46148</v>
      </c>
      <c r="D1327" s="234" t="s">
        <v>546</v>
      </c>
      <c r="E1327" s="246">
        <v>534890</v>
      </c>
      <c r="F1327" s="247" t="s">
        <v>1977</v>
      </c>
      <c r="G1327" s="34" t="s">
        <v>7</v>
      </c>
      <c r="H1327" s="234" t="s">
        <v>1979</v>
      </c>
      <c r="I1327" s="248" t="s">
        <v>7</v>
      </c>
      <c r="J1327" s="249" t="s">
        <v>62</v>
      </c>
      <c r="K1327" s="250">
        <v>534890</v>
      </c>
      <c r="L1327" s="250">
        <v>0</v>
      </c>
      <c r="M1327" s="251" t="s">
        <v>32</v>
      </c>
      <c r="N1327" s="252">
        <v>0</v>
      </c>
      <c r="O1327" s="185" t="s">
        <v>51</v>
      </c>
    </row>
    <row r="1328" spans="1:15" x14ac:dyDescent="0.25">
      <c r="A1328" s="234" t="s">
        <v>7862</v>
      </c>
      <c r="B1328" s="234" t="s">
        <v>30</v>
      </c>
      <c r="C1328" s="245">
        <v>46148</v>
      </c>
      <c r="D1328" s="234">
        <v>0</v>
      </c>
      <c r="E1328" s="246">
        <v>23400</v>
      </c>
      <c r="F1328" s="247">
        <v>0</v>
      </c>
      <c r="G1328" s="34" t="s">
        <v>7</v>
      </c>
      <c r="H1328" s="234" t="s">
        <v>7863</v>
      </c>
      <c r="I1328" s="248" t="s">
        <v>7</v>
      </c>
      <c r="J1328" s="249" t="s">
        <v>492</v>
      </c>
      <c r="K1328" s="250">
        <v>0</v>
      </c>
      <c r="L1328" s="250">
        <v>0</v>
      </c>
      <c r="M1328" s="251" t="s">
        <v>30</v>
      </c>
      <c r="N1328" s="252">
        <v>0</v>
      </c>
      <c r="O1328" s="185" t="s">
        <v>51</v>
      </c>
    </row>
    <row r="1329" spans="1:15" x14ac:dyDescent="0.25">
      <c r="A1329" s="234" t="s">
        <v>7864</v>
      </c>
      <c r="B1329" s="234" t="s">
        <v>30</v>
      </c>
      <c r="C1329" s="245">
        <v>46148</v>
      </c>
      <c r="D1329" s="234">
        <v>0</v>
      </c>
      <c r="E1329" s="246">
        <v>188090.55</v>
      </c>
      <c r="F1329" s="247">
        <v>0</v>
      </c>
      <c r="G1329" s="34" t="s">
        <v>7</v>
      </c>
      <c r="H1329" s="234" t="s">
        <v>7865</v>
      </c>
      <c r="I1329" s="248" t="s">
        <v>7</v>
      </c>
      <c r="J1329" s="249" t="s">
        <v>492</v>
      </c>
      <c r="K1329" s="250">
        <v>0</v>
      </c>
      <c r="L1329" s="250">
        <v>0</v>
      </c>
      <c r="M1329" s="251" t="s">
        <v>30</v>
      </c>
      <c r="N1329" s="252">
        <v>0</v>
      </c>
      <c r="O1329" s="185" t="s">
        <v>51</v>
      </c>
    </row>
    <row r="1330" spans="1:15" x14ac:dyDescent="0.25">
      <c r="A1330" s="234" t="s">
        <v>7656</v>
      </c>
      <c r="B1330" s="234" t="s">
        <v>30</v>
      </c>
      <c r="C1330" s="245">
        <v>46148</v>
      </c>
      <c r="D1330" s="234">
        <v>0</v>
      </c>
      <c r="E1330" s="246">
        <v>367000</v>
      </c>
      <c r="F1330" s="247">
        <v>0</v>
      </c>
      <c r="G1330" s="34" t="s">
        <v>7</v>
      </c>
      <c r="H1330" s="234" t="s">
        <v>7657</v>
      </c>
      <c r="I1330" s="248" t="s">
        <v>7524</v>
      </c>
      <c r="J1330" s="249" t="s">
        <v>492</v>
      </c>
      <c r="K1330" s="250">
        <v>0</v>
      </c>
      <c r="L1330" s="250">
        <v>0</v>
      </c>
      <c r="M1330" s="251" t="s">
        <v>30</v>
      </c>
      <c r="N1330" s="252">
        <v>0</v>
      </c>
      <c r="O1330" s="185" t="s">
        <v>51</v>
      </c>
    </row>
    <row r="1331" spans="1:15" x14ac:dyDescent="0.25">
      <c r="A1331" s="234" t="s">
        <v>5730</v>
      </c>
      <c r="B1331" s="234" t="s">
        <v>30</v>
      </c>
      <c r="C1331" s="245">
        <v>46148</v>
      </c>
      <c r="D1331" s="234">
        <v>0</v>
      </c>
      <c r="E1331" s="246">
        <v>728947</v>
      </c>
      <c r="F1331" s="247">
        <v>0</v>
      </c>
      <c r="G1331" s="34" t="s">
        <v>7</v>
      </c>
      <c r="H1331" s="234" t="s">
        <v>5731</v>
      </c>
      <c r="I1331" s="248" t="s">
        <v>7</v>
      </c>
      <c r="J1331" s="249" t="s">
        <v>492</v>
      </c>
      <c r="K1331" s="250">
        <v>0</v>
      </c>
      <c r="L1331" s="250">
        <v>0</v>
      </c>
      <c r="M1331" s="251" t="s">
        <v>30</v>
      </c>
      <c r="N1331" s="252">
        <v>0</v>
      </c>
      <c r="O1331" s="185" t="s">
        <v>51</v>
      </c>
    </row>
    <row r="1332" spans="1:15" x14ac:dyDescent="0.25">
      <c r="A1332" s="234" t="s">
        <v>5741</v>
      </c>
      <c r="B1332" s="234" t="s">
        <v>30</v>
      </c>
      <c r="C1332" s="245">
        <v>46148</v>
      </c>
      <c r="D1332" s="234">
        <v>0</v>
      </c>
      <c r="E1332" s="246">
        <v>89949</v>
      </c>
      <c r="F1332" s="247">
        <v>0</v>
      </c>
      <c r="G1332" s="34" t="s">
        <v>7</v>
      </c>
      <c r="H1332" s="234" t="s">
        <v>5742</v>
      </c>
      <c r="I1332" s="248" t="s">
        <v>7</v>
      </c>
      <c r="J1332" s="249" t="s">
        <v>492</v>
      </c>
      <c r="K1332" s="250">
        <v>0</v>
      </c>
      <c r="L1332" s="250">
        <v>0</v>
      </c>
      <c r="M1332" s="251" t="s">
        <v>30</v>
      </c>
      <c r="N1332" s="252">
        <v>0</v>
      </c>
      <c r="O1332" s="185" t="s">
        <v>51</v>
      </c>
    </row>
    <row r="1333" spans="1:15" x14ac:dyDescent="0.25">
      <c r="A1333" s="234" t="s">
        <v>5718</v>
      </c>
      <c r="B1333" s="234" t="s">
        <v>30</v>
      </c>
      <c r="C1333" s="245">
        <v>46148</v>
      </c>
      <c r="D1333" s="234">
        <v>0</v>
      </c>
      <c r="E1333" s="246">
        <v>24940</v>
      </c>
      <c r="F1333" s="247">
        <v>0</v>
      </c>
      <c r="G1333" s="34" t="s">
        <v>7</v>
      </c>
      <c r="H1333" s="234" t="s">
        <v>5719</v>
      </c>
      <c r="I1333" s="248" t="s">
        <v>7</v>
      </c>
      <c r="J1333" s="249" t="s">
        <v>492</v>
      </c>
      <c r="K1333" s="250">
        <v>0</v>
      </c>
      <c r="L1333" s="250">
        <v>0</v>
      </c>
      <c r="M1333" s="251" t="s">
        <v>30</v>
      </c>
      <c r="N1333" s="252">
        <v>0</v>
      </c>
      <c r="O1333" s="185" t="s">
        <v>51</v>
      </c>
    </row>
    <row r="1334" spans="1:15" x14ac:dyDescent="0.25">
      <c r="A1334" s="234" t="s">
        <v>3285</v>
      </c>
      <c r="B1334" s="234" t="s">
        <v>47</v>
      </c>
      <c r="C1334" s="245">
        <v>46148</v>
      </c>
      <c r="D1334" s="234">
        <v>0</v>
      </c>
      <c r="E1334" s="246">
        <v>380242</v>
      </c>
      <c r="F1334" s="247">
        <v>0</v>
      </c>
      <c r="G1334" s="34" t="s">
        <v>83</v>
      </c>
      <c r="H1334" s="234" t="s">
        <v>3286</v>
      </c>
      <c r="I1334" s="248" t="s">
        <v>7</v>
      </c>
      <c r="J1334" s="249" t="s">
        <v>492</v>
      </c>
      <c r="K1334" s="250">
        <v>0</v>
      </c>
      <c r="L1334" s="250">
        <v>0</v>
      </c>
      <c r="M1334" s="251" t="s">
        <v>47</v>
      </c>
      <c r="N1334" s="252">
        <v>0</v>
      </c>
      <c r="O1334" s="185" t="s">
        <v>51</v>
      </c>
    </row>
    <row r="1335" spans="1:15" x14ac:dyDescent="0.25">
      <c r="A1335" s="234" t="s">
        <v>4392</v>
      </c>
      <c r="B1335" s="234" t="s">
        <v>47</v>
      </c>
      <c r="C1335" s="245">
        <v>46148</v>
      </c>
      <c r="D1335" s="234">
        <v>0</v>
      </c>
      <c r="E1335" s="246">
        <v>509982</v>
      </c>
      <c r="F1335" s="247">
        <v>0</v>
      </c>
      <c r="G1335" s="34" t="s">
        <v>83</v>
      </c>
      <c r="H1335" s="234" t="s">
        <v>4393</v>
      </c>
      <c r="I1335" s="248" t="s">
        <v>7</v>
      </c>
      <c r="J1335" s="249" t="s">
        <v>492</v>
      </c>
      <c r="K1335" s="250">
        <v>0</v>
      </c>
      <c r="L1335" s="250">
        <v>0</v>
      </c>
      <c r="M1335" s="251" t="s">
        <v>47</v>
      </c>
      <c r="N1335" s="252">
        <v>0</v>
      </c>
      <c r="O1335" s="185" t="s">
        <v>51</v>
      </c>
    </row>
    <row r="1336" spans="1:15" x14ac:dyDescent="0.25">
      <c r="A1336" s="234" t="s">
        <v>1750</v>
      </c>
      <c r="B1336" s="234" t="s">
        <v>47</v>
      </c>
      <c r="C1336" s="245">
        <v>46148</v>
      </c>
      <c r="D1336" s="234">
        <v>0</v>
      </c>
      <c r="E1336" s="246">
        <v>114375</v>
      </c>
      <c r="F1336" s="247">
        <v>0</v>
      </c>
      <c r="G1336" s="34" t="s">
        <v>83</v>
      </c>
      <c r="H1336" s="234" t="s">
        <v>1751</v>
      </c>
      <c r="I1336" s="248" t="s">
        <v>7</v>
      </c>
      <c r="J1336" s="249" t="s">
        <v>492</v>
      </c>
      <c r="K1336" s="250">
        <v>0</v>
      </c>
      <c r="L1336" s="250">
        <v>0</v>
      </c>
      <c r="M1336" s="251" t="s">
        <v>47</v>
      </c>
      <c r="N1336" s="252">
        <v>0</v>
      </c>
      <c r="O1336" s="185" t="s">
        <v>51</v>
      </c>
    </row>
    <row r="1337" spans="1:15" x14ac:dyDescent="0.25">
      <c r="A1337" s="234" t="s">
        <v>2026</v>
      </c>
      <c r="B1337" s="234" t="s">
        <v>28</v>
      </c>
      <c r="C1337" s="245">
        <v>46148</v>
      </c>
      <c r="D1337" s="234" t="s">
        <v>7275</v>
      </c>
      <c r="E1337" s="246">
        <v>269700</v>
      </c>
      <c r="F1337" s="247" t="s">
        <v>2030</v>
      </c>
      <c r="G1337" s="34" t="s">
        <v>7</v>
      </c>
      <c r="H1337" s="234" t="s">
        <v>2027</v>
      </c>
      <c r="I1337" s="248" t="s">
        <v>7</v>
      </c>
      <c r="J1337" s="249" t="s">
        <v>554</v>
      </c>
      <c r="K1337" s="250">
        <v>269700</v>
      </c>
      <c r="L1337" s="250">
        <v>0</v>
      </c>
      <c r="M1337" s="251" t="s">
        <v>28</v>
      </c>
      <c r="N1337" s="252">
        <v>0</v>
      </c>
      <c r="O1337" s="185" t="s">
        <v>51</v>
      </c>
    </row>
    <row r="1338" spans="1:15" x14ac:dyDescent="0.25">
      <c r="A1338" s="234" t="s">
        <v>4383</v>
      </c>
      <c r="B1338" s="234" t="s">
        <v>28</v>
      </c>
      <c r="C1338" s="245">
        <v>46148</v>
      </c>
      <c r="D1338" s="234" t="s">
        <v>7275</v>
      </c>
      <c r="E1338" s="246">
        <v>40000</v>
      </c>
      <c r="F1338" s="247" t="s">
        <v>4386</v>
      </c>
      <c r="G1338" s="34" t="s">
        <v>7</v>
      </c>
      <c r="H1338" s="234" t="s">
        <v>4384</v>
      </c>
      <c r="I1338" s="248" t="s">
        <v>7</v>
      </c>
      <c r="J1338" s="249" t="s">
        <v>554</v>
      </c>
      <c r="K1338" s="250">
        <v>40000</v>
      </c>
      <c r="L1338" s="250">
        <v>0</v>
      </c>
      <c r="M1338" s="251" t="s">
        <v>28</v>
      </c>
      <c r="N1338" s="252">
        <v>0</v>
      </c>
      <c r="O1338" s="185" t="s">
        <v>51</v>
      </c>
    </row>
    <row r="1339" spans="1:15" x14ac:dyDescent="0.25">
      <c r="A1339" s="234" t="s">
        <v>2215</v>
      </c>
      <c r="B1339" s="234" t="s">
        <v>28</v>
      </c>
      <c r="C1339" s="245">
        <v>46148</v>
      </c>
      <c r="D1339" s="234" t="s">
        <v>7275</v>
      </c>
      <c r="E1339" s="246">
        <v>85000</v>
      </c>
      <c r="F1339" s="247" t="s">
        <v>2218</v>
      </c>
      <c r="G1339" s="34" t="s">
        <v>7</v>
      </c>
      <c r="H1339" s="234" t="s">
        <v>2216</v>
      </c>
      <c r="I1339" s="248" t="s">
        <v>7</v>
      </c>
      <c r="J1339" s="249" t="s">
        <v>554</v>
      </c>
      <c r="K1339" s="250">
        <v>85000</v>
      </c>
      <c r="L1339" s="250">
        <v>0</v>
      </c>
      <c r="M1339" s="251" t="s">
        <v>28</v>
      </c>
      <c r="N1339" s="252">
        <v>0</v>
      </c>
      <c r="O1339" s="185" t="s">
        <v>51</v>
      </c>
    </row>
    <row r="1340" spans="1:15" x14ac:dyDescent="0.25">
      <c r="A1340" s="234" t="s">
        <v>2474</v>
      </c>
      <c r="B1340" s="234" t="s">
        <v>28</v>
      </c>
      <c r="C1340" s="245">
        <v>46148</v>
      </c>
      <c r="D1340" s="234" t="s">
        <v>7275</v>
      </c>
      <c r="E1340" s="246">
        <v>10000</v>
      </c>
      <c r="F1340" s="247" t="s">
        <v>2491</v>
      </c>
      <c r="G1340" s="34" t="s">
        <v>7</v>
      </c>
      <c r="H1340" s="234" t="s">
        <v>2475</v>
      </c>
      <c r="I1340" s="248" t="s">
        <v>7</v>
      </c>
      <c r="J1340" s="249" t="s">
        <v>554</v>
      </c>
      <c r="K1340" s="250">
        <v>10000</v>
      </c>
      <c r="L1340" s="250">
        <v>0</v>
      </c>
      <c r="M1340" s="251" t="s">
        <v>28</v>
      </c>
      <c r="N1340" s="252">
        <v>0</v>
      </c>
      <c r="O1340" s="185" t="s">
        <v>51</v>
      </c>
    </row>
    <row r="1341" spans="1:15" x14ac:dyDescent="0.25">
      <c r="A1341" s="234" t="s">
        <v>2052</v>
      </c>
      <c r="B1341" s="234" t="s">
        <v>28</v>
      </c>
      <c r="C1341" s="245">
        <v>46148</v>
      </c>
      <c r="D1341" s="234" t="s">
        <v>7275</v>
      </c>
      <c r="E1341" s="246">
        <v>217500</v>
      </c>
      <c r="F1341" s="247" t="s">
        <v>2051</v>
      </c>
      <c r="G1341" s="34" t="s">
        <v>7</v>
      </c>
      <c r="H1341" s="234" t="s">
        <v>2053</v>
      </c>
      <c r="I1341" s="248" t="s">
        <v>7</v>
      </c>
      <c r="J1341" s="249" t="s">
        <v>554</v>
      </c>
      <c r="K1341" s="250">
        <v>217500</v>
      </c>
      <c r="L1341" s="250">
        <v>0</v>
      </c>
      <c r="M1341" s="251" t="s">
        <v>28</v>
      </c>
      <c r="N1341" s="252">
        <v>0</v>
      </c>
      <c r="O1341" s="185" t="s">
        <v>51</v>
      </c>
    </row>
    <row r="1342" spans="1:15" x14ac:dyDescent="0.25">
      <c r="A1342" s="234" t="s">
        <v>612</v>
      </c>
      <c r="B1342" s="234" t="s">
        <v>28</v>
      </c>
      <c r="C1342" s="245">
        <v>46148</v>
      </c>
      <c r="D1342" s="234" t="s">
        <v>7275</v>
      </c>
      <c r="E1342" s="246">
        <v>115671</v>
      </c>
      <c r="F1342" s="247" t="s">
        <v>615</v>
      </c>
      <c r="G1342" s="34" t="s">
        <v>7</v>
      </c>
      <c r="H1342" s="234" t="s">
        <v>614</v>
      </c>
      <c r="I1342" s="248" t="s">
        <v>7</v>
      </c>
      <c r="J1342" s="249" t="s">
        <v>582</v>
      </c>
      <c r="K1342" s="250">
        <v>115671</v>
      </c>
      <c r="L1342" s="250">
        <v>0</v>
      </c>
      <c r="M1342" s="251" t="s">
        <v>28</v>
      </c>
      <c r="N1342" s="252">
        <v>0</v>
      </c>
      <c r="O1342" s="185" t="s">
        <v>51</v>
      </c>
    </row>
    <row r="1343" spans="1:15" x14ac:dyDescent="0.25">
      <c r="A1343" s="234" t="s">
        <v>612</v>
      </c>
      <c r="B1343" s="234" t="s">
        <v>28</v>
      </c>
      <c r="C1343" s="245">
        <v>46148</v>
      </c>
      <c r="D1343" s="234" t="s">
        <v>7275</v>
      </c>
      <c r="E1343" s="246">
        <v>100000</v>
      </c>
      <c r="F1343" s="247" t="s">
        <v>611</v>
      </c>
      <c r="G1343" s="34" t="s">
        <v>7</v>
      </c>
      <c r="H1343" s="234" t="s">
        <v>614</v>
      </c>
      <c r="I1343" s="248" t="s">
        <v>7</v>
      </c>
      <c r="J1343" s="249" t="s">
        <v>554</v>
      </c>
      <c r="K1343" s="250">
        <v>100000</v>
      </c>
      <c r="L1343" s="250">
        <v>0</v>
      </c>
      <c r="M1343" s="251" t="s">
        <v>28</v>
      </c>
      <c r="N1343" s="252">
        <v>0</v>
      </c>
      <c r="O1343" s="185" t="s">
        <v>51</v>
      </c>
    </row>
    <row r="1344" spans="1:15" x14ac:dyDescent="0.25">
      <c r="A1344" s="234" t="s">
        <v>2062</v>
      </c>
      <c r="B1344" s="234" t="s">
        <v>28</v>
      </c>
      <c r="C1344" s="245">
        <v>46148</v>
      </c>
      <c r="D1344" s="234" t="s">
        <v>7275</v>
      </c>
      <c r="E1344" s="246">
        <v>216953</v>
      </c>
      <c r="F1344" s="247" t="s">
        <v>2061</v>
      </c>
      <c r="G1344" s="34" t="s">
        <v>7</v>
      </c>
      <c r="H1344" s="234" t="s">
        <v>2063</v>
      </c>
      <c r="I1344" s="248" t="s">
        <v>7</v>
      </c>
      <c r="J1344" s="249" t="s">
        <v>554</v>
      </c>
      <c r="K1344" s="250">
        <v>216953</v>
      </c>
      <c r="L1344" s="250">
        <v>0</v>
      </c>
      <c r="M1344" s="251" t="s">
        <v>28</v>
      </c>
      <c r="N1344" s="252">
        <v>0</v>
      </c>
      <c r="O1344" s="185" t="s">
        <v>51</v>
      </c>
    </row>
    <row r="1345" spans="1:15" x14ac:dyDescent="0.25">
      <c r="A1345" s="234" t="s">
        <v>2095</v>
      </c>
      <c r="B1345" s="234" t="s">
        <v>28</v>
      </c>
      <c r="C1345" s="245">
        <v>46148</v>
      </c>
      <c r="D1345" s="234" t="s">
        <v>7275</v>
      </c>
      <c r="E1345" s="246">
        <v>376077.2</v>
      </c>
      <c r="F1345" s="247" t="s">
        <v>2094</v>
      </c>
      <c r="G1345" s="34" t="s">
        <v>7</v>
      </c>
      <c r="H1345" s="234" t="s">
        <v>2096</v>
      </c>
      <c r="I1345" s="248" t="s">
        <v>7</v>
      </c>
      <c r="J1345" s="249" t="s">
        <v>61</v>
      </c>
      <c r="K1345" s="250">
        <v>376077.2</v>
      </c>
      <c r="L1345" s="250">
        <v>0</v>
      </c>
      <c r="M1345" s="251" t="s">
        <v>28</v>
      </c>
      <c r="N1345" s="252">
        <v>0</v>
      </c>
      <c r="O1345" s="185" t="s">
        <v>51</v>
      </c>
    </row>
    <row r="1346" spans="1:15" x14ac:dyDescent="0.25">
      <c r="A1346" s="234" t="s">
        <v>2474</v>
      </c>
      <c r="B1346" s="234" t="s">
        <v>28</v>
      </c>
      <c r="C1346" s="245">
        <v>46148</v>
      </c>
      <c r="D1346" s="234" t="s">
        <v>7275</v>
      </c>
      <c r="E1346" s="246">
        <v>17000</v>
      </c>
      <c r="F1346" s="247" t="s">
        <v>2489</v>
      </c>
      <c r="G1346" s="34" t="s">
        <v>7</v>
      </c>
      <c r="H1346" s="234" t="s">
        <v>2475</v>
      </c>
      <c r="I1346" s="248" t="s">
        <v>7</v>
      </c>
      <c r="J1346" s="249" t="s">
        <v>554</v>
      </c>
      <c r="K1346" s="250">
        <v>17000</v>
      </c>
      <c r="L1346" s="250">
        <v>0</v>
      </c>
      <c r="M1346" s="251" t="s">
        <v>28</v>
      </c>
      <c r="N1346" s="252">
        <v>0</v>
      </c>
      <c r="O1346" s="185" t="s">
        <v>51</v>
      </c>
    </row>
    <row r="1347" spans="1:15" x14ac:dyDescent="0.25">
      <c r="A1347" s="234" t="s">
        <v>2474</v>
      </c>
      <c r="B1347" s="234" t="s">
        <v>28</v>
      </c>
      <c r="C1347" s="245">
        <v>46148</v>
      </c>
      <c r="D1347" s="234" t="s">
        <v>7275</v>
      </c>
      <c r="E1347" s="246">
        <v>8000</v>
      </c>
      <c r="F1347" s="247" t="s">
        <v>2484</v>
      </c>
      <c r="G1347" s="34" t="s">
        <v>7</v>
      </c>
      <c r="H1347" s="234" t="s">
        <v>2475</v>
      </c>
      <c r="I1347" s="248" t="s">
        <v>7</v>
      </c>
      <c r="J1347" s="249" t="s">
        <v>554</v>
      </c>
      <c r="K1347" s="250">
        <v>8000</v>
      </c>
      <c r="L1347" s="250">
        <v>0</v>
      </c>
      <c r="M1347" s="251" t="s">
        <v>28</v>
      </c>
      <c r="N1347" s="252">
        <v>0</v>
      </c>
      <c r="O1347" s="185" t="s">
        <v>51</v>
      </c>
    </row>
    <row r="1348" spans="1:15" x14ac:dyDescent="0.25">
      <c r="A1348" s="234" t="s">
        <v>2474</v>
      </c>
      <c r="B1348" s="234" t="s">
        <v>28</v>
      </c>
      <c r="C1348" s="245">
        <v>46148</v>
      </c>
      <c r="D1348" s="234" t="s">
        <v>7275</v>
      </c>
      <c r="E1348" s="246">
        <v>5000</v>
      </c>
      <c r="F1348" s="247" t="s">
        <v>2483</v>
      </c>
      <c r="G1348" s="34" t="s">
        <v>7</v>
      </c>
      <c r="H1348" s="234" t="s">
        <v>2475</v>
      </c>
      <c r="I1348" s="248" t="s">
        <v>7</v>
      </c>
      <c r="J1348" s="249" t="s">
        <v>554</v>
      </c>
      <c r="K1348" s="250">
        <v>5000</v>
      </c>
      <c r="L1348" s="250">
        <v>0</v>
      </c>
      <c r="M1348" s="251" t="s">
        <v>28</v>
      </c>
      <c r="N1348" s="252">
        <v>0</v>
      </c>
      <c r="O1348" s="185" t="s">
        <v>51</v>
      </c>
    </row>
    <row r="1349" spans="1:15" x14ac:dyDescent="0.25">
      <c r="A1349" s="234" t="s">
        <v>2474</v>
      </c>
      <c r="B1349" s="234" t="s">
        <v>28</v>
      </c>
      <c r="C1349" s="245">
        <v>46148</v>
      </c>
      <c r="D1349" s="234" t="s">
        <v>7275</v>
      </c>
      <c r="E1349" s="246">
        <v>10000</v>
      </c>
      <c r="F1349" s="247" t="s">
        <v>2482</v>
      </c>
      <c r="G1349" s="34" t="s">
        <v>7</v>
      </c>
      <c r="H1349" s="234" t="s">
        <v>2475</v>
      </c>
      <c r="I1349" s="248" t="s">
        <v>7</v>
      </c>
      <c r="J1349" s="249" t="s">
        <v>554</v>
      </c>
      <c r="K1349" s="250">
        <v>10000</v>
      </c>
      <c r="L1349" s="250">
        <v>0</v>
      </c>
      <c r="M1349" s="251" t="s">
        <v>28</v>
      </c>
      <c r="N1349" s="252">
        <v>0</v>
      </c>
      <c r="O1349" s="185" t="s">
        <v>51</v>
      </c>
    </row>
    <row r="1350" spans="1:15" x14ac:dyDescent="0.25">
      <c r="A1350" s="234" t="s">
        <v>2474</v>
      </c>
      <c r="B1350" s="234" t="s">
        <v>28</v>
      </c>
      <c r="C1350" s="245">
        <v>46148</v>
      </c>
      <c r="D1350" s="234" t="s">
        <v>7275</v>
      </c>
      <c r="E1350" s="246">
        <v>40000</v>
      </c>
      <c r="F1350" s="247" t="s">
        <v>2481</v>
      </c>
      <c r="G1350" s="34" t="s">
        <v>7</v>
      </c>
      <c r="H1350" s="234" t="s">
        <v>2475</v>
      </c>
      <c r="I1350" s="248" t="s">
        <v>7</v>
      </c>
      <c r="J1350" s="249" t="s">
        <v>554</v>
      </c>
      <c r="K1350" s="250">
        <v>40000</v>
      </c>
      <c r="L1350" s="250">
        <v>0</v>
      </c>
      <c r="M1350" s="251" t="s">
        <v>28</v>
      </c>
      <c r="N1350" s="252">
        <v>0</v>
      </c>
      <c r="O1350" s="185" t="s">
        <v>51</v>
      </c>
    </row>
    <row r="1351" spans="1:15" x14ac:dyDescent="0.25">
      <c r="A1351" s="234" t="s">
        <v>2474</v>
      </c>
      <c r="B1351" s="234" t="s">
        <v>28</v>
      </c>
      <c r="C1351" s="245">
        <v>46148</v>
      </c>
      <c r="D1351" s="234" t="s">
        <v>7275</v>
      </c>
      <c r="E1351" s="246">
        <v>30000</v>
      </c>
      <c r="F1351" s="247" t="s">
        <v>2479</v>
      </c>
      <c r="G1351" s="34" t="s">
        <v>7</v>
      </c>
      <c r="H1351" s="234" t="s">
        <v>2475</v>
      </c>
      <c r="I1351" s="248" t="s">
        <v>7</v>
      </c>
      <c r="J1351" s="249" t="s">
        <v>554</v>
      </c>
      <c r="K1351" s="250">
        <v>30000</v>
      </c>
      <c r="L1351" s="250">
        <v>0</v>
      </c>
      <c r="M1351" s="251" t="s">
        <v>28</v>
      </c>
      <c r="N1351" s="252">
        <v>0</v>
      </c>
      <c r="O1351" s="185" t="s">
        <v>51</v>
      </c>
    </row>
    <row r="1352" spans="1:15" x14ac:dyDescent="0.25">
      <c r="A1352" s="234" t="s">
        <v>2474</v>
      </c>
      <c r="B1352" s="234" t="s">
        <v>28</v>
      </c>
      <c r="C1352" s="245">
        <v>46148</v>
      </c>
      <c r="D1352" s="234" t="s">
        <v>7275</v>
      </c>
      <c r="E1352" s="246">
        <v>20000</v>
      </c>
      <c r="F1352" s="247" t="s">
        <v>2477</v>
      </c>
      <c r="G1352" s="34" t="s">
        <v>7</v>
      </c>
      <c r="H1352" s="234" t="s">
        <v>2475</v>
      </c>
      <c r="I1352" s="248" t="s">
        <v>7</v>
      </c>
      <c r="J1352" s="249" t="s">
        <v>554</v>
      </c>
      <c r="K1352" s="250">
        <v>20000</v>
      </c>
      <c r="L1352" s="250">
        <v>0</v>
      </c>
      <c r="M1352" s="251" t="s">
        <v>28</v>
      </c>
      <c r="N1352" s="252">
        <v>0</v>
      </c>
      <c r="O1352" s="185" t="s">
        <v>51</v>
      </c>
    </row>
    <row r="1353" spans="1:15" x14ac:dyDescent="0.25">
      <c r="A1353" s="234" t="s">
        <v>2474</v>
      </c>
      <c r="B1353" s="234" t="s">
        <v>28</v>
      </c>
      <c r="C1353" s="245">
        <v>46148</v>
      </c>
      <c r="D1353" s="234" t="s">
        <v>7275</v>
      </c>
      <c r="E1353" s="246">
        <v>30000</v>
      </c>
      <c r="F1353" s="247" t="s">
        <v>2476</v>
      </c>
      <c r="G1353" s="34" t="s">
        <v>7</v>
      </c>
      <c r="H1353" s="234" t="s">
        <v>2475</v>
      </c>
      <c r="I1353" s="248" t="s">
        <v>7</v>
      </c>
      <c r="J1353" s="249" t="s">
        <v>554</v>
      </c>
      <c r="K1353" s="250">
        <v>30000</v>
      </c>
      <c r="L1353" s="250">
        <v>0</v>
      </c>
      <c r="M1353" s="251" t="s">
        <v>28</v>
      </c>
      <c r="N1353" s="252">
        <v>0</v>
      </c>
      <c r="O1353" s="185" t="s">
        <v>51</v>
      </c>
    </row>
    <row r="1354" spans="1:15" x14ac:dyDescent="0.25">
      <c r="A1354" s="234"/>
      <c r="B1354" s="234" t="s">
        <v>492</v>
      </c>
      <c r="C1354" s="245">
        <v>46148</v>
      </c>
      <c r="D1354" s="234" t="s">
        <v>492</v>
      </c>
      <c r="E1354" s="246">
        <v>9000000</v>
      </c>
      <c r="F1354" s="247"/>
      <c r="G1354" s="34"/>
      <c r="H1354" s="234"/>
      <c r="I1354" s="253" t="s">
        <v>7541</v>
      </c>
      <c r="J1354" s="253"/>
      <c r="K1354" s="253"/>
      <c r="L1354" s="253"/>
      <c r="M1354" s="234"/>
      <c r="O1354" t="s">
        <v>51</v>
      </c>
    </row>
    <row r="1355" spans="1:15" x14ac:dyDescent="0.25">
      <c r="A1355" s="234"/>
      <c r="B1355" s="234" t="s">
        <v>492</v>
      </c>
      <c r="C1355" s="245">
        <v>46148</v>
      </c>
      <c r="D1355" s="234" t="s">
        <v>492</v>
      </c>
      <c r="E1355" s="246">
        <v>0</v>
      </c>
      <c r="F1355" s="247"/>
      <c r="G1355" s="34"/>
      <c r="H1355" s="234"/>
      <c r="I1355" s="253" t="s">
        <v>7541</v>
      </c>
      <c r="J1355" s="253"/>
      <c r="K1355" s="253"/>
      <c r="L1355" s="253"/>
      <c r="M1355" s="234"/>
      <c r="O1355" t="s">
        <v>74</v>
      </c>
    </row>
    <row r="1356" spans="1:15" x14ac:dyDescent="0.25">
      <c r="A1356" s="234"/>
      <c r="B1356" s="234" t="s">
        <v>492</v>
      </c>
      <c r="C1356" s="245">
        <v>46148</v>
      </c>
      <c r="D1356" s="234" t="s">
        <v>492</v>
      </c>
      <c r="E1356" s="246">
        <v>0</v>
      </c>
      <c r="F1356" s="247"/>
      <c r="G1356" s="34"/>
      <c r="H1356" s="234"/>
      <c r="I1356" s="253" t="s">
        <v>7541</v>
      </c>
      <c r="J1356" s="253"/>
      <c r="K1356" s="253"/>
      <c r="L1356" s="253"/>
      <c r="M1356" s="234"/>
      <c r="O1356" t="s">
        <v>77</v>
      </c>
    </row>
    <row r="1357" spans="1:15" x14ac:dyDescent="0.25">
      <c r="A1357" s="234"/>
      <c r="B1357" s="234" t="s">
        <v>492</v>
      </c>
      <c r="C1357" s="245">
        <v>46148</v>
      </c>
      <c r="D1357" s="234" t="s">
        <v>492</v>
      </c>
      <c r="E1357" s="246">
        <v>3125676.99</v>
      </c>
      <c r="F1357" s="247"/>
      <c r="G1357" s="34"/>
      <c r="H1357" s="234"/>
      <c r="I1357" s="253" t="s">
        <v>7541</v>
      </c>
      <c r="J1357" s="253"/>
      <c r="K1357" s="253"/>
      <c r="L1357" s="253"/>
      <c r="M1357" s="234"/>
      <c r="O1357" t="s">
        <v>78</v>
      </c>
    </row>
    <row r="1358" spans="1:15" x14ac:dyDescent="0.25">
      <c r="A1358" s="234" t="s">
        <v>7866</v>
      </c>
      <c r="B1358" s="234" t="s">
        <v>39</v>
      </c>
      <c r="C1358" s="245">
        <v>46149</v>
      </c>
      <c r="D1358" s="234" t="s">
        <v>64</v>
      </c>
      <c r="E1358" s="246">
        <v>602000</v>
      </c>
      <c r="F1358" s="247">
        <v>0</v>
      </c>
      <c r="G1358" s="34" t="s">
        <v>83</v>
      </c>
      <c r="H1358" s="234" t="s">
        <v>7867</v>
      </c>
      <c r="I1358" s="248" t="s">
        <v>7</v>
      </c>
      <c r="J1358" s="249" t="s">
        <v>492</v>
      </c>
      <c r="K1358" s="250">
        <v>0</v>
      </c>
      <c r="L1358" s="250">
        <v>0</v>
      </c>
      <c r="M1358" s="251" t="s">
        <v>39</v>
      </c>
      <c r="N1358" s="252">
        <v>0</v>
      </c>
      <c r="O1358" s="185" t="s">
        <v>51</v>
      </c>
    </row>
    <row r="1359" spans="1:15" x14ac:dyDescent="0.25">
      <c r="A1359" s="234" t="s">
        <v>812</v>
      </c>
      <c r="B1359" s="234" t="s">
        <v>39</v>
      </c>
      <c r="C1359" s="245">
        <v>46149</v>
      </c>
      <c r="D1359" s="234" t="s">
        <v>64</v>
      </c>
      <c r="E1359" s="246">
        <v>534218</v>
      </c>
      <c r="F1359" s="247">
        <v>0</v>
      </c>
      <c r="G1359" s="34" t="s">
        <v>83</v>
      </c>
      <c r="H1359" s="234" t="s">
        <v>813</v>
      </c>
      <c r="I1359" s="248" t="s">
        <v>7</v>
      </c>
      <c r="J1359" s="249" t="s">
        <v>492</v>
      </c>
      <c r="K1359" s="250">
        <v>0</v>
      </c>
      <c r="L1359" s="250">
        <v>0</v>
      </c>
      <c r="M1359" s="251" t="s">
        <v>39</v>
      </c>
      <c r="N1359" s="252">
        <v>0</v>
      </c>
      <c r="O1359" s="185" t="s">
        <v>51</v>
      </c>
    </row>
    <row r="1360" spans="1:15" x14ac:dyDescent="0.25">
      <c r="A1360" s="234" t="s">
        <v>1807</v>
      </c>
      <c r="B1360" s="234" t="s">
        <v>39</v>
      </c>
      <c r="C1360" s="245">
        <v>46149</v>
      </c>
      <c r="D1360" s="234" t="s">
        <v>7264</v>
      </c>
      <c r="E1360" s="246">
        <v>360930</v>
      </c>
      <c r="F1360" s="247" t="s">
        <v>1810</v>
      </c>
      <c r="G1360" s="34" t="s">
        <v>83</v>
      </c>
      <c r="H1360" s="234" t="s">
        <v>1808</v>
      </c>
      <c r="I1360" s="248" t="s">
        <v>7</v>
      </c>
      <c r="J1360" s="249" t="s">
        <v>582</v>
      </c>
      <c r="K1360" s="250">
        <v>306930</v>
      </c>
      <c r="L1360" s="250">
        <v>0</v>
      </c>
      <c r="M1360" s="251" t="s">
        <v>39</v>
      </c>
      <c r="N1360" s="252">
        <v>0</v>
      </c>
      <c r="O1360" s="185" t="s">
        <v>51</v>
      </c>
    </row>
    <row r="1361" spans="1:15" x14ac:dyDescent="0.25">
      <c r="A1361" s="234" t="s">
        <v>622</v>
      </c>
      <c r="B1361" s="234" t="s">
        <v>39</v>
      </c>
      <c r="C1361" s="245">
        <v>46149</v>
      </c>
      <c r="D1361" s="234" t="s">
        <v>7264</v>
      </c>
      <c r="E1361" s="246">
        <v>10000</v>
      </c>
      <c r="F1361" s="247" t="s">
        <v>621</v>
      </c>
      <c r="G1361" s="34" t="s">
        <v>83</v>
      </c>
      <c r="H1361" s="234" t="s">
        <v>623</v>
      </c>
      <c r="I1361" s="248" t="s">
        <v>7</v>
      </c>
      <c r="J1361" s="249" t="s">
        <v>582</v>
      </c>
      <c r="K1361" s="250">
        <v>10000</v>
      </c>
      <c r="L1361" s="250">
        <v>0</v>
      </c>
      <c r="M1361" s="251" t="s">
        <v>39</v>
      </c>
      <c r="N1361" s="252">
        <v>0</v>
      </c>
      <c r="O1361" s="185" t="s">
        <v>51</v>
      </c>
    </row>
    <row r="1362" spans="1:15" x14ac:dyDescent="0.25">
      <c r="A1362" s="234" t="s">
        <v>1842</v>
      </c>
      <c r="B1362" s="234" t="s">
        <v>39</v>
      </c>
      <c r="C1362" s="245">
        <v>46149</v>
      </c>
      <c r="D1362" s="234" t="s">
        <v>7269</v>
      </c>
      <c r="E1362" s="246">
        <v>356470</v>
      </c>
      <c r="F1362" s="247" t="s">
        <v>1841</v>
      </c>
      <c r="G1362" s="34" t="s">
        <v>83</v>
      </c>
      <c r="H1362" s="234" t="s">
        <v>1843</v>
      </c>
      <c r="I1362" s="248" t="s">
        <v>7</v>
      </c>
      <c r="J1362" s="249" t="s">
        <v>554</v>
      </c>
      <c r="K1362" s="250">
        <v>356470</v>
      </c>
      <c r="L1362" s="250">
        <v>0</v>
      </c>
      <c r="M1362" s="251" t="s">
        <v>39</v>
      </c>
      <c r="N1362" s="252">
        <v>0</v>
      </c>
      <c r="O1362" s="185" t="s">
        <v>51</v>
      </c>
    </row>
    <row r="1363" spans="1:15" x14ac:dyDescent="0.25">
      <c r="A1363" s="234" t="s">
        <v>1836</v>
      </c>
      <c r="B1363" s="234" t="s">
        <v>39</v>
      </c>
      <c r="C1363" s="245">
        <v>46149</v>
      </c>
      <c r="D1363" s="234" t="s">
        <v>7269</v>
      </c>
      <c r="E1363" s="246">
        <v>183500</v>
      </c>
      <c r="F1363" s="247" t="s">
        <v>1835</v>
      </c>
      <c r="G1363" s="34" t="s">
        <v>83</v>
      </c>
      <c r="H1363" s="234" t="s">
        <v>1837</v>
      </c>
      <c r="I1363" s="248" t="s">
        <v>7</v>
      </c>
      <c r="J1363" s="249" t="s">
        <v>554</v>
      </c>
      <c r="K1363" s="250">
        <v>183500</v>
      </c>
      <c r="L1363" s="250">
        <v>0</v>
      </c>
      <c r="M1363" s="251" t="s">
        <v>39</v>
      </c>
      <c r="N1363" s="252">
        <v>0</v>
      </c>
      <c r="O1363" s="185" t="s">
        <v>51</v>
      </c>
    </row>
    <row r="1364" spans="1:15" x14ac:dyDescent="0.25">
      <c r="A1364" s="234" t="s">
        <v>1836</v>
      </c>
      <c r="B1364" s="234" t="s">
        <v>39</v>
      </c>
      <c r="C1364" s="245">
        <v>46149</v>
      </c>
      <c r="D1364" s="234" t="s">
        <v>7269</v>
      </c>
      <c r="E1364" s="246">
        <v>464760</v>
      </c>
      <c r="F1364" s="247">
        <v>0</v>
      </c>
      <c r="G1364" s="34" t="s">
        <v>83</v>
      </c>
      <c r="H1364" s="234" t="s">
        <v>1837</v>
      </c>
      <c r="I1364" s="248" t="s">
        <v>7</v>
      </c>
      <c r="J1364" s="249" t="s">
        <v>492</v>
      </c>
      <c r="K1364" s="250">
        <v>0</v>
      </c>
      <c r="L1364" s="250">
        <v>0</v>
      </c>
      <c r="M1364" s="251" t="s">
        <v>39</v>
      </c>
      <c r="N1364" s="252">
        <v>0</v>
      </c>
      <c r="O1364" s="185" t="s">
        <v>51</v>
      </c>
    </row>
    <row r="1365" spans="1:15" x14ac:dyDescent="0.25">
      <c r="A1365" s="234" t="s">
        <v>7868</v>
      </c>
      <c r="B1365" s="234" t="s">
        <v>40</v>
      </c>
      <c r="C1365" s="245">
        <v>46149</v>
      </c>
      <c r="D1365" s="234">
        <v>0</v>
      </c>
      <c r="E1365" s="246">
        <v>1000000</v>
      </c>
      <c r="F1365" s="247">
        <v>0</v>
      </c>
      <c r="G1365" s="34" t="s">
        <v>83</v>
      </c>
      <c r="H1365" s="234" t="s">
        <v>7869</v>
      </c>
      <c r="I1365" s="248" t="s">
        <v>7</v>
      </c>
      <c r="J1365" s="249" t="s">
        <v>492</v>
      </c>
      <c r="K1365" s="250">
        <v>0</v>
      </c>
      <c r="L1365" s="250">
        <v>0</v>
      </c>
      <c r="M1365" s="251" t="s">
        <v>40</v>
      </c>
      <c r="N1365" s="252">
        <v>0</v>
      </c>
      <c r="O1365" s="185" t="s">
        <v>51</v>
      </c>
    </row>
    <row r="1366" spans="1:15" x14ac:dyDescent="0.25">
      <c r="A1366" s="234" t="s">
        <v>5300</v>
      </c>
      <c r="B1366" s="234" t="s">
        <v>38</v>
      </c>
      <c r="C1366" s="245">
        <v>46149</v>
      </c>
      <c r="D1366" s="234" t="s">
        <v>7270</v>
      </c>
      <c r="E1366" s="246">
        <v>1000000</v>
      </c>
      <c r="F1366" s="247" t="s">
        <v>5299</v>
      </c>
      <c r="G1366" s="34" t="s">
        <v>83</v>
      </c>
      <c r="H1366" s="234" t="s">
        <v>5301</v>
      </c>
      <c r="I1366" s="248" t="s">
        <v>7</v>
      </c>
      <c r="J1366" s="249" t="s">
        <v>582</v>
      </c>
      <c r="K1366" s="250">
        <v>1396607</v>
      </c>
      <c r="L1366" s="250">
        <v>0</v>
      </c>
      <c r="M1366" s="251" t="s">
        <v>38</v>
      </c>
      <c r="N1366" s="252">
        <v>0</v>
      </c>
      <c r="O1366" s="185" t="s">
        <v>51</v>
      </c>
    </row>
    <row r="1367" spans="1:15" x14ac:dyDescent="0.25">
      <c r="A1367" s="234" t="s">
        <v>3713</v>
      </c>
      <c r="B1367" s="234" t="s">
        <v>48</v>
      </c>
      <c r="C1367" s="245">
        <v>46149</v>
      </c>
      <c r="D1367" s="234">
        <v>0</v>
      </c>
      <c r="E1367" s="246">
        <v>113035</v>
      </c>
      <c r="F1367" s="247" t="s">
        <v>7275</v>
      </c>
      <c r="G1367" s="34" t="s">
        <v>83</v>
      </c>
      <c r="H1367" s="234" t="s">
        <v>3714</v>
      </c>
      <c r="I1367" s="248" t="s">
        <v>7</v>
      </c>
      <c r="J1367" s="249" t="s">
        <v>492</v>
      </c>
      <c r="K1367" s="250">
        <v>0</v>
      </c>
      <c r="L1367" s="250">
        <v>0</v>
      </c>
      <c r="M1367" s="251" t="s">
        <v>48</v>
      </c>
      <c r="N1367" s="252">
        <v>0</v>
      </c>
      <c r="O1367" s="185" t="s">
        <v>74</v>
      </c>
    </row>
    <row r="1368" spans="1:15" x14ac:dyDescent="0.25">
      <c r="A1368" s="234" t="s">
        <v>3713</v>
      </c>
      <c r="B1368" s="234" t="s">
        <v>48</v>
      </c>
      <c r="C1368" s="245">
        <v>46149</v>
      </c>
      <c r="D1368" s="234">
        <v>0</v>
      </c>
      <c r="E1368" s="246">
        <v>44000</v>
      </c>
      <c r="F1368" s="247" t="s">
        <v>3715</v>
      </c>
      <c r="G1368" s="34" t="s">
        <v>83</v>
      </c>
      <c r="H1368" s="234" t="s">
        <v>3714</v>
      </c>
      <c r="I1368" s="248" t="s">
        <v>7</v>
      </c>
      <c r="J1368" s="249" t="s">
        <v>554</v>
      </c>
      <c r="K1368" s="250">
        <v>44000</v>
      </c>
      <c r="L1368" s="250">
        <v>0</v>
      </c>
      <c r="M1368" s="251" t="s">
        <v>48</v>
      </c>
      <c r="N1368" s="252">
        <v>0</v>
      </c>
      <c r="O1368" s="185" t="s">
        <v>74</v>
      </c>
    </row>
    <row r="1369" spans="1:15" x14ac:dyDescent="0.25">
      <c r="A1369" s="234" t="s">
        <v>1860</v>
      </c>
      <c r="B1369" s="234" t="s">
        <v>48</v>
      </c>
      <c r="C1369" s="245">
        <v>46149</v>
      </c>
      <c r="D1369" s="234">
        <v>0</v>
      </c>
      <c r="E1369" s="246">
        <v>867070</v>
      </c>
      <c r="F1369" s="247" t="s">
        <v>7275</v>
      </c>
      <c r="G1369" s="34" t="s">
        <v>83</v>
      </c>
      <c r="H1369" s="234" t="s">
        <v>1861</v>
      </c>
      <c r="I1369" s="248" t="s">
        <v>7</v>
      </c>
      <c r="J1369" s="249" t="s">
        <v>492</v>
      </c>
      <c r="K1369" s="250">
        <v>0</v>
      </c>
      <c r="L1369" s="250">
        <v>0</v>
      </c>
      <c r="M1369" s="251" t="s">
        <v>48</v>
      </c>
      <c r="N1369" s="252">
        <v>0</v>
      </c>
      <c r="O1369" s="185" t="s">
        <v>51</v>
      </c>
    </row>
    <row r="1370" spans="1:15" x14ac:dyDescent="0.25">
      <c r="A1370" s="234" t="s">
        <v>7870</v>
      </c>
      <c r="B1370" s="234" t="s">
        <v>48</v>
      </c>
      <c r="C1370" s="245">
        <v>46149</v>
      </c>
      <c r="D1370" s="234">
        <v>0</v>
      </c>
      <c r="E1370" s="246">
        <v>207235</v>
      </c>
      <c r="F1370" s="247" t="s">
        <v>7275</v>
      </c>
      <c r="G1370" s="34" t="s">
        <v>83</v>
      </c>
      <c r="H1370" s="234" t="s">
        <v>7871</v>
      </c>
      <c r="I1370" s="248" t="s">
        <v>7</v>
      </c>
      <c r="J1370" s="249" t="s">
        <v>492</v>
      </c>
      <c r="K1370" s="250">
        <v>0</v>
      </c>
      <c r="L1370" s="250">
        <v>0</v>
      </c>
      <c r="M1370" s="251" t="s">
        <v>48</v>
      </c>
      <c r="N1370" s="252">
        <v>0</v>
      </c>
      <c r="O1370" s="185" t="s">
        <v>74</v>
      </c>
    </row>
    <row r="1371" spans="1:15" x14ac:dyDescent="0.25">
      <c r="A1371" s="234" t="s">
        <v>3738</v>
      </c>
      <c r="B1371" s="234" t="s">
        <v>48</v>
      </c>
      <c r="C1371" s="245">
        <v>46149</v>
      </c>
      <c r="D1371" s="234">
        <v>0</v>
      </c>
      <c r="E1371" s="246">
        <v>158339</v>
      </c>
      <c r="F1371" s="247" t="s">
        <v>3737</v>
      </c>
      <c r="G1371" s="34" t="s">
        <v>83</v>
      </c>
      <c r="H1371" s="234" t="s">
        <v>3739</v>
      </c>
      <c r="I1371" s="248" t="s">
        <v>7</v>
      </c>
      <c r="J1371" s="249" t="s">
        <v>582</v>
      </c>
      <c r="K1371" s="250">
        <v>316680</v>
      </c>
      <c r="L1371" s="250">
        <v>0</v>
      </c>
      <c r="M1371" s="251" t="s">
        <v>48</v>
      </c>
      <c r="N1371" s="252">
        <v>0</v>
      </c>
      <c r="O1371" s="185" t="s">
        <v>74</v>
      </c>
    </row>
    <row r="1372" spans="1:15" x14ac:dyDescent="0.25">
      <c r="A1372" s="234" t="s">
        <v>7872</v>
      </c>
      <c r="B1372" s="234" t="s">
        <v>48</v>
      </c>
      <c r="C1372" s="245">
        <v>46149</v>
      </c>
      <c r="D1372" s="234">
        <v>0</v>
      </c>
      <c r="E1372" s="246">
        <v>226836</v>
      </c>
      <c r="F1372" s="247" t="s">
        <v>7275</v>
      </c>
      <c r="G1372" s="34" t="s">
        <v>83</v>
      </c>
      <c r="H1372" s="234" t="s">
        <v>7873</v>
      </c>
      <c r="I1372" s="248" t="s">
        <v>7</v>
      </c>
      <c r="J1372" s="249" t="s">
        <v>492</v>
      </c>
      <c r="K1372" s="250">
        <v>0</v>
      </c>
      <c r="L1372" s="250">
        <v>0</v>
      </c>
      <c r="M1372" s="251" t="s">
        <v>48</v>
      </c>
      <c r="N1372" s="252">
        <v>0</v>
      </c>
      <c r="O1372" s="185" t="s">
        <v>51</v>
      </c>
    </row>
    <row r="1373" spans="1:15" x14ac:dyDescent="0.25">
      <c r="A1373" s="234" t="s">
        <v>7874</v>
      </c>
      <c r="B1373" s="234" t="s">
        <v>48</v>
      </c>
      <c r="C1373" s="245">
        <v>46149</v>
      </c>
      <c r="D1373" s="234">
        <v>0</v>
      </c>
      <c r="E1373" s="246">
        <v>383485</v>
      </c>
      <c r="F1373" s="247" t="s">
        <v>7275</v>
      </c>
      <c r="G1373" s="34" t="s">
        <v>83</v>
      </c>
      <c r="H1373" s="234" t="s">
        <v>7875</v>
      </c>
      <c r="I1373" s="248" t="s">
        <v>7</v>
      </c>
      <c r="J1373" s="249" t="s">
        <v>492</v>
      </c>
      <c r="K1373" s="250">
        <v>0</v>
      </c>
      <c r="L1373" s="250">
        <v>0</v>
      </c>
      <c r="M1373" s="251" t="s">
        <v>48</v>
      </c>
      <c r="N1373" s="252">
        <v>0</v>
      </c>
      <c r="O1373" s="185" t="s">
        <v>51</v>
      </c>
    </row>
    <row r="1374" spans="1:15" x14ac:dyDescent="0.25">
      <c r="A1374" s="234" t="s">
        <v>7876</v>
      </c>
      <c r="B1374" s="234" t="s">
        <v>42</v>
      </c>
      <c r="C1374" s="245">
        <v>46149</v>
      </c>
      <c r="D1374" s="234">
        <v>0</v>
      </c>
      <c r="E1374" s="246">
        <v>428000</v>
      </c>
      <c r="F1374" s="247" t="s">
        <v>7877</v>
      </c>
      <c r="G1374" s="34" t="s">
        <v>83</v>
      </c>
      <c r="H1374" s="234" t="s">
        <v>7878</v>
      </c>
      <c r="I1374" s="248" t="s">
        <v>7</v>
      </c>
      <c r="J1374" s="249" t="s">
        <v>492</v>
      </c>
      <c r="K1374" s="250">
        <v>0</v>
      </c>
      <c r="L1374" s="250">
        <v>0</v>
      </c>
      <c r="M1374" s="251" t="s">
        <v>42</v>
      </c>
      <c r="N1374" s="252">
        <v>0</v>
      </c>
      <c r="O1374" s="185" t="s">
        <v>74</v>
      </c>
    </row>
    <row r="1375" spans="1:15" x14ac:dyDescent="0.25">
      <c r="A1375" s="234" t="s">
        <v>4189</v>
      </c>
      <c r="B1375" s="234" t="s">
        <v>42</v>
      </c>
      <c r="C1375" s="245">
        <v>46149</v>
      </c>
      <c r="D1375" s="234">
        <v>0</v>
      </c>
      <c r="E1375" s="246">
        <v>110200</v>
      </c>
      <c r="F1375" s="247" t="s">
        <v>4188</v>
      </c>
      <c r="G1375" s="34" t="s">
        <v>83</v>
      </c>
      <c r="H1375" s="234" t="s">
        <v>4191</v>
      </c>
      <c r="I1375" s="248" t="s">
        <v>7</v>
      </c>
      <c r="J1375" s="249" t="s">
        <v>582</v>
      </c>
      <c r="K1375" s="250">
        <v>110200</v>
      </c>
      <c r="L1375" s="250">
        <v>0</v>
      </c>
      <c r="M1375" s="251" t="s">
        <v>42</v>
      </c>
      <c r="N1375" s="252">
        <v>0</v>
      </c>
      <c r="O1375" s="185" t="s">
        <v>51</v>
      </c>
    </row>
    <row r="1376" spans="1:15" x14ac:dyDescent="0.25">
      <c r="A1376" s="234" t="s">
        <v>5834</v>
      </c>
      <c r="B1376" s="234" t="s">
        <v>42</v>
      </c>
      <c r="C1376" s="245">
        <v>46149</v>
      </c>
      <c r="D1376" s="234">
        <v>0</v>
      </c>
      <c r="E1376" s="246">
        <v>30000</v>
      </c>
      <c r="F1376" s="247" t="s">
        <v>5833</v>
      </c>
      <c r="G1376" s="34" t="s">
        <v>83</v>
      </c>
      <c r="H1376" s="234" t="s">
        <v>5836</v>
      </c>
      <c r="I1376" s="248" t="s">
        <v>7</v>
      </c>
      <c r="J1376" s="249" t="s">
        <v>554</v>
      </c>
      <c r="K1376" s="250">
        <v>30000</v>
      </c>
      <c r="L1376" s="250">
        <v>0</v>
      </c>
      <c r="M1376" s="251" t="s">
        <v>42</v>
      </c>
      <c r="N1376" s="252">
        <v>0</v>
      </c>
      <c r="O1376" s="185" t="s">
        <v>78</v>
      </c>
    </row>
    <row r="1377" spans="1:15" x14ac:dyDescent="0.25">
      <c r="A1377" s="234" t="s">
        <v>5686</v>
      </c>
      <c r="B1377" s="234" t="s">
        <v>42</v>
      </c>
      <c r="C1377" s="245">
        <v>46149</v>
      </c>
      <c r="D1377" s="234">
        <v>0</v>
      </c>
      <c r="E1377" s="246">
        <v>500000</v>
      </c>
      <c r="F1377" s="247" t="s">
        <v>5688</v>
      </c>
      <c r="G1377" s="34" t="s">
        <v>83</v>
      </c>
      <c r="H1377" s="234" t="s">
        <v>5687</v>
      </c>
      <c r="I1377" s="248" t="s">
        <v>7</v>
      </c>
      <c r="J1377" s="249" t="s">
        <v>554</v>
      </c>
      <c r="K1377" s="250">
        <v>3725854</v>
      </c>
      <c r="L1377" s="250">
        <v>0</v>
      </c>
      <c r="M1377" s="251" t="s">
        <v>42</v>
      </c>
      <c r="N1377" s="252">
        <v>0</v>
      </c>
      <c r="O1377" s="185" t="s">
        <v>51</v>
      </c>
    </row>
    <row r="1378" spans="1:15" x14ac:dyDescent="0.25">
      <c r="A1378" s="234" t="s">
        <v>4906</v>
      </c>
      <c r="B1378" s="234" t="s">
        <v>42</v>
      </c>
      <c r="C1378" s="245">
        <v>46149</v>
      </c>
      <c r="D1378" s="234">
        <v>0</v>
      </c>
      <c r="E1378" s="246">
        <v>121386</v>
      </c>
      <c r="F1378" s="247" t="s">
        <v>4905</v>
      </c>
      <c r="G1378" s="34" t="s">
        <v>83</v>
      </c>
      <c r="H1378" s="234" t="s">
        <v>4907</v>
      </c>
      <c r="I1378" s="248" t="s">
        <v>7</v>
      </c>
      <c r="J1378" s="249" t="s">
        <v>554</v>
      </c>
      <c r="K1378" s="250">
        <v>121386</v>
      </c>
      <c r="L1378" s="250">
        <v>0</v>
      </c>
      <c r="M1378" s="251" t="s">
        <v>42</v>
      </c>
      <c r="N1378" s="252">
        <v>0</v>
      </c>
      <c r="O1378" s="185" t="s">
        <v>77</v>
      </c>
    </row>
    <row r="1379" spans="1:15" x14ac:dyDescent="0.25">
      <c r="A1379" s="234" t="s">
        <v>4154</v>
      </c>
      <c r="B1379" s="234" t="s">
        <v>42</v>
      </c>
      <c r="C1379" s="245">
        <v>46149</v>
      </c>
      <c r="D1379" s="234">
        <v>0</v>
      </c>
      <c r="E1379" s="246">
        <v>27066</v>
      </c>
      <c r="F1379" s="247" t="s">
        <v>4156</v>
      </c>
      <c r="G1379" s="34" t="s">
        <v>83</v>
      </c>
      <c r="H1379" s="234" t="s">
        <v>4155</v>
      </c>
      <c r="I1379" s="248" t="s">
        <v>7</v>
      </c>
      <c r="J1379" s="249" t="s">
        <v>554</v>
      </c>
      <c r="K1379" s="250">
        <v>27066</v>
      </c>
      <c r="L1379" s="250">
        <v>0</v>
      </c>
      <c r="M1379" s="251" t="s">
        <v>42</v>
      </c>
      <c r="N1379" s="252">
        <v>0</v>
      </c>
      <c r="O1379" s="185" t="s">
        <v>51</v>
      </c>
    </row>
    <row r="1380" spans="1:15" x14ac:dyDescent="0.25">
      <c r="A1380" s="234" t="s">
        <v>4900</v>
      </c>
      <c r="B1380" s="234" t="s">
        <v>42</v>
      </c>
      <c r="C1380" s="245">
        <v>46149</v>
      </c>
      <c r="D1380" s="234">
        <v>0</v>
      </c>
      <c r="E1380" s="246">
        <v>24223</v>
      </c>
      <c r="F1380" s="247" t="s">
        <v>4899</v>
      </c>
      <c r="G1380" s="34" t="s">
        <v>83</v>
      </c>
      <c r="H1380" s="234" t="s">
        <v>4901</v>
      </c>
      <c r="I1380" s="248" t="s">
        <v>7</v>
      </c>
      <c r="J1380" s="249" t="s">
        <v>554</v>
      </c>
      <c r="K1380" s="250">
        <v>121355</v>
      </c>
      <c r="L1380" s="250">
        <v>0</v>
      </c>
      <c r="M1380" s="251" t="s">
        <v>42</v>
      </c>
      <c r="N1380" s="252">
        <v>0</v>
      </c>
      <c r="O1380" s="185" t="s">
        <v>77</v>
      </c>
    </row>
    <row r="1381" spans="1:15" x14ac:dyDescent="0.25">
      <c r="A1381" s="234" t="s">
        <v>4825</v>
      </c>
      <c r="B1381" s="234" t="s">
        <v>42</v>
      </c>
      <c r="C1381" s="245">
        <v>46149</v>
      </c>
      <c r="D1381" s="234">
        <v>0</v>
      </c>
      <c r="E1381" s="246">
        <v>155149</v>
      </c>
      <c r="F1381" s="247" t="s">
        <v>4824</v>
      </c>
      <c r="G1381" s="34" t="s">
        <v>83</v>
      </c>
      <c r="H1381" s="234" t="s">
        <v>4826</v>
      </c>
      <c r="I1381" s="248" t="s">
        <v>7</v>
      </c>
      <c r="J1381" s="249" t="s">
        <v>554</v>
      </c>
      <c r="K1381" s="250">
        <v>155149</v>
      </c>
      <c r="L1381" s="250">
        <v>0</v>
      </c>
      <c r="M1381" s="251" t="s">
        <v>42</v>
      </c>
      <c r="N1381" s="252">
        <v>0</v>
      </c>
      <c r="O1381" s="185" t="s">
        <v>77</v>
      </c>
    </row>
    <row r="1382" spans="1:15" x14ac:dyDescent="0.25">
      <c r="A1382" s="234" t="s">
        <v>7879</v>
      </c>
      <c r="B1382" s="234" t="s">
        <v>44</v>
      </c>
      <c r="C1382" s="245">
        <v>46149</v>
      </c>
      <c r="D1382" s="234" t="s">
        <v>7546</v>
      </c>
      <c r="E1382" s="246">
        <v>279571</v>
      </c>
      <c r="F1382" s="247">
        <v>0</v>
      </c>
      <c r="G1382" s="34" t="s">
        <v>83</v>
      </c>
      <c r="H1382" s="234" t="s">
        <v>7880</v>
      </c>
      <c r="I1382" s="248" t="s">
        <v>7</v>
      </c>
      <c r="J1382" s="249" t="s">
        <v>492</v>
      </c>
      <c r="K1382" s="250">
        <v>0</v>
      </c>
      <c r="L1382" s="250">
        <v>0</v>
      </c>
      <c r="M1382" s="251" t="s">
        <v>44</v>
      </c>
      <c r="N1382" s="252">
        <v>0</v>
      </c>
      <c r="O1382" s="185" t="s">
        <v>51</v>
      </c>
    </row>
    <row r="1383" spans="1:15" x14ac:dyDescent="0.25">
      <c r="A1383" s="234" t="s">
        <v>7881</v>
      </c>
      <c r="B1383" s="234" t="s">
        <v>44</v>
      </c>
      <c r="C1383" s="245">
        <v>46149</v>
      </c>
      <c r="D1383" s="234" t="s">
        <v>7287</v>
      </c>
      <c r="E1383" s="246">
        <v>125360</v>
      </c>
      <c r="F1383" s="247">
        <v>0</v>
      </c>
      <c r="G1383" s="34" t="s">
        <v>83</v>
      </c>
      <c r="H1383" s="234" t="s">
        <v>7882</v>
      </c>
      <c r="I1383" s="248" t="s">
        <v>7</v>
      </c>
      <c r="J1383" s="249" t="s">
        <v>492</v>
      </c>
      <c r="K1383" s="250">
        <v>0</v>
      </c>
      <c r="L1383" s="250">
        <v>0</v>
      </c>
      <c r="M1383" s="251" t="s">
        <v>44</v>
      </c>
      <c r="N1383" s="252">
        <v>0</v>
      </c>
      <c r="O1383" s="185" t="s">
        <v>51</v>
      </c>
    </row>
    <row r="1384" spans="1:15" x14ac:dyDescent="0.25">
      <c r="A1384" s="234" t="s">
        <v>7883</v>
      </c>
      <c r="B1384" s="234" t="s">
        <v>44</v>
      </c>
      <c r="C1384" s="245">
        <v>46149</v>
      </c>
      <c r="D1384" s="234">
        <v>0</v>
      </c>
      <c r="E1384" s="246">
        <v>278393</v>
      </c>
      <c r="F1384" s="247">
        <v>0</v>
      </c>
      <c r="G1384" s="34" t="s">
        <v>83</v>
      </c>
      <c r="H1384" s="234" t="s">
        <v>7884</v>
      </c>
      <c r="I1384" s="248" t="s">
        <v>7</v>
      </c>
      <c r="J1384" s="249" t="s">
        <v>492</v>
      </c>
      <c r="K1384" s="250">
        <v>0</v>
      </c>
      <c r="L1384" s="250">
        <v>0</v>
      </c>
      <c r="M1384" s="251" t="s">
        <v>44</v>
      </c>
      <c r="N1384" s="252">
        <v>0</v>
      </c>
      <c r="O1384" s="185" t="s">
        <v>51</v>
      </c>
    </row>
    <row r="1385" spans="1:15" x14ac:dyDescent="0.25">
      <c r="A1385" s="234" t="s">
        <v>2507</v>
      </c>
      <c r="B1385" s="234" t="s">
        <v>43</v>
      </c>
      <c r="C1385" s="245">
        <v>46149</v>
      </c>
      <c r="D1385" s="234" t="s">
        <v>43</v>
      </c>
      <c r="E1385" s="246">
        <v>706</v>
      </c>
      <c r="F1385" s="247" t="s">
        <v>2509</v>
      </c>
      <c r="G1385" s="34" t="s">
        <v>83</v>
      </c>
      <c r="H1385" s="234" t="s">
        <v>2508</v>
      </c>
      <c r="I1385" s="248" t="s">
        <v>7</v>
      </c>
      <c r="J1385" s="249" t="s">
        <v>554</v>
      </c>
      <c r="K1385" s="250">
        <v>706</v>
      </c>
      <c r="L1385" s="250">
        <v>0</v>
      </c>
      <c r="M1385" s="251" t="s">
        <v>43</v>
      </c>
      <c r="N1385" s="252">
        <v>0</v>
      </c>
      <c r="O1385" s="185" t="s">
        <v>51</v>
      </c>
    </row>
    <row r="1386" spans="1:15" x14ac:dyDescent="0.25">
      <c r="A1386" s="234" t="s">
        <v>2536</v>
      </c>
      <c r="B1386" s="234" t="s">
        <v>43</v>
      </c>
      <c r="C1386" s="245">
        <v>46149</v>
      </c>
      <c r="D1386" s="234" t="s">
        <v>7292</v>
      </c>
      <c r="E1386" s="246">
        <v>50000</v>
      </c>
      <c r="F1386" s="247" t="s">
        <v>2535</v>
      </c>
      <c r="G1386" s="34" t="s">
        <v>83</v>
      </c>
      <c r="H1386" s="234" t="s">
        <v>2537</v>
      </c>
      <c r="I1386" s="248" t="s">
        <v>7</v>
      </c>
      <c r="J1386" s="249" t="s">
        <v>61</v>
      </c>
      <c r="K1386" s="250">
        <v>50000</v>
      </c>
      <c r="L1386" s="250">
        <v>0</v>
      </c>
      <c r="M1386" s="251" t="s">
        <v>43</v>
      </c>
      <c r="N1386" s="252">
        <v>0</v>
      </c>
      <c r="O1386" s="185" t="s">
        <v>51</v>
      </c>
    </row>
    <row r="1387" spans="1:15" x14ac:dyDescent="0.25">
      <c r="A1387" s="234" t="s">
        <v>2502</v>
      </c>
      <c r="B1387" s="234" t="s">
        <v>43</v>
      </c>
      <c r="C1387" s="245">
        <v>46149</v>
      </c>
      <c r="D1387" s="234" t="s">
        <v>7292</v>
      </c>
      <c r="E1387" s="246">
        <v>6000</v>
      </c>
      <c r="F1387" s="247" t="s">
        <v>2505</v>
      </c>
      <c r="G1387" s="34" t="s">
        <v>83</v>
      </c>
      <c r="H1387" s="234" t="s">
        <v>2503</v>
      </c>
      <c r="I1387" s="248" t="s">
        <v>7</v>
      </c>
      <c r="J1387" s="249" t="s">
        <v>554</v>
      </c>
      <c r="K1387" s="250">
        <v>6000</v>
      </c>
      <c r="L1387" s="250">
        <v>0</v>
      </c>
      <c r="M1387" s="251" t="s">
        <v>43</v>
      </c>
      <c r="N1387" s="252">
        <v>0</v>
      </c>
      <c r="O1387" s="185" t="s">
        <v>51</v>
      </c>
    </row>
    <row r="1388" spans="1:15" x14ac:dyDescent="0.25">
      <c r="A1388" s="234" t="s">
        <v>2502</v>
      </c>
      <c r="B1388" s="234" t="s">
        <v>43</v>
      </c>
      <c r="C1388" s="245">
        <v>46149</v>
      </c>
      <c r="D1388" s="234" t="s">
        <v>7292</v>
      </c>
      <c r="E1388" s="246">
        <v>8000</v>
      </c>
      <c r="F1388" s="247" t="s">
        <v>2504</v>
      </c>
      <c r="G1388" s="34" t="s">
        <v>83</v>
      </c>
      <c r="H1388" s="234" t="s">
        <v>2503</v>
      </c>
      <c r="I1388" s="248" t="s">
        <v>7</v>
      </c>
      <c r="J1388" s="249" t="s">
        <v>554</v>
      </c>
      <c r="K1388" s="250">
        <v>8000</v>
      </c>
      <c r="L1388" s="250">
        <v>0</v>
      </c>
      <c r="M1388" s="251" t="s">
        <v>43</v>
      </c>
      <c r="N1388" s="252">
        <v>0</v>
      </c>
      <c r="O1388" s="185" t="s">
        <v>51</v>
      </c>
    </row>
    <row r="1389" spans="1:15" x14ac:dyDescent="0.25">
      <c r="A1389" s="234" t="s">
        <v>3623</v>
      </c>
      <c r="B1389" s="234" t="s">
        <v>43</v>
      </c>
      <c r="C1389" s="245">
        <v>46149</v>
      </c>
      <c r="D1389" s="234" t="s">
        <v>43</v>
      </c>
      <c r="E1389" s="246">
        <v>109025</v>
      </c>
      <c r="F1389" s="247" t="s">
        <v>3622</v>
      </c>
      <c r="G1389" s="34" t="s">
        <v>83</v>
      </c>
      <c r="H1389" s="234" t="s">
        <v>3624</v>
      </c>
      <c r="I1389" s="248" t="s">
        <v>7</v>
      </c>
      <c r="J1389" s="249" t="s">
        <v>582</v>
      </c>
      <c r="K1389" s="250">
        <v>109025</v>
      </c>
      <c r="L1389" s="250">
        <v>0</v>
      </c>
      <c r="M1389" s="251" t="s">
        <v>43</v>
      </c>
      <c r="N1389" s="252">
        <v>0</v>
      </c>
      <c r="O1389" s="185" t="s">
        <v>51</v>
      </c>
    </row>
    <row r="1390" spans="1:15" x14ac:dyDescent="0.25">
      <c r="A1390" s="234" t="s">
        <v>4122</v>
      </c>
      <c r="B1390" s="234" t="s">
        <v>43</v>
      </c>
      <c r="C1390" s="245">
        <v>46149</v>
      </c>
      <c r="D1390" s="234" t="s">
        <v>43</v>
      </c>
      <c r="E1390" s="246">
        <v>107005.41</v>
      </c>
      <c r="F1390" s="247" t="s">
        <v>4121</v>
      </c>
      <c r="G1390" s="34" t="s">
        <v>83</v>
      </c>
      <c r="H1390" s="234" t="s">
        <v>4123</v>
      </c>
      <c r="I1390" s="248" t="s">
        <v>7</v>
      </c>
      <c r="J1390" s="249" t="s">
        <v>582</v>
      </c>
      <c r="K1390" s="250">
        <v>24769.77</v>
      </c>
      <c r="L1390" s="250">
        <v>0</v>
      </c>
      <c r="M1390" s="251" t="s">
        <v>43</v>
      </c>
      <c r="N1390" s="252">
        <v>0</v>
      </c>
      <c r="O1390" s="185" t="s">
        <v>51</v>
      </c>
    </row>
    <row r="1391" spans="1:15" x14ac:dyDescent="0.25">
      <c r="A1391" s="234" t="s">
        <v>2515</v>
      </c>
      <c r="B1391" s="234" t="s">
        <v>43</v>
      </c>
      <c r="C1391" s="245">
        <v>46149</v>
      </c>
      <c r="D1391" s="234" t="s">
        <v>43</v>
      </c>
      <c r="E1391" s="246">
        <v>72900</v>
      </c>
      <c r="F1391" s="247" t="s">
        <v>2519</v>
      </c>
      <c r="G1391" s="34" t="s">
        <v>83</v>
      </c>
      <c r="H1391" s="234" t="s">
        <v>2516</v>
      </c>
      <c r="I1391" s="248" t="s">
        <v>7</v>
      </c>
      <c r="J1391" s="249" t="s">
        <v>554</v>
      </c>
      <c r="K1391" s="250">
        <v>72900</v>
      </c>
      <c r="L1391" s="250">
        <v>0</v>
      </c>
      <c r="M1391" s="251" t="s">
        <v>43</v>
      </c>
      <c r="N1391" s="252">
        <v>0</v>
      </c>
      <c r="O1391" s="185" t="s">
        <v>51</v>
      </c>
    </row>
    <row r="1392" spans="1:15" x14ac:dyDescent="0.25">
      <c r="A1392" s="234" t="s">
        <v>2496</v>
      </c>
      <c r="B1392" s="234" t="s">
        <v>43</v>
      </c>
      <c r="C1392" s="245">
        <v>46149</v>
      </c>
      <c r="D1392" s="234" t="s">
        <v>43</v>
      </c>
      <c r="E1392" s="246">
        <v>26500</v>
      </c>
      <c r="F1392" s="247" t="s">
        <v>2500</v>
      </c>
      <c r="G1392" s="34" t="s">
        <v>83</v>
      </c>
      <c r="H1392" s="234" t="s">
        <v>2497</v>
      </c>
      <c r="I1392" s="248" t="s">
        <v>7</v>
      </c>
      <c r="J1392" s="249" t="s">
        <v>554</v>
      </c>
      <c r="K1392" s="250">
        <v>10000</v>
      </c>
      <c r="L1392" s="250">
        <v>0</v>
      </c>
      <c r="M1392" s="251" t="s">
        <v>43</v>
      </c>
      <c r="N1392" s="252">
        <v>0</v>
      </c>
      <c r="O1392" s="185" t="s">
        <v>51</v>
      </c>
    </row>
    <row r="1393" spans="1:15" x14ac:dyDescent="0.25">
      <c r="A1393" s="234" t="s">
        <v>7885</v>
      </c>
      <c r="B1393" s="234" t="s">
        <v>43</v>
      </c>
      <c r="C1393" s="245">
        <v>46149</v>
      </c>
      <c r="D1393" s="234" t="s">
        <v>43</v>
      </c>
      <c r="E1393" s="246">
        <v>620000</v>
      </c>
      <c r="F1393" s="247" t="s">
        <v>7275</v>
      </c>
      <c r="G1393" s="34" t="s">
        <v>83</v>
      </c>
      <c r="H1393" s="234" t="s">
        <v>7886</v>
      </c>
      <c r="I1393" s="248" t="s">
        <v>7</v>
      </c>
      <c r="J1393" s="249" t="s">
        <v>492</v>
      </c>
      <c r="K1393" s="250">
        <v>0</v>
      </c>
      <c r="L1393" s="250">
        <v>0</v>
      </c>
      <c r="M1393" s="251" t="s">
        <v>43</v>
      </c>
      <c r="N1393" s="252">
        <v>0</v>
      </c>
      <c r="O1393" s="185" t="s">
        <v>51</v>
      </c>
    </row>
    <row r="1394" spans="1:15" x14ac:dyDescent="0.25">
      <c r="A1394" s="234" t="s">
        <v>2717</v>
      </c>
      <c r="B1394" s="234" t="s">
        <v>14</v>
      </c>
      <c r="C1394" s="245">
        <v>46149</v>
      </c>
      <c r="D1394" s="234">
        <v>0</v>
      </c>
      <c r="E1394" s="246">
        <v>224736</v>
      </c>
      <c r="F1394" s="247" t="s">
        <v>2716</v>
      </c>
      <c r="G1394" s="34" t="s">
        <v>7</v>
      </c>
      <c r="H1394" s="234" t="s">
        <v>2718</v>
      </c>
      <c r="I1394" s="248" t="s">
        <v>7</v>
      </c>
      <c r="J1394" s="249" t="s">
        <v>554</v>
      </c>
      <c r="K1394" s="250">
        <v>224736</v>
      </c>
      <c r="L1394" s="250">
        <v>0</v>
      </c>
      <c r="M1394" s="251" t="s">
        <v>14</v>
      </c>
      <c r="N1394" s="252">
        <v>0</v>
      </c>
      <c r="O1394" s="185" t="s">
        <v>51</v>
      </c>
    </row>
    <row r="1395" spans="1:15" x14ac:dyDescent="0.25">
      <c r="A1395" s="234" t="s">
        <v>4692</v>
      </c>
      <c r="B1395" s="234" t="s">
        <v>14</v>
      </c>
      <c r="C1395" s="245">
        <v>46149</v>
      </c>
      <c r="D1395" s="234">
        <v>0</v>
      </c>
      <c r="E1395" s="246">
        <v>250000</v>
      </c>
      <c r="F1395" s="247" t="s">
        <v>4694</v>
      </c>
      <c r="G1395" s="34" t="s">
        <v>7</v>
      </c>
      <c r="H1395" s="234" t="s">
        <v>4693</v>
      </c>
      <c r="I1395" s="248" t="s">
        <v>7</v>
      </c>
      <c r="J1395" s="249" t="s">
        <v>582</v>
      </c>
      <c r="K1395" s="250">
        <v>250000</v>
      </c>
      <c r="L1395" s="250">
        <v>0</v>
      </c>
      <c r="M1395" s="251" t="s">
        <v>14</v>
      </c>
      <c r="N1395" s="252">
        <v>0</v>
      </c>
      <c r="O1395" s="185" t="s">
        <v>51</v>
      </c>
    </row>
    <row r="1396" spans="1:15" x14ac:dyDescent="0.25">
      <c r="A1396" s="234" t="s">
        <v>4692</v>
      </c>
      <c r="B1396" s="234" t="s">
        <v>14</v>
      </c>
      <c r="C1396" s="245">
        <v>46149</v>
      </c>
      <c r="D1396" s="234">
        <v>0</v>
      </c>
      <c r="E1396" s="246">
        <v>82508</v>
      </c>
      <c r="F1396" s="247" t="s">
        <v>4691</v>
      </c>
      <c r="G1396" s="34" t="s">
        <v>7</v>
      </c>
      <c r="H1396" s="234" t="s">
        <v>4693</v>
      </c>
      <c r="I1396" s="248" t="s">
        <v>7</v>
      </c>
      <c r="J1396" s="249" t="s">
        <v>582</v>
      </c>
      <c r="K1396" s="250">
        <v>82508</v>
      </c>
      <c r="L1396" s="250">
        <v>0</v>
      </c>
      <c r="M1396" s="251" t="s">
        <v>14</v>
      </c>
      <c r="N1396" s="252">
        <v>0</v>
      </c>
      <c r="O1396" s="185" t="s">
        <v>51</v>
      </c>
    </row>
    <row r="1397" spans="1:15" x14ac:dyDescent="0.25">
      <c r="A1397" s="234" t="s">
        <v>2702</v>
      </c>
      <c r="B1397" s="234" t="s">
        <v>14</v>
      </c>
      <c r="C1397" s="245">
        <v>46149</v>
      </c>
      <c r="D1397" s="234">
        <v>0</v>
      </c>
      <c r="E1397" s="246">
        <v>60000</v>
      </c>
      <c r="F1397" s="247" t="s">
        <v>2706</v>
      </c>
      <c r="G1397" s="34" t="s">
        <v>7</v>
      </c>
      <c r="H1397" s="234" t="s">
        <v>2703</v>
      </c>
      <c r="I1397" s="248" t="s">
        <v>7</v>
      </c>
      <c r="J1397" s="249" t="s">
        <v>554</v>
      </c>
      <c r="K1397" s="250">
        <v>60000</v>
      </c>
      <c r="L1397" s="250">
        <v>0</v>
      </c>
      <c r="M1397" s="251" t="s">
        <v>14</v>
      </c>
      <c r="N1397" s="252">
        <v>0</v>
      </c>
      <c r="O1397" s="185" t="s">
        <v>51</v>
      </c>
    </row>
    <row r="1398" spans="1:15" x14ac:dyDescent="0.25">
      <c r="A1398" s="234" t="s">
        <v>2738</v>
      </c>
      <c r="B1398" s="234" t="s">
        <v>14</v>
      </c>
      <c r="C1398" s="245">
        <v>46149</v>
      </c>
      <c r="D1398" s="234">
        <v>0</v>
      </c>
      <c r="E1398" s="246">
        <v>165476</v>
      </c>
      <c r="F1398" s="247" t="s">
        <v>2737</v>
      </c>
      <c r="G1398" s="34" t="s">
        <v>7</v>
      </c>
      <c r="H1398" s="234" t="s">
        <v>2739</v>
      </c>
      <c r="I1398" s="248" t="s">
        <v>7</v>
      </c>
      <c r="J1398" s="249" t="s">
        <v>554</v>
      </c>
      <c r="K1398" s="250">
        <v>165476</v>
      </c>
      <c r="L1398" s="250">
        <v>0</v>
      </c>
      <c r="M1398" s="251" t="s">
        <v>14</v>
      </c>
      <c r="N1398" s="252">
        <v>0</v>
      </c>
      <c r="O1398" s="185" t="s">
        <v>51</v>
      </c>
    </row>
    <row r="1399" spans="1:15" x14ac:dyDescent="0.25">
      <c r="A1399" s="234" t="s">
        <v>3218</v>
      </c>
      <c r="B1399" s="234" t="s">
        <v>25</v>
      </c>
      <c r="C1399" s="245">
        <v>46149</v>
      </c>
      <c r="D1399" s="234">
        <v>0</v>
      </c>
      <c r="E1399" s="246">
        <v>383383</v>
      </c>
      <c r="F1399" s="247" t="s">
        <v>3217</v>
      </c>
      <c r="G1399" s="34" t="s">
        <v>7</v>
      </c>
      <c r="H1399" s="234" t="s">
        <v>3219</v>
      </c>
      <c r="I1399" s="248" t="s">
        <v>7</v>
      </c>
      <c r="J1399" s="249" t="s">
        <v>582</v>
      </c>
      <c r="K1399" s="250">
        <v>383383</v>
      </c>
      <c r="L1399" s="250">
        <v>0</v>
      </c>
      <c r="M1399" s="251" t="s">
        <v>25</v>
      </c>
      <c r="N1399" s="252">
        <v>0</v>
      </c>
      <c r="O1399" s="185" t="s">
        <v>51</v>
      </c>
    </row>
    <row r="1400" spans="1:15" x14ac:dyDescent="0.25">
      <c r="A1400" s="234" t="s">
        <v>3224</v>
      </c>
      <c r="B1400" s="234" t="s">
        <v>25</v>
      </c>
      <c r="C1400" s="245">
        <v>46149</v>
      </c>
      <c r="D1400" s="234">
        <v>0</v>
      </c>
      <c r="E1400" s="246">
        <v>194691</v>
      </c>
      <c r="F1400" s="247" t="s">
        <v>3223</v>
      </c>
      <c r="G1400" s="34" t="s">
        <v>7</v>
      </c>
      <c r="H1400" s="234" t="s">
        <v>3225</v>
      </c>
      <c r="I1400" s="248" t="s">
        <v>7</v>
      </c>
      <c r="J1400" s="249" t="s">
        <v>582</v>
      </c>
      <c r="K1400" s="250">
        <v>194691</v>
      </c>
      <c r="L1400" s="250">
        <v>0</v>
      </c>
      <c r="M1400" s="251" t="s">
        <v>25</v>
      </c>
      <c r="N1400" s="252">
        <v>0</v>
      </c>
      <c r="O1400" s="185" t="s">
        <v>51</v>
      </c>
    </row>
    <row r="1401" spans="1:15" x14ac:dyDescent="0.25">
      <c r="A1401" s="234" t="s">
        <v>7887</v>
      </c>
      <c r="B1401" s="234" t="s">
        <v>25</v>
      </c>
      <c r="C1401" s="245">
        <v>46149</v>
      </c>
      <c r="D1401" s="234">
        <v>0</v>
      </c>
      <c r="E1401" s="246">
        <v>225279</v>
      </c>
      <c r="F1401" s="247">
        <v>0</v>
      </c>
      <c r="G1401" s="34" t="s">
        <v>7</v>
      </c>
      <c r="H1401" s="234" t="s">
        <v>7888</v>
      </c>
      <c r="I1401" s="248" t="s">
        <v>7</v>
      </c>
      <c r="J1401" s="249" t="s">
        <v>492</v>
      </c>
      <c r="K1401" s="250">
        <v>0</v>
      </c>
      <c r="L1401" s="250">
        <v>0</v>
      </c>
      <c r="M1401" s="251" t="s">
        <v>25</v>
      </c>
      <c r="N1401" s="252">
        <v>0</v>
      </c>
      <c r="O1401" s="185" t="s">
        <v>51</v>
      </c>
    </row>
    <row r="1402" spans="1:15" x14ac:dyDescent="0.25">
      <c r="A1402" s="234" t="s">
        <v>3239</v>
      </c>
      <c r="B1402" s="234" t="s">
        <v>25</v>
      </c>
      <c r="C1402" s="245">
        <v>46149</v>
      </c>
      <c r="D1402" s="234">
        <v>0</v>
      </c>
      <c r="E1402" s="246">
        <v>191000</v>
      </c>
      <c r="F1402" s="247" t="s">
        <v>3238</v>
      </c>
      <c r="G1402" s="34" t="s">
        <v>7</v>
      </c>
      <c r="H1402" s="234" t="s">
        <v>3240</v>
      </c>
      <c r="I1402" s="248" t="s">
        <v>7</v>
      </c>
      <c r="J1402" s="249" t="s">
        <v>582</v>
      </c>
      <c r="K1402" s="250">
        <v>191000</v>
      </c>
      <c r="L1402" s="250">
        <v>0</v>
      </c>
      <c r="M1402" s="251" t="s">
        <v>25</v>
      </c>
      <c r="N1402" s="252">
        <v>0</v>
      </c>
      <c r="O1402" s="185" t="s">
        <v>51</v>
      </c>
    </row>
    <row r="1403" spans="1:15" x14ac:dyDescent="0.25">
      <c r="A1403" s="234" t="s">
        <v>3242</v>
      </c>
      <c r="B1403" s="234" t="s">
        <v>25</v>
      </c>
      <c r="C1403" s="245">
        <v>46149</v>
      </c>
      <c r="D1403" s="234">
        <v>0</v>
      </c>
      <c r="E1403" s="246">
        <v>70000</v>
      </c>
      <c r="F1403" s="247" t="s">
        <v>3245</v>
      </c>
      <c r="G1403" s="34" t="s">
        <v>7</v>
      </c>
      <c r="H1403" s="234" t="s">
        <v>3244</v>
      </c>
      <c r="I1403" s="248" t="s">
        <v>7</v>
      </c>
      <c r="J1403" s="249" t="s">
        <v>554</v>
      </c>
      <c r="K1403" s="250">
        <v>70000</v>
      </c>
      <c r="L1403" s="250">
        <v>0</v>
      </c>
      <c r="M1403" s="251" t="s">
        <v>25</v>
      </c>
      <c r="N1403" s="252">
        <v>0</v>
      </c>
      <c r="O1403" s="185" t="s">
        <v>51</v>
      </c>
    </row>
    <row r="1404" spans="1:15" x14ac:dyDescent="0.25">
      <c r="A1404" s="234" t="s">
        <v>3221</v>
      </c>
      <c r="B1404" s="234" t="s">
        <v>25</v>
      </c>
      <c r="C1404" s="245">
        <v>46149</v>
      </c>
      <c r="D1404" s="234">
        <v>0</v>
      </c>
      <c r="E1404" s="246">
        <v>116000</v>
      </c>
      <c r="F1404" s="247" t="s">
        <v>3220</v>
      </c>
      <c r="G1404" s="34" t="s">
        <v>7</v>
      </c>
      <c r="H1404" s="234" t="s">
        <v>3222</v>
      </c>
      <c r="I1404" s="248" t="s">
        <v>7</v>
      </c>
      <c r="J1404" s="249" t="s">
        <v>582</v>
      </c>
      <c r="K1404" s="250">
        <v>116000</v>
      </c>
      <c r="L1404" s="250">
        <v>0</v>
      </c>
      <c r="M1404" s="251" t="s">
        <v>25</v>
      </c>
      <c r="N1404" s="252">
        <v>0</v>
      </c>
      <c r="O1404" s="185" t="s">
        <v>51</v>
      </c>
    </row>
    <row r="1405" spans="1:15" x14ac:dyDescent="0.25">
      <c r="A1405" s="234" t="s">
        <v>7889</v>
      </c>
      <c r="B1405" s="234" t="s">
        <v>25</v>
      </c>
      <c r="C1405" s="245">
        <v>46149</v>
      </c>
      <c r="D1405" s="234">
        <v>0</v>
      </c>
      <c r="E1405" s="246">
        <v>103250</v>
      </c>
      <c r="F1405" s="247">
        <v>0</v>
      </c>
      <c r="G1405" s="34" t="s">
        <v>7</v>
      </c>
      <c r="H1405" s="234" t="s">
        <v>7890</v>
      </c>
      <c r="I1405" s="248" t="s">
        <v>7</v>
      </c>
      <c r="J1405" s="249" t="s">
        <v>492</v>
      </c>
      <c r="K1405" s="250">
        <v>0</v>
      </c>
      <c r="L1405" s="250">
        <v>0</v>
      </c>
      <c r="M1405" s="251" t="s">
        <v>25</v>
      </c>
      <c r="N1405" s="252">
        <v>0</v>
      </c>
      <c r="O1405" s="185" t="s">
        <v>51</v>
      </c>
    </row>
    <row r="1406" spans="1:15" x14ac:dyDescent="0.25">
      <c r="A1406" s="234" t="s">
        <v>3131</v>
      </c>
      <c r="B1406" s="234" t="s">
        <v>25</v>
      </c>
      <c r="C1406" s="245">
        <v>46149</v>
      </c>
      <c r="D1406" s="234">
        <v>0</v>
      </c>
      <c r="E1406" s="246">
        <v>65025</v>
      </c>
      <c r="F1406" s="247" t="s">
        <v>3130</v>
      </c>
      <c r="G1406" s="34" t="s">
        <v>7</v>
      </c>
      <c r="H1406" s="234" t="s">
        <v>3132</v>
      </c>
      <c r="I1406" s="248" t="s">
        <v>7</v>
      </c>
      <c r="J1406" s="249" t="s">
        <v>582</v>
      </c>
      <c r="K1406" s="250">
        <v>65025</v>
      </c>
      <c r="L1406" s="250">
        <v>0</v>
      </c>
      <c r="M1406" s="251" t="s">
        <v>25</v>
      </c>
      <c r="N1406" s="252">
        <v>0</v>
      </c>
      <c r="O1406" s="185" t="s">
        <v>51</v>
      </c>
    </row>
    <row r="1407" spans="1:15" x14ac:dyDescent="0.25">
      <c r="A1407" s="234" t="s">
        <v>3310</v>
      </c>
      <c r="B1407" s="234" t="s">
        <v>25</v>
      </c>
      <c r="C1407" s="245">
        <v>46149</v>
      </c>
      <c r="D1407" s="234">
        <v>0</v>
      </c>
      <c r="E1407" s="246">
        <v>176049</v>
      </c>
      <c r="F1407" s="247" t="s">
        <v>3309</v>
      </c>
      <c r="G1407" s="34" t="s">
        <v>7</v>
      </c>
      <c r="H1407" s="234" t="s">
        <v>3311</v>
      </c>
      <c r="I1407" s="248" t="s">
        <v>7</v>
      </c>
      <c r="J1407" s="249" t="s">
        <v>582</v>
      </c>
      <c r="K1407" s="250">
        <v>176049</v>
      </c>
      <c r="L1407" s="250">
        <v>0</v>
      </c>
      <c r="M1407" s="251" t="s">
        <v>25</v>
      </c>
      <c r="N1407" s="252">
        <v>0</v>
      </c>
      <c r="O1407" s="185" t="s">
        <v>51</v>
      </c>
    </row>
    <row r="1408" spans="1:15" x14ac:dyDescent="0.25">
      <c r="A1408" s="234" t="s">
        <v>3154</v>
      </c>
      <c r="B1408" s="234" t="s">
        <v>25</v>
      </c>
      <c r="C1408" s="245">
        <v>46149</v>
      </c>
      <c r="D1408" s="234">
        <v>0</v>
      </c>
      <c r="E1408" s="246">
        <v>173532</v>
      </c>
      <c r="F1408" s="247" t="s">
        <v>3153</v>
      </c>
      <c r="G1408" s="34" t="s">
        <v>7</v>
      </c>
      <c r="H1408" s="234" t="s">
        <v>3155</v>
      </c>
      <c r="I1408" s="248" t="s">
        <v>7</v>
      </c>
      <c r="J1408" s="249" t="s">
        <v>582</v>
      </c>
      <c r="K1408" s="250">
        <v>175325</v>
      </c>
      <c r="L1408" s="250">
        <v>0</v>
      </c>
      <c r="M1408" s="251" t="s">
        <v>25</v>
      </c>
      <c r="N1408" s="252">
        <v>0</v>
      </c>
      <c r="O1408" s="185" t="s">
        <v>51</v>
      </c>
    </row>
    <row r="1409" spans="1:15" x14ac:dyDescent="0.25">
      <c r="A1409" s="234" t="s">
        <v>3175</v>
      </c>
      <c r="B1409" s="234" t="s">
        <v>25</v>
      </c>
      <c r="C1409" s="245">
        <v>46149</v>
      </c>
      <c r="D1409" s="234">
        <v>0</v>
      </c>
      <c r="E1409" s="246">
        <v>1559</v>
      </c>
      <c r="F1409" s="247" t="s">
        <v>3174</v>
      </c>
      <c r="G1409" s="34" t="s">
        <v>7</v>
      </c>
      <c r="H1409" s="234" t="s">
        <v>3176</v>
      </c>
      <c r="I1409" s="248" t="s">
        <v>7</v>
      </c>
      <c r="J1409" s="249" t="s">
        <v>554</v>
      </c>
      <c r="K1409" s="250">
        <v>1559</v>
      </c>
      <c r="L1409" s="250">
        <v>0</v>
      </c>
      <c r="M1409" s="251" t="s">
        <v>25</v>
      </c>
      <c r="N1409" s="252">
        <v>0</v>
      </c>
      <c r="O1409" s="185" t="s">
        <v>51</v>
      </c>
    </row>
    <row r="1410" spans="1:15" x14ac:dyDescent="0.25">
      <c r="A1410" s="234" t="s">
        <v>3148</v>
      </c>
      <c r="B1410" s="234" t="s">
        <v>25</v>
      </c>
      <c r="C1410" s="245">
        <v>46149</v>
      </c>
      <c r="D1410" s="234">
        <v>0</v>
      </c>
      <c r="E1410" s="246">
        <v>190074</v>
      </c>
      <c r="F1410" s="247" t="s">
        <v>3147</v>
      </c>
      <c r="G1410" s="34" t="s">
        <v>7</v>
      </c>
      <c r="H1410" s="234" t="s">
        <v>3149</v>
      </c>
      <c r="I1410" s="248" t="s">
        <v>7</v>
      </c>
      <c r="J1410" s="249" t="s">
        <v>582</v>
      </c>
      <c r="K1410" s="250">
        <v>52000</v>
      </c>
      <c r="L1410" s="250">
        <v>0</v>
      </c>
      <c r="M1410" s="251" t="s">
        <v>25</v>
      </c>
      <c r="N1410" s="252">
        <v>0</v>
      </c>
      <c r="O1410" s="185" t="s">
        <v>51</v>
      </c>
    </row>
    <row r="1411" spans="1:15" x14ac:dyDescent="0.25">
      <c r="A1411" s="234" t="s">
        <v>3242</v>
      </c>
      <c r="B1411" s="234" t="s">
        <v>25</v>
      </c>
      <c r="C1411" s="245">
        <v>46149</v>
      </c>
      <c r="D1411" s="234">
        <v>0</v>
      </c>
      <c r="E1411" s="246">
        <v>21812</v>
      </c>
      <c r="F1411" s="247" t="s">
        <v>3246</v>
      </c>
      <c r="G1411" s="34" t="s">
        <v>7</v>
      </c>
      <c r="H1411" s="234" t="s">
        <v>3244</v>
      </c>
      <c r="I1411" s="248" t="s">
        <v>7</v>
      </c>
      <c r="J1411" s="249" t="s">
        <v>554</v>
      </c>
      <c r="K1411" s="250">
        <v>21812</v>
      </c>
      <c r="L1411" s="250">
        <v>0</v>
      </c>
      <c r="M1411" s="251" t="s">
        <v>25</v>
      </c>
      <c r="N1411" s="252">
        <v>0</v>
      </c>
      <c r="O1411" s="185" t="s">
        <v>51</v>
      </c>
    </row>
    <row r="1412" spans="1:15" x14ac:dyDescent="0.25">
      <c r="A1412" s="234" t="s">
        <v>7891</v>
      </c>
      <c r="B1412" s="234" t="s">
        <v>11</v>
      </c>
      <c r="C1412" s="245">
        <v>46149</v>
      </c>
      <c r="D1412" s="234" t="s">
        <v>7287</v>
      </c>
      <c r="E1412" s="246">
        <v>222328</v>
      </c>
      <c r="F1412" s="247">
        <v>0</v>
      </c>
      <c r="G1412" s="34" t="s">
        <v>7</v>
      </c>
      <c r="H1412" s="234" t="s">
        <v>7892</v>
      </c>
      <c r="I1412" s="248" t="s">
        <v>7</v>
      </c>
      <c r="J1412" s="249" t="s">
        <v>492</v>
      </c>
      <c r="K1412" s="250">
        <v>0</v>
      </c>
      <c r="L1412" s="250">
        <v>0</v>
      </c>
      <c r="M1412" s="251" t="s">
        <v>11</v>
      </c>
      <c r="N1412" s="252">
        <v>0</v>
      </c>
      <c r="O1412" s="185" t="s">
        <v>74</v>
      </c>
    </row>
    <row r="1413" spans="1:15" x14ac:dyDescent="0.25">
      <c r="A1413" s="234" t="s">
        <v>4557</v>
      </c>
      <c r="B1413" s="234" t="s">
        <v>11</v>
      </c>
      <c r="C1413" s="245">
        <v>46149</v>
      </c>
      <c r="D1413" s="234" t="s">
        <v>7552</v>
      </c>
      <c r="E1413" s="246">
        <v>197707.73</v>
      </c>
      <c r="F1413" s="247" t="s">
        <v>7893</v>
      </c>
      <c r="G1413" s="34" t="s">
        <v>7</v>
      </c>
      <c r="H1413" s="234" t="s">
        <v>4559</v>
      </c>
      <c r="I1413" s="248" t="s">
        <v>7</v>
      </c>
      <c r="J1413" s="249" t="s">
        <v>492</v>
      </c>
      <c r="K1413" s="250">
        <v>0</v>
      </c>
      <c r="L1413" s="250">
        <v>0</v>
      </c>
      <c r="M1413" s="251" t="s">
        <v>11</v>
      </c>
      <c r="N1413" s="252">
        <v>0</v>
      </c>
      <c r="O1413" s="185" t="s">
        <v>74</v>
      </c>
    </row>
    <row r="1414" spans="1:15" x14ac:dyDescent="0.25">
      <c r="A1414" s="234" t="s">
        <v>1596</v>
      </c>
      <c r="B1414" s="234" t="s">
        <v>15</v>
      </c>
      <c r="C1414" s="245">
        <v>46149</v>
      </c>
      <c r="D1414" s="234">
        <v>0</v>
      </c>
      <c r="E1414" s="246">
        <v>299933</v>
      </c>
      <c r="F1414" s="247" t="s">
        <v>7894</v>
      </c>
      <c r="G1414" s="34" t="s">
        <v>7</v>
      </c>
      <c r="H1414" s="234" t="s">
        <v>1597</v>
      </c>
      <c r="I1414" s="248" t="s">
        <v>7</v>
      </c>
      <c r="J1414" s="249" t="s">
        <v>492</v>
      </c>
      <c r="K1414" s="250">
        <v>0</v>
      </c>
      <c r="L1414" s="250">
        <v>0</v>
      </c>
      <c r="M1414" s="251" t="s">
        <v>15</v>
      </c>
      <c r="N1414" s="252">
        <v>0</v>
      </c>
      <c r="O1414" s="185" t="s">
        <v>51</v>
      </c>
    </row>
    <row r="1415" spans="1:15" x14ac:dyDescent="0.25">
      <c r="A1415" s="234" t="s">
        <v>1122</v>
      </c>
      <c r="B1415" s="234" t="s">
        <v>15</v>
      </c>
      <c r="C1415" s="245">
        <v>46149</v>
      </c>
      <c r="D1415" s="234">
        <v>0</v>
      </c>
      <c r="E1415" s="246">
        <v>253000</v>
      </c>
      <c r="F1415" s="247" t="s">
        <v>7895</v>
      </c>
      <c r="G1415" s="34" t="s">
        <v>7</v>
      </c>
      <c r="H1415" s="234" t="s">
        <v>1123</v>
      </c>
      <c r="I1415" s="248" t="s">
        <v>7</v>
      </c>
      <c r="J1415" s="249" t="s">
        <v>492</v>
      </c>
      <c r="K1415" s="250">
        <v>0</v>
      </c>
      <c r="L1415" s="250">
        <v>0</v>
      </c>
      <c r="M1415" s="251" t="s">
        <v>15</v>
      </c>
      <c r="N1415" s="252">
        <v>0</v>
      </c>
      <c r="O1415" s="185" t="s">
        <v>51</v>
      </c>
    </row>
    <row r="1416" spans="1:15" x14ac:dyDescent="0.25">
      <c r="A1416" s="234" t="s">
        <v>7896</v>
      </c>
      <c r="B1416" s="234" t="s">
        <v>15</v>
      </c>
      <c r="C1416" s="245">
        <v>46149</v>
      </c>
      <c r="D1416" s="234">
        <v>0</v>
      </c>
      <c r="E1416" s="246">
        <v>142833.12</v>
      </c>
      <c r="F1416" s="247" t="s">
        <v>7897</v>
      </c>
      <c r="G1416" s="34" t="s">
        <v>7</v>
      </c>
      <c r="H1416" s="234" t="s">
        <v>1104</v>
      </c>
      <c r="I1416" s="248" t="s">
        <v>7</v>
      </c>
      <c r="J1416" s="249" t="s">
        <v>492</v>
      </c>
      <c r="K1416" s="250">
        <v>0</v>
      </c>
      <c r="L1416" s="250">
        <v>0</v>
      </c>
      <c r="M1416" s="251" t="s">
        <v>15</v>
      </c>
      <c r="N1416" s="252">
        <v>0</v>
      </c>
      <c r="O1416" s="185" t="s">
        <v>51</v>
      </c>
    </row>
    <row r="1417" spans="1:15" x14ac:dyDescent="0.25">
      <c r="A1417" s="234" t="s">
        <v>3626</v>
      </c>
      <c r="B1417" s="234" t="s">
        <v>15</v>
      </c>
      <c r="C1417" s="245">
        <v>46149</v>
      </c>
      <c r="D1417" s="234">
        <v>0</v>
      </c>
      <c r="E1417" s="246">
        <v>104208</v>
      </c>
      <c r="F1417" s="247" t="s">
        <v>7898</v>
      </c>
      <c r="G1417" s="34" t="s">
        <v>7</v>
      </c>
      <c r="H1417" s="234" t="s">
        <v>3627</v>
      </c>
      <c r="I1417" s="248" t="s">
        <v>7</v>
      </c>
      <c r="J1417" s="249" t="s">
        <v>492</v>
      </c>
      <c r="K1417" s="250">
        <v>0</v>
      </c>
      <c r="L1417" s="250">
        <v>0</v>
      </c>
      <c r="M1417" s="251" t="s">
        <v>15</v>
      </c>
      <c r="N1417" s="252">
        <v>0</v>
      </c>
      <c r="O1417" s="185" t="s">
        <v>51</v>
      </c>
    </row>
    <row r="1418" spans="1:15" x14ac:dyDescent="0.25">
      <c r="A1418" s="234" t="s">
        <v>1173</v>
      </c>
      <c r="B1418" s="234" t="s">
        <v>15</v>
      </c>
      <c r="C1418" s="245">
        <v>46149</v>
      </c>
      <c r="D1418" s="234">
        <v>0</v>
      </c>
      <c r="E1418" s="246">
        <v>34397</v>
      </c>
      <c r="F1418" s="247" t="s">
        <v>7899</v>
      </c>
      <c r="G1418" s="34" t="s">
        <v>7</v>
      </c>
      <c r="H1418" s="234" t="s">
        <v>1174</v>
      </c>
      <c r="I1418" s="248" t="s">
        <v>7</v>
      </c>
      <c r="J1418" s="249" t="s">
        <v>492</v>
      </c>
      <c r="K1418" s="250">
        <v>0</v>
      </c>
      <c r="L1418" s="250">
        <v>0</v>
      </c>
      <c r="M1418" s="251" t="s">
        <v>15</v>
      </c>
      <c r="N1418" s="252">
        <v>0</v>
      </c>
      <c r="O1418" s="185" t="s">
        <v>51</v>
      </c>
    </row>
    <row r="1419" spans="1:15" x14ac:dyDescent="0.25">
      <c r="A1419" s="234" t="s">
        <v>1100</v>
      </c>
      <c r="B1419" s="234" t="s">
        <v>15</v>
      </c>
      <c r="C1419" s="245">
        <v>46149</v>
      </c>
      <c r="D1419" s="234">
        <v>0</v>
      </c>
      <c r="E1419" s="246">
        <v>142635</v>
      </c>
      <c r="F1419" s="247" t="s">
        <v>7900</v>
      </c>
      <c r="G1419" s="34" t="s">
        <v>7</v>
      </c>
      <c r="H1419" s="234" t="s">
        <v>1101</v>
      </c>
      <c r="I1419" s="248" t="s">
        <v>7</v>
      </c>
      <c r="J1419" s="249" t="s">
        <v>492</v>
      </c>
      <c r="K1419" s="250">
        <v>0</v>
      </c>
      <c r="L1419" s="250">
        <v>0</v>
      </c>
      <c r="M1419" s="251" t="s">
        <v>15</v>
      </c>
      <c r="N1419" s="252">
        <v>0</v>
      </c>
      <c r="O1419" s="185" t="s">
        <v>51</v>
      </c>
    </row>
    <row r="1420" spans="1:15" x14ac:dyDescent="0.25">
      <c r="A1420" s="234" t="s">
        <v>1209</v>
      </c>
      <c r="B1420" s="234" t="s">
        <v>15</v>
      </c>
      <c r="C1420" s="245">
        <v>46149</v>
      </c>
      <c r="D1420" s="234">
        <v>0</v>
      </c>
      <c r="E1420" s="246">
        <v>146341</v>
      </c>
      <c r="F1420" s="247" t="s">
        <v>7901</v>
      </c>
      <c r="G1420" s="34" t="s">
        <v>7</v>
      </c>
      <c r="H1420" s="234" t="s">
        <v>1210</v>
      </c>
      <c r="I1420" s="248" t="s">
        <v>7</v>
      </c>
      <c r="J1420" s="249" t="s">
        <v>492</v>
      </c>
      <c r="K1420" s="250">
        <v>0</v>
      </c>
      <c r="L1420" s="250">
        <v>0</v>
      </c>
      <c r="M1420" s="251" t="s">
        <v>15</v>
      </c>
      <c r="N1420" s="252">
        <v>0</v>
      </c>
      <c r="O1420" s="185" t="s">
        <v>51</v>
      </c>
    </row>
    <row r="1421" spans="1:15" x14ac:dyDescent="0.25">
      <c r="A1421" s="234" t="s">
        <v>7902</v>
      </c>
      <c r="B1421" s="234" t="s">
        <v>15</v>
      </c>
      <c r="C1421" s="245">
        <v>46149</v>
      </c>
      <c r="D1421" s="234">
        <v>0</v>
      </c>
      <c r="E1421" s="246">
        <v>23413</v>
      </c>
      <c r="F1421" s="247" t="s">
        <v>7903</v>
      </c>
      <c r="G1421" s="34" t="s">
        <v>7</v>
      </c>
      <c r="H1421" s="234" t="s">
        <v>1555</v>
      </c>
      <c r="I1421" s="248" t="s">
        <v>7</v>
      </c>
      <c r="J1421" s="249" t="s">
        <v>492</v>
      </c>
      <c r="K1421" s="250">
        <v>0</v>
      </c>
      <c r="L1421" s="250">
        <v>0</v>
      </c>
      <c r="M1421" s="251" t="s">
        <v>15</v>
      </c>
      <c r="N1421" s="252">
        <v>0</v>
      </c>
      <c r="O1421" s="185" t="s">
        <v>51</v>
      </c>
    </row>
    <row r="1422" spans="1:15" x14ac:dyDescent="0.25">
      <c r="A1422" s="234" t="s">
        <v>3637</v>
      </c>
      <c r="B1422" s="234" t="s">
        <v>15</v>
      </c>
      <c r="C1422" s="245">
        <v>46149</v>
      </c>
      <c r="D1422" s="234">
        <v>0</v>
      </c>
      <c r="E1422" s="246">
        <v>25000</v>
      </c>
      <c r="F1422" s="247" t="s">
        <v>7904</v>
      </c>
      <c r="G1422" s="34" t="s">
        <v>7</v>
      </c>
      <c r="H1422" s="234" t="s">
        <v>3639</v>
      </c>
      <c r="I1422" s="248" t="s">
        <v>7</v>
      </c>
      <c r="J1422" s="249" t="s">
        <v>492</v>
      </c>
      <c r="K1422" s="250">
        <v>0</v>
      </c>
      <c r="L1422" s="250">
        <v>0</v>
      </c>
      <c r="M1422" s="251" t="s">
        <v>15</v>
      </c>
      <c r="N1422" s="252">
        <v>0</v>
      </c>
      <c r="O1422" s="185" t="s">
        <v>51</v>
      </c>
    </row>
    <row r="1423" spans="1:15" x14ac:dyDescent="0.25">
      <c r="A1423" s="234" t="s">
        <v>1080</v>
      </c>
      <c r="B1423" s="234" t="s">
        <v>15</v>
      </c>
      <c r="C1423" s="245">
        <v>46149</v>
      </c>
      <c r="D1423" s="234">
        <v>0</v>
      </c>
      <c r="E1423" s="246">
        <v>79342</v>
      </c>
      <c r="F1423" s="247" t="s">
        <v>7905</v>
      </c>
      <c r="G1423" s="34" t="s">
        <v>7</v>
      </c>
      <c r="H1423" s="234" t="s">
        <v>1081</v>
      </c>
      <c r="I1423" s="248" t="s">
        <v>7</v>
      </c>
      <c r="J1423" s="249" t="s">
        <v>492</v>
      </c>
      <c r="K1423" s="250">
        <v>0</v>
      </c>
      <c r="L1423" s="250">
        <v>0</v>
      </c>
      <c r="M1423" s="251" t="s">
        <v>15</v>
      </c>
      <c r="N1423" s="252">
        <v>0</v>
      </c>
      <c r="O1423" s="185" t="s">
        <v>51</v>
      </c>
    </row>
    <row r="1424" spans="1:15" x14ac:dyDescent="0.25">
      <c r="A1424" s="234" t="s">
        <v>1148</v>
      </c>
      <c r="B1424" s="234" t="s">
        <v>15</v>
      </c>
      <c r="C1424" s="245">
        <v>46149</v>
      </c>
      <c r="D1424" s="234">
        <v>0</v>
      </c>
      <c r="E1424" s="246">
        <v>166334</v>
      </c>
      <c r="F1424" s="247" t="s">
        <v>7906</v>
      </c>
      <c r="G1424" s="34" t="s">
        <v>7</v>
      </c>
      <c r="H1424" s="234" t="s">
        <v>1149</v>
      </c>
      <c r="I1424" s="248" t="s">
        <v>7</v>
      </c>
      <c r="J1424" s="249" t="s">
        <v>492</v>
      </c>
      <c r="K1424" s="250">
        <v>0</v>
      </c>
      <c r="L1424" s="250">
        <v>0</v>
      </c>
      <c r="M1424" s="251" t="s">
        <v>15</v>
      </c>
      <c r="N1424" s="252">
        <v>0</v>
      </c>
      <c r="O1424" s="185" t="s">
        <v>51</v>
      </c>
    </row>
    <row r="1425" spans="1:15" x14ac:dyDescent="0.25">
      <c r="A1425" s="234" t="s">
        <v>1151</v>
      </c>
      <c r="B1425" s="234" t="s">
        <v>15</v>
      </c>
      <c r="C1425" s="245">
        <v>46149</v>
      </c>
      <c r="D1425" s="234">
        <v>0</v>
      </c>
      <c r="E1425" s="246">
        <v>166543</v>
      </c>
      <c r="F1425" s="247" t="s">
        <v>7907</v>
      </c>
      <c r="G1425" s="34" t="s">
        <v>7</v>
      </c>
      <c r="H1425" s="234" t="s">
        <v>1152</v>
      </c>
      <c r="I1425" s="248" t="s">
        <v>7</v>
      </c>
      <c r="J1425" s="249" t="s">
        <v>492</v>
      </c>
      <c r="K1425" s="250">
        <v>0</v>
      </c>
      <c r="L1425" s="250">
        <v>0</v>
      </c>
      <c r="M1425" s="251" t="s">
        <v>15</v>
      </c>
      <c r="N1425" s="252">
        <v>0</v>
      </c>
      <c r="O1425" s="185" t="s">
        <v>51</v>
      </c>
    </row>
    <row r="1426" spans="1:15" x14ac:dyDescent="0.25">
      <c r="A1426" s="234" t="s">
        <v>7908</v>
      </c>
      <c r="B1426" s="234" t="s">
        <v>15</v>
      </c>
      <c r="C1426" s="245">
        <v>46149</v>
      </c>
      <c r="D1426" s="234">
        <v>0</v>
      </c>
      <c r="E1426" s="246">
        <v>113426</v>
      </c>
      <c r="F1426" s="247" t="s">
        <v>7909</v>
      </c>
      <c r="G1426" s="34" t="s">
        <v>7</v>
      </c>
      <c r="H1426" s="234" t="s">
        <v>1006</v>
      </c>
      <c r="I1426" s="248" t="s">
        <v>7</v>
      </c>
      <c r="J1426" s="249" t="s">
        <v>492</v>
      </c>
      <c r="K1426" s="250">
        <v>0</v>
      </c>
      <c r="L1426" s="250">
        <v>0</v>
      </c>
      <c r="M1426" s="251" t="s">
        <v>15</v>
      </c>
      <c r="N1426" s="252">
        <v>0</v>
      </c>
      <c r="O1426" s="185" t="s">
        <v>51</v>
      </c>
    </row>
    <row r="1427" spans="1:15" x14ac:dyDescent="0.25">
      <c r="A1427" s="234" t="s">
        <v>1002</v>
      </c>
      <c r="B1427" s="234" t="s">
        <v>15</v>
      </c>
      <c r="C1427" s="245">
        <v>46149</v>
      </c>
      <c r="D1427" s="234">
        <v>0</v>
      </c>
      <c r="E1427" s="246">
        <v>119964</v>
      </c>
      <c r="F1427" s="247" t="s">
        <v>7910</v>
      </c>
      <c r="G1427" s="34" t="s">
        <v>7</v>
      </c>
      <c r="H1427" s="234" t="s">
        <v>1003</v>
      </c>
      <c r="I1427" s="248" t="s">
        <v>7</v>
      </c>
      <c r="J1427" s="249" t="s">
        <v>492</v>
      </c>
      <c r="K1427" s="250">
        <v>0</v>
      </c>
      <c r="L1427" s="250">
        <v>0</v>
      </c>
      <c r="M1427" s="251" t="s">
        <v>15</v>
      </c>
      <c r="N1427" s="252">
        <v>0</v>
      </c>
      <c r="O1427" s="185" t="s">
        <v>51</v>
      </c>
    </row>
    <row r="1428" spans="1:15" x14ac:dyDescent="0.25">
      <c r="A1428" s="234" t="s">
        <v>5056</v>
      </c>
      <c r="B1428" s="234" t="s">
        <v>16</v>
      </c>
      <c r="C1428" s="245">
        <v>46149</v>
      </c>
      <c r="D1428" s="234" t="s">
        <v>7287</v>
      </c>
      <c r="E1428" s="246">
        <v>155436</v>
      </c>
      <c r="F1428" s="247" t="s">
        <v>5055</v>
      </c>
      <c r="G1428" s="34" t="s">
        <v>7</v>
      </c>
      <c r="H1428" s="234" t="s">
        <v>5057</v>
      </c>
      <c r="I1428" s="248" t="s">
        <v>7</v>
      </c>
      <c r="J1428" s="249" t="s">
        <v>582</v>
      </c>
      <c r="K1428" s="250">
        <v>5435</v>
      </c>
      <c r="L1428" s="250">
        <v>0</v>
      </c>
      <c r="M1428" s="251" t="s">
        <v>16</v>
      </c>
      <c r="N1428" s="252">
        <v>0</v>
      </c>
      <c r="O1428" s="185" t="s">
        <v>51</v>
      </c>
    </row>
    <row r="1429" spans="1:15" x14ac:dyDescent="0.25">
      <c r="A1429" s="234" t="s">
        <v>5109</v>
      </c>
      <c r="B1429" s="234" t="s">
        <v>16</v>
      </c>
      <c r="C1429" s="245">
        <v>46149</v>
      </c>
      <c r="D1429" s="234" t="s">
        <v>7269</v>
      </c>
      <c r="E1429" s="246">
        <v>164493</v>
      </c>
      <c r="F1429" s="247" t="s">
        <v>5108</v>
      </c>
      <c r="G1429" s="34" t="s">
        <v>7</v>
      </c>
      <c r="H1429" s="234" t="s">
        <v>5110</v>
      </c>
      <c r="I1429" s="248" t="s">
        <v>7</v>
      </c>
      <c r="J1429" s="249" t="s">
        <v>61</v>
      </c>
      <c r="K1429" s="250">
        <v>164493</v>
      </c>
      <c r="L1429" s="250">
        <v>0</v>
      </c>
      <c r="M1429" s="251" t="s">
        <v>16</v>
      </c>
      <c r="N1429" s="252">
        <v>0</v>
      </c>
      <c r="O1429" s="185" t="s">
        <v>51</v>
      </c>
    </row>
    <row r="1430" spans="1:15" x14ac:dyDescent="0.25">
      <c r="A1430" s="234" t="s">
        <v>4974</v>
      </c>
      <c r="B1430" s="234" t="s">
        <v>16</v>
      </c>
      <c r="C1430" s="245">
        <v>46149</v>
      </c>
      <c r="D1430" s="234" t="s">
        <v>7359</v>
      </c>
      <c r="E1430" s="246">
        <v>159262</v>
      </c>
      <c r="F1430" s="247" t="s">
        <v>4973</v>
      </c>
      <c r="G1430" s="34" t="s">
        <v>7</v>
      </c>
      <c r="H1430" s="234" t="s">
        <v>4975</v>
      </c>
      <c r="I1430" s="248" t="s">
        <v>7</v>
      </c>
      <c r="J1430" s="249" t="s">
        <v>554</v>
      </c>
      <c r="K1430" s="250">
        <v>2261</v>
      </c>
      <c r="L1430" s="250">
        <v>0</v>
      </c>
      <c r="M1430" s="251" t="s">
        <v>16</v>
      </c>
      <c r="N1430" s="252">
        <v>0</v>
      </c>
      <c r="O1430" s="185" t="s">
        <v>51</v>
      </c>
    </row>
    <row r="1431" spans="1:15" x14ac:dyDescent="0.25">
      <c r="A1431" s="234" t="s">
        <v>7808</v>
      </c>
      <c r="B1431" s="234" t="s">
        <v>16</v>
      </c>
      <c r="C1431" s="245">
        <v>46149</v>
      </c>
      <c r="D1431" s="234" t="s">
        <v>7577</v>
      </c>
      <c r="E1431" s="246">
        <v>300000</v>
      </c>
      <c r="F1431" s="247" t="s">
        <v>7809</v>
      </c>
      <c r="G1431" s="34" t="s">
        <v>7</v>
      </c>
      <c r="H1431" s="234" t="s">
        <v>7810</v>
      </c>
      <c r="I1431" s="248" t="s">
        <v>7</v>
      </c>
      <c r="J1431" s="249" t="s">
        <v>492</v>
      </c>
      <c r="K1431" s="250">
        <v>0</v>
      </c>
      <c r="L1431" s="250">
        <v>0</v>
      </c>
      <c r="M1431" s="251" t="s">
        <v>16</v>
      </c>
      <c r="N1431" s="252">
        <v>0</v>
      </c>
      <c r="O1431" s="185" t="s">
        <v>51</v>
      </c>
    </row>
    <row r="1432" spans="1:15" x14ac:dyDescent="0.25">
      <c r="A1432" s="234" t="s">
        <v>5112</v>
      </c>
      <c r="B1432" s="234" t="s">
        <v>16</v>
      </c>
      <c r="C1432" s="245">
        <v>46149</v>
      </c>
      <c r="D1432" s="234" t="s">
        <v>7577</v>
      </c>
      <c r="E1432" s="246">
        <v>169383</v>
      </c>
      <c r="F1432" s="247" t="s">
        <v>5111</v>
      </c>
      <c r="G1432" s="34" t="s">
        <v>7</v>
      </c>
      <c r="H1432" s="234" t="s">
        <v>5113</v>
      </c>
      <c r="I1432" s="248" t="s">
        <v>7</v>
      </c>
      <c r="J1432" s="249" t="s">
        <v>582</v>
      </c>
      <c r="K1432" s="250">
        <v>169384</v>
      </c>
      <c r="L1432" s="250">
        <v>0</v>
      </c>
      <c r="M1432" s="251" t="s">
        <v>16</v>
      </c>
      <c r="N1432" s="252">
        <v>0</v>
      </c>
      <c r="O1432" s="185" t="s">
        <v>51</v>
      </c>
    </row>
    <row r="1433" spans="1:15" x14ac:dyDescent="0.25">
      <c r="A1433" s="234" t="s">
        <v>5115</v>
      </c>
      <c r="B1433" s="234" t="s">
        <v>16</v>
      </c>
      <c r="C1433" s="245">
        <v>46149</v>
      </c>
      <c r="D1433" s="234" t="s">
        <v>7577</v>
      </c>
      <c r="E1433" s="246">
        <v>346737</v>
      </c>
      <c r="F1433" s="247" t="s">
        <v>7911</v>
      </c>
      <c r="G1433" s="34" t="s">
        <v>7</v>
      </c>
      <c r="H1433" s="234" t="s">
        <v>5116</v>
      </c>
      <c r="I1433" s="248" t="s">
        <v>7</v>
      </c>
      <c r="J1433" s="249" t="s">
        <v>492</v>
      </c>
      <c r="K1433" s="250">
        <v>0</v>
      </c>
      <c r="L1433" s="250">
        <v>0</v>
      </c>
      <c r="M1433" s="251" t="s">
        <v>16</v>
      </c>
      <c r="N1433" s="252">
        <v>0</v>
      </c>
      <c r="O1433" s="185" t="s">
        <v>51</v>
      </c>
    </row>
    <row r="1434" spans="1:15" x14ac:dyDescent="0.25">
      <c r="A1434" s="234" t="s">
        <v>5168</v>
      </c>
      <c r="B1434" s="234" t="s">
        <v>16</v>
      </c>
      <c r="C1434" s="245">
        <v>46149</v>
      </c>
      <c r="D1434" s="234" t="s">
        <v>7577</v>
      </c>
      <c r="E1434" s="246">
        <v>214728</v>
      </c>
      <c r="F1434" s="247" t="s">
        <v>5167</v>
      </c>
      <c r="G1434" s="34" t="s">
        <v>7</v>
      </c>
      <c r="H1434" s="234" t="s">
        <v>5169</v>
      </c>
      <c r="I1434" s="248" t="s">
        <v>7</v>
      </c>
      <c r="J1434" s="249" t="s">
        <v>582</v>
      </c>
      <c r="K1434" s="250">
        <v>214728</v>
      </c>
      <c r="L1434" s="250">
        <v>0</v>
      </c>
      <c r="M1434" s="251" t="s">
        <v>16</v>
      </c>
      <c r="N1434" s="252">
        <v>0</v>
      </c>
      <c r="O1434" s="185" t="s">
        <v>51</v>
      </c>
    </row>
    <row r="1435" spans="1:15" x14ac:dyDescent="0.25">
      <c r="A1435" s="234" t="s">
        <v>5124</v>
      </c>
      <c r="B1435" s="234" t="s">
        <v>16</v>
      </c>
      <c r="C1435" s="245">
        <v>46149</v>
      </c>
      <c r="D1435" s="234" t="s">
        <v>7359</v>
      </c>
      <c r="E1435" s="246">
        <v>205968</v>
      </c>
      <c r="F1435" s="247" t="s">
        <v>5127</v>
      </c>
      <c r="G1435" s="34" t="s">
        <v>7</v>
      </c>
      <c r="H1435" s="234" t="s">
        <v>5125</v>
      </c>
      <c r="I1435" s="248" t="s">
        <v>7</v>
      </c>
      <c r="J1435" s="249" t="s">
        <v>554</v>
      </c>
      <c r="K1435" s="250">
        <v>205968</v>
      </c>
      <c r="L1435" s="250">
        <v>0</v>
      </c>
      <c r="M1435" s="251" t="s">
        <v>16</v>
      </c>
      <c r="N1435" s="252">
        <v>0</v>
      </c>
      <c r="O1435" s="185" t="s">
        <v>51</v>
      </c>
    </row>
    <row r="1436" spans="1:15" x14ac:dyDescent="0.25">
      <c r="A1436" s="234" t="s">
        <v>7912</v>
      </c>
      <c r="B1436" s="234" t="s">
        <v>16</v>
      </c>
      <c r="C1436" s="245">
        <v>46149</v>
      </c>
      <c r="D1436" s="234" t="s">
        <v>7287</v>
      </c>
      <c r="E1436" s="246">
        <v>158532</v>
      </c>
      <c r="F1436" s="247" t="s">
        <v>7812</v>
      </c>
      <c r="G1436" s="34" t="s">
        <v>7</v>
      </c>
      <c r="H1436" s="234" t="s">
        <v>7913</v>
      </c>
      <c r="I1436" s="248" t="s">
        <v>7</v>
      </c>
      <c r="J1436" s="249" t="s">
        <v>492</v>
      </c>
      <c r="K1436" s="250">
        <v>0</v>
      </c>
      <c r="L1436" s="250">
        <v>0</v>
      </c>
      <c r="M1436" s="251" t="s">
        <v>16</v>
      </c>
      <c r="N1436" s="252">
        <v>0</v>
      </c>
      <c r="O1436" s="185" t="s">
        <v>51</v>
      </c>
    </row>
    <row r="1437" spans="1:15" x14ac:dyDescent="0.25">
      <c r="A1437" s="234" t="s">
        <v>7914</v>
      </c>
      <c r="B1437" s="234" t="s">
        <v>16</v>
      </c>
      <c r="C1437" s="245">
        <v>46149</v>
      </c>
      <c r="D1437" s="234" t="s">
        <v>7359</v>
      </c>
      <c r="E1437" s="246">
        <v>104238</v>
      </c>
      <c r="F1437" s="247" t="s">
        <v>7915</v>
      </c>
      <c r="G1437" s="34" t="s">
        <v>7</v>
      </c>
      <c r="H1437" s="234" t="s">
        <v>7916</v>
      </c>
      <c r="I1437" s="248" t="s">
        <v>7</v>
      </c>
      <c r="J1437" s="249" t="s">
        <v>492</v>
      </c>
      <c r="K1437" s="250">
        <v>0</v>
      </c>
      <c r="L1437" s="250">
        <v>0</v>
      </c>
      <c r="M1437" s="251" t="s">
        <v>16</v>
      </c>
      <c r="N1437" s="252">
        <v>0</v>
      </c>
      <c r="O1437" s="185" t="s">
        <v>51</v>
      </c>
    </row>
    <row r="1438" spans="1:15" x14ac:dyDescent="0.25">
      <c r="A1438" s="234" t="s">
        <v>3260</v>
      </c>
      <c r="B1438" s="234" t="s">
        <v>27</v>
      </c>
      <c r="C1438" s="245">
        <v>46149</v>
      </c>
      <c r="D1438" s="234">
        <v>0</v>
      </c>
      <c r="E1438" s="246">
        <v>20000</v>
      </c>
      <c r="F1438" s="247" t="s">
        <v>3267</v>
      </c>
      <c r="G1438" s="34" t="s">
        <v>7</v>
      </c>
      <c r="H1438" s="234" t="s">
        <v>3261</v>
      </c>
      <c r="I1438" s="248" t="s">
        <v>7</v>
      </c>
      <c r="J1438" s="249" t="s">
        <v>554</v>
      </c>
      <c r="K1438" s="250">
        <v>20000</v>
      </c>
      <c r="L1438" s="250">
        <v>0</v>
      </c>
      <c r="M1438" s="251" t="s">
        <v>27</v>
      </c>
      <c r="N1438" s="252">
        <v>0</v>
      </c>
      <c r="O1438" s="185" t="s">
        <v>51</v>
      </c>
    </row>
    <row r="1439" spans="1:15" x14ac:dyDescent="0.25">
      <c r="A1439" s="234" t="s">
        <v>3260</v>
      </c>
      <c r="B1439" s="234" t="s">
        <v>27</v>
      </c>
      <c r="C1439" s="245">
        <v>46149</v>
      </c>
      <c r="D1439" s="234">
        <v>0</v>
      </c>
      <c r="E1439" s="246">
        <v>20000</v>
      </c>
      <c r="F1439" s="247" t="s">
        <v>3266</v>
      </c>
      <c r="G1439" s="34" t="s">
        <v>7</v>
      </c>
      <c r="H1439" s="234" t="s">
        <v>3261</v>
      </c>
      <c r="I1439" s="248" t="s">
        <v>7</v>
      </c>
      <c r="J1439" s="249" t="s">
        <v>554</v>
      </c>
      <c r="K1439" s="250">
        <v>20000</v>
      </c>
      <c r="L1439" s="250">
        <v>0</v>
      </c>
      <c r="M1439" s="251" t="s">
        <v>27</v>
      </c>
      <c r="N1439" s="252">
        <v>0</v>
      </c>
      <c r="O1439" s="185" t="s">
        <v>51</v>
      </c>
    </row>
    <row r="1440" spans="1:15" x14ac:dyDescent="0.25">
      <c r="A1440" s="234" t="s">
        <v>3260</v>
      </c>
      <c r="B1440" s="234" t="s">
        <v>27</v>
      </c>
      <c r="C1440" s="245">
        <v>46149</v>
      </c>
      <c r="D1440" s="234">
        <v>0</v>
      </c>
      <c r="E1440" s="246">
        <v>20000</v>
      </c>
      <c r="F1440" s="247" t="s">
        <v>3265</v>
      </c>
      <c r="G1440" s="34" t="s">
        <v>7</v>
      </c>
      <c r="H1440" s="234" t="s">
        <v>3261</v>
      </c>
      <c r="I1440" s="248" t="s">
        <v>7</v>
      </c>
      <c r="J1440" s="249" t="s">
        <v>554</v>
      </c>
      <c r="K1440" s="250">
        <v>20000</v>
      </c>
      <c r="L1440" s="250">
        <v>0</v>
      </c>
      <c r="M1440" s="251" t="s">
        <v>27</v>
      </c>
      <c r="N1440" s="252">
        <v>0</v>
      </c>
      <c r="O1440" s="185" t="s">
        <v>51</v>
      </c>
    </row>
    <row r="1441" spans="1:15" x14ac:dyDescent="0.25">
      <c r="A1441" s="234" t="s">
        <v>3260</v>
      </c>
      <c r="B1441" s="234" t="s">
        <v>27</v>
      </c>
      <c r="C1441" s="245">
        <v>46149</v>
      </c>
      <c r="D1441" s="234">
        <v>0</v>
      </c>
      <c r="E1441" s="246">
        <v>20000</v>
      </c>
      <c r="F1441" s="247" t="s">
        <v>3263</v>
      </c>
      <c r="G1441" s="34" t="s">
        <v>7</v>
      </c>
      <c r="H1441" s="234" t="s">
        <v>3261</v>
      </c>
      <c r="I1441" s="248" t="s">
        <v>7</v>
      </c>
      <c r="J1441" s="249" t="s">
        <v>554</v>
      </c>
      <c r="K1441" s="250">
        <v>20000</v>
      </c>
      <c r="L1441" s="250">
        <v>0</v>
      </c>
      <c r="M1441" s="251" t="s">
        <v>27</v>
      </c>
      <c r="N1441" s="252">
        <v>0</v>
      </c>
      <c r="O1441" s="185" t="s">
        <v>51</v>
      </c>
    </row>
    <row r="1442" spans="1:15" x14ac:dyDescent="0.25">
      <c r="A1442" s="234" t="s">
        <v>3260</v>
      </c>
      <c r="B1442" s="234" t="s">
        <v>27</v>
      </c>
      <c r="C1442" s="245">
        <v>46149</v>
      </c>
      <c r="D1442" s="234">
        <v>0</v>
      </c>
      <c r="E1442" s="246">
        <v>20000</v>
      </c>
      <c r="F1442" s="247" t="s">
        <v>3264</v>
      </c>
      <c r="G1442" s="34" t="s">
        <v>7</v>
      </c>
      <c r="H1442" s="234" t="s">
        <v>3261</v>
      </c>
      <c r="I1442" s="248" t="s">
        <v>7</v>
      </c>
      <c r="J1442" s="249" t="s">
        <v>554</v>
      </c>
      <c r="K1442" s="250">
        <v>20000</v>
      </c>
      <c r="L1442" s="250">
        <v>0</v>
      </c>
      <c r="M1442" s="251" t="s">
        <v>27</v>
      </c>
      <c r="N1442" s="252">
        <v>0</v>
      </c>
      <c r="O1442" s="185" t="s">
        <v>51</v>
      </c>
    </row>
    <row r="1443" spans="1:15" x14ac:dyDescent="0.25">
      <c r="A1443" s="234" t="s">
        <v>3260</v>
      </c>
      <c r="B1443" s="234" t="s">
        <v>27</v>
      </c>
      <c r="C1443" s="245">
        <v>46149</v>
      </c>
      <c r="D1443" s="234">
        <v>0</v>
      </c>
      <c r="E1443" s="246">
        <v>18039</v>
      </c>
      <c r="F1443" s="247" t="s">
        <v>3262</v>
      </c>
      <c r="G1443" s="34" t="s">
        <v>7</v>
      </c>
      <c r="H1443" s="234" t="s">
        <v>3261</v>
      </c>
      <c r="I1443" s="248" t="s">
        <v>7</v>
      </c>
      <c r="J1443" s="249" t="s">
        <v>554</v>
      </c>
      <c r="K1443" s="250">
        <v>18039</v>
      </c>
      <c r="L1443" s="250">
        <v>0</v>
      </c>
      <c r="M1443" s="251" t="s">
        <v>27</v>
      </c>
      <c r="N1443" s="252">
        <v>0</v>
      </c>
      <c r="O1443" s="185" t="s">
        <v>51</v>
      </c>
    </row>
    <row r="1444" spans="1:15" x14ac:dyDescent="0.25">
      <c r="A1444" s="234" t="s">
        <v>1517</v>
      </c>
      <c r="B1444" s="234" t="s">
        <v>27</v>
      </c>
      <c r="C1444" s="245">
        <v>46149</v>
      </c>
      <c r="D1444" s="234">
        <v>0</v>
      </c>
      <c r="E1444" s="246">
        <v>41440</v>
      </c>
      <c r="F1444" s="247" t="s">
        <v>1516</v>
      </c>
      <c r="G1444" s="34" t="s">
        <v>7</v>
      </c>
      <c r="H1444" s="234" t="s">
        <v>1518</v>
      </c>
      <c r="I1444" s="248" t="s">
        <v>7</v>
      </c>
      <c r="J1444" s="249" t="s">
        <v>554</v>
      </c>
      <c r="K1444" s="250">
        <v>41440</v>
      </c>
      <c r="L1444" s="250">
        <v>0</v>
      </c>
      <c r="M1444" s="251" t="s">
        <v>27</v>
      </c>
      <c r="N1444" s="252">
        <v>0</v>
      </c>
      <c r="O1444" s="185" t="s">
        <v>51</v>
      </c>
    </row>
    <row r="1445" spans="1:15" x14ac:dyDescent="0.25">
      <c r="A1445" s="234" t="s">
        <v>4167</v>
      </c>
      <c r="B1445" s="234" t="s">
        <v>27</v>
      </c>
      <c r="C1445" s="245">
        <v>46149</v>
      </c>
      <c r="D1445" s="234">
        <v>0</v>
      </c>
      <c r="E1445" s="246">
        <v>107906</v>
      </c>
      <c r="F1445" s="247" t="s">
        <v>4166</v>
      </c>
      <c r="G1445" s="34" t="s">
        <v>7</v>
      </c>
      <c r="H1445" s="234" t="s">
        <v>4168</v>
      </c>
      <c r="I1445" s="248" t="s">
        <v>7</v>
      </c>
      <c r="J1445" s="249" t="s">
        <v>554</v>
      </c>
      <c r="K1445" s="250">
        <v>107906</v>
      </c>
      <c r="L1445" s="250">
        <v>0</v>
      </c>
      <c r="M1445" s="251" t="s">
        <v>27</v>
      </c>
      <c r="N1445" s="252">
        <v>0</v>
      </c>
      <c r="O1445" s="185" t="s">
        <v>51</v>
      </c>
    </row>
    <row r="1446" spans="1:15" x14ac:dyDescent="0.25">
      <c r="A1446" s="234" t="s">
        <v>4436</v>
      </c>
      <c r="B1446" s="234" t="s">
        <v>27</v>
      </c>
      <c r="C1446" s="245">
        <v>46149</v>
      </c>
      <c r="D1446" s="234">
        <v>0</v>
      </c>
      <c r="E1446" s="246">
        <v>12000</v>
      </c>
      <c r="F1446" s="247" t="s">
        <v>4435</v>
      </c>
      <c r="G1446" s="34" t="s">
        <v>7</v>
      </c>
      <c r="H1446" s="234" t="s">
        <v>4438</v>
      </c>
      <c r="I1446" s="248" t="s">
        <v>7</v>
      </c>
      <c r="J1446" s="249" t="s">
        <v>61</v>
      </c>
      <c r="K1446" s="250">
        <v>12000</v>
      </c>
      <c r="L1446" s="250">
        <v>0</v>
      </c>
      <c r="M1446" s="251" t="s">
        <v>27</v>
      </c>
      <c r="N1446" s="252">
        <v>0</v>
      </c>
      <c r="O1446" s="185" t="s">
        <v>51</v>
      </c>
    </row>
    <row r="1447" spans="1:15" x14ac:dyDescent="0.25">
      <c r="A1447" s="234" t="s">
        <v>4204</v>
      </c>
      <c r="B1447" s="234" t="s">
        <v>27</v>
      </c>
      <c r="C1447" s="245">
        <v>46149</v>
      </c>
      <c r="D1447" s="234">
        <v>0</v>
      </c>
      <c r="E1447" s="246">
        <v>53000</v>
      </c>
      <c r="F1447" s="247" t="s">
        <v>4203</v>
      </c>
      <c r="G1447" s="34" t="s">
        <v>7</v>
      </c>
      <c r="H1447" s="234" t="s">
        <v>4205</v>
      </c>
      <c r="I1447" s="248" t="s">
        <v>7</v>
      </c>
      <c r="J1447" s="249" t="s">
        <v>554</v>
      </c>
      <c r="K1447" s="250">
        <v>53000</v>
      </c>
      <c r="L1447" s="250">
        <v>0</v>
      </c>
      <c r="M1447" s="251" t="s">
        <v>27</v>
      </c>
      <c r="N1447" s="252">
        <v>0</v>
      </c>
      <c r="O1447" s="185" t="s">
        <v>51</v>
      </c>
    </row>
    <row r="1448" spans="1:15" x14ac:dyDescent="0.25">
      <c r="A1448" s="234" t="s">
        <v>4173</v>
      </c>
      <c r="B1448" s="234" t="s">
        <v>27</v>
      </c>
      <c r="C1448" s="245">
        <v>46149</v>
      </c>
      <c r="D1448" s="234">
        <v>0</v>
      </c>
      <c r="E1448" s="246">
        <v>15996</v>
      </c>
      <c r="F1448" s="247" t="s">
        <v>4172</v>
      </c>
      <c r="G1448" s="34" t="s">
        <v>7</v>
      </c>
      <c r="H1448" s="234" t="s">
        <v>4174</v>
      </c>
      <c r="I1448" s="248" t="s">
        <v>7</v>
      </c>
      <c r="J1448" s="249" t="s">
        <v>554</v>
      </c>
      <c r="K1448" s="250">
        <v>15966</v>
      </c>
      <c r="L1448" s="250">
        <v>0</v>
      </c>
      <c r="M1448" s="251" t="s">
        <v>27</v>
      </c>
      <c r="N1448" s="252">
        <v>0</v>
      </c>
      <c r="O1448" s="185" t="s">
        <v>51</v>
      </c>
    </row>
    <row r="1449" spans="1:15" x14ac:dyDescent="0.25">
      <c r="A1449" s="234" t="s">
        <v>4431</v>
      </c>
      <c r="B1449" s="234" t="s">
        <v>27</v>
      </c>
      <c r="C1449" s="245">
        <v>46149</v>
      </c>
      <c r="D1449" s="234">
        <v>0</v>
      </c>
      <c r="E1449" s="246">
        <v>52000</v>
      </c>
      <c r="F1449" s="247" t="s">
        <v>4434</v>
      </c>
      <c r="G1449" s="34" t="s">
        <v>7</v>
      </c>
      <c r="H1449" s="234" t="s">
        <v>4432</v>
      </c>
      <c r="I1449" s="248" t="s">
        <v>7</v>
      </c>
      <c r="J1449" s="249" t="s">
        <v>554</v>
      </c>
      <c r="K1449" s="250">
        <v>52000</v>
      </c>
      <c r="L1449" s="250">
        <v>0</v>
      </c>
      <c r="M1449" s="251" t="s">
        <v>27</v>
      </c>
      <c r="N1449" s="252">
        <v>0</v>
      </c>
      <c r="O1449" s="185" t="s">
        <v>51</v>
      </c>
    </row>
    <row r="1450" spans="1:15" x14ac:dyDescent="0.25">
      <c r="A1450" s="234" t="s">
        <v>4431</v>
      </c>
      <c r="B1450" s="234" t="s">
        <v>27</v>
      </c>
      <c r="C1450" s="245">
        <v>46149</v>
      </c>
      <c r="D1450" s="234">
        <v>0</v>
      </c>
      <c r="E1450" s="246">
        <v>21800</v>
      </c>
      <c r="F1450" s="247" t="s">
        <v>4433</v>
      </c>
      <c r="G1450" s="34" t="s">
        <v>7</v>
      </c>
      <c r="H1450" s="234" t="s">
        <v>4432</v>
      </c>
      <c r="I1450" s="248" t="s">
        <v>7</v>
      </c>
      <c r="J1450" s="249" t="s">
        <v>554</v>
      </c>
      <c r="K1450" s="250">
        <v>21800</v>
      </c>
      <c r="L1450" s="250">
        <v>0</v>
      </c>
      <c r="M1450" s="251" t="s">
        <v>27</v>
      </c>
      <c r="N1450" s="252">
        <v>0</v>
      </c>
      <c r="O1450" s="185" t="s">
        <v>51</v>
      </c>
    </row>
    <row r="1451" spans="1:15" x14ac:dyDescent="0.25">
      <c r="A1451" s="234" t="s">
        <v>5544</v>
      </c>
      <c r="B1451" s="234" t="s">
        <v>27</v>
      </c>
      <c r="C1451" s="245">
        <v>46149</v>
      </c>
      <c r="D1451" s="234">
        <v>0</v>
      </c>
      <c r="E1451" s="246">
        <v>279644</v>
      </c>
      <c r="F1451" s="247" t="s">
        <v>5547</v>
      </c>
      <c r="G1451" s="34" t="s">
        <v>7</v>
      </c>
      <c r="H1451" s="234" t="s">
        <v>5545</v>
      </c>
      <c r="I1451" s="248" t="s">
        <v>7</v>
      </c>
      <c r="J1451" s="249" t="s">
        <v>554</v>
      </c>
      <c r="K1451" s="250">
        <v>279644</v>
      </c>
      <c r="L1451" s="250">
        <v>0</v>
      </c>
      <c r="M1451" s="251" t="s">
        <v>27</v>
      </c>
      <c r="N1451" s="252">
        <v>0</v>
      </c>
      <c r="O1451" s="185" t="s">
        <v>51</v>
      </c>
    </row>
    <row r="1452" spans="1:15" x14ac:dyDescent="0.25">
      <c r="A1452" s="234" t="s">
        <v>5541</v>
      </c>
      <c r="B1452" s="234" t="s">
        <v>27</v>
      </c>
      <c r="C1452" s="245">
        <v>46149</v>
      </c>
      <c r="D1452" s="234">
        <v>0</v>
      </c>
      <c r="E1452" s="246">
        <v>280035</v>
      </c>
      <c r="F1452" s="247" t="s">
        <v>5540</v>
      </c>
      <c r="G1452" s="34" t="s">
        <v>7</v>
      </c>
      <c r="H1452" s="234" t="s">
        <v>5542</v>
      </c>
      <c r="I1452" s="248" t="s">
        <v>7</v>
      </c>
      <c r="J1452" s="249" t="s">
        <v>554</v>
      </c>
      <c r="K1452" s="250">
        <v>279985</v>
      </c>
      <c r="L1452" s="250">
        <v>0</v>
      </c>
      <c r="M1452" s="251" t="s">
        <v>27</v>
      </c>
      <c r="N1452" s="252">
        <v>0</v>
      </c>
      <c r="O1452" s="185" t="s">
        <v>51</v>
      </c>
    </row>
    <row r="1453" spans="1:15" x14ac:dyDescent="0.25">
      <c r="A1453" s="234" t="s">
        <v>4143</v>
      </c>
      <c r="B1453" s="234" t="s">
        <v>27</v>
      </c>
      <c r="C1453" s="245">
        <v>46149</v>
      </c>
      <c r="D1453" s="234">
        <v>0</v>
      </c>
      <c r="E1453" s="246">
        <v>15680</v>
      </c>
      <c r="F1453" s="247" t="s">
        <v>4142</v>
      </c>
      <c r="G1453" s="34" t="s">
        <v>7</v>
      </c>
      <c r="H1453" s="234" t="s">
        <v>4144</v>
      </c>
      <c r="I1453" s="248" t="s">
        <v>7</v>
      </c>
      <c r="J1453" s="249" t="s">
        <v>554</v>
      </c>
      <c r="K1453" s="250">
        <v>15680</v>
      </c>
      <c r="L1453" s="250">
        <v>0</v>
      </c>
      <c r="M1453" s="251" t="s">
        <v>27</v>
      </c>
      <c r="N1453" s="252">
        <v>0</v>
      </c>
      <c r="O1453" s="185" t="s">
        <v>51</v>
      </c>
    </row>
    <row r="1454" spans="1:15" x14ac:dyDescent="0.25">
      <c r="A1454" s="234" t="s">
        <v>4149</v>
      </c>
      <c r="B1454" s="234" t="s">
        <v>27</v>
      </c>
      <c r="C1454" s="245">
        <v>46149</v>
      </c>
      <c r="D1454" s="234">
        <v>0</v>
      </c>
      <c r="E1454" s="246">
        <v>6462</v>
      </c>
      <c r="F1454" s="247" t="s">
        <v>4148</v>
      </c>
      <c r="G1454" s="34" t="s">
        <v>7</v>
      </c>
      <c r="H1454" s="234" t="s">
        <v>4151</v>
      </c>
      <c r="I1454" s="248" t="s">
        <v>7</v>
      </c>
      <c r="J1454" s="249" t="s">
        <v>554</v>
      </c>
      <c r="K1454" s="250">
        <v>6472.75</v>
      </c>
      <c r="L1454" s="250">
        <v>0</v>
      </c>
      <c r="M1454" s="251" t="s">
        <v>27</v>
      </c>
      <c r="N1454" s="252">
        <v>0</v>
      </c>
      <c r="O1454" s="185" t="s">
        <v>51</v>
      </c>
    </row>
    <row r="1455" spans="1:15" x14ac:dyDescent="0.25">
      <c r="A1455" s="234" t="s">
        <v>4149</v>
      </c>
      <c r="B1455" s="234" t="s">
        <v>27</v>
      </c>
      <c r="C1455" s="245">
        <v>46149</v>
      </c>
      <c r="D1455" s="234">
        <v>0</v>
      </c>
      <c r="E1455" s="246">
        <v>10356</v>
      </c>
      <c r="F1455" s="247" t="s">
        <v>4152</v>
      </c>
      <c r="G1455" s="34" t="s">
        <v>7</v>
      </c>
      <c r="H1455" s="234" t="s">
        <v>4151</v>
      </c>
      <c r="I1455" s="248" t="s">
        <v>7</v>
      </c>
      <c r="J1455" s="249" t="s">
        <v>554</v>
      </c>
      <c r="K1455" s="250">
        <v>10356.4</v>
      </c>
      <c r="L1455" s="250">
        <v>0</v>
      </c>
      <c r="M1455" s="251" t="s">
        <v>27</v>
      </c>
      <c r="N1455" s="252">
        <v>0</v>
      </c>
      <c r="O1455" s="185" t="s">
        <v>51</v>
      </c>
    </row>
    <row r="1456" spans="1:15" x14ac:dyDescent="0.25">
      <c r="A1456" s="234" t="s">
        <v>3278</v>
      </c>
      <c r="B1456" s="234" t="s">
        <v>27</v>
      </c>
      <c r="C1456" s="245">
        <v>46149</v>
      </c>
      <c r="D1456" s="234">
        <v>0</v>
      </c>
      <c r="E1456" s="246">
        <v>51650</v>
      </c>
      <c r="F1456" s="247" t="s">
        <v>3277</v>
      </c>
      <c r="G1456" s="34" t="s">
        <v>7</v>
      </c>
      <c r="H1456" s="234" t="s">
        <v>3279</v>
      </c>
      <c r="I1456" s="248" t="s">
        <v>7</v>
      </c>
      <c r="J1456" s="249" t="s">
        <v>554</v>
      </c>
      <c r="K1456" s="250">
        <v>51650</v>
      </c>
      <c r="L1456" s="250">
        <v>0</v>
      </c>
      <c r="M1456" s="251" t="s">
        <v>27</v>
      </c>
      <c r="N1456" s="252">
        <v>0</v>
      </c>
      <c r="O1456" s="185" t="s">
        <v>51</v>
      </c>
    </row>
    <row r="1457" spans="1:15" x14ac:dyDescent="0.25">
      <c r="A1457" s="234" t="s">
        <v>5550</v>
      </c>
      <c r="B1457" s="234" t="s">
        <v>27</v>
      </c>
      <c r="C1457" s="245">
        <v>46149</v>
      </c>
      <c r="D1457" s="234">
        <v>0</v>
      </c>
      <c r="E1457" s="246">
        <v>99000</v>
      </c>
      <c r="F1457" s="247" t="s">
        <v>5549</v>
      </c>
      <c r="G1457" s="34" t="s">
        <v>7</v>
      </c>
      <c r="H1457" s="234" t="s">
        <v>5551</v>
      </c>
      <c r="I1457" s="248" t="s">
        <v>7</v>
      </c>
      <c r="J1457" s="249" t="s">
        <v>554</v>
      </c>
      <c r="K1457" s="250">
        <v>99000</v>
      </c>
      <c r="L1457" s="250">
        <v>0</v>
      </c>
      <c r="M1457" s="251" t="s">
        <v>27</v>
      </c>
      <c r="N1457" s="252">
        <v>0</v>
      </c>
      <c r="O1457" s="185" t="s">
        <v>51</v>
      </c>
    </row>
    <row r="1458" spans="1:15" x14ac:dyDescent="0.25">
      <c r="A1458" s="234" t="s">
        <v>4196</v>
      </c>
      <c r="B1458" s="234" t="s">
        <v>27</v>
      </c>
      <c r="C1458" s="245">
        <v>46149</v>
      </c>
      <c r="D1458" s="234">
        <v>0</v>
      </c>
      <c r="E1458" s="246">
        <v>139005</v>
      </c>
      <c r="F1458" s="247" t="s">
        <v>4199</v>
      </c>
      <c r="G1458" s="34" t="s">
        <v>7</v>
      </c>
      <c r="H1458" s="234" t="s">
        <v>4197</v>
      </c>
      <c r="I1458" s="248" t="s">
        <v>7</v>
      </c>
      <c r="J1458" s="249" t="s">
        <v>554</v>
      </c>
      <c r="K1458" s="250">
        <v>139005</v>
      </c>
      <c r="L1458" s="250">
        <v>0</v>
      </c>
      <c r="M1458" s="251" t="s">
        <v>27</v>
      </c>
      <c r="N1458" s="252">
        <v>0</v>
      </c>
      <c r="O1458" s="185" t="s">
        <v>51</v>
      </c>
    </row>
    <row r="1459" spans="1:15" x14ac:dyDescent="0.25">
      <c r="A1459" s="234" t="s">
        <v>4440</v>
      </c>
      <c r="B1459" s="234" t="s">
        <v>27</v>
      </c>
      <c r="C1459" s="245">
        <v>46149</v>
      </c>
      <c r="D1459" s="234">
        <v>0</v>
      </c>
      <c r="E1459" s="246">
        <v>50000</v>
      </c>
      <c r="F1459" s="247" t="s">
        <v>4439</v>
      </c>
      <c r="G1459" s="34" t="s">
        <v>7</v>
      </c>
      <c r="H1459" s="234" t="s">
        <v>4441</v>
      </c>
      <c r="I1459" s="248" t="s">
        <v>7</v>
      </c>
      <c r="J1459" s="249" t="s">
        <v>554</v>
      </c>
      <c r="K1459" s="250">
        <v>50000</v>
      </c>
      <c r="L1459" s="250">
        <v>0</v>
      </c>
      <c r="M1459" s="251" t="s">
        <v>27</v>
      </c>
      <c r="N1459" s="252">
        <v>0</v>
      </c>
      <c r="O1459" s="185" t="s">
        <v>51</v>
      </c>
    </row>
    <row r="1460" spans="1:15" x14ac:dyDescent="0.25">
      <c r="A1460" s="234" t="s">
        <v>7917</v>
      </c>
      <c r="B1460" s="234" t="s">
        <v>27</v>
      </c>
      <c r="C1460" s="245">
        <v>46149</v>
      </c>
      <c r="D1460" s="234">
        <v>0</v>
      </c>
      <c r="E1460" s="246">
        <v>64560</v>
      </c>
      <c r="F1460" s="247" t="s">
        <v>7918</v>
      </c>
      <c r="G1460" s="34" t="s">
        <v>7</v>
      </c>
      <c r="H1460" s="234" t="s">
        <v>7919</v>
      </c>
      <c r="I1460" s="248" t="s">
        <v>7</v>
      </c>
      <c r="J1460" s="249" t="s">
        <v>492</v>
      </c>
      <c r="K1460" s="250">
        <v>0</v>
      </c>
      <c r="L1460" s="250">
        <v>0</v>
      </c>
      <c r="M1460" s="251" t="s">
        <v>27</v>
      </c>
      <c r="N1460" s="252">
        <v>0</v>
      </c>
      <c r="O1460" s="185" t="s">
        <v>51</v>
      </c>
    </row>
    <row r="1461" spans="1:15" x14ac:dyDescent="0.25">
      <c r="A1461" s="234" t="s">
        <v>7917</v>
      </c>
      <c r="B1461" s="234" t="s">
        <v>27</v>
      </c>
      <c r="C1461" s="245">
        <v>46149</v>
      </c>
      <c r="D1461" s="234">
        <v>0</v>
      </c>
      <c r="E1461" s="246">
        <v>21520</v>
      </c>
      <c r="F1461" s="247" t="s">
        <v>7920</v>
      </c>
      <c r="G1461" s="34" t="s">
        <v>7</v>
      </c>
      <c r="H1461" s="234" t="s">
        <v>7919</v>
      </c>
      <c r="I1461" s="248" t="s">
        <v>7</v>
      </c>
      <c r="J1461" s="249" t="s">
        <v>492</v>
      </c>
      <c r="K1461" s="250">
        <v>0</v>
      </c>
      <c r="L1461" s="250">
        <v>0</v>
      </c>
      <c r="M1461" s="251" t="s">
        <v>27</v>
      </c>
      <c r="N1461" s="252">
        <v>0</v>
      </c>
      <c r="O1461" s="185" t="s">
        <v>51</v>
      </c>
    </row>
    <row r="1462" spans="1:15" x14ac:dyDescent="0.25">
      <c r="A1462" s="234" t="s">
        <v>7917</v>
      </c>
      <c r="B1462" s="234" t="s">
        <v>27</v>
      </c>
      <c r="C1462" s="245">
        <v>46149</v>
      </c>
      <c r="D1462" s="234">
        <v>0</v>
      </c>
      <c r="E1462" s="246">
        <v>21520</v>
      </c>
      <c r="F1462" s="247" t="s">
        <v>7921</v>
      </c>
      <c r="G1462" s="34" t="s">
        <v>7</v>
      </c>
      <c r="H1462" s="234" t="s">
        <v>7919</v>
      </c>
      <c r="I1462" s="248" t="s">
        <v>7</v>
      </c>
      <c r="J1462" s="249" t="s">
        <v>492</v>
      </c>
      <c r="K1462" s="250">
        <v>0</v>
      </c>
      <c r="L1462" s="250">
        <v>0</v>
      </c>
      <c r="M1462" s="251" t="s">
        <v>27</v>
      </c>
      <c r="N1462" s="252">
        <v>0</v>
      </c>
      <c r="O1462" s="185" t="s">
        <v>51</v>
      </c>
    </row>
    <row r="1463" spans="1:15" x14ac:dyDescent="0.25">
      <c r="A1463" s="234" t="s">
        <v>7917</v>
      </c>
      <c r="B1463" s="234" t="s">
        <v>27</v>
      </c>
      <c r="C1463" s="245">
        <v>46149</v>
      </c>
      <c r="D1463" s="234">
        <v>0</v>
      </c>
      <c r="E1463" s="246">
        <v>21520</v>
      </c>
      <c r="F1463" s="247" t="s">
        <v>7922</v>
      </c>
      <c r="G1463" s="34" t="s">
        <v>7</v>
      </c>
      <c r="H1463" s="234" t="s">
        <v>7919</v>
      </c>
      <c r="I1463" s="248" t="s">
        <v>7</v>
      </c>
      <c r="J1463" s="249" t="s">
        <v>492</v>
      </c>
      <c r="K1463" s="250">
        <v>0</v>
      </c>
      <c r="L1463" s="250">
        <v>0</v>
      </c>
      <c r="M1463" s="251" t="s">
        <v>27</v>
      </c>
      <c r="N1463" s="252">
        <v>0</v>
      </c>
      <c r="O1463" s="185" t="s">
        <v>51</v>
      </c>
    </row>
    <row r="1464" spans="1:15" x14ac:dyDescent="0.25">
      <c r="A1464" s="234" t="s">
        <v>1461</v>
      </c>
      <c r="B1464" s="234" t="s">
        <v>27</v>
      </c>
      <c r="C1464" s="245">
        <v>46149</v>
      </c>
      <c r="D1464" s="234">
        <v>0</v>
      </c>
      <c r="E1464" s="246">
        <v>30000</v>
      </c>
      <c r="F1464" s="247" t="s">
        <v>1460</v>
      </c>
      <c r="G1464" s="34" t="s">
        <v>7</v>
      </c>
      <c r="H1464" s="234" t="s">
        <v>1462</v>
      </c>
      <c r="I1464" s="248" t="s">
        <v>7</v>
      </c>
      <c r="J1464" s="249" t="s">
        <v>554</v>
      </c>
      <c r="K1464" s="250">
        <v>30000</v>
      </c>
      <c r="L1464" s="250">
        <v>0</v>
      </c>
      <c r="M1464" s="251" t="s">
        <v>27</v>
      </c>
      <c r="N1464" s="252">
        <v>0</v>
      </c>
      <c r="O1464" s="185" t="s">
        <v>51</v>
      </c>
    </row>
    <row r="1465" spans="1:15" x14ac:dyDescent="0.25">
      <c r="A1465" s="234" t="s">
        <v>5603</v>
      </c>
      <c r="B1465" s="234" t="s">
        <v>33</v>
      </c>
      <c r="C1465" s="245">
        <v>46149</v>
      </c>
      <c r="D1465" s="234">
        <v>0</v>
      </c>
      <c r="E1465" s="246">
        <v>1700000</v>
      </c>
      <c r="F1465" s="247" t="s">
        <v>5602</v>
      </c>
      <c r="G1465" s="34" t="s">
        <v>7</v>
      </c>
      <c r="H1465" s="234" t="s">
        <v>5604</v>
      </c>
      <c r="I1465" s="248" t="s">
        <v>7</v>
      </c>
      <c r="J1465" s="249" t="s">
        <v>582</v>
      </c>
      <c r="K1465" s="250">
        <v>2312250</v>
      </c>
      <c r="L1465" s="250">
        <v>0</v>
      </c>
      <c r="M1465" s="251" t="s">
        <v>33</v>
      </c>
      <c r="N1465" s="252">
        <v>0</v>
      </c>
      <c r="O1465" s="185" t="s">
        <v>51</v>
      </c>
    </row>
    <row r="1466" spans="1:15" x14ac:dyDescent="0.25">
      <c r="A1466" s="234" t="s">
        <v>7923</v>
      </c>
      <c r="B1466" s="234" t="s">
        <v>33</v>
      </c>
      <c r="C1466" s="245">
        <v>46149</v>
      </c>
      <c r="D1466" s="234">
        <v>0</v>
      </c>
      <c r="E1466" s="246">
        <v>42930</v>
      </c>
      <c r="F1466" s="247" t="s">
        <v>7924</v>
      </c>
      <c r="G1466" s="34" t="s">
        <v>7</v>
      </c>
      <c r="H1466" s="234" t="s">
        <v>7925</v>
      </c>
      <c r="I1466" s="248" t="s">
        <v>7</v>
      </c>
      <c r="J1466" s="249" t="s">
        <v>492</v>
      </c>
      <c r="K1466" s="250">
        <v>0</v>
      </c>
      <c r="L1466" s="250">
        <v>0</v>
      </c>
      <c r="M1466" s="251" t="s">
        <v>33</v>
      </c>
      <c r="N1466" s="252">
        <v>0</v>
      </c>
      <c r="O1466" s="185" t="s">
        <v>51</v>
      </c>
    </row>
    <row r="1467" spans="1:15" x14ac:dyDescent="0.25">
      <c r="A1467" s="234" t="s">
        <v>7926</v>
      </c>
      <c r="B1467" s="234" t="s">
        <v>17</v>
      </c>
      <c r="C1467" s="245">
        <v>46149</v>
      </c>
      <c r="D1467" s="234">
        <v>0</v>
      </c>
      <c r="E1467" s="246">
        <v>227993</v>
      </c>
      <c r="F1467" s="247">
        <v>0</v>
      </c>
      <c r="G1467" s="34" t="s">
        <v>7</v>
      </c>
      <c r="H1467" s="234" t="s">
        <v>7927</v>
      </c>
      <c r="I1467" s="248" t="s">
        <v>7</v>
      </c>
      <c r="J1467" s="249" t="s">
        <v>492</v>
      </c>
      <c r="K1467" s="250">
        <v>0</v>
      </c>
      <c r="L1467" s="250">
        <v>0</v>
      </c>
      <c r="M1467" s="251" t="s">
        <v>17</v>
      </c>
      <c r="N1467" s="252">
        <v>0</v>
      </c>
      <c r="O1467" s="185" t="s">
        <v>51</v>
      </c>
    </row>
    <row r="1468" spans="1:15" x14ac:dyDescent="0.25">
      <c r="A1468" s="234" t="s">
        <v>2823</v>
      </c>
      <c r="B1468" s="234" t="s">
        <v>17</v>
      </c>
      <c r="C1468" s="245">
        <v>46149</v>
      </c>
      <c r="D1468" s="234">
        <v>0</v>
      </c>
      <c r="E1468" s="246">
        <v>100759</v>
      </c>
      <c r="F1468" s="247">
        <v>0</v>
      </c>
      <c r="G1468" s="34" t="s">
        <v>7</v>
      </c>
      <c r="H1468" s="234" t="s">
        <v>2824</v>
      </c>
      <c r="I1468" s="248" t="s">
        <v>7</v>
      </c>
      <c r="J1468" s="249" t="s">
        <v>492</v>
      </c>
      <c r="K1468" s="250">
        <v>0</v>
      </c>
      <c r="L1468" s="250">
        <v>0</v>
      </c>
      <c r="M1468" s="251" t="s">
        <v>17</v>
      </c>
      <c r="N1468" s="252">
        <v>0</v>
      </c>
      <c r="O1468" s="185" t="s">
        <v>51</v>
      </c>
    </row>
    <row r="1469" spans="1:15" x14ac:dyDescent="0.25">
      <c r="A1469" s="234" t="s">
        <v>4428</v>
      </c>
      <c r="B1469" s="234" t="s">
        <v>17</v>
      </c>
      <c r="C1469" s="245">
        <v>46149</v>
      </c>
      <c r="D1469" s="234">
        <v>0</v>
      </c>
      <c r="E1469" s="246">
        <v>108939</v>
      </c>
      <c r="F1469" s="247">
        <v>0</v>
      </c>
      <c r="G1469" s="34" t="s">
        <v>7</v>
      </c>
      <c r="H1469" s="234" t="s">
        <v>4429</v>
      </c>
      <c r="I1469" s="248" t="s">
        <v>7</v>
      </c>
      <c r="J1469" s="249" t="s">
        <v>492</v>
      </c>
      <c r="K1469" s="250">
        <v>0</v>
      </c>
      <c r="L1469" s="250">
        <v>0</v>
      </c>
      <c r="M1469" s="251" t="s">
        <v>17</v>
      </c>
      <c r="N1469" s="252">
        <v>0</v>
      </c>
      <c r="O1469" s="185" t="s">
        <v>51</v>
      </c>
    </row>
    <row r="1470" spans="1:15" x14ac:dyDescent="0.25">
      <c r="A1470" s="234" t="s">
        <v>7697</v>
      </c>
      <c r="B1470" s="234" t="s">
        <v>17</v>
      </c>
      <c r="C1470" s="245">
        <v>46149</v>
      </c>
      <c r="D1470" s="234">
        <v>0</v>
      </c>
      <c r="E1470" s="246">
        <v>590000</v>
      </c>
      <c r="F1470" s="247">
        <v>0</v>
      </c>
      <c r="G1470" s="34" t="s">
        <v>7</v>
      </c>
      <c r="H1470" s="234" t="s">
        <v>7698</v>
      </c>
      <c r="I1470" s="248" t="s">
        <v>7</v>
      </c>
      <c r="J1470" s="249" t="s">
        <v>492</v>
      </c>
      <c r="K1470" s="250">
        <v>0</v>
      </c>
      <c r="L1470" s="250">
        <v>0</v>
      </c>
      <c r="M1470" s="251" t="s">
        <v>17</v>
      </c>
      <c r="N1470" s="252">
        <v>0</v>
      </c>
      <c r="O1470" s="185" t="s">
        <v>51</v>
      </c>
    </row>
    <row r="1471" spans="1:15" x14ac:dyDescent="0.25">
      <c r="A1471" s="234" t="s">
        <v>4277</v>
      </c>
      <c r="B1471" s="234" t="s">
        <v>17</v>
      </c>
      <c r="C1471" s="245">
        <v>46149</v>
      </c>
      <c r="D1471" s="234">
        <v>0</v>
      </c>
      <c r="E1471" s="246">
        <v>33000</v>
      </c>
      <c r="F1471" s="247">
        <v>0</v>
      </c>
      <c r="G1471" s="34" t="s">
        <v>7</v>
      </c>
      <c r="H1471" s="234" t="s">
        <v>4279</v>
      </c>
      <c r="I1471" s="248" t="s">
        <v>7</v>
      </c>
      <c r="J1471" s="249" t="s">
        <v>492</v>
      </c>
      <c r="K1471" s="250">
        <v>0</v>
      </c>
      <c r="L1471" s="250">
        <v>0</v>
      </c>
      <c r="M1471" s="251" t="s">
        <v>17</v>
      </c>
      <c r="N1471" s="252">
        <v>0</v>
      </c>
      <c r="O1471" s="185" t="s">
        <v>51</v>
      </c>
    </row>
    <row r="1472" spans="1:15" x14ac:dyDescent="0.25">
      <c r="A1472" s="234" t="s">
        <v>2795</v>
      </c>
      <c r="B1472" s="234" t="s">
        <v>17</v>
      </c>
      <c r="C1472" s="245">
        <v>46149</v>
      </c>
      <c r="D1472" s="234">
        <v>0</v>
      </c>
      <c r="E1472" s="246">
        <v>100674</v>
      </c>
      <c r="F1472" s="247">
        <v>0</v>
      </c>
      <c r="G1472" s="34" t="s">
        <v>7</v>
      </c>
      <c r="H1472" s="234" t="s">
        <v>2796</v>
      </c>
      <c r="I1472" s="248" t="s">
        <v>7</v>
      </c>
      <c r="J1472" s="249" t="s">
        <v>492</v>
      </c>
      <c r="K1472" s="250">
        <v>0</v>
      </c>
      <c r="L1472" s="250">
        <v>0</v>
      </c>
      <c r="M1472" s="251" t="s">
        <v>17</v>
      </c>
      <c r="N1472" s="252">
        <v>0</v>
      </c>
      <c r="O1472" s="185" t="s">
        <v>51</v>
      </c>
    </row>
    <row r="1473" spans="1:15" x14ac:dyDescent="0.25">
      <c r="A1473" s="234" t="s">
        <v>7928</v>
      </c>
      <c r="B1473" s="234" t="s">
        <v>17</v>
      </c>
      <c r="C1473" s="245">
        <v>46149</v>
      </c>
      <c r="D1473" s="234">
        <v>0</v>
      </c>
      <c r="E1473" s="246">
        <v>134246</v>
      </c>
      <c r="F1473" s="247">
        <v>0</v>
      </c>
      <c r="G1473" s="34" t="s">
        <v>7</v>
      </c>
      <c r="H1473" s="234" t="s">
        <v>7929</v>
      </c>
      <c r="I1473" s="248" t="s">
        <v>7</v>
      </c>
      <c r="J1473" s="249" t="s">
        <v>492</v>
      </c>
      <c r="K1473" s="250">
        <v>0</v>
      </c>
      <c r="L1473" s="250">
        <v>0</v>
      </c>
      <c r="M1473" s="251" t="s">
        <v>17</v>
      </c>
      <c r="N1473" s="252">
        <v>0</v>
      </c>
      <c r="O1473" s="185" t="s">
        <v>51</v>
      </c>
    </row>
    <row r="1474" spans="1:15" x14ac:dyDescent="0.25">
      <c r="A1474" s="234" t="s">
        <v>7930</v>
      </c>
      <c r="B1474" s="234" t="s">
        <v>17</v>
      </c>
      <c r="C1474" s="245">
        <v>46149</v>
      </c>
      <c r="D1474" s="234">
        <v>0</v>
      </c>
      <c r="E1474" s="246">
        <v>15940</v>
      </c>
      <c r="F1474" s="247">
        <v>0</v>
      </c>
      <c r="G1474" s="34" t="s">
        <v>7</v>
      </c>
      <c r="H1474" s="234" t="s">
        <v>7931</v>
      </c>
      <c r="I1474" s="248" t="s">
        <v>7</v>
      </c>
      <c r="J1474" s="249" t="s">
        <v>492</v>
      </c>
      <c r="K1474" s="250">
        <v>0</v>
      </c>
      <c r="L1474" s="250">
        <v>0</v>
      </c>
      <c r="M1474" s="251" t="s">
        <v>17</v>
      </c>
      <c r="N1474" s="252">
        <v>0</v>
      </c>
      <c r="O1474" s="185" t="s">
        <v>51</v>
      </c>
    </row>
    <row r="1475" spans="1:15" x14ac:dyDescent="0.25">
      <c r="A1475" s="234" t="s">
        <v>3090</v>
      </c>
      <c r="B1475" s="234" t="s">
        <v>26</v>
      </c>
      <c r="C1475" s="245">
        <v>46149</v>
      </c>
      <c r="D1475" s="234">
        <v>0</v>
      </c>
      <c r="E1475" s="246">
        <v>129560</v>
      </c>
      <c r="F1475" s="247" t="s">
        <v>3089</v>
      </c>
      <c r="G1475" s="34" t="s">
        <v>7</v>
      </c>
      <c r="H1475" s="234" t="s">
        <v>3091</v>
      </c>
      <c r="I1475" s="248" t="s">
        <v>7</v>
      </c>
      <c r="J1475" s="249" t="s">
        <v>582</v>
      </c>
      <c r="K1475" s="250">
        <v>129560</v>
      </c>
      <c r="L1475" s="250">
        <v>0</v>
      </c>
      <c r="M1475" s="251" t="s">
        <v>26</v>
      </c>
      <c r="N1475" s="252">
        <v>0</v>
      </c>
      <c r="O1475" s="185" t="s">
        <v>51</v>
      </c>
    </row>
    <row r="1476" spans="1:15" x14ac:dyDescent="0.25">
      <c r="A1476" s="234" t="s">
        <v>5479</v>
      </c>
      <c r="B1476" s="234" t="s">
        <v>26</v>
      </c>
      <c r="C1476" s="245">
        <v>46149</v>
      </c>
      <c r="D1476" s="234">
        <v>0</v>
      </c>
      <c r="E1476" s="246">
        <v>187300</v>
      </c>
      <c r="F1476" s="247" t="s">
        <v>5478</v>
      </c>
      <c r="G1476" s="34" t="s">
        <v>7</v>
      </c>
      <c r="H1476" s="234" t="s">
        <v>5480</v>
      </c>
      <c r="I1476" s="248" t="s">
        <v>7</v>
      </c>
      <c r="J1476" s="249" t="s">
        <v>582</v>
      </c>
      <c r="K1476" s="250">
        <v>187300</v>
      </c>
      <c r="L1476" s="250">
        <v>0</v>
      </c>
      <c r="M1476" s="251" t="s">
        <v>26</v>
      </c>
      <c r="N1476" s="252">
        <v>0</v>
      </c>
      <c r="O1476" s="185" t="s">
        <v>51</v>
      </c>
    </row>
    <row r="1477" spans="1:15" x14ac:dyDescent="0.25">
      <c r="A1477" s="234" t="s">
        <v>3077</v>
      </c>
      <c r="B1477" s="234" t="s">
        <v>26</v>
      </c>
      <c r="C1477" s="245">
        <v>46149</v>
      </c>
      <c r="D1477" s="234">
        <v>0</v>
      </c>
      <c r="E1477" s="246">
        <v>109000</v>
      </c>
      <c r="F1477" s="247" t="s">
        <v>3076</v>
      </c>
      <c r="G1477" s="34" t="s">
        <v>7</v>
      </c>
      <c r="H1477" s="234" t="s">
        <v>3078</v>
      </c>
      <c r="I1477" s="248" t="s">
        <v>7</v>
      </c>
      <c r="J1477" s="249" t="s">
        <v>582</v>
      </c>
      <c r="K1477" s="250">
        <v>108966</v>
      </c>
      <c r="L1477" s="250">
        <v>0</v>
      </c>
      <c r="M1477" s="251" t="s">
        <v>26</v>
      </c>
      <c r="N1477" s="252">
        <v>0</v>
      </c>
      <c r="O1477" s="185" t="s">
        <v>51</v>
      </c>
    </row>
    <row r="1478" spans="1:15" x14ac:dyDescent="0.25">
      <c r="A1478" s="234" t="s">
        <v>3011</v>
      </c>
      <c r="B1478" s="234" t="s">
        <v>26</v>
      </c>
      <c r="C1478" s="245">
        <v>46149</v>
      </c>
      <c r="D1478" s="234">
        <v>0</v>
      </c>
      <c r="E1478" s="246">
        <v>57000</v>
      </c>
      <c r="F1478" s="247" t="s">
        <v>3010</v>
      </c>
      <c r="G1478" s="34" t="s">
        <v>7</v>
      </c>
      <c r="H1478" s="234" t="s">
        <v>3012</v>
      </c>
      <c r="I1478" s="248" t="s">
        <v>7</v>
      </c>
      <c r="J1478" s="249" t="s">
        <v>582</v>
      </c>
      <c r="K1478" s="250">
        <v>56500</v>
      </c>
      <c r="L1478" s="250">
        <v>0</v>
      </c>
      <c r="M1478" s="251" t="s">
        <v>26</v>
      </c>
      <c r="N1478" s="252">
        <v>0</v>
      </c>
      <c r="O1478" s="185" t="s">
        <v>51</v>
      </c>
    </row>
    <row r="1479" spans="1:15" x14ac:dyDescent="0.25">
      <c r="A1479" s="234" t="s">
        <v>3056</v>
      </c>
      <c r="B1479" s="234" t="s">
        <v>26</v>
      </c>
      <c r="C1479" s="245">
        <v>46149</v>
      </c>
      <c r="D1479" s="234">
        <v>0</v>
      </c>
      <c r="E1479" s="246">
        <v>101600</v>
      </c>
      <c r="F1479" s="247" t="s">
        <v>3055</v>
      </c>
      <c r="G1479" s="34" t="s">
        <v>7</v>
      </c>
      <c r="H1479" s="234" t="s">
        <v>3057</v>
      </c>
      <c r="I1479" s="248" t="s">
        <v>7</v>
      </c>
      <c r="J1479" s="249" t="s">
        <v>582</v>
      </c>
      <c r="K1479" s="250">
        <v>101603.05</v>
      </c>
      <c r="L1479" s="250">
        <v>0</v>
      </c>
      <c r="M1479" s="251" t="s">
        <v>26</v>
      </c>
      <c r="N1479" s="252">
        <v>0</v>
      </c>
      <c r="O1479" s="185" t="s">
        <v>51</v>
      </c>
    </row>
    <row r="1480" spans="1:15" x14ac:dyDescent="0.25">
      <c r="A1480" s="234" t="s">
        <v>3046</v>
      </c>
      <c r="B1480" s="234" t="s">
        <v>26</v>
      </c>
      <c r="C1480" s="245">
        <v>46149</v>
      </c>
      <c r="D1480" s="234">
        <v>0</v>
      </c>
      <c r="E1480" s="246">
        <v>114627</v>
      </c>
      <c r="F1480" s="247" t="s">
        <v>3045</v>
      </c>
      <c r="G1480" s="34" t="s">
        <v>7</v>
      </c>
      <c r="H1480" s="234" t="s">
        <v>3047</v>
      </c>
      <c r="I1480" s="248" t="s">
        <v>7</v>
      </c>
      <c r="J1480" s="249" t="s">
        <v>582</v>
      </c>
      <c r="K1480" s="250">
        <v>31405</v>
      </c>
      <c r="L1480" s="250">
        <v>0</v>
      </c>
      <c r="M1480" s="251" t="s">
        <v>26</v>
      </c>
      <c r="N1480" s="252">
        <v>0</v>
      </c>
      <c r="O1480" s="185" t="s">
        <v>51</v>
      </c>
    </row>
    <row r="1481" spans="1:15" x14ac:dyDescent="0.25">
      <c r="A1481" s="234" t="s">
        <v>3042</v>
      </c>
      <c r="B1481" s="234" t="s">
        <v>26</v>
      </c>
      <c r="C1481" s="245">
        <v>46149</v>
      </c>
      <c r="D1481" s="234">
        <v>0</v>
      </c>
      <c r="E1481" s="246">
        <v>55000</v>
      </c>
      <c r="F1481" s="247" t="s">
        <v>3044</v>
      </c>
      <c r="G1481" s="34" t="s">
        <v>7</v>
      </c>
      <c r="H1481" s="234" t="s">
        <v>3043</v>
      </c>
      <c r="I1481" s="248" t="s">
        <v>7</v>
      </c>
      <c r="J1481" s="249" t="s">
        <v>582</v>
      </c>
      <c r="K1481" s="250">
        <v>54974</v>
      </c>
      <c r="L1481" s="250">
        <v>0</v>
      </c>
      <c r="M1481" s="251" t="s">
        <v>26</v>
      </c>
      <c r="N1481" s="252">
        <v>0</v>
      </c>
      <c r="O1481" s="185" t="s">
        <v>51</v>
      </c>
    </row>
    <row r="1482" spans="1:15" x14ac:dyDescent="0.25">
      <c r="A1482" s="234" t="s">
        <v>3015</v>
      </c>
      <c r="B1482" s="234" t="s">
        <v>26</v>
      </c>
      <c r="C1482" s="245">
        <v>46149</v>
      </c>
      <c r="D1482" s="234">
        <v>0</v>
      </c>
      <c r="E1482" s="246">
        <v>16200</v>
      </c>
      <c r="F1482" s="247" t="s">
        <v>3017</v>
      </c>
      <c r="G1482" s="34" t="s">
        <v>7</v>
      </c>
      <c r="H1482" s="234" t="s">
        <v>3016</v>
      </c>
      <c r="I1482" s="248" t="s">
        <v>7</v>
      </c>
      <c r="J1482" s="249" t="s">
        <v>582</v>
      </c>
      <c r="K1482" s="250">
        <v>16200</v>
      </c>
      <c r="L1482" s="250">
        <v>0</v>
      </c>
      <c r="M1482" s="251" t="s">
        <v>26</v>
      </c>
      <c r="N1482" s="252">
        <v>0</v>
      </c>
      <c r="O1482" s="185" t="s">
        <v>51</v>
      </c>
    </row>
    <row r="1483" spans="1:15" x14ac:dyDescent="0.25">
      <c r="A1483" s="234" t="s">
        <v>3015</v>
      </c>
      <c r="B1483" s="234" t="s">
        <v>26</v>
      </c>
      <c r="C1483" s="245">
        <v>46149</v>
      </c>
      <c r="D1483" s="234">
        <v>0</v>
      </c>
      <c r="E1483" s="246">
        <v>100000</v>
      </c>
      <c r="F1483" s="247" t="s">
        <v>3014</v>
      </c>
      <c r="G1483" s="34" t="s">
        <v>7</v>
      </c>
      <c r="H1483" s="234" t="s">
        <v>3016</v>
      </c>
      <c r="I1483" s="248" t="s">
        <v>7</v>
      </c>
      <c r="J1483" s="249" t="s">
        <v>582</v>
      </c>
      <c r="K1483" s="250">
        <v>100000</v>
      </c>
      <c r="L1483" s="250">
        <v>0</v>
      </c>
      <c r="M1483" s="251" t="s">
        <v>26</v>
      </c>
      <c r="N1483" s="252">
        <v>0</v>
      </c>
      <c r="O1483" s="185" t="s">
        <v>51</v>
      </c>
    </row>
    <row r="1484" spans="1:15" x14ac:dyDescent="0.25">
      <c r="A1484" s="234" t="s">
        <v>5486</v>
      </c>
      <c r="B1484" s="234" t="s">
        <v>26</v>
      </c>
      <c r="C1484" s="245">
        <v>46149</v>
      </c>
      <c r="D1484" s="234">
        <v>0</v>
      </c>
      <c r="E1484" s="246">
        <v>58400</v>
      </c>
      <c r="F1484" s="247" t="s">
        <v>5488</v>
      </c>
      <c r="G1484" s="34" t="s">
        <v>7</v>
      </c>
      <c r="H1484" s="234" t="s">
        <v>5487</v>
      </c>
      <c r="I1484" s="248" t="s">
        <v>7</v>
      </c>
      <c r="J1484" s="249" t="s">
        <v>554</v>
      </c>
      <c r="K1484" s="250">
        <v>58343</v>
      </c>
      <c r="L1484" s="250">
        <v>0</v>
      </c>
      <c r="M1484" s="251" t="s">
        <v>26</v>
      </c>
      <c r="N1484" s="252">
        <v>0</v>
      </c>
      <c r="O1484" s="185" t="s">
        <v>51</v>
      </c>
    </row>
    <row r="1485" spans="1:15" x14ac:dyDescent="0.25">
      <c r="A1485" s="234" t="s">
        <v>3093</v>
      </c>
      <c r="B1485" s="234" t="s">
        <v>26</v>
      </c>
      <c r="C1485" s="245">
        <v>46149</v>
      </c>
      <c r="D1485" s="234">
        <v>0</v>
      </c>
      <c r="E1485" s="246">
        <v>36700</v>
      </c>
      <c r="F1485" s="247" t="s">
        <v>3092</v>
      </c>
      <c r="G1485" s="34" t="s">
        <v>7</v>
      </c>
      <c r="H1485" s="234" t="s">
        <v>3094</v>
      </c>
      <c r="I1485" s="248" t="s">
        <v>7</v>
      </c>
      <c r="J1485" s="249" t="s">
        <v>582</v>
      </c>
      <c r="K1485" s="250">
        <v>36724</v>
      </c>
      <c r="L1485" s="250">
        <v>0</v>
      </c>
      <c r="M1485" s="251" t="s">
        <v>26</v>
      </c>
      <c r="N1485" s="252">
        <v>0</v>
      </c>
      <c r="O1485" s="185" t="s">
        <v>51</v>
      </c>
    </row>
    <row r="1486" spans="1:15" x14ac:dyDescent="0.25">
      <c r="A1486" s="234" t="s">
        <v>3083</v>
      </c>
      <c r="B1486" s="234" t="s">
        <v>26</v>
      </c>
      <c r="C1486" s="245">
        <v>46149</v>
      </c>
      <c r="D1486" s="234">
        <v>0</v>
      </c>
      <c r="E1486" s="246">
        <v>14000</v>
      </c>
      <c r="F1486" s="247" t="s">
        <v>3082</v>
      </c>
      <c r="G1486" s="34" t="s">
        <v>7</v>
      </c>
      <c r="H1486" s="234" t="s">
        <v>3084</v>
      </c>
      <c r="I1486" s="248" t="s">
        <v>7</v>
      </c>
      <c r="J1486" s="249" t="s">
        <v>582</v>
      </c>
      <c r="K1486" s="250">
        <v>14000</v>
      </c>
      <c r="L1486" s="250">
        <v>0</v>
      </c>
      <c r="M1486" s="251" t="s">
        <v>26</v>
      </c>
      <c r="N1486" s="252">
        <v>0</v>
      </c>
      <c r="O1486" s="185" t="s">
        <v>51</v>
      </c>
    </row>
    <row r="1487" spans="1:15" x14ac:dyDescent="0.25">
      <c r="A1487" s="234" t="s">
        <v>3083</v>
      </c>
      <c r="B1487" s="234" t="s">
        <v>26</v>
      </c>
      <c r="C1487" s="245">
        <v>46149</v>
      </c>
      <c r="D1487" s="234">
        <v>0</v>
      </c>
      <c r="E1487" s="246">
        <v>17500</v>
      </c>
      <c r="F1487" s="247" t="s">
        <v>3085</v>
      </c>
      <c r="G1487" s="34" t="s">
        <v>7</v>
      </c>
      <c r="H1487" s="234" t="s">
        <v>3084</v>
      </c>
      <c r="I1487" s="248" t="s">
        <v>7</v>
      </c>
      <c r="J1487" s="249" t="s">
        <v>582</v>
      </c>
      <c r="K1487" s="250">
        <v>17500</v>
      </c>
      <c r="L1487" s="250">
        <v>0</v>
      </c>
      <c r="M1487" s="251" t="s">
        <v>26</v>
      </c>
      <c r="N1487" s="252">
        <v>0</v>
      </c>
      <c r="O1487" s="185" t="s">
        <v>51</v>
      </c>
    </row>
    <row r="1488" spans="1:15" x14ac:dyDescent="0.25">
      <c r="A1488" s="234" t="s">
        <v>3083</v>
      </c>
      <c r="B1488" s="234" t="s">
        <v>26</v>
      </c>
      <c r="C1488" s="245">
        <v>46149</v>
      </c>
      <c r="D1488" s="234">
        <v>0</v>
      </c>
      <c r="E1488" s="246">
        <v>38000</v>
      </c>
      <c r="F1488" s="247" t="s">
        <v>3086</v>
      </c>
      <c r="G1488" s="34" t="s">
        <v>7</v>
      </c>
      <c r="H1488" s="234" t="s">
        <v>3084</v>
      </c>
      <c r="I1488" s="248" t="s">
        <v>7</v>
      </c>
      <c r="J1488" s="249" t="s">
        <v>582</v>
      </c>
      <c r="K1488" s="250">
        <v>38000</v>
      </c>
      <c r="L1488" s="250">
        <v>0</v>
      </c>
      <c r="M1488" s="251" t="s">
        <v>26</v>
      </c>
      <c r="N1488" s="252">
        <v>0</v>
      </c>
      <c r="O1488" s="185" t="s">
        <v>51</v>
      </c>
    </row>
    <row r="1489" spans="1:15" x14ac:dyDescent="0.25">
      <c r="A1489" s="234" t="s">
        <v>3083</v>
      </c>
      <c r="B1489" s="234" t="s">
        <v>26</v>
      </c>
      <c r="C1489" s="245">
        <v>46149</v>
      </c>
      <c r="D1489" s="234">
        <v>0</v>
      </c>
      <c r="E1489" s="246">
        <v>17000</v>
      </c>
      <c r="F1489" s="247" t="s">
        <v>3087</v>
      </c>
      <c r="G1489" s="34" t="s">
        <v>7</v>
      </c>
      <c r="H1489" s="234" t="s">
        <v>3084</v>
      </c>
      <c r="I1489" s="248" t="s">
        <v>7</v>
      </c>
      <c r="J1489" s="249" t="s">
        <v>582</v>
      </c>
      <c r="K1489" s="250">
        <v>17000</v>
      </c>
      <c r="L1489" s="250">
        <v>0</v>
      </c>
      <c r="M1489" s="251" t="s">
        <v>26</v>
      </c>
      <c r="N1489" s="252">
        <v>0</v>
      </c>
      <c r="O1489" s="185" t="s">
        <v>51</v>
      </c>
    </row>
    <row r="1490" spans="1:15" x14ac:dyDescent="0.25">
      <c r="A1490" s="234" t="s">
        <v>3083</v>
      </c>
      <c r="B1490" s="234" t="s">
        <v>26</v>
      </c>
      <c r="C1490" s="245">
        <v>46149</v>
      </c>
      <c r="D1490" s="234">
        <v>0</v>
      </c>
      <c r="E1490" s="246">
        <v>31000</v>
      </c>
      <c r="F1490" s="247" t="s">
        <v>3088</v>
      </c>
      <c r="G1490" s="34" t="s">
        <v>7</v>
      </c>
      <c r="H1490" s="234" t="s">
        <v>3084</v>
      </c>
      <c r="I1490" s="248" t="s">
        <v>7</v>
      </c>
      <c r="J1490" s="249" t="s">
        <v>582</v>
      </c>
      <c r="K1490" s="250">
        <v>31000</v>
      </c>
      <c r="L1490" s="250">
        <v>0</v>
      </c>
      <c r="M1490" s="251" t="s">
        <v>26</v>
      </c>
      <c r="N1490" s="252">
        <v>0</v>
      </c>
      <c r="O1490" s="185" t="s">
        <v>51</v>
      </c>
    </row>
    <row r="1491" spans="1:15" x14ac:dyDescent="0.25">
      <c r="A1491" s="234" t="s">
        <v>3039</v>
      </c>
      <c r="B1491" s="234" t="s">
        <v>26</v>
      </c>
      <c r="C1491" s="245">
        <v>46149</v>
      </c>
      <c r="D1491" s="234">
        <v>0</v>
      </c>
      <c r="E1491" s="246">
        <v>104700</v>
      </c>
      <c r="F1491" s="247" t="s">
        <v>3038</v>
      </c>
      <c r="G1491" s="34" t="s">
        <v>7</v>
      </c>
      <c r="H1491" s="234" t="s">
        <v>3040</v>
      </c>
      <c r="I1491" s="248" t="s">
        <v>7</v>
      </c>
      <c r="J1491" s="249" t="s">
        <v>582</v>
      </c>
      <c r="K1491" s="250">
        <v>104070</v>
      </c>
      <c r="L1491" s="250">
        <v>0</v>
      </c>
      <c r="M1491" s="251" t="s">
        <v>26</v>
      </c>
      <c r="N1491" s="252">
        <v>0</v>
      </c>
      <c r="O1491" s="185" t="s">
        <v>51</v>
      </c>
    </row>
    <row r="1492" spans="1:15" x14ac:dyDescent="0.25">
      <c r="A1492" s="234" t="s">
        <v>2383</v>
      </c>
      <c r="B1492" s="234" t="s">
        <v>26</v>
      </c>
      <c r="C1492" s="245">
        <v>46149</v>
      </c>
      <c r="D1492" s="234">
        <v>0</v>
      </c>
      <c r="E1492" s="246">
        <v>706500</v>
      </c>
      <c r="F1492" s="247" t="s">
        <v>2382</v>
      </c>
      <c r="G1492" s="34" t="s">
        <v>7</v>
      </c>
      <c r="H1492" s="234" t="s">
        <v>2384</v>
      </c>
      <c r="I1492" s="248" t="s">
        <v>7</v>
      </c>
      <c r="J1492" s="249" t="s">
        <v>582</v>
      </c>
      <c r="K1492" s="250">
        <v>706474</v>
      </c>
      <c r="L1492" s="250">
        <v>0</v>
      </c>
      <c r="M1492" s="251" t="s">
        <v>26</v>
      </c>
      <c r="N1492" s="252">
        <v>0</v>
      </c>
      <c r="O1492" s="185" t="s">
        <v>51</v>
      </c>
    </row>
    <row r="1493" spans="1:15" x14ac:dyDescent="0.25">
      <c r="A1493" s="234" t="s">
        <v>2462</v>
      </c>
      <c r="B1493" s="234" t="s">
        <v>26</v>
      </c>
      <c r="C1493" s="245">
        <v>46149</v>
      </c>
      <c r="D1493" s="234">
        <v>0</v>
      </c>
      <c r="E1493" s="246">
        <v>550000</v>
      </c>
      <c r="F1493" s="247" t="s">
        <v>2461</v>
      </c>
      <c r="G1493" s="34" t="s">
        <v>7</v>
      </c>
      <c r="H1493" s="234" t="s">
        <v>2463</v>
      </c>
      <c r="I1493" s="248" t="s">
        <v>7</v>
      </c>
      <c r="J1493" s="249" t="s">
        <v>582</v>
      </c>
      <c r="K1493" s="250">
        <v>550000</v>
      </c>
      <c r="L1493" s="250">
        <v>0</v>
      </c>
      <c r="M1493" s="251" t="s">
        <v>26</v>
      </c>
      <c r="N1493" s="252">
        <v>0</v>
      </c>
      <c r="O1493" s="185" t="s">
        <v>51</v>
      </c>
    </row>
    <row r="1494" spans="1:15" x14ac:dyDescent="0.25">
      <c r="A1494" s="234" t="s">
        <v>3019</v>
      </c>
      <c r="B1494" s="234" t="s">
        <v>26</v>
      </c>
      <c r="C1494" s="245">
        <v>46149</v>
      </c>
      <c r="D1494" s="234">
        <v>0</v>
      </c>
      <c r="E1494" s="246">
        <v>25000</v>
      </c>
      <c r="F1494" s="247" t="s">
        <v>3023</v>
      </c>
      <c r="G1494" s="34" t="s">
        <v>7</v>
      </c>
      <c r="H1494" s="234" t="s">
        <v>3020</v>
      </c>
      <c r="I1494" s="248" t="s">
        <v>7</v>
      </c>
      <c r="J1494" s="249" t="s">
        <v>554</v>
      </c>
      <c r="K1494" s="250">
        <v>25000</v>
      </c>
      <c r="L1494" s="250">
        <v>0</v>
      </c>
      <c r="M1494" s="251" t="s">
        <v>26</v>
      </c>
      <c r="N1494" s="252">
        <v>0</v>
      </c>
      <c r="O1494" s="185" t="s">
        <v>51</v>
      </c>
    </row>
    <row r="1495" spans="1:15" x14ac:dyDescent="0.25">
      <c r="A1495" s="234" t="s">
        <v>3062</v>
      </c>
      <c r="B1495" s="234" t="s">
        <v>26</v>
      </c>
      <c r="C1495" s="245">
        <v>46149</v>
      </c>
      <c r="D1495" s="234">
        <v>0</v>
      </c>
      <c r="E1495" s="246">
        <v>129500</v>
      </c>
      <c r="F1495" s="247" t="s">
        <v>3061</v>
      </c>
      <c r="G1495" s="34" t="s">
        <v>7</v>
      </c>
      <c r="H1495" s="234" t="s">
        <v>3064</v>
      </c>
      <c r="I1495" s="248" t="s">
        <v>7</v>
      </c>
      <c r="J1495" s="249" t="s">
        <v>554</v>
      </c>
      <c r="K1495" s="250">
        <v>125900</v>
      </c>
      <c r="L1495" s="250">
        <v>0</v>
      </c>
      <c r="M1495" s="251" t="s">
        <v>26</v>
      </c>
      <c r="N1495" s="252">
        <v>0</v>
      </c>
      <c r="O1495" s="185" t="s">
        <v>51</v>
      </c>
    </row>
    <row r="1496" spans="1:15" x14ac:dyDescent="0.25">
      <c r="A1496" s="234" t="s">
        <v>3059</v>
      </c>
      <c r="B1496" s="234" t="s">
        <v>26</v>
      </c>
      <c r="C1496" s="245">
        <v>46149</v>
      </c>
      <c r="D1496" s="234">
        <v>0</v>
      </c>
      <c r="E1496" s="246">
        <v>46160</v>
      </c>
      <c r="F1496" s="247" t="s">
        <v>3058</v>
      </c>
      <c r="G1496" s="34" t="s">
        <v>7</v>
      </c>
      <c r="H1496" s="234" t="s">
        <v>3060</v>
      </c>
      <c r="I1496" s="248" t="s">
        <v>7</v>
      </c>
      <c r="J1496" s="249" t="s">
        <v>554</v>
      </c>
      <c r="K1496" s="250">
        <v>46160</v>
      </c>
      <c r="L1496" s="250">
        <v>0</v>
      </c>
      <c r="M1496" s="251" t="s">
        <v>26</v>
      </c>
      <c r="N1496" s="252">
        <v>0</v>
      </c>
      <c r="O1496" s="185" t="s">
        <v>51</v>
      </c>
    </row>
    <row r="1497" spans="1:15" x14ac:dyDescent="0.25">
      <c r="A1497" s="234" t="s">
        <v>3029</v>
      </c>
      <c r="B1497" s="234" t="s">
        <v>26</v>
      </c>
      <c r="C1497" s="245">
        <v>46149</v>
      </c>
      <c r="D1497" s="234">
        <v>0</v>
      </c>
      <c r="E1497" s="246">
        <v>11000</v>
      </c>
      <c r="F1497" s="247" t="s">
        <v>3028</v>
      </c>
      <c r="G1497" s="34" t="s">
        <v>7</v>
      </c>
      <c r="H1497" s="234" t="s">
        <v>3030</v>
      </c>
      <c r="I1497" s="248" t="s">
        <v>7</v>
      </c>
      <c r="J1497" s="249" t="s">
        <v>554</v>
      </c>
      <c r="K1497" s="250">
        <v>11000</v>
      </c>
      <c r="L1497" s="250">
        <v>0</v>
      </c>
      <c r="M1497" s="251" t="s">
        <v>26</v>
      </c>
      <c r="N1497" s="252">
        <v>0</v>
      </c>
      <c r="O1497" s="185" t="s">
        <v>51</v>
      </c>
    </row>
    <row r="1498" spans="1:15" x14ac:dyDescent="0.25">
      <c r="A1498" s="234" t="s">
        <v>3069</v>
      </c>
      <c r="B1498" s="234" t="s">
        <v>26</v>
      </c>
      <c r="C1498" s="245">
        <v>46149</v>
      </c>
      <c r="D1498" s="234">
        <v>0</v>
      </c>
      <c r="E1498" s="246">
        <v>104000</v>
      </c>
      <c r="F1498" s="247" t="s">
        <v>3071</v>
      </c>
      <c r="G1498" s="34" t="s">
        <v>7</v>
      </c>
      <c r="H1498" s="234" t="s">
        <v>3070</v>
      </c>
      <c r="I1498" s="248" t="s">
        <v>7</v>
      </c>
      <c r="J1498" s="249" t="s">
        <v>582</v>
      </c>
      <c r="K1498" s="250">
        <v>104047.72</v>
      </c>
      <c r="L1498" s="250">
        <v>0</v>
      </c>
      <c r="M1498" s="251" t="s">
        <v>26</v>
      </c>
      <c r="N1498" s="252">
        <v>0</v>
      </c>
      <c r="O1498" s="185" t="s">
        <v>51</v>
      </c>
    </row>
    <row r="1499" spans="1:15" x14ac:dyDescent="0.25">
      <c r="A1499" s="234" t="s">
        <v>3096</v>
      </c>
      <c r="B1499" s="234" t="s">
        <v>26</v>
      </c>
      <c r="C1499" s="245">
        <v>46149</v>
      </c>
      <c r="D1499" s="234">
        <v>0</v>
      </c>
      <c r="E1499" s="246">
        <v>11500</v>
      </c>
      <c r="F1499" s="247" t="s">
        <v>3095</v>
      </c>
      <c r="G1499" s="34" t="s">
        <v>7</v>
      </c>
      <c r="H1499" s="234" t="s">
        <v>3097</v>
      </c>
      <c r="I1499" s="248" t="s">
        <v>7</v>
      </c>
      <c r="J1499" s="249" t="s">
        <v>554</v>
      </c>
      <c r="K1499" s="250">
        <v>11573</v>
      </c>
      <c r="L1499" s="250">
        <v>0</v>
      </c>
      <c r="M1499" s="251" t="s">
        <v>26</v>
      </c>
      <c r="N1499" s="252">
        <v>0</v>
      </c>
      <c r="O1499" s="185" t="s">
        <v>51</v>
      </c>
    </row>
    <row r="1500" spans="1:15" x14ac:dyDescent="0.25">
      <c r="A1500" s="234" t="s">
        <v>3005</v>
      </c>
      <c r="B1500" s="234" t="s">
        <v>26</v>
      </c>
      <c r="C1500" s="245">
        <v>46149</v>
      </c>
      <c r="D1500" s="234">
        <v>0</v>
      </c>
      <c r="E1500" s="246">
        <v>126500</v>
      </c>
      <c r="F1500" s="247" t="s">
        <v>3009</v>
      </c>
      <c r="G1500" s="34" t="s">
        <v>7</v>
      </c>
      <c r="H1500" s="234" t="s">
        <v>3006</v>
      </c>
      <c r="I1500" s="248" t="s">
        <v>7</v>
      </c>
      <c r="J1500" s="249" t="s">
        <v>554</v>
      </c>
      <c r="K1500" s="250">
        <v>126522.49</v>
      </c>
      <c r="L1500" s="250">
        <v>0</v>
      </c>
      <c r="M1500" s="251" t="s">
        <v>26</v>
      </c>
      <c r="N1500" s="252">
        <v>0</v>
      </c>
      <c r="O1500" s="185" t="s">
        <v>51</v>
      </c>
    </row>
    <row r="1501" spans="1:15" x14ac:dyDescent="0.25">
      <c r="A1501" s="234" t="s">
        <v>3080</v>
      </c>
      <c r="B1501" s="234" t="s">
        <v>26</v>
      </c>
      <c r="C1501" s="245">
        <v>46149</v>
      </c>
      <c r="D1501" s="234">
        <v>0</v>
      </c>
      <c r="E1501" s="246">
        <v>100500</v>
      </c>
      <c r="F1501" s="247" t="s">
        <v>3079</v>
      </c>
      <c r="G1501" s="34" t="s">
        <v>7</v>
      </c>
      <c r="H1501" s="234" t="s">
        <v>3081</v>
      </c>
      <c r="I1501" s="248" t="s">
        <v>7</v>
      </c>
      <c r="J1501" s="249" t="s">
        <v>554</v>
      </c>
      <c r="K1501" s="250">
        <v>100529</v>
      </c>
      <c r="L1501" s="250">
        <v>0</v>
      </c>
      <c r="M1501" s="251" t="s">
        <v>26</v>
      </c>
      <c r="N1501" s="252">
        <v>0</v>
      </c>
      <c r="O1501" s="185" t="s">
        <v>51</v>
      </c>
    </row>
    <row r="1502" spans="1:15" x14ac:dyDescent="0.25">
      <c r="A1502" s="234" t="s">
        <v>3019</v>
      </c>
      <c r="B1502" s="234" t="s">
        <v>26</v>
      </c>
      <c r="C1502" s="245">
        <v>46149</v>
      </c>
      <c r="D1502" s="234">
        <v>0</v>
      </c>
      <c r="E1502" s="246">
        <v>25000</v>
      </c>
      <c r="F1502" s="247" t="s">
        <v>3022</v>
      </c>
      <c r="G1502" s="34" t="s">
        <v>7</v>
      </c>
      <c r="H1502" s="234" t="s">
        <v>3020</v>
      </c>
      <c r="I1502" s="248" t="s">
        <v>7</v>
      </c>
      <c r="J1502" s="249" t="s">
        <v>554</v>
      </c>
      <c r="K1502" s="250">
        <v>25000</v>
      </c>
      <c r="L1502" s="250">
        <v>0</v>
      </c>
      <c r="M1502" s="251" t="s">
        <v>26</v>
      </c>
      <c r="N1502" s="252">
        <v>0</v>
      </c>
      <c r="O1502" s="185" t="s">
        <v>51</v>
      </c>
    </row>
    <row r="1503" spans="1:15" x14ac:dyDescent="0.25">
      <c r="A1503" s="234" t="s">
        <v>3032</v>
      </c>
      <c r="B1503" s="234" t="s">
        <v>26</v>
      </c>
      <c r="C1503" s="245">
        <v>46149</v>
      </c>
      <c r="D1503" s="234">
        <v>0</v>
      </c>
      <c r="E1503" s="246">
        <v>25000</v>
      </c>
      <c r="F1503" s="247" t="s">
        <v>3035</v>
      </c>
      <c r="G1503" s="34" t="s">
        <v>7</v>
      </c>
      <c r="H1503" s="234" t="s">
        <v>3033</v>
      </c>
      <c r="I1503" s="248" t="s">
        <v>7</v>
      </c>
      <c r="J1503" s="249" t="s">
        <v>554</v>
      </c>
      <c r="K1503" s="250">
        <v>25000</v>
      </c>
      <c r="L1503" s="250">
        <v>0</v>
      </c>
      <c r="M1503" s="251" t="s">
        <v>26</v>
      </c>
      <c r="N1503" s="252">
        <v>0</v>
      </c>
      <c r="O1503" s="185" t="s">
        <v>51</v>
      </c>
    </row>
    <row r="1504" spans="1:15" x14ac:dyDescent="0.25">
      <c r="A1504" s="234" t="s">
        <v>3032</v>
      </c>
      <c r="B1504" s="234" t="s">
        <v>26</v>
      </c>
      <c r="C1504" s="245">
        <v>46149</v>
      </c>
      <c r="D1504" s="234">
        <v>0</v>
      </c>
      <c r="E1504" s="246">
        <v>25000</v>
      </c>
      <c r="F1504" s="247" t="s">
        <v>3036</v>
      </c>
      <c r="G1504" s="34" t="s">
        <v>7</v>
      </c>
      <c r="H1504" s="234" t="s">
        <v>3033</v>
      </c>
      <c r="I1504" s="248" t="s">
        <v>7</v>
      </c>
      <c r="J1504" s="249" t="s">
        <v>554</v>
      </c>
      <c r="K1504" s="250">
        <v>25000</v>
      </c>
      <c r="L1504" s="250">
        <v>0</v>
      </c>
      <c r="M1504" s="251" t="s">
        <v>26</v>
      </c>
      <c r="N1504" s="252">
        <v>0</v>
      </c>
      <c r="O1504" s="185" t="s">
        <v>51</v>
      </c>
    </row>
    <row r="1505" spans="1:15" x14ac:dyDescent="0.25">
      <c r="A1505" s="234" t="s">
        <v>3032</v>
      </c>
      <c r="B1505" s="234" t="s">
        <v>26</v>
      </c>
      <c r="C1505" s="245">
        <v>46149</v>
      </c>
      <c r="D1505" s="234">
        <v>0</v>
      </c>
      <c r="E1505" s="246">
        <v>25000</v>
      </c>
      <c r="F1505" s="247" t="s">
        <v>3031</v>
      </c>
      <c r="G1505" s="34" t="s">
        <v>7</v>
      </c>
      <c r="H1505" s="234" t="s">
        <v>3033</v>
      </c>
      <c r="I1505" s="248" t="s">
        <v>7</v>
      </c>
      <c r="J1505" s="249" t="s">
        <v>554</v>
      </c>
      <c r="K1505" s="250">
        <v>25000</v>
      </c>
      <c r="L1505" s="250">
        <v>0</v>
      </c>
      <c r="M1505" s="251" t="s">
        <v>26</v>
      </c>
      <c r="N1505" s="252">
        <v>0</v>
      </c>
      <c r="O1505" s="185" t="s">
        <v>51</v>
      </c>
    </row>
    <row r="1506" spans="1:15" x14ac:dyDescent="0.25">
      <c r="A1506" s="234" t="s">
        <v>3049</v>
      </c>
      <c r="B1506" s="234" t="s">
        <v>26</v>
      </c>
      <c r="C1506" s="245">
        <v>46149</v>
      </c>
      <c r="D1506" s="234">
        <v>0</v>
      </c>
      <c r="E1506" s="246">
        <v>100000</v>
      </c>
      <c r="F1506" s="247" t="s">
        <v>3051</v>
      </c>
      <c r="G1506" s="34" t="s">
        <v>7</v>
      </c>
      <c r="H1506" s="234" t="s">
        <v>3050</v>
      </c>
      <c r="I1506" s="248" t="s">
        <v>7</v>
      </c>
      <c r="J1506" s="249" t="s">
        <v>582</v>
      </c>
      <c r="K1506" s="250">
        <v>100000</v>
      </c>
      <c r="L1506" s="250">
        <v>0</v>
      </c>
      <c r="M1506" s="251" t="s">
        <v>26</v>
      </c>
      <c r="N1506" s="252">
        <v>0</v>
      </c>
      <c r="O1506" s="185" t="s">
        <v>51</v>
      </c>
    </row>
    <row r="1507" spans="1:15" x14ac:dyDescent="0.25">
      <c r="A1507" s="234" t="s">
        <v>3019</v>
      </c>
      <c r="B1507" s="234" t="s">
        <v>26</v>
      </c>
      <c r="C1507" s="245">
        <v>46149</v>
      </c>
      <c r="D1507" s="234">
        <v>0</v>
      </c>
      <c r="E1507" s="246">
        <v>25000</v>
      </c>
      <c r="F1507" s="247" t="s">
        <v>3021</v>
      </c>
      <c r="G1507" s="34" t="s">
        <v>7</v>
      </c>
      <c r="H1507" s="234" t="s">
        <v>3020</v>
      </c>
      <c r="I1507" s="248" t="s">
        <v>7</v>
      </c>
      <c r="J1507" s="249" t="s">
        <v>554</v>
      </c>
      <c r="K1507" s="250">
        <v>25000</v>
      </c>
      <c r="L1507" s="250">
        <v>0</v>
      </c>
      <c r="M1507" s="251" t="s">
        <v>26</v>
      </c>
      <c r="N1507" s="252">
        <v>0</v>
      </c>
      <c r="O1507" s="185" t="s">
        <v>51</v>
      </c>
    </row>
    <row r="1508" spans="1:15" x14ac:dyDescent="0.25">
      <c r="A1508" s="234" t="s">
        <v>5486</v>
      </c>
      <c r="B1508" s="234" t="s">
        <v>26</v>
      </c>
      <c r="C1508" s="245">
        <v>46149</v>
      </c>
      <c r="D1508" s="234">
        <v>0</v>
      </c>
      <c r="E1508" s="246">
        <v>50000</v>
      </c>
      <c r="F1508" s="247" t="s">
        <v>5490</v>
      </c>
      <c r="G1508" s="34" t="s">
        <v>7</v>
      </c>
      <c r="H1508" s="234" t="s">
        <v>5487</v>
      </c>
      <c r="I1508" s="248" t="s">
        <v>7</v>
      </c>
      <c r="J1508" s="249" t="s">
        <v>554</v>
      </c>
      <c r="K1508" s="250">
        <v>50000</v>
      </c>
      <c r="L1508" s="250">
        <v>0</v>
      </c>
      <c r="M1508" s="251" t="s">
        <v>26</v>
      </c>
      <c r="N1508" s="252">
        <v>0</v>
      </c>
      <c r="O1508" s="185" t="s">
        <v>51</v>
      </c>
    </row>
    <row r="1509" spans="1:15" x14ac:dyDescent="0.25">
      <c r="A1509" s="234" t="s">
        <v>3882</v>
      </c>
      <c r="B1509" s="234" t="s">
        <v>9</v>
      </c>
      <c r="C1509" s="245">
        <v>46149</v>
      </c>
      <c r="D1509" s="234" t="s">
        <v>7385</v>
      </c>
      <c r="E1509" s="246">
        <v>110000</v>
      </c>
      <c r="F1509" s="247" t="s">
        <v>3887</v>
      </c>
      <c r="G1509" s="34" t="s">
        <v>7</v>
      </c>
      <c r="H1509" s="234" t="s">
        <v>3883</v>
      </c>
      <c r="I1509" s="248" t="s">
        <v>7</v>
      </c>
      <c r="J1509" s="249" t="s">
        <v>554</v>
      </c>
      <c r="K1509" s="250">
        <v>110000</v>
      </c>
      <c r="L1509" s="250">
        <v>0</v>
      </c>
      <c r="M1509" s="251" t="s">
        <v>9</v>
      </c>
      <c r="N1509" s="252">
        <v>0</v>
      </c>
      <c r="O1509" s="185" t="s">
        <v>74</v>
      </c>
    </row>
    <row r="1510" spans="1:15" x14ac:dyDescent="0.25">
      <c r="A1510" s="234" t="s">
        <v>3882</v>
      </c>
      <c r="B1510" s="234" t="s">
        <v>9</v>
      </c>
      <c r="C1510" s="245">
        <v>46149</v>
      </c>
      <c r="D1510" s="234" t="s">
        <v>7385</v>
      </c>
      <c r="E1510" s="246">
        <v>10000</v>
      </c>
      <c r="F1510" s="247" t="s">
        <v>3886</v>
      </c>
      <c r="G1510" s="34" t="s">
        <v>7</v>
      </c>
      <c r="H1510" s="234" t="s">
        <v>3883</v>
      </c>
      <c r="I1510" s="248" t="s">
        <v>7</v>
      </c>
      <c r="J1510" s="249" t="s">
        <v>554</v>
      </c>
      <c r="K1510" s="250">
        <v>15000</v>
      </c>
      <c r="L1510" s="250">
        <v>0</v>
      </c>
      <c r="M1510" s="251" t="s">
        <v>9</v>
      </c>
      <c r="N1510" s="252">
        <v>0</v>
      </c>
      <c r="O1510" s="185" t="s">
        <v>74</v>
      </c>
    </row>
    <row r="1511" spans="1:15" x14ac:dyDescent="0.25">
      <c r="A1511" s="234" t="s">
        <v>3964</v>
      </c>
      <c r="B1511" s="234" t="s">
        <v>9</v>
      </c>
      <c r="C1511" s="245">
        <v>46149</v>
      </c>
      <c r="D1511" s="234" t="s">
        <v>7289</v>
      </c>
      <c r="E1511" s="246">
        <v>154062.20000000001</v>
      </c>
      <c r="F1511" s="247" t="s">
        <v>3963</v>
      </c>
      <c r="G1511" s="34" t="s">
        <v>7</v>
      </c>
      <c r="H1511" s="234" t="s">
        <v>3965</v>
      </c>
      <c r="I1511" s="248" t="s">
        <v>7</v>
      </c>
      <c r="J1511" s="249" t="s">
        <v>582</v>
      </c>
      <c r="K1511" s="250">
        <v>154063</v>
      </c>
      <c r="L1511" s="250">
        <v>0</v>
      </c>
      <c r="M1511" s="251" t="s">
        <v>9</v>
      </c>
      <c r="N1511" s="252">
        <v>0</v>
      </c>
      <c r="O1511" s="185" t="s">
        <v>74</v>
      </c>
    </row>
    <row r="1512" spans="1:15" x14ac:dyDescent="0.25">
      <c r="A1512" s="234" t="s">
        <v>5202</v>
      </c>
      <c r="B1512" s="234" t="s">
        <v>9</v>
      </c>
      <c r="C1512" s="245">
        <v>46149</v>
      </c>
      <c r="D1512" s="234" t="s">
        <v>7289</v>
      </c>
      <c r="E1512" s="246">
        <v>158706.73000000001</v>
      </c>
      <c r="F1512" s="247" t="s">
        <v>5205</v>
      </c>
      <c r="G1512" s="34" t="s">
        <v>7</v>
      </c>
      <c r="H1512" s="234" t="s">
        <v>5204</v>
      </c>
      <c r="I1512" s="248" t="s">
        <v>7</v>
      </c>
      <c r="J1512" s="249" t="s">
        <v>582</v>
      </c>
      <c r="K1512" s="250">
        <v>158708</v>
      </c>
      <c r="L1512" s="250">
        <v>0</v>
      </c>
      <c r="M1512" s="251" t="s">
        <v>9</v>
      </c>
      <c r="N1512" s="252">
        <v>0</v>
      </c>
      <c r="O1512" s="185" t="s">
        <v>74</v>
      </c>
    </row>
    <row r="1513" spans="1:15" x14ac:dyDescent="0.25">
      <c r="A1513" s="234" t="s">
        <v>4004</v>
      </c>
      <c r="B1513" s="234" t="s">
        <v>9</v>
      </c>
      <c r="C1513" s="245">
        <v>46149</v>
      </c>
      <c r="D1513" s="234" t="s">
        <v>7385</v>
      </c>
      <c r="E1513" s="246">
        <v>68573</v>
      </c>
      <c r="F1513" s="247" t="s">
        <v>4003</v>
      </c>
      <c r="G1513" s="34" t="s">
        <v>7</v>
      </c>
      <c r="H1513" s="234" t="s">
        <v>4005</v>
      </c>
      <c r="I1513" s="248" t="s">
        <v>7</v>
      </c>
      <c r="J1513" s="249" t="s">
        <v>554</v>
      </c>
      <c r="K1513" s="250">
        <v>68573</v>
      </c>
      <c r="L1513" s="250">
        <v>0</v>
      </c>
      <c r="M1513" s="251" t="s">
        <v>9</v>
      </c>
      <c r="N1513" s="252">
        <v>0</v>
      </c>
      <c r="O1513" s="185" t="s">
        <v>74</v>
      </c>
    </row>
    <row r="1514" spans="1:15" x14ac:dyDescent="0.25">
      <c r="A1514" s="234" t="s">
        <v>5263</v>
      </c>
      <c r="B1514" s="234" t="s">
        <v>9</v>
      </c>
      <c r="C1514" s="245">
        <v>46149</v>
      </c>
      <c r="D1514" s="234" t="s">
        <v>7289</v>
      </c>
      <c r="E1514" s="246">
        <v>22729</v>
      </c>
      <c r="F1514" s="247" t="s">
        <v>5265</v>
      </c>
      <c r="G1514" s="34" t="s">
        <v>7</v>
      </c>
      <c r="H1514" s="234" t="s">
        <v>5264</v>
      </c>
      <c r="I1514" s="248" t="s">
        <v>7</v>
      </c>
      <c r="J1514" s="249" t="s">
        <v>61</v>
      </c>
      <c r="K1514" s="250">
        <v>22729</v>
      </c>
      <c r="L1514" s="250">
        <v>0</v>
      </c>
      <c r="M1514" s="251" t="s">
        <v>9</v>
      </c>
      <c r="N1514" s="252">
        <v>0</v>
      </c>
      <c r="O1514" s="185" t="s">
        <v>74</v>
      </c>
    </row>
    <row r="1515" spans="1:15" x14ac:dyDescent="0.25">
      <c r="A1515" s="234" t="s">
        <v>5263</v>
      </c>
      <c r="B1515" s="234" t="s">
        <v>9</v>
      </c>
      <c r="C1515" s="245">
        <v>46149</v>
      </c>
      <c r="D1515" s="234" t="s">
        <v>7289</v>
      </c>
      <c r="E1515" s="246">
        <v>25000</v>
      </c>
      <c r="F1515" s="247" t="s">
        <v>5262</v>
      </c>
      <c r="G1515" s="34" t="s">
        <v>7</v>
      </c>
      <c r="H1515" s="234" t="s">
        <v>5264</v>
      </c>
      <c r="I1515" s="248" t="s">
        <v>7</v>
      </c>
      <c r="J1515" s="249" t="s">
        <v>61</v>
      </c>
      <c r="K1515" s="250">
        <v>25000</v>
      </c>
      <c r="L1515" s="250">
        <v>0</v>
      </c>
      <c r="M1515" s="251" t="s">
        <v>9</v>
      </c>
      <c r="N1515" s="252">
        <v>0</v>
      </c>
      <c r="O1515" s="185" t="s">
        <v>74</v>
      </c>
    </row>
    <row r="1516" spans="1:15" x14ac:dyDescent="0.25">
      <c r="A1516" s="234" t="s">
        <v>5239</v>
      </c>
      <c r="B1516" s="234" t="s">
        <v>9</v>
      </c>
      <c r="C1516" s="245">
        <v>46149</v>
      </c>
      <c r="D1516" s="234" t="s">
        <v>7385</v>
      </c>
      <c r="E1516" s="246">
        <v>44638</v>
      </c>
      <c r="F1516" s="247" t="s">
        <v>5243</v>
      </c>
      <c r="G1516" s="34" t="s">
        <v>7</v>
      </c>
      <c r="H1516" s="234" t="s">
        <v>5240</v>
      </c>
      <c r="I1516" s="248" t="s">
        <v>7</v>
      </c>
      <c r="J1516" s="249" t="s">
        <v>554</v>
      </c>
      <c r="K1516" s="250">
        <v>44638.42</v>
      </c>
      <c r="L1516" s="250">
        <v>0</v>
      </c>
      <c r="M1516" s="251" t="s">
        <v>9</v>
      </c>
      <c r="N1516" s="252">
        <v>0</v>
      </c>
      <c r="O1516" s="185" t="s">
        <v>74</v>
      </c>
    </row>
    <row r="1517" spans="1:15" x14ac:dyDescent="0.25">
      <c r="A1517" s="234" t="s">
        <v>5267</v>
      </c>
      <c r="B1517" s="234" t="s">
        <v>9</v>
      </c>
      <c r="C1517" s="245">
        <v>46149</v>
      </c>
      <c r="D1517" s="234" t="s">
        <v>7287</v>
      </c>
      <c r="E1517" s="246">
        <v>135083.04999999999</v>
      </c>
      <c r="F1517" s="247" t="s">
        <v>5266</v>
      </c>
      <c r="G1517" s="34" t="s">
        <v>7</v>
      </c>
      <c r="H1517" s="234" t="s">
        <v>5268</v>
      </c>
      <c r="I1517" s="248" t="s">
        <v>7</v>
      </c>
      <c r="J1517" s="249" t="s">
        <v>582</v>
      </c>
      <c r="K1517" s="250">
        <v>135132</v>
      </c>
      <c r="L1517" s="250">
        <v>0</v>
      </c>
      <c r="M1517" s="251" t="s">
        <v>9</v>
      </c>
      <c r="N1517" s="252">
        <v>0</v>
      </c>
      <c r="O1517" s="185" t="s">
        <v>74</v>
      </c>
    </row>
    <row r="1518" spans="1:15" x14ac:dyDescent="0.25">
      <c r="A1518" s="234" t="s">
        <v>3892</v>
      </c>
      <c r="B1518" s="234" t="s">
        <v>9</v>
      </c>
      <c r="C1518" s="245">
        <v>46149</v>
      </c>
      <c r="D1518" s="234" t="s">
        <v>7289</v>
      </c>
      <c r="E1518" s="246">
        <v>156908.57999999999</v>
      </c>
      <c r="F1518" s="247" t="s">
        <v>3891</v>
      </c>
      <c r="G1518" s="34" t="s">
        <v>7</v>
      </c>
      <c r="H1518" s="234" t="s">
        <v>3893</v>
      </c>
      <c r="I1518" s="248" t="s">
        <v>7</v>
      </c>
      <c r="J1518" s="249" t="s">
        <v>582</v>
      </c>
      <c r="K1518" s="250">
        <v>156911</v>
      </c>
      <c r="L1518" s="250">
        <v>0</v>
      </c>
      <c r="M1518" s="251" t="s">
        <v>9</v>
      </c>
      <c r="N1518" s="252">
        <v>0</v>
      </c>
      <c r="O1518" s="185" t="s">
        <v>74</v>
      </c>
    </row>
    <row r="1519" spans="1:15" x14ac:dyDescent="0.25">
      <c r="A1519" s="234" t="s">
        <v>5291</v>
      </c>
      <c r="B1519" s="234" t="s">
        <v>9</v>
      </c>
      <c r="C1519" s="245">
        <v>46149</v>
      </c>
      <c r="D1519" s="234" t="s">
        <v>7289</v>
      </c>
      <c r="E1519" s="246">
        <v>235114</v>
      </c>
      <c r="F1519" s="247" t="s">
        <v>5290</v>
      </c>
      <c r="G1519" s="34" t="s">
        <v>7</v>
      </c>
      <c r="H1519" s="234" t="s">
        <v>5292</v>
      </c>
      <c r="I1519" s="248" t="s">
        <v>7</v>
      </c>
      <c r="J1519" s="249" t="s">
        <v>582</v>
      </c>
      <c r="K1519" s="250">
        <v>235114</v>
      </c>
      <c r="L1519" s="250">
        <v>0</v>
      </c>
      <c r="M1519" s="251" t="s">
        <v>9</v>
      </c>
      <c r="N1519" s="252">
        <v>0</v>
      </c>
      <c r="O1519" s="185" t="s">
        <v>74</v>
      </c>
    </row>
    <row r="1520" spans="1:15" x14ac:dyDescent="0.25">
      <c r="A1520" s="234" t="s">
        <v>3920</v>
      </c>
      <c r="B1520" s="234" t="s">
        <v>9</v>
      </c>
      <c r="C1520" s="245">
        <v>46149</v>
      </c>
      <c r="D1520" s="234" t="s">
        <v>7289</v>
      </c>
      <c r="E1520" s="246">
        <v>30140.92</v>
      </c>
      <c r="F1520" s="247" t="s">
        <v>3919</v>
      </c>
      <c r="G1520" s="34" t="s">
        <v>7</v>
      </c>
      <c r="H1520" s="234" t="s">
        <v>3921</v>
      </c>
      <c r="I1520" s="248" t="s">
        <v>7</v>
      </c>
      <c r="J1520" s="249" t="s">
        <v>582</v>
      </c>
      <c r="K1520" s="250">
        <v>30500</v>
      </c>
      <c r="L1520" s="250">
        <v>0</v>
      </c>
      <c r="M1520" s="251" t="s">
        <v>9</v>
      </c>
      <c r="N1520" s="252">
        <v>0</v>
      </c>
      <c r="O1520" s="185" t="s">
        <v>74</v>
      </c>
    </row>
    <row r="1521" spans="1:15" x14ac:dyDescent="0.25">
      <c r="A1521" s="234" t="s">
        <v>3982</v>
      </c>
      <c r="B1521" s="234" t="s">
        <v>9</v>
      </c>
      <c r="C1521" s="245">
        <v>46149</v>
      </c>
      <c r="D1521" s="234" t="s">
        <v>7385</v>
      </c>
      <c r="E1521" s="246">
        <v>149968.07999999999</v>
      </c>
      <c r="F1521" s="247" t="s">
        <v>3984</v>
      </c>
      <c r="G1521" s="34" t="s">
        <v>7</v>
      </c>
      <c r="H1521" s="234" t="s">
        <v>3983</v>
      </c>
      <c r="I1521" s="248" t="s">
        <v>7</v>
      </c>
      <c r="J1521" s="249" t="s">
        <v>554</v>
      </c>
      <c r="K1521" s="250">
        <v>149969.23000000001</v>
      </c>
      <c r="L1521" s="250">
        <v>0</v>
      </c>
      <c r="M1521" s="251" t="s">
        <v>9</v>
      </c>
      <c r="N1521" s="252">
        <v>0</v>
      </c>
      <c r="O1521" s="185" t="s">
        <v>74</v>
      </c>
    </row>
    <row r="1522" spans="1:15" x14ac:dyDescent="0.25">
      <c r="A1522" s="234" t="s">
        <v>5288</v>
      </c>
      <c r="B1522" s="234" t="s">
        <v>9</v>
      </c>
      <c r="C1522" s="245">
        <v>46149</v>
      </c>
      <c r="D1522" s="234" t="s">
        <v>7287</v>
      </c>
      <c r="E1522" s="246">
        <v>142777.76</v>
      </c>
      <c r="F1522" s="247" t="s">
        <v>5287</v>
      </c>
      <c r="G1522" s="34" t="s">
        <v>7</v>
      </c>
      <c r="H1522" s="234" t="s">
        <v>5289</v>
      </c>
      <c r="I1522" s="248" t="s">
        <v>7</v>
      </c>
      <c r="J1522" s="249" t="s">
        <v>582</v>
      </c>
      <c r="K1522" s="250">
        <v>142778</v>
      </c>
      <c r="L1522" s="250">
        <v>0</v>
      </c>
      <c r="M1522" s="251" t="s">
        <v>9</v>
      </c>
      <c r="N1522" s="252">
        <v>0</v>
      </c>
      <c r="O1522" s="185" t="s">
        <v>74</v>
      </c>
    </row>
    <row r="1523" spans="1:15" x14ac:dyDescent="0.25">
      <c r="A1523" s="234" t="s">
        <v>5273</v>
      </c>
      <c r="B1523" s="234" t="s">
        <v>9</v>
      </c>
      <c r="C1523" s="245">
        <v>46149</v>
      </c>
      <c r="D1523" s="234" t="s">
        <v>7287</v>
      </c>
      <c r="E1523" s="246">
        <v>180778.92</v>
      </c>
      <c r="F1523" s="247" t="s">
        <v>5272</v>
      </c>
      <c r="G1523" s="34" t="s">
        <v>7</v>
      </c>
      <c r="H1523" s="234" t="s">
        <v>5274</v>
      </c>
      <c r="I1523" s="248" t="s">
        <v>7</v>
      </c>
      <c r="J1523" s="249" t="s">
        <v>582</v>
      </c>
      <c r="K1523" s="250">
        <v>180829</v>
      </c>
      <c r="L1523" s="250">
        <v>0</v>
      </c>
      <c r="M1523" s="251" t="s">
        <v>9</v>
      </c>
      <c r="N1523" s="252">
        <v>0</v>
      </c>
      <c r="O1523" s="185" t="s">
        <v>74</v>
      </c>
    </row>
    <row r="1524" spans="1:15" x14ac:dyDescent="0.25">
      <c r="A1524" s="234" t="s">
        <v>3876</v>
      </c>
      <c r="B1524" s="234" t="s">
        <v>9</v>
      </c>
      <c r="C1524" s="245">
        <v>46149</v>
      </c>
      <c r="D1524" s="234" t="s">
        <v>7289</v>
      </c>
      <c r="E1524" s="246">
        <v>189642.23999999999</v>
      </c>
      <c r="F1524" s="247" t="s">
        <v>3875</v>
      </c>
      <c r="G1524" s="34" t="s">
        <v>7</v>
      </c>
      <c r="H1524" s="234" t="s">
        <v>3877</v>
      </c>
      <c r="I1524" s="248" t="s">
        <v>7</v>
      </c>
      <c r="J1524" s="249" t="s">
        <v>582</v>
      </c>
      <c r="K1524" s="250">
        <v>189643</v>
      </c>
      <c r="L1524" s="250">
        <v>0</v>
      </c>
      <c r="M1524" s="251" t="s">
        <v>9</v>
      </c>
      <c r="N1524" s="252">
        <v>0</v>
      </c>
      <c r="O1524" s="185" t="s">
        <v>74</v>
      </c>
    </row>
    <row r="1525" spans="1:15" x14ac:dyDescent="0.25">
      <c r="A1525" s="234" t="s">
        <v>7932</v>
      </c>
      <c r="B1525" s="234" t="s">
        <v>9</v>
      </c>
      <c r="C1525" s="245">
        <v>46149</v>
      </c>
      <c r="D1525" s="234" t="s">
        <v>7289</v>
      </c>
      <c r="E1525" s="246">
        <v>336937.89</v>
      </c>
      <c r="F1525" s="247" t="s">
        <v>7699</v>
      </c>
      <c r="G1525" s="34" t="s">
        <v>7</v>
      </c>
      <c r="H1525" s="234" t="s">
        <v>7933</v>
      </c>
      <c r="I1525" s="248" t="s">
        <v>7</v>
      </c>
      <c r="J1525" s="249" t="s">
        <v>492</v>
      </c>
      <c r="K1525" s="250">
        <v>0</v>
      </c>
      <c r="L1525" s="250">
        <v>0</v>
      </c>
      <c r="M1525" s="251" t="s">
        <v>9</v>
      </c>
      <c r="N1525" s="252">
        <v>0</v>
      </c>
      <c r="O1525" s="185" t="s">
        <v>74</v>
      </c>
    </row>
    <row r="1526" spans="1:15" x14ac:dyDescent="0.25">
      <c r="A1526" s="234" t="s">
        <v>5276</v>
      </c>
      <c r="B1526" s="234" t="s">
        <v>9</v>
      </c>
      <c r="C1526" s="245">
        <v>46149</v>
      </c>
      <c r="D1526" s="234" t="s">
        <v>7385</v>
      </c>
      <c r="E1526" s="246">
        <v>41900</v>
      </c>
      <c r="F1526" s="247" t="s">
        <v>5279</v>
      </c>
      <c r="G1526" s="34" t="s">
        <v>7</v>
      </c>
      <c r="H1526" s="234" t="s">
        <v>5277</v>
      </c>
      <c r="I1526" s="248" t="s">
        <v>7</v>
      </c>
      <c r="J1526" s="249" t="s">
        <v>554</v>
      </c>
      <c r="K1526" s="250">
        <v>41900</v>
      </c>
      <c r="L1526" s="250">
        <v>0</v>
      </c>
      <c r="M1526" s="251" t="s">
        <v>9</v>
      </c>
      <c r="N1526" s="252">
        <v>0</v>
      </c>
      <c r="O1526" s="185" t="s">
        <v>74</v>
      </c>
    </row>
    <row r="1527" spans="1:15" x14ac:dyDescent="0.25">
      <c r="A1527" s="234" t="s">
        <v>7934</v>
      </c>
      <c r="B1527" s="234" t="s">
        <v>9</v>
      </c>
      <c r="C1527" s="245">
        <v>46149</v>
      </c>
      <c r="D1527" s="234" t="s">
        <v>7287</v>
      </c>
      <c r="E1527" s="246">
        <v>179606.32</v>
      </c>
      <c r="F1527" s="247">
        <v>0</v>
      </c>
      <c r="G1527" s="34" t="s">
        <v>7</v>
      </c>
      <c r="H1527" s="234" t="s">
        <v>7935</v>
      </c>
      <c r="I1527" s="248" t="s">
        <v>7</v>
      </c>
      <c r="J1527" s="249" t="s">
        <v>492</v>
      </c>
      <c r="K1527" s="250">
        <v>0</v>
      </c>
      <c r="L1527" s="250">
        <v>0</v>
      </c>
      <c r="M1527" s="251" t="s">
        <v>9</v>
      </c>
      <c r="N1527" s="252">
        <v>0</v>
      </c>
      <c r="O1527" s="185" t="s">
        <v>74</v>
      </c>
    </row>
    <row r="1528" spans="1:15" x14ac:dyDescent="0.25">
      <c r="A1528" s="234" t="s">
        <v>3879</v>
      </c>
      <c r="B1528" s="234" t="s">
        <v>9</v>
      </c>
      <c r="C1528" s="245">
        <v>46149</v>
      </c>
      <c r="D1528" s="234" t="s">
        <v>7394</v>
      </c>
      <c r="E1528" s="246">
        <v>138713.51</v>
      </c>
      <c r="F1528" s="247" t="s">
        <v>3878</v>
      </c>
      <c r="G1528" s="34" t="s">
        <v>7</v>
      </c>
      <c r="H1528" s="234" t="s">
        <v>3880</v>
      </c>
      <c r="I1528" s="248" t="s">
        <v>7</v>
      </c>
      <c r="J1528" s="249" t="s">
        <v>582</v>
      </c>
      <c r="K1528" s="250">
        <v>154127</v>
      </c>
      <c r="L1528" s="250">
        <v>0</v>
      </c>
      <c r="M1528" s="251" t="s">
        <v>9</v>
      </c>
      <c r="N1528" s="252">
        <v>0</v>
      </c>
      <c r="O1528" s="185" t="s">
        <v>74</v>
      </c>
    </row>
    <row r="1529" spans="1:15" x14ac:dyDescent="0.25">
      <c r="A1529" s="234" t="s">
        <v>3916</v>
      </c>
      <c r="B1529" s="234" t="s">
        <v>9</v>
      </c>
      <c r="C1529" s="245">
        <v>46149</v>
      </c>
      <c r="D1529" s="234" t="s">
        <v>7385</v>
      </c>
      <c r="E1529" s="246">
        <v>106484.28</v>
      </c>
      <c r="F1529" s="247" t="s">
        <v>3918</v>
      </c>
      <c r="G1529" s="34" t="s">
        <v>7</v>
      </c>
      <c r="H1529" s="234" t="s">
        <v>3917</v>
      </c>
      <c r="I1529" s="248" t="s">
        <v>7</v>
      </c>
      <c r="J1529" s="249" t="s">
        <v>554</v>
      </c>
      <c r="K1529" s="250">
        <v>106485</v>
      </c>
      <c r="L1529" s="250">
        <v>0</v>
      </c>
      <c r="M1529" s="251" t="s">
        <v>9</v>
      </c>
      <c r="N1529" s="252">
        <v>0</v>
      </c>
      <c r="O1529" s="185" t="s">
        <v>74</v>
      </c>
    </row>
    <row r="1530" spans="1:15" x14ac:dyDescent="0.25">
      <c r="A1530" s="234" t="s">
        <v>4589</v>
      </c>
      <c r="B1530" s="234" t="s">
        <v>8</v>
      </c>
      <c r="C1530" s="245">
        <v>46149</v>
      </c>
      <c r="D1530" s="234" t="s">
        <v>7289</v>
      </c>
      <c r="E1530" s="246">
        <v>46707</v>
      </c>
      <c r="F1530" s="247" t="s">
        <v>4592</v>
      </c>
      <c r="G1530" s="34" t="s">
        <v>7</v>
      </c>
      <c r="H1530" s="234" t="s">
        <v>4590</v>
      </c>
      <c r="I1530" s="248" t="s">
        <v>7</v>
      </c>
      <c r="J1530" s="249" t="s">
        <v>554</v>
      </c>
      <c r="K1530" s="250">
        <v>46707</v>
      </c>
      <c r="L1530" s="250">
        <v>0</v>
      </c>
      <c r="M1530" s="251" t="s">
        <v>8</v>
      </c>
      <c r="N1530" s="252">
        <v>0</v>
      </c>
      <c r="O1530" s="185" t="s">
        <v>74</v>
      </c>
    </row>
    <row r="1531" spans="1:15" x14ac:dyDescent="0.25">
      <c r="A1531" s="234" t="s">
        <v>5407</v>
      </c>
      <c r="B1531" s="234" t="s">
        <v>8</v>
      </c>
      <c r="C1531" s="245">
        <v>46149</v>
      </c>
      <c r="D1531" s="234" t="s">
        <v>7289</v>
      </c>
      <c r="E1531" s="246">
        <v>40650</v>
      </c>
      <c r="F1531" s="247" t="s">
        <v>5409</v>
      </c>
      <c r="G1531" s="34" t="s">
        <v>7</v>
      </c>
      <c r="H1531" s="234" t="s">
        <v>5408</v>
      </c>
      <c r="I1531" s="248" t="s">
        <v>7</v>
      </c>
      <c r="J1531" s="249" t="s">
        <v>554</v>
      </c>
      <c r="K1531" s="250">
        <v>40650</v>
      </c>
      <c r="L1531" s="250">
        <v>0</v>
      </c>
      <c r="M1531" s="251" t="s">
        <v>8</v>
      </c>
      <c r="N1531" s="252">
        <v>0</v>
      </c>
      <c r="O1531" s="185" t="s">
        <v>74</v>
      </c>
    </row>
    <row r="1532" spans="1:15" x14ac:dyDescent="0.25">
      <c r="A1532" s="234" t="s">
        <v>4362</v>
      </c>
      <c r="B1532" s="234" t="s">
        <v>8</v>
      </c>
      <c r="C1532" s="245">
        <v>46149</v>
      </c>
      <c r="D1532" s="234" t="s">
        <v>7420</v>
      </c>
      <c r="E1532" s="246">
        <v>173000</v>
      </c>
      <c r="F1532" s="247" t="s">
        <v>4361</v>
      </c>
      <c r="G1532" s="34" t="s">
        <v>7</v>
      </c>
      <c r="H1532" s="234" t="s">
        <v>4363</v>
      </c>
      <c r="I1532" s="248" t="s">
        <v>7</v>
      </c>
      <c r="J1532" s="249" t="s">
        <v>554</v>
      </c>
      <c r="K1532" s="250">
        <v>173000</v>
      </c>
      <c r="L1532" s="250">
        <v>0</v>
      </c>
      <c r="M1532" s="251" t="s">
        <v>8</v>
      </c>
      <c r="N1532" s="252">
        <v>0</v>
      </c>
      <c r="O1532" s="185" t="s">
        <v>74</v>
      </c>
    </row>
    <row r="1533" spans="1:15" x14ac:dyDescent="0.25">
      <c r="A1533" s="234" t="s">
        <v>4487</v>
      </c>
      <c r="B1533" s="234" t="s">
        <v>8</v>
      </c>
      <c r="C1533" s="245">
        <v>46149</v>
      </c>
      <c r="D1533" s="234" t="s">
        <v>7287</v>
      </c>
      <c r="E1533" s="246">
        <v>5130</v>
      </c>
      <c r="F1533" s="247" t="s">
        <v>4490</v>
      </c>
      <c r="G1533" s="34" t="s">
        <v>7</v>
      </c>
      <c r="H1533" s="234" t="s">
        <v>4488</v>
      </c>
      <c r="I1533" s="248" t="s">
        <v>7</v>
      </c>
      <c r="J1533" s="249" t="s">
        <v>554</v>
      </c>
      <c r="K1533" s="250">
        <v>5100</v>
      </c>
      <c r="L1533" s="250">
        <v>0</v>
      </c>
      <c r="M1533" s="251" t="s">
        <v>8</v>
      </c>
      <c r="N1533" s="252">
        <v>0</v>
      </c>
      <c r="O1533" s="185" t="s">
        <v>74</v>
      </c>
    </row>
    <row r="1534" spans="1:15" x14ac:dyDescent="0.25">
      <c r="A1534" s="234" t="s">
        <v>3373</v>
      </c>
      <c r="B1534" s="234" t="s">
        <v>8</v>
      </c>
      <c r="C1534" s="245">
        <v>46149</v>
      </c>
      <c r="D1534" s="234" t="s">
        <v>7289</v>
      </c>
      <c r="E1534" s="246">
        <v>10000</v>
      </c>
      <c r="F1534" s="247" t="s">
        <v>3372</v>
      </c>
      <c r="G1534" s="34" t="s">
        <v>7</v>
      </c>
      <c r="H1534" s="234" t="s">
        <v>3374</v>
      </c>
      <c r="I1534" s="248" t="s">
        <v>7</v>
      </c>
      <c r="J1534" s="249" t="s">
        <v>554</v>
      </c>
      <c r="K1534" s="250">
        <v>10000</v>
      </c>
      <c r="L1534" s="250">
        <v>0</v>
      </c>
      <c r="M1534" s="251" t="s">
        <v>8</v>
      </c>
      <c r="N1534" s="252">
        <v>0</v>
      </c>
      <c r="O1534" s="185" t="s">
        <v>74</v>
      </c>
    </row>
    <row r="1535" spans="1:15" x14ac:dyDescent="0.25">
      <c r="A1535" s="234" t="s">
        <v>4054</v>
      </c>
      <c r="B1535" s="234" t="s">
        <v>8</v>
      </c>
      <c r="C1535" s="245">
        <v>46149</v>
      </c>
      <c r="D1535" s="234" t="s">
        <v>7289</v>
      </c>
      <c r="E1535" s="246">
        <v>10000</v>
      </c>
      <c r="F1535" s="247" t="s">
        <v>4058</v>
      </c>
      <c r="G1535" s="34" t="s">
        <v>7</v>
      </c>
      <c r="H1535" s="234" t="s">
        <v>4055</v>
      </c>
      <c r="I1535" s="248" t="s">
        <v>7</v>
      </c>
      <c r="J1535" s="249" t="s">
        <v>554</v>
      </c>
      <c r="K1535" s="250">
        <v>10000</v>
      </c>
      <c r="L1535" s="250">
        <v>0</v>
      </c>
      <c r="M1535" s="251" t="s">
        <v>8</v>
      </c>
      <c r="N1535" s="252">
        <v>0</v>
      </c>
      <c r="O1535" s="185" t="s">
        <v>74</v>
      </c>
    </row>
    <row r="1536" spans="1:15" x14ac:dyDescent="0.25">
      <c r="A1536" s="234" t="s">
        <v>4054</v>
      </c>
      <c r="B1536" s="234" t="s">
        <v>8</v>
      </c>
      <c r="C1536" s="245">
        <v>46149</v>
      </c>
      <c r="D1536" s="234" t="s">
        <v>7289</v>
      </c>
      <c r="E1536" s="246">
        <v>10000</v>
      </c>
      <c r="F1536" s="247" t="s">
        <v>4057</v>
      </c>
      <c r="G1536" s="34" t="s">
        <v>7</v>
      </c>
      <c r="H1536" s="234" t="s">
        <v>4055</v>
      </c>
      <c r="I1536" s="248" t="s">
        <v>7</v>
      </c>
      <c r="J1536" s="249" t="s">
        <v>554</v>
      </c>
      <c r="K1536" s="250">
        <v>10000</v>
      </c>
      <c r="L1536" s="250">
        <v>0</v>
      </c>
      <c r="M1536" s="251" t="s">
        <v>8</v>
      </c>
      <c r="N1536" s="252">
        <v>0</v>
      </c>
      <c r="O1536" s="185" t="s">
        <v>74</v>
      </c>
    </row>
    <row r="1537" spans="1:15" x14ac:dyDescent="0.25">
      <c r="A1537" s="234" t="s">
        <v>4054</v>
      </c>
      <c r="B1537" s="234" t="s">
        <v>8</v>
      </c>
      <c r="C1537" s="245">
        <v>46149</v>
      </c>
      <c r="D1537" s="234" t="s">
        <v>7289</v>
      </c>
      <c r="E1537" s="246">
        <v>22000</v>
      </c>
      <c r="F1537" s="247" t="s">
        <v>4056</v>
      </c>
      <c r="G1537" s="34" t="s">
        <v>7</v>
      </c>
      <c r="H1537" s="234" t="s">
        <v>4055</v>
      </c>
      <c r="I1537" s="248" t="s">
        <v>7</v>
      </c>
      <c r="J1537" s="249" t="s">
        <v>554</v>
      </c>
      <c r="K1537" s="250">
        <v>22000</v>
      </c>
      <c r="L1537" s="250">
        <v>0</v>
      </c>
      <c r="M1537" s="251" t="s">
        <v>8</v>
      </c>
      <c r="N1537" s="252">
        <v>0</v>
      </c>
      <c r="O1537" s="185" t="s">
        <v>74</v>
      </c>
    </row>
    <row r="1538" spans="1:15" x14ac:dyDescent="0.25">
      <c r="A1538" s="234" t="s">
        <v>4341</v>
      </c>
      <c r="B1538" s="234" t="s">
        <v>8</v>
      </c>
      <c r="C1538" s="245">
        <v>46149</v>
      </c>
      <c r="D1538" s="234" t="s">
        <v>7399</v>
      </c>
      <c r="E1538" s="246">
        <v>60000</v>
      </c>
      <c r="F1538" s="247" t="s">
        <v>4340</v>
      </c>
      <c r="G1538" s="34" t="s">
        <v>7</v>
      </c>
      <c r="H1538" s="234" t="s">
        <v>4342</v>
      </c>
      <c r="I1538" s="248" t="s">
        <v>7</v>
      </c>
      <c r="J1538" s="249" t="s">
        <v>554</v>
      </c>
      <c r="K1538" s="250">
        <v>60000</v>
      </c>
      <c r="L1538" s="250">
        <v>0</v>
      </c>
      <c r="M1538" s="251" t="s">
        <v>8</v>
      </c>
      <c r="N1538" s="252">
        <v>0</v>
      </c>
      <c r="O1538" s="185" t="s">
        <v>74</v>
      </c>
    </row>
    <row r="1539" spans="1:15" x14ac:dyDescent="0.25">
      <c r="A1539" s="234" t="s">
        <v>4335</v>
      </c>
      <c r="B1539" s="234" t="s">
        <v>8</v>
      </c>
      <c r="C1539" s="245">
        <v>46149</v>
      </c>
      <c r="D1539" s="234" t="s">
        <v>7399</v>
      </c>
      <c r="E1539" s="246">
        <v>32000</v>
      </c>
      <c r="F1539" s="247" t="s">
        <v>4334</v>
      </c>
      <c r="G1539" s="34" t="s">
        <v>7</v>
      </c>
      <c r="H1539" s="234" t="s">
        <v>4336</v>
      </c>
      <c r="I1539" s="248" t="s">
        <v>7</v>
      </c>
      <c r="J1539" s="249" t="s">
        <v>554</v>
      </c>
      <c r="K1539" s="250">
        <v>32000</v>
      </c>
      <c r="L1539" s="250">
        <v>0</v>
      </c>
      <c r="M1539" s="251" t="s">
        <v>8</v>
      </c>
      <c r="N1539" s="252">
        <v>0</v>
      </c>
      <c r="O1539" s="185" t="s">
        <v>74</v>
      </c>
    </row>
    <row r="1540" spans="1:15" x14ac:dyDescent="0.25">
      <c r="A1540" s="234" t="s">
        <v>5403</v>
      </c>
      <c r="B1540" s="234" t="s">
        <v>8</v>
      </c>
      <c r="C1540" s="245">
        <v>46149</v>
      </c>
      <c r="D1540" s="234" t="s">
        <v>7399</v>
      </c>
      <c r="E1540" s="246">
        <v>7682</v>
      </c>
      <c r="F1540" s="247" t="s">
        <v>5402</v>
      </c>
      <c r="G1540" s="34" t="s">
        <v>7</v>
      </c>
      <c r="H1540" s="234" t="s">
        <v>5404</v>
      </c>
      <c r="I1540" s="248" t="s">
        <v>7</v>
      </c>
      <c r="J1540" s="249" t="s">
        <v>554</v>
      </c>
      <c r="K1540" s="250">
        <v>8000</v>
      </c>
      <c r="L1540" s="250">
        <v>0</v>
      </c>
      <c r="M1540" s="251" t="s">
        <v>8</v>
      </c>
      <c r="N1540" s="252">
        <v>0</v>
      </c>
      <c r="O1540" s="185" t="s">
        <v>74</v>
      </c>
    </row>
    <row r="1541" spans="1:15" x14ac:dyDescent="0.25">
      <c r="A1541" s="234" t="s">
        <v>3423</v>
      </c>
      <c r="B1541" s="234" t="s">
        <v>8</v>
      </c>
      <c r="C1541" s="245">
        <v>46149</v>
      </c>
      <c r="D1541" s="234" t="s">
        <v>7420</v>
      </c>
      <c r="E1541" s="246">
        <v>117640</v>
      </c>
      <c r="F1541" s="247" t="s">
        <v>3422</v>
      </c>
      <c r="G1541" s="34" t="s">
        <v>7</v>
      </c>
      <c r="H1541" s="234" t="s">
        <v>3424</v>
      </c>
      <c r="I1541" s="248" t="s">
        <v>7</v>
      </c>
      <c r="J1541" s="249" t="s">
        <v>554</v>
      </c>
      <c r="K1541" s="250">
        <v>117640</v>
      </c>
      <c r="L1541" s="250">
        <v>0</v>
      </c>
      <c r="M1541" s="251" t="s">
        <v>8</v>
      </c>
      <c r="N1541" s="252">
        <v>0</v>
      </c>
      <c r="O1541" s="185" t="s">
        <v>74</v>
      </c>
    </row>
    <row r="1542" spans="1:15" x14ac:dyDescent="0.25">
      <c r="A1542" s="234" t="s">
        <v>5325</v>
      </c>
      <c r="B1542" s="234" t="s">
        <v>8</v>
      </c>
      <c r="C1542" s="245">
        <v>46149</v>
      </c>
      <c r="D1542" s="234" t="s">
        <v>7287</v>
      </c>
      <c r="E1542" s="246">
        <v>40000</v>
      </c>
      <c r="F1542" s="247">
        <v>0</v>
      </c>
      <c r="G1542" s="34" t="s">
        <v>7</v>
      </c>
      <c r="H1542" s="234" t="s">
        <v>5326</v>
      </c>
      <c r="I1542" s="248" t="s">
        <v>7</v>
      </c>
      <c r="J1542" s="249" t="s">
        <v>492</v>
      </c>
      <c r="K1542" s="250">
        <v>0</v>
      </c>
      <c r="L1542" s="250">
        <v>0</v>
      </c>
      <c r="M1542" s="251" t="s">
        <v>8</v>
      </c>
      <c r="N1542" s="252">
        <v>0</v>
      </c>
      <c r="O1542" s="185" t="s">
        <v>74</v>
      </c>
    </row>
    <row r="1543" spans="1:15" x14ac:dyDescent="0.25">
      <c r="A1543" s="234" t="s">
        <v>3693</v>
      </c>
      <c r="B1543" s="234" t="s">
        <v>8</v>
      </c>
      <c r="C1543" s="245">
        <v>46149</v>
      </c>
      <c r="D1543" s="234" t="s">
        <v>7287</v>
      </c>
      <c r="E1543" s="246">
        <v>268662.5</v>
      </c>
      <c r="F1543" s="247">
        <v>0</v>
      </c>
      <c r="G1543" s="34" t="s">
        <v>7</v>
      </c>
      <c r="H1543" s="234" t="s">
        <v>3694</v>
      </c>
      <c r="I1543" s="248" t="s">
        <v>7</v>
      </c>
      <c r="J1543" s="249" t="s">
        <v>492</v>
      </c>
      <c r="K1543" s="250">
        <v>0</v>
      </c>
      <c r="L1543" s="250">
        <v>0</v>
      </c>
      <c r="M1543" s="251" t="s">
        <v>8</v>
      </c>
      <c r="N1543" s="252">
        <v>0</v>
      </c>
      <c r="O1543" s="185" t="s">
        <v>74</v>
      </c>
    </row>
    <row r="1544" spans="1:15" x14ac:dyDescent="0.25">
      <c r="A1544" s="234" t="s">
        <v>5359</v>
      </c>
      <c r="B1544" s="234" t="s">
        <v>8</v>
      </c>
      <c r="C1544" s="245">
        <v>46149</v>
      </c>
      <c r="D1544" s="234" t="s">
        <v>7289</v>
      </c>
      <c r="E1544" s="246">
        <v>100000</v>
      </c>
      <c r="F1544" s="247" t="s">
        <v>5358</v>
      </c>
      <c r="G1544" s="34" t="s">
        <v>7</v>
      </c>
      <c r="H1544" s="234" t="s">
        <v>5360</v>
      </c>
      <c r="I1544" s="248" t="s">
        <v>7</v>
      </c>
      <c r="J1544" s="249" t="s">
        <v>582</v>
      </c>
      <c r="K1544" s="250">
        <v>100000</v>
      </c>
      <c r="L1544" s="250">
        <v>0</v>
      </c>
      <c r="M1544" s="251" t="s">
        <v>8</v>
      </c>
      <c r="N1544" s="252">
        <v>0</v>
      </c>
      <c r="O1544" s="185" t="s">
        <v>74</v>
      </c>
    </row>
    <row r="1545" spans="1:15" x14ac:dyDescent="0.25">
      <c r="A1545" s="234" t="s">
        <v>7936</v>
      </c>
      <c r="B1545" s="234" t="s">
        <v>8</v>
      </c>
      <c r="C1545" s="245">
        <v>46149</v>
      </c>
      <c r="D1545" s="234" t="s">
        <v>7287</v>
      </c>
      <c r="E1545" s="246">
        <v>112001</v>
      </c>
      <c r="F1545" s="247">
        <v>0</v>
      </c>
      <c r="G1545" s="34" t="s">
        <v>7</v>
      </c>
      <c r="H1545" s="234" t="s">
        <v>7937</v>
      </c>
      <c r="I1545" s="248" t="s">
        <v>7</v>
      </c>
      <c r="J1545" s="249" t="s">
        <v>492</v>
      </c>
      <c r="K1545" s="250">
        <v>0</v>
      </c>
      <c r="L1545" s="250">
        <v>0</v>
      </c>
      <c r="M1545" s="251" t="s">
        <v>8</v>
      </c>
      <c r="N1545" s="252">
        <v>0</v>
      </c>
      <c r="O1545" s="185" t="s">
        <v>74</v>
      </c>
    </row>
    <row r="1546" spans="1:15" x14ac:dyDescent="0.25">
      <c r="A1546" s="234" t="s">
        <v>7938</v>
      </c>
      <c r="B1546" s="234" t="s">
        <v>8</v>
      </c>
      <c r="C1546" s="245">
        <v>46149</v>
      </c>
      <c r="D1546" s="234" t="s">
        <v>7287</v>
      </c>
      <c r="E1546" s="246">
        <v>111790</v>
      </c>
      <c r="F1546" s="247">
        <v>0</v>
      </c>
      <c r="G1546" s="34" t="s">
        <v>7</v>
      </c>
      <c r="H1546" s="234" t="s">
        <v>7939</v>
      </c>
      <c r="I1546" s="248" t="s">
        <v>7</v>
      </c>
      <c r="J1546" s="249" t="s">
        <v>492</v>
      </c>
      <c r="K1546" s="250">
        <v>0</v>
      </c>
      <c r="L1546" s="250">
        <v>0</v>
      </c>
      <c r="M1546" s="251" t="s">
        <v>8</v>
      </c>
      <c r="N1546" s="252">
        <v>0</v>
      </c>
      <c r="O1546" s="185" t="s">
        <v>74</v>
      </c>
    </row>
    <row r="1547" spans="1:15" x14ac:dyDescent="0.25">
      <c r="A1547" s="234" t="s">
        <v>5368</v>
      </c>
      <c r="B1547" s="234" t="s">
        <v>8</v>
      </c>
      <c r="C1547" s="245">
        <v>46149</v>
      </c>
      <c r="D1547" s="234" t="s">
        <v>7289</v>
      </c>
      <c r="E1547" s="246">
        <v>136900</v>
      </c>
      <c r="F1547" s="247" t="s">
        <v>5367</v>
      </c>
      <c r="G1547" s="34" t="s">
        <v>7</v>
      </c>
      <c r="H1547" s="234" t="s">
        <v>5369</v>
      </c>
      <c r="I1547" s="248" t="s">
        <v>7</v>
      </c>
      <c r="J1547" s="249" t="s">
        <v>582</v>
      </c>
      <c r="K1547" s="250">
        <v>136900</v>
      </c>
      <c r="L1547" s="250">
        <v>0</v>
      </c>
      <c r="M1547" s="251" t="s">
        <v>8</v>
      </c>
      <c r="N1547" s="252">
        <v>0</v>
      </c>
      <c r="O1547" s="185" t="s">
        <v>74</v>
      </c>
    </row>
    <row r="1548" spans="1:15" x14ac:dyDescent="0.25">
      <c r="A1548" s="234" t="s">
        <v>3416</v>
      </c>
      <c r="B1548" s="234" t="s">
        <v>8</v>
      </c>
      <c r="C1548" s="245">
        <v>46149</v>
      </c>
      <c r="D1548" s="234" t="s">
        <v>64</v>
      </c>
      <c r="E1548" s="246">
        <v>149914</v>
      </c>
      <c r="F1548" s="247" t="s">
        <v>3415</v>
      </c>
      <c r="G1548" s="34" t="s">
        <v>7</v>
      </c>
      <c r="H1548" s="234" t="s">
        <v>3417</v>
      </c>
      <c r="I1548" s="248" t="s">
        <v>7</v>
      </c>
      <c r="J1548" s="249" t="s">
        <v>62</v>
      </c>
      <c r="K1548" s="250">
        <v>151450.47</v>
      </c>
      <c r="L1548" s="250">
        <v>0</v>
      </c>
      <c r="M1548" s="251" t="s">
        <v>8</v>
      </c>
      <c r="N1548" s="252">
        <v>0</v>
      </c>
      <c r="O1548" s="185" t="s">
        <v>74</v>
      </c>
    </row>
    <row r="1549" spans="1:15" x14ac:dyDescent="0.25">
      <c r="A1549" s="234" t="s">
        <v>3410</v>
      </c>
      <c r="B1549" s="234" t="s">
        <v>8</v>
      </c>
      <c r="C1549" s="245">
        <v>46149</v>
      </c>
      <c r="D1549" s="234" t="s">
        <v>7289</v>
      </c>
      <c r="E1549" s="246">
        <v>40000</v>
      </c>
      <c r="F1549" s="247" t="s">
        <v>3409</v>
      </c>
      <c r="G1549" s="34" t="s">
        <v>7</v>
      </c>
      <c r="H1549" s="234" t="s">
        <v>3411</v>
      </c>
      <c r="I1549" s="248" t="s">
        <v>7</v>
      </c>
      <c r="J1549" s="249" t="s">
        <v>582</v>
      </c>
      <c r="K1549" s="250">
        <v>40000</v>
      </c>
      <c r="L1549" s="250">
        <v>0</v>
      </c>
      <c r="M1549" s="251" t="s">
        <v>8</v>
      </c>
      <c r="N1549" s="252">
        <v>0</v>
      </c>
      <c r="O1549" s="185" t="s">
        <v>74</v>
      </c>
    </row>
    <row r="1550" spans="1:15" x14ac:dyDescent="0.25">
      <c r="A1550" s="234" t="s">
        <v>5350</v>
      </c>
      <c r="B1550" s="234" t="s">
        <v>8</v>
      </c>
      <c r="C1550" s="245">
        <v>46149</v>
      </c>
      <c r="D1550" s="234" t="s">
        <v>7287</v>
      </c>
      <c r="E1550" s="246">
        <v>38804.85</v>
      </c>
      <c r="F1550" s="247">
        <v>0</v>
      </c>
      <c r="G1550" s="34" t="s">
        <v>7</v>
      </c>
      <c r="H1550" s="234" t="s">
        <v>5352</v>
      </c>
      <c r="I1550" s="248" t="s">
        <v>7</v>
      </c>
      <c r="J1550" s="249" t="s">
        <v>492</v>
      </c>
      <c r="K1550" s="250">
        <v>0</v>
      </c>
      <c r="L1550" s="250">
        <v>0</v>
      </c>
      <c r="M1550" s="251" t="s">
        <v>8</v>
      </c>
      <c r="N1550" s="252">
        <v>0</v>
      </c>
      <c r="O1550" s="185" t="s">
        <v>74</v>
      </c>
    </row>
    <row r="1551" spans="1:15" x14ac:dyDescent="0.25">
      <c r="A1551" s="234" t="s">
        <v>5386</v>
      </c>
      <c r="B1551" s="234" t="s">
        <v>8</v>
      </c>
      <c r="C1551" s="245">
        <v>46149</v>
      </c>
      <c r="D1551" s="234" t="s">
        <v>7287</v>
      </c>
      <c r="E1551" s="246">
        <v>60000</v>
      </c>
      <c r="F1551" s="247">
        <v>0</v>
      </c>
      <c r="G1551" s="34" t="s">
        <v>7</v>
      </c>
      <c r="H1551" s="234" t="s">
        <v>5387</v>
      </c>
      <c r="I1551" s="248" t="s">
        <v>7</v>
      </c>
      <c r="J1551" s="249" t="s">
        <v>492</v>
      </c>
      <c r="K1551" s="250">
        <v>0</v>
      </c>
      <c r="L1551" s="250">
        <v>0</v>
      </c>
      <c r="M1551" s="251" t="s">
        <v>8</v>
      </c>
      <c r="N1551" s="252">
        <v>0</v>
      </c>
      <c r="O1551" s="185" t="s">
        <v>74</v>
      </c>
    </row>
    <row r="1552" spans="1:15" x14ac:dyDescent="0.25">
      <c r="A1552" s="234" t="s">
        <v>5386</v>
      </c>
      <c r="B1552" s="234" t="s">
        <v>8</v>
      </c>
      <c r="C1552" s="245">
        <v>46149</v>
      </c>
      <c r="D1552" s="234" t="s">
        <v>7287</v>
      </c>
      <c r="E1552" s="246">
        <v>52983.53</v>
      </c>
      <c r="F1552" s="247">
        <v>0</v>
      </c>
      <c r="G1552" s="34" t="s">
        <v>7</v>
      </c>
      <c r="H1552" s="234" t="s">
        <v>5387</v>
      </c>
      <c r="I1552" s="248" t="s">
        <v>7</v>
      </c>
      <c r="J1552" s="249" t="s">
        <v>492</v>
      </c>
      <c r="K1552" s="250">
        <v>0</v>
      </c>
      <c r="L1552" s="250">
        <v>0</v>
      </c>
      <c r="M1552" s="251" t="s">
        <v>8</v>
      </c>
      <c r="N1552" s="252">
        <v>0</v>
      </c>
      <c r="O1552" s="185" t="s">
        <v>74</v>
      </c>
    </row>
    <row r="1553" spans="1:15" x14ac:dyDescent="0.25">
      <c r="A1553" s="234" t="s">
        <v>7940</v>
      </c>
      <c r="B1553" s="234" t="s">
        <v>8</v>
      </c>
      <c r="C1553" s="245">
        <v>46149</v>
      </c>
      <c r="D1553" s="234" t="s">
        <v>7287</v>
      </c>
      <c r="E1553" s="246">
        <v>29970</v>
      </c>
      <c r="F1553" s="247">
        <v>0</v>
      </c>
      <c r="G1553" s="34" t="s">
        <v>7</v>
      </c>
      <c r="H1553" s="234" t="s">
        <v>7941</v>
      </c>
      <c r="I1553" s="248" t="s">
        <v>7</v>
      </c>
      <c r="J1553" s="249" t="s">
        <v>492</v>
      </c>
      <c r="K1553" s="250">
        <v>0</v>
      </c>
      <c r="L1553" s="250">
        <v>0</v>
      </c>
      <c r="M1553" s="251" t="s">
        <v>8</v>
      </c>
      <c r="N1553" s="252">
        <v>0</v>
      </c>
      <c r="O1553" s="185" t="s">
        <v>74</v>
      </c>
    </row>
    <row r="1554" spans="1:15" x14ac:dyDescent="0.25">
      <c r="A1554" s="234" t="s">
        <v>3707</v>
      </c>
      <c r="B1554" s="234" t="s">
        <v>8</v>
      </c>
      <c r="C1554" s="245">
        <v>46149</v>
      </c>
      <c r="D1554" s="234" t="s">
        <v>7287</v>
      </c>
      <c r="E1554" s="246">
        <v>28250.46</v>
      </c>
      <c r="F1554" s="247">
        <v>0</v>
      </c>
      <c r="G1554" s="34" t="s">
        <v>7</v>
      </c>
      <c r="H1554" s="234" t="s">
        <v>3708</v>
      </c>
      <c r="I1554" s="248" t="s">
        <v>7</v>
      </c>
      <c r="J1554" s="249" t="s">
        <v>492</v>
      </c>
      <c r="K1554" s="250">
        <v>0</v>
      </c>
      <c r="L1554" s="250">
        <v>0</v>
      </c>
      <c r="M1554" s="251" t="s">
        <v>8</v>
      </c>
      <c r="N1554" s="252">
        <v>0</v>
      </c>
      <c r="O1554" s="185" t="s">
        <v>74</v>
      </c>
    </row>
    <row r="1555" spans="1:15" x14ac:dyDescent="0.25">
      <c r="A1555" s="234" t="s">
        <v>7942</v>
      </c>
      <c r="B1555" s="234" t="s">
        <v>8</v>
      </c>
      <c r="C1555" s="245">
        <v>46149</v>
      </c>
      <c r="D1555" s="234" t="s">
        <v>7287</v>
      </c>
      <c r="E1555" s="246">
        <v>147557.06</v>
      </c>
      <c r="F1555" s="247">
        <v>0</v>
      </c>
      <c r="G1555" s="34" t="s">
        <v>7</v>
      </c>
      <c r="H1555" s="234" t="s">
        <v>7943</v>
      </c>
      <c r="I1555" s="248" t="s">
        <v>7</v>
      </c>
      <c r="J1555" s="249" t="s">
        <v>492</v>
      </c>
      <c r="K1555" s="250">
        <v>0</v>
      </c>
      <c r="L1555" s="250">
        <v>0</v>
      </c>
      <c r="M1555" s="251" t="s">
        <v>8</v>
      </c>
      <c r="N1555" s="252">
        <v>0</v>
      </c>
      <c r="O1555" s="185" t="s">
        <v>74</v>
      </c>
    </row>
    <row r="1556" spans="1:15" x14ac:dyDescent="0.25">
      <c r="A1556" s="234" t="s">
        <v>3693</v>
      </c>
      <c r="B1556" s="234" t="s">
        <v>8</v>
      </c>
      <c r="C1556" s="245">
        <v>46149</v>
      </c>
      <c r="D1556" s="234" t="s">
        <v>7287</v>
      </c>
      <c r="E1556" s="246">
        <v>268662.5</v>
      </c>
      <c r="F1556" s="247">
        <v>0</v>
      </c>
      <c r="G1556" s="34" t="s">
        <v>7</v>
      </c>
      <c r="H1556" s="234" t="s">
        <v>3694</v>
      </c>
      <c r="I1556" s="248" t="s">
        <v>7</v>
      </c>
      <c r="J1556" s="249" t="s">
        <v>492</v>
      </c>
      <c r="K1556" s="250">
        <v>0</v>
      </c>
      <c r="L1556" s="250">
        <v>0</v>
      </c>
      <c r="M1556" s="251" t="s">
        <v>8</v>
      </c>
      <c r="N1556" s="252">
        <v>0</v>
      </c>
      <c r="O1556" s="185" t="s">
        <v>74</v>
      </c>
    </row>
    <row r="1557" spans="1:15" x14ac:dyDescent="0.25">
      <c r="A1557" s="234" t="s">
        <v>4335</v>
      </c>
      <c r="B1557" s="234" t="s">
        <v>8</v>
      </c>
      <c r="C1557" s="245">
        <v>46149</v>
      </c>
      <c r="D1557" s="234" t="s">
        <v>7399</v>
      </c>
      <c r="E1557" s="246">
        <v>7000</v>
      </c>
      <c r="F1557" s="247" t="s">
        <v>4339</v>
      </c>
      <c r="G1557" s="34" t="s">
        <v>7</v>
      </c>
      <c r="H1557" s="234" t="s">
        <v>4336</v>
      </c>
      <c r="I1557" s="248" t="s">
        <v>7</v>
      </c>
      <c r="J1557" s="249" t="s">
        <v>554</v>
      </c>
      <c r="K1557" s="250">
        <v>7000</v>
      </c>
      <c r="L1557" s="250">
        <v>0</v>
      </c>
      <c r="M1557" s="251" t="s">
        <v>8</v>
      </c>
      <c r="N1557" s="252">
        <v>0</v>
      </c>
      <c r="O1557" s="185" t="s">
        <v>74</v>
      </c>
    </row>
    <row r="1558" spans="1:15" x14ac:dyDescent="0.25">
      <c r="A1558" s="234" t="s">
        <v>3377</v>
      </c>
      <c r="B1558" s="234" t="s">
        <v>8</v>
      </c>
      <c r="C1558" s="245">
        <v>46149</v>
      </c>
      <c r="D1558" s="234" t="s">
        <v>7287</v>
      </c>
      <c r="E1558" s="246">
        <v>113109</v>
      </c>
      <c r="F1558" s="247" t="s">
        <v>3376</v>
      </c>
      <c r="G1558" s="34" t="s">
        <v>7</v>
      </c>
      <c r="H1558" s="234" t="s">
        <v>3378</v>
      </c>
      <c r="I1558" s="248" t="s">
        <v>7</v>
      </c>
      <c r="J1558" s="249" t="s">
        <v>582</v>
      </c>
      <c r="K1558" s="250">
        <v>31024</v>
      </c>
      <c r="L1558" s="250">
        <v>0</v>
      </c>
      <c r="M1558" s="251" t="s">
        <v>8</v>
      </c>
      <c r="N1558" s="252">
        <v>0</v>
      </c>
      <c r="O1558" s="185" t="s">
        <v>74</v>
      </c>
    </row>
    <row r="1559" spans="1:15" x14ac:dyDescent="0.25">
      <c r="A1559" s="234" t="s">
        <v>3404</v>
      </c>
      <c r="B1559" s="234" t="s">
        <v>8</v>
      </c>
      <c r="C1559" s="245">
        <v>46149</v>
      </c>
      <c r="D1559" s="234" t="s">
        <v>7287</v>
      </c>
      <c r="E1559" s="246">
        <v>111098</v>
      </c>
      <c r="F1559" s="247" t="s">
        <v>3403</v>
      </c>
      <c r="G1559" s="34" t="s">
        <v>7</v>
      </c>
      <c r="H1559" s="234" t="s">
        <v>3405</v>
      </c>
      <c r="I1559" s="248" t="s">
        <v>7</v>
      </c>
      <c r="J1559" s="249" t="s">
        <v>582</v>
      </c>
      <c r="K1559" s="250">
        <v>30370</v>
      </c>
      <c r="L1559" s="250">
        <v>0</v>
      </c>
      <c r="M1559" s="251" t="s">
        <v>8</v>
      </c>
      <c r="N1559" s="252">
        <v>0</v>
      </c>
      <c r="O1559" s="185" t="s">
        <v>74</v>
      </c>
    </row>
    <row r="1560" spans="1:15" x14ac:dyDescent="0.25">
      <c r="A1560" s="234" t="s">
        <v>4458</v>
      </c>
      <c r="B1560" s="234" t="s">
        <v>8</v>
      </c>
      <c r="C1560" s="245">
        <v>46149</v>
      </c>
      <c r="D1560" s="234" t="s">
        <v>7420</v>
      </c>
      <c r="E1560" s="246">
        <v>108700</v>
      </c>
      <c r="F1560" s="247" t="s">
        <v>4457</v>
      </c>
      <c r="G1560" s="34" t="s">
        <v>7</v>
      </c>
      <c r="H1560" s="234" t="s">
        <v>4459</v>
      </c>
      <c r="I1560" s="248" t="s">
        <v>7</v>
      </c>
      <c r="J1560" s="249" t="s">
        <v>554</v>
      </c>
      <c r="K1560" s="250">
        <v>108700</v>
      </c>
      <c r="L1560" s="250">
        <v>0</v>
      </c>
      <c r="M1560" s="251" t="s">
        <v>8</v>
      </c>
      <c r="N1560" s="252">
        <v>0</v>
      </c>
      <c r="O1560" s="185" t="s">
        <v>74</v>
      </c>
    </row>
    <row r="1561" spans="1:15" x14ac:dyDescent="0.25">
      <c r="A1561" s="234" t="s">
        <v>625</v>
      </c>
      <c r="B1561" s="234" t="s">
        <v>22</v>
      </c>
      <c r="C1561" s="245">
        <v>46149</v>
      </c>
      <c r="D1561" s="234">
        <v>0</v>
      </c>
      <c r="E1561" s="246">
        <v>210757</v>
      </c>
      <c r="F1561" s="247">
        <v>0</v>
      </c>
      <c r="G1561" s="34" t="s">
        <v>7</v>
      </c>
      <c r="H1561" s="234" t="s">
        <v>626</v>
      </c>
      <c r="I1561" s="248" t="s">
        <v>7</v>
      </c>
      <c r="J1561" s="249" t="s">
        <v>492</v>
      </c>
      <c r="K1561" s="250">
        <v>0</v>
      </c>
      <c r="L1561" s="250">
        <v>0</v>
      </c>
      <c r="M1561" s="251" t="s">
        <v>22</v>
      </c>
      <c r="N1561" s="252">
        <v>0</v>
      </c>
      <c r="O1561" s="185" t="s">
        <v>51</v>
      </c>
    </row>
    <row r="1562" spans="1:15" x14ac:dyDescent="0.25">
      <c r="A1562" s="234" t="s">
        <v>2196</v>
      </c>
      <c r="B1562" s="234" t="s">
        <v>22</v>
      </c>
      <c r="C1562" s="245">
        <v>46149</v>
      </c>
      <c r="D1562" s="234" t="s">
        <v>575</v>
      </c>
      <c r="E1562" s="246">
        <v>250000</v>
      </c>
      <c r="F1562" s="247" t="s">
        <v>2195</v>
      </c>
      <c r="G1562" s="34" t="s">
        <v>7</v>
      </c>
      <c r="H1562" s="234" t="s">
        <v>2197</v>
      </c>
      <c r="I1562" s="248" t="s">
        <v>7</v>
      </c>
      <c r="J1562" s="249" t="s">
        <v>582</v>
      </c>
      <c r="K1562" s="250">
        <v>250000</v>
      </c>
      <c r="L1562" s="250">
        <v>0</v>
      </c>
      <c r="M1562" s="251" t="s">
        <v>22</v>
      </c>
      <c r="N1562" s="252">
        <v>0</v>
      </c>
      <c r="O1562" s="185" t="s">
        <v>51</v>
      </c>
    </row>
    <row r="1563" spans="1:15" x14ac:dyDescent="0.25">
      <c r="A1563" s="234" t="s">
        <v>2196</v>
      </c>
      <c r="B1563" s="234" t="s">
        <v>22</v>
      </c>
      <c r="C1563" s="245">
        <v>46149</v>
      </c>
      <c r="D1563" s="234" t="s">
        <v>575</v>
      </c>
      <c r="E1563" s="246">
        <v>157143</v>
      </c>
      <c r="F1563" s="247" t="s">
        <v>2198</v>
      </c>
      <c r="G1563" s="34" t="s">
        <v>7</v>
      </c>
      <c r="H1563" s="234" t="s">
        <v>2197</v>
      </c>
      <c r="I1563" s="248" t="s">
        <v>7</v>
      </c>
      <c r="J1563" s="249" t="s">
        <v>582</v>
      </c>
      <c r="K1563" s="250">
        <v>157143</v>
      </c>
      <c r="L1563" s="250">
        <v>0</v>
      </c>
      <c r="M1563" s="251" t="s">
        <v>22</v>
      </c>
      <c r="N1563" s="252">
        <v>0</v>
      </c>
      <c r="O1563" s="185" t="s">
        <v>51</v>
      </c>
    </row>
    <row r="1564" spans="1:15" x14ac:dyDescent="0.25">
      <c r="A1564" s="234" t="s">
        <v>7944</v>
      </c>
      <c r="B1564" s="234" t="s">
        <v>22</v>
      </c>
      <c r="C1564" s="245">
        <v>46149</v>
      </c>
      <c r="D1564" s="234">
        <v>0</v>
      </c>
      <c r="E1564" s="246">
        <v>166614</v>
      </c>
      <c r="F1564" s="247">
        <v>0</v>
      </c>
      <c r="G1564" s="34" t="s">
        <v>7</v>
      </c>
      <c r="H1564" s="234" t="s">
        <v>7945</v>
      </c>
      <c r="I1564" s="248" t="s">
        <v>7</v>
      </c>
      <c r="J1564" s="249" t="s">
        <v>492</v>
      </c>
      <c r="K1564" s="250">
        <v>0</v>
      </c>
      <c r="L1564" s="250">
        <v>0</v>
      </c>
      <c r="M1564" s="251" t="s">
        <v>22</v>
      </c>
      <c r="N1564" s="252">
        <v>0</v>
      </c>
      <c r="O1564" s="185" t="s">
        <v>51</v>
      </c>
    </row>
    <row r="1565" spans="1:15" x14ac:dyDescent="0.25">
      <c r="A1565" s="234" t="s">
        <v>2898</v>
      </c>
      <c r="B1565" s="234" t="s">
        <v>22</v>
      </c>
      <c r="C1565" s="245">
        <v>46149</v>
      </c>
      <c r="D1565" s="234" t="s">
        <v>546</v>
      </c>
      <c r="E1565" s="246">
        <v>119161</v>
      </c>
      <c r="F1565" s="247" t="s">
        <v>2900</v>
      </c>
      <c r="G1565" s="34" t="s">
        <v>7</v>
      </c>
      <c r="H1565" s="234" t="s">
        <v>2899</v>
      </c>
      <c r="I1565" s="248" t="s">
        <v>7</v>
      </c>
      <c r="J1565" s="249" t="s">
        <v>554</v>
      </c>
      <c r="K1565" s="250">
        <v>119161.15</v>
      </c>
      <c r="L1565" s="250">
        <v>0</v>
      </c>
      <c r="M1565" s="251" t="s">
        <v>22</v>
      </c>
      <c r="N1565" s="252">
        <v>0</v>
      </c>
      <c r="O1565" s="185" t="s">
        <v>51</v>
      </c>
    </row>
    <row r="1566" spans="1:15" x14ac:dyDescent="0.25">
      <c r="A1566" s="234" t="s">
        <v>2961</v>
      </c>
      <c r="B1566" s="234" t="s">
        <v>22</v>
      </c>
      <c r="C1566" s="245">
        <v>46149</v>
      </c>
      <c r="D1566" s="234" t="s">
        <v>546</v>
      </c>
      <c r="E1566" s="246">
        <v>40000</v>
      </c>
      <c r="F1566" s="247" t="s">
        <v>2964</v>
      </c>
      <c r="G1566" s="34" t="s">
        <v>7</v>
      </c>
      <c r="H1566" s="234" t="s">
        <v>2962</v>
      </c>
      <c r="I1566" s="248" t="s">
        <v>7</v>
      </c>
      <c r="J1566" s="249" t="s">
        <v>554</v>
      </c>
      <c r="K1566" s="250">
        <v>40000</v>
      </c>
      <c r="L1566" s="250">
        <v>0</v>
      </c>
      <c r="M1566" s="251" t="s">
        <v>22</v>
      </c>
      <c r="N1566" s="252">
        <v>0</v>
      </c>
      <c r="O1566" s="185" t="s">
        <v>51</v>
      </c>
    </row>
    <row r="1567" spans="1:15" x14ac:dyDescent="0.25">
      <c r="A1567" s="234" t="s">
        <v>3697</v>
      </c>
      <c r="B1567" s="234" t="s">
        <v>22</v>
      </c>
      <c r="C1567" s="245">
        <v>46149</v>
      </c>
      <c r="D1567" s="234" t="s">
        <v>546</v>
      </c>
      <c r="E1567" s="246">
        <v>150000</v>
      </c>
      <c r="F1567" s="247" t="s">
        <v>3705</v>
      </c>
      <c r="G1567" s="34" t="s">
        <v>7</v>
      </c>
      <c r="H1567" s="234" t="s">
        <v>3698</v>
      </c>
      <c r="I1567" s="248" t="s">
        <v>7</v>
      </c>
      <c r="J1567" s="249" t="s">
        <v>554</v>
      </c>
      <c r="K1567" s="250">
        <v>150000</v>
      </c>
      <c r="L1567" s="250">
        <v>0</v>
      </c>
      <c r="M1567" s="251" t="s">
        <v>22</v>
      </c>
      <c r="N1567" s="252">
        <v>0</v>
      </c>
      <c r="O1567" s="185" t="s">
        <v>51</v>
      </c>
    </row>
    <row r="1568" spans="1:15" x14ac:dyDescent="0.25">
      <c r="A1568" s="234" t="s">
        <v>596</v>
      </c>
      <c r="B1568" s="234" t="s">
        <v>22</v>
      </c>
      <c r="C1568" s="245">
        <v>46149</v>
      </c>
      <c r="D1568" s="234" t="s">
        <v>595</v>
      </c>
      <c r="E1568" s="246">
        <v>15000</v>
      </c>
      <c r="F1568" s="247" t="s">
        <v>601</v>
      </c>
      <c r="G1568" s="34" t="s">
        <v>7</v>
      </c>
      <c r="H1568" s="234" t="s">
        <v>597</v>
      </c>
      <c r="I1568" s="248" t="s">
        <v>7</v>
      </c>
      <c r="J1568" s="249" t="s">
        <v>582</v>
      </c>
      <c r="K1568" s="250">
        <v>15000</v>
      </c>
      <c r="L1568" s="250">
        <v>0</v>
      </c>
      <c r="M1568" s="251" t="s">
        <v>22</v>
      </c>
      <c r="N1568" s="252">
        <v>0</v>
      </c>
      <c r="O1568" s="185" t="s">
        <v>51</v>
      </c>
    </row>
    <row r="1569" spans="1:15" x14ac:dyDescent="0.25">
      <c r="A1569" s="234" t="s">
        <v>2105</v>
      </c>
      <c r="B1569" s="234" t="s">
        <v>22</v>
      </c>
      <c r="C1569" s="245">
        <v>46149</v>
      </c>
      <c r="D1569" s="234">
        <v>0</v>
      </c>
      <c r="E1569" s="246">
        <v>257225</v>
      </c>
      <c r="F1569" s="247">
        <v>0</v>
      </c>
      <c r="G1569" s="34" t="s">
        <v>7</v>
      </c>
      <c r="H1569" s="234" t="s">
        <v>2106</v>
      </c>
      <c r="I1569" s="248" t="s">
        <v>7</v>
      </c>
      <c r="J1569" s="249" t="s">
        <v>492</v>
      </c>
      <c r="K1569" s="250">
        <v>0</v>
      </c>
      <c r="L1569" s="250">
        <v>0</v>
      </c>
      <c r="M1569" s="251" t="s">
        <v>22</v>
      </c>
      <c r="N1569" s="252">
        <v>0</v>
      </c>
      <c r="O1569" s="185" t="s">
        <v>51</v>
      </c>
    </row>
    <row r="1570" spans="1:15" x14ac:dyDescent="0.25">
      <c r="A1570" s="234" t="s">
        <v>579</v>
      </c>
      <c r="B1570" s="234" t="s">
        <v>22</v>
      </c>
      <c r="C1570" s="245">
        <v>46149</v>
      </c>
      <c r="D1570" s="234" t="s">
        <v>575</v>
      </c>
      <c r="E1570" s="246">
        <v>100000</v>
      </c>
      <c r="F1570" s="247" t="s">
        <v>578</v>
      </c>
      <c r="G1570" s="34" t="s">
        <v>7</v>
      </c>
      <c r="H1570" s="234" t="s">
        <v>581</v>
      </c>
      <c r="I1570" s="248" t="s">
        <v>7</v>
      </c>
      <c r="J1570" s="249" t="s">
        <v>582</v>
      </c>
      <c r="K1570" s="250">
        <v>100000</v>
      </c>
      <c r="L1570" s="250">
        <v>0</v>
      </c>
      <c r="M1570" s="251" t="s">
        <v>22</v>
      </c>
      <c r="N1570" s="252">
        <v>0</v>
      </c>
      <c r="O1570" s="185" t="s">
        <v>51</v>
      </c>
    </row>
    <row r="1571" spans="1:15" x14ac:dyDescent="0.25">
      <c r="A1571" s="234" t="s">
        <v>1324</v>
      </c>
      <c r="B1571" s="234" t="s">
        <v>22</v>
      </c>
      <c r="C1571" s="245">
        <v>46149</v>
      </c>
      <c r="D1571" s="234">
        <v>0</v>
      </c>
      <c r="E1571" s="246">
        <v>100000</v>
      </c>
      <c r="F1571" s="247">
        <v>0</v>
      </c>
      <c r="G1571" s="34" t="s">
        <v>7</v>
      </c>
      <c r="H1571" s="234" t="s">
        <v>1325</v>
      </c>
      <c r="I1571" s="248" t="s">
        <v>7</v>
      </c>
      <c r="J1571" s="249" t="s">
        <v>492</v>
      </c>
      <c r="K1571" s="250">
        <v>0</v>
      </c>
      <c r="L1571" s="250">
        <v>0</v>
      </c>
      <c r="M1571" s="251" t="s">
        <v>22</v>
      </c>
      <c r="N1571" s="252">
        <v>0</v>
      </c>
      <c r="O1571" s="185" t="s">
        <v>51</v>
      </c>
    </row>
    <row r="1572" spans="1:15" x14ac:dyDescent="0.25">
      <c r="A1572" s="234" t="s">
        <v>2972</v>
      </c>
      <c r="B1572" s="234" t="s">
        <v>22</v>
      </c>
      <c r="C1572" s="245">
        <v>46149</v>
      </c>
      <c r="D1572" s="234" t="s">
        <v>595</v>
      </c>
      <c r="E1572" s="246">
        <v>91494</v>
      </c>
      <c r="F1572" s="247" t="s">
        <v>2971</v>
      </c>
      <c r="G1572" s="34" t="s">
        <v>7</v>
      </c>
      <c r="H1572" s="234" t="s">
        <v>2973</v>
      </c>
      <c r="I1572" s="248" t="s">
        <v>7</v>
      </c>
      <c r="J1572" s="249" t="s">
        <v>582</v>
      </c>
      <c r="K1572" s="250">
        <v>103000</v>
      </c>
      <c r="L1572" s="250">
        <v>0</v>
      </c>
      <c r="M1572" s="251" t="s">
        <v>22</v>
      </c>
      <c r="N1572" s="252">
        <v>0</v>
      </c>
      <c r="O1572" s="185" t="s">
        <v>51</v>
      </c>
    </row>
    <row r="1573" spans="1:15" x14ac:dyDescent="0.25">
      <c r="A1573" s="234" t="s">
        <v>7946</v>
      </c>
      <c r="B1573" s="234" t="s">
        <v>22</v>
      </c>
      <c r="C1573" s="245">
        <v>46149</v>
      </c>
      <c r="D1573" s="234">
        <v>0</v>
      </c>
      <c r="E1573" s="246">
        <v>100000</v>
      </c>
      <c r="F1573" s="247">
        <v>0</v>
      </c>
      <c r="G1573" s="34" t="s">
        <v>7</v>
      </c>
      <c r="H1573" s="234" t="s">
        <v>7947</v>
      </c>
      <c r="I1573" s="248" t="s">
        <v>7</v>
      </c>
      <c r="J1573" s="249" t="s">
        <v>492</v>
      </c>
      <c r="K1573" s="250">
        <v>0</v>
      </c>
      <c r="L1573" s="250">
        <v>0</v>
      </c>
      <c r="M1573" s="251" t="s">
        <v>22</v>
      </c>
      <c r="N1573" s="252">
        <v>0</v>
      </c>
      <c r="O1573" s="185" t="s">
        <v>51</v>
      </c>
    </row>
    <row r="1574" spans="1:15" x14ac:dyDescent="0.25">
      <c r="A1574" s="234" t="s">
        <v>7948</v>
      </c>
      <c r="B1574" s="234" t="s">
        <v>22</v>
      </c>
      <c r="C1574" s="245">
        <v>46149</v>
      </c>
      <c r="D1574" s="234">
        <v>0</v>
      </c>
      <c r="E1574" s="246">
        <v>118017</v>
      </c>
      <c r="F1574" s="247">
        <v>0</v>
      </c>
      <c r="G1574" s="34" t="s">
        <v>7</v>
      </c>
      <c r="H1574" s="234" t="s">
        <v>7949</v>
      </c>
      <c r="I1574" s="248" t="s">
        <v>7</v>
      </c>
      <c r="J1574" s="249" t="s">
        <v>492</v>
      </c>
      <c r="K1574" s="250">
        <v>0</v>
      </c>
      <c r="L1574" s="250">
        <v>0</v>
      </c>
      <c r="M1574" s="251" t="s">
        <v>22</v>
      </c>
      <c r="N1574" s="252">
        <v>0</v>
      </c>
      <c r="O1574" s="185" t="s">
        <v>51</v>
      </c>
    </row>
    <row r="1575" spans="1:15" x14ac:dyDescent="0.25">
      <c r="A1575" s="234" t="s">
        <v>7950</v>
      </c>
      <c r="B1575" s="234" t="s">
        <v>22</v>
      </c>
      <c r="C1575" s="245">
        <v>46149</v>
      </c>
      <c r="D1575" s="234">
        <v>0</v>
      </c>
      <c r="E1575" s="246">
        <v>184099</v>
      </c>
      <c r="F1575" s="247">
        <v>0</v>
      </c>
      <c r="G1575" s="34" t="s">
        <v>7</v>
      </c>
      <c r="H1575" s="234" t="s">
        <v>7951</v>
      </c>
      <c r="I1575" s="248" t="s">
        <v>7</v>
      </c>
      <c r="J1575" s="249" t="s">
        <v>492</v>
      </c>
      <c r="K1575" s="250">
        <v>0</v>
      </c>
      <c r="L1575" s="250">
        <v>0</v>
      </c>
      <c r="M1575" s="251" t="s">
        <v>22</v>
      </c>
      <c r="N1575" s="252">
        <v>0</v>
      </c>
      <c r="O1575" s="185" t="s">
        <v>51</v>
      </c>
    </row>
    <row r="1576" spans="1:15" x14ac:dyDescent="0.25">
      <c r="A1576" s="234" t="s">
        <v>4537</v>
      </c>
      <c r="B1576" s="234" t="s">
        <v>23</v>
      </c>
      <c r="C1576" s="245">
        <v>46149</v>
      </c>
      <c r="D1576" s="234" t="s">
        <v>7287</v>
      </c>
      <c r="E1576" s="246">
        <v>322123.32</v>
      </c>
      <c r="F1576" s="247" t="s">
        <v>4536</v>
      </c>
      <c r="G1576" s="34" t="s">
        <v>7</v>
      </c>
      <c r="H1576" s="234" t="s">
        <v>4538</v>
      </c>
      <c r="I1576" s="248" t="s">
        <v>7</v>
      </c>
      <c r="J1576" s="249" t="s">
        <v>582</v>
      </c>
      <c r="K1576" s="250">
        <v>322123.32</v>
      </c>
      <c r="L1576" s="250">
        <v>0</v>
      </c>
      <c r="M1576" s="251" t="s">
        <v>23</v>
      </c>
      <c r="N1576" s="252">
        <v>0</v>
      </c>
      <c r="O1576" s="185" t="s">
        <v>51</v>
      </c>
    </row>
    <row r="1577" spans="1:15" x14ac:dyDescent="0.25">
      <c r="A1577" s="234" t="s">
        <v>3560</v>
      </c>
      <c r="B1577" s="234" t="s">
        <v>23</v>
      </c>
      <c r="C1577" s="245">
        <v>46149</v>
      </c>
      <c r="D1577" s="234" t="s">
        <v>7289</v>
      </c>
      <c r="E1577" s="246">
        <v>124072</v>
      </c>
      <c r="F1577" s="247" t="s">
        <v>3559</v>
      </c>
      <c r="G1577" s="34" t="s">
        <v>7</v>
      </c>
      <c r="H1577" s="234" t="s">
        <v>3561</v>
      </c>
      <c r="I1577" s="248" t="s">
        <v>7</v>
      </c>
      <c r="J1577" s="249" t="s">
        <v>582</v>
      </c>
      <c r="K1577" s="250">
        <v>124072</v>
      </c>
      <c r="L1577" s="250">
        <v>0</v>
      </c>
      <c r="M1577" s="251" t="s">
        <v>23</v>
      </c>
      <c r="N1577" s="252">
        <v>0</v>
      </c>
      <c r="O1577" s="185" t="s">
        <v>51</v>
      </c>
    </row>
    <row r="1578" spans="1:15" x14ac:dyDescent="0.25">
      <c r="A1578" s="234" t="s">
        <v>3540</v>
      </c>
      <c r="B1578" s="234" t="s">
        <v>23</v>
      </c>
      <c r="C1578" s="245">
        <v>46149</v>
      </c>
      <c r="D1578" s="234" t="s">
        <v>7289</v>
      </c>
      <c r="E1578" s="246">
        <v>124072</v>
      </c>
      <c r="F1578" s="247" t="s">
        <v>3539</v>
      </c>
      <c r="G1578" s="34" t="s">
        <v>7</v>
      </c>
      <c r="H1578" s="234" t="s">
        <v>3541</v>
      </c>
      <c r="I1578" s="248" t="s">
        <v>7</v>
      </c>
      <c r="J1578" s="249" t="s">
        <v>582</v>
      </c>
      <c r="K1578" s="250">
        <v>124072</v>
      </c>
      <c r="L1578" s="250">
        <v>0</v>
      </c>
      <c r="M1578" s="251" t="s">
        <v>23</v>
      </c>
      <c r="N1578" s="252">
        <v>0</v>
      </c>
      <c r="O1578" s="185" t="s">
        <v>51</v>
      </c>
    </row>
    <row r="1579" spans="1:15" x14ac:dyDescent="0.25">
      <c r="A1579" s="234" t="s">
        <v>1498</v>
      </c>
      <c r="B1579" s="234" t="s">
        <v>23</v>
      </c>
      <c r="C1579" s="245">
        <v>46149</v>
      </c>
      <c r="D1579" s="234" t="s">
        <v>546</v>
      </c>
      <c r="E1579" s="246">
        <v>35000</v>
      </c>
      <c r="F1579" s="247" t="s">
        <v>1501</v>
      </c>
      <c r="G1579" s="34" t="s">
        <v>7</v>
      </c>
      <c r="H1579" s="234" t="s">
        <v>1499</v>
      </c>
      <c r="I1579" s="248" t="s">
        <v>7</v>
      </c>
      <c r="J1579" s="249" t="s">
        <v>554</v>
      </c>
      <c r="K1579" s="250">
        <v>35000</v>
      </c>
      <c r="L1579" s="250">
        <v>0</v>
      </c>
      <c r="M1579" s="251" t="s">
        <v>23</v>
      </c>
      <c r="N1579" s="252">
        <v>0</v>
      </c>
      <c r="O1579" s="185" t="s">
        <v>51</v>
      </c>
    </row>
    <row r="1580" spans="1:15" x14ac:dyDescent="0.25">
      <c r="A1580" s="234" t="s">
        <v>499</v>
      </c>
      <c r="B1580" s="234" t="s">
        <v>23</v>
      </c>
      <c r="C1580" s="245">
        <v>46149</v>
      </c>
      <c r="D1580" s="234" t="s">
        <v>546</v>
      </c>
      <c r="E1580" s="246">
        <v>100000</v>
      </c>
      <c r="F1580" s="247" t="s">
        <v>1375</v>
      </c>
      <c r="G1580" s="34" t="s">
        <v>7</v>
      </c>
      <c r="H1580" s="234" t="s">
        <v>498</v>
      </c>
      <c r="I1580" s="248" t="s">
        <v>7</v>
      </c>
      <c r="J1580" s="249" t="s">
        <v>554</v>
      </c>
      <c r="K1580" s="250">
        <v>100000</v>
      </c>
      <c r="L1580" s="250">
        <v>0</v>
      </c>
      <c r="M1580" s="251" t="s">
        <v>23</v>
      </c>
      <c r="N1580" s="252">
        <v>0</v>
      </c>
      <c r="O1580" s="185" t="s">
        <v>51</v>
      </c>
    </row>
    <row r="1581" spans="1:15" x14ac:dyDescent="0.25">
      <c r="A1581" s="234" t="s">
        <v>1438</v>
      </c>
      <c r="B1581" s="234" t="s">
        <v>23</v>
      </c>
      <c r="C1581" s="245">
        <v>46149</v>
      </c>
      <c r="D1581" s="234" t="s">
        <v>7289</v>
      </c>
      <c r="E1581" s="246">
        <v>151913</v>
      </c>
      <c r="F1581" s="247" t="s">
        <v>1437</v>
      </c>
      <c r="G1581" s="34" t="s">
        <v>7</v>
      </c>
      <c r="H1581" s="234" t="s">
        <v>1439</v>
      </c>
      <c r="I1581" s="248" t="s">
        <v>7</v>
      </c>
      <c r="J1581" s="249" t="s">
        <v>582</v>
      </c>
      <c r="K1581" s="250">
        <v>151913</v>
      </c>
      <c r="L1581" s="250">
        <v>0</v>
      </c>
      <c r="M1581" s="251" t="s">
        <v>23</v>
      </c>
      <c r="N1581" s="252">
        <v>0</v>
      </c>
      <c r="O1581" s="185" t="s">
        <v>51</v>
      </c>
    </row>
    <row r="1582" spans="1:15" x14ac:dyDescent="0.25">
      <c r="A1582" s="234" t="s">
        <v>355</v>
      </c>
      <c r="B1582" s="234" t="s">
        <v>23</v>
      </c>
      <c r="C1582" s="245">
        <v>46149</v>
      </c>
      <c r="D1582" s="234" t="s">
        <v>7289</v>
      </c>
      <c r="E1582" s="246">
        <v>224847</v>
      </c>
      <c r="F1582" s="247" t="s">
        <v>1415</v>
      </c>
      <c r="G1582" s="34" t="s">
        <v>7</v>
      </c>
      <c r="H1582" s="234" t="s">
        <v>354</v>
      </c>
      <c r="I1582" s="248" t="s">
        <v>7</v>
      </c>
      <c r="J1582" s="249" t="s">
        <v>582</v>
      </c>
      <c r="K1582" s="250">
        <v>224847</v>
      </c>
      <c r="L1582" s="250">
        <v>0</v>
      </c>
      <c r="M1582" s="251" t="s">
        <v>23</v>
      </c>
      <c r="N1582" s="252">
        <v>0</v>
      </c>
      <c r="O1582" s="185" t="s">
        <v>51</v>
      </c>
    </row>
    <row r="1583" spans="1:15" x14ac:dyDescent="0.25">
      <c r="A1583" s="234" t="s">
        <v>336</v>
      </c>
      <c r="B1583" s="234" t="s">
        <v>23</v>
      </c>
      <c r="C1583" s="245">
        <v>46149</v>
      </c>
      <c r="D1583" s="234" t="s">
        <v>7289</v>
      </c>
      <c r="E1583" s="246">
        <v>220270</v>
      </c>
      <c r="F1583" s="247" t="s">
        <v>1479</v>
      </c>
      <c r="G1583" s="34" t="s">
        <v>7</v>
      </c>
      <c r="H1583" s="234" t="s">
        <v>335</v>
      </c>
      <c r="I1583" s="248" t="s">
        <v>7</v>
      </c>
      <c r="J1583" s="249" t="s">
        <v>582</v>
      </c>
      <c r="K1583" s="250">
        <v>220270</v>
      </c>
      <c r="L1583" s="250">
        <v>0</v>
      </c>
      <c r="M1583" s="251" t="s">
        <v>23</v>
      </c>
      <c r="N1583" s="252">
        <v>0</v>
      </c>
      <c r="O1583" s="185" t="s">
        <v>51</v>
      </c>
    </row>
    <row r="1584" spans="1:15" x14ac:dyDescent="0.25">
      <c r="A1584" s="234" t="s">
        <v>1524</v>
      </c>
      <c r="B1584" s="234" t="s">
        <v>23</v>
      </c>
      <c r="C1584" s="245">
        <v>46149</v>
      </c>
      <c r="D1584" s="234" t="s">
        <v>7289</v>
      </c>
      <c r="E1584" s="246">
        <v>75780</v>
      </c>
      <c r="F1584" s="247" t="s">
        <v>1527</v>
      </c>
      <c r="G1584" s="34" t="s">
        <v>7</v>
      </c>
      <c r="H1584" s="234" t="s">
        <v>1525</v>
      </c>
      <c r="I1584" s="248" t="s">
        <v>7</v>
      </c>
      <c r="J1584" s="249" t="s">
        <v>582</v>
      </c>
      <c r="K1584" s="250">
        <v>75780</v>
      </c>
      <c r="L1584" s="250">
        <v>0</v>
      </c>
      <c r="M1584" s="251" t="s">
        <v>23</v>
      </c>
      <c r="N1584" s="252">
        <v>0</v>
      </c>
      <c r="O1584" s="185" t="s">
        <v>51</v>
      </c>
    </row>
    <row r="1585" spans="1:15" x14ac:dyDescent="0.25">
      <c r="A1585" s="234" t="s">
        <v>1394</v>
      </c>
      <c r="B1585" s="234" t="s">
        <v>23</v>
      </c>
      <c r="C1585" s="245">
        <v>46149</v>
      </c>
      <c r="D1585" s="234" t="s">
        <v>546</v>
      </c>
      <c r="E1585" s="246">
        <v>17000</v>
      </c>
      <c r="F1585" s="247" t="s">
        <v>1393</v>
      </c>
      <c r="G1585" s="34" t="s">
        <v>7</v>
      </c>
      <c r="H1585" s="234" t="s">
        <v>1395</v>
      </c>
      <c r="I1585" s="248" t="s">
        <v>7</v>
      </c>
      <c r="J1585" s="249" t="s">
        <v>554</v>
      </c>
      <c r="K1585" s="250">
        <v>17000</v>
      </c>
      <c r="L1585" s="250">
        <v>0</v>
      </c>
      <c r="M1585" s="251" t="s">
        <v>23</v>
      </c>
      <c r="N1585" s="252">
        <v>0</v>
      </c>
      <c r="O1585" s="185" t="s">
        <v>51</v>
      </c>
    </row>
    <row r="1586" spans="1:15" x14ac:dyDescent="0.25">
      <c r="A1586" s="234" t="s">
        <v>1524</v>
      </c>
      <c r="B1586" s="234" t="s">
        <v>23</v>
      </c>
      <c r="C1586" s="245">
        <v>46149</v>
      </c>
      <c r="D1586" s="234" t="s">
        <v>546</v>
      </c>
      <c r="E1586" s="246">
        <v>13000</v>
      </c>
      <c r="F1586" s="247" t="s">
        <v>1526</v>
      </c>
      <c r="G1586" s="34" t="s">
        <v>7</v>
      </c>
      <c r="H1586" s="234" t="s">
        <v>1525</v>
      </c>
      <c r="I1586" s="248" t="s">
        <v>7</v>
      </c>
      <c r="J1586" s="249" t="s">
        <v>582</v>
      </c>
      <c r="K1586" s="250">
        <v>13000</v>
      </c>
      <c r="L1586" s="250">
        <v>0</v>
      </c>
      <c r="M1586" s="251" t="s">
        <v>23</v>
      </c>
      <c r="N1586" s="252">
        <v>0</v>
      </c>
      <c r="O1586" s="185" t="s">
        <v>51</v>
      </c>
    </row>
    <row r="1587" spans="1:15" x14ac:dyDescent="0.25">
      <c r="A1587" s="234" t="s">
        <v>1524</v>
      </c>
      <c r="B1587" s="234" t="s">
        <v>23</v>
      </c>
      <c r="C1587" s="245">
        <v>46149</v>
      </c>
      <c r="D1587" s="234" t="s">
        <v>546</v>
      </c>
      <c r="E1587" s="246">
        <v>285</v>
      </c>
      <c r="F1587" s="247" t="s">
        <v>1523</v>
      </c>
      <c r="G1587" s="34" t="s">
        <v>7</v>
      </c>
      <c r="H1587" s="234" t="s">
        <v>1525</v>
      </c>
      <c r="I1587" s="248" t="s">
        <v>7</v>
      </c>
      <c r="J1587" s="249" t="s">
        <v>582</v>
      </c>
      <c r="K1587" s="250">
        <v>285</v>
      </c>
      <c r="L1587" s="250">
        <v>0</v>
      </c>
      <c r="M1587" s="251" t="s">
        <v>23</v>
      </c>
      <c r="N1587" s="252">
        <v>0</v>
      </c>
      <c r="O1587" s="185" t="s">
        <v>51</v>
      </c>
    </row>
    <row r="1588" spans="1:15" x14ac:dyDescent="0.25">
      <c r="A1588" s="234" t="s">
        <v>5436</v>
      </c>
      <c r="B1588" s="234" t="s">
        <v>23</v>
      </c>
      <c r="C1588" s="245">
        <v>46149</v>
      </c>
      <c r="D1588" s="234" t="s">
        <v>7269</v>
      </c>
      <c r="E1588" s="246">
        <v>249388.43</v>
      </c>
      <c r="F1588" s="247" t="s">
        <v>5435</v>
      </c>
      <c r="G1588" s="34" t="s">
        <v>7</v>
      </c>
      <c r="H1588" s="234" t="s">
        <v>5437</v>
      </c>
      <c r="I1588" s="248" t="s">
        <v>7</v>
      </c>
      <c r="J1588" s="249" t="s">
        <v>554</v>
      </c>
      <c r="K1588" s="250">
        <v>249388.43</v>
      </c>
      <c r="L1588" s="250">
        <v>0</v>
      </c>
      <c r="M1588" s="251" t="s">
        <v>23</v>
      </c>
      <c r="N1588" s="252">
        <v>0</v>
      </c>
      <c r="O1588" s="185" t="s">
        <v>51</v>
      </c>
    </row>
    <row r="1589" spans="1:15" x14ac:dyDescent="0.25">
      <c r="A1589" s="234" t="s">
        <v>1930</v>
      </c>
      <c r="B1589" s="234" t="s">
        <v>23</v>
      </c>
      <c r="C1589" s="245">
        <v>46149</v>
      </c>
      <c r="D1589" s="234" t="s">
        <v>546</v>
      </c>
      <c r="E1589" s="246">
        <v>107355</v>
      </c>
      <c r="F1589" s="247" t="s">
        <v>1933</v>
      </c>
      <c r="G1589" s="34" t="s">
        <v>7</v>
      </c>
      <c r="H1589" s="234" t="s">
        <v>1932</v>
      </c>
      <c r="I1589" s="248" t="s">
        <v>7</v>
      </c>
      <c r="J1589" s="249" t="s">
        <v>554</v>
      </c>
      <c r="K1589" s="250">
        <v>107355</v>
      </c>
      <c r="L1589" s="250">
        <v>0</v>
      </c>
      <c r="M1589" s="251" t="s">
        <v>23</v>
      </c>
      <c r="N1589" s="252">
        <v>0</v>
      </c>
      <c r="O1589" s="185" t="s">
        <v>51</v>
      </c>
    </row>
    <row r="1590" spans="1:15" x14ac:dyDescent="0.25">
      <c r="A1590" s="234" t="s">
        <v>231</v>
      </c>
      <c r="B1590" s="234" t="s">
        <v>23</v>
      </c>
      <c r="C1590" s="245">
        <v>46149</v>
      </c>
      <c r="D1590" s="234" t="s">
        <v>64</v>
      </c>
      <c r="E1590" s="246">
        <v>150063</v>
      </c>
      <c r="F1590" s="247" t="s">
        <v>1359</v>
      </c>
      <c r="G1590" s="34" t="s">
        <v>7</v>
      </c>
      <c r="H1590" s="234" t="s">
        <v>230</v>
      </c>
      <c r="I1590" s="248" t="s">
        <v>7</v>
      </c>
      <c r="J1590" s="249" t="s">
        <v>554</v>
      </c>
      <c r="K1590" s="250">
        <v>150063</v>
      </c>
      <c r="L1590" s="250">
        <v>0</v>
      </c>
      <c r="M1590" s="251" t="s">
        <v>23</v>
      </c>
      <c r="N1590" s="252">
        <v>0</v>
      </c>
      <c r="O1590" s="185" t="s">
        <v>51</v>
      </c>
    </row>
    <row r="1591" spans="1:15" x14ac:dyDescent="0.25">
      <c r="A1591" s="234" t="s">
        <v>1441</v>
      </c>
      <c r="B1591" s="234" t="s">
        <v>23</v>
      </c>
      <c r="C1591" s="245">
        <v>46149</v>
      </c>
      <c r="D1591" s="234" t="s">
        <v>7952</v>
      </c>
      <c r="E1591" s="246">
        <v>30000</v>
      </c>
      <c r="F1591" s="247" t="s">
        <v>1440</v>
      </c>
      <c r="G1591" s="34" t="s">
        <v>7</v>
      </c>
      <c r="H1591" s="234" t="s">
        <v>1442</v>
      </c>
      <c r="I1591" s="248" t="s">
        <v>7</v>
      </c>
      <c r="J1591" s="249" t="s">
        <v>582</v>
      </c>
      <c r="K1591" s="250">
        <v>300000</v>
      </c>
      <c r="L1591" s="250">
        <v>0</v>
      </c>
      <c r="M1591" s="251" t="s">
        <v>23</v>
      </c>
      <c r="N1591" s="252">
        <v>0</v>
      </c>
      <c r="O1591" s="185" t="s">
        <v>51</v>
      </c>
    </row>
    <row r="1592" spans="1:15" x14ac:dyDescent="0.25">
      <c r="A1592" s="234" t="s">
        <v>1511</v>
      </c>
      <c r="B1592" s="234" t="s">
        <v>23</v>
      </c>
      <c r="C1592" s="245">
        <v>46149</v>
      </c>
      <c r="D1592" s="234" t="s">
        <v>7289</v>
      </c>
      <c r="E1592" s="246">
        <v>100000</v>
      </c>
      <c r="F1592" s="247" t="s">
        <v>1510</v>
      </c>
      <c r="G1592" s="34" t="s">
        <v>7</v>
      </c>
      <c r="H1592" s="234" t="s">
        <v>1512</v>
      </c>
      <c r="I1592" s="248" t="s">
        <v>7</v>
      </c>
      <c r="J1592" s="249" t="s">
        <v>582</v>
      </c>
      <c r="K1592" s="250">
        <v>100000</v>
      </c>
      <c r="L1592" s="250">
        <v>0</v>
      </c>
      <c r="M1592" s="251" t="s">
        <v>23</v>
      </c>
      <c r="N1592" s="252">
        <v>0</v>
      </c>
      <c r="O1592" s="185" t="s">
        <v>51</v>
      </c>
    </row>
    <row r="1593" spans="1:15" x14ac:dyDescent="0.25">
      <c r="A1593" s="234" t="s">
        <v>399</v>
      </c>
      <c r="B1593" s="234" t="s">
        <v>23</v>
      </c>
      <c r="C1593" s="245">
        <v>46149</v>
      </c>
      <c r="D1593" s="234" t="s">
        <v>64</v>
      </c>
      <c r="E1593" s="246">
        <v>126324</v>
      </c>
      <c r="F1593" s="247">
        <v>0</v>
      </c>
      <c r="G1593" s="34" t="s">
        <v>7</v>
      </c>
      <c r="H1593" s="234" t="s">
        <v>398</v>
      </c>
      <c r="I1593" s="248" t="s">
        <v>7</v>
      </c>
      <c r="J1593" s="249" t="s">
        <v>492</v>
      </c>
      <c r="K1593" s="250">
        <v>0</v>
      </c>
      <c r="L1593" s="250">
        <v>0</v>
      </c>
      <c r="M1593" s="251" t="s">
        <v>23</v>
      </c>
      <c r="N1593" s="252">
        <v>0</v>
      </c>
      <c r="O1593" s="185" t="s">
        <v>51</v>
      </c>
    </row>
    <row r="1594" spans="1:15" x14ac:dyDescent="0.25">
      <c r="A1594" s="234" t="s">
        <v>733</v>
      </c>
      <c r="B1594" s="234" t="s">
        <v>13</v>
      </c>
      <c r="C1594" s="245">
        <v>46149</v>
      </c>
      <c r="D1594" s="234">
        <v>0</v>
      </c>
      <c r="E1594" s="246">
        <v>135063</v>
      </c>
      <c r="F1594" s="247" t="s">
        <v>736</v>
      </c>
      <c r="G1594" s="34" t="s">
        <v>7</v>
      </c>
      <c r="H1594" s="234" t="s">
        <v>734</v>
      </c>
      <c r="I1594" s="248" t="s">
        <v>7</v>
      </c>
      <c r="J1594" s="249" t="s">
        <v>554</v>
      </c>
      <c r="K1594" s="250">
        <v>135063</v>
      </c>
      <c r="L1594" s="250">
        <v>0</v>
      </c>
      <c r="M1594" s="251" t="s">
        <v>13</v>
      </c>
      <c r="N1594" s="252">
        <v>0</v>
      </c>
      <c r="O1594" s="185" t="s">
        <v>51</v>
      </c>
    </row>
    <row r="1595" spans="1:15" x14ac:dyDescent="0.25">
      <c r="A1595" s="234" t="s">
        <v>2269</v>
      </c>
      <c r="B1595" s="234" t="s">
        <v>13</v>
      </c>
      <c r="C1595" s="245">
        <v>46149</v>
      </c>
      <c r="D1595" s="234">
        <v>0</v>
      </c>
      <c r="E1595" s="246">
        <v>291447</v>
      </c>
      <c r="F1595" s="247" t="s">
        <v>2268</v>
      </c>
      <c r="G1595" s="34" t="s">
        <v>7</v>
      </c>
      <c r="H1595" s="234" t="s">
        <v>2270</v>
      </c>
      <c r="I1595" s="248" t="s">
        <v>7</v>
      </c>
      <c r="J1595" s="249" t="s">
        <v>554</v>
      </c>
      <c r="K1595" s="250">
        <v>291447</v>
      </c>
      <c r="L1595" s="250">
        <v>0</v>
      </c>
      <c r="M1595" s="251" t="s">
        <v>13</v>
      </c>
      <c r="N1595" s="252">
        <v>0</v>
      </c>
      <c r="O1595" s="185" t="s">
        <v>51</v>
      </c>
    </row>
    <row r="1596" spans="1:15" x14ac:dyDescent="0.25">
      <c r="A1596" s="234" t="s">
        <v>2630</v>
      </c>
      <c r="B1596" s="234" t="s">
        <v>13</v>
      </c>
      <c r="C1596" s="245">
        <v>46149</v>
      </c>
      <c r="D1596" s="234">
        <v>0</v>
      </c>
      <c r="E1596" s="246">
        <v>98000</v>
      </c>
      <c r="F1596" s="247" t="s">
        <v>2629</v>
      </c>
      <c r="G1596" s="34" t="s">
        <v>7</v>
      </c>
      <c r="H1596" s="234" t="s">
        <v>2631</v>
      </c>
      <c r="I1596" s="248" t="s">
        <v>7</v>
      </c>
      <c r="J1596" s="249" t="s">
        <v>582</v>
      </c>
      <c r="K1596" s="250">
        <v>98000</v>
      </c>
      <c r="L1596" s="250">
        <v>0</v>
      </c>
      <c r="M1596" s="251" t="s">
        <v>13</v>
      </c>
      <c r="N1596" s="252">
        <v>0</v>
      </c>
      <c r="O1596" s="185" t="s">
        <v>51</v>
      </c>
    </row>
    <row r="1597" spans="1:15" x14ac:dyDescent="0.25">
      <c r="A1597" s="234" t="s">
        <v>2775</v>
      </c>
      <c r="B1597" s="234" t="s">
        <v>31</v>
      </c>
      <c r="C1597" s="245">
        <v>46149</v>
      </c>
      <c r="D1597" s="234" t="s">
        <v>546</v>
      </c>
      <c r="E1597" s="246">
        <v>8000</v>
      </c>
      <c r="F1597" s="247" t="s">
        <v>2778</v>
      </c>
      <c r="G1597" s="34" t="s">
        <v>7</v>
      </c>
      <c r="H1597" s="234" t="s">
        <v>2776</v>
      </c>
      <c r="I1597" s="248" t="s">
        <v>7</v>
      </c>
      <c r="J1597" s="249" t="s">
        <v>554</v>
      </c>
      <c r="K1597" s="250">
        <v>8000</v>
      </c>
      <c r="L1597" s="250">
        <v>0</v>
      </c>
      <c r="M1597" s="251" t="s">
        <v>31</v>
      </c>
      <c r="N1597" s="252">
        <v>0</v>
      </c>
      <c r="O1597" s="185" t="s">
        <v>51</v>
      </c>
    </row>
    <row r="1598" spans="1:15" x14ac:dyDescent="0.25">
      <c r="A1598" s="234" t="s">
        <v>7953</v>
      </c>
      <c r="B1598" s="234" t="s">
        <v>31</v>
      </c>
      <c r="C1598" s="245">
        <v>46149</v>
      </c>
      <c r="D1598" s="234" t="s">
        <v>575</v>
      </c>
      <c r="E1598" s="246">
        <v>318918</v>
      </c>
      <c r="F1598" s="247">
        <v>0</v>
      </c>
      <c r="G1598" s="34" t="s">
        <v>7</v>
      </c>
      <c r="H1598" s="234" t="s">
        <v>7954</v>
      </c>
      <c r="I1598" s="248" t="s">
        <v>7</v>
      </c>
      <c r="J1598" s="249" t="s">
        <v>492</v>
      </c>
      <c r="K1598" s="250">
        <v>0</v>
      </c>
      <c r="L1598" s="250">
        <v>0</v>
      </c>
      <c r="M1598" s="251" t="s">
        <v>31</v>
      </c>
      <c r="N1598" s="252">
        <v>0</v>
      </c>
      <c r="O1598" s="185" t="s">
        <v>51</v>
      </c>
    </row>
    <row r="1599" spans="1:15" x14ac:dyDescent="0.25">
      <c r="A1599" s="234" t="s">
        <v>4520</v>
      </c>
      <c r="B1599" s="234" t="s">
        <v>31</v>
      </c>
      <c r="C1599" s="245">
        <v>46149</v>
      </c>
      <c r="D1599" s="234" t="s">
        <v>668</v>
      </c>
      <c r="E1599" s="246">
        <v>35500</v>
      </c>
      <c r="F1599" s="247" t="s">
        <v>4522</v>
      </c>
      <c r="G1599" s="34" t="s">
        <v>7</v>
      </c>
      <c r="H1599" s="234" t="s">
        <v>4521</v>
      </c>
      <c r="I1599" s="248" t="s">
        <v>7</v>
      </c>
      <c r="J1599" s="249" t="s">
        <v>554</v>
      </c>
      <c r="K1599" s="250">
        <v>35500</v>
      </c>
      <c r="L1599" s="250">
        <v>0</v>
      </c>
      <c r="M1599" s="251" t="s">
        <v>31</v>
      </c>
      <c r="N1599" s="252">
        <v>0</v>
      </c>
      <c r="O1599" s="185" t="s">
        <v>51</v>
      </c>
    </row>
    <row r="1600" spans="1:15" x14ac:dyDescent="0.25">
      <c r="A1600" s="234" t="s">
        <v>4520</v>
      </c>
      <c r="B1600" s="234" t="s">
        <v>31</v>
      </c>
      <c r="C1600" s="245">
        <v>46149</v>
      </c>
      <c r="D1600" s="234" t="s">
        <v>668</v>
      </c>
      <c r="E1600" s="246">
        <v>7500</v>
      </c>
      <c r="F1600" s="247" t="s">
        <v>4523</v>
      </c>
      <c r="G1600" s="34" t="s">
        <v>7</v>
      </c>
      <c r="H1600" s="234" t="s">
        <v>4521</v>
      </c>
      <c r="I1600" s="248" t="s">
        <v>7</v>
      </c>
      <c r="J1600" s="249" t="s">
        <v>582</v>
      </c>
      <c r="K1600" s="250">
        <v>7500</v>
      </c>
      <c r="L1600" s="250">
        <v>0</v>
      </c>
      <c r="M1600" s="251" t="s">
        <v>31</v>
      </c>
      <c r="N1600" s="252">
        <v>0</v>
      </c>
      <c r="O1600" s="185" t="s">
        <v>51</v>
      </c>
    </row>
    <row r="1601" spans="1:15" x14ac:dyDescent="0.25">
      <c r="A1601" s="234" t="s">
        <v>5002</v>
      </c>
      <c r="B1601" s="234" t="s">
        <v>31</v>
      </c>
      <c r="C1601" s="245">
        <v>46149</v>
      </c>
      <c r="D1601" s="234" t="s">
        <v>575</v>
      </c>
      <c r="E1601" s="246">
        <v>204919</v>
      </c>
      <c r="F1601" s="247" t="s">
        <v>5001</v>
      </c>
      <c r="G1601" s="34" t="s">
        <v>7</v>
      </c>
      <c r="H1601" s="234" t="s">
        <v>5003</v>
      </c>
      <c r="I1601" s="248" t="s">
        <v>7</v>
      </c>
      <c r="J1601" s="249" t="s">
        <v>582</v>
      </c>
      <c r="K1601" s="250">
        <v>204919</v>
      </c>
      <c r="L1601" s="250">
        <v>0</v>
      </c>
      <c r="M1601" s="251" t="s">
        <v>31</v>
      </c>
      <c r="N1601" s="252">
        <v>0</v>
      </c>
      <c r="O1601" s="185" t="s">
        <v>51</v>
      </c>
    </row>
    <row r="1602" spans="1:15" x14ac:dyDescent="0.25">
      <c r="A1602" s="234" t="s">
        <v>2572</v>
      </c>
      <c r="B1602" s="234" t="s">
        <v>31</v>
      </c>
      <c r="C1602" s="245">
        <v>46149</v>
      </c>
      <c r="D1602" s="234" t="s">
        <v>575</v>
      </c>
      <c r="E1602" s="246">
        <v>163360</v>
      </c>
      <c r="F1602" s="247" t="s">
        <v>2571</v>
      </c>
      <c r="G1602" s="34" t="s">
        <v>7</v>
      </c>
      <c r="H1602" s="234" t="s">
        <v>2573</v>
      </c>
      <c r="I1602" s="248" t="s">
        <v>7</v>
      </c>
      <c r="J1602" s="249" t="s">
        <v>582</v>
      </c>
      <c r="K1602" s="250">
        <v>163360</v>
      </c>
      <c r="L1602" s="250">
        <v>0</v>
      </c>
      <c r="M1602" s="251" t="s">
        <v>31</v>
      </c>
      <c r="N1602" s="252">
        <v>0</v>
      </c>
      <c r="O1602" s="185" t="s">
        <v>51</v>
      </c>
    </row>
    <row r="1603" spans="1:15" x14ac:dyDescent="0.25">
      <c r="A1603" s="234" t="s">
        <v>4716</v>
      </c>
      <c r="B1603" s="234" t="s">
        <v>31</v>
      </c>
      <c r="C1603" s="245">
        <v>46149</v>
      </c>
      <c r="D1603" s="234" t="s">
        <v>546</v>
      </c>
      <c r="E1603" s="246">
        <v>10000</v>
      </c>
      <c r="F1603" s="247" t="s">
        <v>4715</v>
      </c>
      <c r="G1603" s="34" t="s">
        <v>7</v>
      </c>
      <c r="H1603" s="234" t="s">
        <v>4717</v>
      </c>
      <c r="I1603" s="248" t="s">
        <v>7</v>
      </c>
      <c r="J1603" s="249" t="s">
        <v>554</v>
      </c>
      <c r="K1603" s="250">
        <v>10000</v>
      </c>
      <c r="L1603" s="250">
        <v>0</v>
      </c>
      <c r="M1603" s="251" t="s">
        <v>31</v>
      </c>
      <c r="N1603" s="252">
        <v>0</v>
      </c>
      <c r="O1603" s="185" t="s">
        <v>51</v>
      </c>
    </row>
    <row r="1604" spans="1:15" x14ac:dyDescent="0.25">
      <c r="A1604" s="234" t="s">
        <v>2563</v>
      </c>
      <c r="B1604" s="234" t="s">
        <v>31</v>
      </c>
      <c r="C1604" s="245">
        <v>46149</v>
      </c>
      <c r="D1604" s="234" t="s">
        <v>575</v>
      </c>
      <c r="E1604" s="246">
        <v>100000</v>
      </c>
      <c r="F1604" s="247" t="s">
        <v>2567</v>
      </c>
      <c r="G1604" s="34" t="s">
        <v>7</v>
      </c>
      <c r="H1604" s="234" t="s">
        <v>2564</v>
      </c>
      <c r="I1604" s="248" t="s">
        <v>7</v>
      </c>
      <c r="J1604" s="249" t="s">
        <v>582</v>
      </c>
      <c r="K1604" s="250">
        <v>100000</v>
      </c>
      <c r="L1604" s="250">
        <v>0</v>
      </c>
      <c r="M1604" s="251" t="s">
        <v>31</v>
      </c>
      <c r="N1604" s="252">
        <v>0</v>
      </c>
      <c r="O1604" s="185" t="s">
        <v>51</v>
      </c>
    </row>
    <row r="1605" spans="1:15" x14ac:dyDescent="0.25">
      <c r="A1605" s="234" t="s">
        <v>2575</v>
      </c>
      <c r="B1605" s="234" t="s">
        <v>31</v>
      </c>
      <c r="C1605" s="245">
        <v>46149</v>
      </c>
      <c r="D1605" s="234" t="s">
        <v>603</v>
      </c>
      <c r="E1605" s="246">
        <v>151114</v>
      </c>
      <c r="F1605" s="247" t="s">
        <v>2577</v>
      </c>
      <c r="G1605" s="34" t="s">
        <v>7</v>
      </c>
      <c r="H1605" s="234" t="s">
        <v>2576</v>
      </c>
      <c r="I1605" s="248" t="s">
        <v>7</v>
      </c>
      <c r="J1605" s="249" t="s">
        <v>554</v>
      </c>
      <c r="K1605" s="250">
        <v>305192</v>
      </c>
      <c r="L1605" s="250">
        <v>0</v>
      </c>
      <c r="M1605" s="251" t="s">
        <v>31</v>
      </c>
      <c r="N1605" s="252">
        <v>0</v>
      </c>
      <c r="O1605" s="185" t="s">
        <v>51</v>
      </c>
    </row>
    <row r="1606" spans="1:15" x14ac:dyDescent="0.25">
      <c r="A1606" s="234" t="s">
        <v>7955</v>
      </c>
      <c r="B1606" s="234" t="s">
        <v>20</v>
      </c>
      <c r="C1606" s="245">
        <v>46149</v>
      </c>
      <c r="D1606" s="234">
        <v>0</v>
      </c>
      <c r="E1606" s="246">
        <v>98392</v>
      </c>
      <c r="F1606" s="247">
        <v>0</v>
      </c>
      <c r="G1606" s="34" t="s">
        <v>7</v>
      </c>
      <c r="H1606" s="234" t="s">
        <v>7956</v>
      </c>
      <c r="I1606" s="248" t="s">
        <v>7</v>
      </c>
      <c r="J1606" s="249" t="s">
        <v>492</v>
      </c>
      <c r="K1606" s="250">
        <v>0</v>
      </c>
      <c r="L1606" s="250">
        <v>0</v>
      </c>
      <c r="M1606" s="251" t="s">
        <v>20</v>
      </c>
      <c r="N1606" s="252">
        <v>0</v>
      </c>
      <c r="O1606" s="185" t="s">
        <v>51</v>
      </c>
    </row>
    <row r="1607" spans="1:15" x14ac:dyDescent="0.25">
      <c r="A1607" s="234" t="s">
        <v>7957</v>
      </c>
      <c r="B1607" s="234" t="s">
        <v>20</v>
      </c>
      <c r="C1607" s="245">
        <v>46149</v>
      </c>
      <c r="D1607" s="234">
        <v>0</v>
      </c>
      <c r="E1607" s="246">
        <v>136000</v>
      </c>
      <c r="F1607" s="247">
        <v>0</v>
      </c>
      <c r="G1607" s="34" t="s">
        <v>7</v>
      </c>
      <c r="H1607" s="234" t="s">
        <v>7958</v>
      </c>
      <c r="I1607" s="248" t="s">
        <v>7</v>
      </c>
      <c r="J1607" s="249" t="s">
        <v>492</v>
      </c>
      <c r="K1607" s="250">
        <v>0</v>
      </c>
      <c r="L1607" s="250">
        <v>0</v>
      </c>
      <c r="M1607" s="251" t="s">
        <v>20</v>
      </c>
      <c r="N1607" s="252">
        <v>0</v>
      </c>
      <c r="O1607" s="185" t="s">
        <v>51</v>
      </c>
    </row>
    <row r="1608" spans="1:15" x14ac:dyDescent="0.25">
      <c r="A1608" s="234" t="s">
        <v>4222</v>
      </c>
      <c r="B1608" s="234" t="s">
        <v>20</v>
      </c>
      <c r="C1608" s="245">
        <v>46149</v>
      </c>
      <c r="D1608" s="234">
        <v>0</v>
      </c>
      <c r="E1608" s="246">
        <v>115969</v>
      </c>
      <c r="F1608" s="247" t="s">
        <v>4221</v>
      </c>
      <c r="G1608" s="34" t="s">
        <v>7</v>
      </c>
      <c r="H1608" s="234" t="s">
        <v>4223</v>
      </c>
      <c r="I1608" s="248" t="s">
        <v>7</v>
      </c>
      <c r="J1608" s="249" t="s">
        <v>554</v>
      </c>
      <c r="K1608" s="250">
        <v>115969.96</v>
      </c>
      <c r="L1608" s="250">
        <v>0</v>
      </c>
      <c r="M1608" s="251" t="s">
        <v>20</v>
      </c>
      <c r="N1608" s="252">
        <v>0</v>
      </c>
      <c r="O1608" s="185" t="s">
        <v>51</v>
      </c>
    </row>
    <row r="1609" spans="1:15" x14ac:dyDescent="0.25">
      <c r="A1609" s="234" t="s">
        <v>889</v>
      </c>
      <c r="B1609" s="234" t="s">
        <v>20</v>
      </c>
      <c r="C1609" s="245">
        <v>46149</v>
      </c>
      <c r="D1609" s="234">
        <v>0</v>
      </c>
      <c r="E1609" s="246">
        <v>253645</v>
      </c>
      <c r="F1609" s="247" t="s">
        <v>888</v>
      </c>
      <c r="G1609" s="34" t="s">
        <v>7</v>
      </c>
      <c r="H1609" s="234" t="s">
        <v>890</v>
      </c>
      <c r="I1609" s="248" t="s">
        <v>7</v>
      </c>
      <c r="J1609" s="249" t="s">
        <v>582</v>
      </c>
      <c r="K1609" s="250">
        <v>252645</v>
      </c>
      <c r="L1609" s="250">
        <v>0</v>
      </c>
      <c r="M1609" s="251" t="s">
        <v>20</v>
      </c>
      <c r="N1609" s="252">
        <v>0</v>
      </c>
      <c r="O1609" s="185" t="s">
        <v>51</v>
      </c>
    </row>
    <row r="1610" spans="1:15" x14ac:dyDescent="0.25">
      <c r="A1610" s="234" t="s">
        <v>1282</v>
      </c>
      <c r="B1610" s="234" t="s">
        <v>20</v>
      </c>
      <c r="C1610" s="245">
        <v>46149</v>
      </c>
      <c r="D1610" s="234">
        <v>0</v>
      </c>
      <c r="E1610" s="246">
        <v>122501</v>
      </c>
      <c r="F1610" s="247" t="s">
        <v>1281</v>
      </c>
      <c r="G1610" s="34" t="s">
        <v>7</v>
      </c>
      <c r="H1610" s="234" t="s">
        <v>1283</v>
      </c>
      <c r="I1610" s="248" t="s">
        <v>7</v>
      </c>
      <c r="J1610" s="249" t="s">
        <v>582</v>
      </c>
      <c r="K1610" s="250">
        <v>122501.23</v>
      </c>
      <c r="L1610" s="250">
        <v>0</v>
      </c>
      <c r="M1610" s="251" t="s">
        <v>20</v>
      </c>
      <c r="N1610" s="252">
        <v>0</v>
      </c>
      <c r="O1610" s="185" t="s">
        <v>51</v>
      </c>
    </row>
    <row r="1611" spans="1:15" x14ac:dyDescent="0.25">
      <c r="A1611" s="234" t="s">
        <v>852</v>
      </c>
      <c r="B1611" s="234" t="s">
        <v>20</v>
      </c>
      <c r="C1611" s="245">
        <v>46149</v>
      </c>
      <c r="D1611" s="234">
        <v>0</v>
      </c>
      <c r="E1611" s="246">
        <v>123883</v>
      </c>
      <c r="F1611" s="247">
        <v>0</v>
      </c>
      <c r="G1611" s="34" t="s">
        <v>7</v>
      </c>
      <c r="H1611" s="234" t="s">
        <v>853</v>
      </c>
      <c r="I1611" s="248" t="s">
        <v>7</v>
      </c>
      <c r="J1611" s="249" t="s">
        <v>492</v>
      </c>
      <c r="K1611" s="250">
        <v>0</v>
      </c>
      <c r="L1611" s="250">
        <v>0</v>
      </c>
      <c r="M1611" s="251" t="s">
        <v>20</v>
      </c>
      <c r="N1611" s="252">
        <v>0</v>
      </c>
      <c r="O1611" s="185" t="s">
        <v>51</v>
      </c>
    </row>
    <row r="1612" spans="1:15" x14ac:dyDescent="0.25">
      <c r="A1612" s="234" t="s">
        <v>7959</v>
      </c>
      <c r="B1612" s="234" t="s">
        <v>20</v>
      </c>
      <c r="C1612" s="245">
        <v>46149</v>
      </c>
      <c r="D1612" s="234">
        <v>0</v>
      </c>
      <c r="E1612" s="246">
        <v>142039</v>
      </c>
      <c r="F1612" s="247" t="s">
        <v>7960</v>
      </c>
      <c r="G1612" s="34" t="s">
        <v>7</v>
      </c>
      <c r="H1612" s="234" t="s">
        <v>7961</v>
      </c>
      <c r="I1612" s="248" t="s">
        <v>7</v>
      </c>
      <c r="J1612" s="249" t="s">
        <v>492</v>
      </c>
      <c r="K1612" s="250">
        <v>0</v>
      </c>
      <c r="L1612" s="250">
        <v>0</v>
      </c>
      <c r="M1612" s="251" t="s">
        <v>20</v>
      </c>
      <c r="N1612" s="252">
        <v>0</v>
      </c>
      <c r="O1612" s="185" t="s">
        <v>51</v>
      </c>
    </row>
    <row r="1613" spans="1:15" x14ac:dyDescent="0.25">
      <c r="A1613" s="234" t="s">
        <v>946</v>
      </c>
      <c r="B1613" s="234" t="s">
        <v>20</v>
      </c>
      <c r="C1613" s="245">
        <v>46149</v>
      </c>
      <c r="D1613" s="234">
        <v>0</v>
      </c>
      <c r="E1613" s="246">
        <v>36642</v>
      </c>
      <c r="F1613" s="247" t="s">
        <v>945</v>
      </c>
      <c r="G1613" s="34" t="s">
        <v>7</v>
      </c>
      <c r="H1613" s="234" t="s">
        <v>947</v>
      </c>
      <c r="I1613" s="248" t="s">
        <v>7</v>
      </c>
      <c r="J1613" s="249" t="s">
        <v>554</v>
      </c>
      <c r="K1613" s="250">
        <v>36642.230000000003</v>
      </c>
      <c r="L1613" s="250">
        <v>0</v>
      </c>
      <c r="M1613" s="251" t="s">
        <v>20</v>
      </c>
      <c r="N1613" s="252">
        <v>0</v>
      </c>
      <c r="O1613" s="185" t="s">
        <v>51</v>
      </c>
    </row>
    <row r="1614" spans="1:15" x14ac:dyDescent="0.25">
      <c r="A1614" s="234" t="s">
        <v>946</v>
      </c>
      <c r="B1614" s="234" t="s">
        <v>20</v>
      </c>
      <c r="C1614" s="245">
        <v>46149</v>
      </c>
      <c r="D1614" s="234">
        <v>0</v>
      </c>
      <c r="E1614" s="246">
        <v>44085</v>
      </c>
      <c r="F1614" s="247" t="s">
        <v>948</v>
      </c>
      <c r="G1614" s="34" t="s">
        <v>7</v>
      </c>
      <c r="H1614" s="234" t="s">
        <v>947</v>
      </c>
      <c r="I1614" s="248" t="s">
        <v>7</v>
      </c>
      <c r="J1614" s="249" t="s">
        <v>554</v>
      </c>
      <c r="K1614" s="250">
        <v>44085.88</v>
      </c>
      <c r="L1614" s="250">
        <v>0</v>
      </c>
      <c r="M1614" s="251" t="s">
        <v>20</v>
      </c>
      <c r="N1614" s="252">
        <v>0</v>
      </c>
      <c r="O1614" s="185" t="s">
        <v>51</v>
      </c>
    </row>
    <row r="1615" spans="1:15" x14ac:dyDescent="0.25">
      <c r="A1615" s="234" t="s">
        <v>1728</v>
      </c>
      <c r="B1615" s="234" t="s">
        <v>20</v>
      </c>
      <c r="C1615" s="245">
        <v>46149</v>
      </c>
      <c r="D1615" s="234">
        <v>0</v>
      </c>
      <c r="E1615" s="246">
        <v>251563</v>
      </c>
      <c r="F1615" s="247" t="s">
        <v>1727</v>
      </c>
      <c r="G1615" s="34" t="s">
        <v>7</v>
      </c>
      <c r="H1615" s="234" t="s">
        <v>1729</v>
      </c>
      <c r="I1615" s="248" t="s">
        <v>7</v>
      </c>
      <c r="J1615" s="249" t="s">
        <v>582</v>
      </c>
      <c r="K1615" s="250">
        <v>251563</v>
      </c>
      <c r="L1615" s="250">
        <v>0</v>
      </c>
      <c r="M1615" s="251" t="s">
        <v>20</v>
      </c>
      <c r="N1615" s="252">
        <v>0</v>
      </c>
      <c r="O1615" s="185" t="s">
        <v>51</v>
      </c>
    </row>
    <row r="1616" spans="1:15" x14ac:dyDescent="0.25">
      <c r="A1616" s="234" t="s">
        <v>940</v>
      </c>
      <c r="B1616" s="234" t="s">
        <v>20</v>
      </c>
      <c r="C1616" s="245">
        <v>46149</v>
      </c>
      <c r="D1616" s="234">
        <v>0</v>
      </c>
      <c r="E1616" s="246">
        <v>252401</v>
      </c>
      <c r="F1616" s="247" t="s">
        <v>939</v>
      </c>
      <c r="G1616" s="34" t="s">
        <v>7</v>
      </c>
      <c r="H1616" s="234" t="s">
        <v>941</v>
      </c>
      <c r="I1616" s="248" t="s">
        <v>7</v>
      </c>
      <c r="J1616" s="249" t="s">
        <v>582</v>
      </c>
      <c r="K1616" s="250">
        <v>252401</v>
      </c>
      <c r="L1616" s="250">
        <v>0</v>
      </c>
      <c r="M1616" s="251" t="s">
        <v>20</v>
      </c>
      <c r="N1616" s="252">
        <v>0</v>
      </c>
      <c r="O1616" s="185" t="s">
        <v>51</v>
      </c>
    </row>
    <row r="1617" spans="1:15" x14ac:dyDescent="0.25">
      <c r="A1617" s="234" t="s">
        <v>7962</v>
      </c>
      <c r="B1617" s="234" t="s">
        <v>20</v>
      </c>
      <c r="C1617" s="245">
        <v>46149</v>
      </c>
      <c r="D1617" s="234">
        <v>0</v>
      </c>
      <c r="E1617" s="246">
        <v>124504</v>
      </c>
      <c r="F1617" s="247">
        <v>0</v>
      </c>
      <c r="G1617" s="34" t="s">
        <v>7</v>
      </c>
      <c r="H1617" s="234" t="s">
        <v>7963</v>
      </c>
      <c r="I1617" s="248" t="s">
        <v>7</v>
      </c>
      <c r="J1617" s="249" t="s">
        <v>492</v>
      </c>
      <c r="K1617" s="250">
        <v>0</v>
      </c>
      <c r="L1617" s="250">
        <v>0</v>
      </c>
      <c r="M1617" s="251" t="s">
        <v>20</v>
      </c>
      <c r="N1617" s="252">
        <v>0</v>
      </c>
      <c r="O1617" s="185" t="s">
        <v>51</v>
      </c>
    </row>
    <row r="1618" spans="1:15" x14ac:dyDescent="0.25">
      <c r="A1618" s="234" t="s">
        <v>7964</v>
      </c>
      <c r="B1618" s="234" t="s">
        <v>20</v>
      </c>
      <c r="C1618" s="245">
        <v>46149</v>
      </c>
      <c r="D1618" s="234">
        <v>0</v>
      </c>
      <c r="E1618" s="246">
        <v>122976</v>
      </c>
      <c r="F1618" s="247">
        <v>0</v>
      </c>
      <c r="G1618" s="34" t="s">
        <v>7</v>
      </c>
      <c r="H1618" s="234" t="s">
        <v>7965</v>
      </c>
      <c r="I1618" s="248" t="s">
        <v>7</v>
      </c>
      <c r="J1618" s="249" t="s">
        <v>492</v>
      </c>
      <c r="K1618" s="250">
        <v>0</v>
      </c>
      <c r="L1618" s="250">
        <v>0</v>
      </c>
      <c r="M1618" s="251" t="s">
        <v>20</v>
      </c>
      <c r="N1618" s="252">
        <v>0</v>
      </c>
      <c r="O1618" s="185" t="s">
        <v>51</v>
      </c>
    </row>
    <row r="1619" spans="1:15" x14ac:dyDescent="0.25">
      <c r="A1619" s="234" t="s">
        <v>936</v>
      </c>
      <c r="B1619" s="234" t="s">
        <v>20</v>
      </c>
      <c r="C1619" s="245">
        <v>46149</v>
      </c>
      <c r="D1619" s="234">
        <v>0</v>
      </c>
      <c r="E1619" s="246">
        <v>142739</v>
      </c>
      <c r="F1619" s="247">
        <v>0</v>
      </c>
      <c r="G1619" s="34" t="s">
        <v>7</v>
      </c>
      <c r="H1619" s="234" t="s">
        <v>937</v>
      </c>
      <c r="I1619" s="248" t="s">
        <v>7</v>
      </c>
      <c r="J1619" s="249" t="s">
        <v>492</v>
      </c>
      <c r="K1619" s="250">
        <v>0</v>
      </c>
      <c r="L1619" s="250">
        <v>0</v>
      </c>
      <c r="M1619" s="251" t="s">
        <v>20</v>
      </c>
      <c r="N1619" s="252">
        <v>0</v>
      </c>
      <c r="O1619" s="185" t="s">
        <v>51</v>
      </c>
    </row>
    <row r="1620" spans="1:15" x14ac:dyDescent="0.25">
      <c r="A1620" s="234" t="s">
        <v>1731</v>
      </c>
      <c r="B1620" s="234" t="s">
        <v>20</v>
      </c>
      <c r="C1620" s="245">
        <v>46149</v>
      </c>
      <c r="D1620" s="234">
        <v>0</v>
      </c>
      <c r="E1620" s="246">
        <v>530759</v>
      </c>
      <c r="F1620" s="247">
        <v>0</v>
      </c>
      <c r="G1620" s="34" t="s">
        <v>7</v>
      </c>
      <c r="H1620" s="234" t="s">
        <v>1732</v>
      </c>
      <c r="I1620" s="248" t="s">
        <v>7</v>
      </c>
      <c r="J1620" s="249" t="s">
        <v>492</v>
      </c>
      <c r="K1620" s="250">
        <v>0</v>
      </c>
      <c r="L1620" s="250">
        <v>0</v>
      </c>
      <c r="M1620" s="251" t="s">
        <v>20</v>
      </c>
      <c r="N1620" s="252">
        <v>0</v>
      </c>
      <c r="O1620" s="185" t="s">
        <v>51</v>
      </c>
    </row>
    <row r="1621" spans="1:15" x14ac:dyDescent="0.25">
      <c r="A1621" s="234" t="s">
        <v>4703</v>
      </c>
      <c r="B1621" s="234" t="s">
        <v>24</v>
      </c>
      <c r="C1621" s="245">
        <v>46149</v>
      </c>
      <c r="D1621" s="234">
        <v>0</v>
      </c>
      <c r="E1621" s="246">
        <v>9000</v>
      </c>
      <c r="F1621" s="247" t="s">
        <v>4705</v>
      </c>
      <c r="G1621" s="34" t="s">
        <v>7</v>
      </c>
      <c r="H1621" s="234" t="s">
        <v>4704</v>
      </c>
      <c r="I1621" s="248" t="s">
        <v>7</v>
      </c>
      <c r="J1621" s="249" t="s">
        <v>554</v>
      </c>
      <c r="K1621" s="250">
        <v>9000</v>
      </c>
      <c r="L1621" s="250">
        <v>0</v>
      </c>
      <c r="M1621" s="251" t="s">
        <v>24</v>
      </c>
      <c r="N1621" s="252">
        <v>0</v>
      </c>
      <c r="O1621" s="185" t="s">
        <v>51</v>
      </c>
    </row>
    <row r="1622" spans="1:15" x14ac:dyDescent="0.25">
      <c r="A1622" s="234" t="s">
        <v>4703</v>
      </c>
      <c r="B1622" s="234" t="s">
        <v>24</v>
      </c>
      <c r="C1622" s="245">
        <v>46149</v>
      </c>
      <c r="D1622" s="234">
        <v>0</v>
      </c>
      <c r="E1622" s="246">
        <v>10000</v>
      </c>
      <c r="F1622" s="247" t="s">
        <v>4706</v>
      </c>
      <c r="G1622" s="34" t="s">
        <v>7</v>
      </c>
      <c r="H1622" s="234" t="s">
        <v>4704</v>
      </c>
      <c r="I1622" s="248" t="s">
        <v>7</v>
      </c>
      <c r="J1622" s="249" t="s">
        <v>554</v>
      </c>
      <c r="K1622" s="250">
        <v>10000</v>
      </c>
      <c r="L1622" s="250">
        <v>0</v>
      </c>
      <c r="M1622" s="251" t="s">
        <v>24</v>
      </c>
      <c r="N1622" s="252">
        <v>0</v>
      </c>
      <c r="O1622" s="185" t="s">
        <v>51</v>
      </c>
    </row>
    <row r="1623" spans="1:15" x14ac:dyDescent="0.25">
      <c r="A1623" s="234" t="s">
        <v>4703</v>
      </c>
      <c r="B1623" s="234" t="s">
        <v>24</v>
      </c>
      <c r="C1623" s="245">
        <v>46149</v>
      </c>
      <c r="D1623" s="234">
        <v>0</v>
      </c>
      <c r="E1623" s="246">
        <v>20000</v>
      </c>
      <c r="F1623" s="247" t="s">
        <v>4707</v>
      </c>
      <c r="G1623" s="34" t="s">
        <v>7</v>
      </c>
      <c r="H1623" s="234" t="s">
        <v>4704</v>
      </c>
      <c r="I1623" s="248" t="s">
        <v>7</v>
      </c>
      <c r="J1623" s="249" t="s">
        <v>554</v>
      </c>
      <c r="K1623" s="250">
        <v>20000</v>
      </c>
      <c r="L1623" s="250">
        <v>0</v>
      </c>
      <c r="M1623" s="251" t="s">
        <v>24</v>
      </c>
      <c r="N1623" s="252">
        <v>0</v>
      </c>
      <c r="O1623" s="185" t="s">
        <v>51</v>
      </c>
    </row>
    <row r="1624" spans="1:15" x14ac:dyDescent="0.25">
      <c r="A1624" s="234" t="s">
        <v>4703</v>
      </c>
      <c r="B1624" s="234" t="s">
        <v>24</v>
      </c>
      <c r="C1624" s="245">
        <v>46149</v>
      </c>
      <c r="D1624" s="234">
        <v>0</v>
      </c>
      <c r="E1624" s="246">
        <v>20000</v>
      </c>
      <c r="F1624" s="247" t="s">
        <v>4708</v>
      </c>
      <c r="G1624" s="34" t="s">
        <v>7</v>
      </c>
      <c r="H1624" s="234" t="s">
        <v>4704</v>
      </c>
      <c r="I1624" s="248" t="s">
        <v>7</v>
      </c>
      <c r="J1624" s="249" t="s">
        <v>554</v>
      </c>
      <c r="K1624" s="250">
        <v>20000</v>
      </c>
      <c r="L1624" s="250">
        <v>0</v>
      </c>
      <c r="M1624" s="251" t="s">
        <v>24</v>
      </c>
      <c r="N1624" s="252">
        <v>0</v>
      </c>
      <c r="O1624" s="185" t="s">
        <v>51</v>
      </c>
    </row>
    <row r="1625" spans="1:15" x14ac:dyDescent="0.25">
      <c r="A1625" s="234" t="s">
        <v>4703</v>
      </c>
      <c r="B1625" s="234" t="s">
        <v>24</v>
      </c>
      <c r="C1625" s="245">
        <v>46149</v>
      </c>
      <c r="D1625" s="234">
        <v>0</v>
      </c>
      <c r="E1625" s="246">
        <v>20000</v>
      </c>
      <c r="F1625" s="247" t="s">
        <v>4709</v>
      </c>
      <c r="G1625" s="34" t="s">
        <v>7</v>
      </c>
      <c r="H1625" s="234" t="s">
        <v>4704</v>
      </c>
      <c r="I1625" s="248" t="s">
        <v>7</v>
      </c>
      <c r="J1625" s="249" t="s">
        <v>554</v>
      </c>
      <c r="K1625" s="250">
        <v>20000</v>
      </c>
      <c r="L1625" s="250">
        <v>0</v>
      </c>
      <c r="M1625" s="251" t="s">
        <v>24</v>
      </c>
      <c r="N1625" s="252">
        <v>0</v>
      </c>
      <c r="O1625" s="185" t="s">
        <v>51</v>
      </c>
    </row>
    <row r="1626" spans="1:15" x14ac:dyDescent="0.25">
      <c r="A1626" s="234" t="s">
        <v>4703</v>
      </c>
      <c r="B1626" s="234" t="s">
        <v>24</v>
      </c>
      <c r="C1626" s="245">
        <v>46149</v>
      </c>
      <c r="D1626" s="234">
        <v>0</v>
      </c>
      <c r="E1626" s="246">
        <v>20000</v>
      </c>
      <c r="F1626" s="247" t="s">
        <v>4710</v>
      </c>
      <c r="G1626" s="34" t="s">
        <v>7</v>
      </c>
      <c r="H1626" s="234" t="s">
        <v>4704</v>
      </c>
      <c r="I1626" s="248" t="s">
        <v>7</v>
      </c>
      <c r="J1626" s="249" t="s">
        <v>554</v>
      </c>
      <c r="K1626" s="250">
        <v>20000</v>
      </c>
      <c r="L1626" s="250">
        <v>0</v>
      </c>
      <c r="M1626" s="251" t="s">
        <v>24</v>
      </c>
      <c r="N1626" s="252">
        <v>0</v>
      </c>
      <c r="O1626" s="185" t="s">
        <v>51</v>
      </c>
    </row>
    <row r="1627" spans="1:15" x14ac:dyDescent="0.25">
      <c r="A1627" s="234" t="s">
        <v>7624</v>
      </c>
      <c r="B1627" s="234" t="s">
        <v>24</v>
      </c>
      <c r="C1627" s="245">
        <v>46149</v>
      </c>
      <c r="D1627" s="234">
        <v>0</v>
      </c>
      <c r="E1627" s="246">
        <v>60030</v>
      </c>
      <c r="F1627" s="247" t="s">
        <v>7966</v>
      </c>
      <c r="G1627" s="34" t="s">
        <v>7</v>
      </c>
      <c r="H1627" s="234" t="s">
        <v>7626</v>
      </c>
      <c r="I1627" s="248" t="s">
        <v>7367</v>
      </c>
      <c r="J1627" s="249" t="s">
        <v>7627</v>
      </c>
      <c r="K1627" s="250">
        <v>60030</v>
      </c>
      <c r="L1627" s="250">
        <v>56494</v>
      </c>
      <c r="M1627" s="251" t="s">
        <v>24</v>
      </c>
      <c r="N1627" s="252">
        <v>3536</v>
      </c>
      <c r="O1627" s="185" t="s">
        <v>51</v>
      </c>
    </row>
    <row r="1628" spans="1:15" x14ac:dyDescent="0.25">
      <c r="A1628" s="234" t="s">
        <v>2253</v>
      </c>
      <c r="B1628" s="234" t="s">
        <v>24</v>
      </c>
      <c r="C1628" s="245">
        <v>46149</v>
      </c>
      <c r="D1628" s="234">
        <v>0</v>
      </c>
      <c r="E1628" s="246">
        <v>36120</v>
      </c>
      <c r="F1628" s="247" t="s">
        <v>2265</v>
      </c>
      <c r="G1628" s="34" t="s">
        <v>7</v>
      </c>
      <c r="H1628" s="234" t="s">
        <v>2254</v>
      </c>
      <c r="I1628" s="248" t="s">
        <v>7</v>
      </c>
      <c r="J1628" s="249" t="s">
        <v>61</v>
      </c>
      <c r="K1628" s="250">
        <v>282338</v>
      </c>
      <c r="L1628" s="250">
        <v>0</v>
      </c>
      <c r="M1628" s="251" t="s">
        <v>24</v>
      </c>
      <c r="N1628" s="252">
        <v>0</v>
      </c>
      <c r="O1628" s="185" t="s">
        <v>51</v>
      </c>
    </row>
    <row r="1629" spans="1:15" x14ac:dyDescent="0.25">
      <c r="A1629" s="234" t="s">
        <v>2365</v>
      </c>
      <c r="B1629" s="234" t="s">
        <v>24</v>
      </c>
      <c r="C1629" s="245">
        <v>46149</v>
      </c>
      <c r="D1629" s="234">
        <v>0</v>
      </c>
      <c r="E1629" s="246">
        <v>863</v>
      </c>
      <c r="F1629" s="247" t="s">
        <v>7967</v>
      </c>
      <c r="G1629" s="34" t="s">
        <v>7</v>
      </c>
      <c r="H1629" s="234" t="s">
        <v>2366</v>
      </c>
      <c r="I1629" s="248" t="s">
        <v>7</v>
      </c>
      <c r="J1629" s="249" t="s">
        <v>492</v>
      </c>
      <c r="K1629" s="250">
        <v>0</v>
      </c>
      <c r="L1629" s="250">
        <v>0</v>
      </c>
      <c r="M1629" s="251" t="s">
        <v>24</v>
      </c>
      <c r="N1629" s="252">
        <v>0</v>
      </c>
      <c r="O1629" s="185" t="s">
        <v>51</v>
      </c>
    </row>
    <row r="1630" spans="1:15" x14ac:dyDescent="0.25">
      <c r="A1630" s="234" t="s">
        <v>4684</v>
      </c>
      <c r="B1630" s="234" t="s">
        <v>24</v>
      </c>
      <c r="C1630" s="245">
        <v>46149</v>
      </c>
      <c r="D1630" s="234">
        <v>0</v>
      </c>
      <c r="E1630" s="246">
        <v>5000</v>
      </c>
      <c r="F1630" s="247" t="s">
        <v>4686</v>
      </c>
      <c r="G1630" s="34" t="s">
        <v>7</v>
      </c>
      <c r="H1630" s="234" t="s">
        <v>4685</v>
      </c>
      <c r="I1630" s="248" t="s">
        <v>7</v>
      </c>
      <c r="J1630" s="249" t="s">
        <v>554</v>
      </c>
      <c r="K1630" s="250">
        <v>5000</v>
      </c>
      <c r="L1630" s="250">
        <v>0</v>
      </c>
      <c r="M1630" s="251" t="s">
        <v>24</v>
      </c>
      <c r="N1630" s="252">
        <v>0</v>
      </c>
      <c r="O1630" s="185" t="s">
        <v>51</v>
      </c>
    </row>
    <row r="1631" spans="1:15" x14ac:dyDescent="0.25">
      <c r="A1631" s="234" t="s">
        <v>2291</v>
      </c>
      <c r="B1631" s="234" t="s">
        <v>24</v>
      </c>
      <c r="C1631" s="245">
        <v>46149</v>
      </c>
      <c r="D1631" s="234">
        <v>0</v>
      </c>
      <c r="E1631" s="246">
        <v>280000</v>
      </c>
      <c r="F1631" s="247" t="s">
        <v>2290</v>
      </c>
      <c r="G1631" s="34" t="s">
        <v>7</v>
      </c>
      <c r="H1631" s="234" t="s">
        <v>2292</v>
      </c>
      <c r="I1631" s="248" t="s">
        <v>7</v>
      </c>
      <c r="J1631" s="249" t="s">
        <v>62</v>
      </c>
      <c r="K1631" s="250">
        <v>279888.71000000002</v>
      </c>
      <c r="L1631" s="250">
        <v>0</v>
      </c>
      <c r="M1631" s="251" t="s">
        <v>24</v>
      </c>
      <c r="N1631" s="252">
        <v>0</v>
      </c>
      <c r="O1631" s="185" t="s">
        <v>51</v>
      </c>
    </row>
    <row r="1632" spans="1:15" x14ac:dyDescent="0.25">
      <c r="A1632" s="234" t="s">
        <v>4675</v>
      </c>
      <c r="B1632" s="234" t="s">
        <v>24</v>
      </c>
      <c r="C1632" s="245">
        <v>46149</v>
      </c>
      <c r="D1632" s="234">
        <v>0</v>
      </c>
      <c r="E1632" s="246">
        <v>268625</v>
      </c>
      <c r="F1632" s="247" t="s">
        <v>4674</v>
      </c>
      <c r="G1632" s="34" t="s">
        <v>7</v>
      </c>
      <c r="H1632" s="234" t="s">
        <v>4676</v>
      </c>
      <c r="I1632" s="248" t="s">
        <v>7</v>
      </c>
      <c r="J1632" s="249" t="s">
        <v>554</v>
      </c>
      <c r="K1632" s="250">
        <v>268625</v>
      </c>
      <c r="L1632" s="250">
        <v>0</v>
      </c>
      <c r="M1632" s="251" t="s">
        <v>24</v>
      </c>
      <c r="N1632" s="252">
        <v>0</v>
      </c>
      <c r="O1632" s="185" t="s">
        <v>51</v>
      </c>
    </row>
    <row r="1633" spans="1:15" x14ac:dyDescent="0.25">
      <c r="A1633" s="234" t="s">
        <v>4743</v>
      </c>
      <c r="B1633" s="234" t="s">
        <v>24</v>
      </c>
      <c r="C1633" s="245">
        <v>46149</v>
      </c>
      <c r="D1633" s="234">
        <v>0</v>
      </c>
      <c r="E1633" s="246">
        <v>319363.40000000002</v>
      </c>
      <c r="F1633" s="247" t="s">
        <v>4742</v>
      </c>
      <c r="G1633" s="34" t="s">
        <v>7</v>
      </c>
      <c r="H1633" s="234" t="s">
        <v>4744</v>
      </c>
      <c r="I1633" s="248" t="s">
        <v>7</v>
      </c>
      <c r="J1633" s="249" t="s">
        <v>554</v>
      </c>
      <c r="K1633" s="250">
        <v>319963.40000000002</v>
      </c>
      <c r="L1633" s="250">
        <v>0</v>
      </c>
      <c r="M1633" s="251" t="s">
        <v>24</v>
      </c>
      <c r="N1633" s="252">
        <v>0</v>
      </c>
      <c r="O1633" s="185" t="s">
        <v>51</v>
      </c>
    </row>
    <row r="1634" spans="1:15" x14ac:dyDescent="0.25">
      <c r="A1634" s="234" t="s">
        <v>4688</v>
      </c>
      <c r="B1634" s="234" t="s">
        <v>24</v>
      </c>
      <c r="C1634" s="245">
        <v>46149</v>
      </c>
      <c r="D1634" s="234">
        <v>0</v>
      </c>
      <c r="E1634" s="246">
        <v>40000</v>
      </c>
      <c r="F1634" s="247" t="s">
        <v>4687</v>
      </c>
      <c r="G1634" s="34" t="s">
        <v>7</v>
      </c>
      <c r="H1634" s="234" t="s">
        <v>4689</v>
      </c>
      <c r="I1634" s="248" t="s">
        <v>7</v>
      </c>
      <c r="J1634" s="249" t="s">
        <v>582</v>
      </c>
      <c r="K1634" s="250">
        <v>40000</v>
      </c>
      <c r="L1634" s="250">
        <v>0</v>
      </c>
      <c r="M1634" s="251" t="s">
        <v>24</v>
      </c>
      <c r="N1634" s="252">
        <v>0</v>
      </c>
      <c r="O1634" s="185" t="s">
        <v>51</v>
      </c>
    </row>
    <row r="1635" spans="1:15" x14ac:dyDescent="0.25">
      <c r="A1635" s="234" t="s">
        <v>2369</v>
      </c>
      <c r="B1635" s="234" t="s">
        <v>24</v>
      </c>
      <c r="C1635" s="245">
        <v>46149</v>
      </c>
      <c r="D1635" s="234">
        <v>0</v>
      </c>
      <c r="E1635" s="246">
        <v>374417</v>
      </c>
      <c r="F1635" s="247" t="s">
        <v>2368</v>
      </c>
      <c r="G1635" s="34" t="s">
        <v>7</v>
      </c>
      <c r="H1635" s="234" t="s">
        <v>2370</v>
      </c>
      <c r="I1635" s="248" t="s">
        <v>7</v>
      </c>
      <c r="J1635" s="249" t="s">
        <v>554</v>
      </c>
      <c r="K1635" s="250">
        <v>347417</v>
      </c>
      <c r="L1635" s="250">
        <v>0</v>
      </c>
      <c r="M1635" s="251" t="s">
        <v>24</v>
      </c>
      <c r="N1635" s="252">
        <v>0</v>
      </c>
      <c r="O1635" s="185" t="s">
        <v>51</v>
      </c>
    </row>
    <row r="1636" spans="1:15" x14ac:dyDescent="0.25">
      <c r="A1636" s="234" t="s">
        <v>7847</v>
      </c>
      <c r="B1636" s="234" t="s">
        <v>46</v>
      </c>
      <c r="C1636" s="245">
        <v>46149</v>
      </c>
      <c r="D1636" s="234">
        <v>0</v>
      </c>
      <c r="E1636" s="246">
        <v>50000</v>
      </c>
      <c r="F1636" s="247">
        <v>0</v>
      </c>
      <c r="G1636" s="34" t="s">
        <v>83</v>
      </c>
      <c r="H1636" s="234" t="s">
        <v>2090</v>
      </c>
      <c r="I1636" s="248" t="s">
        <v>7</v>
      </c>
      <c r="J1636" s="249" t="s">
        <v>492</v>
      </c>
      <c r="K1636" s="250">
        <v>0</v>
      </c>
      <c r="L1636" s="250">
        <v>0</v>
      </c>
      <c r="M1636" s="251" t="s">
        <v>46</v>
      </c>
      <c r="N1636" s="252">
        <v>0</v>
      </c>
      <c r="O1636" s="185" t="s">
        <v>51</v>
      </c>
    </row>
    <row r="1637" spans="1:15" x14ac:dyDescent="0.25">
      <c r="A1637" s="234" t="s">
        <v>7968</v>
      </c>
      <c r="B1637" s="234" t="s">
        <v>46</v>
      </c>
      <c r="C1637" s="245">
        <v>46149</v>
      </c>
      <c r="D1637" s="234">
        <v>0</v>
      </c>
      <c r="E1637" s="246">
        <v>285000</v>
      </c>
      <c r="F1637" s="247">
        <v>0</v>
      </c>
      <c r="G1637" s="34" t="s">
        <v>83</v>
      </c>
      <c r="H1637" s="234" t="s">
        <v>2050</v>
      </c>
      <c r="I1637" s="248" t="s">
        <v>7</v>
      </c>
      <c r="J1637" s="249" t="s">
        <v>492</v>
      </c>
      <c r="K1637" s="250">
        <v>0</v>
      </c>
      <c r="L1637" s="250">
        <v>0</v>
      </c>
      <c r="M1637" s="251" t="s">
        <v>46</v>
      </c>
      <c r="N1637" s="252">
        <v>0</v>
      </c>
      <c r="O1637" s="185" t="s">
        <v>51</v>
      </c>
    </row>
    <row r="1638" spans="1:15" x14ac:dyDescent="0.25">
      <c r="A1638" s="234" t="s">
        <v>2569</v>
      </c>
      <c r="B1638" s="234" t="s">
        <v>46</v>
      </c>
      <c r="C1638" s="245">
        <v>46149</v>
      </c>
      <c r="D1638" s="234">
        <v>0</v>
      </c>
      <c r="E1638" s="246">
        <v>165129</v>
      </c>
      <c r="F1638" s="247">
        <v>0</v>
      </c>
      <c r="G1638" s="34" t="s">
        <v>83</v>
      </c>
      <c r="H1638" s="234" t="s">
        <v>2570</v>
      </c>
      <c r="I1638" s="248" t="s">
        <v>7</v>
      </c>
      <c r="J1638" s="249" t="s">
        <v>492</v>
      </c>
      <c r="K1638" s="250">
        <v>0</v>
      </c>
      <c r="L1638" s="250">
        <v>0</v>
      </c>
      <c r="M1638" s="251" t="s">
        <v>46</v>
      </c>
      <c r="N1638" s="252">
        <v>0</v>
      </c>
      <c r="O1638" s="185" t="s">
        <v>51</v>
      </c>
    </row>
    <row r="1639" spans="1:15" x14ac:dyDescent="0.25">
      <c r="A1639" s="234" t="s">
        <v>7969</v>
      </c>
      <c r="B1639" s="234" t="s">
        <v>46</v>
      </c>
      <c r="C1639" s="245">
        <v>46149</v>
      </c>
      <c r="D1639" s="234">
        <v>0</v>
      </c>
      <c r="E1639" s="246">
        <v>420000</v>
      </c>
      <c r="F1639" s="247">
        <v>0</v>
      </c>
      <c r="G1639" s="34" t="s">
        <v>83</v>
      </c>
      <c r="H1639" s="234" t="s">
        <v>7970</v>
      </c>
      <c r="I1639" s="248" t="s">
        <v>7</v>
      </c>
      <c r="J1639" s="249" t="s">
        <v>492</v>
      </c>
      <c r="K1639" s="250">
        <v>0</v>
      </c>
      <c r="L1639" s="250">
        <v>0</v>
      </c>
      <c r="M1639" s="251" t="s">
        <v>46</v>
      </c>
      <c r="N1639" s="252">
        <v>0</v>
      </c>
      <c r="O1639" s="185" t="s">
        <v>51</v>
      </c>
    </row>
    <row r="1640" spans="1:15" x14ac:dyDescent="0.25">
      <c r="A1640" s="234" t="s">
        <v>4217</v>
      </c>
      <c r="B1640" s="234" t="s">
        <v>46</v>
      </c>
      <c r="C1640" s="245">
        <v>46149</v>
      </c>
      <c r="D1640" s="234">
        <v>0</v>
      </c>
      <c r="E1640" s="246">
        <v>80000</v>
      </c>
      <c r="F1640" s="247">
        <v>0</v>
      </c>
      <c r="G1640" s="34" t="s">
        <v>83</v>
      </c>
      <c r="H1640" s="234" t="s">
        <v>4218</v>
      </c>
      <c r="I1640" s="248" t="s">
        <v>7</v>
      </c>
      <c r="J1640" s="249" t="s">
        <v>492</v>
      </c>
      <c r="K1640" s="250">
        <v>0</v>
      </c>
      <c r="L1640" s="250">
        <v>0</v>
      </c>
      <c r="M1640" s="251" t="s">
        <v>46</v>
      </c>
      <c r="N1640" s="252">
        <v>0</v>
      </c>
      <c r="O1640" s="185" t="s">
        <v>51</v>
      </c>
    </row>
    <row r="1641" spans="1:15" x14ac:dyDescent="0.25">
      <c r="A1641" s="234" t="s">
        <v>7971</v>
      </c>
      <c r="B1641" s="234" t="s">
        <v>19</v>
      </c>
      <c r="C1641" s="245">
        <v>46149</v>
      </c>
      <c r="D1641" s="234" t="s">
        <v>575</v>
      </c>
      <c r="E1641" s="246">
        <v>200000</v>
      </c>
      <c r="F1641" s="247">
        <v>0</v>
      </c>
      <c r="G1641" s="34" t="s">
        <v>7</v>
      </c>
      <c r="H1641" s="234" t="s">
        <v>7972</v>
      </c>
      <c r="I1641" s="248" t="s">
        <v>7</v>
      </c>
      <c r="J1641" s="249" t="s">
        <v>492</v>
      </c>
      <c r="K1641" s="250">
        <v>0</v>
      </c>
      <c r="L1641" s="250">
        <v>0</v>
      </c>
      <c r="M1641" s="251" t="s">
        <v>19</v>
      </c>
      <c r="N1641" s="252">
        <v>0</v>
      </c>
      <c r="O1641" s="185" t="s">
        <v>51</v>
      </c>
    </row>
    <row r="1642" spans="1:15" x14ac:dyDescent="0.25">
      <c r="A1642" s="234" t="s">
        <v>4919</v>
      </c>
      <c r="B1642" s="234" t="s">
        <v>10</v>
      </c>
      <c r="C1642" s="245">
        <v>46149</v>
      </c>
      <c r="D1642" s="234">
        <v>0</v>
      </c>
      <c r="E1642" s="246">
        <v>22130</v>
      </c>
      <c r="F1642" s="247" t="s">
        <v>4921</v>
      </c>
      <c r="G1642" s="34" t="s">
        <v>7</v>
      </c>
      <c r="H1642" s="234" t="s">
        <v>4920</v>
      </c>
      <c r="I1642" s="248" t="s">
        <v>7</v>
      </c>
      <c r="J1642" s="249" t="s">
        <v>582</v>
      </c>
      <c r="K1642" s="250">
        <v>22130</v>
      </c>
      <c r="L1642" s="250">
        <v>0</v>
      </c>
      <c r="M1642" s="251" t="s">
        <v>10</v>
      </c>
      <c r="N1642" s="252">
        <v>0</v>
      </c>
      <c r="O1642" s="185" t="s">
        <v>77</v>
      </c>
    </row>
    <row r="1643" spans="1:15" x14ac:dyDescent="0.25">
      <c r="A1643" s="234" t="s">
        <v>3770</v>
      </c>
      <c r="B1643" s="234" t="s">
        <v>10</v>
      </c>
      <c r="C1643" s="245">
        <v>46149</v>
      </c>
      <c r="D1643" s="234">
        <v>0</v>
      </c>
      <c r="E1643" s="246">
        <v>125318</v>
      </c>
      <c r="F1643" s="247" t="s">
        <v>3769</v>
      </c>
      <c r="G1643" s="34" t="s">
        <v>7</v>
      </c>
      <c r="H1643" s="234" t="s">
        <v>3771</v>
      </c>
      <c r="I1643" s="248" t="s">
        <v>7</v>
      </c>
      <c r="J1643" s="249" t="s">
        <v>554</v>
      </c>
      <c r="K1643" s="250">
        <v>125318</v>
      </c>
      <c r="L1643" s="250">
        <v>0</v>
      </c>
      <c r="M1643" s="251" t="s">
        <v>10</v>
      </c>
      <c r="N1643" s="252">
        <v>0</v>
      </c>
      <c r="O1643" s="185" t="s">
        <v>74</v>
      </c>
    </row>
    <row r="1644" spans="1:15" x14ac:dyDescent="0.25">
      <c r="A1644" s="234" t="s">
        <v>7973</v>
      </c>
      <c r="B1644" s="234" t="s">
        <v>10</v>
      </c>
      <c r="C1644" s="245">
        <v>46149</v>
      </c>
      <c r="D1644" s="234">
        <v>0</v>
      </c>
      <c r="E1644" s="246">
        <v>250000</v>
      </c>
      <c r="F1644" s="247">
        <v>0</v>
      </c>
      <c r="G1644" s="34" t="s">
        <v>7</v>
      </c>
      <c r="H1644" s="234" t="s">
        <v>7974</v>
      </c>
      <c r="I1644" s="248" t="s">
        <v>7</v>
      </c>
      <c r="J1644" s="249" t="s">
        <v>492</v>
      </c>
      <c r="K1644" s="250">
        <v>0</v>
      </c>
      <c r="L1644" s="250">
        <v>0</v>
      </c>
      <c r="M1644" s="251" t="s">
        <v>10</v>
      </c>
      <c r="N1644" s="252">
        <v>0</v>
      </c>
      <c r="O1644" s="185" t="s">
        <v>77</v>
      </c>
    </row>
    <row r="1645" spans="1:15" x14ac:dyDescent="0.25">
      <c r="A1645" s="234" t="s">
        <v>7973</v>
      </c>
      <c r="B1645" s="234" t="s">
        <v>10</v>
      </c>
      <c r="C1645" s="245">
        <v>46149</v>
      </c>
      <c r="D1645" s="234">
        <v>0</v>
      </c>
      <c r="E1645" s="246">
        <v>223826</v>
      </c>
      <c r="F1645" s="247">
        <v>0</v>
      </c>
      <c r="G1645" s="34" t="s">
        <v>7</v>
      </c>
      <c r="H1645" s="234" t="s">
        <v>7974</v>
      </c>
      <c r="I1645" s="248" t="s">
        <v>7</v>
      </c>
      <c r="J1645" s="249" t="s">
        <v>492</v>
      </c>
      <c r="K1645" s="250">
        <v>0</v>
      </c>
      <c r="L1645" s="250">
        <v>0</v>
      </c>
      <c r="M1645" s="251" t="s">
        <v>10</v>
      </c>
      <c r="N1645" s="252">
        <v>0</v>
      </c>
      <c r="O1645" s="185" t="s">
        <v>77</v>
      </c>
    </row>
    <row r="1646" spans="1:15" x14ac:dyDescent="0.25">
      <c r="A1646" s="234" t="s">
        <v>5515</v>
      </c>
      <c r="B1646" s="234" t="s">
        <v>10</v>
      </c>
      <c r="C1646" s="245">
        <v>46149</v>
      </c>
      <c r="D1646" s="234">
        <v>0</v>
      </c>
      <c r="E1646" s="246">
        <v>134000</v>
      </c>
      <c r="F1646" s="247" t="s">
        <v>5514</v>
      </c>
      <c r="G1646" s="34" t="s">
        <v>7</v>
      </c>
      <c r="H1646" s="234" t="s">
        <v>5516</v>
      </c>
      <c r="I1646" s="248" t="s">
        <v>7</v>
      </c>
      <c r="J1646" s="249" t="s">
        <v>582</v>
      </c>
      <c r="K1646" s="250">
        <v>31540.19</v>
      </c>
      <c r="L1646" s="250">
        <v>0</v>
      </c>
      <c r="M1646" s="251" t="s">
        <v>10</v>
      </c>
      <c r="N1646" s="252">
        <v>0</v>
      </c>
      <c r="O1646" s="185" t="s">
        <v>77</v>
      </c>
    </row>
    <row r="1647" spans="1:15" x14ac:dyDescent="0.25">
      <c r="A1647" s="234" t="s">
        <v>7975</v>
      </c>
      <c r="B1647" s="234" t="s">
        <v>10</v>
      </c>
      <c r="C1647" s="245">
        <v>46149</v>
      </c>
      <c r="D1647" s="234">
        <v>0</v>
      </c>
      <c r="E1647" s="246">
        <v>131201</v>
      </c>
      <c r="F1647" s="247">
        <v>0</v>
      </c>
      <c r="G1647" s="34" t="s">
        <v>7</v>
      </c>
      <c r="H1647" s="234" t="s">
        <v>7976</v>
      </c>
      <c r="I1647" s="248" t="s">
        <v>7</v>
      </c>
      <c r="J1647" s="249" t="s">
        <v>492</v>
      </c>
      <c r="K1647" s="250">
        <v>0</v>
      </c>
      <c r="L1647" s="250">
        <v>0</v>
      </c>
      <c r="M1647" s="251" t="s">
        <v>10</v>
      </c>
      <c r="N1647" s="252">
        <v>0</v>
      </c>
      <c r="O1647" s="185" t="s">
        <v>74</v>
      </c>
    </row>
    <row r="1648" spans="1:15" x14ac:dyDescent="0.25">
      <c r="A1648" s="234" t="s">
        <v>3837</v>
      </c>
      <c r="B1648" s="234" t="s">
        <v>10</v>
      </c>
      <c r="C1648" s="245">
        <v>46149</v>
      </c>
      <c r="D1648" s="234">
        <v>0</v>
      </c>
      <c r="E1648" s="246">
        <v>124230</v>
      </c>
      <c r="F1648" s="247">
        <v>0</v>
      </c>
      <c r="G1648" s="34" t="s">
        <v>7</v>
      </c>
      <c r="H1648" s="234" t="s">
        <v>3838</v>
      </c>
      <c r="I1648" s="248" t="s">
        <v>7</v>
      </c>
      <c r="J1648" s="249" t="s">
        <v>492</v>
      </c>
      <c r="K1648" s="250">
        <v>0</v>
      </c>
      <c r="L1648" s="250">
        <v>0</v>
      </c>
      <c r="M1648" s="251" t="s">
        <v>10</v>
      </c>
      <c r="N1648" s="252">
        <v>0</v>
      </c>
      <c r="O1648" s="185" t="s">
        <v>74</v>
      </c>
    </row>
    <row r="1649" spans="1:15" x14ac:dyDescent="0.25">
      <c r="A1649" s="234" t="s">
        <v>4822</v>
      </c>
      <c r="B1649" s="234" t="s">
        <v>10</v>
      </c>
      <c r="C1649" s="245">
        <v>46149</v>
      </c>
      <c r="D1649" s="234">
        <v>0</v>
      </c>
      <c r="E1649" s="246">
        <v>121423</v>
      </c>
      <c r="F1649" s="247">
        <v>0</v>
      </c>
      <c r="G1649" s="34" t="s">
        <v>7</v>
      </c>
      <c r="H1649" s="234" t="s">
        <v>4823</v>
      </c>
      <c r="I1649" s="248" t="s">
        <v>7</v>
      </c>
      <c r="J1649" s="249" t="s">
        <v>492</v>
      </c>
      <c r="K1649" s="250">
        <v>0</v>
      </c>
      <c r="L1649" s="250">
        <v>0</v>
      </c>
      <c r="M1649" s="251" t="s">
        <v>10</v>
      </c>
      <c r="N1649" s="252">
        <v>0</v>
      </c>
      <c r="O1649" s="185" t="s">
        <v>77</v>
      </c>
    </row>
    <row r="1650" spans="1:15" x14ac:dyDescent="0.25">
      <c r="A1650" s="234" t="s">
        <v>3738</v>
      </c>
      <c r="B1650" s="234" t="s">
        <v>10</v>
      </c>
      <c r="C1650" s="245">
        <v>46149</v>
      </c>
      <c r="D1650" s="234">
        <v>0</v>
      </c>
      <c r="E1650" s="246">
        <v>158339</v>
      </c>
      <c r="F1650" s="247" t="s">
        <v>3737</v>
      </c>
      <c r="G1650" s="34" t="s">
        <v>7</v>
      </c>
      <c r="H1650" s="234" t="s">
        <v>3739</v>
      </c>
      <c r="I1650" s="248" t="s">
        <v>7</v>
      </c>
      <c r="J1650" s="249" t="s">
        <v>582</v>
      </c>
      <c r="K1650" s="250">
        <v>316680</v>
      </c>
      <c r="L1650" s="250">
        <v>0</v>
      </c>
      <c r="M1650" s="251" t="s">
        <v>10</v>
      </c>
      <c r="N1650" s="252">
        <v>0</v>
      </c>
      <c r="O1650" s="185" t="s">
        <v>74</v>
      </c>
    </row>
    <row r="1651" spans="1:15" x14ac:dyDescent="0.25">
      <c r="A1651" s="234" t="s">
        <v>4768</v>
      </c>
      <c r="B1651" s="234" t="s">
        <v>10</v>
      </c>
      <c r="C1651" s="245">
        <v>46149</v>
      </c>
      <c r="D1651" s="234">
        <v>0</v>
      </c>
      <c r="E1651" s="246">
        <v>82321</v>
      </c>
      <c r="F1651" s="247" t="s">
        <v>4767</v>
      </c>
      <c r="G1651" s="34" t="s">
        <v>7</v>
      </c>
      <c r="H1651" s="234" t="s">
        <v>4769</v>
      </c>
      <c r="I1651" s="248" t="s">
        <v>7</v>
      </c>
      <c r="J1651" s="249" t="s">
        <v>582</v>
      </c>
      <c r="K1651" s="250">
        <v>82321</v>
      </c>
      <c r="L1651" s="250">
        <v>0</v>
      </c>
      <c r="M1651" s="251" t="s">
        <v>10</v>
      </c>
      <c r="N1651" s="252">
        <v>0</v>
      </c>
      <c r="O1651" s="185" t="s">
        <v>77</v>
      </c>
    </row>
    <row r="1652" spans="1:15" x14ac:dyDescent="0.25">
      <c r="A1652" s="234" t="s">
        <v>3707</v>
      </c>
      <c r="B1652" s="234" t="s">
        <v>10</v>
      </c>
      <c r="C1652" s="245">
        <v>46149</v>
      </c>
      <c r="D1652" s="234">
        <v>0</v>
      </c>
      <c r="E1652" s="246">
        <v>28000</v>
      </c>
      <c r="F1652" s="247" t="s">
        <v>3706</v>
      </c>
      <c r="G1652" s="34" t="s">
        <v>7</v>
      </c>
      <c r="H1652" s="234" t="s">
        <v>3708</v>
      </c>
      <c r="I1652" s="248" t="s">
        <v>7</v>
      </c>
      <c r="J1652" s="249" t="s">
        <v>582</v>
      </c>
      <c r="K1652" s="250">
        <v>28250.46</v>
      </c>
      <c r="L1652" s="250">
        <v>0</v>
      </c>
      <c r="M1652" s="251" t="s">
        <v>10</v>
      </c>
      <c r="N1652" s="252">
        <v>0</v>
      </c>
      <c r="O1652" s="185" t="s">
        <v>74</v>
      </c>
    </row>
    <row r="1653" spans="1:15" x14ac:dyDescent="0.25">
      <c r="A1653" s="234" t="s">
        <v>4795</v>
      </c>
      <c r="B1653" s="234" t="s">
        <v>10</v>
      </c>
      <c r="C1653" s="245">
        <v>46149</v>
      </c>
      <c r="D1653" s="234">
        <v>0</v>
      </c>
      <c r="E1653" s="246">
        <v>40000</v>
      </c>
      <c r="F1653" s="247" t="s">
        <v>4803</v>
      </c>
      <c r="G1653" s="34" t="s">
        <v>7</v>
      </c>
      <c r="H1653" s="234" t="s">
        <v>4796</v>
      </c>
      <c r="I1653" s="248" t="s">
        <v>7</v>
      </c>
      <c r="J1653" s="249" t="s">
        <v>554</v>
      </c>
      <c r="K1653" s="250">
        <v>40000</v>
      </c>
      <c r="L1653" s="250">
        <v>0</v>
      </c>
      <c r="M1653" s="251" t="s">
        <v>10</v>
      </c>
      <c r="N1653" s="252">
        <v>0</v>
      </c>
      <c r="O1653" s="185" t="s">
        <v>77</v>
      </c>
    </row>
    <row r="1654" spans="1:15" x14ac:dyDescent="0.25">
      <c r="A1654" s="234" t="s">
        <v>7977</v>
      </c>
      <c r="B1654" s="234" t="s">
        <v>10</v>
      </c>
      <c r="C1654" s="245">
        <v>46149</v>
      </c>
      <c r="D1654" s="234">
        <v>0</v>
      </c>
      <c r="E1654" s="246">
        <v>117259.24</v>
      </c>
      <c r="F1654" s="247">
        <v>0</v>
      </c>
      <c r="G1654" s="34" t="s">
        <v>7</v>
      </c>
      <c r="H1654" s="234" t="s">
        <v>7978</v>
      </c>
      <c r="I1654" s="248" t="s">
        <v>7</v>
      </c>
      <c r="J1654" s="249" t="s">
        <v>492</v>
      </c>
      <c r="K1654" s="250">
        <v>0</v>
      </c>
      <c r="L1654" s="250">
        <v>0</v>
      </c>
      <c r="M1654" s="251" t="s">
        <v>10</v>
      </c>
      <c r="N1654" s="252">
        <v>0</v>
      </c>
      <c r="O1654" s="185" t="s">
        <v>77</v>
      </c>
    </row>
    <row r="1655" spans="1:15" x14ac:dyDescent="0.25">
      <c r="A1655" s="234" t="s">
        <v>4840</v>
      </c>
      <c r="B1655" s="234" t="s">
        <v>10</v>
      </c>
      <c r="C1655" s="245">
        <v>46149</v>
      </c>
      <c r="D1655" s="234">
        <v>0</v>
      </c>
      <c r="E1655" s="246">
        <v>108000</v>
      </c>
      <c r="F1655" s="247" t="s">
        <v>4842</v>
      </c>
      <c r="G1655" s="34" t="s">
        <v>7</v>
      </c>
      <c r="H1655" s="234" t="s">
        <v>4841</v>
      </c>
      <c r="I1655" s="248" t="s">
        <v>7</v>
      </c>
      <c r="J1655" s="249" t="s">
        <v>554</v>
      </c>
      <c r="K1655" s="250">
        <v>108000</v>
      </c>
      <c r="L1655" s="250">
        <v>0</v>
      </c>
      <c r="M1655" s="251" t="s">
        <v>10</v>
      </c>
      <c r="N1655" s="252">
        <v>0</v>
      </c>
      <c r="O1655" s="185" t="s">
        <v>77</v>
      </c>
    </row>
    <row r="1656" spans="1:15" x14ac:dyDescent="0.25">
      <c r="A1656" s="234" t="s">
        <v>7979</v>
      </c>
      <c r="B1656" s="234" t="s">
        <v>10</v>
      </c>
      <c r="C1656" s="245">
        <v>46149</v>
      </c>
      <c r="D1656" s="234">
        <v>0</v>
      </c>
      <c r="E1656" s="246">
        <v>116000</v>
      </c>
      <c r="F1656" s="247">
        <v>0</v>
      </c>
      <c r="G1656" s="34" t="s">
        <v>7</v>
      </c>
      <c r="H1656" s="234" t="s">
        <v>7980</v>
      </c>
      <c r="I1656" s="248" t="s">
        <v>7</v>
      </c>
      <c r="J1656" s="249" t="s">
        <v>492</v>
      </c>
      <c r="K1656" s="250">
        <v>0</v>
      </c>
      <c r="L1656" s="250">
        <v>0</v>
      </c>
      <c r="M1656" s="251" t="s">
        <v>10</v>
      </c>
      <c r="N1656" s="252">
        <v>0</v>
      </c>
      <c r="O1656" s="185" t="s">
        <v>77</v>
      </c>
    </row>
    <row r="1657" spans="1:15" x14ac:dyDescent="0.25">
      <c r="A1657" s="234" t="s">
        <v>7981</v>
      </c>
      <c r="B1657" s="234" t="s">
        <v>10</v>
      </c>
      <c r="C1657" s="245">
        <v>46149</v>
      </c>
      <c r="D1657" s="234">
        <v>0</v>
      </c>
      <c r="E1657" s="246">
        <v>116960</v>
      </c>
      <c r="F1657" s="247">
        <v>0</v>
      </c>
      <c r="G1657" s="34" t="s">
        <v>7</v>
      </c>
      <c r="H1657" s="234" t="s">
        <v>7982</v>
      </c>
      <c r="I1657" s="248" t="s">
        <v>7</v>
      </c>
      <c r="J1657" s="249" t="s">
        <v>492</v>
      </c>
      <c r="K1657" s="250">
        <v>0</v>
      </c>
      <c r="L1657" s="250">
        <v>0</v>
      </c>
      <c r="M1657" s="251" t="s">
        <v>10</v>
      </c>
      <c r="N1657" s="252">
        <v>0</v>
      </c>
      <c r="O1657" s="185" t="s">
        <v>77</v>
      </c>
    </row>
    <row r="1658" spans="1:15" x14ac:dyDescent="0.25">
      <c r="A1658" s="234" t="s">
        <v>7983</v>
      </c>
      <c r="B1658" s="234" t="s">
        <v>10</v>
      </c>
      <c r="C1658" s="245">
        <v>46149</v>
      </c>
      <c r="D1658" s="234">
        <v>0</v>
      </c>
      <c r="E1658" s="246">
        <v>51399.51</v>
      </c>
      <c r="F1658" s="247">
        <v>0</v>
      </c>
      <c r="G1658" s="34" t="s">
        <v>7</v>
      </c>
      <c r="H1658" s="234" t="s">
        <v>7984</v>
      </c>
      <c r="I1658" s="248" t="s">
        <v>7</v>
      </c>
      <c r="J1658" s="249" t="s">
        <v>492</v>
      </c>
      <c r="K1658" s="250">
        <v>0</v>
      </c>
      <c r="L1658" s="250">
        <v>0</v>
      </c>
      <c r="M1658" s="251" t="s">
        <v>10</v>
      </c>
      <c r="N1658" s="252">
        <v>0</v>
      </c>
      <c r="O1658" s="185" t="s">
        <v>77</v>
      </c>
    </row>
    <row r="1659" spans="1:15" x14ac:dyDescent="0.25">
      <c r="A1659" s="234" t="s">
        <v>4757</v>
      </c>
      <c r="B1659" s="234" t="s">
        <v>10</v>
      </c>
      <c r="C1659" s="245">
        <v>46149</v>
      </c>
      <c r="D1659" s="234">
        <v>0</v>
      </c>
      <c r="E1659" s="246">
        <v>50000</v>
      </c>
      <c r="F1659" s="247" t="s">
        <v>7985</v>
      </c>
      <c r="G1659" s="34" t="s">
        <v>7</v>
      </c>
      <c r="H1659" s="234" t="s">
        <v>4758</v>
      </c>
      <c r="I1659" s="248" t="s">
        <v>7</v>
      </c>
      <c r="J1659" s="249" t="s">
        <v>492</v>
      </c>
      <c r="K1659" s="250">
        <v>0</v>
      </c>
      <c r="L1659" s="250">
        <v>0</v>
      </c>
      <c r="M1659" s="251" t="s">
        <v>10</v>
      </c>
      <c r="N1659" s="252">
        <v>0</v>
      </c>
      <c r="O1659" s="185" t="s">
        <v>77</v>
      </c>
    </row>
    <row r="1660" spans="1:15" x14ac:dyDescent="0.25">
      <c r="A1660" s="234" t="s">
        <v>7986</v>
      </c>
      <c r="B1660" s="234" t="s">
        <v>21</v>
      </c>
      <c r="C1660" s="245">
        <v>46149</v>
      </c>
      <c r="D1660" s="234" t="s">
        <v>64</v>
      </c>
      <c r="E1660" s="246">
        <v>931379</v>
      </c>
      <c r="F1660" s="247" t="s">
        <v>7275</v>
      </c>
      <c r="G1660" s="34" t="s">
        <v>7</v>
      </c>
      <c r="H1660" s="234" t="s">
        <v>7987</v>
      </c>
      <c r="I1660" s="248" t="s">
        <v>7</v>
      </c>
      <c r="J1660" s="249" t="s">
        <v>492</v>
      </c>
      <c r="K1660" s="250">
        <v>0</v>
      </c>
      <c r="L1660" s="250">
        <v>0</v>
      </c>
      <c r="M1660" s="251" t="s">
        <v>21</v>
      </c>
      <c r="N1660" s="252">
        <v>0</v>
      </c>
      <c r="O1660" s="185" t="s">
        <v>51</v>
      </c>
    </row>
    <row r="1661" spans="1:15" x14ac:dyDescent="0.25">
      <c r="A1661" s="234" t="s">
        <v>7988</v>
      </c>
      <c r="B1661" s="234" t="s">
        <v>21</v>
      </c>
      <c r="C1661" s="245">
        <v>46149</v>
      </c>
      <c r="D1661" s="234" t="s">
        <v>575</v>
      </c>
      <c r="E1661" s="246">
        <v>200525</v>
      </c>
      <c r="F1661" s="247" t="s">
        <v>7275</v>
      </c>
      <c r="G1661" s="34" t="s">
        <v>7</v>
      </c>
      <c r="H1661" s="234" t="s">
        <v>7989</v>
      </c>
      <c r="I1661" s="248" t="s">
        <v>7</v>
      </c>
      <c r="J1661" s="249" t="s">
        <v>492</v>
      </c>
      <c r="K1661" s="250">
        <v>0</v>
      </c>
      <c r="L1661" s="250">
        <v>0</v>
      </c>
      <c r="M1661" s="251" t="s">
        <v>21</v>
      </c>
      <c r="N1661" s="252">
        <v>0</v>
      </c>
      <c r="O1661" s="185" t="s">
        <v>51</v>
      </c>
    </row>
    <row r="1662" spans="1:15" x14ac:dyDescent="0.25">
      <c r="A1662" s="234" t="s">
        <v>2862</v>
      </c>
      <c r="B1662" s="234" t="s">
        <v>21</v>
      </c>
      <c r="C1662" s="245">
        <v>46149</v>
      </c>
      <c r="D1662" s="234" t="s">
        <v>546</v>
      </c>
      <c r="E1662" s="246">
        <v>10000</v>
      </c>
      <c r="F1662" s="247" t="s">
        <v>2868</v>
      </c>
      <c r="G1662" s="34" t="s">
        <v>7</v>
      </c>
      <c r="H1662" s="234" t="s">
        <v>2863</v>
      </c>
      <c r="I1662" s="248" t="s">
        <v>7</v>
      </c>
      <c r="J1662" s="249" t="s">
        <v>554</v>
      </c>
      <c r="K1662" s="250">
        <v>10000</v>
      </c>
      <c r="L1662" s="250">
        <v>0</v>
      </c>
      <c r="M1662" s="251" t="s">
        <v>21</v>
      </c>
      <c r="N1662" s="252">
        <v>0</v>
      </c>
      <c r="O1662" s="185" t="s">
        <v>51</v>
      </c>
    </row>
    <row r="1663" spans="1:15" x14ac:dyDescent="0.25">
      <c r="A1663" s="234" t="s">
        <v>2862</v>
      </c>
      <c r="B1663" s="234" t="s">
        <v>21</v>
      </c>
      <c r="C1663" s="245">
        <v>46149</v>
      </c>
      <c r="D1663" s="234" t="s">
        <v>546</v>
      </c>
      <c r="E1663" s="246">
        <v>6335</v>
      </c>
      <c r="F1663" s="247" t="s">
        <v>2865</v>
      </c>
      <c r="G1663" s="34" t="s">
        <v>7</v>
      </c>
      <c r="H1663" s="234" t="s">
        <v>2863</v>
      </c>
      <c r="I1663" s="248" t="s">
        <v>7</v>
      </c>
      <c r="J1663" s="249" t="s">
        <v>554</v>
      </c>
      <c r="K1663" s="250">
        <v>6335</v>
      </c>
      <c r="L1663" s="250">
        <v>0</v>
      </c>
      <c r="M1663" s="251" t="s">
        <v>21</v>
      </c>
      <c r="N1663" s="252">
        <v>0</v>
      </c>
      <c r="O1663" s="185" t="s">
        <v>51</v>
      </c>
    </row>
    <row r="1664" spans="1:15" x14ac:dyDescent="0.25">
      <c r="A1664" s="234" t="s">
        <v>2862</v>
      </c>
      <c r="B1664" s="234" t="s">
        <v>21</v>
      </c>
      <c r="C1664" s="245">
        <v>46149</v>
      </c>
      <c r="D1664" s="234" t="s">
        <v>546</v>
      </c>
      <c r="E1664" s="246">
        <v>10000</v>
      </c>
      <c r="F1664" s="247" t="s">
        <v>2861</v>
      </c>
      <c r="G1664" s="34" t="s">
        <v>7</v>
      </c>
      <c r="H1664" s="234" t="s">
        <v>2863</v>
      </c>
      <c r="I1664" s="248" t="s">
        <v>7</v>
      </c>
      <c r="J1664" s="249" t="s">
        <v>554</v>
      </c>
      <c r="K1664" s="250">
        <v>10000</v>
      </c>
      <c r="L1664" s="250">
        <v>0</v>
      </c>
      <c r="M1664" s="251" t="s">
        <v>21</v>
      </c>
      <c r="N1664" s="252">
        <v>0</v>
      </c>
      <c r="O1664" s="185" t="s">
        <v>51</v>
      </c>
    </row>
    <row r="1665" spans="1:15" x14ac:dyDescent="0.25">
      <c r="A1665" s="234" t="s">
        <v>5567</v>
      </c>
      <c r="B1665" s="234" t="s">
        <v>18</v>
      </c>
      <c r="C1665" s="245">
        <v>46149</v>
      </c>
      <c r="D1665" s="234">
        <v>0</v>
      </c>
      <c r="E1665" s="246">
        <v>13000</v>
      </c>
      <c r="F1665" s="247" t="s">
        <v>5566</v>
      </c>
      <c r="G1665" s="34" t="s">
        <v>7</v>
      </c>
      <c r="H1665" s="234" t="s">
        <v>5569</v>
      </c>
      <c r="I1665" s="248" t="s">
        <v>7</v>
      </c>
      <c r="J1665" s="249" t="s">
        <v>554</v>
      </c>
      <c r="K1665" s="250">
        <v>13595</v>
      </c>
      <c r="L1665" s="250">
        <v>0</v>
      </c>
      <c r="M1665" s="251" t="s">
        <v>18</v>
      </c>
      <c r="N1665" s="252">
        <v>0</v>
      </c>
      <c r="O1665" s="185" t="s">
        <v>51</v>
      </c>
    </row>
    <row r="1666" spans="1:15" x14ac:dyDescent="0.25">
      <c r="A1666" s="234" t="s">
        <v>5557</v>
      </c>
      <c r="B1666" s="234" t="s">
        <v>18</v>
      </c>
      <c r="C1666" s="245">
        <v>46149</v>
      </c>
      <c r="D1666" s="234">
        <v>0</v>
      </c>
      <c r="E1666" s="246">
        <v>289537</v>
      </c>
      <c r="F1666" s="247" t="s">
        <v>5556</v>
      </c>
      <c r="G1666" s="34" t="s">
        <v>7</v>
      </c>
      <c r="H1666" s="234" t="s">
        <v>5559</v>
      </c>
      <c r="I1666" s="248" t="s">
        <v>7367</v>
      </c>
      <c r="J1666" s="249" t="s">
        <v>61</v>
      </c>
      <c r="K1666" s="250">
        <v>289537</v>
      </c>
      <c r="L1666" s="250">
        <v>884</v>
      </c>
      <c r="M1666" s="251" t="s">
        <v>18</v>
      </c>
      <c r="N1666" s="252">
        <v>288653</v>
      </c>
      <c r="O1666" s="185" t="s">
        <v>51</v>
      </c>
    </row>
    <row r="1667" spans="1:15" x14ac:dyDescent="0.25">
      <c r="A1667" s="234" t="s">
        <v>721</v>
      </c>
      <c r="B1667" s="234" t="s">
        <v>18</v>
      </c>
      <c r="C1667" s="245">
        <v>46149</v>
      </c>
      <c r="D1667" s="234">
        <v>0</v>
      </c>
      <c r="E1667" s="246">
        <v>12900</v>
      </c>
      <c r="F1667" s="247" t="s">
        <v>723</v>
      </c>
      <c r="G1667" s="34" t="s">
        <v>7</v>
      </c>
      <c r="H1667" s="234" t="s">
        <v>722</v>
      </c>
      <c r="I1667" s="248" t="s">
        <v>7</v>
      </c>
      <c r="J1667" s="249" t="s">
        <v>554</v>
      </c>
      <c r="K1667" s="250">
        <v>12900</v>
      </c>
      <c r="L1667" s="250">
        <v>0</v>
      </c>
      <c r="M1667" s="251" t="s">
        <v>18</v>
      </c>
      <c r="N1667" s="252">
        <v>0</v>
      </c>
      <c r="O1667" s="185" t="s">
        <v>51</v>
      </c>
    </row>
    <row r="1668" spans="1:15" x14ac:dyDescent="0.25">
      <c r="A1668" s="234" t="s">
        <v>727</v>
      </c>
      <c r="B1668" s="234" t="s">
        <v>18</v>
      </c>
      <c r="C1668" s="245">
        <v>46149</v>
      </c>
      <c r="D1668" s="234">
        <v>0</v>
      </c>
      <c r="E1668" s="246">
        <v>36729</v>
      </c>
      <c r="F1668" s="247" t="s">
        <v>726</v>
      </c>
      <c r="G1668" s="34" t="s">
        <v>7</v>
      </c>
      <c r="H1668" s="234" t="s">
        <v>728</v>
      </c>
      <c r="I1668" s="248" t="s">
        <v>7</v>
      </c>
      <c r="J1668" s="249" t="s">
        <v>554</v>
      </c>
      <c r="K1668" s="250">
        <v>36729</v>
      </c>
      <c r="L1668" s="250">
        <v>0</v>
      </c>
      <c r="M1668" s="251" t="s">
        <v>18</v>
      </c>
      <c r="N1668" s="252">
        <v>0</v>
      </c>
      <c r="O1668" s="185" t="s">
        <v>51</v>
      </c>
    </row>
    <row r="1669" spans="1:15" x14ac:dyDescent="0.25">
      <c r="A1669" s="234" t="s">
        <v>718</v>
      </c>
      <c r="B1669" s="234" t="s">
        <v>18</v>
      </c>
      <c r="C1669" s="245">
        <v>46149</v>
      </c>
      <c r="D1669" s="234">
        <v>0</v>
      </c>
      <c r="E1669" s="246">
        <v>91009</v>
      </c>
      <c r="F1669" s="247" t="s">
        <v>717</v>
      </c>
      <c r="G1669" s="34" t="s">
        <v>7</v>
      </c>
      <c r="H1669" s="234" t="s">
        <v>719</v>
      </c>
      <c r="I1669" s="248" t="s">
        <v>7</v>
      </c>
      <c r="J1669" s="249" t="s">
        <v>554</v>
      </c>
      <c r="K1669" s="250">
        <v>91009</v>
      </c>
      <c r="L1669" s="250">
        <v>0</v>
      </c>
      <c r="M1669" s="251" t="s">
        <v>18</v>
      </c>
      <c r="N1669" s="252">
        <v>0</v>
      </c>
      <c r="O1669" s="185" t="s">
        <v>51</v>
      </c>
    </row>
    <row r="1670" spans="1:15" x14ac:dyDescent="0.25">
      <c r="A1670" s="234" t="s">
        <v>715</v>
      </c>
      <c r="B1670" s="234" t="s">
        <v>18</v>
      </c>
      <c r="C1670" s="245">
        <v>46149</v>
      </c>
      <c r="D1670" s="234">
        <v>0</v>
      </c>
      <c r="E1670" s="246">
        <v>35393</v>
      </c>
      <c r="F1670" s="247" t="s">
        <v>714</v>
      </c>
      <c r="G1670" s="34" t="s">
        <v>7</v>
      </c>
      <c r="H1670" s="234" t="s">
        <v>716</v>
      </c>
      <c r="I1670" s="248" t="s">
        <v>7</v>
      </c>
      <c r="J1670" s="249" t="s">
        <v>554</v>
      </c>
      <c r="K1670" s="250">
        <v>35393</v>
      </c>
      <c r="L1670" s="250">
        <v>0</v>
      </c>
      <c r="M1670" s="251" t="s">
        <v>18</v>
      </c>
      <c r="N1670" s="252">
        <v>0</v>
      </c>
      <c r="O1670" s="185" t="s">
        <v>51</v>
      </c>
    </row>
    <row r="1671" spans="1:15" x14ac:dyDescent="0.25">
      <c r="A1671" s="234" t="s">
        <v>712</v>
      </c>
      <c r="B1671" s="234" t="s">
        <v>18</v>
      </c>
      <c r="C1671" s="245">
        <v>46149</v>
      </c>
      <c r="D1671" s="234">
        <v>0</v>
      </c>
      <c r="E1671" s="246">
        <v>90987</v>
      </c>
      <c r="F1671" s="247" t="s">
        <v>711</v>
      </c>
      <c r="G1671" s="34" t="s">
        <v>7</v>
      </c>
      <c r="H1671" s="234" t="s">
        <v>713</v>
      </c>
      <c r="I1671" s="248" t="s">
        <v>7</v>
      </c>
      <c r="J1671" s="249" t="s">
        <v>554</v>
      </c>
      <c r="K1671" s="250">
        <v>90987</v>
      </c>
      <c r="L1671" s="250">
        <v>0</v>
      </c>
      <c r="M1671" s="251" t="s">
        <v>18</v>
      </c>
      <c r="N1671" s="252">
        <v>0</v>
      </c>
      <c r="O1671" s="185" t="s">
        <v>51</v>
      </c>
    </row>
    <row r="1672" spans="1:15" x14ac:dyDescent="0.25">
      <c r="A1672" s="234" t="s">
        <v>5599</v>
      </c>
      <c r="B1672" s="234" t="s">
        <v>18</v>
      </c>
      <c r="C1672" s="245">
        <v>46149</v>
      </c>
      <c r="D1672" s="234">
        <v>0</v>
      </c>
      <c r="E1672" s="246">
        <v>55000</v>
      </c>
      <c r="F1672" s="247" t="s">
        <v>5601</v>
      </c>
      <c r="G1672" s="34" t="s">
        <v>7</v>
      </c>
      <c r="H1672" s="234" t="s">
        <v>5600</v>
      </c>
      <c r="I1672" s="248" t="s">
        <v>7</v>
      </c>
      <c r="J1672" s="249" t="s">
        <v>554</v>
      </c>
      <c r="K1672" s="250">
        <v>55000</v>
      </c>
      <c r="L1672" s="250">
        <v>0</v>
      </c>
      <c r="M1672" s="251" t="s">
        <v>18</v>
      </c>
      <c r="N1672" s="252">
        <v>0</v>
      </c>
      <c r="O1672" s="185" t="s">
        <v>51</v>
      </c>
    </row>
    <row r="1673" spans="1:15" x14ac:dyDescent="0.25">
      <c r="A1673" s="234" t="s">
        <v>7990</v>
      </c>
      <c r="B1673" s="234" t="s">
        <v>18</v>
      </c>
      <c r="C1673" s="245">
        <v>46149</v>
      </c>
      <c r="D1673" s="234">
        <v>0</v>
      </c>
      <c r="E1673" s="246">
        <v>328629</v>
      </c>
      <c r="F1673" s="247" t="s">
        <v>7991</v>
      </c>
      <c r="G1673" s="34" t="s">
        <v>7</v>
      </c>
      <c r="H1673" s="234" t="s">
        <v>7992</v>
      </c>
      <c r="I1673" s="248" t="s">
        <v>7</v>
      </c>
      <c r="J1673" s="249" t="s">
        <v>492</v>
      </c>
      <c r="K1673" s="250">
        <v>0</v>
      </c>
      <c r="L1673" s="250">
        <v>0</v>
      </c>
      <c r="M1673" s="251" t="s">
        <v>18</v>
      </c>
      <c r="N1673" s="252">
        <v>0</v>
      </c>
      <c r="O1673" s="185" t="s">
        <v>51</v>
      </c>
    </row>
    <row r="1674" spans="1:15" x14ac:dyDescent="0.25">
      <c r="A1674" s="234" t="s">
        <v>7993</v>
      </c>
      <c r="B1674" s="234" t="s">
        <v>18</v>
      </c>
      <c r="C1674" s="245">
        <v>46149</v>
      </c>
      <c r="D1674" s="234">
        <v>0</v>
      </c>
      <c r="E1674" s="246">
        <v>301008</v>
      </c>
      <c r="F1674" s="247" t="s">
        <v>7994</v>
      </c>
      <c r="G1674" s="34" t="s">
        <v>7</v>
      </c>
      <c r="H1674" s="234" t="s">
        <v>7995</v>
      </c>
      <c r="I1674" s="248" t="s">
        <v>7</v>
      </c>
      <c r="J1674" s="249" t="s">
        <v>492</v>
      </c>
      <c r="K1674" s="250">
        <v>0</v>
      </c>
      <c r="L1674" s="250">
        <v>0</v>
      </c>
      <c r="M1674" s="251" t="s">
        <v>18</v>
      </c>
      <c r="N1674" s="252">
        <v>0</v>
      </c>
      <c r="O1674" s="185" t="s">
        <v>51</v>
      </c>
    </row>
    <row r="1675" spans="1:15" x14ac:dyDescent="0.25">
      <c r="A1675" s="234" t="s">
        <v>7996</v>
      </c>
      <c r="B1675" s="234" t="s">
        <v>18</v>
      </c>
      <c r="C1675" s="245">
        <v>46149</v>
      </c>
      <c r="D1675" s="234">
        <v>0</v>
      </c>
      <c r="E1675" s="246">
        <v>266343</v>
      </c>
      <c r="F1675" s="247" t="s">
        <v>7997</v>
      </c>
      <c r="G1675" s="34" t="s">
        <v>7</v>
      </c>
      <c r="H1675" s="234" t="s">
        <v>7998</v>
      </c>
      <c r="I1675" s="248" t="s">
        <v>7</v>
      </c>
      <c r="J1675" s="249" t="s">
        <v>492</v>
      </c>
      <c r="K1675" s="250">
        <v>0</v>
      </c>
      <c r="L1675" s="250">
        <v>0</v>
      </c>
      <c r="M1675" s="251" t="s">
        <v>18</v>
      </c>
      <c r="N1675" s="252">
        <v>0</v>
      </c>
      <c r="O1675" s="185" t="s">
        <v>51</v>
      </c>
    </row>
    <row r="1676" spans="1:15" x14ac:dyDescent="0.25">
      <c r="A1676" s="234" t="s">
        <v>7999</v>
      </c>
      <c r="B1676" s="234" t="s">
        <v>18</v>
      </c>
      <c r="C1676" s="245">
        <v>46149</v>
      </c>
      <c r="D1676" s="234">
        <v>0</v>
      </c>
      <c r="E1676" s="246">
        <v>263338</v>
      </c>
      <c r="F1676" s="247" t="s">
        <v>8000</v>
      </c>
      <c r="G1676" s="34" t="s">
        <v>7</v>
      </c>
      <c r="H1676" s="234" t="s">
        <v>8001</v>
      </c>
      <c r="I1676" s="248" t="s">
        <v>7</v>
      </c>
      <c r="J1676" s="249" t="s">
        <v>492</v>
      </c>
      <c r="K1676" s="250">
        <v>0</v>
      </c>
      <c r="L1676" s="250">
        <v>0</v>
      </c>
      <c r="M1676" s="251" t="s">
        <v>18</v>
      </c>
      <c r="N1676" s="252">
        <v>0</v>
      </c>
      <c r="O1676" s="185" t="s">
        <v>51</v>
      </c>
    </row>
    <row r="1677" spans="1:15" x14ac:dyDescent="0.25">
      <c r="A1677" s="234" t="s">
        <v>8002</v>
      </c>
      <c r="B1677" s="234" t="s">
        <v>18</v>
      </c>
      <c r="C1677" s="245">
        <v>46149</v>
      </c>
      <c r="D1677" s="234">
        <v>0</v>
      </c>
      <c r="E1677" s="246">
        <v>248294</v>
      </c>
      <c r="F1677" s="247" t="s">
        <v>8003</v>
      </c>
      <c r="G1677" s="34" t="s">
        <v>7</v>
      </c>
      <c r="H1677" s="234" t="s">
        <v>8004</v>
      </c>
      <c r="I1677" s="248" t="s">
        <v>7</v>
      </c>
      <c r="J1677" s="249" t="s">
        <v>492</v>
      </c>
      <c r="K1677" s="250">
        <v>0</v>
      </c>
      <c r="L1677" s="250">
        <v>0</v>
      </c>
      <c r="M1677" s="251" t="s">
        <v>18</v>
      </c>
      <c r="N1677" s="252">
        <v>0</v>
      </c>
      <c r="O1677" s="185" t="s">
        <v>51</v>
      </c>
    </row>
    <row r="1678" spans="1:15" x14ac:dyDescent="0.25">
      <c r="A1678" s="234" t="s">
        <v>8005</v>
      </c>
      <c r="B1678" s="234" t="s">
        <v>18</v>
      </c>
      <c r="C1678" s="245">
        <v>46149</v>
      </c>
      <c r="D1678" s="234">
        <v>0</v>
      </c>
      <c r="E1678" s="246">
        <v>248294</v>
      </c>
      <c r="F1678" s="247" t="s">
        <v>8006</v>
      </c>
      <c r="G1678" s="34" t="s">
        <v>7</v>
      </c>
      <c r="H1678" s="234" t="s">
        <v>8007</v>
      </c>
      <c r="I1678" s="248" t="s">
        <v>7</v>
      </c>
      <c r="J1678" s="249" t="s">
        <v>492</v>
      </c>
      <c r="K1678" s="250">
        <v>0</v>
      </c>
      <c r="L1678" s="250">
        <v>0</v>
      </c>
      <c r="M1678" s="251" t="s">
        <v>18</v>
      </c>
      <c r="N1678" s="252">
        <v>0</v>
      </c>
      <c r="O1678" s="185" t="s">
        <v>51</v>
      </c>
    </row>
    <row r="1679" spans="1:15" x14ac:dyDescent="0.25">
      <c r="A1679" s="234" t="s">
        <v>2332</v>
      </c>
      <c r="B1679" s="234" t="s">
        <v>34</v>
      </c>
      <c r="C1679" s="245">
        <v>46149</v>
      </c>
      <c r="D1679" s="234">
        <v>0</v>
      </c>
      <c r="E1679" s="246">
        <v>100000</v>
      </c>
      <c r="F1679" s="247">
        <v>0</v>
      </c>
      <c r="G1679" s="34" t="s">
        <v>7</v>
      </c>
      <c r="H1679" s="234" t="s">
        <v>2333</v>
      </c>
      <c r="I1679" s="248" t="s">
        <v>7</v>
      </c>
      <c r="J1679" s="249" t="s">
        <v>492</v>
      </c>
      <c r="K1679" s="250">
        <v>0</v>
      </c>
      <c r="L1679" s="250">
        <v>0</v>
      </c>
      <c r="M1679" s="251" t="s">
        <v>34</v>
      </c>
      <c r="N1679" s="252">
        <v>0</v>
      </c>
      <c r="O1679" s="185" t="s">
        <v>51</v>
      </c>
    </row>
    <row r="1680" spans="1:15" x14ac:dyDescent="0.25">
      <c r="A1680" s="234" t="s">
        <v>645</v>
      </c>
      <c r="B1680" s="234" t="s">
        <v>34</v>
      </c>
      <c r="C1680" s="245">
        <v>46149</v>
      </c>
      <c r="D1680" s="234">
        <v>0</v>
      </c>
      <c r="E1680" s="246">
        <v>109000</v>
      </c>
      <c r="F1680" s="247" t="s">
        <v>647</v>
      </c>
      <c r="G1680" s="34" t="s">
        <v>7</v>
      </c>
      <c r="H1680" s="234" t="s">
        <v>646</v>
      </c>
      <c r="I1680" s="248" t="s">
        <v>7</v>
      </c>
      <c r="J1680" s="249" t="s">
        <v>554</v>
      </c>
      <c r="K1680" s="250">
        <v>109000</v>
      </c>
      <c r="L1680" s="250">
        <v>0</v>
      </c>
      <c r="M1680" s="251" t="s">
        <v>34</v>
      </c>
      <c r="N1680" s="252">
        <v>0</v>
      </c>
      <c r="O1680" s="185" t="s">
        <v>51</v>
      </c>
    </row>
    <row r="1681" spans="1:15" x14ac:dyDescent="0.25">
      <c r="A1681" s="234" t="s">
        <v>5640</v>
      </c>
      <c r="B1681" s="234" t="s">
        <v>34</v>
      </c>
      <c r="C1681" s="245">
        <v>46149</v>
      </c>
      <c r="D1681" s="234">
        <v>0</v>
      </c>
      <c r="E1681" s="246">
        <v>211457.8</v>
      </c>
      <c r="F1681" s="247" t="s">
        <v>5639</v>
      </c>
      <c r="G1681" s="34" t="s">
        <v>7</v>
      </c>
      <c r="H1681" s="234" t="s">
        <v>5642</v>
      </c>
      <c r="I1681" s="248" t="s">
        <v>7367</v>
      </c>
      <c r="J1681" s="249" t="s">
        <v>61</v>
      </c>
      <c r="K1681" s="250">
        <v>211457.8</v>
      </c>
      <c r="L1681" s="250">
        <v>1326</v>
      </c>
      <c r="M1681" s="251" t="s">
        <v>34</v>
      </c>
      <c r="N1681" s="252">
        <v>210131.8</v>
      </c>
      <c r="O1681" s="185" t="s">
        <v>51</v>
      </c>
    </row>
    <row r="1682" spans="1:15" x14ac:dyDescent="0.25">
      <c r="A1682" s="234" t="s">
        <v>5657</v>
      </c>
      <c r="B1682" s="234" t="s">
        <v>34</v>
      </c>
      <c r="C1682" s="245">
        <v>46149</v>
      </c>
      <c r="D1682" s="234">
        <v>0</v>
      </c>
      <c r="E1682" s="246">
        <v>21814</v>
      </c>
      <c r="F1682" s="247" t="s">
        <v>5656</v>
      </c>
      <c r="G1682" s="34" t="s">
        <v>7</v>
      </c>
      <c r="H1682" s="234" t="s">
        <v>5659</v>
      </c>
      <c r="I1682" s="248" t="s">
        <v>7</v>
      </c>
      <c r="J1682" s="249" t="s">
        <v>554</v>
      </c>
      <c r="K1682" s="250">
        <v>21814</v>
      </c>
      <c r="L1682" s="250">
        <v>0</v>
      </c>
      <c r="M1682" s="251" t="s">
        <v>34</v>
      </c>
      <c r="N1682" s="252">
        <v>0</v>
      </c>
      <c r="O1682" s="185" t="s">
        <v>51</v>
      </c>
    </row>
    <row r="1683" spans="1:15" x14ac:dyDescent="0.25">
      <c r="A1683" s="234" t="s">
        <v>3292</v>
      </c>
      <c r="B1683" s="234" t="s">
        <v>34</v>
      </c>
      <c r="C1683" s="245">
        <v>46149</v>
      </c>
      <c r="D1683" s="234">
        <v>0</v>
      </c>
      <c r="E1683" s="246">
        <v>264001</v>
      </c>
      <c r="F1683" s="247" t="s">
        <v>3291</v>
      </c>
      <c r="G1683" s="34" t="s">
        <v>7</v>
      </c>
      <c r="H1683" s="234" t="s">
        <v>3293</v>
      </c>
      <c r="I1683" s="248" t="s">
        <v>7</v>
      </c>
      <c r="J1683" s="249" t="s">
        <v>582</v>
      </c>
      <c r="K1683" s="250">
        <v>72000</v>
      </c>
      <c r="L1683" s="250">
        <v>0</v>
      </c>
      <c r="M1683" s="251" t="s">
        <v>34</v>
      </c>
      <c r="N1683" s="252">
        <v>0</v>
      </c>
      <c r="O1683" s="185" t="s">
        <v>51</v>
      </c>
    </row>
    <row r="1684" spans="1:15" x14ac:dyDescent="0.25">
      <c r="A1684" s="234" t="s">
        <v>5614</v>
      </c>
      <c r="B1684" s="234" t="s">
        <v>34</v>
      </c>
      <c r="C1684" s="245">
        <v>46149</v>
      </c>
      <c r="D1684" s="234">
        <v>0</v>
      </c>
      <c r="E1684" s="246">
        <v>70994</v>
      </c>
      <c r="F1684" s="247" t="s">
        <v>5618</v>
      </c>
      <c r="G1684" s="34" t="s">
        <v>7</v>
      </c>
      <c r="H1684" s="234" t="s">
        <v>5615</v>
      </c>
      <c r="I1684" s="248" t="s">
        <v>7</v>
      </c>
      <c r="J1684" s="249" t="s">
        <v>582</v>
      </c>
      <c r="K1684" s="250">
        <v>70994</v>
      </c>
      <c r="L1684" s="250">
        <v>0</v>
      </c>
      <c r="M1684" s="251" t="s">
        <v>34</v>
      </c>
      <c r="N1684" s="252">
        <v>0</v>
      </c>
      <c r="O1684" s="185" t="s">
        <v>51</v>
      </c>
    </row>
    <row r="1685" spans="1:15" x14ac:dyDescent="0.25">
      <c r="A1685" s="234" t="s">
        <v>5614</v>
      </c>
      <c r="B1685" s="234" t="s">
        <v>34</v>
      </c>
      <c r="C1685" s="245">
        <v>46149</v>
      </c>
      <c r="D1685" s="234">
        <v>0</v>
      </c>
      <c r="E1685" s="246">
        <v>71014</v>
      </c>
      <c r="F1685" s="247" t="s">
        <v>5617</v>
      </c>
      <c r="G1685" s="34" t="s">
        <v>7</v>
      </c>
      <c r="H1685" s="234" t="s">
        <v>5615</v>
      </c>
      <c r="I1685" s="248" t="s">
        <v>7</v>
      </c>
      <c r="J1685" s="249" t="s">
        <v>582</v>
      </c>
      <c r="K1685" s="250">
        <v>71014</v>
      </c>
      <c r="L1685" s="250">
        <v>0</v>
      </c>
      <c r="M1685" s="251" t="s">
        <v>34</v>
      </c>
      <c r="N1685" s="252">
        <v>0</v>
      </c>
      <c r="O1685" s="185" t="s">
        <v>51</v>
      </c>
    </row>
    <row r="1686" spans="1:15" x14ac:dyDescent="0.25">
      <c r="A1686" s="234" t="s">
        <v>5620</v>
      </c>
      <c r="B1686" s="234" t="s">
        <v>34</v>
      </c>
      <c r="C1686" s="245">
        <v>46149</v>
      </c>
      <c r="D1686" s="234">
        <v>0</v>
      </c>
      <c r="E1686" s="246">
        <v>77364.160000000003</v>
      </c>
      <c r="F1686" s="247" t="s">
        <v>5630</v>
      </c>
      <c r="G1686" s="34" t="s">
        <v>7</v>
      </c>
      <c r="H1686" s="234" t="s">
        <v>5622</v>
      </c>
      <c r="I1686" s="248" t="s">
        <v>7</v>
      </c>
      <c r="J1686" s="249" t="s">
        <v>582</v>
      </c>
      <c r="K1686" s="250">
        <v>77364.160000000003</v>
      </c>
      <c r="L1686" s="250">
        <v>0</v>
      </c>
      <c r="M1686" s="251" t="s">
        <v>34</v>
      </c>
      <c r="N1686" s="252">
        <v>0</v>
      </c>
      <c r="O1686" s="185" t="s">
        <v>51</v>
      </c>
    </row>
    <row r="1687" spans="1:15" x14ac:dyDescent="0.25">
      <c r="A1687" s="234" t="s">
        <v>5620</v>
      </c>
      <c r="B1687" s="234" t="s">
        <v>34</v>
      </c>
      <c r="C1687" s="245">
        <v>46149</v>
      </c>
      <c r="D1687" s="234">
        <v>0</v>
      </c>
      <c r="E1687" s="246">
        <v>15500</v>
      </c>
      <c r="F1687" s="247" t="s">
        <v>5627</v>
      </c>
      <c r="G1687" s="34" t="s">
        <v>7</v>
      </c>
      <c r="H1687" s="234" t="s">
        <v>5622</v>
      </c>
      <c r="I1687" s="248" t="s">
        <v>7</v>
      </c>
      <c r="J1687" s="249" t="s">
        <v>554</v>
      </c>
      <c r="K1687" s="250">
        <v>15500</v>
      </c>
      <c r="L1687" s="250">
        <v>0</v>
      </c>
      <c r="M1687" s="251" t="s">
        <v>34</v>
      </c>
      <c r="N1687" s="252">
        <v>0</v>
      </c>
      <c r="O1687" s="185" t="s">
        <v>51</v>
      </c>
    </row>
    <row r="1688" spans="1:15" x14ac:dyDescent="0.25">
      <c r="A1688" s="234" t="s">
        <v>5620</v>
      </c>
      <c r="B1688" s="234" t="s">
        <v>34</v>
      </c>
      <c r="C1688" s="245">
        <v>46149</v>
      </c>
      <c r="D1688" s="234">
        <v>0</v>
      </c>
      <c r="E1688" s="246">
        <v>5000</v>
      </c>
      <c r="F1688" s="247" t="s">
        <v>5626</v>
      </c>
      <c r="G1688" s="34" t="s">
        <v>7</v>
      </c>
      <c r="H1688" s="234" t="s">
        <v>5622</v>
      </c>
      <c r="I1688" s="248" t="s">
        <v>7</v>
      </c>
      <c r="J1688" s="249" t="s">
        <v>554</v>
      </c>
      <c r="K1688" s="250">
        <v>5000</v>
      </c>
      <c r="L1688" s="250">
        <v>0</v>
      </c>
      <c r="M1688" s="251" t="s">
        <v>34</v>
      </c>
      <c r="N1688" s="252">
        <v>0</v>
      </c>
      <c r="O1688" s="185" t="s">
        <v>51</v>
      </c>
    </row>
    <row r="1689" spans="1:15" x14ac:dyDescent="0.25">
      <c r="A1689" s="234" t="s">
        <v>5635</v>
      </c>
      <c r="B1689" s="234" t="s">
        <v>34</v>
      </c>
      <c r="C1689" s="245">
        <v>46149</v>
      </c>
      <c r="D1689" s="234">
        <v>0</v>
      </c>
      <c r="E1689" s="246">
        <v>100000</v>
      </c>
      <c r="F1689" s="247" t="s">
        <v>5638</v>
      </c>
      <c r="G1689" s="34" t="s">
        <v>7</v>
      </c>
      <c r="H1689" s="234" t="s">
        <v>5637</v>
      </c>
      <c r="I1689" s="248" t="s">
        <v>7367</v>
      </c>
      <c r="J1689" s="249" t="s">
        <v>582</v>
      </c>
      <c r="K1689" s="250">
        <v>100000</v>
      </c>
      <c r="L1689" s="250">
        <v>14617</v>
      </c>
      <c r="M1689" s="251" t="s">
        <v>34</v>
      </c>
      <c r="N1689" s="252">
        <v>85383</v>
      </c>
      <c r="O1689" s="185" t="s">
        <v>51</v>
      </c>
    </row>
    <row r="1690" spans="1:15" x14ac:dyDescent="0.25">
      <c r="A1690" s="234" t="s">
        <v>8008</v>
      </c>
      <c r="B1690" s="234" t="s">
        <v>34</v>
      </c>
      <c r="C1690" s="245">
        <v>46149</v>
      </c>
      <c r="D1690" s="234">
        <v>0</v>
      </c>
      <c r="E1690" s="246">
        <v>161394.6</v>
      </c>
      <c r="F1690" s="247">
        <v>0</v>
      </c>
      <c r="G1690" s="34" t="s">
        <v>7</v>
      </c>
      <c r="H1690" s="234" t="s">
        <v>8009</v>
      </c>
      <c r="I1690" s="248" t="s">
        <v>7</v>
      </c>
      <c r="J1690" s="249" t="s">
        <v>492</v>
      </c>
      <c r="K1690" s="250">
        <v>0</v>
      </c>
      <c r="L1690" s="250">
        <v>0</v>
      </c>
      <c r="M1690" s="251" t="s">
        <v>34</v>
      </c>
      <c r="N1690" s="252">
        <v>0</v>
      </c>
      <c r="O1690" s="185" t="s">
        <v>51</v>
      </c>
    </row>
    <row r="1691" spans="1:15" x14ac:dyDescent="0.25">
      <c r="A1691" s="234" t="s">
        <v>8010</v>
      </c>
      <c r="B1691" s="234" t="s">
        <v>34</v>
      </c>
      <c r="C1691" s="245">
        <v>46149</v>
      </c>
      <c r="D1691" s="234">
        <v>0</v>
      </c>
      <c r="E1691" s="246">
        <v>182716.16</v>
      </c>
      <c r="F1691" s="247">
        <v>0</v>
      </c>
      <c r="G1691" s="34" t="s">
        <v>7</v>
      </c>
      <c r="H1691" s="234" t="s">
        <v>8011</v>
      </c>
      <c r="I1691" s="248" t="s">
        <v>7</v>
      </c>
      <c r="J1691" s="249" t="s">
        <v>492</v>
      </c>
      <c r="K1691" s="250">
        <v>0</v>
      </c>
      <c r="L1691" s="250">
        <v>0</v>
      </c>
      <c r="M1691" s="251" t="s">
        <v>34</v>
      </c>
      <c r="N1691" s="252">
        <v>0</v>
      </c>
      <c r="O1691" s="185" t="s">
        <v>51</v>
      </c>
    </row>
    <row r="1692" spans="1:15" x14ac:dyDescent="0.25">
      <c r="A1692" s="234" t="s">
        <v>8012</v>
      </c>
      <c r="B1692" s="234" t="s">
        <v>34</v>
      </c>
      <c r="C1692" s="245">
        <v>46149</v>
      </c>
      <c r="D1692" s="234">
        <v>0</v>
      </c>
      <c r="E1692" s="246">
        <v>186096.66</v>
      </c>
      <c r="F1692" s="247">
        <v>0</v>
      </c>
      <c r="G1692" s="34" t="s">
        <v>7</v>
      </c>
      <c r="H1692" s="234" t="s">
        <v>8013</v>
      </c>
      <c r="I1692" s="248" t="s">
        <v>7</v>
      </c>
      <c r="J1692" s="249" t="s">
        <v>492</v>
      </c>
      <c r="K1692" s="250">
        <v>0</v>
      </c>
      <c r="L1692" s="250">
        <v>0</v>
      </c>
      <c r="M1692" s="251" t="s">
        <v>34</v>
      </c>
      <c r="N1692" s="252">
        <v>0</v>
      </c>
      <c r="O1692" s="185" t="s">
        <v>51</v>
      </c>
    </row>
    <row r="1693" spans="1:15" x14ac:dyDescent="0.25">
      <c r="A1693" s="234" t="s">
        <v>4404</v>
      </c>
      <c r="B1693" s="234" t="s">
        <v>49</v>
      </c>
      <c r="C1693" s="245">
        <v>46149</v>
      </c>
      <c r="D1693" s="234" t="s">
        <v>546</v>
      </c>
      <c r="E1693" s="246">
        <v>45000</v>
      </c>
      <c r="F1693" s="247" t="s">
        <v>4410</v>
      </c>
      <c r="G1693" s="34" t="s">
        <v>83</v>
      </c>
      <c r="H1693" s="234" t="s">
        <v>4405</v>
      </c>
      <c r="I1693" s="248" t="s">
        <v>7</v>
      </c>
      <c r="J1693" s="249" t="s">
        <v>554</v>
      </c>
      <c r="K1693" s="250">
        <v>45000</v>
      </c>
      <c r="L1693" s="250">
        <v>0</v>
      </c>
      <c r="M1693" s="251" t="s">
        <v>49</v>
      </c>
      <c r="N1693" s="252">
        <v>0</v>
      </c>
      <c r="O1693" s="185" t="s">
        <v>74</v>
      </c>
    </row>
    <row r="1694" spans="1:15" x14ac:dyDescent="0.25">
      <c r="A1694" s="234" t="s">
        <v>4404</v>
      </c>
      <c r="B1694" s="234" t="s">
        <v>49</v>
      </c>
      <c r="C1694" s="245">
        <v>46149</v>
      </c>
      <c r="D1694" s="234" t="s">
        <v>546</v>
      </c>
      <c r="E1694" s="246">
        <v>20000</v>
      </c>
      <c r="F1694" s="247" t="s">
        <v>4408</v>
      </c>
      <c r="G1694" s="34" t="s">
        <v>83</v>
      </c>
      <c r="H1694" s="234" t="s">
        <v>4405</v>
      </c>
      <c r="I1694" s="248" t="s">
        <v>7</v>
      </c>
      <c r="J1694" s="249" t="s">
        <v>554</v>
      </c>
      <c r="K1694" s="250">
        <v>20000</v>
      </c>
      <c r="L1694" s="250">
        <v>0</v>
      </c>
      <c r="M1694" s="251" t="s">
        <v>49</v>
      </c>
      <c r="N1694" s="252">
        <v>0</v>
      </c>
      <c r="O1694" s="185" t="s">
        <v>74</v>
      </c>
    </row>
    <row r="1695" spans="1:15" x14ac:dyDescent="0.25">
      <c r="A1695" s="234" t="s">
        <v>8014</v>
      </c>
      <c r="B1695" s="234" t="s">
        <v>49</v>
      </c>
      <c r="C1695" s="245">
        <v>46149</v>
      </c>
      <c r="D1695" s="234" t="s">
        <v>7289</v>
      </c>
      <c r="E1695" s="246">
        <v>210332</v>
      </c>
      <c r="F1695" s="247" t="s">
        <v>7275</v>
      </c>
      <c r="G1695" s="34" t="s">
        <v>83</v>
      </c>
      <c r="H1695" s="234" t="s">
        <v>8015</v>
      </c>
      <c r="I1695" s="248" t="s">
        <v>7</v>
      </c>
      <c r="J1695" s="249" t="s">
        <v>492</v>
      </c>
      <c r="K1695" s="250">
        <v>0</v>
      </c>
      <c r="L1695" s="250">
        <v>0</v>
      </c>
      <c r="M1695" s="251" t="s">
        <v>49</v>
      </c>
      <c r="N1695" s="252">
        <v>0</v>
      </c>
      <c r="O1695" s="185" t="s">
        <v>51</v>
      </c>
    </row>
    <row r="1696" spans="1:15" x14ac:dyDescent="0.25">
      <c r="A1696" s="234" t="s">
        <v>8016</v>
      </c>
      <c r="B1696" s="234" t="s">
        <v>49</v>
      </c>
      <c r="C1696" s="245">
        <v>46149</v>
      </c>
      <c r="D1696" s="234" t="s">
        <v>7289</v>
      </c>
      <c r="E1696" s="246">
        <v>333476</v>
      </c>
      <c r="F1696" s="247" t="s">
        <v>7275</v>
      </c>
      <c r="G1696" s="34" t="s">
        <v>83</v>
      </c>
      <c r="H1696" s="234" t="s">
        <v>8017</v>
      </c>
      <c r="I1696" s="248" t="s">
        <v>7</v>
      </c>
      <c r="J1696" s="249" t="s">
        <v>492</v>
      </c>
      <c r="K1696" s="250">
        <v>0</v>
      </c>
      <c r="L1696" s="250">
        <v>0</v>
      </c>
      <c r="M1696" s="251" t="s">
        <v>49</v>
      </c>
      <c r="N1696" s="252">
        <v>0</v>
      </c>
      <c r="O1696" s="185" t="s">
        <v>51</v>
      </c>
    </row>
    <row r="1697" spans="1:15" x14ac:dyDescent="0.25">
      <c r="A1697" s="234" t="s">
        <v>4987</v>
      </c>
      <c r="B1697" s="234" t="s">
        <v>49</v>
      </c>
      <c r="C1697" s="245">
        <v>46149</v>
      </c>
      <c r="D1697" s="234" t="s">
        <v>546</v>
      </c>
      <c r="E1697" s="246">
        <v>10000</v>
      </c>
      <c r="F1697" s="247" t="s">
        <v>4993</v>
      </c>
      <c r="G1697" s="34" t="s">
        <v>83</v>
      </c>
      <c r="H1697" s="234" t="s">
        <v>4988</v>
      </c>
      <c r="I1697" s="248" t="s">
        <v>7</v>
      </c>
      <c r="J1697" s="249" t="s">
        <v>554</v>
      </c>
      <c r="K1697" s="250">
        <v>10000</v>
      </c>
      <c r="L1697" s="250">
        <v>0</v>
      </c>
      <c r="M1697" s="251" t="s">
        <v>49</v>
      </c>
      <c r="N1697" s="252">
        <v>0</v>
      </c>
      <c r="O1697" s="185" t="s">
        <v>51</v>
      </c>
    </row>
    <row r="1698" spans="1:15" x14ac:dyDescent="0.25">
      <c r="A1698" s="234" t="s">
        <v>4987</v>
      </c>
      <c r="B1698" s="234" t="s">
        <v>49</v>
      </c>
      <c r="C1698" s="245">
        <v>46149</v>
      </c>
      <c r="D1698" s="234" t="s">
        <v>546</v>
      </c>
      <c r="E1698" s="246">
        <v>12500</v>
      </c>
      <c r="F1698" s="247" t="s">
        <v>4991</v>
      </c>
      <c r="G1698" s="34" t="s">
        <v>83</v>
      </c>
      <c r="H1698" s="234" t="s">
        <v>4988</v>
      </c>
      <c r="I1698" s="248" t="s">
        <v>7</v>
      </c>
      <c r="J1698" s="249" t="s">
        <v>554</v>
      </c>
      <c r="K1698" s="250">
        <v>12500</v>
      </c>
      <c r="L1698" s="250">
        <v>0</v>
      </c>
      <c r="M1698" s="251" t="s">
        <v>49</v>
      </c>
      <c r="N1698" s="252">
        <v>0</v>
      </c>
      <c r="O1698" s="185" t="s">
        <v>51</v>
      </c>
    </row>
    <row r="1699" spans="1:15" x14ac:dyDescent="0.25">
      <c r="A1699" s="234" t="s">
        <v>4987</v>
      </c>
      <c r="B1699" s="234" t="s">
        <v>49</v>
      </c>
      <c r="C1699" s="245">
        <v>46149</v>
      </c>
      <c r="D1699" s="234" t="s">
        <v>546</v>
      </c>
      <c r="E1699" s="246">
        <v>20000</v>
      </c>
      <c r="F1699" s="247" t="s">
        <v>4986</v>
      </c>
      <c r="G1699" s="34" t="s">
        <v>83</v>
      </c>
      <c r="H1699" s="234" t="s">
        <v>4988</v>
      </c>
      <c r="I1699" s="248" t="s">
        <v>7</v>
      </c>
      <c r="J1699" s="249" t="s">
        <v>554</v>
      </c>
      <c r="K1699" s="250">
        <v>20000</v>
      </c>
      <c r="L1699" s="250">
        <v>0</v>
      </c>
      <c r="M1699" s="251" t="s">
        <v>49</v>
      </c>
      <c r="N1699" s="252">
        <v>0</v>
      </c>
      <c r="O1699" s="185" t="s">
        <v>51</v>
      </c>
    </row>
    <row r="1700" spans="1:15" x14ac:dyDescent="0.25">
      <c r="A1700" s="234" t="s">
        <v>8018</v>
      </c>
      <c r="B1700" s="234" t="s">
        <v>45</v>
      </c>
      <c r="C1700" s="245">
        <v>46149</v>
      </c>
      <c r="D1700" s="234">
        <v>0</v>
      </c>
      <c r="E1700" s="246">
        <v>268000</v>
      </c>
      <c r="F1700" s="247">
        <v>0</v>
      </c>
      <c r="G1700" s="34" t="s">
        <v>83</v>
      </c>
      <c r="H1700" s="234" t="s">
        <v>8019</v>
      </c>
      <c r="I1700" s="248" t="s">
        <v>7</v>
      </c>
      <c r="J1700" s="249" t="s">
        <v>492</v>
      </c>
      <c r="K1700" s="250">
        <v>0</v>
      </c>
      <c r="L1700" s="250">
        <v>0</v>
      </c>
      <c r="M1700" s="251" t="s">
        <v>45</v>
      </c>
      <c r="N1700" s="252">
        <v>0</v>
      </c>
      <c r="O1700" s="185" t="s">
        <v>74</v>
      </c>
    </row>
    <row r="1701" spans="1:15" x14ac:dyDescent="0.25">
      <c r="A1701" s="234" t="s">
        <v>3383</v>
      </c>
      <c r="B1701" s="234" t="s">
        <v>45</v>
      </c>
      <c r="C1701" s="245">
        <v>46149</v>
      </c>
      <c r="D1701" s="234">
        <v>0</v>
      </c>
      <c r="E1701" s="246">
        <v>114128</v>
      </c>
      <c r="F1701" s="247" t="s">
        <v>3382</v>
      </c>
      <c r="G1701" s="34" t="s">
        <v>83</v>
      </c>
      <c r="H1701" s="234" t="s">
        <v>3384</v>
      </c>
      <c r="I1701" s="248" t="s">
        <v>7</v>
      </c>
      <c r="J1701" s="249" t="s">
        <v>582</v>
      </c>
      <c r="K1701" s="250">
        <v>114128</v>
      </c>
      <c r="L1701" s="250">
        <v>0</v>
      </c>
      <c r="M1701" s="251" t="s">
        <v>45</v>
      </c>
      <c r="N1701" s="252">
        <v>0</v>
      </c>
      <c r="O1701" s="185" t="s">
        <v>74</v>
      </c>
    </row>
    <row r="1702" spans="1:15" x14ac:dyDescent="0.25">
      <c r="A1702" s="234" t="s">
        <v>5334</v>
      </c>
      <c r="B1702" s="234" t="s">
        <v>45</v>
      </c>
      <c r="C1702" s="245">
        <v>46149</v>
      </c>
      <c r="D1702" s="234">
        <v>0</v>
      </c>
      <c r="E1702" s="246">
        <v>1365289</v>
      </c>
      <c r="F1702" s="247" t="s">
        <v>5333</v>
      </c>
      <c r="G1702" s="34" t="s">
        <v>83</v>
      </c>
      <c r="H1702" s="234" t="s">
        <v>5335</v>
      </c>
      <c r="I1702" s="248" t="s">
        <v>7</v>
      </c>
      <c r="J1702" s="249" t="s">
        <v>554</v>
      </c>
      <c r="K1702" s="250">
        <v>1365289</v>
      </c>
      <c r="L1702" s="250">
        <v>0</v>
      </c>
      <c r="M1702" s="251" t="s">
        <v>45</v>
      </c>
      <c r="N1702" s="252">
        <v>0</v>
      </c>
      <c r="O1702" s="185" t="s">
        <v>74</v>
      </c>
    </row>
    <row r="1703" spans="1:15" x14ac:dyDescent="0.25">
      <c r="A1703" s="234" t="s">
        <v>4128</v>
      </c>
      <c r="B1703" s="234" t="s">
        <v>29</v>
      </c>
      <c r="C1703" s="245">
        <v>46149</v>
      </c>
      <c r="D1703" s="234">
        <v>0</v>
      </c>
      <c r="E1703" s="246">
        <v>30000</v>
      </c>
      <c r="F1703" s="247">
        <v>0</v>
      </c>
      <c r="G1703" s="34" t="s">
        <v>7</v>
      </c>
      <c r="H1703" s="234" t="s">
        <v>4129</v>
      </c>
      <c r="I1703" s="248" t="s">
        <v>7</v>
      </c>
      <c r="J1703" s="249" t="s">
        <v>492</v>
      </c>
      <c r="K1703" s="250">
        <v>0</v>
      </c>
      <c r="L1703" s="250">
        <v>0</v>
      </c>
      <c r="M1703" s="251" t="s">
        <v>29</v>
      </c>
      <c r="N1703" s="252">
        <v>0</v>
      </c>
      <c r="O1703" s="185" t="s">
        <v>51</v>
      </c>
    </row>
    <row r="1704" spans="1:15" x14ac:dyDescent="0.25">
      <c r="A1704" s="234" t="s">
        <v>4125</v>
      </c>
      <c r="B1704" s="234" t="s">
        <v>29</v>
      </c>
      <c r="C1704" s="245">
        <v>46149</v>
      </c>
      <c r="D1704" s="234">
        <v>0</v>
      </c>
      <c r="E1704" s="246">
        <v>55000</v>
      </c>
      <c r="F1704" s="247">
        <v>0</v>
      </c>
      <c r="G1704" s="34" t="s">
        <v>7</v>
      </c>
      <c r="H1704" s="234" t="s">
        <v>4126</v>
      </c>
      <c r="I1704" s="248" t="s">
        <v>7</v>
      </c>
      <c r="J1704" s="249" t="s">
        <v>492</v>
      </c>
      <c r="K1704" s="250">
        <v>0</v>
      </c>
      <c r="L1704" s="250">
        <v>0</v>
      </c>
      <c r="M1704" s="251" t="s">
        <v>29</v>
      </c>
      <c r="N1704" s="252">
        <v>0</v>
      </c>
      <c r="O1704" s="185" t="s">
        <v>51</v>
      </c>
    </row>
    <row r="1705" spans="1:15" x14ac:dyDescent="0.25">
      <c r="A1705" s="234" t="s">
        <v>4134</v>
      </c>
      <c r="B1705" s="234" t="s">
        <v>29</v>
      </c>
      <c r="C1705" s="245">
        <v>46149</v>
      </c>
      <c r="D1705" s="234">
        <v>0</v>
      </c>
      <c r="E1705" s="246">
        <v>129700</v>
      </c>
      <c r="F1705" s="247">
        <v>0</v>
      </c>
      <c r="G1705" s="34" t="s">
        <v>7</v>
      </c>
      <c r="H1705" s="234" t="s">
        <v>4135</v>
      </c>
      <c r="I1705" s="248" t="s">
        <v>7</v>
      </c>
      <c r="J1705" s="249" t="s">
        <v>492</v>
      </c>
      <c r="K1705" s="250">
        <v>0</v>
      </c>
      <c r="L1705" s="250">
        <v>0</v>
      </c>
      <c r="M1705" s="251" t="s">
        <v>29</v>
      </c>
      <c r="N1705" s="252">
        <v>0</v>
      </c>
      <c r="O1705" s="185" t="s">
        <v>51</v>
      </c>
    </row>
    <row r="1706" spans="1:15" x14ac:dyDescent="0.25">
      <c r="A1706" s="234" t="s">
        <v>3298</v>
      </c>
      <c r="B1706" s="234" t="s">
        <v>29</v>
      </c>
      <c r="C1706" s="245">
        <v>46149</v>
      </c>
      <c r="D1706" s="234">
        <v>0</v>
      </c>
      <c r="E1706" s="246">
        <v>55000</v>
      </c>
      <c r="F1706" s="247">
        <v>0</v>
      </c>
      <c r="G1706" s="34" t="s">
        <v>7</v>
      </c>
      <c r="H1706" s="234" t="s">
        <v>3299</v>
      </c>
      <c r="I1706" s="248" t="s">
        <v>7</v>
      </c>
      <c r="J1706" s="249" t="s">
        <v>492</v>
      </c>
      <c r="K1706" s="250">
        <v>0</v>
      </c>
      <c r="L1706" s="250">
        <v>0</v>
      </c>
      <c r="M1706" s="251" t="s">
        <v>29</v>
      </c>
      <c r="N1706" s="252">
        <v>0</v>
      </c>
      <c r="O1706" s="185" t="s">
        <v>51</v>
      </c>
    </row>
    <row r="1707" spans="1:15" x14ac:dyDescent="0.25">
      <c r="A1707" s="234" t="s">
        <v>5715</v>
      </c>
      <c r="B1707" s="234" t="s">
        <v>29</v>
      </c>
      <c r="C1707" s="245">
        <v>46149</v>
      </c>
      <c r="D1707" s="234">
        <v>0</v>
      </c>
      <c r="E1707" s="246">
        <v>415951</v>
      </c>
      <c r="F1707" s="247">
        <v>0</v>
      </c>
      <c r="G1707" s="34" t="s">
        <v>7</v>
      </c>
      <c r="H1707" s="234" t="s">
        <v>5716</v>
      </c>
      <c r="I1707" s="248" t="s">
        <v>7</v>
      </c>
      <c r="J1707" s="249" t="s">
        <v>492</v>
      </c>
      <c r="K1707" s="250">
        <v>0</v>
      </c>
      <c r="L1707" s="250">
        <v>0</v>
      </c>
      <c r="M1707" s="251" t="s">
        <v>29</v>
      </c>
      <c r="N1707" s="252">
        <v>0</v>
      </c>
      <c r="O1707" s="185" t="s">
        <v>51</v>
      </c>
    </row>
    <row r="1708" spans="1:15" x14ac:dyDescent="0.25">
      <c r="A1708" s="234" t="s">
        <v>5781</v>
      </c>
      <c r="B1708" s="234" t="s">
        <v>29</v>
      </c>
      <c r="C1708" s="245">
        <v>46149</v>
      </c>
      <c r="D1708" s="234">
        <v>0</v>
      </c>
      <c r="E1708" s="246">
        <v>415951</v>
      </c>
      <c r="F1708" s="247">
        <v>0</v>
      </c>
      <c r="G1708" s="34" t="s">
        <v>7</v>
      </c>
      <c r="H1708" s="234" t="s">
        <v>5782</v>
      </c>
      <c r="I1708" s="248" t="s">
        <v>7</v>
      </c>
      <c r="J1708" s="249" t="s">
        <v>492</v>
      </c>
      <c r="K1708" s="250">
        <v>0</v>
      </c>
      <c r="L1708" s="250">
        <v>0</v>
      </c>
      <c r="M1708" s="251" t="s">
        <v>29</v>
      </c>
      <c r="N1708" s="252">
        <v>0</v>
      </c>
      <c r="O1708" s="185" t="s">
        <v>51</v>
      </c>
    </row>
    <row r="1709" spans="1:15" x14ac:dyDescent="0.25">
      <c r="A1709" s="234" t="s">
        <v>5297</v>
      </c>
      <c r="B1709" s="234" t="s">
        <v>32</v>
      </c>
      <c r="C1709" s="245">
        <v>46149</v>
      </c>
      <c r="D1709" s="234" t="s">
        <v>546</v>
      </c>
      <c r="E1709" s="246">
        <v>195863.58</v>
      </c>
      <c r="F1709" s="247" t="s">
        <v>5296</v>
      </c>
      <c r="G1709" s="34" t="s">
        <v>7</v>
      </c>
      <c r="H1709" s="234" t="s">
        <v>5298</v>
      </c>
      <c r="I1709" s="248" t="s">
        <v>7</v>
      </c>
      <c r="J1709" s="249" t="s">
        <v>554</v>
      </c>
      <c r="K1709" s="250">
        <v>195863.58</v>
      </c>
      <c r="L1709" s="250">
        <v>0</v>
      </c>
      <c r="M1709" s="251" t="s">
        <v>32</v>
      </c>
      <c r="N1709" s="252">
        <v>0</v>
      </c>
      <c r="O1709" s="185" t="s">
        <v>51</v>
      </c>
    </row>
    <row r="1710" spans="1:15" x14ac:dyDescent="0.25">
      <c r="A1710" s="234" t="s">
        <v>1975</v>
      </c>
      <c r="B1710" s="234" t="s">
        <v>32</v>
      </c>
      <c r="C1710" s="245">
        <v>46149</v>
      </c>
      <c r="D1710" s="234" t="s">
        <v>7287</v>
      </c>
      <c r="E1710" s="246">
        <v>843498</v>
      </c>
      <c r="F1710" s="247" t="s">
        <v>1974</v>
      </c>
      <c r="G1710" s="34" t="s">
        <v>7</v>
      </c>
      <c r="H1710" s="234" t="s">
        <v>1976</v>
      </c>
      <c r="I1710" s="248" t="s">
        <v>7</v>
      </c>
      <c r="J1710" s="249" t="s">
        <v>582</v>
      </c>
      <c r="K1710" s="250">
        <v>843498</v>
      </c>
      <c r="L1710" s="250">
        <v>0</v>
      </c>
      <c r="M1710" s="251" t="s">
        <v>32</v>
      </c>
      <c r="N1710" s="252">
        <v>0</v>
      </c>
      <c r="O1710" s="185" t="s">
        <v>51</v>
      </c>
    </row>
    <row r="1711" spans="1:15" x14ac:dyDescent="0.25">
      <c r="A1711" s="234" t="s">
        <v>5718</v>
      </c>
      <c r="B1711" s="234" t="s">
        <v>30</v>
      </c>
      <c r="C1711" s="245">
        <v>46149</v>
      </c>
      <c r="D1711" s="234">
        <v>0</v>
      </c>
      <c r="E1711" s="246">
        <v>110200</v>
      </c>
      <c r="F1711" s="247">
        <v>0</v>
      </c>
      <c r="G1711" s="34" t="s">
        <v>7</v>
      </c>
      <c r="H1711" s="234" t="s">
        <v>5719</v>
      </c>
      <c r="I1711" s="248" t="s">
        <v>7</v>
      </c>
      <c r="J1711" s="249" t="s">
        <v>492</v>
      </c>
      <c r="K1711" s="250">
        <v>0</v>
      </c>
      <c r="L1711" s="250">
        <v>0</v>
      </c>
      <c r="M1711" s="251" t="s">
        <v>30</v>
      </c>
      <c r="N1711" s="252">
        <v>0</v>
      </c>
      <c r="O1711" s="185" t="s">
        <v>51</v>
      </c>
    </row>
    <row r="1712" spans="1:15" x14ac:dyDescent="0.25">
      <c r="A1712" s="234" t="s">
        <v>2585</v>
      </c>
      <c r="B1712" s="234" t="s">
        <v>30</v>
      </c>
      <c r="C1712" s="245">
        <v>46149</v>
      </c>
      <c r="D1712" s="234">
        <v>0</v>
      </c>
      <c r="E1712" s="246">
        <v>70000</v>
      </c>
      <c r="F1712" s="247">
        <v>0</v>
      </c>
      <c r="G1712" s="34" t="s">
        <v>7</v>
      </c>
      <c r="H1712" s="234" t="s">
        <v>2586</v>
      </c>
      <c r="I1712" s="248" t="s">
        <v>7</v>
      </c>
      <c r="J1712" s="249" t="s">
        <v>492</v>
      </c>
      <c r="K1712" s="250">
        <v>0</v>
      </c>
      <c r="L1712" s="250">
        <v>0</v>
      </c>
      <c r="M1712" s="251" t="s">
        <v>30</v>
      </c>
      <c r="N1712" s="252">
        <v>0</v>
      </c>
      <c r="O1712" s="185" t="s">
        <v>51</v>
      </c>
    </row>
    <row r="1713" spans="1:15" x14ac:dyDescent="0.25">
      <c r="A1713" s="234" t="s">
        <v>2428</v>
      </c>
      <c r="B1713" s="234" t="s">
        <v>30</v>
      </c>
      <c r="C1713" s="245">
        <v>46149</v>
      </c>
      <c r="D1713" s="234">
        <v>0</v>
      </c>
      <c r="E1713" s="246">
        <v>187801.97</v>
      </c>
      <c r="F1713" s="247">
        <v>0</v>
      </c>
      <c r="G1713" s="34" t="s">
        <v>7</v>
      </c>
      <c r="H1713" s="234" t="s">
        <v>2429</v>
      </c>
      <c r="I1713" s="248" t="s">
        <v>7</v>
      </c>
      <c r="J1713" s="249" t="s">
        <v>492</v>
      </c>
      <c r="K1713" s="250">
        <v>0</v>
      </c>
      <c r="L1713" s="250">
        <v>0</v>
      </c>
      <c r="M1713" s="251" t="s">
        <v>30</v>
      </c>
      <c r="N1713" s="252">
        <v>0</v>
      </c>
      <c r="O1713" s="185" t="s">
        <v>51</v>
      </c>
    </row>
    <row r="1714" spans="1:15" x14ac:dyDescent="0.25">
      <c r="A1714" s="234" t="s">
        <v>8020</v>
      </c>
      <c r="B1714" s="234" t="s">
        <v>30</v>
      </c>
      <c r="C1714" s="245">
        <v>46149</v>
      </c>
      <c r="D1714" s="234">
        <v>0</v>
      </c>
      <c r="E1714" s="246">
        <v>161579</v>
      </c>
      <c r="F1714" s="247">
        <v>0</v>
      </c>
      <c r="G1714" s="34" t="s">
        <v>7</v>
      </c>
      <c r="H1714" s="234" t="s">
        <v>8021</v>
      </c>
      <c r="I1714" s="248" t="s">
        <v>7</v>
      </c>
      <c r="J1714" s="249" t="s">
        <v>492</v>
      </c>
      <c r="K1714" s="250">
        <v>0</v>
      </c>
      <c r="L1714" s="250">
        <v>0</v>
      </c>
      <c r="M1714" s="251" t="s">
        <v>30</v>
      </c>
      <c r="N1714" s="252">
        <v>0</v>
      </c>
      <c r="O1714" s="185" t="s">
        <v>51</v>
      </c>
    </row>
    <row r="1715" spans="1:15" x14ac:dyDescent="0.25">
      <c r="A1715" s="234" t="s">
        <v>8022</v>
      </c>
      <c r="B1715" s="234" t="s">
        <v>30</v>
      </c>
      <c r="C1715" s="245">
        <v>46149</v>
      </c>
      <c r="D1715" s="234">
        <v>0</v>
      </c>
      <c r="E1715" s="246">
        <v>161579</v>
      </c>
      <c r="F1715" s="247">
        <v>0</v>
      </c>
      <c r="G1715" s="34" t="s">
        <v>7</v>
      </c>
      <c r="H1715" s="234" t="s">
        <v>8023</v>
      </c>
      <c r="I1715" s="248" t="s">
        <v>7</v>
      </c>
      <c r="J1715" s="249" t="s">
        <v>492</v>
      </c>
      <c r="K1715" s="250">
        <v>0</v>
      </c>
      <c r="L1715" s="250">
        <v>0</v>
      </c>
      <c r="M1715" s="251" t="s">
        <v>30</v>
      </c>
      <c r="N1715" s="252">
        <v>0</v>
      </c>
      <c r="O1715" s="185" t="s">
        <v>51</v>
      </c>
    </row>
    <row r="1716" spans="1:15" x14ac:dyDescent="0.25">
      <c r="A1716" s="234" t="s">
        <v>8024</v>
      </c>
      <c r="B1716" s="234" t="s">
        <v>30</v>
      </c>
      <c r="C1716" s="245">
        <v>46149</v>
      </c>
      <c r="D1716" s="234">
        <v>0</v>
      </c>
      <c r="E1716" s="246">
        <v>749482</v>
      </c>
      <c r="F1716" s="247">
        <v>0</v>
      </c>
      <c r="G1716" s="34" t="s">
        <v>7</v>
      </c>
      <c r="H1716" s="234" t="s">
        <v>8025</v>
      </c>
      <c r="I1716" s="248" t="s">
        <v>7</v>
      </c>
      <c r="J1716" s="249" t="s">
        <v>492</v>
      </c>
      <c r="K1716" s="250">
        <v>0</v>
      </c>
      <c r="L1716" s="250">
        <v>0</v>
      </c>
      <c r="M1716" s="251" t="s">
        <v>30</v>
      </c>
      <c r="N1716" s="252">
        <v>0</v>
      </c>
      <c r="O1716" s="185" t="s">
        <v>51</v>
      </c>
    </row>
    <row r="1717" spans="1:15" x14ac:dyDescent="0.25">
      <c r="A1717" s="234" t="s">
        <v>2400</v>
      </c>
      <c r="B1717" s="234" t="s">
        <v>30</v>
      </c>
      <c r="C1717" s="245">
        <v>46149</v>
      </c>
      <c r="D1717" s="234">
        <v>0</v>
      </c>
      <c r="E1717" s="246">
        <v>160861</v>
      </c>
      <c r="F1717" s="247">
        <v>0</v>
      </c>
      <c r="G1717" s="34" t="s">
        <v>7</v>
      </c>
      <c r="H1717" s="234" t="s">
        <v>2401</v>
      </c>
      <c r="I1717" s="248" t="s">
        <v>7</v>
      </c>
      <c r="J1717" s="249" t="s">
        <v>492</v>
      </c>
      <c r="K1717" s="250">
        <v>0</v>
      </c>
      <c r="L1717" s="250">
        <v>0</v>
      </c>
      <c r="M1717" s="251" t="s">
        <v>30</v>
      </c>
      <c r="N1717" s="252">
        <v>0</v>
      </c>
      <c r="O1717" s="185" t="s">
        <v>51</v>
      </c>
    </row>
    <row r="1718" spans="1:15" x14ac:dyDescent="0.25">
      <c r="A1718" s="234" t="s">
        <v>3295</v>
      </c>
      <c r="B1718" s="234" t="s">
        <v>47</v>
      </c>
      <c r="C1718" s="245">
        <v>46149</v>
      </c>
      <c r="D1718" s="234">
        <v>0</v>
      </c>
      <c r="E1718" s="246">
        <v>191792</v>
      </c>
      <c r="F1718" s="247">
        <v>0</v>
      </c>
      <c r="G1718" s="34" t="s">
        <v>83</v>
      </c>
      <c r="H1718" s="234" t="s">
        <v>3296</v>
      </c>
      <c r="I1718" s="248" t="s">
        <v>7</v>
      </c>
      <c r="J1718" s="249" t="s">
        <v>492</v>
      </c>
      <c r="K1718" s="250">
        <v>0</v>
      </c>
      <c r="L1718" s="250">
        <v>0</v>
      </c>
      <c r="M1718" s="251" t="s">
        <v>47</v>
      </c>
      <c r="N1718" s="252">
        <v>0</v>
      </c>
      <c r="O1718" s="185" t="s">
        <v>51</v>
      </c>
    </row>
    <row r="1719" spans="1:15" x14ac:dyDescent="0.25">
      <c r="A1719" s="234" t="s">
        <v>1750</v>
      </c>
      <c r="B1719" s="234" t="s">
        <v>47</v>
      </c>
      <c r="C1719" s="245">
        <v>46149</v>
      </c>
      <c r="D1719" s="234">
        <v>0</v>
      </c>
      <c r="E1719" s="246">
        <v>100000</v>
      </c>
      <c r="F1719" s="247">
        <v>0</v>
      </c>
      <c r="G1719" s="34" t="s">
        <v>83</v>
      </c>
      <c r="H1719" s="234" t="s">
        <v>1751</v>
      </c>
      <c r="I1719" s="248" t="s">
        <v>7</v>
      </c>
      <c r="J1719" s="249" t="s">
        <v>492</v>
      </c>
      <c r="K1719" s="250">
        <v>0</v>
      </c>
      <c r="L1719" s="250">
        <v>0</v>
      </c>
      <c r="M1719" s="251" t="s">
        <v>47</v>
      </c>
      <c r="N1719" s="252">
        <v>0</v>
      </c>
      <c r="O1719" s="185" t="s">
        <v>51</v>
      </c>
    </row>
    <row r="1720" spans="1:15" x14ac:dyDescent="0.25">
      <c r="A1720" s="234" t="s">
        <v>1738</v>
      </c>
      <c r="B1720" s="234" t="s">
        <v>47</v>
      </c>
      <c r="C1720" s="245">
        <v>46149</v>
      </c>
      <c r="D1720" s="234">
        <v>0</v>
      </c>
      <c r="E1720" s="246">
        <v>150000</v>
      </c>
      <c r="F1720" s="247">
        <v>0</v>
      </c>
      <c r="G1720" s="34" t="s">
        <v>83</v>
      </c>
      <c r="H1720" s="234" t="s">
        <v>1739</v>
      </c>
      <c r="I1720" s="248" t="s">
        <v>7</v>
      </c>
      <c r="J1720" s="249" t="s">
        <v>492</v>
      </c>
      <c r="K1720" s="250">
        <v>0</v>
      </c>
      <c r="L1720" s="250">
        <v>0</v>
      </c>
      <c r="M1720" s="251" t="s">
        <v>47</v>
      </c>
      <c r="N1720" s="252">
        <v>0</v>
      </c>
      <c r="O1720" s="185" t="s">
        <v>51</v>
      </c>
    </row>
    <row r="1721" spans="1:15" x14ac:dyDescent="0.25">
      <c r="A1721" s="234" t="s">
        <v>4256</v>
      </c>
      <c r="B1721" s="234" t="s">
        <v>47</v>
      </c>
      <c r="C1721" s="245">
        <v>46149</v>
      </c>
      <c r="D1721" s="234">
        <v>0</v>
      </c>
      <c r="E1721" s="246">
        <v>136080</v>
      </c>
      <c r="F1721" s="247">
        <v>0</v>
      </c>
      <c r="G1721" s="34" t="s">
        <v>83</v>
      </c>
      <c r="H1721" s="234" t="s">
        <v>4257</v>
      </c>
      <c r="I1721" s="248" t="s">
        <v>7</v>
      </c>
      <c r="J1721" s="249" t="s">
        <v>492</v>
      </c>
      <c r="K1721" s="250">
        <v>0</v>
      </c>
      <c r="L1721" s="250">
        <v>0</v>
      </c>
      <c r="M1721" s="251" t="s">
        <v>47</v>
      </c>
      <c r="N1721" s="252">
        <v>0</v>
      </c>
      <c r="O1721" s="185" t="s">
        <v>51</v>
      </c>
    </row>
    <row r="1722" spans="1:15" x14ac:dyDescent="0.25">
      <c r="A1722" s="234" t="s">
        <v>4374</v>
      </c>
      <c r="B1722" s="234" t="s">
        <v>47</v>
      </c>
      <c r="C1722" s="245">
        <v>46149</v>
      </c>
      <c r="D1722" s="234">
        <v>0</v>
      </c>
      <c r="E1722" s="246">
        <v>45000</v>
      </c>
      <c r="F1722" s="247">
        <v>0</v>
      </c>
      <c r="G1722" s="34" t="s">
        <v>83</v>
      </c>
      <c r="H1722" s="234" t="s">
        <v>4375</v>
      </c>
      <c r="I1722" s="248" t="s">
        <v>7</v>
      </c>
      <c r="J1722" s="249" t="s">
        <v>492</v>
      </c>
      <c r="K1722" s="250">
        <v>0</v>
      </c>
      <c r="L1722" s="250">
        <v>0</v>
      </c>
      <c r="M1722" s="251" t="s">
        <v>47</v>
      </c>
      <c r="N1722" s="252">
        <v>0</v>
      </c>
      <c r="O1722" s="185" t="s">
        <v>51</v>
      </c>
    </row>
    <row r="1723" spans="1:15" x14ac:dyDescent="0.25">
      <c r="A1723" s="234" t="s">
        <v>4374</v>
      </c>
      <c r="B1723" s="234" t="s">
        <v>47</v>
      </c>
      <c r="C1723" s="245">
        <v>46149</v>
      </c>
      <c r="D1723" s="234">
        <v>0</v>
      </c>
      <c r="E1723" s="246">
        <v>40000</v>
      </c>
      <c r="F1723" s="247">
        <v>0</v>
      </c>
      <c r="G1723" s="34" t="s">
        <v>83</v>
      </c>
      <c r="H1723" s="234" t="s">
        <v>4375</v>
      </c>
      <c r="I1723" s="248" t="s">
        <v>7</v>
      </c>
      <c r="J1723" s="249" t="s">
        <v>492</v>
      </c>
      <c r="K1723" s="250">
        <v>0</v>
      </c>
      <c r="L1723" s="250">
        <v>0</v>
      </c>
      <c r="M1723" s="251" t="s">
        <v>47</v>
      </c>
      <c r="N1723" s="252">
        <v>0</v>
      </c>
      <c r="O1723" s="185" t="s">
        <v>51</v>
      </c>
    </row>
    <row r="1724" spans="1:15" x14ac:dyDescent="0.25">
      <c r="A1724" s="234" t="s">
        <v>4374</v>
      </c>
      <c r="B1724" s="234" t="s">
        <v>47</v>
      </c>
      <c r="C1724" s="245">
        <v>46149</v>
      </c>
      <c r="D1724" s="234">
        <v>0</v>
      </c>
      <c r="E1724" s="246">
        <v>35000</v>
      </c>
      <c r="F1724" s="247">
        <v>0</v>
      </c>
      <c r="G1724" s="34" t="s">
        <v>83</v>
      </c>
      <c r="H1724" s="234" t="s">
        <v>4375</v>
      </c>
      <c r="I1724" s="248" t="s">
        <v>7</v>
      </c>
      <c r="J1724" s="249" t="s">
        <v>492</v>
      </c>
      <c r="K1724" s="250">
        <v>0</v>
      </c>
      <c r="L1724" s="250">
        <v>0</v>
      </c>
      <c r="M1724" s="251" t="s">
        <v>47</v>
      </c>
      <c r="N1724" s="252">
        <v>0</v>
      </c>
      <c r="O1724" s="185" t="s">
        <v>51</v>
      </c>
    </row>
    <row r="1725" spans="1:15" x14ac:dyDescent="0.25">
      <c r="A1725" s="234" t="s">
        <v>4374</v>
      </c>
      <c r="B1725" s="234" t="s">
        <v>47</v>
      </c>
      <c r="C1725" s="245">
        <v>46149</v>
      </c>
      <c r="D1725" s="234">
        <v>0</v>
      </c>
      <c r="E1725" s="246">
        <v>30000</v>
      </c>
      <c r="F1725" s="247">
        <v>0</v>
      </c>
      <c r="G1725" s="34" t="s">
        <v>83</v>
      </c>
      <c r="H1725" s="234" t="s">
        <v>4375</v>
      </c>
      <c r="I1725" s="248" t="s">
        <v>7</v>
      </c>
      <c r="J1725" s="249" t="s">
        <v>492</v>
      </c>
      <c r="K1725" s="250">
        <v>0</v>
      </c>
      <c r="L1725" s="250">
        <v>0</v>
      </c>
      <c r="M1725" s="251" t="s">
        <v>47</v>
      </c>
      <c r="N1725" s="252">
        <v>0</v>
      </c>
      <c r="O1725" s="185" t="s">
        <v>51</v>
      </c>
    </row>
    <row r="1726" spans="1:15" x14ac:dyDescent="0.25">
      <c r="A1726" s="234" t="s">
        <v>1754</v>
      </c>
      <c r="B1726" s="234" t="s">
        <v>47</v>
      </c>
      <c r="C1726" s="245">
        <v>46149</v>
      </c>
      <c r="D1726" s="234">
        <v>0</v>
      </c>
      <c r="E1726" s="246">
        <v>1116366</v>
      </c>
      <c r="F1726" s="247">
        <v>0</v>
      </c>
      <c r="G1726" s="34" t="s">
        <v>83</v>
      </c>
      <c r="H1726" s="234" t="s">
        <v>1755</v>
      </c>
      <c r="I1726" s="248" t="s">
        <v>7</v>
      </c>
      <c r="J1726" s="249" t="s">
        <v>492</v>
      </c>
      <c r="K1726" s="250">
        <v>0</v>
      </c>
      <c r="L1726" s="250">
        <v>0</v>
      </c>
      <c r="M1726" s="251" t="s">
        <v>47</v>
      </c>
      <c r="N1726" s="252">
        <v>0</v>
      </c>
      <c r="O1726" s="185" t="s">
        <v>51</v>
      </c>
    </row>
    <row r="1727" spans="1:15" x14ac:dyDescent="0.25">
      <c r="A1727" s="234" t="s">
        <v>2056</v>
      </c>
      <c r="B1727" s="234" t="s">
        <v>28</v>
      </c>
      <c r="C1727" s="245">
        <v>46149</v>
      </c>
      <c r="D1727" s="234" t="s">
        <v>7275</v>
      </c>
      <c r="E1727" s="246">
        <v>207874</v>
      </c>
      <c r="F1727" s="247" t="s">
        <v>2055</v>
      </c>
      <c r="G1727" s="34" t="s">
        <v>7</v>
      </c>
      <c r="H1727" s="234" t="s">
        <v>2057</v>
      </c>
      <c r="I1727" s="248" t="s">
        <v>7</v>
      </c>
      <c r="J1727" s="249" t="s">
        <v>582</v>
      </c>
      <c r="K1727" s="250">
        <v>207874</v>
      </c>
      <c r="L1727" s="250">
        <v>0</v>
      </c>
      <c r="M1727" s="251" t="s">
        <v>28</v>
      </c>
      <c r="N1727" s="252">
        <v>0</v>
      </c>
      <c r="O1727" s="185" t="s">
        <v>51</v>
      </c>
    </row>
    <row r="1728" spans="1:15" x14ac:dyDescent="0.25">
      <c r="A1728" s="234" t="s">
        <v>5498</v>
      </c>
      <c r="B1728" s="234" t="s">
        <v>28</v>
      </c>
      <c r="C1728" s="245">
        <v>46149</v>
      </c>
      <c r="D1728" s="234" t="s">
        <v>7275</v>
      </c>
      <c r="E1728" s="246">
        <v>430956</v>
      </c>
      <c r="F1728" s="247" t="s">
        <v>5497</v>
      </c>
      <c r="G1728" s="34" t="s">
        <v>7</v>
      </c>
      <c r="H1728" s="234" t="s">
        <v>5499</v>
      </c>
      <c r="I1728" s="248" t="s">
        <v>7</v>
      </c>
      <c r="J1728" s="249" t="s">
        <v>582</v>
      </c>
      <c r="K1728" s="250">
        <v>430956</v>
      </c>
      <c r="L1728" s="250">
        <v>0</v>
      </c>
      <c r="M1728" s="251" t="s">
        <v>28</v>
      </c>
      <c r="N1728" s="252">
        <v>0</v>
      </c>
      <c r="O1728" s="185" t="s">
        <v>51</v>
      </c>
    </row>
    <row r="1729" spans="1:15" x14ac:dyDescent="0.25">
      <c r="A1729" s="234" t="s">
        <v>2052</v>
      </c>
      <c r="B1729" s="234" t="s">
        <v>28</v>
      </c>
      <c r="C1729" s="245">
        <v>46149</v>
      </c>
      <c r="D1729" s="234" t="s">
        <v>7275</v>
      </c>
      <c r="E1729" s="246">
        <v>56372</v>
      </c>
      <c r="F1729" s="247" t="s">
        <v>2054</v>
      </c>
      <c r="G1729" s="34" t="s">
        <v>7</v>
      </c>
      <c r="H1729" s="234" t="s">
        <v>2053</v>
      </c>
      <c r="I1729" s="248" t="s">
        <v>7</v>
      </c>
      <c r="J1729" s="249" t="s">
        <v>582</v>
      </c>
      <c r="K1729" s="250">
        <v>56372</v>
      </c>
      <c r="L1729" s="250">
        <v>0</v>
      </c>
      <c r="M1729" s="251" t="s">
        <v>28</v>
      </c>
      <c r="N1729" s="252">
        <v>0</v>
      </c>
      <c r="O1729" s="185" t="s">
        <v>51</v>
      </c>
    </row>
    <row r="1730" spans="1:15" x14ac:dyDescent="0.25">
      <c r="A1730" s="234" t="s">
        <v>2524</v>
      </c>
      <c r="B1730" s="234" t="s">
        <v>28</v>
      </c>
      <c r="C1730" s="245">
        <v>46149</v>
      </c>
      <c r="D1730" s="234" t="s">
        <v>7275</v>
      </c>
      <c r="E1730" s="246">
        <v>241309</v>
      </c>
      <c r="F1730" s="247" t="s">
        <v>2523</v>
      </c>
      <c r="G1730" s="34" t="s">
        <v>7</v>
      </c>
      <c r="H1730" s="234" t="s">
        <v>2525</v>
      </c>
      <c r="I1730" s="248" t="s">
        <v>7</v>
      </c>
      <c r="J1730" s="249" t="s">
        <v>582</v>
      </c>
      <c r="K1730" s="250">
        <v>241309</v>
      </c>
      <c r="L1730" s="250">
        <v>0</v>
      </c>
      <c r="M1730" s="251" t="s">
        <v>28</v>
      </c>
      <c r="N1730" s="252">
        <v>0</v>
      </c>
      <c r="O1730" s="185" t="s">
        <v>51</v>
      </c>
    </row>
    <row r="1731" spans="1:15" x14ac:dyDescent="0.25">
      <c r="A1731" s="234" t="s">
        <v>2527</v>
      </c>
      <c r="B1731" s="234" t="s">
        <v>28</v>
      </c>
      <c r="C1731" s="245">
        <v>46149</v>
      </c>
      <c r="D1731" s="234" t="s">
        <v>7275</v>
      </c>
      <c r="E1731" s="246">
        <v>263321</v>
      </c>
      <c r="F1731" s="247" t="s">
        <v>2526</v>
      </c>
      <c r="G1731" s="34" t="s">
        <v>7</v>
      </c>
      <c r="H1731" s="234" t="s">
        <v>2528</v>
      </c>
      <c r="I1731" s="248" t="s">
        <v>7</v>
      </c>
      <c r="J1731" s="249" t="s">
        <v>582</v>
      </c>
      <c r="K1731" s="250">
        <v>263321</v>
      </c>
      <c r="L1731" s="250">
        <v>0</v>
      </c>
      <c r="M1731" s="251" t="s">
        <v>28</v>
      </c>
      <c r="N1731" s="252">
        <v>0</v>
      </c>
      <c r="O1731" s="185" t="s">
        <v>51</v>
      </c>
    </row>
    <row r="1732" spans="1:15" x14ac:dyDescent="0.25">
      <c r="A1732" s="234" t="s">
        <v>2071</v>
      </c>
      <c r="B1732" s="234" t="s">
        <v>28</v>
      </c>
      <c r="C1732" s="245">
        <v>46149</v>
      </c>
      <c r="D1732" s="234" t="s">
        <v>7275</v>
      </c>
      <c r="E1732" s="246">
        <v>286747</v>
      </c>
      <c r="F1732" s="247" t="s">
        <v>2070</v>
      </c>
      <c r="G1732" s="34" t="s">
        <v>7</v>
      </c>
      <c r="H1732" s="234" t="s">
        <v>2072</v>
      </c>
      <c r="I1732" s="248" t="s">
        <v>7</v>
      </c>
      <c r="J1732" s="249" t="s">
        <v>582</v>
      </c>
      <c r="K1732" s="250">
        <v>286747</v>
      </c>
      <c r="L1732" s="250">
        <v>0</v>
      </c>
      <c r="M1732" s="251" t="s">
        <v>28</v>
      </c>
      <c r="N1732" s="252">
        <v>0</v>
      </c>
      <c r="O1732" s="185" t="s">
        <v>51</v>
      </c>
    </row>
    <row r="1733" spans="1:15" x14ac:dyDescent="0.25">
      <c r="A1733" s="234"/>
      <c r="B1733" s="234" t="s">
        <v>492</v>
      </c>
      <c r="C1733" s="245">
        <v>46149</v>
      </c>
      <c r="D1733" s="234" t="s">
        <v>492</v>
      </c>
      <c r="E1733" s="246">
        <v>0</v>
      </c>
      <c r="F1733" s="247"/>
      <c r="G1733" s="34"/>
      <c r="H1733" s="234"/>
      <c r="I1733" s="253" t="s">
        <v>7541</v>
      </c>
      <c r="J1733" s="253"/>
      <c r="K1733" s="253"/>
      <c r="L1733" s="253"/>
      <c r="M1733" s="234"/>
      <c r="O1733" t="s">
        <v>51</v>
      </c>
    </row>
    <row r="1734" spans="1:15" x14ac:dyDescent="0.25">
      <c r="A1734" s="234"/>
      <c r="B1734" s="234" t="s">
        <v>492</v>
      </c>
      <c r="C1734" s="245">
        <v>46149</v>
      </c>
      <c r="D1734" s="234" t="s">
        <v>492</v>
      </c>
      <c r="E1734" s="246">
        <v>0</v>
      </c>
      <c r="F1734" s="247"/>
      <c r="G1734" s="34"/>
      <c r="H1734" s="234"/>
      <c r="I1734" s="253" t="s">
        <v>7541</v>
      </c>
      <c r="J1734" s="253"/>
      <c r="K1734" s="253"/>
      <c r="L1734" s="253"/>
      <c r="M1734" s="234"/>
      <c r="O1734" t="s">
        <v>74</v>
      </c>
    </row>
    <row r="1735" spans="1:15" x14ac:dyDescent="0.25">
      <c r="A1735" s="234"/>
      <c r="B1735" s="234" t="s">
        <v>492</v>
      </c>
      <c r="C1735" s="245">
        <v>46149</v>
      </c>
      <c r="D1735" s="234" t="s">
        <v>492</v>
      </c>
      <c r="E1735" s="246">
        <v>0</v>
      </c>
      <c r="F1735" s="247"/>
      <c r="G1735" s="34"/>
      <c r="H1735" s="234"/>
      <c r="I1735" s="253" t="s">
        <v>7541</v>
      </c>
      <c r="J1735" s="253"/>
      <c r="K1735" s="253"/>
      <c r="L1735" s="253"/>
      <c r="M1735" s="234"/>
      <c r="O1735" t="s">
        <v>77</v>
      </c>
    </row>
    <row r="1736" spans="1:15" x14ac:dyDescent="0.25">
      <c r="A1736" s="234"/>
      <c r="B1736" s="234" t="s">
        <v>492</v>
      </c>
      <c r="C1736" s="245">
        <v>46149</v>
      </c>
      <c r="D1736" s="234" t="s">
        <v>492</v>
      </c>
      <c r="E1736" s="246">
        <v>1772621.1499999985</v>
      </c>
      <c r="F1736" s="247"/>
      <c r="G1736" s="34"/>
      <c r="H1736" s="234"/>
      <c r="I1736" s="253" t="s">
        <v>7541</v>
      </c>
      <c r="J1736" s="253"/>
      <c r="K1736" s="253"/>
      <c r="L1736" s="253"/>
      <c r="M1736" s="234"/>
      <c r="O1736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Weekwise summary</vt:lpstr>
      <vt:lpstr>Datewise Summary</vt:lpstr>
      <vt:lpstr>PR Report - SOBHA </vt:lpstr>
      <vt:lpstr>PR Report - SINIYA</vt:lpstr>
      <vt:lpstr>PR Report - DOWNTOWN</vt:lpstr>
      <vt:lpstr>PR Report - SOBHA AUH</vt:lpstr>
      <vt:lpstr>PR Report - Total</vt:lpstr>
      <vt:lpstr>PR Data</vt:lpstr>
      <vt:lpstr>Daily Collection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Sowmya Boreda</dc:creator>
  <cp:lastModifiedBy>Sowmya Boreda</cp:lastModifiedBy>
  <dcterms:created xsi:type="dcterms:W3CDTF">2026-05-08T05:45:25Z</dcterms:created>
  <dcterms:modified xsi:type="dcterms:W3CDTF">2026-05-08T05:48:20Z</dcterms:modified>
</cp:coreProperties>
</file>